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WORK\2025_05\2026\ЗАВОДЫ\Останкино\филиалы НВ\08,26\31,08,26 Останкино КИ и ЗПФ\"/>
    </mc:Choice>
  </mc:AlternateContent>
  <xr:revisionPtr revIDLastSave="0" documentId="13_ncr:1_{85B307F9-C613-4780-AB12-7CE3B580AAB1}" xr6:coauthVersionLast="45" xr6:coauthVersionMax="45" xr10:uidLastSave="{00000000-0000-0000-0000-000000000000}"/>
  <bookViews>
    <workbookView xWindow="-120" yWindow="-120" windowWidth="29040" windowHeight="15840" xr2:uid="{00000000-000D-0000-FFFF-FFFF00000000}"/>
  </bookViews>
  <sheets>
    <sheet name="Sheet" sheetId="1" r:id="rId1"/>
    <sheet name="новинки" sheetId="2" r:id="rId2"/>
    <sheet name="вывод" sheetId="3" r:id="rId3"/>
  </sheets>
  <externalReferences>
    <externalReference r:id="rId4"/>
    <externalReference r:id="rId5"/>
  </externalReferences>
  <definedNames>
    <definedName name="_xlnm._FilterDatabase" localSheetId="0" hidden="1">Sheet!$A$3:$AI$119</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V107" i="1" l="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6" i="1"/>
  <c r="T5" i="1"/>
  <c r="AJ5" i="1" l="1"/>
  <c r="AJ1" i="1" s="1"/>
  <c r="Q47" i="1" l="1"/>
  <c r="Q31" i="1" l="1"/>
  <c r="Q18" i="1"/>
  <c r="Q17" i="1"/>
  <c r="Q16" i="1"/>
  <c r="U7" i="1" l="1"/>
  <c r="U8" i="1"/>
  <c r="U9" i="1"/>
  <c r="U10" i="1"/>
  <c r="S10" i="1" s="1"/>
  <c r="U11" i="1"/>
  <c r="U12" i="1"/>
  <c r="U13" i="1"/>
  <c r="S13" i="1" s="1"/>
  <c r="U14" i="1"/>
  <c r="U15" i="1"/>
  <c r="S15" i="1" s="1"/>
  <c r="U16" i="1"/>
  <c r="U17" i="1"/>
  <c r="S17" i="1" s="1"/>
  <c r="U18" i="1"/>
  <c r="U19" i="1"/>
  <c r="U20" i="1"/>
  <c r="U21" i="1"/>
  <c r="U22" i="1"/>
  <c r="U23" i="1"/>
  <c r="U24" i="1"/>
  <c r="U25" i="1"/>
  <c r="U26" i="1"/>
  <c r="S26" i="1" s="1"/>
  <c r="U27" i="1"/>
  <c r="U28" i="1"/>
  <c r="U29" i="1"/>
  <c r="U30" i="1"/>
  <c r="U31" i="1"/>
  <c r="U32" i="1"/>
  <c r="U33" i="1"/>
  <c r="U34" i="1"/>
  <c r="U35" i="1"/>
  <c r="U36" i="1"/>
  <c r="U37" i="1"/>
  <c r="U38" i="1"/>
  <c r="U39" i="1"/>
  <c r="S39" i="1" s="1"/>
  <c r="U40" i="1"/>
  <c r="U41" i="1"/>
  <c r="U42" i="1"/>
  <c r="U43" i="1"/>
  <c r="U44" i="1"/>
  <c r="U45" i="1"/>
  <c r="U46" i="1"/>
  <c r="U47" i="1"/>
  <c r="U48" i="1"/>
  <c r="U49" i="1"/>
  <c r="U50" i="1"/>
  <c r="U51" i="1"/>
  <c r="U52" i="1"/>
  <c r="U53" i="1"/>
  <c r="U54" i="1"/>
  <c r="U55" i="1"/>
  <c r="U56" i="1"/>
  <c r="U57" i="1"/>
  <c r="U58" i="1"/>
  <c r="U59" i="1"/>
  <c r="U60" i="1"/>
  <c r="U61" i="1"/>
  <c r="U62" i="1"/>
  <c r="S62" i="1" s="1"/>
  <c r="U63" i="1"/>
  <c r="U64" i="1"/>
  <c r="U65" i="1"/>
  <c r="U66" i="1"/>
  <c r="S66" i="1" s="1"/>
  <c r="U67" i="1"/>
  <c r="U68" i="1"/>
  <c r="U69" i="1"/>
  <c r="U70" i="1"/>
  <c r="U71" i="1"/>
  <c r="U72" i="1"/>
  <c r="U73" i="1"/>
  <c r="U74" i="1"/>
  <c r="AI74" i="1" s="1"/>
  <c r="U75" i="1"/>
  <c r="U76" i="1"/>
  <c r="S76" i="1" s="1"/>
  <c r="U77" i="1"/>
  <c r="U78" i="1"/>
  <c r="U79" i="1"/>
  <c r="U80" i="1"/>
  <c r="U81" i="1"/>
  <c r="U82" i="1"/>
  <c r="U83" i="1"/>
  <c r="U84" i="1"/>
  <c r="U85" i="1"/>
  <c r="U86" i="1"/>
  <c r="S86" i="1" s="1"/>
  <c r="U87" i="1"/>
  <c r="U88" i="1"/>
  <c r="U89" i="1"/>
  <c r="U90" i="1"/>
  <c r="U91" i="1"/>
  <c r="U92" i="1"/>
  <c r="U93" i="1"/>
  <c r="U94" i="1"/>
  <c r="U95" i="1"/>
  <c r="U96" i="1"/>
  <c r="U97" i="1"/>
  <c r="U98" i="1"/>
  <c r="U99" i="1"/>
  <c r="U100" i="1"/>
  <c r="U101" i="1"/>
  <c r="U102" i="1"/>
  <c r="U103" i="1"/>
  <c r="U104" i="1"/>
  <c r="U105" i="1"/>
  <c r="S105" i="1" s="1"/>
  <c r="AI105" i="1" s="1"/>
  <c r="U106" i="1"/>
  <c r="U107" i="1"/>
  <c r="U108" i="1"/>
  <c r="U109" i="1"/>
  <c r="U110" i="1"/>
  <c r="U111" i="1"/>
  <c r="U112" i="1"/>
  <c r="U113" i="1"/>
  <c r="U114" i="1"/>
  <c r="U115" i="1"/>
  <c r="U116" i="1"/>
  <c r="U117" i="1"/>
  <c r="U118" i="1"/>
  <c r="U6" i="1"/>
  <c r="S11" i="1"/>
  <c r="S14" i="1"/>
  <c r="S19" i="1"/>
  <c r="S24" i="1"/>
  <c r="S27" i="1"/>
  <c r="S29" i="1"/>
  <c r="S33" i="1"/>
  <c r="S35" i="1"/>
  <c r="S36" i="1"/>
  <c r="S37" i="1"/>
  <c r="S38" i="1"/>
  <c r="S46" i="1"/>
  <c r="S50" i="1"/>
  <c r="S53" i="1"/>
  <c r="S54" i="1"/>
  <c r="S57" i="1"/>
  <c r="S60" i="1"/>
  <c r="S67" i="1"/>
  <c r="S68" i="1"/>
  <c r="S73" i="1"/>
  <c r="S75" i="1"/>
  <c r="S79" i="1"/>
  <c r="S80" i="1"/>
  <c r="S82" i="1"/>
  <c r="S83" i="1"/>
  <c r="S84" i="1"/>
  <c r="S85" i="1"/>
  <c r="S87" i="1"/>
  <c r="S88" i="1"/>
  <c r="S89" i="1"/>
  <c r="S90" i="1"/>
  <c r="S91" i="1"/>
  <c r="S97" i="1"/>
  <c r="S98" i="1"/>
  <c r="S101" i="1"/>
  <c r="S103" i="1"/>
  <c r="S104" i="1"/>
  <c r="S110" i="1"/>
  <c r="S6" i="1"/>
  <c r="AI110" i="1" l="1"/>
  <c r="AI103" i="1"/>
  <c r="AI98" i="1"/>
  <c r="AI91" i="1"/>
  <c r="AI89" i="1"/>
  <c r="AI87" i="1"/>
  <c r="AI84" i="1"/>
  <c r="AI82" i="1"/>
  <c r="AI79" i="1"/>
  <c r="AI73" i="1"/>
  <c r="AI67" i="1"/>
  <c r="AI57" i="1"/>
  <c r="AI53" i="1"/>
  <c r="AI46" i="1"/>
  <c r="AI37" i="1"/>
  <c r="AI35" i="1"/>
  <c r="AI29" i="1"/>
  <c r="AI24" i="1"/>
  <c r="AI14" i="1"/>
  <c r="AI117" i="1"/>
  <c r="AI115" i="1"/>
  <c r="AI113" i="1"/>
  <c r="AI111" i="1"/>
  <c r="AI107" i="1"/>
  <c r="AI99" i="1"/>
  <c r="AI95" i="1"/>
  <c r="AI77" i="1"/>
  <c r="AI69" i="1"/>
  <c r="AI65" i="1"/>
  <c r="AI63" i="1"/>
  <c r="AI61" i="1"/>
  <c r="AI55" i="1"/>
  <c r="AI51" i="1"/>
  <c r="AI47" i="1"/>
  <c r="AI45" i="1"/>
  <c r="AI43" i="1"/>
  <c r="AI39" i="1"/>
  <c r="AI31" i="1"/>
  <c r="AI25" i="1"/>
  <c r="AI23" i="1"/>
  <c r="AI21" i="1"/>
  <c r="AI17" i="1"/>
  <c r="AI15" i="1"/>
  <c r="AI13" i="1"/>
  <c r="AI9" i="1"/>
  <c r="AI6" i="1"/>
  <c r="AI104" i="1"/>
  <c r="AI101" i="1"/>
  <c r="AI97" i="1"/>
  <c r="AI90" i="1"/>
  <c r="AI88" i="1"/>
  <c r="AI85" i="1"/>
  <c r="AI83" i="1"/>
  <c r="AI80" i="1"/>
  <c r="AI75" i="1"/>
  <c r="AI68" i="1"/>
  <c r="AI60" i="1"/>
  <c r="AI54" i="1"/>
  <c r="AI50" i="1"/>
  <c r="AI38" i="1"/>
  <c r="AI36" i="1"/>
  <c r="AI33" i="1"/>
  <c r="AI27" i="1"/>
  <c r="AI19" i="1"/>
  <c r="AI11" i="1"/>
  <c r="AI118" i="1"/>
  <c r="AI116" i="1"/>
  <c r="AI114" i="1"/>
  <c r="AI112" i="1"/>
  <c r="AI102" i="1"/>
  <c r="AI96" i="1"/>
  <c r="AI94" i="1"/>
  <c r="AI92" i="1"/>
  <c r="AI86" i="1"/>
  <c r="AI78" i="1"/>
  <c r="AI76" i="1"/>
  <c r="AI66" i="1"/>
  <c r="AI64" i="1"/>
  <c r="AI62" i="1"/>
  <c r="AI58" i="1"/>
  <c r="AI56" i="1"/>
  <c r="AI48" i="1"/>
  <c r="AI44" i="1"/>
  <c r="AI42" i="1"/>
  <c r="AI34" i="1"/>
  <c r="AI32" i="1"/>
  <c r="AI30" i="1"/>
  <c r="AI28" i="1"/>
  <c r="AI26" i="1"/>
  <c r="AI22" i="1"/>
  <c r="AI20" i="1"/>
  <c r="AI18" i="1"/>
  <c r="AI16" i="1"/>
  <c r="AI12" i="1"/>
  <c r="AI10" i="1"/>
  <c r="AI8" i="1"/>
  <c r="AI7" i="1"/>
  <c r="U5" i="1"/>
  <c r="Q118" i="1"/>
  <c r="W118" i="1" s="1"/>
  <c r="Q117" i="1"/>
  <c r="V117" i="1" s="1"/>
  <c r="Q116" i="1"/>
  <c r="W116" i="1" s="1"/>
  <c r="Q115" i="1"/>
  <c r="V115" i="1" s="1"/>
  <c r="Q114" i="1"/>
  <c r="W114" i="1" s="1"/>
  <c r="Q113" i="1"/>
  <c r="V113" i="1" s="1"/>
  <c r="Q112" i="1"/>
  <c r="W112" i="1" s="1"/>
  <c r="Q111" i="1"/>
  <c r="V111" i="1" s="1"/>
  <c r="G2" i="2"/>
  <c r="G3" i="2"/>
  <c r="G4" i="2"/>
  <c r="G5" i="2"/>
  <c r="G7" i="2"/>
  <c r="G8" i="2"/>
  <c r="G9" i="2"/>
  <c r="G10" i="2"/>
  <c r="G1" i="2"/>
  <c r="F2" i="2"/>
  <c r="F3" i="2"/>
  <c r="F4" i="2"/>
  <c r="F5" i="2"/>
  <c r="H114" i="1" s="1"/>
  <c r="F7" i="2"/>
  <c r="H116" i="1" s="1"/>
  <c r="F8" i="2"/>
  <c r="F9" i="2"/>
  <c r="H117" i="1" s="1"/>
  <c r="F10" i="2"/>
  <c r="H118" i="1" s="1"/>
  <c r="F1" i="2"/>
  <c r="V112" i="1" l="1"/>
  <c r="V114" i="1"/>
  <c r="V116" i="1"/>
  <c r="V118" i="1"/>
  <c r="W111" i="1"/>
  <c r="W113" i="1"/>
  <c r="W115" i="1"/>
  <c r="W117" i="1"/>
  <c r="D2" i="2" l="1"/>
  <c r="D3" i="2"/>
  <c r="D5" i="2"/>
  <c r="D6" i="2"/>
  <c r="D7" i="2"/>
  <c r="D9" i="2"/>
  <c r="D10" i="2"/>
  <c r="D1" i="2"/>
  <c r="V47" i="1" l="1"/>
  <c r="V18" i="1"/>
  <c r="V17" i="1"/>
  <c r="Q110" i="1" l="1"/>
  <c r="L110" i="1"/>
  <c r="Q109" i="1"/>
  <c r="R109" i="1" s="1"/>
  <c r="S109" i="1" s="1"/>
  <c r="L109" i="1"/>
  <c r="Q108" i="1"/>
  <c r="R108" i="1" s="1"/>
  <c r="S108" i="1" s="1"/>
  <c r="L108" i="1"/>
  <c r="L107" i="1"/>
  <c r="Q106" i="1"/>
  <c r="L106" i="1"/>
  <c r="F106" i="1"/>
  <c r="Q105" i="1"/>
  <c r="L105" i="1"/>
  <c r="F105" i="1"/>
  <c r="V105" i="1" s="1"/>
  <c r="Q104" i="1"/>
  <c r="V104" i="1" s="1"/>
  <c r="L104" i="1"/>
  <c r="Q103" i="1"/>
  <c r="V103" i="1" s="1"/>
  <c r="L103" i="1"/>
  <c r="Q102" i="1"/>
  <c r="V102" i="1" s="1"/>
  <c r="L102" i="1"/>
  <c r="Q101" i="1"/>
  <c r="L101" i="1"/>
  <c r="Q100" i="1"/>
  <c r="L100" i="1"/>
  <c r="Q99" i="1"/>
  <c r="V99" i="1" s="1"/>
  <c r="L99" i="1"/>
  <c r="Q98" i="1"/>
  <c r="V98" i="1" s="1"/>
  <c r="L98" i="1"/>
  <c r="Q97" i="1"/>
  <c r="V97" i="1" s="1"/>
  <c r="L97" i="1"/>
  <c r="Q96" i="1"/>
  <c r="V96" i="1" s="1"/>
  <c r="L96" i="1"/>
  <c r="Q95" i="1"/>
  <c r="V95" i="1" s="1"/>
  <c r="L95" i="1"/>
  <c r="Q94" i="1"/>
  <c r="V94" i="1" s="1"/>
  <c r="L94" i="1"/>
  <c r="Q93" i="1"/>
  <c r="L93" i="1"/>
  <c r="F93" i="1"/>
  <c r="Q92" i="1"/>
  <c r="V92" i="1" s="1"/>
  <c r="L92" i="1"/>
  <c r="Q91" i="1"/>
  <c r="V91" i="1" s="1"/>
  <c r="L91" i="1"/>
  <c r="Q90" i="1"/>
  <c r="L90" i="1"/>
  <c r="Q89" i="1"/>
  <c r="L89" i="1"/>
  <c r="Q88" i="1"/>
  <c r="V88" i="1" s="1"/>
  <c r="L88" i="1"/>
  <c r="Q87" i="1"/>
  <c r="L87" i="1"/>
  <c r="Q86" i="1"/>
  <c r="V86" i="1" s="1"/>
  <c r="L86" i="1"/>
  <c r="Q85" i="1"/>
  <c r="V85" i="1" s="1"/>
  <c r="L85" i="1"/>
  <c r="Q84" i="1"/>
  <c r="L84" i="1"/>
  <c r="Q83" i="1"/>
  <c r="V83" i="1" s="1"/>
  <c r="L83" i="1"/>
  <c r="Q82" i="1"/>
  <c r="V82" i="1" s="1"/>
  <c r="L82" i="1"/>
  <c r="Q81" i="1"/>
  <c r="L81" i="1"/>
  <c r="Q80" i="1"/>
  <c r="V80" i="1" s="1"/>
  <c r="L80" i="1"/>
  <c r="Q79" i="1"/>
  <c r="L79" i="1"/>
  <c r="Q78" i="1"/>
  <c r="V78" i="1" s="1"/>
  <c r="L78" i="1"/>
  <c r="Q77" i="1"/>
  <c r="V77" i="1" s="1"/>
  <c r="L77" i="1"/>
  <c r="Q76" i="1"/>
  <c r="V76" i="1" s="1"/>
  <c r="L76" i="1"/>
  <c r="Q75" i="1"/>
  <c r="V75" i="1" s="1"/>
  <c r="L75" i="1"/>
  <c r="Q74" i="1"/>
  <c r="L74" i="1"/>
  <c r="F74" i="1"/>
  <c r="V74" i="1" s="1"/>
  <c r="Q73" i="1"/>
  <c r="V73" i="1" s="1"/>
  <c r="L73" i="1"/>
  <c r="Q72" i="1"/>
  <c r="L72" i="1"/>
  <c r="Q71" i="1"/>
  <c r="L71" i="1"/>
  <c r="Q70" i="1"/>
  <c r="R70" i="1" s="1"/>
  <c r="S70" i="1" s="1"/>
  <c r="L70" i="1"/>
  <c r="Q69" i="1"/>
  <c r="V69" i="1" s="1"/>
  <c r="L69" i="1"/>
  <c r="Q68" i="1"/>
  <c r="V68" i="1" s="1"/>
  <c r="L68" i="1"/>
  <c r="Q67" i="1"/>
  <c r="V67" i="1" s="1"/>
  <c r="L67" i="1"/>
  <c r="Q66" i="1"/>
  <c r="V66" i="1" s="1"/>
  <c r="L66" i="1"/>
  <c r="Q65" i="1"/>
  <c r="V65" i="1" s="1"/>
  <c r="L65" i="1"/>
  <c r="Q64" i="1"/>
  <c r="V64" i="1" s="1"/>
  <c r="L64" i="1"/>
  <c r="Q63" i="1"/>
  <c r="V63" i="1" s="1"/>
  <c r="L63" i="1"/>
  <c r="Q62" i="1"/>
  <c r="V62" i="1" s="1"/>
  <c r="L62" i="1"/>
  <c r="Q61" i="1"/>
  <c r="V61" i="1" s="1"/>
  <c r="L61" i="1"/>
  <c r="Q60" i="1"/>
  <c r="V60" i="1" s="1"/>
  <c r="L60" i="1"/>
  <c r="Q59" i="1"/>
  <c r="L59" i="1"/>
  <c r="Q58" i="1"/>
  <c r="V58" i="1" s="1"/>
  <c r="L58" i="1"/>
  <c r="Q57" i="1"/>
  <c r="V57" i="1" s="1"/>
  <c r="L57" i="1"/>
  <c r="Q56" i="1"/>
  <c r="V56" i="1" s="1"/>
  <c r="L56" i="1"/>
  <c r="Q55" i="1"/>
  <c r="V55" i="1" s="1"/>
  <c r="L55" i="1"/>
  <c r="Q54" i="1"/>
  <c r="V54" i="1" s="1"/>
  <c r="L54" i="1"/>
  <c r="Q53" i="1"/>
  <c r="V53" i="1" s="1"/>
  <c r="L53" i="1"/>
  <c r="Q52" i="1"/>
  <c r="L52" i="1"/>
  <c r="Q51" i="1"/>
  <c r="V51" i="1" s="1"/>
  <c r="L51" i="1"/>
  <c r="Q50" i="1"/>
  <c r="V50" i="1" s="1"/>
  <c r="L50" i="1"/>
  <c r="Q49" i="1"/>
  <c r="L49" i="1"/>
  <c r="Q48" i="1"/>
  <c r="V48" i="1" s="1"/>
  <c r="L48" i="1"/>
  <c r="L47" i="1"/>
  <c r="Q46" i="1"/>
  <c r="V46" i="1" s="1"/>
  <c r="L46" i="1"/>
  <c r="Q45" i="1"/>
  <c r="V45" i="1" s="1"/>
  <c r="L45" i="1"/>
  <c r="Q44" i="1"/>
  <c r="V44" i="1" s="1"/>
  <c r="L44" i="1"/>
  <c r="Q43" i="1"/>
  <c r="V43" i="1" s="1"/>
  <c r="L43" i="1"/>
  <c r="Q42" i="1"/>
  <c r="V42" i="1" s="1"/>
  <c r="L42" i="1"/>
  <c r="Q41" i="1"/>
  <c r="R41" i="1" s="1"/>
  <c r="S41" i="1" s="1"/>
  <c r="L41" i="1"/>
  <c r="Q40" i="1"/>
  <c r="L40" i="1"/>
  <c r="Q39" i="1"/>
  <c r="V39" i="1" s="1"/>
  <c r="L39" i="1"/>
  <c r="Q38" i="1"/>
  <c r="L38" i="1"/>
  <c r="Q37" i="1"/>
  <c r="L37" i="1"/>
  <c r="Q36" i="1"/>
  <c r="L36" i="1"/>
  <c r="Q35" i="1"/>
  <c r="V35" i="1" s="1"/>
  <c r="L35" i="1"/>
  <c r="Q34" i="1"/>
  <c r="V34" i="1" s="1"/>
  <c r="L34" i="1"/>
  <c r="Q33" i="1"/>
  <c r="V33" i="1" s="1"/>
  <c r="L33" i="1"/>
  <c r="Q32" i="1"/>
  <c r="V32" i="1" s="1"/>
  <c r="L32" i="1"/>
  <c r="V31" i="1"/>
  <c r="L31" i="1"/>
  <c r="Q30" i="1"/>
  <c r="V30" i="1" s="1"/>
  <c r="L30" i="1"/>
  <c r="Q29" i="1"/>
  <c r="V29" i="1" s="1"/>
  <c r="L29" i="1"/>
  <c r="Q28" i="1"/>
  <c r="V28" i="1" s="1"/>
  <c r="L28" i="1"/>
  <c r="Q27" i="1"/>
  <c r="V27" i="1" s="1"/>
  <c r="L27" i="1"/>
  <c r="Q26" i="1"/>
  <c r="V26" i="1" s="1"/>
  <c r="L26" i="1"/>
  <c r="Q25" i="1"/>
  <c r="V25" i="1" s="1"/>
  <c r="L25" i="1"/>
  <c r="Q24" i="1"/>
  <c r="V24" i="1" s="1"/>
  <c r="L24" i="1"/>
  <c r="Q23" i="1"/>
  <c r="V23" i="1" s="1"/>
  <c r="L23" i="1"/>
  <c r="Q22" i="1"/>
  <c r="V22" i="1" s="1"/>
  <c r="L22" i="1"/>
  <c r="Q21" i="1"/>
  <c r="V21" i="1" s="1"/>
  <c r="L21" i="1"/>
  <c r="Q20" i="1"/>
  <c r="V20" i="1" s="1"/>
  <c r="L20" i="1"/>
  <c r="Q19" i="1"/>
  <c r="V19" i="1" s="1"/>
  <c r="L19" i="1"/>
  <c r="L18" i="1"/>
  <c r="L17" i="1"/>
  <c r="V16" i="1"/>
  <c r="L16" i="1"/>
  <c r="Q15" i="1"/>
  <c r="V15" i="1" s="1"/>
  <c r="L15" i="1"/>
  <c r="Q14" i="1"/>
  <c r="V14" i="1" s="1"/>
  <c r="L14" i="1"/>
  <c r="Q13" i="1"/>
  <c r="V13" i="1" s="1"/>
  <c r="L13" i="1"/>
  <c r="Q12" i="1"/>
  <c r="V12" i="1" s="1"/>
  <c r="L12" i="1"/>
  <c r="Q11" i="1"/>
  <c r="V11" i="1" s="1"/>
  <c r="L11" i="1"/>
  <c r="Q10" i="1"/>
  <c r="V10" i="1" s="1"/>
  <c r="L10" i="1"/>
  <c r="Q9" i="1"/>
  <c r="V9" i="1" s="1"/>
  <c r="L9" i="1"/>
  <c r="Q8" i="1"/>
  <c r="V8" i="1" s="1"/>
  <c r="L8" i="1"/>
  <c r="Q7" i="1"/>
  <c r="V7" i="1" s="1"/>
  <c r="L7" i="1"/>
  <c r="Q6" i="1"/>
  <c r="V6" i="1" s="1"/>
  <c r="L6" i="1"/>
  <c r="AG5" i="1"/>
  <c r="AF5" i="1"/>
  <c r="AE5" i="1"/>
  <c r="AD5" i="1"/>
  <c r="AC5" i="1"/>
  <c r="AB5" i="1"/>
  <c r="AA5" i="1"/>
  <c r="Z5" i="1"/>
  <c r="Y5" i="1"/>
  <c r="X5" i="1"/>
  <c r="P5" i="1"/>
  <c r="O5" i="1"/>
  <c r="N5" i="1"/>
  <c r="M5" i="1"/>
  <c r="K5" i="1"/>
  <c r="E5" i="1"/>
  <c r="V70" i="1" l="1"/>
  <c r="AI70" i="1"/>
  <c r="W101" i="1"/>
  <c r="V101" i="1"/>
  <c r="W106" i="1"/>
  <c r="V108" i="1"/>
  <c r="AI108" i="1"/>
  <c r="V109" i="1"/>
  <c r="AI109" i="1"/>
  <c r="W110" i="1"/>
  <c r="V110" i="1"/>
  <c r="W36" i="1"/>
  <c r="V36" i="1"/>
  <c r="W37" i="1"/>
  <c r="V37" i="1"/>
  <c r="W38" i="1"/>
  <c r="V38" i="1"/>
  <c r="V41" i="1"/>
  <c r="AI41" i="1"/>
  <c r="W79" i="1"/>
  <c r="V79" i="1"/>
  <c r="W84" i="1"/>
  <c r="V84" i="1"/>
  <c r="W87" i="1"/>
  <c r="V87" i="1"/>
  <c r="W89" i="1"/>
  <c r="V89" i="1"/>
  <c r="W90" i="1"/>
  <c r="V90" i="1"/>
  <c r="R94" i="1"/>
  <c r="R95" i="1"/>
  <c r="R96" i="1"/>
  <c r="R99" i="1"/>
  <c r="R12" i="1"/>
  <c r="W74" i="1"/>
  <c r="W105" i="1"/>
  <c r="R92" i="1"/>
  <c r="L5" i="1"/>
  <c r="W27" i="1"/>
  <c r="R8" i="1"/>
  <c r="W11" i="1"/>
  <c r="W21" i="1"/>
  <c r="W31" i="1"/>
  <c r="R40" i="1"/>
  <c r="W47" i="1"/>
  <c r="R76" i="1"/>
  <c r="W80" i="1"/>
  <c r="W85" i="1"/>
  <c r="W91" i="1"/>
  <c r="W6" i="1"/>
  <c r="W13" i="1"/>
  <c r="R13" i="1"/>
  <c r="W19" i="1"/>
  <c r="W33" i="1"/>
  <c r="W39" i="1"/>
  <c r="R39" i="1"/>
  <c r="W45" i="1"/>
  <c r="R58" i="1"/>
  <c r="R71" i="1"/>
  <c r="W82" i="1"/>
  <c r="R86" i="1"/>
  <c r="W93" i="1"/>
  <c r="F5" i="1"/>
  <c r="R93" i="1"/>
  <c r="W99" i="1"/>
  <c r="R106" i="1"/>
  <c r="W108" i="1"/>
  <c r="W7" i="1"/>
  <c r="W9" i="1"/>
  <c r="R10" i="1"/>
  <c r="W15" i="1"/>
  <c r="R15" i="1"/>
  <c r="W17" i="1"/>
  <c r="W23" i="1"/>
  <c r="W26" i="1"/>
  <c r="R26" i="1"/>
  <c r="W29" i="1"/>
  <c r="W34" i="1"/>
  <c r="W41" i="1"/>
  <c r="W43" i="1"/>
  <c r="W49" i="1"/>
  <c r="R49" i="1"/>
  <c r="W52" i="1"/>
  <c r="R52" i="1"/>
  <c r="W54" i="1"/>
  <c r="W56" i="1"/>
  <c r="W59" i="1"/>
  <c r="R59" i="1"/>
  <c r="S59" i="1" s="1"/>
  <c r="W62" i="1"/>
  <c r="W64" i="1"/>
  <c r="R64" i="1"/>
  <c r="W66" i="1"/>
  <c r="R66" i="1"/>
  <c r="W68" i="1"/>
  <c r="W70" i="1"/>
  <c r="W72" i="1"/>
  <c r="R72" i="1"/>
  <c r="W77" i="1"/>
  <c r="R81" i="1"/>
  <c r="W88" i="1"/>
  <c r="W95" i="1"/>
  <c r="W97" i="1"/>
  <c r="R100" i="1"/>
  <c r="W102" i="1"/>
  <c r="W104" i="1"/>
  <c r="R105" i="1"/>
  <c r="W35" i="1"/>
  <c r="W51" i="1"/>
  <c r="W53" i="1"/>
  <c r="W55" i="1"/>
  <c r="W57" i="1"/>
  <c r="W61" i="1"/>
  <c r="W63" i="1"/>
  <c r="W65" i="1"/>
  <c r="W67" i="1"/>
  <c r="W69" i="1"/>
  <c r="W71" i="1"/>
  <c r="W73" i="1"/>
  <c r="W75" i="1"/>
  <c r="W81" i="1"/>
  <c r="W83" i="1"/>
  <c r="W103" i="1"/>
  <c r="W107" i="1"/>
  <c r="W109" i="1"/>
  <c r="W8" i="1"/>
  <c r="W10" i="1"/>
  <c r="W12" i="1"/>
  <c r="W14" i="1"/>
  <c r="W16" i="1"/>
  <c r="W18" i="1"/>
  <c r="W20" i="1"/>
  <c r="W22" i="1"/>
  <c r="W24" i="1"/>
  <c r="W25" i="1"/>
  <c r="Q5" i="1"/>
  <c r="W28" i="1"/>
  <c r="W30" i="1"/>
  <c r="W32" i="1"/>
  <c r="W40" i="1"/>
  <c r="W42" i="1"/>
  <c r="W44" i="1"/>
  <c r="W46" i="1"/>
  <c r="W48" i="1"/>
  <c r="W50" i="1"/>
  <c r="W58" i="1"/>
  <c r="W60" i="1"/>
  <c r="W76" i="1"/>
  <c r="W78" i="1"/>
  <c r="W86" i="1"/>
  <c r="W92" i="1"/>
  <c r="W94" i="1"/>
  <c r="W96" i="1"/>
  <c r="W98" i="1"/>
  <c r="W100" i="1"/>
  <c r="V59" i="1" l="1"/>
  <c r="AI59" i="1"/>
  <c r="S100" i="1"/>
  <c r="S106" i="1"/>
  <c r="S71" i="1"/>
  <c r="S81" i="1"/>
  <c r="S72" i="1"/>
  <c r="S52" i="1"/>
  <c r="S49" i="1"/>
  <c r="V49" i="1" s="1"/>
  <c r="S93" i="1"/>
  <c r="S40" i="1"/>
  <c r="V40" i="1" s="1"/>
  <c r="R5" i="1"/>
  <c r="AI93" i="1" l="1"/>
  <c r="V93" i="1"/>
  <c r="V52" i="1"/>
  <c r="AI52" i="1"/>
  <c r="V81" i="1"/>
  <c r="AI81" i="1"/>
  <c r="AI106" i="1"/>
  <c r="V106" i="1"/>
  <c r="AI40" i="1"/>
  <c r="AI49" i="1"/>
  <c r="V72" i="1"/>
  <c r="AI72" i="1"/>
  <c r="AI71" i="1"/>
  <c r="V71" i="1"/>
  <c r="V100" i="1"/>
  <c r="AI100" i="1"/>
  <c r="S5" i="1"/>
  <c r="AI5" i="1" l="1"/>
</calcChain>
</file>

<file path=xl/sharedStrings.xml><?xml version="1.0" encoding="utf-8"?>
<sst xmlns="http://schemas.openxmlformats.org/spreadsheetml/2006/main" count="486" uniqueCount="196">
  <si>
    <t>Номенклатура</t>
  </si>
  <si>
    <t>Ед. изм.</t>
  </si>
  <si>
    <t>Начальный остаток</t>
  </si>
  <si>
    <t>Приход</t>
  </si>
  <si>
    <t>Расход</t>
  </si>
  <si>
    <t>Конечный остаток</t>
  </si>
  <si>
    <t>крат</t>
  </si>
  <si>
    <t>сроки</t>
  </si>
  <si>
    <t>метка</t>
  </si>
  <si>
    <t>метка2</t>
  </si>
  <si>
    <t>заяв</t>
  </si>
  <si>
    <t>разн</t>
  </si>
  <si>
    <t>без опта</t>
  </si>
  <si>
    <t>опт</t>
  </si>
  <si>
    <t>заказ в пути</t>
  </si>
  <si>
    <t>ср нов</t>
  </si>
  <si>
    <t>расчет</t>
  </si>
  <si>
    <t>кон ост</t>
  </si>
  <si>
    <t>факт</t>
  </si>
  <si>
    <t>ср</t>
  </si>
  <si>
    <t>комментарии</t>
  </si>
  <si>
    <t>вес</t>
  </si>
  <si>
    <t>25,08,</t>
  </si>
  <si>
    <t>01,09,</t>
  </si>
  <si>
    <t>31,08,</t>
  </si>
  <si>
    <t>24,08,</t>
  </si>
  <si>
    <t>17,08,</t>
  </si>
  <si>
    <t>10,08,</t>
  </si>
  <si>
    <t>03,08,</t>
  </si>
  <si>
    <t>27,07,</t>
  </si>
  <si>
    <t>20,07,</t>
  </si>
  <si>
    <t>13,07,</t>
  </si>
  <si>
    <t>06,07,</t>
  </si>
  <si>
    <t>29,06,</t>
  </si>
  <si>
    <t>22,06,</t>
  </si>
  <si>
    <t>0614 ПРАЗДНИЧНАЯ с/к в/с дек.спец.мгс  Останкино</t>
  </si>
  <si>
    <t>кг</t>
  </si>
  <si>
    <t>не в матрице</t>
  </si>
  <si>
    <t>нужно увеличить продажи!!! / Грация</t>
  </si>
  <si>
    <t>3215 ВЕТЧ.МЯСНАЯ Папа может п/о 0.4кг 8шт.    ОСТАНКИНО</t>
  </si>
  <si>
    <t>шт</t>
  </si>
  <si>
    <t>матрица</t>
  </si>
  <si>
    <t>3287 САЛЯМИ ИТАЛЬЯНСКАЯ с/к в/у ОСТАНКИНО</t>
  </si>
  <si>
    <t>плюсом 5 дней</t>
  </si>
  <si>
    <t>3986 Ароматная с/к в/у 1/250 ОСТАНКИНО</t>
  </si>
  <si>
    <t>4063 МЯСНАЯ Папа может вар п/о_Л   ОСТАНКИНО</t>
  </si>
  <si>
    <t>4117 ЭКСТРА Папа может с/к в/у_Л   ОСТАНКИНО</t>
  </si>
  <si>
    <t>4574 Мясная со шпиком Папа может вар п/о ОСТАНКИНО</t>
  </si>
  <si>
    <t>4813 ФИЛЕЙНАЯ Папа может вар п/о_Л   ОСТАНКИНО</t>
  </si>
  <si>
    <t>4993 САЛЯМИ ИТАЛЬЯНСКАЯ с/к в/у 1/250*8_120c ОСТАНКИНО</t>
  </si>
  <si>
    <t>5452 ВЕТЧ.МЯСНАЯ Папа может п/о    ОСТАНКИНО</t>
  </si>
  <si>
    <t>5483 ЭКСТРА Папа может с/к в/у 1/250 8шт.   ОСТАНКИНО</t>
  </si>
  <si>
    <t>5495 ВЕТЧ.С ИНДЕЙКОЙ Папа может п/о 400*6  Останкино</t>
  </si>
  <si>
    <t>5544 Сервелат Финский в/к в/у_45с НОВАЯ ОСТАНКИНО</t>
  </si>
  <si>
    <t>5708 ПОСОЛЬСКАЯ Папа может с/к в/у ОСТАНКИНО</t>
  </si>
  <si>
    <t>5819 Сосиски Папа может 400г Мясные  ОСТАНКИНО</t>
  </si>
  <si>
    <t>5851 ЭКСТРА Папа может вар п/о   ОСТАНКИНО</t>
  </si>
  <si>
    <t>5931 ОХОТНИЧЬЯ Папа может с/к в/у 1/220 8шт.   ОСТАНКИНО</t>
  </si>
  <si>
    <t>6008 САЛО СОЛЕНОЕ С ЧЕРНЫМ ПЕРЦЕМ мл/к в/у ОСТАНКИНО</t>
  </si>
  <si>
    <t>58кг списано (11,08,26)</t>
  </si>
  <si>
    <t>6025 ВЕТЧ.ФИРМЕННАЯ С ИНДЕЙКОЙ п/о   ОСТАНКИНО</t>
  </si>
  <si>
    <t>6220 ГОВЯЖЬЯ папа может вар п/о  Останкино</t>
  </si>
  <si>
    <t>6221 НЕОПОЛИТАНСКИЙ ДУЭТ с/к с/н мгс 1/90  Останкино</t>
  </si>
  <si>
    <t>6222 ИТАЛЬЯНСКОЕ АССОРТИ с/в с/н мгс 1/90 ОСТАНКИНО</t>
  </si>
  <si>
    <t>6228 МЯСНОЕ АССОРТИ к/з с/н мгс 1/90 10шт  Останкино</t>
  </si>
  <si>
    <t>6279 КОРЕЙКА ПО-ОСТ.к/в в/с с/н в/у 1/150_45с  Останкино</t>
  </si>
  <si>
    <t>нужно увеличить продажи!!!</t>
  </si>
  <si>
    <t>6303 Мясные Папа может сос п/о мгс 1,5*3  Останкино</t>
  </si>
  <si>
    <t>6325 ДОКТОРСКАЯ ПРЕМИУМ вар п/о 0.4кг 8шт.  ОСТАНКИНО</t>
  </si>
  <si>
    <t>6333 МЯСНАЯ Папа может вар п/о 0.4кг 8шт.  ОСТАНКИНО</t>
  </si>
  <si>
    <t>6364 СЕРВЕЛАТ ЗЕРНИСТЫЙ ПМ в/к в/у 0.35кг  ОСТАНКИНО</t>
  </si>
  <si>
    <t>7154 СЕРВЕЛАТ ЗЕРНИСТЫЙ ПМ в/к в/у 0,35кг_50с  Останкино</t>
  </si>
  <si>
    <t>6392 ФИЛЕЙНАЯ Папа может вар п/о 0,4кг  ОСТАНКИНО</t>
  </si>
  <si>
    <t>6411 ВЕТЧ.РУБЛЕНАЯ ПМ в/у срез 0.3кг 6шт.  ОСТАНКИНО</t>
  </si>
  <si>
    <t>нужно увеличить продажи!!! / новинка</t>
  </si>
  <si>
    <t>6453 ЭКСТРА Папа может с/к с/н в/у 1/100 14шт.   ОСТАНКИНО</t>
  </si>
  <si>
    <t>7616 ЭКСТРА Папа может с/к с/н в/у 1/100_  ОСТАНКИНО</t>
  </si>
  <si>
    <t>ротация на 7616</t>
  </si>
  <si>
    <t>6454 АРОМАТНАЯ с/к с/н в/у 1/100 10шт.  ОСТАНКИНО</t>
  </si>
  <si>
    <t>7613 АРОМАТНАЯ с/к с/н в/у 1/100 10шт_Л10  ОСТАНКИНО</t>
  </si>
  <si>
    <t>ротация на 7613</t>
  </si>
  <si>
    <t>6470 ВЕТЧ.МРАМОРНАЯ в/у_45с  ОСТАНКИНО</t>
  </si>
  <si>
    <t>6495 ВЕТЧ.МРАМОРНАЯ в/у срез 0,3кг 6шт_45с  Останкино</t>
  </si>
  <si>
    <t>6498 МОЛОЧНАЯ Папа может вар п/о  ОСТАНКИНО</t>
  </si>
  <si>
    <t>6527 ШПИКАЧКИ СОЧНЫЕ ПМ сар б/о мгс 1*3 45с ОСТАНКИНО</t>
  </si>
  <si>
    <t>6550 МЯСНЫЕ Папа может сар б/о мгс 1*3 О 45с  Останкино</t>
  </si>
  <si>
    <t>6608 С ГОВЯДИНОЙ ОРИГИН. сар б/о мгс 1*3_45с  ОСТАНКИНО</t>
  </si>
  <si>
    <t>6616 МОЛОЧНЫЕ КЛАССИЧЕСКИЕ сос п/о в/у 0,3 кг  Останкино</t>
  </si>
  <si>
    <t>6620 РЕБРЫШКИ к/в в/у_30с  Останкино</t>
  </si>
  <si>
    <t>с 19,08,26 заказываем</t>
  </si>
  <si>
    <t>6661 СОЧНЫЙ ГРИЛЬ ПМ сос п/о мгс 1,5*4_Маяк Останкино</t>
  </si>
  <si>
    <t>6697 СЕРВЕЛАТ ФИНСКИЙ ПМ в/к в/у 0,35кг 8шт  ОСТАНКИНО</t>
  </si>
  <si>
    <t>6713 СОЧНЫЙ ГРИЛЬ ПМ сос п/о мгс 0,41кг 8 шт.  ОСТАНКИНО</t>
  </si>
  <si>
    <t>6724 МОЛОЧНЫЕ ПМ сос п/о мгс 0,41кг 10шт  Останкино</t>
  </si>
  <si>
    <t>6761 МОЛОЧНЫЕ ГОСТ сос ц/о мгс 1*4  Останкино</t>
  </si>
  <si>
    <t>6765 РУБЛЕНЫЕ сос ц/о мгс 0,36кг 6шт  Останкино</t>
  </si>
  <si>
    <t>08,08,26 списано 35 шт.</t>
  </si>
  <si>
    <t>6787 СЕРВЕЛАТ КРЕМЛЕВСКИЙ в/к в/у 0,33кг 8шт  Останкино</t>
  </si>
  <si>
    <t>55 шт в уценку (06,07,26)</t>
  </si>
  <si>
    <t>6797 С ИНДЕЙКОЙ Папа может вар п/о 0,4кг 8шт. ОСТАНКИНО</t>
  </si>
  <si>
    <t>6807 СЕРВЕЛАТ ЕВРОПЕЙСКИЙ в/к в/у 0,33кг 8шт  Останкино</t>
  </si>
  <si>
    <t>27шт списано (11,08,26)</t>
  </si>
  <si>
    <t>6829  МОЛОЧНЫЕ КЛАССИЧЕСКИЕ сос п/о мгс 2*4 С  Останккино</t>
  </si>
  <si>
    <t>6837 ФИЛЕЙНЫЕ Папа Может сос ц/о мгс 0,4кг  Останкино</t>
  </si>
  <si>
    <t>6861 ДОМАШНИЙ РЕЦЕПТ Коровино вар п/о  Останкино</t>
  </si>
  <si>
    <t>нет потребности</t>
  </si>
  <si>
    <t>6866 ВЕТЧ.НЕЖНАЯ Коровино п/о_Маяк  Останкино</t>
  </si>
  <si>
    <t>6925 ВЕТЧ.КЛАССИЧЕСКАЯ в/у 0,6кг 8шт. ОСТАНКИНО</t>
  </si>
  <si>
    <t>6937 САЛЯМИ Папа может с/к в/у 1/250 8шт  Останкино</t>
  </si>
  <si>
    <t>6967 БУРГУНДИЯ Папа может с/к в/у 1/250 8шт  Останкино</t>
  </si>
  <si>
    <t>7001 КЛАССИЧЕСКИЕ Папа может сар б/о мгс 1*3  Останкино</t>
  </si>
  <si>
    <t>7040 С ИНДЕЙКОЙ ПМ сос ц/о в/у 1/270 8шт.  ОСТАНКИНО</t>
  </si>
  <si>
    <t>новинка</t>
  </si>
  <si>
    <t>7059 ШПИКАЧКИ СОЧНЫЕ С БЕК. п/о мгс 0,3кг 60с ОСТАНКИНО</t>
  </si>
  <si>
    <t>7066 СОЧНЫЕ ПМ сос п/о мгс 0,41кг 10шт 50с  Останкино</t>
  </si>
  <si>
    <t>7070 СОЧНЫЕ ПМ сос п/о 1,5*4_А_50с  Останкино</t>
  </si>
  <si>
    <t>7073 МОЛОЧ.ПРЕМИУМ ПМ сос п/о в/у 1/350_50с  Останкино</t>
  </si>
  <si>
    <t>7075 МОЛОЧ.ПРЕМИУМ ПМ сос п/о мгс 1,5*4_О_50с  Останкино</t>
  </si>
  <si>
    <t>7080 СЛИВОЧНЫЕ ПМ сос п/о мгс 0,41кг 10шт 50с  Останкино</t>
  </si>
  <si>
    <t>7083 СЛИВОЧНЫЕ ПМ сос п/о мгс 1.5*4_А_50с  ОСТАНКИНО</t>
  </si>
  <si>
    <t>7090 СВИНИНА ПО-ДОМ.к/в мл/к в/у 0,3кг_50с  Останкино</t>
  </si>
  <si>
    <t>7103 БЕКОН Останкино с/к с/н в/у 1/180_50с  Останкино</t>
  </si>
  <si>
    <t>7149 БАЛЫКОВАЯ Коровино п/к в/у 0,84кг_50с  Останкино</t>
  </si>
  <si>
    <t>7156 СЕРВЕЛАТ КОПЧ.НА БУКЕ в/к в/у 0.35кг_50с</t>
  </si>
  <si>
    <t>7157 СЕРВЕЛАТ ЗЕРНИСТЫЙ ПМ в/к в/у_50с  Останкино</t>
  </si>
  <si>
    <t>7166 СЕРВЕЛАТ ОХОТНИЧИЙ ПМ в/к в/у_50с  Останкино</t>
  </si>
  <si>
    <t>7169 СЕРВЕЛАТ ОХОТНИЧИЙ ПМ в/к в/у 0,35кг_50с  Останкино</t>
  </si>
  <si>
    <t>7177 ЧЕСНОЧНАЯ ПМ п/к в/у 0,35кг 8шт_50с  Останкино</t>
  </si>
  <si>
    <t>7187 ГРУДИНКА ПРЕМИУМ к/в мл/к в/у 0,3кг_50с  Останкино</t>
  </si>
  <si>
    <t>7231 КЛАССИЧЕСКАЯ ПМ вар п/о 0,3кг 8 шт_209к  Останкино</t>
  </si>
  <si>
    <t>7232 БОЯNСКАЯ ПМ п/к в/у 0,28кг 8шт_209к  Останкино</t>
  </si>
  <si>
    <t>7236 СЕРВЕЛАТ КАРЕЛЬСКИЙ в/к в/у 0,28кг_209к  Останкино</t>
  </si>
  <si>
    <t>7238 СЕРВЕЛАТ ОРЕХОВЫЙ в/к в/у 0,31кг_209к  Останкино</t>
  </si>
  <si>
    <t>7241 САЛЯМИ Папа может п/к в/у 0,28кг ОСТАНКИНО</t>
  </si>
  <si>
    <t>7255 МЯСНЫЕ С ГОВЯД.ПМ сос п/о мгс 0.4кг 6шт.  ОСТАНКИНО</t>
  </si>
  <si>
    <t>7284 ДЛЯ ДЕТЕЙ сос п/о мгс 0,33кг 6шт  Останкино</t>
  </si>
  <si>
    <t>7461 ДЛЯ ДЕТЕЙ Папа Может сос п/о мгс 0,33кг ОСТАНКИНО</t>
  </si>
  <si>
    <t>7299 НАБОР ДЛЯ ПИЦЦЫ Папа Может с/к в/у  ОСТАНКИНО</t>
  </si>
  <si>
    <t>7332 БОЯРСКАЯ ПМ п/к в/у 0,28кг ОСТАНКИНО</t>
  </si>
  <si>
    <t>7334 МЯСНАЯ СО ШПИКОМ ПМ вар п/о 0.4кг 8шт.</t>
  </si>
  <si>
    <t>7382  САЛЯМИ МЕЛКОЗЕРНЕНАЯ с/к в/у1/120 8шт.  ОСТАНКИНО</t>
  </si>
  <si>
    <t>7386 БАРСЕЛОНА ПМ с/к в/у 1/150  ОСТАНКИНО</t>
  </si>
  <si>
    <t>7485 РИЕТ МЯСНОЙ С ГРИБАМИ ПМ п/о 1/150  ОСТАНКИНО</t>
  </si>
  <si>
    <t>новинка / 100шт под ТК (Титенок просила 150шт 12,08,26)</t>
  </si>
  <si>
    <t>7513 ВОСКРЕСЕНСКАЯ ВЯЛЕНАЯ в/к в/у срез 1/260  ОСТАНКИНО</t>
  </si>
  <si>
    <t>новинка / 80шт под ТК (Титенок просила 100шт 12,08,26)</t>
  </si>
  <si>
    <t>7516 НОВОМОСКОВСКАЯ в/к в/у срез 0.31кг  ОСТАНКИНО</t>
  </si>
  <si>
    <t>7523 ГОВЯЖЬЯ Папа Может вар п/о 0,4кг 6шт. ОСТАНКИНО</t>
  </si>
  <si>
    <t>7539 ДОКТОРСКАЯ ГОСТ вар п/о 0,35кг ОСТАНКИНО</t>
  </si>
  <si>
    <t>34шт списание (11,08,26)</t>
  </si>
  <si>
    <t>7562 КРАКОВСКАЯ ГОСТ Останкино п/к н/о мгс  ОСТАНКИНО</t>
  </si>
  <si>
    <t>новинка / 80кг под ТК (Титенок просила 100кг 12,08,26)</t>
  </si>
  <si>
    <t>7564 Балыковая в/к в/у Останкино Вес  ОСТАНКИНО</t>
  </si>
  <si>
    <t>7601 ДЛЯ ДЕТЕЙ Папа может сос п/о мгс 0.264кг  ОСТАНКИНО</t>
  </si>
  <si>
    <t>нужно увеличить продажи!!! / помощь заводу</t>
  </si>
  <si>
    <t>7603 БАЛЫКОВАЯ в/к в/у 0.33кг 8шт. ОСТАНКИНО</t>
  </si>
  <si>
    <t>7608 СЕРВЕЛАТ ШВЕЙЦАРСК.в/к с/н в/у 1/100_Л11  ОСТАНКИНО</t>
  </si>
  <si>
    <t>7612 БАЛЫК с/к с/н в/у 1/100 10шт_  ОСТАНКИНО</t>
  </si>
  <si>
    <t>вместо 7288</t>
  </si>
  <si>
    <t>вместо 6454</t>
  </si>
  <si>
    <t>вместо 6453</t>
  </si>
  <si>
    <t>7632 ЭКСТРА Папа может вар п/о 0.4кг 8шт_195к  ОСТАНКИНО</t>
  </si>
  <si>
    <t>вместо 6353</t>
  </si>
  <si>
    <t>7647 ХОЧУ ВЕТЧ.ИЗ СВ.ОТРУБА с/н мгс 1/100_Л11  ОСТАНКИНО</t>
  </si>
  <si>
    <t>7651 ХОЧУ ВЕТЧ.МРАМОР. ПМ с/н мгс 1/100_Л11  ОСТАНКИНО</t>
  </si>
  <si>
    <t>8014 ДОКТОРСКАЯ ПРЕМИУМ вар п/о(п)</t>
  </si>
  <si>
    <t>нужно увеличить продажи / плюсом 5 дней</t>
  </si>
  <si>
    <r>
      <rPr>
        <b/>
        <sz val="10"/>
        <color rgb="FFFF0000"/>
        <rFont val="Arial"/>
        <family val="2"/>
        <charset val="204"/>
      </rPr>
      <t>нужно увеличить продажи!!!</t>
    </r>
    <r>
      <rPr>
        <sz val="10"/>
        <rFont val="Arial"/>
        <family val="2"/>
        <charset val="204"/>
      </rPr>
      <t xml:space="preserve"> / 192шт списано (11,08,26)</t>
    </r>
  </si>
  <si>
    <r>
      <rPr>
        <b/>
        <sz val="10"/>
        <color rgb="FFFF0000"/>
        <rFont val="Arial"/>
        <family val="2"/>
        <charset val="204"/>
      </rPr>
      <t>нужно увеличить продажи!!!</t>
    </r>
    <r>
      <rPr>
        <sz val="10"/>
        <rFont val="Arial"/>
        <family val="2"/>
        <charset val="204"/>
      </rPr>
      <t xml:space="preserve"> / 268шт списание (20,08,26)</t>
    </r>
  </si>
  <si>
    <r>
      <rPr>
        <b/>
        <sz val="10"/>
        <color rgb="FFFF0000"/>
        <rFont val="Arial"/>
        <family val="2"/>
        <charset val="204"/>
      </rPr>
      <t>нужно увеличить продажи!!!</t>
    </r>
    <r>
      <rPr>
        <sz val="10"/>
        <rFont val="Arial"/>
        <family val="2"/>
        <charset val="204"/>
      </rPr>
      <t xml:space="preserve"> / новинка / 100кг под ТК (Титенок просила 200кг 12,08,26)</t>
    </r>
  </si>
  <si>
    <r>
      <rPr>
        <b/>
        <sz val="10"/>
        <color rgb="FFFF0000"/>
        <rFont val="Arial"/>
        <family val="2"/>
        <charset val="204"/>
      </rPr>
      <t>нужно увеличить продажи!!!</t>
    </r>
    <r>
      <rPr>
        <sz val="10"/>
        <rFont val="Arial"/>
        <family val="2"/>
        <charset val="204"/>
      </rPr>
      <t xml:space="preserve"> / 374шт списание (11,08,26)</t>
    </r>
  </si>
  <si>
    <r>
      <rPr>
        <b/>
        <sz val="10"/>
        <color rgb="FFFF0000"/>
        <rFont val="Arial"/>
        <family val="2"/>
        <charset val="204"/>
      </rPr>
      <t>нужно увеличить продажи!!!</t>
    </r>
    <r>
      <rPr>
        <sz val="10"/>
        <rFont val="Arial"/>
        <family val="2"/>
        <charset val="204"/>
      </rPr>
      <t xml:space="preserve"> / вместо 6459</t>
    </r>
  </si>
  <si>
    <t>вывод</t>
  </si>
  <si>
    <t>ЛЮБИТЕЛЬСКАЯ ОСТАНКИНСКАЯ вар ц/о в/у</t>
  </si>
  <si>
    <t>ТЕЛЯЧЬЯ ГОСТ Останкино вар н/о в/у</t>
  </si>
  <si>
    <t>КАРБОНAД ДОМАШНИЙ ПМ к/в кр/к в/у</t>
  </si>
  <si>
    <t>ПРАЗДНИЧНАЯ с/к в/с дек.спец.мгс</t>
  </si>
  <si>
    <t>БРАУНШВЕЙГСКАЯ ГОСТ с/к в/у 1/220 8шт.</t>
  </si>
  <si>
    <t>КРАКОВСКАЯ ГОСТ п/к н/о мгс 0.3кг</t>
  </si>
  <si>
    <t>САЛЯМИ ФИНСКАЯ Папа может с/к в/у 1/150</t>
  </si>
  <si>
    <t>БАРСЕЛОНА ПМ с/к в/у 1/150</t>
  </si>
  <si>
    <t>КОНСЕРВЫ МЯС.ГОВЯДИНА ТУШ. В/С 338г_ЧЗ</t>
  </si>
  <si>
    <t>КОНСЕРВЫ МЯС.СВИНИНА ТУШ. В/С 325г_ЧЗ</t>
  </si>
  <si>
    <t>7143 БРАУНШВЕЙГСКАЯ ГОСТ с/к в/у 1/220 8шт.</t>
  </si>
  <si>
    <t>7710 КРАКОВСКАЯ ГОСТ п/к н/о мгс 0.3кг</t>
  </si>
  <si>
    <t>7456 САЛЯМИ ФИНСКАЯ Папа может с/к в/у 1/150</t>
  </si>
  <si>
    <t>7344 КОНСЕРВЫ МЯС.ГОВЯДИНА ТУШ. В/С 338г_ЧЗ</t>
  </si>
  <si>
    <t>7345 КОНСЕРВЫ МЯС.СВИНИНА ТУШ. В/С 325г_ЧЗ</t>
  </si>
  <si>
    <t>новинка / нужно увеличить продажи!!! / Грация</t>
  </si>
  <si>
    <t>7514 ЛЮБИТЕЛЬСКАЯ ОСТАНКИНСКАЯ вар п/о в/у  ОСТАНКИНО</t>
  </si>
  <si>
    <t>7518 ТЕЛЯЧЬЯ ГОСТ Останкино вар п/о в/у  ОСТАНКИНО</t>
  </si>
  <si>
    <t>6929 КАРБОНАД ДОМАШНИЙ ПМ к/в кр/к в/у  ОСТАНКИНО</t>
  </si>
  <si>
    <t>заказ</t>
  </si>
  <si>
    <t>08,09,</t>
  </si>
  <si>
    <t>ТК</t>
  </si>
  <si>
    <t>08,09,доз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</si>
</sst>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 ;[Red]\-0\ "/>
  </numFmts>
  <fonts count="8" x14ac:knownFonts="1">
    <font>
      <sz val="11"/>
      <color theme="1"/>
      <name val="Calibri"/>
      <family val="2"/>
      <scheme val="minor"/>
    </font>
    <font>
      <sz val="10"/>
      <name val="Arial"/>
      <family val="2"/>
      <charset val="204"/>
    </font>
    <font>
      <b/>
      <sz val="11"/>
      <name val="Calibri"/>
      <family val="2"/>
      <charset val="204"/>
    </font>
    <font>
      <b/>
      <sz val="11"/>
      <color rgb="FFFF0000"/>
      <name val="Calibri"/>
      <family val="2"/>
      <charset val="204"/>
    </font>
    <font>
      <sz val="10"/>
      <name val="Arial"/>
      <family val="2"/>
      <charset val="204"/>
    </font>
    <font>
      <b/>
      <sz val="10"/>
      <color rgb="FFFF0000"/>
      <name val="Arial"/>
      <family val="2"/>
      <charset val="204"/>
    </font>
    <font>
      <sz val="11"/>
      <color rgb="FFFF0000"/>
      <name val="Calibri"/>
      <family val="2"/>
      <charset val="204"/>
    </font>
    <font>
      <sz val="12"/>
      <color theme="1"/>
      <name val="Times New Roman"/>
      <family val="1"/>
      <charset val="204"/>
    </font>
  </fonts>
  <fills count="9">
    <fill>
      <patternFill patternType="none"/>
    </fill>
    <fill>
      <patternFill patternType="gray125"/>
    </fill>
    <fill>
      <patternFill patternType="solid">
        <fgColor rgb="FFFFF4C5"/>
      </patternFill>
    </fill>
    <fill>
      <patternFill patternType="solid">
        <fgColor rgb="FF758CE0"/>
      </patternFill>
    </fill>
    <fill>
      <patternFill patternType="solid">
        <fgColor theme="0" tint="-0.14999847407452621"/>
        <bgColor indexed="64"/>
      </patternFill>
    </fill>
    <fill>
      <patternFill patternType="solid">
        <fgColor rgb="FFFFFF00"/>
        <bgColor indexed="64"/>
      </patternFill>
    </fill>
    <fill>
      <patternFill patternType="solid">
        <fgColor rgb="FFFFFF00"/>
        <bgColor rgb="FFFFFF00"/>
      </patternFill>
    </fill>
    <fill>
      <patternFill patternType="solid">
        <fgColor rgb="FF92D050"/>
        <bgColor indexed="64"/>
      </patternFill>
    </fill>
    <fill>
      <patternFill patternType="solid">
        <fgColor theme="6" tint="0.39997558519241921"/>
        <bgColor indexed="64"/>
      </patternFill>
    </fill>
  </fills>
  <borders count="7">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2">
    <xf numFmtId="0" fontId="0" fillId="0" borderId="1"/>
    <xf numFmtId="0" fontId="1" fillId="0" borderId="1"/>
  </cellStyleXfs>
  <cellXfs count="38">
    <xf numFmtId="0" fontId="0" fillId="0" borderId="0" xfId="0" applyBorder="1"/>
    <xf numFmtId="164" fontId="2" fillId="2" borderId="1" xfId="1" applyNumberFormat="1" applyFont="1" applyFill="1"/>
    <xf numFmtId="164" fontId="3" fillId="2" borderId="1" xfId="1" applyNumberFormat="1" applyFont="1" applyFill="1"/>
    <xf numFmtId="164" fontId="1" fillId="3" borderId="1" xfId="1" applyNumberFormat="1" applyFill="1"/>
    <xf numFmtId="164" fontId="1" fillId="0" borderId="2" xfId="1" applyNumberFormat="1" applyBorder="1"/>
    <xf numFmtId="2" fontId="0" fillId="0" borderId="0" xfId="0" applyNumberFormat="1" applyBorder="1"/>
    <xf numFmtId="2" fontId="1" fillId="0" borderId="1" xfId="1" applyNumberFormat="1"/>
    <xf numFmtId="2" fontId="2" fillId="2" borderId="1" xfId="1" applyNumberFormat="1" applyFont="1" applyFill="1"/>
    <xf numFmtId="164" fontId="1" fillId="4" borderId="1" xfId="1" applyNumberFormat="1" applyFill="1"/>
    <xf numFmtId="2" fontId="1" fillId="4" borderId="1" xfId="1" applyNumberFormat="1" applyFill="1"/>
    <xf numFmtId="164" fontId="1" fillId="4" borderId="2" xfId="1" applyNumberFormat="1" applyFill="1" applyBorder="1"/>
    <xf numFmtId="164" fontId="4" fillId="5" borderId="1" xfId="1" applyNumberFormat="1" applyFont="1" applyFill="1"/>
    <xf numFmtId="164" fontId="5" fillId="5" borderId="1" xfId="1" applyNumberFormat="1" applyFont="1" applyFill="1"/>
    <xf numFmtId="164" fontId="1" fillId="0" borderId="1" xfId="1" applyNumberFormat="1"/>
    <xf numFmtId="164" fontId="6" fillId="6" borderId="1" xfId="1" applyNumberFormat="1" applyFont="1" applyFill="1"/>
    <xf numFmtId="164" fontId="1" fillId="5" borderId="1" xfId="1" applyNumberFormat="1" applyFill="1"/>
    <xf numFmtId="0" fontId="7" fillId="0" borderId="3" xfId="0" applyFont="1" applyBorder="1" applyAlignment="1">
      <alignment horizontal="right" vertical="center"/>
    </xf>
    <xf numFmtId="0" fontId="7" fillId="0" borderId="4" xfId="0" applyFont="1" applyBorder="1" applyAlignment="1">
      <alignment vertical="center"/>
    </xf>
    <xf numFmtId="0" fontId="7" fillId="0" borderId="5" xfId="0" applyFont="1" applyBorder="1" applyAlignment="1">
      <alignment horizontal="right" vertical="center"/>
    </xf>
    <xf numFmtId="0" fontId="7" fillId="0" borderId="6" xfId="0" applyFont="1" applyBorder="1" applyAlignment="1">
      <alignment vertical="center"/>
    </xf>
    <xf numFmtId="1" fontId="7" fillId="0" borderId="4" xfId="0" applyNumberFormat="1" applyFont="1" applyBorder="1" applyAlignment="1">
      <alignment horizontal="right" vertical="center"/>
    </xf>
    <xf numFmtId="1" fontId="7" fillId="0" borderId="6" xfId="0" applyNumberFormat="1" applyFont="1" applyBorder="1" applyAlignment="1">
      <alignment horizontal="right" vertical="center"/>
    </xf>
    <xf numFmtId="1" fontId="0" fillId="0" borderId="0" xfId="0" applyNumberFormat="1" applyBorder="1"/>
    <xf numFmtId="0" fontId="7" fillId="7" borderId="5" xfId="0" applyFont="1" applyFill="1" applyBorder="1" applyAlignment="1">
      <alignment horizontal="right" vertical="center"/>
    </xf>
    <xf numFmtId="1" fontId="7" fillId="7" borderId="6" xfId="0" applyNumberFormat="1" applyFont="1" applyFill="1" applyBorder="1" applyAlignment="1">
      <alignment horizontal="right" vertical="center"/>
    </xf>
    <xf numFmtId="0" fontId="7" fillId="7" borderId="6" xfId="0" applyFont="1" applyFill="1" applyBorder="1" applyAlignment="1">
      <alignment vertical="center"/>
    </xf>
    <xf numFmtId="0" fontId="7" fillId="5" borderId="5" xfId="0" applyFont="1" applyFill="1" applyBorder="1" applyAlignment="1">
      <alignment horizontal="right" vertical="center"/>
    </xf>
    <xf numFmtId="1" fontId="7" fillId="5" borderId="6" xfId="0" applyNumberFormat="1" applyFont="1" applyFill="1" applyBorder="1" applyAlignment="1">
      <alignment horizontal="right" vertical="center"/>
    </xf>
    <xf numFmtId="0" fontId="7" fillId="5" borderId="6" xfId="0" applyFont="1" applyFill="1" applyBorder="1" applyAlignment="1">
      <alignment vertical="center"/>
    </xf>
    <xf numFmtId="164" fontId="4" fillId="4" borderId="1" xfId="1" applyNumberFormat="1" applyFont="1" applyFill="1"/>
    <xf numFmtId="164" fontId="1" fillId="8" borderId="1" xfId="1" applyNumberFormat="1" applyFill="1"/>
    <xf numFmtId="2" fontId="1" fillId="8" borderId="1" xfId="1" applyNumberFormat="1" applyFill="1"/>
    <xf numFmtId="164" fontId="1" fillId="8" borderId="2" xfId="1" applyNumberFormat="1" applyFill="1" applyBorder="1"/>
    <xf numFmtId="164" fontId="4" fillId="8" borderId="1" xfId="1" applyNumberFormat="1" applyFont="1" applyFill="1"/>
    <xf numFmtId="0" fontId="7" fillId="0" borderId="3" xfId="0" applyFont="1" applyBorder="1" applyAlignment="1">
      <alignment vertical="center"/>
    </xf>
    <xf numFmtId="0" fontId="7" fillId="0" borderId="5" xfId="0" applyFont="1" applyBorder="1" applyAlignment="1">
      <alignment vertical="center"/>
    </xf>
    <xf numFmtId="164" fontId="1" fillId="0" borderId="1" xfId="1" applyNumberFormat="1" applyBorder="1"/>
    <xf numFmtId="0" fontId="0" fillId="0" borderId="1" xfId="0" applyBorder="1"/>
  </cellXfs>
  <cellStyles count="2">
    <cellStyle name="Arial10px" xfId="1" xr:uid="{00000000-0005-0000-0000-000001000000}"/>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_&#1076;&#1074;%2031,08,26%20&#1073;&#1088;&#1088;&#1089;&#1095;%20&#1086;&#1089;&#1090;%20&#1082;&#1080;%20&#1058;&#1080;&#1090;&#1077;&#1085;&#1086;&#108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ORK/2025_05/2026/&#1047;&#1040;&#1042;&#1054;&#1044;&#1067;/&#1054;&#1089;&#1090;&#1072;&#1085;&#1082;&#1080;&#1085;&#1086;/&#1051;&#1086;&#1075;&#1080;&#1089;&#1090;&#1080;&#1095;&#1082;&#1072;%2027.07.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
      <sheetName val="новинки"/>
      <sheetName val="вывод"/>
    </sheetNames>
    <sheetDataSet>
      <sheetData sheetId="0">
        <row r="3">
          <cell r="A3" t="str">
            <v>Номенклатура</v>
          </cell>
          <cell r="B3" t="str">
            <v>Ед. изм.</v>
          </cell>
          <cell r="C3" t="str">
            <v>Начальный остаток</v>
          </cell>
          <cell r="D3" t="str">
            <v>Приход</v>
          </cell>
          <cell r="E3" t="str">
            <v>Расход</v>
          </cell>
          <cell r="F3" t="str">
            <v>Конечный остаток</v>
          </cell>
          <cell r="G3" t="str">
            <v>крат</v>
          </cell>
          <cell r="H3" t="str">
            <v>сроки</v>
          </cell>
          <cell r="I3" t="str">
            <v>метка</v>
          </cell>
          <cell r="J3" t="str">
            <v>метка2</v>
          </cell>
          <cell r="K3" t="str">
            <v>заяв</v>
          </cell>
          <cell r="L3" t="str">
            <v>разн</v>
          </cell>
          <cell r="M3" t="str">
            <v>без опта</v>
          </cell>
          <cell r="N3" t="str">
            <v>опт</v>
          </cell>
          <cell r="O3" t="str">
            <v>заказ в пути</v>
          </cell>
          <cell r="P3" t="str">
            <v>заказ в пути</v>
          </cell>
          <cell r="Q3" t="str">
            <v>ср нов</v>
          </cell>
          <cell r="R3" t="str">
            <v>расчет</v>
          </cell>
          <cell r="S3" t="str">
            <v xml:space="preserve">коректировка </v>
          </cell>
        </row>
        <row r="4">
          <cell r="O4" t="str">
            <v>25,08,</v>
          </cell>
          <cell r="P4" t="str">
            <v>01,09,</v>
          </cell>
          <cell r="Q4" t="str">
            <v>31,08,</v>
          </cell>
        </row>
        <row r="5">
          <cell r="E5">
            <v>9697.0520000000015</v>
          </cell>
          <cell r="F5">
            <v>3749.9109999999996</v>
          </cell>
          <cell r="K5">
            <v>25150.565999999999</v>
          </cell>
          <cell r="L5">
            <v>-15453.513999999999</v>
          </cell>
          <cell r="M5">
            <v>0</v>
          </cell>
          <cell r="N5">
            <v>0</v>
          </cell>
          <cell r="O5">
            <v>18892</v>
          </cell>
          <cell r="P5">
            <v>20052</v>
          </cell>
          <cell r="Q5">
            <v>1939.4104000000002</v>
          </cell>
          <cell r="R5">
            <v>9829.9297999999999</v>
          </cell>
          <cell r="S5">
            <v>15585</v>
          </cell>
        </row>
        <row r="6">
          <cell r="A6" t="str">
            <v>0614 ПРАЗДНИЧНАЯ с/к в/с дек.спец.мгс  Останкино</v>
          </cell>
          <cell r="B6" t="str">
            <v>кг</v>
          </cell>
          <cell r="C6">
            <v>28.201000000000001</v>
          </cell>
          <cell r="E6">
            <v>1.696</v>
          </cell>
          <cell r="F6">
            <v>26.504999999999999</v>
          </cell>
          <cell r="G6">
            <v>1</v>
          </cell>
          <cell r="H6">
            <v>120</v>
          </cell>
          <cell r="I6" t="str">
            <v>матрица</v>
          </cell>
          <cell r="K6">
            <v>1.5</v>
          </cell>
          <cell r="L6">
            <v>0.19599999999999995</v>
          </cell>
          <cell r="O6">
            <v>0</v>
          </cell>
          <cell r="P6">
            <v>0</v>
          </cell>
          <cell r="Q6">
            <v>0.3392</v>
          </cell>
        </row>
        <row r="7">
          <cell r="A7" t="str">
            <v>3215 ВЕТЧ.МЯСНАЯ Папа может п/о 0.4кг 8шт.    ОСТАНКИНО</v>
          </cell>
          <cell r="B7" t="str">
            <v>шт</v>
          </cell>
          <cell r="C7">
            <v>160</v>
          </cell>
          <cell r="D7">
            <v>1</v>
          </cell>
          <cell r="E7">
            <v>133</v>
          </cell>
          <cell r="F7">
            <v>25</v>
          </cell>
          <cell r="G7">
            <v>0.4</v>
          </cell>
          <cell r="H7">
            <v>60</v>
          </cell>
          <cell r="I7" t="str">
            <v>матрица</v>
          </cell>
          <cell r="K7">
            <v>383</v>
          </cell>
          <cell r="L7">
            <v>-250</v>
          </cell>
          <cell r="O7">
            <v>556</v>
          </cell>
          <cell r="P7">
            <v>247</v>
          </cell>
          <cell r="Q7">
            <v>26.6</v>
          </cell>
          <cell r="R7">
            <v>50</v>
          </cell>
          <cell r="S7">
            <v>120</v>
          </cell>
        </row>
        <row r="8">
          <cell r="A8" t="str">
            <v>3287 САЛЯМИ ИТАЛЬЯНСКАЯ с/к в/у ОСТАНКИНО</v>
          </cell>
          <cell r="B8" t="str">
            <v>кг</v>
          </cell>
          <cell r="C8">
            <v>20.172000000000001</v>
          </cell>
          <cell r="D8">
            <v>2.996</v>
          </cell>
          <cell r="E8">
            <v>17.111000000000001</v>
          </cell>
          <cell r="F8">
            <v>3.0609999999999999</v>
          </cell>
          <cell r="G8">
            <v>1</v>
          </cell>
          <cell r="H8">
            <v>120</v>
          </cell>
          <cell r="I8" t="str">
            <v>матрица</v>
          </cell>
          <cell r="K8">
            <v>44.085999999999999</v>
          </cell>
          <cell r="L8">
            <v>-26.974999999999998</v>
          </cell>
          <cell r="O8">
            <v>10</v>
          </cell>
          <cell r="P8">
            <v>32</v>
          </cell>
          <cell r="Q8">
            <v>3.4222000000000001</v>
          </cell>
          <cell r="R8">
            <v>9.6942000000000021</v>
          </cell>
          <cell r="S8">
            <v>50</v>
          </cell>
        </row>
        <row r="9">
          <cell r="A9" t="str">
            <v>3986 Ароматная с/к в/у 1/250 ОСТАНКИНО</v>
          </cell>
          <cell r="B9" t="str">
            <v>шт</v>
          </cell>
          <cell r="C9">
            <v>110</v>
          </cell>
          <cell r="D9">
            <v>1</v>
          </cell>
          <cell r="E9">
            <v>116</v>
          </cell>
          <cell r="F9">
            <v>-6</v>
          </cell>
          <cell r="G9">
            <v>0.25</v>
          </cell>
          <cell r="H9">
            <v>120</v>
          </cell>
          <cell r="I9" t="str">
            <v>матрица</v>
          </cell>
          <cell r="K9">
            <v>496</v>
          </cell>
          <cell r="L9">
            <v>-380</v>
          </cell>
          <cell r="O9">
            <v>384</v>
          </cell>
          <cell r="P9">
            <v>582</v>
          </cell>
          <cell r="Q9">
            <v>23.2</v>
          </cell>
          <cell r="R9">
            <v>50</v>
          </cell>
          <cell r="S9">
            <v>100</v>
          </cell>
        </row>
        <row r="10">
          <cell r="A10" t="str">
            <v>4063 МЯСНАЯ Папа может вар п/о_Л   ОСТАНКИНО</v>
          </cell>
          <cell r="B10" t="str">
            <v>кг</v>
          </cell>
          <cell r="C10">
            <v>545.79300000000001</v>
          </cell>
          <cell r="D10">
            <v>13.599</v>
          </cell>
          <cell r="E10">
            <v>288.76100000000002</v>
          </cell>
          <cell r="F10">
            <v>251.50200000000001</v>
          </cell>
          <cell r="G10">
            <v>1</v>
          </cell>
          <cell r="H10">
            <v>60</v>
          </cell>
          <cell r="I10" t="str">
            <v>матрица</v>
          </cell>
          <cell r="K10">
            <v>358.22500000000002</v>
          </cell>
          <cell r="L10">
            <v>-69.463999999999999</v>
          </cell>
          <cell r="O10">
            <v>230</v>
          </cell>
          <cell r="P10">
            <v>0</v>
          </cell>
          <cell r="Q10">
            <v>57.752200000000002</v>
          </cell>
          <cell r="R10">
            <v>442.53320000000002</v>
          </cell>
          <cell r="S10">
            <v>650</v>
          </cell>
        </row>
        <row r="11">
          <cell r="A11" t="str">
            <v>4117 ЭКСТРА Папа может с/к в/у_Л   ОСТАНКИНО</v>
          </cell>
          <cell r="B11" t="str">
            <v>кг</v>
          </cell>
          <cell r="C11">
            <v>121.441</v>
          </cell>
          <cell r="E11">
            <v>21.088000000000001</v>
          </cell>
          <cell r="F11">
            <v>100.35299999999999</v>
          </cell>
          <cell r="G11">
            <v>1</v>
          </cell>
          <cell r="H11">
            <v>120</v>
          </cell>
          <cell r="I11" t="str">
            <v>матрица</v>
          </cell>
          <cell r="K11">
            <v>49.7</v>
          </cell>
          <cell r="L11">
            <v>-28.612000000000002</v>
          </cell>
          <cell r="O11">
            <v>0</v>
          </cell>
          <cell r="P11">
            <v>26</v>
          </cell>
          <cell r="Q11">
            <v>4.2176</v>
          </cell>
        </row>
        <row r="12">
          <cell r="A12" t="str">
            <v>4574 Мясная со шпиком Папа может вар п/о ОСТАНКИНО</v>
          </cell>
          <cell r="B12" t="str">
            <v>кг</v>
          </cell>
          <cell r="C12">
            <v>71.962000000000003</v>
          </cell>
          <cell r="D12">
            <v>10.816000000000001</v>
          </cell>
          <cell r="E12">
            <v>43.210999999999999</v>
          </cell>
          <cell r="F12">
            <v>27.39</v>
          </cell>
          <cell r="G12">
            <v>1</v>
          </cell>
          <cell r="H12">
            <v>60</v>
          </cell>
          <cell r="I12" t="str">
            <v>матрица</v>
          </cell>
          <cell r="K12">
            <v>54</v>
          </cell>
          <cell r="L12">
            <v>-10.789000000000001</v>
          </cell>
          <cell r="O12">
            <v>0</v>
          </cell>
          <cell r="P12">
            <v>4</v>
          </cell>
          <cell r="Q12">
            <v>8.642199999999999</v>
          </cell>
          <cell r="R12">
            <v>72.316399999999987</v>
          </cell>
          <cell r="S12">
            <v>150</v>
          </cell>
        </row>
        <row r="13">
          <cell r="A13" t="str">
            <v>4813 ФИЛЕЙНАЯ Папа может вар п/о_Л   ОСТАНКИНО</v>
          </cell>
          <cell r="B13" t="str">
            <v>кг</v>
          </cell>
          <cell r="C13">
            <v>407.05700000000002</v>
          </cell>
          <cell r="D13">
            <v>9.5960000000000001</v>
          </cell>
          <cell r="E13">
            <v>300.024</v>
          </cell>
          <cell r="F13">
            <v>101.26</v>
          </cell>
          <cell r="G13">
            <v>1</v>
          </cell>
          <cell r="H13">
            <v>60</v>
          </cell>
          <cell r="I13" t="str">
            <v>матрица</v>
          </cell>
          <cell r="K13">
            <v>337.71800000000002</v>
          </cell>
          <cell r="L13">
            <v>-37.694000000000017</v>
          </cell>
          <cell r="O13">
            <v>197</v>
          </cell>
          <cell r="P13">
            <v>231</v>
          </cell>
          <cell r="Q13">
            <v>60.004800000000003</v>
          </cell>
          <cell r="R13">
            <v>430.81680000000006</v>
          </cell>
          <cell r="S13">
            <v>600</v>
          </cell>
        </row>
        <row r="14">
          <cell r="A14" t="str">
            <v>4993 САЛЯМИ ИТАЛЬЯНСКАЯ с/к в/у 1/250*8_120c ОСТАНКИНО</v>
          </cell>
          <cell r="B14" t="str">
            <v>шт</v>
          </cell>
          <cell r="C14">
            <v>191</v>
          </cell>
          <cell r="D14">
            <v>8</v>
          </cell>
          <cell r="E14">
            <v>153</v>
          </cell>
          <cell r="F14">
            <v>38</v>
          </cell>
          <cell r="G14">
            <v>0.25</v>
          </cell>
          <cell r="H14">
            <v>120</v>
          </cell>
          <cell r="I14" t="str">
            <v>матрица</v>
          </cell>
          <cell r="K14">
            <v>304</v>
          </cell>
          <cell r="L14">
            <v>-151</v>
          </cell>
          <cell r="O14">
            <v>326</v>
          </cell>
          <cell r="P14">
            <v>398</v>
          </cell>
          <cell r="Q14">
            <v>30.6</v>
          </cell>
        </row>
        <row r="15">
          <cell r="A15" t="str">
            <v>5452 ВЕТЧ.МЯСНАЯ Папа может п/о    ОСТАНКИНО</v>
          </cell>
          <cell r="B15" t="str">
            <v>кг</v>
          </cell>
          <cell r="C15">
            <v>198.03800000000001</v>
          </cell>
          <cell r="D15">
            <v>1.35</v>
          </cell>
          <cell r="E15">
            <v>70.305999999999997</v>
          </cell>
          <cell r="F15">
            <v>125.03400000000001</v>
          </cell>
          <cell r="G15">
            <v>1</v>
          </cell>
          <cell r="H15">
            <v>60</v>
          </cell>
          <cell r="I15" t="str">
            <v>матрица</v>
          </cell>
          <cell r="K15">
            <v>148.80000000000001</v>
          </cell>
          <cell r="L15">
            <v>-78.494000000000014</v>
          </cell>
          <cell r="O15">
            <v>0</v>
          </cell>
          <cell r="P15">
            <v>75</v>
          </cell>
          <cell r="Q15">
            <v>14.061199999999999</v>
          </cell>
          <cell r="R15">
            <v>24.945199999999986</v>
          </cell>
          <cell r="S15">
            <v>50</v>
          </cell>
        </row>
        <row r="16">
          <cell r="A16" t="str">
            <v>5483 ЭКСТРА Папа может с/к в/у 1/250 8шт.   ОСТАНКИНО</v>
          </cell>
          <cell r="B16" t="str">
            <v>шт</v>
          </cell>
          <cell r="C16">
            <v>114</v>
          </cell>
          <cell r="D16">
            <v>2</v>
          </cell>
          <cell r="E16">
            <v>98</v>
          </cell>
          <cell r="F16">
            <v>19</v>
          </cell>
          <cell r="G16">
            <v>0.25</v>
          </cell>
          <cell r="H16">
            <v>120</v>
          </cell>
          <cell r="I16" t="str">
            <v>матрица</v>
          </cell>
          <cell r="K16">
            <v>494</v>
          </cell>
          <cell r="L16">
            <v>-396</v>
          </cell>
          <cell r="O16">
            <v>380</v>
          </cell>
          <cell r="P16">
            <v>698</v>
          </cell>
          <cell r="Q16">
            <v>19.600000000000001</v>
          </cell>
          <cell r="S16">
            <v>50</v>
          </cell>
        </row>
        <row r="17">
          <cell r="A17" t="str">
            <v>5495 ВЕТЧ.С ИНДЕЙКОЙ Папа может п/о 400*6  Останкино</v>
          </cell>
          <cell r="B17" t="str">
            <v>шт</v>
          </cell>
          <cell r="C17">
            <v>36</v>
          </cell>
          <cell r="E17">
            <v>37</v>
          </cell>
          <cell r="F17">
            <v>-3</v>
          </cell>
          <cell r="G17">
            <v>0.4</v>
          </cell>
          <cell r="H17">
            <v>60</v>
          </cell>
          <cell r="I17" t="str">
            <v>матрица</v>
          </cell>
          <cell r="K17">
            <v>304</v>
          </cell>
          <cell r="L17">
            <v>-267</v>
          </cell>
          <cell r="O17">
            <v>318</v>
          </cell>
          <cell r="P17">
            <v>259</v>
          </cell>
          <cell r="Q17">
            <v>7.4</v>
          </cell>
          <cell r="R17">
            <v>100</v>
          </cell>
          <cell r="S17">
            <v>200</v>
          </cell>
        </row>
        <row r="18">
          <cell r="A18" t="str">
            <v>5544 Сервелат Финский в/к в/у_45с НОВАЯ ОСТАНКИНО</v>
          </cell>
          <cell r="B18" t="str">
            <v>кг</v>
          </cell>
          <cell r="C18">
            <v>70.058000000000007</v>
          </cell>
          <cell r="D18">
            <v>4.2489999999999997</v>
          </cell>
          <cell r="E18">
            <v>60.176000000000002</v>
          </cell>
          <cell r="F18">
            <v>8.1630000000000003</v>
          </cell>
          <cell r="G18">
            <v>1</v>
          </cell>
          <cell r="H18">
            <v>45</v>
          </cell>
          <cell r="I18" t="str">
            <v>матрица</v>
          </cell>
          <cell r="K18">
            <v>183.352</v>
          </cell>
          <cell r="L18">
            <v>-123.176</v>
          </cell>
          <cell r="O18">
            <v>248</v>
          </cell>
          <cell r="P18">
            <v>251</v>
          </cell>
          <cell r="Q18">
            <v>12.0352</v>
          </cell>
          <cell r="R18">
            <v>50</v>
          </cell>
          <cell r="S18">
            <v>165</v>
          </cell>
        </row>
        <row r="19">
          <cell r="A19" t="str">
            <v>5708 ПОСОЛЬСКАЯ Папа может с/к в/у ОСТАНКИНО</v>
          </cell>
          <cell r="B19" t="str">
            <v>кг</v>
          </cell>
          <cell r="C19">
            <v>38.15</v>
          </cell>
          <cell r="D19">
            <v>2.9580000000000002</v>
          </cell>
          <cell r="E19">
            <v>20.553000000000001</v>
          </cell>
          <cell r="F19">
            <v>17.097999999999999</v>
          </cell>
          <cell r="G19">
            <v>1</v>
          </cell>
          <cell r="H19">
            <v>120</v>
          </cell>
          <cell r="I19" t="str">
            <v>матрица</v>
          </cell>
          <cell r="K19">
            <v>39</v>
          </cell>
          <cell r="L19">
            <v>-18.446999999999999</v>
          </cell>
          <cell r="O19">
            <v>0</v>
          </cell>
          <cell r="P19">
            <v>62</v>
          </cell>
          <cell r="Q19">
            <v>4.1105999999999998</v>
          </cell>
          <cell r="R19">
            <v>10</v>
          </cell>
        </row>
        <row r="20">
          <cell r="A20" t="str">
            <v>5819 Сосиски Папа может 400г Мясные  ОСТАНКИНО</v>
          </cell>
          <cell r="B20" t="str">
            <v>шт</v>
          </cell>
          <cell r="C20">
            <v>32</v>
          </cell>
          <cell r="F20">
            <v>32</v>
          </cell>
          <cell r="G20">
            <v>0.4</v>
          </cell>
          <cell r="H20">
            <v>45</v>
          </cell>
          <cell r="I20" t="str">
            <v>матрица</v>
          </cell>
          <cell r="K20">
            <v>256</v>
          </cell>
          <cell r="L20">
            <v>-256</v>
          </cell>
          <cell r="O20">
            <v>0</v>
          </cell>
          <cell r="P20">
            <v>0</v>
          </cell>
          <cell r="Q20">
            <v>0</v>
          </cell>
          <cell r="S20">
            <v>200</v>
          </cell>
        </row>
        <row r="21">
          <cell r="A21" t="str">
            <v>5851 ЭКСТРА Папа может вар п/о   ОСТАНКИНО</v>
          </cell>
          <cell r="B21" t="str">
            <v>кг</v>
          </cell>
          <cell r="C21">
            <v>116.47199999999999</v>
          </cell>
          <cell r="D21">
            <v>13.55</v>
          </cell>
          <cell r="E21">
            <v>121.63200000000001</v>
          </cell>
          <cell r="F21">
            <v>-7.1150000000000002</v>
          </cell>
          <cell r="G21">
            <v>1</v>
          </cell>
          <cell r="H21">
            <v>60</v>
          </cell>
          <cell r="I21" t="str">
            <v>матрица</v>
          </cell>
          <cell r="K21">
            <v>181.804</v>
          </cell>
          <cell r="L21">
            <v>-60.171999999999997</v>
          </cell>
          <cell r="O21">
            <v>177</v>
          </cell>
          <cell r="P21">
            <v>239</v>
          </cell>
          <cell r="Q21">
            <v>24.3264</v>
          </cell>
          <cell r="R21">
            <v>50</v>
          </cell>
          <cell r="S21">
            <v>250</v>
          </cell>
        </row>
        <row r="22">
          <cell r="A22" t="str">
            <v>5931 ОХОТНИЧЬЯ Папа может с/к в/у 1/220 8шт.   ОСТАНКИНО</v>
          </cell>
          <cell r="B22" t="str">
            <v>шт</v>
          </cell>
          <cell r="C22">
            <v>376</v>
          </cell>
          <cell r="D22">
            <v>6</v>
          </cell>
          <cell r="E22">
            <v>358</v>
          </cell>
          <cell r="F22">
            <v>20</v>
          </cell>
          <cell r="G22">
            <v>0.22</v>
          </cell>
          <cell r="H22">
            <v>120</v>
          </cell>
          <cell r="I22" t="str">
            <v>матрица</v>
          </cell>
          <cell r="K22">
            <v>714</v>
          </cell>
          <cell r="L22">
            <v>-356</v>
          </cell>
          <cell r="O22">
            <v>439</v>
          </cell>
          <cell r="P22">
            <v>788</v>
          </cell>
          <cell r="Q22">
            <v>71.599999999999994</v>
          </cell>
          <cell r="R22">
            <v>200</v>
          </cell>
          <cell r="S22">
            <v>300</v>
          </cell>
        </row>
        <row r="23">
          <cell r="A23" t="str">
            <v>6008 САЛО СОЛЕНОЕ С ЧЕРНЫМ ПЕРЦЕМ мл/к в/у ОСТАНКИНО</v>
          </cell>
          <cell r="B23" t="str">
            <v>кг</v>
          </cell>
          <cell r="C23">
            <v>1.1160000000000001</v>
          </cell>
          <cell r="F23">
            <v>1.1160000000000001</v>
          </cell>
          <cell r="G23">
            <v>1</v>
          </cell>
          <cell r="H23">
            <v>40</v>
          </cell>
          <cell r="I23" t="str">
            <v>матрица</v>
          </cell>
          <cell r="K23">
            <v>24</v>
          </cell>
          <cell r="L23">
            <v>-24</v>
          </cell>
          <cell r="O23">
            <v>20</v>
          </cell>
          <cell r="P23">
            <v>10</v>
          </cell>
          <cell r="Q23">
            <v>0</v>
          </cell>
          <cell r="R23">
            <v>10</v>
          </cell>
          <cell r="S23">
            <v>50</v>
          </cell>
        </row>
        <row r="24">
          <cell r="A24" t="str">
            <v>6025 ВЕТЧ.ФИРМЕННАЯ С ИНДЕЙКОЙ п/о   ОСТАНКИНО</v>
          </cell>
          <cell r="B24" t="str">
            <v>кг</v>
          </cell>
          <cell r="C24">
            <v>39.21</v>
          </cell>
          <cell r="F24">
            <v>39.21</v>
          </cell>
          <cell r="G24">
            <v>0</v>
          </cell>
          <cell r="I24" t="str">
            <v>не в матрице</v>
          </cell>
          <cell r="L24">
            <v>0</v>
          </cell>
          <cell r="O24">
            <v>0</v>
          </cell>
          <cell r="P24">
            <v>0</v>
          </cell>
          <cell r="Q24">
            <v>0</v>
          </cell>
        </row>
        <row r="25">
          <cell r="A25" t="str">
            <v>6220 ГОВЯЖЬЯ папа может вар п/о  Останкино</v>
          </cell>
          <cell r="B25" t="str">
            <v>кг</v>
          </cell>
          <cell r="C25">
            <v>4.0119999999999996</v>
          </cell>
          <cell r="D25">
            <v>1.3360000000000001</v>
          </cell>
          <cell r="E25">
            <v>1.2130000000000001</v>
          </cell>
          <cell r="F25">
            <v>6.7000000000000004E-2</v>
          </cell>
          <cell r="G25">
            <v>1</v>
          </cell>
          <cell r="H25">
            <v>60</v>
          </cell>
          <cell r="I25" t="str">
            <v>матрица</v>
          </cell>
          <cell r="K25">
            <v>105.4</v>
          </cell>
          <cell r="L25">
            <v>-104.18700000000001</v>
          </cell>
          <cell r="O25">
            <v>127</v>
          </cell>
          <cell r="P25">
            <v>11</v>
          </cell>
          <cell r="Q25">
            <v>0.24260000000000001</v>
          </cell>
          <cell r="R25">
            <v>60</v>
          </cell>
          <cell r="S25">
            <v>100</v>
          </cell>
        </row>
        <row r="26">
          <cell r="A26" t="str">
            <v>6221 НЕОПОЛИТАНСКИЙ ДУЭТ с/к с/н мгс 1/90  Останкино</v>
          </cell>
          <cell r="B26" t="str">
            <v>шт</v>
          </cell>
          <cell r="C26">
            <v>221</v>
          </cell>
          <cell r="D26">
            <v>12</v>
          </cell>
          <cell r="E26">
            <v>177</v>
          </cell>
          <cell r="F26">
            <v>55</v>
          </cell>
          <cell r="G26">
            <v>0.09</v>
          </cell>
          <cell r="H26">
            <v>60</v>
          </cell>
          <cell r="I26" t="str">
            <v>матрица</v>
          </cell>
          <cell r="K26">
            <v>270</v>
          </cell>
          <cell r="L26">
            <v>-93</v>
          </cell>
          <cell r="O26">
            <v>85</v>
          </cell>
          <cell r="P26">
            <v>280</v>
          </cell>
          <cell r="Q26">
            <v>35.4</v>
          </cell>
          <cell r="R26">
            <v>146.39999999999998</v>
          </cell>
          <cell r="S26">
            <v>200</v>
          </cell>
        </row>
        <row r="27">
          <cell r="A27" t="str">
            <v>6222 ИТАЛЬЯНСКОЕ АССОРТИ с/в с/н мгс 1/90 ОСТАНКИНО</v>
          </cell>
          <cell r="B27" t="str">
            <v>шт</v>
          </cell>
          <cell r="C27">
            <v>70</v>
          </cell>
          <cell r="F27">
            <v>70</v>
          </cell>
          <cell r="G27">
            <v>0</v>
          </cell>
          <cell r="I27" t="str">
            <v>не в матрице</v>
          </cell>
          <cell r="L27">
            <v>0</v>
          </cell>
          <cell r="O27">
            <v>0</v>
          </cell>
          <cell r="P27">
            <v>0</v>
          </cell>
          <cell r="Q27">
            <v>0</v>
          </cell>
        </row>
        <row r="28">
          <cell r="A28" t="str">
            <v>6228 МЯСНОЕ АССОРТИ к/з с/н мгс 1/90 10шт  Останкино</v>
          </cell>
          <cell r="B28" t="str">
            <v>шт</v>
          </cell>
          <cell r="C28">
            <v>12</v>
          </cell>
          <cell r="D28">
            <v>3</v>
          </cell>
          <cell r="E28">
            <v>4</v>
          </cell>
          <cell r="F28">
            <v>3</v>
          </cell>
          <cell r="G28">
            <v>0.09</v>
          </cell>
          <cell r="H28">
            <v>45</v>
          </cell>
          <cell r="I28" t="str">
            <v>матрица</v>
          </cell>
          <cell r="K28">
            <v>78</v>
          </cell>
          <cell r="L28">
            <v>-74</v>
          </cell>
          <cell r="O28">
            <v>118</v>
          </cell>
          <cell r="P28">
            <v>0</v>
          </cell>
          <cell r="Q28">
            <v>0.8</v>
          </cell>
          <cell r="R28">
            <v>60</v>
          </cell>
          <cell r="S28">
            <v>100</v>
          </cell>
        </row>
        <row r="29">
          <cell r="A29" t="str">
            <v>6279 КОРЕЙКА ПО-ОСТ.к/в в/с с/н в/у 1/150_45с  Останкино</v>
          </cell>
          <cell r="B29" t="str">
            <v>шт</v>
          </cell>
          <cell r="C29">
            <v>80</v>
          </cell>
          <cell r="F29">
            <v>80</v>
          </cell>
          <cell r="G29">
            <v>0.15</v>
          </cell>
          <cell r="H29">
            <v>45</v>
          </cell>
          <cell r="I29" t="str">
            <v>матрица</v>
          </cell>
          <cell r="K29">
            <v>101</v>
          </cell>
          <cell r="L29">
            <v>-101</v>
          </cell>
          <cell r="O29">
            <v>32</v>
          </cell>
          <cell r="P29">
            <v>0</v>
          </cell>
          <cell r="Q29">
            <v>0</v>
          </cell>
        </row>
        <row r="30">
          <cell r="A30" t="str">
            <v>6303 Мясные Папа может сос п/о мгс 1,5*3  Останкино</v>
          </cell>
          <cell r="B30" t="str">
            <v>кг</v>
          </cell>
          <cell r="C30">
            <v>193.65199999999999</v>
          </cell>
          <cell r="D30">
            <v>3.2160000000000002</v>
          </cell>
          <cell r="E30">
            <v>278.80200000000002</v>
          </cell>
          <cell r="F30">
            <v>-107.374</v>
          </cell>
          <cell r="G30">
            <v>1</v>
          </cell>
          <cell r="H30">
            <v>45</v>
          </cell>
          <cell r="I30" t="str">
            <v>матрица</v>
          </cell>
          <cell r="K30">
            <v>685.81600000000003</v>
          </cell>
          <cell r="L30">
            <v>-407.01400000000001</v>
          </cell>
          <cell r="O30">
            <v>836</v>
          </cell>
          <cell r="P30">
            <v>307</v>
          </cell>
          <cell r="Q30">
            <v>55.760400000000004</v>
          </cell>
          <cell r="R30">
            <v>300</v>
          </cell>
          <cell r="S30">
            <v>600</v>
          </cell>
        </row>
        <row r="31">
          <cell r="A31" t="str">
            <v>6325 ДОКТОРСКАЯ ПРЕМИУМ вар п/о 0.4кг 8шт.  ОСТАНКИНО</v>
          </cell>
          <cell r="B31" t="str">
            <v>шт</v>
          </cell>
          <cell r="C31">
            <v>17</v>
          </cell>
          <cell r="E31">
            <v>17</v>
          </cell>
          <cell r="G31">
            <v>0.4</v>
          </cell>
          <cell r="H31">
            <v>60</v>
          </cell>
          <cell r="I31" t="str">
            <v>матрица</v>
          </cell>
          <cell r="K31">
            <v>116</v>
          </cell>
          <cell r="L31">
            <v>-99</v>
          </cell>
          <cell r="O31">
            <v>202</v>
          </cell>
          <cell r="P31">
            <v>117</v>
          </cell>
          <cell r="Q31">
            <v>3.4</v>
          </cell>
          <cell r="S31">
            <v>50</v>
          </cell>
        </row>
        <row r="32">
          <cell r="A32" t="str">
            <v>6333 МЯСНАЯ Папа может вар п/о 0.4кг 8шт.  ОСТАНКИНО</v>
          </cell>
          <cell r="B32" t="str">
            <v>шт</v>
          </cell>
          <cell r="C32">
            <v>418</v>
          </cell>
          <cell r="D32">
            <v>17</v>
          </cell>
          <cell r="E32">
            <v>393</v>
          </cell>
          <cell r="F32">
            <v>25</v>
          </cell>
          <cell r="G32">
            <v>0.4</v>
          </cell>
          <cell r="H32">
            <v>60</v>
          </cell>
          <cell r="I32" t="str">
            <v>матрица</v>
          </cell>
          <cell r="K32">
            <v>659</v>
          </cell>
          <cell r="L32">
            <v>-266</v>
          </cell>
          <cell r="O32">
            <v>646</v>
          </cell>
          <cell r="P32">
            <v>717</v>
          </cell>
          <cell r="Q32">
            <v>78.599999999999994</v>
          </cell>
          <cell r="R32">
            <v>200</v>
          </cell>
          <cell r="S32">
            <v>500</v>
          </cell>
        </row>
        <row r="33">
          <cell r="A33" t="str">
            <v>6364 СЕРВЕЛАТ ЗЕРНИСТЫЙ ПМ в/к в/у 0.35кг  ОСТАНКИНО</v>
          </cell>
          <cell r="B33" t="str">
            <v>шт</v>
          </cell>
          <cell r="C33">
            <v>-1</v>
          </cell>
          <cell r="F33">
            <v>-1</v>
          </cell>
          <cell r="G33">
            <v>0</v>
          </cell>
          <cell r="I33" t="str">
            <v>не в матрице</v>
          </cell>
          <cell r="J33" t="str">
            <v>7154 СЕРВЕЛАТ ЗЕРНИСТЫЙ ПМ в/к в/у 0,35кг_50с  Останкино</v>
          </cell>
          <cell r="L33">
            <v>0</v>
          </cell>
          <cell r="O33">
            <v>0</v>
          </cell>
          <cell r="P33">
            <v>0</v>
          </cell>
          <cell r="Q33">
            <v>0</v>
          </cell>
        </row>
        <row r="34">
          <cell r="A34" t="str">
            <v>6392 ФИЛЕЙНАЯ Папа может вар п/о 0,4кг  ОСТАНКИНО</v>
          </cell>
          <cell r="B34" t="str">
            <v>шт</v>
          </cell>
          <cell r="C34">
            <v>319</v>
          </cell>
          <cell r="D34">
            <v>7</v>
          </cell>
          <cell r="E34">
            <v>310</v>
          </cell>
          <cell r="F34">
            <v>9</v>
          </cell>
          <cell r="G34">
            <v>0.4</v>
          </cell>
          <cell r="H34">
            <v>60</v>
          </cell>
          <cell r="I34" t="str">
            <v>матрица</v>
          </cell>
          <cell r="K34">
            <v>662</v>
          </cell>
          <cell r="L34">
            <v>-352</v>
          </cell>
          <cell r="O34">
            <v>643</v>
          </cell>
          <cell r="P34">
            <v>505</v>
          </cell>
          <cell r="Q34">
            <v>62</v>
          </cell>
          <cell r="R34">
            <v>150</v>
          </cell>
          <cell r="S34">
            <v>400</v>
          </cell>
        </row>
        <row r="35">
          <cell r="A35" t="str">
            <v>6411 ВЕТЧ.РУБЛЕНАЯ ПМ в/у срез 0.3кг 6шт.  ОСТАНКИНО</v>
          </cell>
          <cell r="B35" t="str">
            <v>шт</v>
          </cell>
          <cell r="C35">
            <v>177</v>
          </cell>
          <cell r="D35">
            <v>1</v>
          </cell>
          <cell r="E35">
            <v>29</v>
          </cell>
          <cell r="F35">
            <v>148</v>
          </cell>
          <cell r="G35">
            <v>0</v>
          </cell>
          <cell r="H35">
            <v>45</v>
          </cell>
          <cell r="I35" t="str">
            <v>вывод</v>
          </cell>
          <cell r="K35">
            <v>34</v>
          </cell>
          <cell r="L35">
            <v>-5</v>
          </cell>
          <cell r="O35">
            <v>0</v>
          </cell>
          <cell r="P35">
            <v>0</v>
          </cell>
          <cell r="Q35">
            <v>5.8</v>
          </cell>
        </row>
        <row r="36">
          <cell r="A36" t="str">
            <v>6453 ЭКСТРА Папа может с/к с/н в/у 1/100 14шт.   ОСТАНКИНО</v>
          </cell>
          <cell r="B36" t="str">
            <v>шт</v>
          </cell>
          <cell r="C36">
            <v>2</v>
          </cell>
          <cell r="F36">
            <v>2</v>
          </cell>
          <cell r="G36">
            <v>0</v>
          </cell>
          <cell r="H36">
            <v>60</v>
          </cell>
          <cell r="I36" t="str">
            <v>не в матрице</v>
          </cell>
          <cell r="J36" t="str">
            <v>7616 ЭКСТРА Папа может с/к с/н в/у 1/100_  ОСТАНКИНО</v>
          </cell>
          <cell r="L36">
            <v>0</v>
          </cell>
          <cell r="O36">
            <v>0</v>
          </cell>
          <cell r="P36">
            <v>0</v>
          </cell>
          <cell r="Q36">
            <v>0</v>
          </cell>
        </row>
        <row r="37">
          <cell r="A37" t="str">
            <v>6454 АРОМАТНАЯ с/к с/н в/у 1/100 10шт.  ОСТАНКИНО</v>
          </cell>
          <cell r="B37" t="str">
            <v>шт</v>
          </cell>
          <cell r="C37">
            <v>-15</v>
          </cell>
          <cell r="F37">
            <v>-15</v>
          </cell>
          <cell r="G37">
            <v>0</v>
          </cell>
          <cell r="H37">
            <v>60</v>
          </cell>
          <cell r="I37" t="str">
            <v>не в матрице</v>
          </cell>
          <cell r="J37" t="str">
            <v>7613 АРОМАТНАЯ с/к с/н в/у 1/100 10шт_Л10  ОСТАНКИНО</v>
          </cell>
          <cell r="L37">
            <v>0</v>
          </cell>
          <cell r="O37">
            <v>0</v>
          </cell>
          <cell r="P37">
            <v>0</v>
          </cell>
          <cell r="Q37">
            <v>0</v>
          </cell>
        </row>
        <row r="38">
          <cell r="A38" t="str">
            <v>6470 ВЕТЧ.МРАМОРНАЯ в/у_45с  ОСТАНКИНО</v>
          </cell>
          <cell r="B38" t="str">
            <v>кг</v>
          </cell>
          <cell r="C38">
            <v>13.468999999999999</v>
          </cell>
          <cell r="E38">
            <v>13.468999999999999</v>
          </cell>
          <cell r="G38">
            <v>0</v>
          </cell>
          <cell r="H38">
            <v>45</v>
          </cell>
          <cell r="I38" t="str">
            <v>не в матрице</v>
          </cell>
          <cell r="K38">
            <v>164.5</v>
          </cell>
          <cell r="L38">
            <v>-151.03100000000001</v>
          </cell>
          <cell r="O38">
            <v>0</v>
          </cell>
          <cell r="P38">
            <v>0</v>
          </cell>
          <cell r="Q38">
            <v>2.6938</v>
          </cell>
        </row>
        <row r="39">
          <cell r="A39" t="str">
            <v>6495 ВЕТЧ.МРАМОРНАЯ в/у срез 0,3кг 6шт_45с  Останкино</v>
          </cell>
          <cell r="B39" t="str">
            <v>шт</v>
          </cell>
          <cell r="C39">
            <v>103</v>
          </cell>
          <cell r="D39">
            <v>11</v>
          </cell>
          <cell r="E39">
            <v>82</v>
          </cell>
          <cell r="F39">
            <v>11</v>
          </cell>
          <cell r="G39">
            <v>0.3</v>
          </cell>
          <cell r="H39">
            <v>45</v>
          </cell>
          <cell r="I39" t="str">
            <v>матрица</v>
          </cell>
          <cell r="K39">
            <v>220</v>
          </cell>
          <cell r="L39">
            <v>-138</v>
          </cell>
          <cell r="O39">
            <v>63</v>
          </cell>
          <cell r="P39">
            <v>144</v>
          </cell>
          <cell r="Q39">
            <v>16.399999999999999</v>
          </cell>
          <cell r="R39">
            <v>44.399999999999977</v>
          </cell>
          <cell r="S39">
            <v>100</v>
          </cell>
        </row>
        <row r="40">
          <cell r="A40" t="str">
            <v>6498 МОЛОЧНАЯ Папа может вар п/о  ОСТАНКИНО</v>
          </cell>
          <cell r="B40" t="str">
            <v>кг</v>
          </cell>
          <cell r="C40">
            <v>671.73699999999997</v>
          </cell>
          <cell r="D40">
            <v>7.758</v>
          </cell>
          <cell r="E40">
            <v>231.53100000000001</v>
          </cell>
          <cell r="F40">
            <v>439.31599999999997</v>
          </cell>
          <cell r="G40">
            <v>1</v>
          </cell>
          <cell r="H40">
            <v>60</v>
          </cell>
          <cell r="I40" t="str">
            <v>матрица</v>
          </cell>
          <cell r="K40">
            <v>267</v>
          </cell>
          <cell r="L40">
            <v>-35.468999999999994</v>
          </cell>
          <cell r="O40">
            <v>0</v>
          </cell>
          <cell r="P40">
            <v>0</v>
          </cell>
          <cell r="Q40">
            <v>46.306200000000004</v>
          </cell>
          <cell r="R40">
            <v>301.58320000000009</v>
          </cell>
        </row>
        <row r="41">
          <cell r="A41" t="str">
            <v>6527 ШПИКАЧКИ СОЧНЫЕ ПМ сар б/о мгс 1*3 45с ОСТАНКИНО</v>
          </cell>
          <cell r="B41" t="str">
            <v>кг</v>
          </cell>
          <cell r="C41">
            <v>89.322999999999993</v>
          </cell>
          <cell r="D41">
            <v>4.1429999999999998</v>
          </cell>
          <cell r="E41">
            <v>87.512</v>
          </cell>
          <cell r="F41">
            <v>1.8109999999999999</v>
          </cell>
          <cell r="G41">
            <v>1</v>
          </cell>
          <cell r="H41">
            <v>45</v>
          </cell>
          <cell r="I41" t="str">
            <v>матрица</v>
          </cell>
          <cell r="K41">
            <v>101.158</v>
          </cell>
          <cell r="L41">
            <v>-13.646000000000001</v>
          </cell>
          <cell r="O41">
            <v>108</v>
          </cell>
          <cell r="P41">
            <v>0</v>
          </cell>
          <cell r="Q41">
            <v>17.502400000000002</v>
          </cell>
          <cell r="R41">
            <v>135.22260000000003</v>
          </cell>
        </row>
        <row r="42">
          <cell r="A42" t="str">
            <v>6550 МЯСНЫЕ Папа может сар б/о мгс 1*3 О 45с  Останкино</v>
          </cell>
          <cell r="B42" t="str">
            <v>кг</v>
          </cell>
          <cell r="C42">
            <v>25.908999999999999</v>
          </cell>
          <cell r="D42">
            <v>4.7069999999999999</v>
          </cell>
          <cell r="E42">
            <v>14.058999999999999</v>
          </cell>
          <cell r="F42">
            <v>8.1460000000000008</v>
          </cell>
          <cell r="G42">
            <v>1</v>
          </cell>
          <cell r="H42">
            <v>45</v>
          </cell>
          <cell r="I42" t="str">
            <v>матрица</v>
          </cell>
          <cell r="K42">
            <v>130.19999999999999</v>
          </cell>
          <cell r="L42">
            <v>-116.14099999999999</v>
          </cell>
          <cell r="O42">
            <v>108</v>
          </cell>
          <cell r="P42">
            <v>158</v>
          </cell>
          <cell r="Q42">
            <v>2.8117999999999999</v>
          </cell>
          <cell r="R42">
            <v>40</v>
          </cell>
          <cell r="S42">
            <v>100</v>
          </cell>
        </row>
        <row r="43">
          <cell r="A43" t="str">
            <v>6608 С ГОВЯДИНОЙ ОРИГИН. сар б/о мгс 1*3_45с  ОСТАНКИНО</v>
          </cell>
          <cell r="B43" t="str">
            <v>кг</v>
          </cell>
          <cell r="C43">
            <v>38.338000000000001</v>
          </cell>
          <cell r="D43">
            <v>1.044</v>
          </cell>
          <cell r="E43">
            <v>30.838999999999999</v>
          </cell>
          <cell r="F43">
            <v>3.0230000000000001</v>
          </cell>
          <cell r="G43">
            <v>1</v>
          </cell>
          <cell r="H43">
            <v>45</v>
          </cell>
          <cell r="I43" t="str">
            <v>матрица</v>
          </cell>
          <cell r="K43">
            <v>85</v>
          </cell>
          <cell r="L43">
            <v>-54.161000000000001</v>
          </cell>
          <cell r="O43">
            <v>119</v>
          </cell>
          <cell r="P43">
            <v>0</v>
          </cell>
          <cell r="Q43">
            <v>6.1677999999999997</v>
          </cell>
          <cell r="R43">
            <v>40</v>
          </cell>
          <cell r="S43">
            <v>70</v>
          </cell>
        </row>
        <row r="44">
          <cell r="A44" t="str">
            <v>6616 МОЛОЧНЫЕ КЛАССИЧЕСКИЕ сос п/о в/у 0,3 кг  Останкино</v>
          </cell>
          <cell r="B44" t="str">
            <v>шт</v>
          </cell>
          <cell r="C44">
            <v>5</v>
          </cell>
          <cell r="D44">
            <v>11</v>
          </cell>
          <cell r="E44">
            <v>8</v>
          </cell>
          <cell r="F44">
            <v>5</v>
          </cell>
          <cell r="G44">
            <v>0.3</v>
          </cell>
          <cell r="H44">
            <v>45</v>
          </cell>
          <cell r="I44" t="str">
            <v>матрица</v>
          </cell>
          <cell r="K44">
            <v>477</v>
          </cell>
          <cell r="L44">
            <v>-469</v>
          </cell>
          <cell r="O44">
            <v>683</v>
          </cell>
          <cell r="P44">
            <v>43</v>
          </cell>
          <cell r="Q44">
            <v>1.6</v>
          </cell>
          <cell r="R44">
            <v>200</v>
          </cell>
          <cell r="S44">
            <v>400</v>
          </cell>
        </row>
        <row r="45">
          <cell r="A45" t="str">
            <v>6620 РЕБРЫШКИ к/в в/у_30с  Останкино</v>
          </cell>
          <cell r="B45" t="str">
            <v>кг</v>
          </cell>
          <cell r="G45">
            <v>1</v>
          </cell>
          <cell r="I45" t="str">
            <v>матрица</v>
          </cell>
          <cell r="K45">
            <v>23</v>
          </cell>
          <cell r="L45">
            <v>-23</v>
          </cell>
          <cell r="O45">
            <v>50</v>
          </cell>
          <cell r="P45">
            <v>0</v>
          </cell>
          <cell r="Q45">
            <v>0</v>
          </cell>
          <cell r="S45">
            <v>100</v>
          </cell>
        </row>
        <row r="46">
          <cell r="A46" t="str">
            <v>6661 СОЧНЫЙ ГРИЛЬ ПМ сос п/о мгс 1,5*4_Маяк Останкино</v>
          </cell>
          <cell r="B46" t="str">
            <v>кг</v>
          </cell>
          <cell r="C46">
            <v>129.113</v>
          </cell>
          <cell r="D46">
            <v>1.5409999999999999</v>
          </cell>
          <cell r="E46">
            <v>40.585000000000001</v>
          </cell>
          <cell r="F46">
            <v>86.986999999999995</v>
          </cell>
          <cell r="G46">
            <v>1</v>
          </cell>
          <cell r="H46">
            <v>45</v>
          </cell>
          <cell r="I46" t="str">
            <v>матрица</v>
          </cell>
          <cell r="K46">
            <v>127</v>
          </cell>
          <cell r="L46">
            <v>-86.414999999999992</v>
          </cell>
          <cell r="O46">
            <v>0</v>
          </cell>
          <cell r="P46">
            <v>107</v>
          </cell>
          <cell r="Q46">
            <v>8.1170000000000009</v>
          </cell>
        </row>
        <row r="47">
          <cell r="A47" t="str">
            <v>6697 СЕРВЕЛАТ ФИНСКИЙ ПМ в/к в/у 0,35кг 8шт  ОСТАНКИНО</v>
          </cell>
          <cell r="B47" t="str">
            <v>шт</v>
          </cell>
          <cell r="C47">
            <v>370</v>
          </cell>
          <cell r="D47">
            <v>5</v>
          </cell>
          <cell r="E47">
            <v>413</v>
          </cell>
          <cell r="F47">
            <v>-46</v>
          </cell>
          <cell r="G47">
            <v>0.35</v>
          </cell>
          <cell r="H47">
            <v>45</v>
          </cell>
          <cell r="I47" t="str">
            <v>матрица</v>
          </cell>
          <cell r="K47">
            <v>896</v>
          </cell>
          <cell r="L47">
            <v>-483</v>
          </cell>
          <cell r="O47">
            <v>1031</v>
          </cell>
          <cell r="P47">
            <v>819</v>
          </cell>
          <cell r="Q47">
            <v>82.6</v>
          </cell>
          <cell r="R47">
            <v>300</v>
          </cell>
          <cell r="S47">
            <v>500</v>
          </cell>
        </row>
        <row r="48">
          <cell r="A48" t="str">
            <v>6713 СОЧНЫЙ ГРИЛЬ ПМ сос п/о мгс 0,41кг 8 шт.  ОСТАНКИНО</v>
          </cell>
          <cell r="B48" t="str">
            <v>шт</v>
          </cell>
          <cell r="C48">
            <v>11</v>
          </cell>
          <cell r="D48">
            <v>3</v>
          </cell>
          <cell r="E48">
            <v>-13</v>
          </cell>
          <cell r="F48">
            <v>11</v>
          </cell>
          <cell r="G48">
            <v>0.41</v>
          </cell>
          <cell r="H48">
            <v>45</v>
          </cell>
          <cell r="I48" t="str">
            <v>матрица</v>
          </cell>
          <cell r="K48">
            <v>336</v>
          </cell>
          <cell r="L48">
            <v>-349</v>
          </cell>
          <cell r="O48">
            <v>322</v>
          </cell>
          <cell r="P48">
            <v>150</v>
          </cell>
          <cell r="Q48">
            <v>-2.6</v>
          </cell>
          <cell r="S48">
            <v>300</v>
          </cell>
        </row>
        <row r="49">
          <cell r="A49" t="str">
            <v>6724 МОЛОЧНЫЕ ПМ сос п/о мгс 0,41кг 10шт  Останкино</v>
          </cell>
          <cell r="B49" t="str">
            <v>шт</v>
          </cell>
          <cell r="C49">
            <v>293</v>
          </cell>
          <cell r="D49">
            <v>13</v>
          </cell>
          <cell r="E49">
            <v>262</v>
          </cell>
          <cell r="F49">
            <v>34</v>
          </cell>
          <cell r="G49">
            <v>0.41</v>
          </cell>
          <cell r="H49">
            <v>45</v>
          </cell>
          <cell r="I49" t="str">
            <v>матрица</v>
          </cell>
          <cell r="K49">
            <v>447</v>
          </cell>
          <cell r="L49">
            <v>-185</v>
          </cell>
          <cell r="O49">
            <v>364</v>
          </cell>
          <cell r="P49">
            <v>0</v>
          </cell>
          <cell r="Q49">
            <v>52.4</v>
          </cell>
          <cell r="R49">
            <v>440.4</v>
          </cell>
        </row>
        <row r="50">
          <cell r="A50" t="str">
            <v>6761 МОЛОЧНЫЕ ГОСТ сос ц/о мгс 1*4  Останкино</v>
          </cell>
          <cell r="B50" t="str">
            <v>кг</v>
          </cell>
          <cell r="C50">
            <v>16.449000000000002</v>
          </cell>
          <cell r="F50">
            <v>16.449000000000002</v>
          </cell>
          <cell r="G50">
            <v>0</v>
          </cell>
          <cell r="H50">
            <v>30</v>
          </cell>
          <cell r="I50" t="str">
            <v>не в матрице</v>
          </cell>
          <cell r="L50">
            <v>0</v>
          </cell>
          <cell r="O50">
            <v>0</v>
          </cell>
          <cell r="P50">
            <v>0</v>
          </cell>
          <cell r="Q50">
            <v>0</v>
          </cell>
        </row>
        <row r="51">
          <cell r="A51" t="str">
            <v>6765 РУБЛЕНЫЕ сос ц/о мгс 0,36кг 6шт  Останкино</v>
          </cell>
          <cell r="B51" t="str">
            <v>шт</v>
          </cell>
          <cell r="C51">
            <v>2</v>
          </cell>
          <cell r="E51">
            <v>1</v>
          </cell>
          <cell r="F51">
            <v>1</v>
          </cell>
          <cell r="G51">
            <v>0.36</v>
          </cell>
          <cell r="H51">
            <v>45</v>
          </cell>
          <cell r="I51" t="str">
            <v>матрица</v>
          </cell>
          <cell r="K51">
            <v>112</v>
          </cell>
          <cell r="L51">
            <v>-111</v>
          </cell>
          <cell r="O51">
            <v>30</v>
          </cell>
          <cell r="P51">
            <v>43</v>
          </cell>
          <cell r="Q51">
            <v>0.2</v>
          </cell>
          <cell r="R51">
            <v>30</v>
          </cell>
          <cell r="S51">
            <v>60</v>
          </cell>
        </row>
        <row r="52">
          <cell r="A52" t="str">
            <v>6787 СЕРВЕЛАТ КРЕМЛЕВСКИЙ в/к в/у 0,33кг 8шт  Останкино</v>
          </cell>
          <cell r="B52" t="str">
            <v>шт</v>
          </cell>
          <cell r="C52">
            <v>86</v>
          </cell>
          <cell r="E52">
            <v>88</v>
          </cell>
          <cell r="F52">
            <v>-2</v>
          </cell>
          <cell r="G52">
            <v>0.33</v>
          </cell>
          <cell r="H52">
            <v>45</v>
          </cell>
          <cell r="I52" t="str">
            <v>матрица</v>
          </cell>
          <cell r="K52">
            <v>144</v>
          </cell>
          <cell r="L52">
            <v>-56</v>
          </cell>
          <cell r="O52">
            <v>168</v>
          </cell>
          <cell r="P52">
            <v>0</v>
          </cell>
          <cell r="Q52">
            <v>17.600000000000001</v>
          </cell>
          <cell r="R52">
            <v>115.60000000000002</v>
          </cell>
        </row>
        <row r="53">
          <cell r="A53" t="str">
            <v>6797 С ИНДЕЙКОЙ Папа может вар п/о 0,4кг 8шт. ОСТАНКИНО</v>
          </cell>
          <cell r="B53" t="str">
            <v>шт</v>
          </cell>
          <cell r="C53">
            <v>54</v>
          </cell>
          <cell r="E53">
            <v>45</v>
          </cell>
          <cell r="F53">
            <v>8</v>
          </cell>
          <cell r="G53">
            <v>0.4</v>
          </cell>
          <cell r="H53">
            <v>60</v>
          </cell>
          <cell r="I53" t="str">
            <v>матрица</v>
          </cell>
          <cell r="K53">
            <v>256</v>
          </cell>
          <cell r="L53">
            <v>-211</v>
          </cell>
          <cell r="O53">
            <v>295</v>
          </cell>
          <cell r="P53">
            <v>183</v>
          </cell>
          <cell r="Q53">
            <v>9</v>
          </cell>
          <cell r="R53">
            <v>50</v>
          </cell>
        </row>
        <row r="54">
          <cell r="A54" t="str">
            <v>6807 СЕРВЕЛАТ ЕВРОПЕЙСКИЙ в/к в/у 0,33кг 8шт  Останкино</v>
          </cell>
          <cell r="B54" t="str">
            <v>шт</v>
          </cell>
          <cell r="C54">
            <v>1</v>
          </cell>
          <cell r="E54">
            <v>-2</v>
          </cell>
          <cell r="F54">
            <v>1</v>
          </cell>
          <cell r="G54">
            <v>0.33</v>
          </cell>
          <cell r="H54">
            <v>45</v>
          </cell>
          <cell r="I54" t="str">
            <v>матрица</v>
          </cell>
          <cell r="K54">
            <v>6</v>
          </cell>
          <cell r="L54">
            <v>-8</v>
          </cell>
          <cell r="O54">
            <v>20</v>
          </cell>
          <cell r="P54">
            <v>16</v>
          </cell>
          <cell r="Q54">
            <v>-0.4</v>
          </cell>
        </row>
        <row r="55">
          <cell r="A55" t="str">
            <v>6829  МОЛОЧНЫЕ КЛАССИЧЕСКИЕ сос п/о мгс 2*4 С  Останккино</v>
          </cell>
          <cell r="B55" t="str">
            <v>кг</v>
          </cell>
          <cell r="C55">
            <v>165.26</v>
          </cell>
          <cell r="D55">
            <v>8.3279999999999994</v>
          </cell>
          <cell r="E55">
            <v>150.227</v>
          </cell>
          <cell r="F55">
            <v>8.7390000000000008</v>
          </cell>
          <cell r="G55">
            <v>1</v>
          </cell>
          <cell r="H55">
            <v>45</v>
          </cell>
          <cell r="I55" t="str">
            <v>матрица</v>
          </cell>
          <cell r="K55">
            <v>286.55900000000003</v>
          </cell>
          <cell r="L55">
            <v>-136.33200000000002</v>
          </cell>
          <cell r="O55">
            <v>305</v>
          </cell>
          <cell r="P55">
            <v>385</v>
          </cell>
          <cell r="Q55">
            <v>30.045400000000001</v>
          </cell>
          <cell r="R55">
            <v>250</v>
          </cell>
          <cell r="S55">
            <v>350</v>
          </cell>
        </row>
        <row r="56">
          <cell r="A56" t="str">
            <v>6837 ФИЛЕЙНЫЕ Папа Может сос ц/о мгс 0,4кг  Останкино</v>
          </cell>
          <cell r="B56" t="str">
            <v>шт</v>
          </cell>
          <cell r="C56">
            <v>114</v>
          </cell>
          <cell r="E56">
            <v>-1</v>
          </cell>
          <cell r="F56">
            <v>114</v>
          </cell>
          <cell r="G56">
            <v>0.4</v>
          </cell>
          <cell r="H56">
            <v>45</v>
          </cell>
          <cell r="I56" t="str">
            <v>матрица</v>
          </cell>
          <cell r="K56">
            <v>70</v>
          </cell>
          <cell r="L56">
            <v>-71</v>
          </cell>
          <cell r="O56">
            <v>0</v>
          </cell>
          <cell r="P56">
            <v>0</v>
          </cell>
          <cell r="Q56">
            <v>-0.2</v>
          </cell>
          <cell r="S56">
            <v>100</v>
          </cell>
        </row>
        <row r="57">
          <cell r="A57" t="str">
            <v>6861 ДОМАШНИЙ РЕЦЕПТ Коровино вар п/о  Останкино</v>
          </cell>
          <cell r="B57" t="str">
            <v>кг</v>
          </cell>
          <cell r="G57">
            <v>0</v>
          </cell>
          <cell r="I57" t="str">
            <v>матрица</v>
          </cell>
          <cell r="K57">
            <v>12</v>
          </cell>
          <cell r="L57">
            <v>-12</v>
          </cell>
          <cell r="O57">
            <v>0</v>
          </cell>
          <cell r="P57">
            <v>0</v>
          </cell>
          <cell r="Q57">
            <v>0</v>
          </cell>
        </row>
        <row r="58">
          <cell r="A58" t="str">
            <v>6866 ВЕТЧ.НЕЖНАЯ Коровино п/о_Маяк  Останкино</v>
          </cell>
          <cell r="B58" t="str">
            <v>кг</v>
          </cell>
          <cell r="C58">
            <v>43.298000000000002</v>
          </cell>
          <cell r="D58">
            <v>0.13300000000000001</v>
          </cell>
          <cell r="E58">
            <v>39.158000000000001</v>
          </cell>
          <cell r="F58">
            <v>4.1399999999999997</v>
          </cell>
          <cell r="G58">
            <v>1</v>
          </cell>
          <cell r="H58">
            <v>60</v>
          </cell>
          <cell r="I58" t="str">
            <v>матрица</v>
          </cell>
          <cell r="K58">
            <v>109.5</v>
          </cell>
          <cell r="L58">
            <v>-70.341999999999999</v>
          </cell>
          <cell r="O58">
            <v>73</v>
          </cell>
          <cell r="P58">
            <v>23</v>
          </cell>
          <cell r="Q58">
            <v>7.8315999999999999</v>
          </cell>
          <cell r="R58">
            <v>25.165599999999998</v>
          </cell>
          <cell r="S58">
            <v>100</v>
          </cell>
        </row>
        <row r="59">
          <cell r="A59" t="str">
            <v>6925 ВЕТЧ.КЛАССИЧЕСКАЯ в/у 0,6кг 8шт. ОСТАНКИНО</v>
          </cell>
          <cell r="B59" t="str">
            <v>шт</v>
          </cell>
          <cell r="C59">
            <v>62</v>
          </cell>
          <cell r="D59">
            <v>1</v>
          </cell>
          <cell r="E59">
            <v>29</v>
          </cell>
          <cell r="F59">
            <v>28</v>
          </cell>
          <cell r="G59">
            <v>0</v>
          </cell>
          <cell r="H59">
            <v>45</v>
          </cell>
          <cell r="I59" t="str">
            <v>вывод</v>
          </cell>
          <cell r="K59">
            <v>38</v>
          </cell>
          <cell r="L59">
            <v>-9</v>
          </cell>
          <cell r="O59">
            <v>0</v>
          </cell>
          <cell r="P59">
            <v>53</v>
          </cell>
          <cell r="Q59">
            <v>5.8</v>
          </cell>
          <cell r="R59">
            <v>11.799999999999997</v>
          </cell>
        </row>
        <row r="60">
          <cell r="A60" t="str">
            <v>6937 САЛЯМИ Папа может с/к в/у 1/250 8шт  Останкино</v>
          </cell>
          <cell r="B60" t="str">
            <v>шт</v>
          </cell>
          <cell r="C60">
            <v>120</v>
          </cell>
          <cell r="F60">
            <v>120</v>
          </cell>
          <cell r="G60">
            <v>0</v>
          </cell>
          <cell r="I60" t="str">
            <v>не в матрице</v>
          </cell>
          <cell r="L60">
            <v>0</v>
          </cell>
          <cell r="O60">
            <v>0</v>
          </cell>
          <cell r="P60">
            <v>0</v>
          </cell>
          <cell r="Q60">
            <v>0</v>
          </cell>
        </row>
        <row r="61">
          <cell r="A61" t="str">
            <v>6967 БУРГУНДИЯ Папа может с/к в/у 1/250 8шт  Останкино</v>
          </cell>
          <cell r="B61" t="str">
            <v>шт</v>
          </cell>
          <cell r="C61">
            <v>210</v>
          </cell>
          <cell r="D61">
            <v>2</v>
          </cell>
          <cell r="E61">
            <v>119</v>
          </cell>
          <cell r="F61">
            <v>90</v>
          </cell>
          <cell r="G61">
            <v>0.25</v>
          </cell>
          <cell r="H61">
            <v>120</v>
          </cell>
          <cell r="I61" t="str">
            <v>матрица</v>
          </cell>
          <cell r="K61">
            <v>292</v>
          </cell>
          <cell r="L61">
            <v>-173</v>
          </cell>
          <cell r="O61">
            <v>87</v>
          </cell>
          <cell r="P61">
            <v>239</v>
          </cell>
          <cell r="Q61">
            <v>23.8</v>
          </cell>
          <cell r="R61">
            <v>50</v>
          </cell>
          <cell r="S61">
            <v>100</v>
          </cell>
        </row>
        <row r="62">
          <cell r="A62" t="str">
            <v>7001 КЛАССИЧЕСКИЕ Папа может сар б/о мгс 1*3  Останкино</v>
          </cell>
          <cell r="B62" t="str">
            <v>кг</v>
          </cell>
          <cell r="C62">
            <v>1.056</v>
          </cell>
          <cell r="E62">
            <v>-1.054</v>
          </cell>
          <cell r="F62">
            <v>6.0000000000000001E-3</v>
          </cell>
          <cell r="G62">
            <v>1</v>
          </cell>
          <cell r="H62">
            <v>45</v>
          </cell>
          <cell r="I62" t="str">
            <v>матрица</v>
          </cell>
          <cell r="K62">
            <v>29</v>
          </cell>
          <cell r="L62">
            <v>-30.053999999999998</v>
          </cell>
          <cell r="O62">
            <v>44</v>
          </cell>
          <cell r="P62">
            <v>5</v>
          </cell>
          <cell r="Q62">
            <v>-0.21080000000000002</v>
          </cell>
          <cell r="R62">
            <v>20</v>
          </cell>
          <cell r="S62">
            <v>70</v>
          </cell>
        </row>
        <row r="63">
          <cell r="A63" t="str">
            <v>7040 С ИНДЕЙКОЙ ПМ сос ц/о в/у 1/270 8шт.  ОСТАНКИНО</v>
          </cell>
          <cell r="B63" t="str">
            <v>шт</v>
          </cell>
          <cell r="C63">
            <v>-1</v>
          </cell>
          <cell r="E63">
            <v>1</v>
          </cell>
          <cell r="F63">
            <v>-2</v>
          </cell>
          <cell r="G63">
            <v>0.27</v>
          </cell>
          <cell r="I63" t="str">
            <v>матрица</v>
          </cell>
          <cell r="K63">
            <v>110</v>
          </cell>
          <cell r="L63">
            <v>-109</v>
          </cell>
          <cell r="O63">
            <v>205</v>
          </cell>
          <cell r="P63">
            <v>16</v>
          </cell>
          <cell r="Q63">
            <v>0.2</v>
          </cell>
          <cell r="R63">
            <v>32</v>
          </cell>
          <cell r="S63">
            <v>80</v>
          </cell>
        </row>
        <row r="64">
          <cell r="A64" t="str">
            <v>7059 ШПИКАЧКИ СОЧНЫЕ С БЕК. п/о мгс 0,3кг 60с ОСТАНКИНО</v>
          </cell>
          <cell r="B64" t="str">
            <v>шт</v>
          </cell>
          <cell r="C64">
            <v>101</v>
          </cell>
          <cell r="D64">
            <v>2</v>
          </cell>
          <cell r="E64">
            <v>96</v>
          </cell>
          <cell r="F64">
            <v>6</v>
          </cell>
          <cell r="G64">
            <v>0.3</v>
          </cell>
          <cell r="H64">
            <v>60</v>
          </cell>
          <cell r="I64" t="str">
            <v>матрица</v>
          </cell>
          <cell r="K64">
            <v>164</v>
          </cell>
          <cell r="L64">
            <v>-68</v>
          </cell>
          <cell r="O64">
            <v>285</v>
          </cell>
          <cell r="P64">
            <v>0</v>
          </cell>
          <cell r="Q64">
            <v>19.2</v>
          </cell>
          <cell r="R64">
            <v>16.199999999999989</v>
          </cell>
          <cell r="S64">
            <v>100</v>
          </cell>
        </row>
        <row r="65">
          <cell r="A65" t="str">
            <v>7066 СОЧНЫЕ ПМ сос п/о мгс 0,41кг 10шт 50с  Останкино</v>
          </cell>
          <cell r="B65" t="str">
            <v>шт</v>
          </cell>
          <cell r="C65">
            <v>253</v>
          </cell>
          <cell r="D65">
            <v>8</v>
          </cell>
          <cell r="E65">
            <v>243</v>
          </cell>
          <cell r="F65">
            <v>14</v>
          </cell>
          <cell r="G65">
            <v>0.41</v>
          </cell>
          <cell r="H65">
            <v>50</v>
          </cell>
          <cell r="I65" t="str">
            <v>матрица</v>
          </cell>
          <cell r="K65">
            <v>1574</v>
          </cell>
          <cell r="L65">
            <v>-1331</v>
          </cell>
          <cell r="O65">
            <v>117</v>
          </cell>
          <cell r="P65">
            <v>1901</v>
          </cell>
          <cell r="Q65">
            <v>48.6</v>
          </cell>
          <cell r="R65">
            <v>1000</v>
          </cell>
          <cell r="S65">
            <v>1500</v>
          </cell>
        </row>
        <row r="66">
          <cell r="A66" t="str">
            <v>7070 СОЧНЫЕ ПМ сос п/о 1,5*4_А_50с  Останкино</v>
          </cell>
          <cell r="B66" t="str">
            <v>кг</v>
          </cell>
          <cell r="C66">
            <v>226.125</v>
          </cell>
          <cell r="D66">
            <v>16.943999999999999</v>
          </cell>
          <cell r="E66">
            <v>215.011</v>
          </cell>
          <cell r="F66">
            <v>11.114000000000001</v>
          </cell>
          <cell r="G66">
            <v>1</v>
          </cell>
          <cell r="H66">
            <v>50</v>
          </cell>
          <cell r="I66" t="str">
            <v>матрица</v>
          </cell>
          <cell r="K66">
            <v>365.76799999999997</v>
          </cell>
          <cell r="L66">
            <v>-150.75699999999998</v>
          </cell>
          <cell r="O66">
            <v>342</v>
          </cell>
          <cell r="P66">
            <v>162</v>
          </cell>
          <cell r="Q66">
            <v>43.002200000000002</v>
          </cell>
          <cell r="R66">
            <v>172.92120000000003</v>
          </cell>
          <cell r="S66">
            <v>300</v>
          </cell>
        </row>
        <row r="67">
          <cell r="A67" t="str">
            <v>7073 МОЛОЧ.ПРЕМИУМ ПМ сос п/о в/у 1/350_50с  Останкино</v>
          </cell>
          <cell r="B67" t="str">
            <v>шт</v>
          </cell>
          <cell r="C67">
            <v>103</v>
          </cell>
          <cell r="D67">
            <v>2</v>
          </cell>
          <cell r="E67">
            <v>88</v>
          </cell>
          <cell r="F67">
            <v>15</v>
          </cell>
          <cell r="G67">
            <v>0.35</v>
          </cell>
          <cell r="H67">
            <v>50</v>
          </cell>
          <cell r="I67" t="str">
            <v>матрица</v>
          </cell>
          <cell r="K67">
            <v>340</v>
          </cell>
          <cell r="L67">
            <v>-252</v>
          </cell>
          <cell r="O67">
            <v>499</v>
          </cell>
          <cell r="P67">
            <v>0</v>
          </cell>
          <cell r="Q67">
            <v>17.600000000000001</v>
          </cell>
          <cell r="R67">
            <v>250</v>
          </cell>
        </row>
        <row r="68">
          <cell r="A68" t="str">
            <v>7075 МОЛОЧ.ПРЕМИУМ ПМ сос п/о мгс 1,5*4_О_50с  Останкино</v>
          </cell>
          <cell r="B68" t="str">
            <v>кг</v>
          </cell>
          <cell r="C68">
            <v>7.0000000000000001E-3</v>
          </cell>
          <cell r="F68">
            <v>7.0000000000000001E-3</v>
          </cell>
          <cell r="G68">
            <v>1</v>
          </cell>
          <cell r="H68">
            <v>50</v>
          </cell>
          <cell r="I68" t="str">
            <v>матрица</v>
          </cell>
          <cell r="K68">
            <v>34.5</v>
          </cell>
          <cell r="L68">
            <v>-34.5</v>
          </cell>
          <cell r="O68">
            <v>56</v>
          </cell>
          <cell r="P68">
            <v>0</v>
          </cell>
          <cell r="Q68">
            <v>0</v>
          </cell>
          <cell r="R68">
            <v>10</v>
          </cell>
        </row>
        <row r="69">
          <cell r="A69" t="str">
            <v>7080 СЛИВОЧНЫЕ ПМ сос п/о мгс 0,41кг 10шт 50с  Останкино</v>
          </cell>
          <cell r="B69" t="str">
            <v>шт</v>
          </cell>
          <cell r="C69">
            <v>375</v>
          </cell>
          <cell r="D69">
            <v>2</v>
          </cell>
          <cell r="E69">
            <v>325</v>
          </cell>
          <cell r="F69">
            <v>50</v>
          </cell>
          <cell r="G69">
            <v>0.41</v>
          </cell>
          <cell r="H69">
            <v>50</v>
          </cell>
          <cell r="I69" t="str">
            <v>матрица</v>
          </cell>
          <cell r="K69">
            <v>877</v>
          </cell>
          <cell r="L69">
            <v>-552</v>
          </cell>
          <cell r="O69">
            <v>937</v>
          </cell>
          <cell r="P69">
            <v>1293</v>
          </cell>
          <cell r="Q69">
            <v>65</v>
          </cell>
          <cell r="R69">
            <v>300</v>
          </cell>
          <cell r="S69">
            <v>500</v>
          </cell>
        </row>
        <row r="70">
          <cell r="A70" t="str">
            <v>7083 СЛИВОЧНЫЕ ПМ сос п/о мгс 1.5*4_А_50с  ОСТАНКИНО</v>
          </cell>
          <cell r="B70" t="str">
            <v>кг</v>
          </cell>
          <cell r="C70">
            <v>137.93700000000001</v>
          </cell>
          <cell r="D70">
            <v>6.181</v>
          </cell>
          <cell r="E70">
            <v>133.22900000000001</v>
          </cell>
          <cell r="F70">
            <v>3.173</v>
          </cell>
          <cell r="G70">
            <v>1</v>
          </cell>
          <cell r="H70">
            <v>50</v>
          </cell>
          <cell r="I70" t="str">
            <v>матрица</v>
          </cell>
          <cell r="K70">
            <v>153.33000000000001</v>
          </cell>
          <cell r="L70">
            <v>-20.100999999999999</v>
          </cell>
          <cell r="O70">
            <v>0</v>
          </cell>
          <cell r="P70">
            <v>106</v>
          </cell>
          <cell r="Q70">
            <v>26.645800000000001</v>
          </cell>
          <cell r="R70">
            <v>210.57659999999998</v>
          </cell>
        </row>
        <row r="71">
          <cell r="A71" t="str">
            <v>7090 СВИНИНА ПО-ДОМ.к/в мл/к в/у 0,3кг_50с  Останкино</v>
          </cell>
          <cell r="B71" t="str">
            <v>шт</v>
          </cell>
          <cell r="C71">
            <v>212</v>
          </cell>
          <cell r="D71">
            <v>15</v>
          </cell>
          <cell r="E71">
            <v>167</v>
          </cell>
          <cell r="F71">
            <v>47</v>
          </cell>
          <cell r="G71">
            <v>0.3</v>
          </cell>
          <cell r="H71">
            <v>50</v>
          </cell>
          <cell r="I71" t="str">
            <v>матрица</v>
          </cell>
          <cell r="K71">
            <v>339</v>
          </cell>
          <cell r="L71">
            <v>-172</v>
          </cell>
          <cell r="O71">
            <v>7</v>
          </cell>
          <cell r="P71">
            <v>327</v>
          </cell>
          <cell r="Q71">
            <v>33.4</v>
          </cell>
          <cell r="R71">
            <v>153.39999999999998</v>
          </cell>
        </row>
        <row r="72">
          <cell r="A72" t="str">
            <v>7103 БЕКОН Останкино с/к с/н в/у 1/180_50с  Останкино</v>
          </cell>
          <cell r="B72" t="str">
            <v>шт</v>
          </cell>
          <cell r="C72">
            <v>261</v>
          </cell>
          <cell r="D72">
            <v>1</v>
          </cell>
          <cell r="E72">
            <v>168</v>
          </cell>
          <cell r="F72">
            <v>89</v>
          </cell>
          <cell r="G72">
            <v>0.18</v>
          </cell>
          <cell r="H72">
            <v>50</v>
          </cell>
          <cell r="I72" t="str">
            <v>матрица</v>
          </cell>
          <cell r="K72">
            <v>353</v>
          </cell>
          <cell r="L72">
            <v>-185</v>
          </cell>
          <cell r="O72">
            <v>129</v>
          </cell>
          <cell r="P72">
            <v>299</v>
          </cell>
          <cell r="Q72">
            <v>33.6</v>
          </cell>
          <cell r="R72">
            <v>20.600000000000023</v>
          </cell>
        </row>
        <row r="73">
          <cell r="A73" t="str">
            <v>7149 БАЛЫКОВАЯ Коровино п/к в/у 0,84кг_50с  Останкино</v>
          </cell>
          <cell r="B73" t="str">
            <v>кг</v>
          </cell>
          <cell r="G73">
            <v>0</v>
          </cell>
          <cell r="I73" t="str">
            <v>матрица</v>
          </cell>
          <cell r="K73">
            <v>6</v>
          </cell>
          <cell r="L73">
            <v>-6</v>
          </cell>
          <cell r="O73">
            <v>0</v>
          </cell>
          <cell r="P73">
            <v>0</v>
          </cell>
          <cell r="Q73">
            <v>0</v>
          </cell>
        </row>
        <row r="74">
          <cell r="A74" t="str">
            <v>7154 СЕРВЕЛАТ ЗЕРНИСТЫЙ ПМ в/к в/у 0,35кг_50с  Останкино</v>
          </cell>
          <cell r="B74" t="str">
            <v>шт</v>
          </cell>
          <cell r="C74">
            <v>220</v>
          </cell>
          <cell r="D74">
            <v>1</v>
          </cell>
          <cell r="E74">
            <v>157</v>
          </cell>
          <cell r="F74">
            <v>58</v>
          </cell>
          <cell r="G74">
            <v>0.35</v>
          </cell>
          <cell r="H74">
            <v>50</v>
          </cell>
          <cell r="I74" t="str">
            <v>матрица</v>
          </cell>
          <cell r="K74">
            <v>943</v>
          </cell>
          <cell r="L74">
            <v>-786</v>
          </cell>
          <cell r="O74">
            <v>956</v>
          </cell>
          <cell r="P74">
            <v>1058</v>
          </cell>
          <cell r="Q74">
            <v>31.4</v>
          </cell>
          <cell r="R74">
            <v>200</v>
          </cell>
          <cell r="S74">
            <v>350</v>
          </cell>
        </row>
        <row r="75">
          <cell r="A75" t="str">
            <v>7156 СЕРВЕЛАТ КОПЧ.НА БУКЕ в/к в/у 0.35кг_50с</v>
          </cell>
          <cell r="B75" t="str">
            <v>шт</v>
          </cell>
          <cell r="G75">
            <v>0</v>
          </cell>
          <cell r="I75" t="str">
            <v>матрица</v>
          </cell>
          <cell r="L75">
            <v>0</v>
          </cell>
          <cell r="O75">
            <v>0</v>
          </cell>
          <cell r="P75">
            <v>0</v>
          </cell>
          <cell r="Q75">
            <v>0</v>
          </cell>
        </row>
        <row r="76">
          <cell r="A76" t="str">
            <v>7157 СЕРВЕЛАТ ЗЕРНИСТЫЙ ПМ в/к в/у_50с  Останкино</v>
          </cell>
          <cell r="B76" t="str">
            <v>кг</v>
          </cell>
          <cell r="C76">
            <v>287.48500000000001</v>
          </cell>
          <cell r="D76">
            <v>6.1390000000000002</v>
          </cell>
          <cell r="E76">
            <v>132.245</v>
          </cell>
          <cell r="F76">
            <v>146.99799999999999</v>
          </cell>
          <cell r="G76">
            <v>1</v>
          </cell>
          <cell r="H76">
            <v>50</v>
          </cell>
          <cell r="I76" t="str">
            <v>матрица</v>
          </cell>
          <cell r="K76">
            <v>236.19499999999999</v>
          </cell>
          <cell r="L76">
            <v>-103.94999999999999</v>
          </cell>
          <cell r="O76">
            <v>49</v>
          </cell>
          <cell r="P76">
            <v>202</v>
          </cell>
          <cell r="Q76">
            <v>26.449000000000002</v>
          </cell>
          <cell r="R76">
            <v>25.186000000000035</v>
          </cell>
          <cell r="S76">
            <v>70</v>
          </cell>
        </row>
        <row r="77">
          <cell r="A77" t="str">
            <v>7166 СЕРВЕЛАТ ОХОТНИЧИЙ ПМ в/к в/у_50с  Останкино</v>
          </cell>
          <cell r="B77" t="str">
            <v>кг</v>
          </cell>
          <cell r="C77">
            <v>248.56299999999999</v>
          </cell>
          <cell r="D77">
            <v>9.1110000000000007</v>
          </cell>
          <cell r="E77">
            <v>137.84100000000001</v>
          </cell>
          <cell r="F77">
            <v>105.048</v>
          </cell>
          <cell r="G77">
            <v>1</v>
          </cell>
          <cell r="H77">
            <v>50</v>
          </cell>
          <cell r="I77" t="str">
            <v>матрица</v>
          </cell>
          <cell r="K77">
            <v>323.2</v>
          </cell>
          <cell r="L77">
            <v>-185.35899999999998</v>
          </cell>
          <cell r="O77">
            <v>249</v>
          </cell>
          <cell r="P77">
            <v>410</v>
          </cell>
          <cell r="Q77">
            <v>27.568200000000001</v>
          </cell>
          <cell r="R77">
            <v>100</v>
          </cell>
          <cell r="S77">
            <v>200</v>
          </cell>
        </row>
        <row r="78">
          <cell r="A78" t="str">
            <v>7169 СЕРВЕЛАТ ОХОТНИЧИЙ ПМ в/к в/у 0,35кг_50с  Останкино</v>
          </cell>
          <cell r="B78" t="str">
            <v>шт</v>
          </cell>
          <cell r="C78">
            <v>435</v>
          </cell>
          <cell r="D78">
            <v>5</v>
          </cell>
          <cell r="E78">
            <v>416</v>
          </cell>
          <cell r="F78">
            <v>11</v>
          </cell>
          <cell r="G78">
            <v>0.35</v>
          </cell>
          <cell r="H78">
            <v>50</v>
          </cell>
          <cell r="I78" t="str">
            <v>матрица</v>
          </cell>
          <cell r="K78">
            <v>858</v>
          </cell>
          <cell r="L78">
            <v>-442</v>
          </cell>
          <cell r="O78">
            <v>797</v>
          </cell>
          <cell r="P78">
            <v>1121</v>
          </cell>
          <cell r="Q78">
            <v>83.2</v>
          </cell>
          <cell r="R78">
            <v>200</v>
          </cell>
          <cell r="S78">
            <v>400</v>
          </cell>
        </row>
        <row r="79">
          <cell r="A79" t="str">
            <v>7177 ЧЕСНОЧНАЯ ПМ п/к в/у 0,35кг 8шт_50с  Останкино</v>
          </cell>
          <cell r="B79" t="str">
            <v>шт</v>
          </cell>
          <cell r="C79">
            <v>110</v>
          </cell>
          <cell r="E79">
            <v>26</v>
          </cell>
          <cell r="F79">
            <v>84</v>
          </cell>
          <cell r="G79">
            <v>0</v>
          </cell>
          <cell r="I79" t="str">
            <v>не в матрице</v>
          </cell>
          <cell r="K79">
            <v>42</v>
          </cell>
          <cell r="L79">
            <v>-16</v>
          </cell>
          <cell r="O79">
            <v>0</v>
          </cell>
          <cell r="P79">
            <v>0</v>
          </cell>
          <cell r="Q79">
            <v>5.2</v>
          </cell>
        </row>
        <row r="80">
          <cell r="A80" t="str">
            <v>7187 ГРУДИНКА ПРЕМИУМ к/в мл/к в/у 0,3кг_50с  Останкино</v>
          </cell>
          <cell r="B80" t="str">
            <v>шт</v>
          </cell>
          <cell r="C80">
            <v>18</v>
          </cell>
          <cell r="E80">
            <v>20</v>
          </cell>
          <cell r="F80">
            <v>1</v>
          </cell>
          <cell r="G80">
            <v>0.3</v>
          </cell>
          <cell r="H80">
            <v>50</v>
          </cell>
          <cell r="I80" t="str">
            <v>матрица</v>
          </cell>
          <cell r="K80">
            <v>268</v>
          </cell>
          <cell r="L80">
            <v>-248</v>
          </cell>
          <cell r="O80">
            <v>152</v>
          </cell>
          <cell r="P80">
            <v>222</v>
          </cell>
          <cell r="Q80">
            <v>4</v>
          </cell>
          <cell r="R80">
            <v>50</v>
          </cell>
        </row>
        <row r="81">
          <cell r="A81" t="str">
            <v>7231 КЛАССИЧЕСКАЯ ПМ вар п/о 0,3кг 8 шт_209к  Останкино</v>
          </cell>
          <cell r="B81" t="str">
            <v>шт</v>
          </cell>
          <cell r="C81">
            <v>43</v>
          </cell>
          <cell r="E81">
            <v>40</v>
          </cell>
          <cell r="F81">
            <v>2</v>
          </cell>
          <cell r="G81">
            <v>0.3</v>
          </cell>
          <cell r="H81">
            <v>60</v>
          </cell>
          <cell r="I81" t="str">
            <v>матрица</v>
          </cell>
          <cell r="K81">
            <v>61</v>
          </cell>
          <cell r="L81">
            <v>-21</v>
          </cell>
          <cell r="O81">
            <v>60</v>
          </cell>
          <cell r="P81">
            <v>16</v>
          </cell>
          <cell r="Q81">
            <v>8</v>
          </cell>
          <cell r="R81">
            <v>50</v>
          </cell>
        </row>
        <row r="82">
          <cell r="A82" t="str">
            <v>7232 БОЯNСКАЯ ПМ п/к в/у 0,28кг 8шт_209к  Останкино</v>
          </cell>
          <cell r="B82" t="str">
            <v>шт</v>
          </cell>
          <cell r="C82">
            <v>116</v>
          </cell>
          <cell r="D82">
            <v>1</v>
          </cell>
          <cell r="E82">
            <v>110</v>
          </cell>
          <cell r="F82">
            <v>4</v>
          </cell>
          <cell r="G82">
            <v>0.28000000000000003</v>
          </cell>
          <cell r="H82">
            <v>50</v>
          </cell>
          <cell r="I82" t="str">
            <v>матрица</v>
          </cell>
          <cell r="K82">
            <v>543</v>
          </cell>
          <cell r="L82">
            <v>-433</v>
          </cell>
          <cell r="O82">
            <v>619</v>
          </cell>
          <cell r="P82">
            <v>703</v>
          </cell>
          <cell r="Q82">
            <v>22</v>
          </cell>
        </row>
        <row r="83">
          <cell r="A83" t="str">
            <v>7236 СЕРВЕЛАТ КАРЕЛЬСКИЙ в/к в/у 0,28кг_209к  Останкино</v>
          </cell>
          <cell r="B83" t="str">
            <v>шт</v>
          </cell>
          <cell r="C83">
            <v>207</v>
          </cell>
          <cell r="D83">
            <v>18</v>
          </cell>
          <cell r="E83">
            <v>217</v>
          </cell>
          <cell r="F83">
            <v>7</v>
          </cell>
          <cell r="G83">
            <v>0.28000000000000003</v>
          </cell>
          <cell r="H83">
            <v>45</v>
          </cell>
          <cell r="I83" t="str">
            <v>матрица</v>
          </cell>
          <cell r="K83">
            <v>551</v>
          </cell>
          <cell r="L83">
            <v>-334</v>
          </cell>
          <cell r="O83">
            <v>465</v>
          </cell>
          <cell r="P83">
            <v>780</v>
          </cell>
          <cell r="Q83">
            <v>43.4</v>
          </cell>
          <cell r="R83">
            <v>200</v>
          </cell>
        </row>
        <row r="84">
          <cell r="A84" t="str">
            <v>7238 СЕРВЕЛАТ ОРЕХОВЫЙ в/к в/у 0,31кг_209к  Останкино</v>
          </cell>
          <cell r="B84" t="str">
            <v>шт</v>
          </cell>
          <cell r="C84">
            <v>140</v>
          </cell>
          <cell r="F84">
            <v>140</v>
          </cell>
          <cell r="G84">
            <v>0</v>
          </cell>
          <cell r="I84" t="str">
            <v>не в матрице</v>
          </cell>
          <cell r="L84">
            <v>0</v>
          </cell>
          <cell r="O84">
            <v>0</v>
          </cell>
          <cell r="P84">
            <v>0</v>
          </cell>
          <cell r="Q84">
            <v>0</v>
          </cell>
        </row>
        <row r="85">
          <cell r="A85" t="str">
            <v>7241 САЛЯМИ Папа может п/к в/у 0,28кг ОСТАНКИНО</v>
          </cell>
          <cell r="B85" t="str">
            <v>шт</v>
          </cell>
          <cell r="C85">
            <v>217</v>
          </cell>
          <cell r="D85">
            <v>3</v>
          </cell>
          <cell r="E85">
            <v>186</v>
          </cell>
          <cell r="F85">
            <v>27</v>
          </cell>
          <cell r="G85">
            <v>0.28000000000000003</v>
          </cell>
          <cell r="H85">
            <v>45</v>
          </cell>
          <cell r="I85" t="str">
            <v>матрица</v>
          </cell>
          <cell r="K85">
            <v>486</v>
          </cell>
          <cell r="L85">
            <v>-300</v>
          </cell>
          <cell r="O85">
            <v>281</v>
          </cell>
          <cell r="P85">
            <v>637</v>
          </cell>
          <cell r="Q85">
            <v>37.200000000000003</v>
          </cell>
          <cell r="R85">
            <v>100</v>
          </cell>
        </row>
        <row r="86">
          <cell r="A86" t="str">
            <v>7255 МЯСНЫЕ С ГОВЯД.ПМ сос п/о мгс 0.4кг 6шт.  ОСТАНКИНО</v>
          </cell>
          <cell r="B86" t="str">
            <v>шт</v>
          </cell>
          <cell r="C86">
            <v>749</v>
          </cell>
          <cell r="D86">
            <v>16</v>
          </cell>
          <cell r="E86">
            <v>722</v>
          </cell>
          <cell r="F86">
            <v>26</v>
          </cell>
          <cell r="G86">
            <v>0.4</v>
          </cell>
          <cell r="H86">
            <v>50</v>
          </cell>
          <cell r="I86" t="str">
            <v>матрица</v>
          </cell>
          <cell r="K86">
            <v>1028</v>
          </cell>
          <cell r="L86">
            <v>-306</v>
          </cell>
          <cell r="O86">
            <v>962</v>
          </cell>
          <cell r="P86">
            <v>352</v>
          </cell>
          <cell r="Q86">
            <v>144.4</v>
          </cell>
          <cell r="R86">
            <v>970.40000000000009</v>
          </cell>
          <cell r="S86">
            <v>1200</v>
          </cell>
        </row>
        <row r="87">
          <cell r="A87" t="str">
            <v>7284 ДЛЯ ДЕТЕЙ сос п/о мгс 0,33кг 6шт  Останкино</v>
          </cell>
          <cell r="B87" t="str">
            <v>шт</v>
          </cell>
          <cell r="C87">
            <v>-1</v>
          </cell>
          <cell r="F87">
            <v>-1</v>
          </cell>
          <cell r="G87">
            <v>0</v>
          </cell>
          <cell r="I87" t="str">
            <v>не в матрице</v>
          </cell>
          <cell r="J87" t="str">
            <v>7461 ДЛЯ ДЕТЕЙ Папа Может сос п/о мгс 0,33кг ОСТАНКИНО</v>
          </cell>
          <cell r="K87">
            <v>17</v>
          </cell>
          <cell r="L87">
            <v>-17</v>
          </cell>
          <cell r="P87">
            <v>0</v>
          </cell>
          <cell r="Q87">
            <v>0</v>
          </cell>
        </row>
        <row r="88">
          <cell r="A88" t="str">
            <v>7299 НАБОР ДЛЯ ПИЦЦЫ Папа Может с/к в/у  ОСТАНКИНО</v>
          </cell>
          <cell r="B88" t="str">
            <v>кг</v>
          </cell>
          <cell r="C88">
            <v>122.913</v>
          </cell>
          <cell r="D88">
            <v>1.5529999999999999</v>
          </cell>
          <cell r="E88">
            <v>19.196999999999999</v>
          </cell>
          <cell r="F88">
            <v>103.636</v>
          </cell>
          <cell r="G88">
            <v>1</v>
          </cell>
          <cell r="H88">
            <v>30</v>
          </cell>
          <cell r="I88" t="str">
            <v>матрица</v>
          </cell>
          <cell r="K88">
            <v>20.65</v>
          </cell>
          <cell r="L88">
            <v>-1.4529999999999994</v>
          </cell>
          <cell r="O88">
            <v>0</v>
          </cell>
          <cell r="P88">
            <v>0</v>
          </cell>
          <cell r="Q88">
            <v>3.8393999999999999</v>
          </cell>
        </row>
        <row r="89">
          <cell r="A89" t="str">
            <v>7332 БОЯРСКАЯ ПМ п/к в/у 0,28кг ОСТАНКИНО</v>
          </cell>
          <cell r="B89" t="str">
            <v>шт</v>
          </cell>
          <cell r="C89">
            <v>25</v>
          </cell>
          <cell r="E89">
            <v>22</v>
          </cell>
          <cell r="F89">
            <v>3</v>
          </cell>
          <cell r="G89">
            <v>0</v>
          </cell>
          <cell r="H89">
            <v>50</v>
          </cell>
          <cell r="I89" t="str">
            <v>вывод</v>
          </cell>
          <cell r="K89">
            <v>55</v>
          </cell>
          <cell r="L89">
            <v>-33</v>
          </cell>
          <cell r="O89">
            <v>6</v>
          </cell>
          <cell r="P89">
            <v>25</v>
          </cell>
          <cell r="Q89">
            <v>4.4000000000000004</v>
          </cell>
        </row>
        <row r="90">
          <cell r="A90" t="str">
            <v>7334 МЯСНАЯ СО ШПИКОМ ПМ вар п/о 0.4кг 8шт.</v>
          </cell>
          <cell r="B90" t="str">
            <v>шт</v>
          </cell>
          <cell r="C90">
            <v>280</v>
          </cell>
          <cell r="F90">
            <v>280</v>
          </cell>
          <cell r="G90">
            <v>0</v>
          </cell>
          <cell r="I90" t="str">
            <v>не в матрице</v>
          </cell>
          <cell r="L90">
            <v>0</v>
          </cell>
          <cell r="O90">
            <v>0</v>
          </cell>
          <cell r="P90">
            <v>0</v>
          </cell>
          <cell r="Q90">
            <v>0</v>
          </cell>
        </row>
        <row r="91">
          <cell r="A91" t="str">
            <v>7382  САЛЯМИ МЕЛКОЗЕРНЕНАЯ с/к в/у1/120 8шт.  ОСТАНКИНО</v>
          </cell>
          <cell r="B91" t="str">
            <v>шт</v>
          </cell>
          <cell r="C91">
            <v>299</v>
          </cell>
          <cell r="D91">
            <v>4</v>
          </cell>
          <cell r="E91">
            <v>250</v>
          </cell>
          <cell r="F91">
            <v>49</v>
          </cell>
          <cell r="G91">
            <v>0.12</v>
          </cell>
          <cell r="H91">
            <v>60</v>
          </cell>
          <cell r="I91" t="str">
            <v>матрица</v>
          </cell>
          <cell r="K91">
            <v>484</v>
          </cell>
          <cell r="L91">
            <v>-234</v>
          </cell>
          <cell r="O91">
            <v>398</v>
          </cell>
          <cell r="P91">
            <v>465</v>
          </cell>
          <cell r="Q91">
            <v>50</v>
          </cell>
        </row>
        <row r="92">
          <cell r="A92" t="str">
            <v>7386 БАРСЕЛОНА ПМ с/к в/у 1/150  ОСТАНКИНО</v>
          </cell>
          <cell r="B92" t="str">
            <v>шт</v>
          </cell>
          <cell r="C92">
            <v>35</v>
          </cell>
          <cell r="D92">
            <v>1</v>
          </cell>
          <cell r="E92">
            <v>17</v>
          </cell>
          <cell r="F92">
            <v>18</v>
          </cell>
          <cell r="G92">
            <v>0.15</v>
          </cell>
          <cell r="H92">
            <v>90</v>
          </cell>
          <cell r="I92" t="str">
            <v>матрица</v>
          </cell>
          <cell r="K92">
            <v>120</v>
          </cell>
          <cell r="L92">
            <v>-103</v>
          </cell>
          <cell r="O92">
            <v>0</v>
          </cell>
          <cell r="P92">
            <v>0</v>
          </cell>
          <cell r="Q92">
            <v>3.4</v>
          </cell>
          <cell r="R92">
            <v>36.4</v>
          </cell>
          <cell r="S92">
            <v>300</v>
          </cell>
        </row>
        <row r="93">
          <cell r="A93" t="str">
            <v>7461 ДЛЯ ДЕТЕЙ Папа Может сос п/о мгс 0,33кг ОСТАНКИНО</v>
          </cell>
          <cell r="B93" t="str">
            <v>шт</v>
          </cell>
          <cell r="C93">
            <v>158</v>
          </cell>
          <cell r="D93">
            <v>6</v>
          </cell>
          <cell r="E93">
            <v>152</v>
          </cell>
          <cell r="F93">
            <v>5</v>
          </cell>
          <cell r="G93">
            <v>0.33</v>
          </cell>
          <cell r="H93">
            <v>30</v>
          </cell>
          <cell r="I93" t="str">
            <v>матрица</v>
          </cell>
          <cell r="K93">
            <v>235</v>
          </cell>
          <cell r="L93">
            <v>-83</v>
          </cell>
          <cell r="O93">
            <v>248</v>
          </cell>
          <cell r="P93">
            <v>194</v>
          </cell>
          <cell r="Q93">
            <v>30.4</v>
          </cell>
          <cell r="R93">
            <v>39.399999999999977</v>
          </cell>
        </row>
        <row r="94">
          <cell r="A94" t="str">
            <v>7485 РИЕТ МЯСНОЙ С ГРИБАМИ ПМ п/о 1/150  ОСТАНКИНО</v>
          </cell>
          <cell r="B94" t="str">
            <v>шт</v>
          </cell>
          <cell r="C94">
            <v>52</v>
          </cell>
          <cell r="D94">
            <v>2</v>
          </cell>
          <cell r="E94">
            <v>50</v>
          </cell>
          <cell r="F94">
            <v>4</v>
          </cell>
          <cell r="G94">
            <v>0.15</v>
          </cell>
          <cell r="H94">
            <v>60</v>
          </cell>
          <cell r="I94" t="str">
            <v>матрица</v>
          </cell>
          <cell r="K94">
            <v>246</v>
          </cell>
          <cell r="L94">
            <v>-196</v>
          </cell>
          <cell r="O94">
            <v>0</v>
          </cell>
          <cell r="P94">
            <v>49</v>
          </cell>
          <cell r="Q94">
            <v>10</v>
          </cell>
          <cell r="R94">
            <v>77</v>
          </cell>
          <cell r="S94">
            <v>300</v>
          </cell>
        </row>
        <row r="95">
          <cell r="A95" t="str">
            <v>7513 ВОСКРЕСЕНСКАЯ ВЯЛЕНАЯ в/к в/у срез 1/260  ОСТАНКИНО</v>
          </cell>
          <cell r="B95" t="str">
            <v>шт</v>
          </cell>
          <cell r="C95">
            <v>56</v>
          </cell>
          <cell r="D95">
            <v>3</v>
          </cell>
          <cell r="E95">
            <v>55</v>
          </cell>
          <cell r="F95">
            <v>2</v>
          </cell>
          <cell r="G95">
            <v>0.26</v>
          </cell>
          <cell r="H95">
            <v>45</v>
          </cell>
          <cell r="I95" t="str">
            <v>матрица</v>
          </cell>
          <cell r="K95">
            <v>139</v>
          </cell>
          <cell r="L95">
            <v>-84</v>
          </cell>
          <cell r="O95">
            <v>0</v>
          </cell>
          <cell r="P95">
            <v>39</v>
          </cell>
          <cell r="Q95">
            <v>11</v>
          </cell>
          <cell r="R95">
            <v>91</v>
          </cell>
          <cell r="S95">
            <v>300</v>
          </cell>
        </row>
        <row r="96">
          <cell r="A96" t="str">
            <v>7516 НОВОМОСКОВСКАЯ в/к в/у срез 0.31кг  ОСТАНКИНО</v>
          </cell>
          <cell r="B96" t="str">
            <v>шт</v>
          </cell>
          <cell r="C96">
            <v>45</v>
          </cell>
          <cell r="D96">
            <v>2</v>
          </cell>
          <cell r="E96">
            <v>45</v>
          </cell>
          <cell r="F96">
            <v>1</v>
          </cell>
          <cell r="G96">
            <v>0.31</v>
          </cell>
          <cell r="H96">
            <v>45</v>
          </cell>
          <cell r="I96" t="str">
            <v>матрица</v>
          </cell>
          <cell r="K96">
            <v>226</v>
          </cell>
          <cell r="L96">
            <v>-181</v>
          </cell>
          <cell r="O96">
            <v>0</v>
          </cell>
          <cell r="P96">
            <v>49</v>
          </cell>
          <cell r="Q96">
            <v>9</v>
          </cell>
          <cell r="R96">
            <v>76</v>
          </cell>
          <cell r="S96">
            <v>300</v>
          </cell>
        </row>
        <row r="97">
          <cell r="A97" t="str">
            <v>7523 ГОВЯЖЬЯ Папа Может вар п/о 0,4кг 6шт. ОСТАНКИНО</v>
          </cell>
          <cell r="B97" t="str">
            <v>шт</v>
          </cell>
          <cell r="C97">
            <v>177</v>
          </cell>
          <cell r="D97">
            <v>3</v>
          </cell>
          <cell r="E97">
            <v>122</v>
          </cell>
          <cell r="F97">
            <v>55</v>
          </cell>
          <cell r="G97">
            <v>0.4</v>
          </cell>
          <cell r="H97">
            <v>60</v>
          </cell>
          <cell r="I97" t="str">
            <v>матрица</v>
          </cell>
          <cell r="K97">
            <v>311</v>
          </cell>
          <cell r="L97">
            <v>-189</v>
          </cell>
          <cell r="O97">
            <v>252</v>
          </cell>
          <cell r="P97">
            <v>416</v>
          </cell>
          <cell r="Q97">
            <v>24.4</v>
          </cell>
        </row>
        <row r="98">
          <cell r="A98" t="str">
            <v>7539 ДОКТОРСКАЯ ГОСТ вар п/о 0,35кг ОСТАНКИНО</v>
          </cell>
          <cell r="B98" t="str">
            <v>шт</v>
          </cell>
          <cell r="G98">
            <v>0.35</v>
          </cell>
          <cell r="H98">
            <v>60</v>
          </cell>
          <cell r="I98" t="str">
            <v>матрица</v>
          </cell>
          <cell r="K98">
            <v>98</v>
          </cell>
          <cell r="L98">
            <v>-98</v>
          </cell>
          <cell r="O98">
            <v>40</v>
          </cell>
          <cell r="P98">
            <v>0</v>
          </cell>
          <cell r="Q98">
            <v>0</v>
          </cell>
        </row>
        <row r="99">
          <cell r="A99" t="str">
            <v>7562 КРАКОВСКАЯ ГОСТ Останкино п/к н/о мгс  ОСТАНКИНО</v>
          </cell>
          <cell r="B99" t="str">
            <v>кг</v>
          </cell>
          <cell r="C99">
            <v>78.790999999999997</v>
          </cell>
          <cell r="D99">
            <v>2.5329999999999999</v>
          </cell>
          <cell r="E99">
            <v>58.665999999999997</v>
          </cell>
          <cell r="F99">
            <v>20.125</v>
          </cell>
          <cell r="G99">
            <v>1</v>
          </cell>
          <cell r="H99">
            <v>45</v>
          </cell>
          <cell r="I99" t="str">
            <v>матрица</v>
          </cell>
          <cell r="K99">
            <v>53.564999999999998</v>
          </cell>
          <cell r="L99">
            <v>5.1009999999999991</v>
          </cell>
          <cell r="O99">
            <v>0</v>
          </cell>
          <cell r="P99">
            <v>0</v>
          </cell>
          <cell r="Q99">
            <v>11.7332</v>
          </cell>
          <cell r="R99">
            <v>97.206999999999994</v>
          </cell>
          <cell r="S99">
            <v>250</v>
          </cell>
        </row>
        <row r="100">
          <cell r="A100" t="str">
            <v>7564 Балыковая в/к в/у Останкино Вес  ОСТАНКИНО</v>
          </cell>
          <cell r="B100" t="str">
            <v>кг</v>
          </cell>
          <cell r="C100">
            <v>32.887</v>
          </cell>
          <cell r="E100">
            <v>32.963999999999999</v>
          </cell>
          <cell r="F100">
            <v>-7.6999999999999999E-2</v>
          </cell>
          <cell r="G100">
            <v>1</v>
          </cell>
          <cell r="H100">
            <v>45</v>
          </cell>
          <cell r="I100" t="str">
            <v>матрица</v>
          </cell>
          <cell r="K100">
            <v>58.04</v>
          </cell>
          <cell r="L100">
            <v>-25.076000000000001</v>
          </cell>
          <cell r="O100">
            <v>0</v>
          </cell>
          <cell r="P100">
            <v>81</v>
          </cell>
          <cell r="Q100">
            <v>6.5927999999999995</v>
          </cell>
          <cell r="R100">
            <v>24.561799999999995</v>
          </cell>
        </row>
        <row r="101">
          <cell r="A101" t="str">
            <v>7601 ДЛЯ ДЕТЕЙ Папа может сос п/о мгс 0.264кг  ОСТАНКИНО</v>
          </cell>
          <cell r="B101" t="str">
            <v>шт</v>
          </cell>
          <cell r="C101">
            <v>160</v>
          </cell>
          <cell r="F101">
            <v>160</v>
          </cell>
          <cell r="G101">
            <v>0</v>
          </cell>
          <cell r="I101" t="str">
            <v>не в матрице</v>
          </cell>
          <cell r="K101">
            <v>6</v>
          </cell>
          <cell r="L101">
            <v>-6</v>
          </cell>
          <cell r="O101">
            <v>0</v>
          </cell>
          <cell r="P101">
            <v>0</v>
          </cell>
          <cell r="Q101">
            <v>0</v>
          </cell>
        </row>
        <row r="102">
          <cell r="A102" t="str">
            <v>7603 БАЛЫКОВАЯ в/к в/у 0.33кг 8шт. ОСТАНКИНО</v>
          </cell>
          <cell r="B102" t="str">
            <v>шт</v>
          </cell>
          <cell r="C102">
            <v>28</v>
          </cell>
          <cell r="F102">
            <v>28</v>
          </cell>
          <cell r="G102">
            <v>0.33</v>
          </cell>
          <cell r="H102">
            <v>45</v>
          </cell>
          <cell r="I102" t="str">
            <v>матрица</v>
          </cell>
          <cell r="K102">
            <v>362</v>
          </cell>
          <cell r="L102">
            <v>-362</v>
          </cell>
          <cell r="O102">
            <v>156</v>
          </cell>
          <cell r="P102">
            <v>0</v>
          </cell>
          <cell r="Q102">
            <v>0</v>
          </cell>
          <cell r="S102">
            <v>100</v>
          </cell>
        </row>
        <row r="103">
          <cell r="A103" t="str">
            <v>7608 СЕРВЕЛАТ ШВЕЙЦАРСК.в/к с/н в/у 1/100_Л11  ОСТАНКИНО</v>
          </cell>
          <cell r="B103" t="str">
            <v>шт</v>
          </cell>
          <cell r="C103">
            <v>46</v>
          </cell>
          <cell r="F103">
            <v>46</v>
          </cell>
          <cell r="G103">
            <v>0</v>
          </cell>
          <cell r="H103">
            <v>45</v>
          </cell>
          <cell r="I103" t="str">
            <v>вывод</v>
          </cell>
          <cell r="K103">
            <v>11</v>
          </cell>
          <cell r="L103">
            <v>-11</v>
          </cell>
          <cell r="O103">
            <v>0</v>
          </cell>
          <cell r="P103">
            <v>0</v>
          </cell>
          <cell r="Q103">
            <v>0</v>
          </cell>
        </row>
        <row r="104">
          <cell r="A104" t="str">
            <v>7612 БАЛЫК с/к с/н в/у 1/100 10шт_  ОСТАНКИНО</v>
          </cell>
          <cell r="B104" t="str">
            <v>шт</v>
          </cell>
          <cell r="C104">
            <v>21</v>
          </cell>
          <cell r="E104">
            <v>17</v>
          </cell>
          <cell r="F104">
            <v>-1</v>
          </cell>
          <cell r="G104">
            <v>0</v>
          </cell>
          <cell r="H104">
            <v>60</v>
          </cell>
          <cell r="I104" t="str">
            <v>вывод</v>
          </cell>
          <cell r="K104">
            <v>135</v>
          </cell>
          <cell r="L104">
            <v>-118</v>
          </cell>
          <cell r="O104">
            <v>0</v>
          </cell>
          <cell r="P104">
            <v>59</v>
          </cell>
          <cell r="Q104">
            <v>3.4</v>
          </cell>
        </row>
        <row r="105">
          <cell r="A105" t="str">
            <v>7613 АРОМАТНАЯ с/к с/н в/у 1/100 10шт_Л10  ОСТАНКИНО</v>
          </cell>
          <cell r="B105" t="str">
            <v>шт</v>
          </cell>
          <cell r="C105">
            <v>199</v>
          </cell>
          <cell r="D105">
            <v>15</v>
          </cell>
          <cell r="E105">
            <v>129</v>
          </cell>
          <cell r="F105">
            <v>68</v>
          </cell>
          <cell r="G105">
            <v>0.1</v>
          </cell>
          <cell r="H105">
            <v>60</v>
          </cell>
          <cell r="I105" t="str">
            <v>матрица</v>
          </cell>
          <cell r="K105">
            <v>261</v>
          </cell>
          <cell r="L105">
            <v>-132</v>
          </cell>
          <cell r="O105">
            <v>0</v>
          </cell>
          <cell r="P105">
            <v>260</v>
          </cell>
          <cell r="Q105">
            <v>25.8</v>
          </cell>
          <cell r="R105">
            <v>84.800000000000011</v>
          </cell>
          <cell r="S105">
            <v>150</v>
          </cell>
        </row>
        <row r="106">
          <cell r="A106" t="str">
            <v>7616 ЭКСТРА Папа может с/к с/н в/у 1/100_  ОСТАНКИНО</v>
          </cell>
          <cell r="B106" t="str">
            <v>шт</v>
          </cell>
          <cell r="C106">
            <v>145</v>
          </cell>
          <cell r="D106">
            <v>5</v>
          </cell>
          <cell r="E106">
            <v>146</v>
          </cell>
          <cell r="F106">
            <v>5</v>
          </cell>
          <cell r="G106">
            <v>0.1</v>
          </cell>
          <cell r="H106">
            <v>60</v>
          </cell>
          <cell r="I106" t="str">
            <v>матрица</v>
          </cell>
          <cell r="K106">
            <v>282</v>
          </cell>
          <cell r="L106">
            <v>-136</v>
          </cell>
          <cell r="O106">
            <v>0</v>
          </cell>
          <cell r="P106">
            <v>312</v>
          </cell>
          <cell r="Q106">
            <v>29.2</v>
          </cell>
          <cell r="R106">
            <v>150.19999999999999</v>
          </cell>
        </row>
        <row r="107">
          <cell r="A107" t="str">
            <v>7632 ЭКСТРА Папа может вар п/о 0.4кг 8шт_195к  ОСТАНКИНО</v>
          </cell>
          <cell r="B107" t="str">
            <v>шт</v>
          </cell>
          <cell r="C107">
            <v>51</v>
          </cell>
          <cell r="D107">
            <v>1</v>
          </cell>
          <cell r="E107">
            <v>65</v>
          </cell>
          <cell r="F107">
            <v>-13</v>
          </cell>
          <cell r="G107">
            <v>0.4</v>
          </cell>
          <cell r="H107">
            <v>60</v>
          </cell>
          <cell r="I107" t="str">
            <v>матрица</v>
          </cell>
          <cell r="K107">
            <v>418</v>
          </cell>
          <cell r="L107">
            <v>-353</v>
          </cell>
          <cell r="O107">
            <v>781</v>
          </cell>
          <cell r="P107">
            <v>291</v>
          </cell>
          <cell r="Q107">
            <v>13</v>
          </cell>
          <cell r="S107">
            <v>250</v>
          </cell>
        </row>
        <row r="108">
          <cell r="A108" t="str">
            <v>7647 ХОЧУ ВЕТЧ.ИЗ СВ.ОТРУБА с/н мгс 1/100_Л11  ОСТАНКИНО</v>
          </cell>
          <cell r="B108" t="str">
            <v>шт</v>
          </cell>
          <cell r="C108">
            <v>135</v>
          </cell>
          <cell r="D108">
            <v>3</v>
          </cell>
          <cell r="E108">
            <v>115</v>
          </cell>
          <cell r="F108">
            <v>20</v>
          </cell>
          <cell r="G108">
            <v>0.1</v>
          </cell>
          <cell r="I108" t="str">
            <v>матрица</v>
          </cell>
          <cell r="K108">
            <v>123</v>
          </cell>
          <cell r="L108">
            <v>-8</v>
          </cell>
          <cell r="O108">
            <v>0</v>
          </cell>
          <cell r="P108">
            <v>0</v>
          </cell>
          <cell r="Q108">
            <v>23</v>
          </cell>
          <cell r="R108">
            <v>187</v>
          </cell>
        </row>
        <row r="109">
          <cell r="A109" t="str">
            <v>7651 ХОЧУ ВЕТЧ.МРАМОР. ПМ с/н мгс 1/100_Л11  ОСТАНКИНО</v>
          </cell>
          <cell r="B109" t="str">
            <v>шт</v>
          </cell>
          <cell r="C109">
            <v>134</v>
          </cell>
          <cell r="D109">
            <v>2</v>
          </cell>
          <cell r="E109">
            <v>114</v>
          </cell>
          <cell r="F109">
            <v>21</v>
          </cell>
          <cell r="G109">
            <v>0.1</v>
          </cell>
          <cell r="I109" t="str">
            <v>матрица</v>
          </cell>
          <cell r="K109">
            <v>120</v>
          </cell>
          <cell r="L109">
            <v>-6</v>
          </cell>
          <cell r="O109">
            <v>0</v>
          </cell>
          <cell r="P109">
            <v>0</v>
          </cell>
          <cell r="Q109">
            <v>22.8</v>
          </cell>
          <cell r="R109">
            <v>184.20000000000002</v>
          </cell>
        </row>
        <row r="110">
          <cell r="A110" t="str">
            <v>8014 ДОКТОРСКАЯ ПРЕМИУМ вар п/о(п)</v>
          </cell>
          <cell r="B110" t="str">
            <v>кг</v>
          </cell>
          <cell r="G110">
            <v>0</v>
          </cell>
          <cell r="I110" t="str">
            <v>матрица</v>
          </cell>
          <cell r="L110">
            <v>0</v>
          </cell>
          <cell r="O110">
            <v>0</v>
          </cell>
          <cell r="P110">
            <v>0</v>
          </cell>
          <cell r="Q110">
            <v>0</v>
          </cell>
        </row>
        <row r="111">
          <cell r="A111" t="str">
            <v>7514 ЛЮБИТЕЛЬСКАЯ ОСТАНКИНСКАЯ вар п/о в/у  ОСТАНКИНО</v>
          </cell>
          <cell r="B111" t="str">
            <v>кг</v>
          </cell>
          <cell r="G111">
            <v>1</v>
          </cell>
          <cell r="H111">
            <v>30</v>
          </cell>
          <cell r="I111" t="str">
            <v>матрица</v>
          </cell>
          <cell r="Q111">
            <v>0</v>
          </cell>
          <cell r="R111">
            <v>10</v>
          </cell>
          <cell r="S111">
            <v>150</v>
          </cell>
        </row>
        <row r="112">
          <cell r="A112" t="str">
            <v>7518 ТЕЛЯЧЬЯ ГОСТ Останкино вар п/о в/у  ОСТАНКИНО</v>
          </cell>
          <cell r="B112" t="str">
            <v>кг</v>
          </cell>
          <cell r="G112">
            <v>1</v>
          </cell>
          <cell r="H112">
            <v>30</v>
          </cell>
          <cell r="I112" t="str">
            <v>матрица</v>
          </cell>
          <cell r="Q112">
            <v>0</v>
          </cell>
          <cell r="R112">
            <v>10</v>
          </cell>
          <cell r="S112">
            <v>150</v>
          </cell>
        </row>
        <row r="113">
          <cell r="A113" t="str">
            <v>6929 КАРБОНАД ДОМАШНИЙ ПМ к/в кр/к в/у  ОСТАНКИНО</v>
          </cell>
          <cell r="B113" t="str">
            <v>кг</v>
          </cell>
          <cell r="G113">
            <v>1</v>
          </cell>
          <cell r="H113">
            <v>45</v>
          </cell>
          <cell r="I113" t="str">
            <v>матрица</v>
          </cell>
          <cell r="Q113">
            <v>0</v>
          </cell>
          <cell r="R113">
            <v>10</v>
          </cell>
          <cell r="S113">
            <v>150</v>
          </cell>
        </row>
        <row r="114">
          <cell r="A114" t="str">
            <v>7143 БРАУНШВЕЙГСКАЯ ГОСТ с/к в/у 1/220 8шт.</v>
          </cell>
          <cell r="B114" t="str">
            <v>шт</v>
          </cell>
          <cell r="G114">
            <v>0.22</v>
          </cell>
          <cell r="H114">
            <v>120</v>
          </cell>
          <cell r="I114" t="str">
            <v>матрица</v>
          </cell>
          <cell r="Q114">
            <v>0</v>
          </cell>
          <cell r="R114">
            <v>40</v>
          </cell>
          <cell r="S114">
            <v>150</v>
          </cell>
        </row>
        <row r="115">
          <cell r="A115" t="str">
            <v>7710 КРАКОВСКАЯ ГОСТ п/к н/о мгс 0.3кг</v>
          </cell>
          <cell r="B115" t="str">
            <v>шт</v>
          </cell>
          <cell r="G115">
            <v>0.3</v>
          </cell>
          <cell r="H115">
            <v>45</v>
          </cell>
          <cell r="I115" t="str">
            <v>матрица</v>
          </cell>
          <cell r="Q115">
            <v>0</v>
          </cell>
          <cell r="R115">
            <v>40</v>
          </cell>
          <cell r="S115">
            <v>150</v>
          </cell>
        </row>
        <row r="116">
          <cell r="A116" t="str">
            <v>7456 САЛЯМИ ФИНСКАЯ Папа может с/к в/у 1/150</v>
          </cell>
          <cell r="B116" t="str">
            <v>шт</v>
          </cell>
          <cell r="G116">
            <v>0.15</v>
          </cell>
          <cell r="H116">
            <v>90</v>
          </cell>
          <cell r="I116" t="str">
            <v>матрица</v>
          </cell>
          <cell r="Q116">
            <v>0</v>
          </cell>
          <cell r="R116">
            <v>40</v>
          </cell>
          <cell r="S116">
            <v>150</v>
          </cell>
        </row>
        <row r="117">
          <cell r="A117" t="str">
            <v>7344 КОНСЕРВЫ МЯС.ГОВЯДИНА ТУШ. В/С 338г_ЧЗ</v>
          </cell>
          <cell r="B117" t="str">
            <v>шт</v>
          </cell>
          <cell r="G117">
            <v>0.33800000000000002</v>
          </cell>
          <cell r="H117" t="str">
            <v>3 года</v>
          </cell>
          <cell r="I117" t="str">
            <v>матрица</v>
          </cell>
          <cell r="Q117">
            <v>0</v>
          </cell>
          <cell r="R117">
            <v>50</v>
          </cell>
          <cell r="S117">
            <v>400</v>
          </cell>
        </row>
        <row r="118">
          <cell r="A118" t="str">
            <v>7345 КОНСЕРВЫ МЯС.СВИНИНА ТУШ. В/С 325г_ЧЗ</v>
          </cell>
          <cell r="B118" t="str">
            <v>шт</v>
          </cell>
          <cell r="G118">
            <v>0.32500000000000001</v>
          </cell>
          <cell r="H118" t="str">
            <v>3 года</v>
          </cell>
          <cell r="I118" t="str">
            <v>матрица</v>
          </cell>
          <cell r="Q118">
            <v>0</v>
          </cell>
          <cell r="R118">
            <v>50</v>
          </cell>
          <cell r="S118">
            <v>400</v>
          </cell>
        </row>
      </sheetData>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КИ_ПФ"/>
      <sheetName val="справочники"/>
      <sheetName val="кратность"/>
    </sheetNames>
    <sheetDataSet>
      <sheetData sheetId="0">
        <row r="1">
          <cell r="B1" t="str">
            <v>Код</v>
          </cell>
          <cell r="C1" t="str">
            <v>Наименование</v>
          </cell>
          <cell r="D1" t="str">
            <v>БЕИ</v>
          </cell>
          <cell r="E1" t="str">
            <v>Вид</v>
          </cell>
          <cell r="F1" t="str">
            <v>Тип</v>
          </cell>
          <cell r="G1" t="str">
            <v>Торговая</v>
          </cell>
          <cell r="H1" t="str">
            <v>Производитель</v>
          </cell>
          <cell r="I1" t="str">
            <v>Номер</v>
          </cell>
          <cell r="J1" t="str">
            <v>Группа/категория</v>
          </cell>
          <cell r="K1" t="str">
            <v>Состав</v>
          </cell>
          <cell r="L1" t="str">
            <v>Пищевая ценность в 100 г:</v>
          </cell>
          <cell r="P1" t="str">
            <v>Условия</v>
          </cell>
          <cell r="Q1" t="str">
            <v xml:space="preserve">Срок </v>
          </cell>
        </row>
        <row r="2">
          <cell r="B2" t="str">
            <v>SAP</v>
          </cell>
          <cell r="C2" t="str">
            <v>Наименование продукции</v>
          </cell>
          <cell r="D2" t="str">
            <v>кг/шт</v>
          </cell>
          <cell r="E2" t="str">
            <v>Вид продукции</v>
          </cell>
          <cell r="F2" t="str">
            <v>Тип продукции</v>
          </cell>
          <cell r="G2" t="str">
            <v>марка</v>
          </cell>
          <cell r="H2" t="str">
            <v>Производитель</v>
          </cell>
          <cell r="I2" t="str">
            <v>ГОСТ/ТУ</v>
          </cell>
          <cell r="J2" t="str">
            <v>Группа/категория</v>
          </cell>
          <cell r="K2">
            <v>3</v>
          </cell>
          <cell r="L2" t="str">
            <v>белки (г)</v>
          </cell>
          <cell r="M2" t="str">
            <v>жиры (г)</v>
          </cell>
          <cell r="N2" t="str">
            <v>углеводы (г)</v>
          </cell>
          <cell r="O2" t="str">
            <v>ккал/кДж</v>
          </cell>
          <cell r="P2" t="str">
            <v>хранения,°С</v>
          </cell>
          <cell r="Q2" t="str">
            <v>годности, сут</v>
          </cell>
        </row>
        <row r="3">
          <cell r="B3">
            <v>1001012486874</v>
          </cell>
          <cell r="C3" t="str">
            <v>БЕЗ ШПИКА ПМ вар п/о (катБ)_Kvalita</v>
          </cell>
          <cell r="D3" t="str">
            <v>КГ</v>
          </cell>
          <cell r="E3" t="str">
            <v>Колбасные изделия</v>
          </cell>
          <cell r="F3" t="str">
            <v>Вареные колбасы</v>
          </cell>
          <cell r="G3" t="str">
            <v>Папа может</v>
          </cell>
          <cell r="H3" t="str">
            <v>ОМПК(С)</v>
          </cell>
          <cell r="I3" t="str">
            <v>ТУ 10.13.14-180-00425283-2025</v>
          </cell>
          <cell r="J3" t="str">
            <v>Мясной продукт. Изделие колбасное вареное категории Б.</v>
          </cell>
          <cell r="K3"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3">
            <v>9</v>
          </cell>
          <cell r="M3">
            <v>14</v>
          </cell>
          <cell r="N3">
            <v>5</v>
          </cell>
          <cell r="O3" t="str">
            <v>182/756</v>
          </cell>
          <cell r="P3" t="str">
            <v>0…+6</v>
          </cell>
          <cell r="Q3">
            <v>60</v>
          </cell>
        </row>
        <row r="4">
          <cell r="B4">
            <v>1001012487568</v>
          </cell>
          <cell r="C4" t="str">
            <v>БЕЗ ШПИКА вар п/о (катБ) 1.35*8_Kvalita</v>
          </cell>
          <cell r="D4" t="str">
            <v>КГ</v>
          </cell>
          <cell r="E4" t="str">
            <v>Колбасные изделия</v>
          </cell>
          <cell r="F4" t="str">
            <v>Вареные колбасы</v>
          </cell>
          <cell r="G4" t="str">
            <v>Папа может</v>
          </cell>
          <cell r="H4" t="str">
            <v>ОМПК(С)</v>
          </cell>
          <cell r="I4" t="str">
            <v>ТУ 10.13.14-180-00425283-2025</v>
          </cell>
          <cell r="J4" t="str">
            <v>Мясной продукт. Изделие колбасное вареное категории Б.</v>
          </cell>
          <cell r="K4"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4">
            <v>9</v>
          </cell>
          <cell r="M4">
            <v>14</v>
          </cell>
          <cell r="N4">
            <v>5</v>
          </cell>
          <cell r="O4" t="str">
            <v>182/756</v>
          </cell>
          <cell r="P4" t="str">
            <v>0…+6</v>
          </cell>
          <cell r="Q4">
            <v>60</v>
          </cell>
        </row>
        <row r="5">
          <cell r="B5">
            <v>1001013636319</v>
          </cell>
          <cell r="C5" t="str">
            <v>БАЛЫКОВАЯ Папа может вар п/о 0.4кг 8шт.</v>
          </cell>
          <cell r="D5" t="str">
            <v>ШТ</v>
          </cell>
          <cell r="E5" t="str">
            <v>Колбасные изделия</v>
          </cell>
          <cell r="F5" t="str">
            <v>Вареные колбасы</v>
          </cell>
          <cell r="G5" t="str">
            <v>Папа может</v>
          </cell>
          <cell r="H5" t="str">
            <v xml:space="preserve">ОМПК(С)
</v>
          </cell>
          <cell r="I5" t="str">
            <v xml:space="preserve"> ТУ 10.13.14-130-00425283-2017</v>
          </cell>
          <cell r="J5" t="str">
            <v>Мясной продукт. Изделие колбасное вареное категории Б.</v>
          </cell>
          <cell r="K5" t="str">
            <v>свинина, вода питьевая, стабилизатор белковый (вода питьевая, шкурка свиная, кожа куриная), мясо куриное механической обвалки, филе грудок куриных,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стабилизаторы (полифосфаты, альгинат натрия), загустители (тары камедь, камедь рожкового дерева, ксантановая камедь, каррагинан, гуаровая камедь, камедь целлюлозы, модифицированный крахмал), белок животный (говяжий), сахара, специи, пряности, экстракты пряностей, антиокислители (изоаскоробат натрия, аскорбат натрия), усилитель вкуса и аромата (глутамат натрия), ароматизаторы, краситель (кармины)</v>
          </cell>
          <cell r="L5">
            <v>11</v>
          </cell>
          <cell r="M5">
            <v>15</v>
          </cell>
          <cell r="N5">
            <v>3</v>
          </cell>
          <cell r="O5" t="str">
            <v>191/793</v>
          </cell>
          <cell r="P5" t="str">
            <v>0…+6</v>
          </cell>
          <cell r="Q5">
            <v>60</v>
          </cell>
        </row>
        <row r="6">
          <cell r="B6">
            <v>1001012427523</v>
          </cell>
          <cell r="C6" t="str">
            <v>ГОВЯЖЬЯ Папа может вар п/о 0.4кг 6шт.</v>
          </cell>
          <cell r="D6" t="str">
            <v>ШТ</v>
          </cell>
          <cell r="E6" t="str">
            <v>Колбасные изделия</v>
          </cell>
          <cell r="F6" t="str">
            <v>Вареные колбасы</v>
          </cell>
          <cell r="G6" t="str">
            <v>Папа может</v>
          </cell>
          <cell r="H6" t="str">
            <v>ОМПК(С)</v>
          </cell>
          <cell r="I6" t="str">
            <v>ТУ 10.13.14-180-00425283-2025</v>
          </cell>
          <cell r="J6" t="str">
            <v>Мясосодержащий продукт. Изделие колбасное вареное категории В.</v>
          </cell>
          <cell r="K6" t="str">
            <v>говядина, стабилизатор белковый (кожа куриная, вода питьевая), мясо куриное механической обвалки, филе грудок куриных, вода питьевая, сыворотка молочная сухая, крахмал картофельный, смесь посолочно-нитритная (соль, фиксатор окраски (нитрит натрия)), регуляторы кислотности (трифосфаты, пирофосфаты, цитраты натрия), загустители (каррагинан, гуаровая камедь, ксантановая камедь, альгинат натрия), специи, экстракты пряностей, сахара, антиокислитель (аскорбиновая кислота), усилитель вкуса и аромата (глутамат натрия), ароматизатор, краситель (кармины)</v>
          </cell>
          <cell r="L6">
            <v>9</v>
          </cell>
          <cell r="M6">
            <v>14</v>
          </cell>
          <cell r="N6">
            <v>4</v>
          </cell>
          <cell r="O6" t="str">
            <v>178/739</v>
          </cell>
          <cell r="P6" t="str">
            <v>0…+6</v>
          </cell>
          <cell r="Q6">
            <v>60</v>
          </cell>
        </row>
        <row r="7">
          <cell r="B7">
            <v>1001012427025</v>
          </cell>
          <cell r="C7" t="str">
            <v>ГОВЯЖЬЯ ПМ вар п/о 0.85кг 4шт_Kvalita</v>
          </cell>
          <cell r="D7" t="str">
            <v>ШТ</v>
          </cell>
          <cell r="E7" t="str">
            <v>Колбасные изделия</v>
          </cell>
          <cell r="F7" t="str">
            <v>Вареные колбасы</v>
          </cell>
          <cell r="G7" t="str">
            <v>Папа может</v>
          </cell>
          <cell r="H7" t="str">
            <v>ОМПК(С)</v>
          </cell>
          <cell r="I7" t="str">
            <v>ТУ 10.13.14-180-00425283-2025</v>
          </cell>
          <cell r="J7" t="str">
            <v>Мясосодержащий продукт. Изделие колбасное вареное категории В.</v>
          </cell>
          <cell r="K7" t="str">
            <v>говядина, стабилизатор белковый (кожа куриная, вода питьевая), мясо куриное механической обвалки, филе грудок куриных, вода питьевая, сыворотка молочная сухая, крахмал картофельный, смесь посолочно-нитритная (соль, фиксатор окраски (нитрит натрия)), регуляторы кислотности (трифосфаты, пирофосфаты, цитраты натрия), загустители (каррагинан, гуаровая камедь, ксантановая камедь, альгинат натрия), специи, экстракты пряностей, сахара, антиокислитель (аскорбиновая кислота), усилитель вкуса и аромата (глутамат натрия), ароматизатор, краситель (кармины)</v>
          </cell>
          <cell r="L7">
            <v>9</v>
          </cell>
          <cell r="M7">
            <v>14</v>
          </cell>
          <cell r="N7">
            <v>4</v>
          </cell>
          <cell r="O7" t="str">
            <v>178/739</v>
          </cell>
          <cell r="P7" t="str">
            <v>0…+6</v>
          </cell>
          <cell r="Q7">
            <v>60</v>
          </cell>
        </row>
        <row r="8">
          <cell r="B8">
            <v>1001012426220</v>
          </cell>
          <cell r="C8" t="str">
            <v>ГОВЯЖЬЯ Папа может вар п/о</v>
          </cell>
          <cell r="D8" t="str">
            <v>КГ</v>
          </cell>
          <cell r="E8" t="str">
            <v>Колбасные изделия</v>
          </cell>
          <cell r="F8" t="str">
            <v>Вареные колбасы</v>
          </cell>
          <cell r="G8" t="str">
            <v>Папа может</v>
          </cell>
          <cell r="H8" t="str">
            <v>ОМПК(С)</v>
          </cell>
          <cell r="I8" t="str">
            <v>ТУ 10.13.14-180-00425283-2025</v>
          </cell>
          <cell r="J8" t="str">
            <v>Мясосодержащий продукт. Изделие колбасное вареное категории В.</v>
          </cell>
          <cell r="K8" t="str">
            <v>говядина, мясо куриное механической обвалки, вода питьевая, филе грудок куриных, стабилизатор белковый (кожа куриная, вода питьевая), крахмал картофельный, сыворотка молочная сухая, смесь нитритно-посолочная (соль, фиксатор окраски (нитрит натрия)), соль, регуляторы кислотности (пирофосфаты, цитраты натрия), стабилизаторы (каррагинан, ксантановая камедь), пряности и экстракты пряностей, лук сушеный, сахара, усилитель вкуса и аромата (глутамат натрия), ароматизаторы, антиокислитель (аскорбиновая кислота), краситель (кармины)</v>
          </cell>
          <cell r="L8">
            <v>9</v>
          </cell>
          <cell r="M8">
            <v>13</v>
          </cell>
          <cell r="N8">
            <v>2</v>
          </cell>
          <cell r="O8" t="str">
            <v>161/668</v>
          </cell>
          <cell r="P8" t="str">
            <v>0…+6</v>
          </cell>
          <cell r="Q8">
            <v>60</v>
          </cell>
        </row>
        <row r="9">
          <cell r="B9">
            <v>1001012993254</v>
          </cell>
          <cell r="C9" t="str">
            <v>ДОКТОР СКАЙ Папа может вар п/о</v>
          </cell>
          <cell r="D9" t="str">
            <v>КГ</v>
          </cell>
          <cell r="E9" t="str">
            <v>Колбасные изделия</v>
          </cell>
          <cell r="F9" t="str">
            <v>Вареные колбасы</v>
          </cell>
          <cell r="G9" t="str">
            <v>Папа может</v>
          </cell>
          <cell r="H9" t="str">
            <v>ОМПК(С)</v>
          </cell>
          <cell r="I9" t="str">
            <v>ТУ 10.13.14-180-00425283-2025</v>
          </cell>
          <cell r="J9" t="str">
            <v>Мясной продукт. Изделие колбасное вареное категории В.</v>
          </cell>
          <cell r="K9" t="str">
            <v>свинина, филе грудок куриных, мясо цыпленка-бройлера механической обвалки, стабилизатор белковый (шкурка свиная, вода питьевая),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сахара, регуляторы кислотности (пирофосфаты, трифосфаты, цитраты натрия), загустители (каррагинан, гуаровая камедь, ксантановая камедь), пряности, чеснок сушеный молотый, перец черный молотый, имбирь, горчица, антиокислитель (аскорбиновая кислота), усилитель вкуса и аромата (глутамат натрия 1-замещенный), ароматизаторы, краситель (кармины)</v>
          </cell>
          <cell r="L9">
            <v>9</v>
          </cell>
          <cell r="M9">
            <v>14</v>
          </cell>
          <cell r="N9">
            <v>5</v>
          </cell>
          <cell r="O9" t="str">
            <v>182/756</v>
          </cell>
          <cell r="P9" t="str">
            <v>0…+6</v>
          </cell>
          <cell r="Q9">
            <v>60</v>
          </cell>
        </row>
        <row r="10">
          <cell r="B10">
            <v>1001012997577</v>
          </cell>
          <cell r="C10" t="str">
            <v>ДОКТОР СКАЙ Папа может вар п/о 1.35*8</v>
          </cell>
          <cell r="D10" t="str">
            <v>КГ</v>
          </cell>
          <cell r="E10" t="str">
            <v>Колбасные изделия</v>
          </cell>
          <cell r="F10" t="str">
            <v>Вареные колбасы</v>
          </cell>
          <cell r="G10" t="str">
            <v>Папа может</v>
          </cell>
          <cell r="H10" t="str">
            <v>ОМПК(С)</v>
          </cell>
          <cell r="I10" t="str">
            <v>ТУ 10.13.14-180-00425283-2025</v>
          </cell>
          <cell r="J10" t="str">
            <v>Мясной продукт. Изделие колбасное вареное категории В.</v>
          </cell>
          <cell r="K10"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10">
            <v>9</v>
          </cell>
          <cell r="M10">
            <v>14</v>
          </cell>
          <cell r="N10">
            <v>5</v>
          </cell>
          <cell r="O10" t="str">
            <v>182/756</v>
          </cell>
          <cell r="P10" t="str">
            <v>0…+6</v>
          </cell>
          <cell r="Q10">
            <v>60</v>
          </cell>
        </row>
        <row r="11">
          <cell r="B11">
            <v>1001010011112</v>
          </cell>
          <cell r="C11" t="str">
            <v>ДОКТОРСКАЯ ГОСТ Останкино вар н/о в/у</v>
          </cell>
          <cell r="D11" t="str">
            <v>КГ</v>
          </cell>
          <cell r="E11" t="str">
            <v>Колбасные изделия</v>
          </cell>
          <cell r="F11" t="str">
            <v>Вареные колбасы</v>
          </cell>
          <cell r="G11" t="str">
            <v>Останкино</v>
          </cell>
          <cell r="H11" t="str">
            <v xml:space="preserve">ОМПК(Г)
</v>
          </cell>
          <cell r="I11" t="str">
            <v>ГОСТ 23670-2019</v>
          </cell>
          <cell r="J11" t="str">
            <v>Мясной продукт. Изделие колбасное вареное категории А.</v>
          </cell>
          <cell r="K11" t="str">
            <v>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цитраты натрия), сахар, антиокислитель (аскорбиновая кислота), кардамон, усилитель вкуса и аромата (глутамат натрия)</v>
          </cell>
          <cell r="L11">
            <v>12</v>
          </cell>
          <cell r="M11">
            <v>20</v>
          </cell>
          <cell r="N11">
            <v>0</v>
          </cell>
          <cell r="O11" t="str">
            <v>228/955</v>
          </cell>
          <cell r="P11" t="str">
            <v>0…+6</v>
          </cell>
          <cell r="Q11">
            <v>30</v>
          </cell>
        </row>
        <row r="12">
          <cell r="B12">
            <v>1001010014555</v>
          </cell>
          <cell r="C12" t="str">
            <v>ДОКТОРСКАЯ ГОСТ вар п/о</v>
          </cell>
          <cell r="D12" t="str">
            <v>КГ</v>
          </cell>
          <cell r="E12" t="str">
            <v>Колбасные изделия</v>
          </cell>
          <cell r="F12" t="str">
            <v>Вареные колбасы</v>
          </cell>
          <cell r="G12" t="str">
            <v>Останкино</v>
          </cell>
          <cell r="H12" t="str">
            <v>ОМПК(С)</v>
          </cell>
          <cell r="I12" t="str">
            <v>ГОСТ 23670-2019</v>
          </cell>
          <cell r="J12" t="str">
            <v>Мясной продукт. Изделие колбасное вареное категории А.</v>
          </cell>
          <cell r="K12" t="str">
            <v>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пряности (орех мускатный молотый), сахар, антиокислитель (аскорбиновая кислота), усилитель вкуса и аромата (глутамат натрия)</v>
          </cell>
          <cell r="L12">
            <v>12</v>
          </cell>
          <cell r="M12">
            <v>20</v>
          </cell>
          <cell r="N12">
            <v>0</v>
          </cell>
          <cell r="O12" t="str">
            <v>228/955</v>
          </cell>
          <cell r="P12" t="str">
            <v>0…+6</v>
          </cell>
          <cell r="Q12">
            <v>60</v>
          </cell>
        </row>
        <row r="13">
          <cell r="B13">
            <v>1001010017536</v>
          </cell>
          <cell r="C13" t="str">
            <v>ДОКТОРСКАЯ ГОСТ Останкино вар п/о</v>
          </cell>
          <cell r="D13" t="str">
            <v>КГ</v>
          </cell>
          <cell r="E13" t="str">
            <v>Колбасные изделия</v>
          </cell>
          <cell r="F13" t="str">
            <v>Вареные колбасы</v>
          </cell>
          <cell r="G13" t="str">
            <v>Останкино</v>
          </cell>
          <cell r="H13" t="str">
            <v>ОМПК(С)</v>
          </cell>
          <cell r="I13" t="str">
            <v>ГОСТ 23670-2019</v>
          </cell>
          <cell r="J13" t="str">
            <v>Мясной продукт. Изделие колбасное вареное категории А.</v>
          </cell>
          <cell r="K13" t="str">
            <v>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пряности (орех мускатный молотый), сахар, антиокислитель (аскорбиновая кислота), усилитель вкуса и аромата (глутамат натрия)</v>
          </cell>
          <cell r="L13">
            <v>12</v>
          </cell>
          <cell r="M13">
            <v>20</v>
          </cell>
          <cell r="N13">
            <v>0</v>
          </cell>
          <cell r="O13" t="str">
            <v>228/955</v>
          </cell>
          <cell r="P13" t="str">
            <v>0…+6</v>
          </cell>
          <cell r="Q13">
            <v>60</v>
          </cell>
        </row>
        <row r="14">
          <cell r="B14">
            <v>1001010017539</v>
          </cell>
          <cell r="C14" t="str">
            <v>ДОКТОРСКАЯ ГОСТ Останкино вар п/о 0.35кг</v>
          </cell>
          <cell r="D14" t="str">
            <v>ШТ</v>
          </cell>
          <cell r="E14" t="str">
            <v>Колбасные изделия</v>
          </cell>
          <cell r="F14" t="str">
            <v>Вареные колбасы</v>
          </cell>
          <cell r="G14" t="str">
            <v>Останкино</v>
          </cell>
          <cell r="H14" t="str">
            <v>ОМПК(С)</v>
          </cell>
          <cell r="I14" t="str">
            <v>ГОСТ 23670-2019</v>
          </cell>
          <cell r="J14" t="str">
            <v>Мясной продукт. Изделие колбасное вареное категории А.</v>
          </cell>
          <cell r="K14" t="str">
            <v>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пряности (орех мускатный молотый), сахар, антиокислитель (аскорбиновая кислота), усилитель вкуса и аромата (глутамат натрия)</v>
          </cell>
          <cell r="L14">
            <v>12</v>
          </cell>
          <cell r="M14">
            <v>20</v>
          </cell>
          <cell r="N14">
            <v>0</v>
          </cell>
          <cell r="O14" t="str">
            <v>228/955</v>
          </cell>
          <cell r="P14" t="str">
            <v>0…+6</v>
          </cell>
          <cell r="Q14">
            <v>60</v>
          </cell>
        </row>
        <row r="15">
          <cell r="B15">
            <v>1001016447477</v>
          </cell>
          <cell r="C15" t="str">
            <v>ДОКТОРСКАЯ ГОСТ ПМ вар п/о 0.35кг 8шт.</v>
          </cell>
          <cell r="D15" t="str">
            <v>ШТ</v>
          </cell>
          <cell r="E15" t="str">
            <v>Колбасные изделия</v>
          </cell>
          <cell r="F15" t="str">
            <v>Вареные колбасы</v>
          </cell>
          <cell r="G15" t="str">
            <v>Папа может</v>
          </cell>
          <cell r="H15" t="str">
            <v>ОМПК(С)</v>
          </cell>
          <cell r="I15" t="str">
            <v>ГОСТ 23670-2019</v>
          </cell>
          <cell r="J15" t="str">
            <v>Мясной продукт. Изделие колбасное вареное категории А.</v>
          </cell>
          <cell r="K15" t="str">
            <v>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пряности (орех мускатный молотый), сахар, антиокислитель (аскорбиновая кислота), усилитель вкуса и аромата (глутамат натрия)</v>
          </cell>
          <cell r="L15">
            <v>12</v>
          </cell>
          <cell r="M15">
            <v>20</v>
          </cell>
          <cell r="N15">
            <v>0</v>
          </cell>
          <cell r="O15" t="str">
            <v>228/955</v>
          </cell>
          <cell r="P15" t="str">
            <v>0…+6</v>
          </cell>
          <cell r="Q15">
            <v>60</v>
          </cell>
        </row>
        <row r="16">
          <cell r="B16">
            <v>1001010016324</v>
          </cell>
          <cell r="C16" t="str">
            <v>ДОКТОРСКАЯ ГОСТ вар п/о 0.4кг 8шт.</v>
          </cell>
          <cell r="D16" t="str">
            <v>ШТ</v>
          </cell>
          <cell r="E16" t="str">
            <v>Колбасные изделия</v>
          </cell>
          <cell r="F16" t="str">
            <v>Вареные колбасы</v>
          </cell>
          <cell r="G16" t="str">
            <v>Останкино</v>
          </cell>
          <cell r="H16" t="str">
            <v>ОМПК(С)</v>
          </cell>
          <cell r="I16" t="str">
            <v>ГОСТ 23670-2019</v>
          </cell>
          <cell r="J16" t="str">
            <v>Мясной продукт. Изделие колбасное вареное категории А.</v>
          </cell>
          <cell r="K16" t="str">
            <v>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пряности (орех мускатный молотый), сахар, антиокислитель (аскорбиновая кислота), усилитель вкуса и аромата (глутамат натрия)</v>
          </cell>
          <cell r="L16">
            <v>12</v>
          </cell>
          <cell r="M16">
            <v>20</v>
          </cell>
          <cell r="N16">
            <v>0</v>
          </cell>
          <cell r="O16" t="str">
            <v>228/955</v>
          </cell>
          <cell r="P16" t="str">
            <v>0…+6</v>
          </cell>
          <cell r="Q16">
            <v>60</v>
          </cell>
        </row>
        <row r="17">
          <cell r="B17">
            <v>1001016447190</v>
          </cell>
          <cell r="C17" t="str">
            <v>ДОКТОРСКАЯ ГОСТ вар п/о 0.7кг 6шт.</v>
          </cell>
          <cell r="D17" t="str">
            <v>ШТ</v>
          </cell>
          <cell r="E17" t="str">
            <v>Колбасные изделия</v>
          </cell>
          <cell r="F17" t="str">
            <v>Вареные колбасы</v>
          </cell>
          <cell r="G17" t="str">
            <v>Останкино</v>
          </cell>
          <cell r="H17" t="str">
            <v>ОМПК(С)</v>
          </cell>
          <cell r="I17" t="str">
            <v>ГОСТ 23670-2019</v>
          </cell>
          <cell r="J17" t="str">
            <v>Мясной продукт. Изделие колбасное вареное категории А.</v>
          </cell>
          <cell r="K17" t="str">
            <v>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цитраты натрия), сахар, антиокислитель (аскорбиновая кислота), кардамон, усилитель вкуса и аромата (глутамат натрия)</v>
          </cell>
          <cell r="L17">
            <v>12</v>
          </cell>
          <cell r="M17">
            <v>20</v>
          </cell>
          <cell r="O17" t="str">
            <v>228/955</v>
          </cell>
          <cell r="P17" t="str">
            <v>0…+6</v>
          </cell>
          <cell r="Q17">
            <v>60</v>
          </cell>
        </row>
        <row r="18">
          <cell r="B18">
            <v>1001010017557</v>
          </cell>
          <cell r="C18" t="str">
            <v>ДОКТОРСКАЯ ГОСТ Останкино вар ц/о в/у</v>
          </cell>
          <cell r="D18" t="str">
            <v>КГ</v>
          </cell>
          <cell r="E18" t="str">
            <v>Колбасные изделия</v>
          </cell>
          <cell r="F18" t="str">
            <v>Вареные колбасы</v>
          </cell>
          <cell r="G18" t="str">
            <v>Останкино</v>
          </cell>
          <cell r="H18" t="str">
            <v>ОМПК(С)</v>
          </cell>
          <cell r="I18" t="str">
            <v>ГОСТ 23670-2019</v>
          </cell>
          <cell r="J18" t="str">
            <v>Мясной продукт. Изделие колбасное вареное категории А.</v>
          </cell>
          <cell r="K18" t="str">
            <v>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пряности (орех мускатный молотый), сахар, антиокислитель (аскорбиновая кислота), усилитель вкуса и аромата (глутамат натрия)</v>
          </cell>
          <cell r="L18">
            <v>12</v>
          </cell>
          <cell r="M18">
            <v>20</v>
          </cell>
          <cell r="N18">
            <v>0</v>
          </cell>
          <cell r="O18" t="str">
            <v>228/955</v>
          </cell>
          <cell r="P18" t="str">
            <v>0…+6</v>
          </cell>
          <cell r="Q18">
            <v>30</v>
          </cell>
        </row>
        <row r="19">
          <cell r="B19">
            <v>1001010014561</v>
          </cell>
          <cell r="C19" t="str">
            <v>ДОКТОРСКАЯ ГОСТ Папа может вар п/о</v>
          </cell>
          <cell r="D19" t="str">
            <v>КГ</v>
          </cell>
          <cell r="E19" t="str">
            <v>Колбасные изделия</v>
          </cell>
          <cell r="F19" t="str">
            <v>Вареные колбасы</v>
          </cell>
          <cell r="G19" t="str">
            <v>Папа может</v>
          </cell>
          <cell r="H19" t="str">
            <v>ОМПК(С)</v>
          </cell>
          <cell r="I19" t="str">
            <v>ГОСТ 23670-2019</v>
          </cell>
          <cell r="J19" t="str">
            <v>Мясной продукт. Изделие колбасное вареное категории А.</v>
          </cell>
          <cell r="K19" t="str">
            <v>свинина, говядина, вода, молоко коровье сухое обезжиренное, соль, смесь посолочно-нитритная (соль, фиксатор окраски нитрит натрия), сухой яичный меланж, регуляторы кислотности: пирофосфаты, ацетаты натрия; сахар, антиокислитель аскорбиновая кислота, кардамон, усилитель вкуса и аромата глутамат натрия</v>
          </cell>
          <cell r="L19">
            <v>12</v>
          </cell>
          <cell r="M19">
            <v>20</v>
          </cell>
          <cell r="O19" t="str">
            <v>228/955</v>
          </cell>
          <cell r="P19" t="str">
            <v>0…+6</v>
          </cell>
          <cell r="Q19">
            <v>60</v>
          </cell>
        </row>
        <row r="20">
          <cell r="B20">
            <v>1001010017567</v>
          </cell>
          <cell r="C20" t="str">
            <v>ДОКТОРСКАЯ ГОСТ ПМ вар п/о 1.35*8</v>
          </cell>
          <cell r="D20" t="str">
            <v>КГ</v>
          </cell>
          <cell r="E20" t="str">
            <v>Колбасные изделия</v>
          </cell>
          <cell r="F20" t="str">
            <v>Вареные колбасы</v>
          </cell>
          <cell r="G20" t="str">
            <v>Папа может</v>
          </cell>
          <cell r="H20" t="str">
            <v>ОМПК(С)</v>
          </cell>
          <cell r="I20" t="str">
            <v>ГОСТ 23670-2019</v>
          </cell>
          <cell r="J20" t="str">
            <v>Мясной продукт. Изделие колбасное вареное категории А.</v>
          </cell>
          <cell r="K20" t="str">
            <v>свинина, говядина, вода, молоко коровье сухое обезжиренное, соль, смесь посолочно-нитритная (соль, фиксатор окраски нитрит натрия), сухой яичный меланж, регуляторы кислотности: пирофосфаты, ацетаты натрия; сахар, антиокислитель аскорбиновая кислота, кардамон, усилитель вкуса и аромата глутамат натрия</v>
          </cell>
          <cell r="L20">
            <v>12</v>
          </cell>
          <cell r="M20">
            <v>20</v>
          </cell>
          <cell r="O20" t="str">
            <v>228/955</v>
          </cell>
          <cell r="P20" t="str">
            <v>0…+6</v>
          </cell>
          <cell r="Q20">
            <v>60</v>
          </cell>
        </row>
        <row r="21">
          <cell r="B21">
            <v>1001010077403</v>
          </cell>
          <cell r="C21" t="str">
            <v>ДОКТОРСКАЯ КЛАССИЧ. ASLAM вар п/о 0.5кг</v>
          </cell>
          <cell r="D21" t="str">
            <v>ШТ</v>
          </cell>
          <cell r="E21" t="str">
            <v>Колбасные изделия</v>
          </cell>
          <cell r="F21" t="str">
            <v>Вареные колбасы</v>
          </cell>
          <cell r="G21" t="str">
            <v>ASLAM</v>
          </cell>
          <cell r="H21" t="str">
            <v>ООО Казанские деликатесы</v>
          </cell>
          <cell r="I21" t="str">
            <v>ТУ 10.13.14-175-00425283-2025</v>
          </cell>
          <cell r="J21" t="str">
            <v>Изделие колбасное вареное из мяса кур охлажденное.</v>
          </cell>
          <cell r="K21" t="str">
            <v>мясо куриное механической обвалки, филе грудок куриных, стабилизатор белковый (вода питьевая, кожа куриная, говядина), вода питьевая, молоко сухое обезжиренное,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конжак, ксантановая камедь, гуаровая камедь), перец черный, экстракты пряностей, сахара, антиокислители (аскорбиновая кислота, лимонная кислота), усилитель вкуса и аромата (глутамат натрия), ароматизатор, экстракт гардении красной</v>
          </cell>
          <cell r="L21">
            <v>10</v>
          </cell>
          <cell r="M21">
            <v>11</v>
          </cell>
          <cell r="N21">
            <v>3</v>
          </cell>
          <cell r="O21" t="str">
            <v>151/628</v>
          </cell>
          <cell r="P21" t="str">
            <v>0…+6</v>
          </cell>
          <cell r="Q21">
            <v>60</v>
          </cell>
        </row>
        <row r="22">
          <cell r="B22">
            <v>1001010077406</v>
          </cell>
          <cell r="C22" t="str">
            <v>ДОКТОРСКАЯ КЛАССИЧ. ASLAM вар п/о 0.9кг</v>
          </cell>
          <cell r="D22" t="str">
            <v>ШТ</v>
          </cell>
          <cell r="E22" t="str">
            <v>Колбасные изделия</v>
          </cell>
          <cell r="F22" t="str">
            <v>Вареные колбасы</v>
          </cell>
          <cell r="G22" t="str">
            <v>ASLAM</v>
          </cell>
          <cell r="H22" t="str">
            <v>ООО Казанские деликатесы</v>
          </cell>
          <cell r="I22" t="str">
            <v>ТУ 10.13.14-175-00425283-2025</v>
          </cell>
          <cell r="J22" t="str">
            <v>Изделие колбасное вареное из мяса кур охлажденное.</v>
          </cell>
          <cell r="K22" t="str">
            <v>мясо куриное механической обвалки, филе грудок куриных, стабилизатор белковый (вода питьевая, кожа куриная, говядина), вода питьевая, молоко сухое обезжиренное,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конжак, ксантановая камедь, гуаровая камедь), перец черный, экстракты пряностей, сахара, антиокислители (аскорбиновая кислота, лимонная кислота), усилитель вкуса и аромата (глутамат натрия), ароматизатор, экстракт гардении красной</v>
          </cell>
          <cell r="L22">
            <v>10</v>
          </cell>
          <cell r="M22">
            <v>11</v>
          </cell>
          <cell r="N22">
            <v>3</v>
          </cell>
          <cell r="O22" t="str">
            <v>151/628</v>
          </cell>
          <cell r="P22" t="str">
            <v>0…+6</v>
          </cell>
          <cell r="Q22">
            <v>60</v>
          </cell>
        </row>
        <row r="23">
          <cell r="B23">
            <v>1001010096988</v>
          </cell>
          <cell r="C23" t="str">
            <v>ДОКТОРСКАЯ ОРИГИНАЛЬНАЯ вар ц/о в/у_45с</v>
          </cell>
          <cell r="D23" t="str">
            <v>КГ</v>
          </cell>
          <cell r="E23" t="str">
            <v>Колбасные изделия</v>
          </cell>
          <cell r="F23" t="str">
            <v>Вареные колбасы</v>
          </cell>
          <cell r="G23" t="str">
            <v>Коровино</v>
          </cell>
          <cell r="H23" t="str">
            <v>ОМПК(С)</v>
          </cell>
          <cell r="I23" t="str">
            <v>ТУ 10.13.14-150-00425283-2018</v>
          </cell>
          <cell r="J23" t="str">
            <v>Изделие колбасное вареное из мяса кур охлажденное.</v>
          </cell>
          <cell r="K23" t="str">
            <v>мясо куриное механической обвалки, вода, свинина, филе грудок куриных, белковый стабилизатор (вода, шкурка свиная, кожа куриная), крахмал картофельный, сыворотка молочная сухая, молоко сухое обезжиренное, смесь посолочно-нитритная (соль, фиксатор окраски нитрит натрия), регуляторы кислотности: пирофосфаты, цитраты натрия, глюконо-дельта-лактон; стабилизаторы: полифосфаты, альгинат натрия, камеди (гуаровая, конжаковая, ксантановая), специи и экстракты специй, сахара, соль, горчица, ароматизаторы, усилитель вкуса и аромата глутамат натрия, антиокислитель изоаскорбат натрия, краситель кармины</v>
          </cell>
          <cell r="L23">
            <v>9</v>
          </cell>
          <cell r="M23">
            <v>14</v>
          </cell>
          <cell r="N23">
            <v>3</v>
          </cell>
          <cell r="O23" t="str">
            <v>174/722</v>
          </cell>
          <cell r="P23" t="str">
            <v>0…+6</v>
          </cell>
          <cell r="Q23">
            <v>45</v>
          </cell>
        </row>
        <row r="24">
          <cell r="B24">
            <v>1001017437515</v>
          </cell>
          <cell r="C24" t="str">
            <v>ДОКТОРСКАЯ ОСТАНКИНСКАЯ вар ц/о в/у</v>
          </cell>
          <cell r="D24" t="str">
            <v>КГ</v>
          </cell>
          <cell r="E24" t="str">
            <v>Колбасные изделия</v>
          </cell>
          <cell r="F24" t="str">
            <v>Вареные колбасы</v>
          </cell>
          <cell r="G24" t="str">
            <v>Останкино</v>
          </cell>
          <cell r="H24" t="str">
            <v>ОМПК(С)</v>
          </cell>
          <cell r="I24" t="str">
            <v>ТУ 10.13.14-180-00425283-2025</v>
          </cell>
          <cell r="J24" t="str">
            <v>Мясной продукт. Изделие колбасное вареное категории В.</v>
          </cell>
          <cell r="K24" t="str">
            <v>свинина, вода питьевая, стабилизатор белковый (вода питьевая, шкурка свиная), шпик, говядина,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крахмал картофельный, специи, экстракты специй и пряностей (в т.ч. горчица, сельдерей), сахара, антиокислители (изоаскорбат натрия, аскорбиновая кислота, лимонная кислота), усилитель вкуса и аромата (глутамат натрия), ароматизаторы, краситель (кармины)</v>
          </cell>
          <cell r="L24">
            <v>10</v>
          </cell>
          <cell r="M24">
            <v>16</v>
          </cell>
          <cell r="N24">
            <v>4</v>
          </cell>
          <cell r="O24" t="str">
            <v>200/830</v>
          </cell>
          <cell r="P24" t="str">
            <v>0…+6</v>
          </cell>
          <cell r="Q24">
            <v>30</v>
          </cell>
        </row>
        <row r="25">
          <cell r="B25">
            <v>1001012497555</v>
          </cell>
          <cell r="C25" t="str">
            <v>ДОКТОРСКАЯ ПО-ОСТАНКИНСКИ вар б/о в/у</v>
          </cell>
          <cell r="D25" t="str">
            <v>КГ</v>
          </cell>
          <cell r="E25" t="str">
            <v>Колбасные изделия</v>
          </cell>
          <cell r="F25" t="str">
            <v>Вареные колбасы</v>
          </cell>
          <cell r="G25" t="str">
            <v>Останкино</v>
          </cell>
          <cell r="H25" t="str">
            <v>ОМПК(Г)</v>
          </cell>
          <cell r="I25" t="str">
            <v>ТУ 10.13.14-180-00425283-2025</v>
          </cell>
          <cell r="J25" t="str">
            <v>Мясной продукт. Изделие колбасное вареное категории В.</v>
          </cell>
          <cell r="K25" t="str">
            <v>свинина, вода питьевая, стабилизатор белковый (вода питьевая, шкурка свиная, кожа куриная), мясо куриное механической обвалки, сыворотка молочная сухая, крахмал картофельный, смесь посолочно-нитритная (соль, фиксатор окраски (нитрит натрия)), соль, сахар,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экстракты специй (в т.ч. горчица, сельдерей),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25">
            <v>11</v>
          </cell>
          <cell r="M25">
            <v>16</v>
          </cell>
          <cell r="N25">
            <v>4</v>
          </cell>
          <cell r="O25" t="str">
            <v>204/847</v>
          </cell>
          <cell r="P25" t="str">
            <v>0…+6</v>
          </cell>
          <cell r="Q25">
            <v>30</v>
          </cell>
        </row>
        <row r="26">
          <cell r="B26">
            <v>1001010106325</v>
          </cell>
          <cell r="C26" t="str">
            <v>ДОКТОРСКАЯ ПРЕМИУМ вар п/о 0.4кг 8шт.</v>
          </cell>
          <cell r="D26" t="str">
            <v>ШТ</v>
          </cell>
          <cell r="E26" t="str">
            <v>Колбасные изделия</v>
          </cell>
          <cell r="F26" t="str">
            <v>Вареные колбасы</v>
          </cell>
          <cell r="G26" t="str">
            <v>Папа может</v>
          </cell>
          <cell r="H26" t="str">
            <v xml:space="preserve">ОМПК(С)
</v>
          </cell>
          <cell r="I26" t="str">
            <v>ТУ 10.13.14-180-00425283-2025</v>
          </cell>
          <cell r="J26" t="str">
            <v>Мясной продукт. Изделие колбасное вареное категории Б.</v>
          </cell>
          <cell r="K26" t="str">
            <v>свинина, вода питьевая, стабилизатор белковый (вода питьевая, шкурка свиная, кожа куриная), мясо куриное механической обвалки, филе грудок куриных, сыворотка молочная сухая, крахмал картофельный, смесь посолочно-нитритная (соль, фиксатор окраски (нитрит натрия)), соль, регуляторы кислотности (трифосфаты, пирофосфаты, цитраты натрия), загустители (альгинат натрия, каррагинан, гуаровая камедь, ксантановая камедь), специи, экстракты специй (в т.ч. горчица, сельдерей), сахара, антиокислитель (аскорбиновая кислота), усилитель вкуса и аромата (глутамат натрия), ароматизатор, краситель (кармины)</v>
          </cell>
          <cell r="L26">
            <v>11</v>
          </cell>
          <cell r="M26">
            <v>16</v>
          </cell>
          <cell r="N26">
            <v>3</v>
          </cell>
          <cell r="O26" t="str">
            <v>200/830</v>
          </cell>
          <cell r="P26" t="str">
            <v>0…+6</v>
          </cell>
          <cell r="Q26">
            <v>60</v>
          </cell>
        </row>
        <row r="27">
          <cell r="B27">
            <v>1001010108014</v>
          </cell>
          <cell r="C27" t="str">
            <v>ДОКТОРСКАЯ ПРЕМИУМ п/о(п)</v>
          </cell>
          <cell r="D27" t="str">
            <v>КГ</v>
          </cell>
          <cell r="E27" t="str">
            <v>Колбасные изделия</v>
          </cell>
          <cell r="F27" t="str">
            <v>Вареные колбасы</v>
          </cell>
          <cell r="G27" t="str">
            <v>Папа может</v>
          </cell>
          <cell r="H27" t="str">
            <v>ОМПК(С)</v>
          </cell>
          <cell r="I27" t="str">
            <v>ТУ 10.13.14-130-00425283-2017</v>
          </cell>
          <cell r="J27" t="str">
            <v>Мясной продукт. Изделие колбасное вареное категории Б.</v>
          </cell>
          <cell r="K27" t="str">
            <v>свинина, вода питьевая, мясо куриное механической обвалки, филе грудок куриных, стабилизатор белковый (вода питьевая, кожа куриная, шкурка свиная), сыворотка молочная сухая, крахмал картофельный, смесь посолочно-нитритная (соль, фиксатор окраски (нитрит натрия)), регуляторы кислотности (трифосфаты, пирофосфаты, ацетаты натрия), стабилизатор (альгинат натрия), сахара, пряности и экстракты пряностей (в т.ч. сельдерей), белок животный (говяжий), антиокислитель (аскорбиновая кислота), усилитель вкуса и аромата (глутамат натрия), ароматизаторы (в т.ч. горчица), краситель (кармины)</v>
          </cell>
          <cell r="L27">
            <v>10</v>
          </cell>
          <cell r="M27">
            <v>19</v>
          </cell>
          <cell r="N27">
            <v>1</v>
          </cell>
          <cell r="O27" t="str">
            <v>215/890</v>
          </cell>
          <cell r="P27" t="str">
            <v>0…+6</v>
          </cell>
          <cell r="Q27">
            <v>60</v>
          </cell>
        </row>
        <row r="28">
          <cell r="B28">
            <v>1001010117602</v>
          </cell>
          <cell r="C28" t="str">
            <v>ДОКТОРСКАЯ ТРАДИЦ.ПМ вар ц/о в/у 0.6кг</v>
          </cell>
          <cell r="D28" t="str">
            <v>ШТ</v>
          </cell>
          <cell r="E28" t="str">
            <v>Колбасные изделия</v>
          </cell>
          <cell r="F28" t="str">
            <v>Вареные колбасы</v>
          </cell>
          <cell r="G28" t="str">
            <v>Папа может</v>
          </cell>
          <cell r="H28" t="str">
            <v>ОМПК(О)</v>
          </cell>
          <cell r="I28" t="str">
            <v>ТУ 10.13.14-150-00425283-2026</v>
          </cell>
          <cell r="J28" t="str">
            <v>Изделие колбасное вареное из мяса кур охлажденное.</v>
          </cell>
          <cell r="K28" t="str">
            <v>филе грудок куриных, мясо куриное механической обвалки, свинина, стабилизатор белковый (вода питьевая, кожа куриная, шкурка свиная), вода питьевая,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 натрия), загуститель (альгинат натрия), сахара, соль, пряности и экстракты пряностей, белок животный (говяжий), антиокислитель (аскорбиновая кислота), усилитель вкуса и аромата (глутамат натрия), ароматизаторы, краситель (кармины)</v>
          </cell>
          <cell r="L28">
            <v>10</v>
          </cell>
          <cell r="M28">
            <v>15</v>
          </cell>
          <cell r="N28">
            <v>2</v>
          </cell>
          <cell r="O28" t="str">
            <v>183/759</v>
          </cell>
          <cell r="P28" t="str">
            <v>0…+6</v>
          </cell>
          <cell r="Q28">
            <v>45</v>
          </cell>
        </row>
        <row r="29">
          <cell r="B29">
            <v>1001015646861</v>
          </cell>
          <cell r="C29" t="str">
            <v>ДОМАШНИЙ РЕЦЕПТ Коровино вар п/о</v>
          </cell>
          <cell r="D29" t="str">
            <v>КГ</v>
          </cell>
          <cell r="E29" t="str">
            <v>Колбасные изделия</v>
          </cell>
          <cell r="F29" t="str">
            <v>Вареные колбасы</v>
          </cell>
          <cell r="G29" t="str">
            <v>Коровино</v>
          </cell>
          <cell r="H29" t="str">
            <v>ОМПК(С)</v>
          </cell>
          <cell r="I29" t="str">
            <v>ТУ 10.13.14-150-00425283-2018</v>
          </cell>
          <cell r="J29" t="str">
            <v>Изделие колбасное вареное из мяса кур охлажденное.</v>
          </cell>
          <cell r="K29" t="str">
            <v>мясо куриное механической обвалки, белковый стабилизатор (вода, шкурка свиная, кожа куриная), вода, свинина, крахмал картофельный, сыворотка молочная сухая, смесь посолочно-нитритная (соль, фиксатор окраски нитрит натрия), пищевые волокна, соль, регуляторы кислотности: пирофосфаты, ацетаты натрия, глюконо-дельта-лактон; стабилизаторы: альгинат натрия, гуаровая и ксантановая камеди; сахара, молоко сухое обезжиренное, экстракты пряностей (в т.ч. горчица), загуститель конжаковая камедь, усилитель вкуса и аромата глутамат натрия, антиокислитель изоаскорбат натрия, ароматизаторы, краситель кармины</v>
          </cell>
          <cell r="L29">
            <v>7</v>
          </cell>
          <cell r="M29">
            <v>16</v>
          </cell>
          <cell r="O29" t="str">
            <v>172/711</v>
          </cell>
          <cell r="P29" t="str">
            <v>0…+6</v>
          </cell>
          <cell r="Q29">
            <v>60</v>
          </cell>
        </row>
        <row r="30">
          <cell r="B30">
            <v>1001012816340</v>
          </cell>
          <cell r="C30" t="str">
            <v>ДОМАШНИЙ РЕЦЕПТ Коровино 0.5кг 8шт.</v>
          </cell>
          <cell r="D30" t="str">
            <v>ШТ</v>
          </cell>
          <cell r="E30" t="str">
            <v>Колбасные изделия</v>
          </cell>
          <cell r="F30" t="str">
            <v>Вареные колбасы</v>
          </cell>
          <cell r="G30" t="str">
            <v>Коровино</v>
          </cell>
          <cell r="H30" t="str">
            <v>ОМПК(С)</v>
          </cell>
          <cell r="I30" t="str">
            <v>ТУ 10.13.14-150-00425283-2018</v>
          </cell>
          <cell r="J30" t="str">
            <v>Изделие колбасное вареное из мяса кур охлажденное.</v>
          </cell>
          <cell r="K30" t="str">
            <v>мясо куриное механической обвалки, белковый стабилизатор (вода, шкурка свиная, кожа куриная), вода, свинина, крахмал картофельный, сыворотка молочная сухая, смесь посолочно-нитритная (соль, фиксатор окраски нитрит натрия), пищевые волокна, соль, регуляторы кислотности: пирофосфаты, ацетаты натрия, глюконо-дельта-лактон; стабилизаторы: альгинат натрия, гуаровая и ксантановая камеди; сахара, молоко сухое обезжиренное, экстракты пряностей (в т.ч. горчица), загуститель конжаковая камедь, усилитель вкуса и аромата глутамат натрия, антиокислитель изоаскорбат натрия, ароматизаторы, краситель кармины</v>
          </cell>
          <cell r="L30">
            <v>7</v>
          </cell>
          <cell r="M30">
            <v>16</v>
          </cell>
          <cell r="N30">
            <v>4</v>
          </cell>
          <cell r="O30" t="str">
            <v>188/779</v>
          </cell>
          <cell r="P30" t="str">
            <v>0…+6</v>
          </cell>
          <cell r="Q30">
            <v>60</v>
          </cell>
        </row>
        <row r="31">
          <cell r="B31">
            <v>1001015706862</v>
          </cell>
          <cell r="C31" t="str">
            <v>ДОМАШНИЙ РЕЦЕПТ СО ШПИК.Коровино вар п/о</v>
          </cell>
          <cell r="D31" t="str">
            <v>КГ</v>
          </cell>
          <cell r="E31" t="str">
            <v>Колбасные изделия</v>
          </cell>
          <cell r="F31" t="str">
            <v>Вареные колбасы</v>
          </cell>
          <cell r="G31" t="str">
            <v>Коровино</v>
          </cell>
          <cell r="H31" t="str">
            <v>ОМПК(С)</v>
          </cell>
          <cell r="I31" t="str">
            <v>ТУ 10.13.14-150-00425283-2018</v>
          </cell>
          <cell r="J31" t="str">
            <v>Изделие колбасное вареное из мяса кур охлажденное.</v>
          </cell>
          <cell r="K31" t="str">
            <v>мясо куриное механической обвалки, белковый стабилизатор (вода, шкурка свиная, кожа куриная), вода, шпик, свинина, крахмал картофельный, сыворотка молочная сухая, смесь посолочно-нитритная (соль, фиксатор окраски нитрит натрия), регуляторы кислотности: пирофосфаты, трифосфаты, ацетаты натрия, цитраты натрия, глюконо-дельта-лактон; стабилизатор альгинат натрия, экстракты пряностей, ароматизаторы, антиокислитель изоаскорбат натрия, усилитель вкуса и аромата глутамат натрия, горчица, чеснок, соль, сахар, красители: кармины, диоксид титана</v>
          </cell>
          <cell r="L31">
            <v>9</v>
          </cell>
          <cell r="M31">
            <v>14</v>
          </cell>
          <cell r="N31">
            <v>3</v>
          </cell>
          <cell r="O31" t="str">
            <v>149/617</v>
          </cell>
          <cell r="P31" t="str">
            <v>0…+6</v>
          </cell>
          <cell r="Q31">
            <v>60</v>
          </cell>
        </row>
        <row r="32">
          <cell r="B32">
            <v>1001012816341</v>
          </cell>
          <cell r="C32" t="str">
            <v>ДОМАШНИЙ РЕЦЕПТ СО ШПИКОМ Коровино 0.5кг</v>
          </cell>
          <cell r="D32" t="str">
            <v>ШТ</v>
          </cell>
          <cell r="E32" t="str">
            <v>Колбасные изделия</v>
          </cell>
          <cell r="F32" t="str">
            <v>Вареные колбасы</v>
          </cell>
          <cell r="G32" t="str">
            <v>Коровино</v>
          </cell>
          <cell r="H32" t="str">
            <v>ОМПК(С)</v>
          </cell>
          <cell r="I32" t="str">
            <v>ТУ 10.13.14-150-00425283-2018</v>
          </cell>
          <cell r="J32" t="str">
            <v>Изделие колбасное вареное из мяса кур охлажденное.</v>
          </cell>
          <cell r="K32" t="str">
            <v>мясо куриное механической обвалки, белковый стабилизатор (вода, шкурка свиная, кожа куриная), вода, шпик, свинина, крахмал картофельный, сыворотка молочная сухая, смесь посолочно-нитритная (соль, фиксатор окраски нитрит натрия), регуляторы кислотности: пирофосфаты, трифосфаты, ацетаты натрия, цитраты натрия, глюконо-дельта-лактон; стабилизатор альгинат натрия, экстракты пряностей, ароматизаторы, антиокислитель изоаскорбат натрия, усилитель вкуса и аромата глутамат натрия, горчица, чеснок, соль, сахар, красители: кармины, диоксид титана</v>
          </cell>
          <cell r="L32">
            <v>9</v>
          </cell>
          <cell r="M32">
            <v>14</v>
          </cell>
          <cell r="N32">
            <v>3</v>
          </cell>
          <cell r="O32" t="str">
            <v>149/617</v>
          </cell>
          <cell r="P32" t="str">
            <v>0…+6</v>
          </cell>
          <cell r="Q32">
            <v>60</v>
          </cell>
        </row>
        <row r="33">
          <cell r="B33">
            <v>1001011086841</v>
          </cell>
          <cell r="C33" t="str">
            <v>ДОМАШНЯЯ Папа может вар н/о мгс 1*3</v>
          </cell>
          <cell r="D33" t="str">
            <v>КГ</v>
          </cell>
          <cell r="E33" t="str">
            <v>Колбасные изделия</v>
          </cell>
          <cell r="F33" t="str">
            <v>Вареные колбасы</v>
          </cell>
          <cell r="G33" t="str">
            <v>Папа может</v>
          </cell>
          <cell r="H33" t="str">
            <v>ОМПК(О)</v>
          </cell>
          <cell r="I33" t="str">
            <v>ТУ 10.13.14-180-00425283-2025</v>
          </cell>
          <cell r="J33" t="str">
            <v>Мясной продукт. Изделие колбасное вареное категории Б.</v>
          </cell>
          <cell r="K33" t="str">
            <v>свинина, вода питьевая, мясо куриное механической обвалки, шпик, стабилизатор белковый (вода питьевая, шкурка свиная), говядина, сыворотка молочная сухая,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камедь рожкового дерева, камедь тары), белок животный (говяжий), соль, сахара, специи, экстракты специй (в т.ч. горчица), антиокислители (аскорбиновая кислота), усилитель вкуса и аромата (глутамат натрия), краситель (кармины)</v>
          </cell>
          <cell r="L33">
            <v>10</v>
          </cell>
          <cell r="M33">
            <v>26</v>
          </cell>
          <cell r="N33">
            <v>4</v>
          </cell>
          <cell r="O33" t="str">
            <v>290/1200</v>
          </cell>
          <cell r="P33" t="str">
            <v>0…+6</v>
          </cell>
          <cell r="Q33">
            <v>30</v>
          </cell>
        </row>
        <row r="34">
          <cell r="B34">
            <v>1001016997512</v>
          </cell>
          <cell r="C34" t="str">
            <v>ЧАЙНАЯ Останкино вар н/о мгс 1*3</v>
          </cell>
          <cell r="D34" t="str">
            <v>КГ</v>
          </cell>
          <cell r="E34" t="str">
            <v>Колбасные изделия</v>
          </cell>
          <cell r="F34" t="str">
            <v>Вареные колбасы</v>
          </cell>
          <cell r="G34" t="str">
            <v>Останкино</v>
          </cell>
          <cell r="H34" t="str">
            <v>ОМПК(Г)</v>
          </cell>
          <cell r="I34" t="str">
            <v>ТУ 10.13.14-180-00425283-2025</v>
          </cell>
          <cell r="J34" t="str">
            <v>Мясной продукт. Изделие колбасное вареное категории Б.</v>
          </cell>
          <cell r="K34" t="str">
            <v>свинина, вода питьевая, мясо куриное механической обвалки, шпик, стабилизатор белковый (вода питьевая, шкурка свиная), говядина, сыворотка молочная сухая,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камедь рожкового дерева, камедь тары), белок животный (говяжий), соль, сахара, специи, экстракты специй (в т.ч. горчица), антиокислители (аскорбиновая кислота), усилитель вкуса и аромата (глутамат натрия), краситель (кармины)</v>
          </cell>
          <cell r="L34">
            <v>10</v>
          </cell>
          <cell r="M34">
            <v>26</v>
          </cell>
          <cell r="N34">
            <v>4</v>
          </cell>
          <cell r="O34" t="str">
            <v>290/1200</v>
          </cell>
          <cell r="P34" t="str">
            <v>0…+6</v>
          </cell>
          <cell r="Q34">
            <v>30</v>
          </cell>
        </row>
        <row r="35">
          <cell r="B35">
            <v>1001013643214</v>
          </cell>
          <cell r="C35" t="str">
            <v>К ЧАЮ вар н/о мгс 1*3</v>
          </cell>
          <cell r="D35" t="str">
            <v>КГ</v>
          </cell>
          <cell r="E35" t="str">
            <v>Колбасные изделия</v>
          </cell>
          <cell r="F35" t="str">
            <v>Вареные колбасы</v>
          </cell>
          <cell r="G35" t="str">
            <v>Папа может</v>
          </cell>
          <cell r="H35" t="str">
            <v>ОМПК(Г)</v>
          </cell>
          <cell r="I35" t="str">
            <v>ТУ 10.13.14-180-00425283-2025</v>
          </cell>
          <cell r="J35" t="str">
            <v>Мясной продукт. Изделие колбасное вареное категории Б.</v>
          </cell>
          <cell r="K35" t="str">
            <v>свинина, вода питьевая, мясо куриное механической обвалки, шпик, стабилизатор белковый (вода питьевая, шкурка свиная), говядина, сыворотка молочная сухая,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камедь рожкового дерева, камедь тары), белок животный (говяжий), соль, сахара, специи, экстракты специй (в т.ч. горчица), антиокислители (аскорбиновая кислота), усилитель вкуса и аромата (глутамат натрия), краситель (кармины)</v>
          </cell>
          <cell r="L35">
            <v>10</v>
          </cell>
          <cell r="M35">
            <v>26</v>
          </cell>
          <cell r="N35">
            <v>4</v>
          </cell>
          <cell r="O35" t="str">
            <v>290/1200</v>
          </cell>
          <cell r="P35" t="str">
            <v>0…+6</v>
          </cell>
          <cell r="Q35">
            <v>30</v>
          </cell>
        </row>
        <row r="36">
          <cell r="B36">
            <v>1001011086247</v>
          </cell>
          <cell r="C36" t="str">
            <v>ДОМАШНЯЯ Папа может вар п/о 0.4кг 8шт.</v>
          </cell>
          <cell r="D36" t="str">
            <v>ШТ</v>
          </cell>
          <cell r="E36" t="str">
            <v>Колбасные изделия</v>
          </cell>
          <cell r="F36" t="str">
            <v>Вареные колбасы</v>
          </cell>
          <cell r="G36" t="str">
            <v>Папа может</v>
          </cell>
          <cell r="H36" t="str">
            <v>ОМПК(С)</v>
          </cell>
          <cell r="I36" t="str">
            <v>ТУ 10.13.14-180-00425283-2025</v>
          </cell>
          <cell r="J36" t="str">
            <v>Мясной продукт. Изделие колбасное вареное категории В.</v>
          </cell>
          <cell r="K36" t="str">
            <v>свинина, стабилизатор белковый (кожа куриная, вода питьевая, шкурка свиная), вода питьевая, филе грудок куриных,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альгинат натрия), специи (в т.ч. горчица, сельдерей), сахара, антиокислитель (аскорбиновая кислота), усилитель вкуса и аромата (глутамат натрия), краситель (кармины)</v>
          </cell>
          <cell r="L36">
            <v>10</v>
          </cell>
          <cell r="M36">
            <v>11</v>
          </cell>
          <cell r="N36">
            <v>5</v>
          </cell>
          <cell r="O36" t="str">
            <v>159/662</v>
          </cell>
          <cell r="P36" t="str">
            <v>0…+6</v>
          </cell>
          <cell r="Q36">
            <v>60</v>
          </cell>
        </row>
        <row r="37">
          <cell r="B37">
            <v>1001013956859</v>
          </cell>
          <cell r="C37" t="str">
            <v>КЛАССИЧЕСКАЯ Коровино вар п/о(обвязка)</v>
          </cell>
          <cell r="D37" t="str">
            <v>КГ</v>
          </cell>
          <cell r="E37" t="str">
            <v>Колбасные изделия</v>
          </cell>
          <cell r="F37" t="str">
            <v>Вареные колбасы</v>
          </cell>
          <cell r="G37" t="str">
            <v>Коровино</v>
          </cell>
          <cell r="H37" t="str">
            <v>ОМПК(С)</v>
          </cell>
          <cell r="I37" t="str">
            <v>ТУ 10.13.14-150-00425283-2018</v>
          </cell>
          <cell r="J37" t="str">
            <v>Изделие колбасное вареное из мяса кур охлажденное высшего сорта.</v>
          </cell>
          <cell r="K37" t="str">
            <v>мясо куриное механической обвалки, белковый стабилизатор (свиная шкурка, вода), свинина, вода, крахмал картофельный, соль, посолочно-нитритная смесь (соль, фиксатор окраски нитрит натрия), стабилизаторы: альгинат натрия, каррагинан из водорослей EUCHEMA, камедь гуаровая, растительная клетчатка, регуляторы кислотности: пирофосфаты, ацетаты натрия; натуральные пряности, сахар, усилитель вкуса и аромата Е621, антиокислитель изоаскорбат натрия, ароматизаторы, краситель кармины</v>
          </cell>
          <cell r="L37">
            <v>13</v>
          </cell>
          <cell r="M37">
            <v>15</v>
          </cell>
          <cell r="O37" t="str">
            <v>187/776</v>
          </cell>
          <cell r="P37" t="str">
            <v>0…+6</v>
          </cell>
          <cell r="Q37">
            <v>60</v>
          </cell>
        </row>
        <row r="38">
          <cell r="B38">
            <v>1001013957572</v>
          </cell>
          <cell r="C38" t="str">
            <v>КЛАССИЧЕСКАЯ Кор вар п/о(обвязка) 1.35*8</v>
          </cell>
          <cell r="D38" t="str">
            <v>КГ</v>
          </cell>
          <cell r="E38" t="str">
            <v>Колбасные изделия</v>
          </cell>
          <cell r="F38" t="str">
            <v>Вареные колбасы</v>
          </cell>
          <cell r="G38" t="str">
            <v>Коровино</v>
          </cell>
          <cell r="H38" t="str">
            <v>ОМПК(С)</v>
          </cell>
          <cell r="I38" t="str">
            <v>ТУ 10.13.14-150-00425283-2018</v>
          </cell>
          <cell r="J38" t="str">
            <v>Изделие колбасное вареное из мяса кур охлажденное высшего сорта.</v>
          </cell>
          <cell r="K38" t="str">
            <v>мясо куриное механической обвалки, белковый стабилизатор (свиная шкурка, вода), свинина, вода, крахмал картофельный, соль, посолочно-нитритная смесь (соль, фиксатор окраски нитрит натрия), стабилизаторы: альгинат натрия, каррагинан из водорослей EUCHEMA, камедь гуаровая, растительная клетчатка, регуляторы кислотности: пирофосфаты, ацетаты натрия; натуральные пряности, сахар, усилитель вкуса и аромата Е621, антиокислитель изоаскорбат натрия, ароматизаторы, краситель кармины</v>
          </cell>
          <cell r="L38">
            <v>13</v>
          </cell>
          <cell r="M38">
            <v>15</v>
          </cell>
          <cell r="O38" t="str">
            <v>187/776</v>
          </cell>
          <cell r="P38" t="str">
            <v>0…+6</v>
          </cell>
          <cell r="Q38">
            <v>60</v>
          </cell>
        </row>
        <row r="39">
          <cell r="B39">
            <v>1001013956860</v>
          </cell>
          <cell r="C39" t="str">
            <v>КЛАССИЧЕСКАЯ Коровино вар п/о(обвязка)_М</v>
          </cell>
          <cell r="D39" t="str">
            <v>КГ</v>
          </cell>
          <cell r="E39" t="str">
            <v>Колбасные изделия</v>
          </cell>
          <cell r="F39" t="str">
            <v>Вареные колбасы</v>
          </cell>
          <cell r="G39" t="str">
            <v>Коровино</v>
          </cell>
          <cell r="H39" t="str">
            <v>ОМПК(С)</v>
          </cell>
          <cell r="I39" t="str">
            <v>ТУ 10.13.14-150-00425283-2018</v>
          </cell>
          <cell r="J39" t="str">
            <v>Изделие колбасное вареное из мяса кур охлажденное высшего сорта.</v>
          </cell>
          <cell r="K39" t="str">
            <v>мясо куриное механической обвалки, белковый стабилизатор (свиная шкурка, вода), свинина, вода, крахмал картофельный, соль, посолочно-нитритная смесь (соль, фиксатор окраски нитрит натрия), стабилизаторы: альгинат натрия, каррагинан из водорослей EUCHEMA, камедь гуаровая, растительная клетчатка, регуляторы кислотности: пирофосфаты, ацетаты натрия; натуральные пряности, сахар, усилитель вкуса и аромата Е621, антиокислитель изоаскорбат натрия, ароматизаторы, краситель кармины</v>
          </cell>
          <cell r="L39">
            <v>13</v>
          </cell>
          <cell r="M39">
            <v>15</v>
          </cell>
          <cell r="O39" t="str">
            <v>187/776</v>
          </cell>
          <cell r="P39" t="str">
            <v>0…+6</v>
          </cell>
          <cell r="Q39">
            <v>60</v>
          </cell>
        </row>
        <row r="40">
          <cell r="B40">
            <v>1001013957571</v>
          </cell>
          <cell r="C40" t="str">
            <v>КЛАССИЧЕСКАЯ Кор вар п/о(обвязка) 1.35_М</v>
          </cell>
          <cell r="D40" t="str">
            <v>КГ</v>
          </cell>
          <cell r="E40" t="str">
            <v>Колбасные изделия</v>
          </cell>
          <cell r="F40" t="str">
            <v>Вареные колбасы</v>
          </cell>
          <cell r="G40" t="str">
            <v>Коровино</v>
          </cell>
          <cell r="H40" t="str">
            <v>ОМПК(С)</v>
          </cell>
          <cell r="I40" t="str">
            <v>ТУ 10.13.14-150-00425283-2018</v>
          </cell>
          <cell r="J40" t="str">
            <v>Изделие колбасное вареное из мяса кур охлажденное высшего сорта.</v>
          </cell>
          <cell r="K40" t="str">
            <v>мясо куриное механической обвалки, белковый стабилизатор (свиная шкурка, вода), свинина, вода, крахмал картофельный, соль, посолочно-нитритная смесь (соль, фиксатор окраски нитрит натрия), стабилизаторы: альгинат натрия, каррагинан из водорослей EUCHEMA, камедь гуаровая, растительная клетчатка, регуляторы кислотности: пирофосфаты, ацетаты натрия; натуральные пряности, сахар, усилитель вкуса и аромата Е621, антиокислитель изоаскорбат натрия, ароматизаторы, краситель кармины</v>
          </cell>
          <cell r="L40">
            <v>13</v>
          </cell>
          <cell r="M40">
            <v>15</v>
          </cell>
          <cell r="O40" t="str">
            <v>187/776</v>
          </cell>
          <cell r="P40" t="str">
            <v>0…+6</v>
          </cell>
          <cell r="Q40">
            <v>60</v>
          </cell>
        </row>
        <row r="41">
          <cell r="B41">
            <v>1001013957529</v>
          </cell>
          <cell r="C41" t="str">
            <v>КЛАССИЧЕСКАЯ Кор вар п/о(обвязка)_Маяк</v>
          </cell>
          <cell r="D41" t="str">
            <v>КГ</v>
          </cell>
          <cell r="E41" t="str">
            <v>Колбасные изделия</v>
          </cell>
          <cell r="F41" t="str">
            <v>Вареные колбасы</v>
          </cell>
          <cell r="G41" t="str">
            <v>Коровино</v>
          </cell>
          <cell r="H41" t="str">
            <v>ОМПК(С)</v>
          </cell>
          <cell r="I41" t="str">
            <v>ТУ 10.13.14-150-00425283-2018</v>
          </cell>
          <cell r="J41" t="str">
            <v>Изделие колбасное вареное из мяса кур охлажденное высшего сорта.</v>
          </cell>
          <cell r="K41" t="str">
            <v>мясо куриное механической обвалки, белковый стабилизатор (свиная шкурка, вода), свинина, вода, крахмал картофельный, соль, посолочно-нитритная смесь (соль, фиксатор окраски нитрит натрия), стабилизаторы: альгинат натрия, каррагинан из водорослей EUCHEMA, камедь гуаровая, растительная клетчатка, регуляторы кислотности: пирофосфаты, ацетаты натрия; натуральные пряности, сахар, усилитель вкуса и аромата Е621, антиокислитель изоаскорбат натрия, ароматизаторы, краситель кармины</v>
          </cell>
          <cell r="L41">
            <v>13</v>
          </cell>
          <cell r="M41">
            <v>15</v>
          </cell>
          <cell r="O41" t="str">
            <v>187/776</v>
          </cell>
          <cell r="P41" t="str">
            <v>0…+6</v>
          </cell>
          <cell r="Q41">
            <v>60</v>
          </cell>
        </row>
        <row r="42">
          <cell r="B42">
            <v>1001013957231</v>
          </cell>
          <cell r="C42" t="str">
            <v>КЛАССИЧЕСКАЯ ПМ вар п/о 0.3кг 8шт_209к</v>
          </cell>
          <cell r="D42" t="str">
            <v>ШТ</v>
          </cell>
          <cell r="E42" t="str">
            <v>Колбасные изделия</v>
          </cell>
          <cell r="F42" t="str">
            <v>Вареные колбасы</v>
          </cell>
          <cell r="G42" t="str">
            <v>Папа может</v>
          </cell>
          <cell r="H42" t="str">
            <v>ОМПК(С)
ОМПК(Г)
ОМПК(К)
МПЗ Лыткаринский</v>
          </cell>
          <cell r="I42" t="str">
            <v>ТУ 10.13.14-150-00425283-2018</v>
          </cell>
          <cell r="J42" t="str">
            <v>Изделие колбасное вареное из мяса кур охлажденное.</v>
          </cell>
          <cell r="K42" t="str">
            <v>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42">
            <v>9</v>
          </cell>
          <cell r="M42">
            <v>14</v>
          </cell>
          <cell r="N42">
            <v>4</v>
          </cell>
          <cell r="O42" t="str">
            <v>178/739</v>
          </cell>
          <cell r="P42" t="str">
            <v>0…+6</v>
          </cell>
          <cell r="Q42">
            <v>60</v>
          </cell>
        </row>
        <row r="43">
          <cell r="B43">
            <v>1001013957193</v>
          </cell>
          <cell r="C43" t="str">
            <v>КЛАССИЧЕСКАЯ ПМ вар п/о 0.3кг_СНГ</v>
          </cell>
          <cell r="D43" t="str">
            <v>ШТ</v>
          </cell>
          <cell r="E43" t="str">
            <v>Колбасные изделия</v>
          </cell>
          <cell r="F43" t="str">
            <v>Вареные колбасы</v>
          </cell>
          <cell r="G43" t="str">
            <v>Папа может</v>
          </cell>
          <cell r="H43" t="str">
            <v xml:space="preserve">ОМПК(С)
</v>
          </cell>
          <cell r="I43" t="str">
            <v>ТУ 10.13.14-150-00425283-2018</v>
          </cell>
          <cell r="J43" t="str">
            <v>Изделие колбасное вареное из мяса кур охлажденное.</v>
          </cell>
          <cell r="K43" t="str">
            <v>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43">
            <v>9</v>
          </cell>
          <cell r="M43">
            <v>14</v>
          </cell>
          <cell r="N43">
            <v>4</v>
          </cell>
          <cell r="O43" t="str">
            <v>178/739</v>
          </cell>
          <cell r="P43" t="str">
            <v>0…+6</v>
          </cell>
          <cell r="Q43">
            <v>60</v>
          </cell>
        </row>
        <row r="44">
          <cell r="B44">
            <v>1001013956329</v>
          </cell>
          <cell r="C44" t="str">
            <v>КЛАССИЧЕСКАЯ Папа может вар п/о 0.4кг</v>
          </cell>
          <cell r="D44" t="str">
            <v>ШТ</v>
          </cell>
          <cell r="E44" t="str">
            <v>Колбасные изделия</v>
          </cell>
          <cell r="F44" t="str">
            <v>Вареные колбасы</v>
          </cell>
          <cell r="G44" t="str">
            <v>Папа может</v>
          </cell>
          <cell r="H44" t="str">
            <v>ОМПК(С)</v>
          </cell>
          <cell r="I44" t="str">
            <v>ТУ 10.13.14-150-00425283-2018</v>
          </cell>
          <cell r="J44" t="str">
            <v>Изделие колбасное вареное из мяса кур охлажденное.</v>
          </cell>
          <cell r="K44" t="str">
            <v>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44">
            <v>9</v>
          </cell>
          <cell r="M44">
            <v>14</v>
          </cell>
          <cell r="N44">
            <v>4</v>
          </cell>
          <cell r="O44" t="str">
            <v>178/739</v>
          </cell>
          <cell r="P44" t="str">
            <v>0…+6</v>
          </cell>
          <cell r="Q44">
            <v>60</v>
          </cell>
        </row>
        <row r="45">
          <cell r="B45">
            <v>1001013957034</v>
          </cell>
          <cell r="C45" t="str">
            <v>КЛАССИЧЕСКАЯ Папа может вар п/о 1кг 4шт.</v>
          </cell>
          <cell r="D45" t="str">
            <v>ШТ</v>
          </cell>
          <cell r="E45" t="str">
            <v>Колбасные изделия</v>
          </cell>
          <cell r="F45" t="str">
            <v>Вареные колбасы</v>
          </cell>
          <cell r="G45" t="str">
            <v>Папа может</v>
          </cell>
          <cell r="H45" t="str">
            <v>ОМПК(С)</v>
          </cell>
          <cell r="I45" t="str">
            <v>ТУ 10.13.14-150-00425283-2018</v>
          </cell>
          <cell r="J45" t="str">
            <v>Изделие колбасное вареное из мяса кур охлажденное.</v>
          </cell>
          <cell r="K45" t="str">
            <v>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45">
            <v>9</v>
          </cell>
          <cell r="M45">
            <v>14</v>
          </cell>
          <cell r="N45">
            <v>4</v>
          </cell>
          <cell r="O45" t="str">
            <v>178/739</v>
          </cell>
          <cell r="P45" t="str">
            <v>0…+6</v>
          </cell>
          <cell r="Q45">
            <v>60</v>
          </cell>
        </row>
        <row r="46">
          <cell r="B46">
            <v>1001013956310</v>
          </cell>
          <cell r="C46" t="str">
            <v>КЛАССИЧЕСКАЯ Папа может вар п/о_А</v>
          </cell>
          <cell r="D46" t="str">
            <v>КГ</v>
          </cell>
          <cell r="E46" t="str">
            <v>Колбасные изделия</v>
          </cell>
          <cell r="F46" t="str">
            <v>Вареные колбасы</v>
          </cell>
          <cell r="G46" t="str">
            <v>Папа может</v>
          </cell>
          <cell r="H46" t="str">
            <v>ОМПК(С)</v>
          </cell>
          <cell r="I46" t="str">
            <v>ТУ 10.13.14-150-00425283-2018</v>
          </cell>
          <cell r="J46" t="str">
            <v>Изделие колбасное вареное из мяса кур охлажденное.</v>
          </cell>
          <cell r="K46" t="str">
            <v>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46">
            <v>9</v>
          </cell>
          <cell r="M46">
            <v>14</v>
          </cell>
          <cell r="N46">
            <v>4</v>
          </cell>
          <cell r="O46" t="str">
            <v>178/739</v>
          </cell>
          <cell r="P46" t="str">
            <v>0…+6</v>
          </cell>
          <cell r="Q46">
            <v>60</v>
          </cell>
        </row>
        <row r="47">
          <cell r="B47">
            <v>1001013957196</v>
          </cell>
          <cell r="C47" t="str">
            <v>КЛАССИЧЕСКАЯ Папа может вар п/о_Глобус</v>
          </cell>
          <cell r="D47" t="str">
            <v>КГ</v>
          </cell>
          <cell r="E47" t="str">
            <v>Колбасные изделия</v>
          </cell>
          <cell r="F47" t="str">
            <v>Вареные колбасы</v>
          </cell>
          <cell r="G47" t="str">
            <v>Папа может</v>
          </cell>
          <cell r="H47" t="str">
            <v>ОМПК(С)</v>
          </cell>
          <cell r="I47" t="str">
            <v>ТУ 10.13.14-150-00425283-2018</v>
          </cell>
          <cell r="J47" t="str">
            <v>Изделие колбасное вареное из мяса кур охлажденное.</v>
          </cell>
          <cell r="K47" t="str">
            <v>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47">
            <v>9</v>
          </cell>
          <cell r="M47">
            <v>14</v>
          </cell>
          <cell r="N47">
            <v>4</v>
          </cell>
          <cell r="O47" t="str">
            <v>178/739</v>
          </cell>
          <cell r="P47" t="str">
            <v>0…+6</v>
          </cell>
          <cell r="Q47">
            <v>60</v>
          </cell>
        </row>
        <row r="48">
          <cell r="B48">
            <v>1001013956885</v>
          </cell>
          <cell r="C48" t="str">
            <v>КЛАССИЧЕСКАЯ Папа может вар п/о_Маяк</v>
          </cell>
          <cell r="D48" t="str">
            <v>КГ</v>
          </cell>
          <cell r="E48" t="str">
            <v>Колбасные изделия</v>
          </cell>
          <cell r="F48" t="str">
            <v>Вареные колбасы</v>
          </cell>
          <cell r="G48" t="str">
            <v>Папа может</v>
          </cell>
          <cell r="H48" t="str">
            <v>ОМПК(С)</v>
          </cell>
          <cell r="I48" t="str">
            <v>ТУ 10.13.14-150-00425283-2018</v>
          </cell>
          <cell r="J48" t="str">
            <v>Изделие колбасное вареное из мяса кур охлажденное.</v>
          </cell>
          <cell r="K48" t="str">
            <v>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48">
            <v>9</v>
          </cell>
          <cell r="M48">
            <v>14</v>
          </cell>
          <cell r="N48">
            <v>4</v>
          </cell>
          <cell r="O48" t="str">
            <v>178/739</v>
          </cell>
          <cell r="P48" t="str">
            <v>0…+6</v>
          </cell>
          <cell r="Q48">
            <v>60</v>
          </cell>
        </row>
        <row r="49">
          <cell r="B49">
            <v>1001013955652</v>
          </cell>
          <cell r="C49" t="str">
            <v>КЛАССИЧЕСКАЯ Папа может вар п/о_О</v>
          </cell>
          <cell r="D49" t="str">
            <v>КГ</v>
          </cell>
          <cell r="E49" t="str">
            <v>Колбасные изделия</v>
          </cell>
          <cell r="F49" t="str">
            <v>Вареные колбасы</v>
          </cell>
          <cell r="G49" t="str">
            <v>Папа может</v>
          </cell>
          <cell r="H49" t="str">
            <v>ОМПК(С)</v>
          </cell>
          <cell r="I49" t="str">
            <v>ТУ 10.13.14-150-00425283-2018</v>
          </cell>
          <cell r="J49" t="str">
            <v>Изделие колбасное вареное из мяса кур охлажденное.</v>
          </cell>
          <cell r="K49" t="str">
            <v>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49">
            <v>9</v>
          </cell>
          <cell r="M49">
            <v>14</v>
          </cell>
          <cell r="N49">
            <v>4</v>
          </cell>
          <cell r="O49" t="str">
            <v>178/739</v>
          </cell>
          <cell r="P49" t="str">
            <v>0…+6</v>
          </cell>
          <cell r="Q49">
            <v>60</v>
          </cell>
        </row>
        <row r="50">
          <cell r="B50">
            <v>1001013953498</v>
          </cell>
          <cell r="C50" t="str">
            <v>Z-КЛАССИЧЕСКАЯ Папа может вар п/о</v>
          </cell>
          <cell r="D50" t="str">
            <v>КГ</v>
          </cell>
          <cell r="E50" t="str">
            <v>Колбасные изделия</v>
          </cell>
          <cell r="F50" t="str">
            <v>Вареные колбасы</v>
          </cell>
          <cell r="G50" t="str">
            <v>Папа может</v>
          </cell>
          <cell r="H50" t="str">
            <v>ОМПК(С)</v>
          </cell>
          <cell r="I50" t="str">
            <v>ТУ 10.13.14-150-00425283-2018</v>
          </cell>
          <cell r="J50" t="str">
            <v>Изделие колбасное вареное из мяса кур охлажденное.</v>
          </cell>
          <cell r="K50" t="str">
            <v>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50">
            <v>9</v>
          </cell>
          <cell r="M50">
            <v>14</v>
          </cell>
          <cell r="N50">
            <v>4</v>
          </cell>
          <cell r="O50" t="str">
            <v>178/739</v>
          </cell>
          <cell r="P50" t="str">
            <v>0…+6</v>
          </cell>
          <cell r="Q50">
            <v>60</v>
          </cell>
        </row>
        <row r="51">
          <cell r="B51">
            <v>1001014136501</v>
          </cell>
          <cell r="C51" t="str">
            <v>КЛАССИЧЕСКАЯ СО ШПИКОМ вар п/о</v>
          </cell>
          <cell r="D51" t="str">
            <v>КГ</v>
          </cell>
          <cell r="E51" t="str">
            <v>Колбасные изделия</v>
          </cell>
          <cell r="F51" t="str">
            <v>Вареные колбасы</v>
          </cell>
          <cell r="G51" t="str">
            <v>Папа может</v>
          </cell>
          <cell r="H51" t="str">
            <v xml:space="preserve">ОМПК(С)
</v>
          </cell>
          <cell r="I51" t="str">
            <v>ТУ 10.13.14-150-00425283-2018</v>
          </cell>
          <cell r="J51" t="str">
            <v>Изделие колбасное вареное из мяса кур охлажденное.</v>
          </cell>
          <cell r="K51" t="str">
            <v>мясо куриное механической обвалки, свинина, вода питьевая, стабилизатор белковый (вода питьевая, шкурка свиная), шпик, филе куриной грудки,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стабилизаторы (полифосфаты, альгинат натрия), специи и экстракты специй (в т.ч. сельдерей, горчица), чеснок свежий, сахара, крахмал картофельный, антиокислитель (изоаскорбат натрия), усилитель вкуса и аромата (глутамат натрия), ароматизаторы, краситель (кармины)</v>
          </cell>
          <cell r="L51">
            <v>8</v>
          </cell>
          <cell r="M51">
            <v>14</v>
          </cell>
          <cell r="N51">
            <v>2</v>
          </cell>
          <cell r="O51" t="str">
            <v>166/688</v>
          </cell>
          <cell r="P51" t="str">
            <v>0…+6</v>
          </cell>
          <cell r="Q51">
            <v>60</v>
          </cell>
        </row>
        <row r="52">
          <cell r="B52">
            <v>1001017557514</v>
          </cell>
          <cell r="C52" t="str">
            <v>ЛЮБИТЕЛЬСКАЯ ОСТАНКИНСКАЯ вар ц/о в/у</v>
          </cell>
          <cell r="D52" t="str">
            <v>КГ</v>
          </cell>
          <cell r="E52" t="str">
            <v>Колбасные изделия</v>
          </cell>
          <cell r="F52" t="str">
            <v>Вареные колбасы</v>
          </cell>
          <cell r="G52" t="str">
            <v>Останкино</v>
          </cell>
          <cell r="H52" t="str">
            <v>ОМПК(С)</v>
          </cell>
          <cell r="I52" t="str">
            <v>ТУ 10.13.14-180-00425283-2025</v>
          </cell>
          <cell r="J52" t="str">
            <v>Мясной продукт. Изделие колбасное вареное категории В.</v>
          </cell>
          <cell r="K52" t="str">
            <v>свинина, вода питьевая, стабилизатор белковый (вода питьевая, шкурка свиная), шпик, говядина, сыворотка молочная сухая,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альгинат натрия), специи, экстракты специи (в т.ч. горчица), сахара, антиокислители (аскорбат натрия, лимонная кислота, аскорбиновая кислота), усилитель вкуса и аромата (глутамат натрия), ароматизаторы, краситель (кармины)</v>
          </cell>
          <cell r="L52">
            <v>9</v>
          </cell>
          <cell r="M52">
            <v>25</v>
          </cell>
          <cell r="N52">
            <v>3</v>
          </cell>
          <cell r="O52" t="str">
            <v>273/1129</v>
          </cell>
          <cell r="P52" t="str">
            <v>0…+6</v>
          </cell>
          <cell r="Q52">
            <v>30</v>
          </cell>
        </row>
        <row r="53">
          <cell r="B53">
            <v>1001010026784</v>
          </cell>
          <cell r="C53" t="str">
            <v>МОЛОЧНАЯ Коровино(в сетке) вар п/о 0.4кг</v>
          </cell>
          <cell r="D53" t="str">
            <v>ШТ</v>
          </cell>
          <cell r="E53" t="str">
            <v>Колбасные изделия</v>
          </cell>
          <cell r="F53" t="str">
            <v>Вареные колбасы</v>
          </cell>
          <cell r="G53" t="str">
            <v>Коровино</v>
          </cell>
          <cell r="H53" t="str">
            <v>ОМПК(С)</v>
          </cell>
          <cell r="I53" t="str">
            <v>ТУ 10.13.14-150-00425283-2026</v>
          </cell>
          <cell r="J53" t="str">
            <v>Изделие колбасное вареное из мяса кур охлажденное.</v>
          </cell>
          <cell r="K53" t="str">
            <v>мясо цыпленка-бройлера бескостное, мясо цыпленка-бройлера механической обвалки, стабилизатор белковый (шкурка свиная, вода питьевая), вода питьевая, сыворотка молочная сухая, крахмал картофельный, крупа манная, смесь посолочно-нитритная (соль, фиксатор окраски (нитрит натрия)), регуляторы кислотности (пирофосфаты, трифосфаты, цитраты натрия), белок животный (говяжий), загустители (ксантановая камедь, каррагинан), чеснок свежий, перец черный, мускатный орех перец чили, горчица, кориандр, сахара, клетчатка растительная (соевая), антиокислитель (изоаскорбат натрия), усилитель вкуса и аромата (глутамат натрия 1-замещенный), ароматизаторы, краситель (кармины)</v>
          </cell>
          <cell r="L53">
            <v>13</v>
          </cell>
          <cell r="M53">
            <v>18</v>
          </cell>
          <cell r="N53">
            <v>9</v>
          </cell>
          <cell r="O53" t="str">
            <v>250/1040</v>
          </cell>
          <cell r="P53" t="str">
            <v>0…+6</v>
          </cell>
          <cell r="Q53">
            <v>60</v>
          </cell>
        </row>
        <row r="54">
          <cell r="B54">
            <v>1001012456464</v>
          </cell>
          <cell r="C54" t="str">
            <v>МОЛОЧНАЯ Папа может вар п/о_Окей</v>
          </cell>
          <cell r="D54" t="str">
            <v>КГ</v>
          </cell>
          <cell r="E54" t="str">
            <v>Колбасные изделия</v>
          </cell>
          <cell r="F54" t="str">
            <v>Вареные колбасы</v>
          </cell>
          <cell r="G54" t="str">
            <v>Папа может</v>
          </cell>
          <cell r="H54" t="str">
            <v xml:space="preserve">ОМПК(С)
</v>
          </cell>
          <cell r="I54" t="str">
            <v>ТУ 10.13.14-180-00425283-2025</v>
          </cell>
          <cell r="J54" t="str">
            <v>Мясной продукт. Изделие колбасное вареное категории В.</v>
          </cell>
          <cell r="K54"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54">
            <v>9</v>
          </cell>
          <cell r="M54">
            <v>14</v>
          </cell>
          <cell r="N54">
            <v>5</v>
          </cell>
          <cell r="O54" t="str">
            <v>182/756</v>
          </cell>
          <cell r="P54" t="str">
            <v>0…+6</v>
          </cell>
          <cell r="Q54">
            <v>60</v>
          </cell>
        </row>
        <row r="55">
          <cell r="B55">
            <v>1001012456876</v>
          </cell>
          <cell r="C55" t="str">
            <v>МОЛОЧНАЯ Папа может вар п/о_Ашан</v>
          </cell>
          <cell r="D55" t="str">
            <v>КГ</v>
          </cell>
          <cell r="E55" t="str">
            <v>Колбасные изделия</v>
          </cell>
          <cell r="F55" t="str">
            <v>Вареные колбасы</v>
          </cell>
          <cell r="G55" t="str">
            <v>Папа может</v>
          </cell>
          <cell r="H55" t="str">
            <v xml:space="preserve">ОМПК(С)
</v>
          </cell>
          <cell r="I55" t="str">
            <v>ТУ 10.13.14-180-00425283-2025</v>
          </cell>
          <cell r="J55" t="str">
            <v>Мясной продукт. Изделие колбасное вареное категории В.</v>
          </cell>
          <cell r="K55"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55">
            <v>9</v>
          </cell>
          <cell r="M55">
            <v>14</v>
          </cell>
          <cell r="N55">
            <v>5</v>
          </cell>
          <cell r="O55" t="str">
            <v>182/756</v>
          </cell>
          <cell r="P55" t="str">
            <v>0…+6</v>
          </cell>
          <cell r="Q55">
            <v>60</v>
          </cell>
        </row>
        <row r="56">
          <cell r="B56">
            <v>1001012456498</v>
          </cell>
          <cell r="C56" t="str">
            <v>МОЛОЧНАЯ Папа может вар п/о</v>
          </cell>
          <cell r="D56" t="str">
            <v>КГ</v>
          </cell>
          <cell r="E56" t="str">
            <v>Колбасные изделия</v>
          </cell>
          <cell r="F56" t="str">
            <v>Вареные колбасы</v>
          </cell>
          <cell r="G56" t="str">
            <v>Папа может</v>
          </cell>
          <cell r="H56" t="str">
            <v xml:space="preserve">ОМПК(С)
</v>
          </cell>
          <cell r="I56" t="str">
            <v>ТУ 10.13.14-180-00425283-2025</v>
          </cell>
          <cell r="J56" t="str">
            <v>Мясной продукт. Изделие колбасное вареное категории В.</v>
          </cell>
          <cell r="K56"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56">
            <v>9</v>
          </cell>
          <cell r="M56">
            <v>14</v>
          </cell>
          <cell r="N56">
            <v>5</v>
          </cell>
          <cell r="O56" t="str">
            <v>182/756</v>
          </cell>
          <cell r="P56" t="str">
            <v>0…+6</v>
          </cell>
          <cell r="Q56">
            <v>60</v>
          </cell>
        </row>
        <row r="57">
          <cell r="B57">
            <v>1001012456481</v>
          </cell>
          <cell r="C57" t="str">
            <v>Z-МОЛОЧНАЯ Папа может вар п/о</v>
          </cell>
          <cell r="D57" t="str">
            <v>КГ</v>
          </cell>
          <cell r="E57" t="str">
            <v>Колбасные изделия</v>
          </cell>
          <cell r="F57" t="str">
            <v>Вареные колбасы</v>
          </cell>
          <cell r="G57" t="str">
            <v>Папа может</v>
          </cell>
          <cell r="H57" t="str">
            <v xml:space="preserve">ОМПК(С)
</v>
          </cell>
          <cell r="I57" t="str">
            <v>ТУ 10.13.14-180-00425283-2025</v>
          </cell>
          <cell r="J57" t="str">
            <v>Мясной продукт. Изделие колбасное вареное категории В.</v>
          </cell>
          <cell r="K57"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57">
            <v>9</v>
          </cell>
          <cell r="M57">
            <v>14</v>
          </cell>
          <cell r="N57">
            <v>5</v>
          </cell>
          <cell r="O57" t="str">
            <v>182/756</v>
          </cell>
          <cell r="P57" t="str">
            <v>0…+6</v>
          </cell>
          <cell r="Q57">
            <v>60</v>
          </cell>
        </row>
        <row r="58">
          <cell r="B58">
            <v>1001012456904</v>
          </cell>
          <cell r="C58" t="str">
            <v>МОЛОЧНАЯ Папа может вар п/о 0.4кг 8шт.</v>
          </cell>
          <cell r="D58" t="str">
            <v>ШТ</v>
          </cell>
          <cell r="E58" t="str">
            <v>Колбасные изделия</v>
          </cell>
          <cell r="F58" t="str">
            <v>Вареные колбасы</v>
          </cell>
          <cell r="G58" t="str">
            <v>Папа может</v>
          </cell>
          <cell r="H58" t="str">
            <v>ОМПК(О)
ОМПК(Г)</v>
          </cell>
          <cell r="I58" t="str">
            <v>ТУ 10.13.14-180-00425283-2025</v>
          </cell>
          <cell r="J58" t="str">
            <v>Мясной продукт. Изделие колбасное вареное категории В.</v>
          </cell>
          <cell r="K58"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58">
            <v>9</v>
          </cell>
          <cell r="M58">
            <v>14</v>
          </cell>
          <cell r="N58">
            <v>5</v>
          </cell>
          <cell r="O58" t="str">
            <v>182/756</v>
          </cell>
          <cell r="P58" t="str">
            <v>0…+6</v>
          </cell>
          <cell r="Q58">
            <v>60</v>
          </cell>
        </row>
        <row r="59">
          <cell r="B59">
            <v>1001012456479</v>
          </cell>
          <cell r="C59" t="str">
            <v>МОЛОЧНАЯ Папа может вар п/о 0.5кг 8шт.</v>
          </cell>
          <cell r="D59" t="str">
            <v>ШТ</v>
          </cell>
          <cell r="E59" t="str">
            <v>Колбасные изделия</v>
          </cell>
          <cell r="F59" t="str">
            <v>Вареные колбасы</v>
          </cell>
          <cell r="G59" t="str">
            <v>Папа может</v>
          </cell>
          <cell r="H59" t="str">
            <v>ОМПК(С)
ОМПК(Г)</v>
          </cell>
          <cell r="I59" t="str">
            <v>ТУ 10.13.14-180-00425283-2025</v>
          </cell>
          <cell r="J59" t="str">
            <v>Мясной продукт. Изделие колбасное вареное категории В.</v>
          </cell>
          <cell r="K59"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59">
            <v>9</v>
          </cell>
          <cell r="M59">
            <v>14</v>
          </cell>
          <cell r="N59">
            <v>5</v>
          </cell>
          <cell r="O59" t="str">
            <v>182/756</v>
          </cell>
          <cell r="P59" t="str">
            <v>0…+6</v>
          </cell>
          <cell r="Q59">
            <v>60</v>
          </cell>
        </row>
        <row r="60">
          <cell r="B60">
            <v>1001010027500</v>
          </cell>
          <cell r="C60" t="str">
            <v>МОЛОЧНАЯ GUTMANN вар п/о 0.5кг 8шт.</v>
          </cell>
          <cell r="D60" t="str">
            <v>ШТ</v>
          </cell>
          <cell r="E60" t="str">
            <v>Колбасные изделия</v>
          </cell>
          <cell r="F60" t="str">
            <v>Вареные колбасы</v>
          </cell>
          <cell r="G60" t="str">
            <v>GUTMANN</v>
          </cell>
          <cell r="H60" t="str">
            <v xml:space="preserve">ОМПК(С)
ОМПК(О)
</v>
          </cell>
          <cell r="I60" t="str">
            <v>ТУ 10.13.14-180-00425283-2025</v>
          </cell>
          <cell r="J60" t="str">
            <v>Мясной продукт. Изделие колбасное вареное категории Б.</v>
          </cell>
          <cell r="K60" t="str">
            <v>свинина, филе грудок куриных, мясо цыпленка-бройлера механической обвалки, вода питьевая, стабилизатор белковый (вода питьевая, кожа куриная, шкурка свиная),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гуаровая камедь, ксантановая камедь), чеснок сушеный молотый, перец красный, перец черный, тмин, паприка, кориандр, имбирь, горчица, белок молочный, сахара, антиокислитель (аскорбиновая кислота), усилитель вкуса и аромата (глутамат натрия 1-замещенный), ароматизаторы, краситель (кармины)</v>
          </cell>
          <cell r="L60">
            <v>11</v>
          </cell>
          <cell r="M60">
            <v>16</v>
          </cell>
          <cell r="N60">
            <v>3</v>
          </cell>
          <cell r="O60" t="str">
            <v>200/830</v>
          </cell>
          <cell r="P60" t="str">
            <v>0…+6</v>
          </cell>
          <cell r="Q60">
            <v>60</v>
          </cell>
        </row>
        <row r="61">
          <cell r="B61">
            <v>1001010477307</v>
          </cell>
          <cell r="C61" t="str">
            <v>МОЛОЧНАЯ ПРЕМИУМ вар б/о в/у срез 0.4кг</v>
          </cell>
          <cell r="D61" t="str">
            <v>ШТ</v>
          </cell>
          <cell r="E61" t="str">
            <v>Колбасные изделия</v>
          </cell>
          <cell r="F61" t="str">
            <v>Вареные колбасы</v>
          </cell>
          <cell r="G61" t="str">
            <v>Папа может</v>
          </cell>
          <cell r="H61" t="str">
            <v>ОМПК(О)</v>
          </cell>
          <cell r="I61" t="str">
            <v>ТУ 10.13.14-150-00425283-2018</v>
          </cell>
          <cell r="J61" t="str">
            <v>Изделие колбасное вареное из мяса кур охлажденное.</v>
          </cell>
          <cell r="K61" t="str">
            <v>мясо куриное механической обвалки, вода питьевая, свинина, филе грудок куриных, стабилизатор белковый (вода питьевая, кожа куриная, шкурка свиная),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сахара, соль, пряности и экстракты пряностей, белок животный (говяжий), антиокислитель (аскорбиновая кислота), усилитель вкуса и аромата (глутамат натрия), ароматизаторы, краситель (кармины</v>
          </cell>
          <cell r="L61">
            <v>10</v>
          </cell>
          <cell r="M61">
            <v>15</v>
          </cell>
          <cell r="N61">
            <v>2</v>
          </cell>
          <cell r="O61" t="str">
            <v>183/759</v>
          </cell>
          <cell r="P61" t="str">
            <v>0…+6</v>
          </cell>
          <cell r="Q61">
            <v>30</v>
          </cell>
        </row>
        <row r="62">
          <cell r="B62">
            <v>1001010026594</v>
          </cell>
          <cell r="C62" t="str">
            <v>МОЛОЧНАЯ СН вар п/о</v>
          </cell>
          <cell r="D62" t="str">
            <v>КГ</v>
          </cell>
          <cell r="E62" t="str">
            <v>Колбасные изделия</v>
          </cell>
          <cell r="F62" t="str">
            <v>Вареные колбасы</v>
          </cell>
          <cell r="G62" t="str">
            <v>Советское наследие</v>
          </cell>
          <cell r="H62" t="str">
            <v>ОМПК(С)</v>
          </cell>
          <cell r="I62" t="str">
            <v>ТУ 10.13.14-150-00425283-2018</v>
          </cell>
          <cell r="J62" t="str">
            <v>Изделие колбасное вареное из мяса кур охлажденное.</v>
          </cell>
          <cell r="K62" t="str">
            <v>мясо цыпленка-бройлера бескостное, мясо цыпленка-бройлера механической обвалки,  стабилизатор белковый (шкурка свиная, вода питьевая), вода питьевая, сыворотка молочная сухая, крахмал картофельный, крупа манная, смесь посолочно-нитритная (соль, фиксатор окраски (нитрит натрия)), регуляторы кислотности (пирофосфаты, трифосфаты, цитраты натрия), белок животный (говяжий), загустители (ксантановая камедь, каррагинан), чеснок свежий, перец черный, мускатный орех, перец чили, горчица, кориандр, сахара, клетчатка растительная (соевая), антиокислитель (изоаскорбат натрия), усилитель вкуса и аромата (глутамат натрия 1-замещенный), ароматизаторы, краситель (кармины)</v>
          </cell>
          <cell r="L62">
            <v>13</v>
          </cell>
          <cell r="M62">
            <v>18</v>
          </cell>
          <cell r="N62">
            <v>9</v>
          </cell>
          <cell r="O62" t="str">
            <v>250/1040</v>
          </cell>
          <cell r="P62" t="str">
            <v>0…+6</v>
          </cell>
          <cell r="Q62">
            <v>60</v>
          </cell>
        </row>
        <row r="63">
          <cell r="B63">
            <v>1001017027409</v>
          </cell>
          <cell r="C63" t="str">
            <v>МУСУЛЬМАНСКАЯ ASLAM вар п/о 0.5кг 8шт.</v>
          </cell>
          <cell r="D63" t="str">
            <v>ШТ</v>
          </cell>
          <cell r="E63" t="str">
            <v>Колбасные изделия</v>
          </cell>
          <cell r="F63" t="str">
            <v>Вареные колбасы</v>
          </cell>
          <cell r="G63" t="str">
            <v>ASLAM</v>
          </cell>
          <cell r="H63" t="str">
            <v>ООО Казанские деликатесы</v>
          </cell>
          <cell r="I63" t="str">
            <v>ТУ 10.13.14-175-00425283-2025</v>
          </cell>
          <cell r="J63" t="str">
            <v>Изделие колбасное вареное из мяса кур охлажденное.</v>
          </cell>
          <cell r="K63" t="str">
            <v>мясо куриное механической обвалки, филе грудок куриных, стабилизатор белковый (вода питьевая, кожа куриная, говядина), вода питьевая, молоко сухое обезжиренное,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конжак, ксантановая камедь, гуаровая камедь), пряности, экстракты пряностей, сахара, антиокислители (аскорбиновая кислота, лимонная кислота), усилитель вкуса и аромата (глутамат натрия), ароматизатор, экстракт гардении красной</v>
          </cell>
          <cell r="L63">
            <v>10</v>
          </cell>
          <cell r="M63">
            <v>11</v>
          </cell>
          <cell r="N63">
            <v>3</v>
          </cell>
          <cell r="O63" t="str">
            <v>151/628</v>
          </cell>
          <cell r="P63" t="str">
            <v>0…+6</v>
          </cell>
          <cell r="Q63">
            <v>60</v>
          </cell>
        </row>
        <row r="64">
          <cell r="B64">
            <v>1001017027404</v>
          </cell>
          <cell r="C64" t="str">
            <v>МУСУЛЬМАНСКАЯ ASLAM вар п/о 0.9кг 4шт.</v>
          </cell>
          <cell r="D64" t="str">
            <v>ШТ</v>
          </cell>
          <cell r="E64" t="str">
            <v>Колбасные изделия</v>
          </cell>
          <cell r="F64" t="str">
            <v>Вареные колбасы</v>
          </cell>
          <cell r="G64" t="str">
            <v>ASLAM</v>
          </cell>
          <cell r="H64" t="str">
            <v>ООО Казанские деликатесы</v>
          </cell>
          <cell r="I64" t="str">
            <v>ТУ 10.13.14-175-00425283-2025</v>
          </cell>
          <cell r="J64" t="str">
            <v>Изделие колбасное вареное из мяса кур охлажденное.</v>
          </cell>
          <cell r="K64" t="str">
            <v>мясо куриное механической обвалки, филе грудок куриных, стабилизатор белковый (вода питьевая, кожа куриная, говядина), вода питьевая, молоко сухое обезжиренное,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конжак, ксантановая камедь, гуаровая камедь), пряности, экстракты пряностей, сахара, антиокислители (аскорбиновая кислота, лимонная кислота), усилитель вкуса и аромата (глутамат натрия), ароматизатор, экстракт гардении красной</v>
          </cell>
          <cell r="L64">
            <v>10</v>
          </cell>
          <cell r="M64">
            <v>11</v>
          </cell>
          <cell r="N64">
            <v>3</v>
          </cell>
          <cell r="O64" t="str">
            <v>151/628</v>
          </cell>
          <cell r="P64" t="str">
            <v>0…+6</v>
          </cell>
          <cell r="Q64">
            <v>60</v>
          </cell>
        </row>
        <row r="65">
          <cell r="B65">
            <v>1001012484063</v>
          </cell>
          <cell r="C65" t="str">
            <v>МЯСНАЯ Папа может вар п/о</v>
          </cell>
          <cell r="D65" t="str">
            <v>КГ</v>
          </cell>
          <cell r="E65" t="str">
            <v>Колбасные изделия</v>
          </cell>
          <cell r="F65" t="str">
            <v>Вареные колбасы</v>
          </cell>
          <cell r="G65" t="str">
            <v>Папа может</v>
          </cell>
          <cell r="H65" t="str">
            <v xml:space="preserve">ОМПК(О)
ОМПК(С)
</v>
          </cell>
          <cell r="I65" t="str">
            <v xml:space="preserve"> ТУ 10.13.14-130-00425283-2017</v>
          </cell>
          <cell r="J65" t="str">
            <v>Мясной продукт. Изделие колбасное вареное категории В.</v>
          </cell>
          <cell r="K65" t="str">
            <v>свинина, вода питьевая, мясо куриное механической обвалки,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65">
            <v>9</v>
          </cell>
          <cell r="M65">
            <v>14</v>
          </cell>
          <cell r="N65">
            <v>4</v>
          </cell>
          <cell r="O65" t="str">
            <v>178/739</v>
          </cell>
          <cell r="P65" t="str">
            <v>0…+6</v>
          </cell>
          <cell r="Q65">
            <v>60</v>
          </cell>
        </row>
        <row r="66">
          <cell r="B66">
            <v>1001012486333</v>
          </cell>
          <cell r="C66" t="str">
            <v>МЯСНАЯ Папа может вар п/о 0.4кг 8шт.</v>
          </cell>
          <cell r="D66" t="str">
            <v>ШТ</v>
          </cell>
          <cell r="E66" t="str">
            <v>Колбасные изделия</v>
          </cell>
          <cell r="F66" t="str">
            <v>Вареные колбасы</v>
          </cell>
          <cell r="G66" t="str">
            <v>Папа может</v>
          </cell>
          <cell r="H66" t="str">
            <v>ОМПК(О)</v>
          </cell>
          <cell r="I66" t="str">
            <v>ТУ 10.13.14-180-00425283-2025</v>
          </cell>
          <cell r="J66" t="str">
            <v>Мясной продукт. Изделие колбасное вареное категории В.</v>
          </cell>
          <cell r="K66"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66">
            <v>9</v>
          </cell>
          <cell r="M66">
            <v>14</v>
          </cell>
          <cell r="N66">
            <v>5</v>
          </cell>
          <cell r="O66" t="str">
            <v>182/756</v>
          </cell>
          <cell r="P66" t="str">
            <v>0…+6</v>
          </cell>
          <cell r="Q66">
            <v>60</v>
          </cell>
        </row>
        <row r="67">
          <cell r="B67">
            <v>1001012486334</v>
          </cell>
          <cell r="C67" t="str">
            <v>МЯСНАЯ Папа может вар п/о 0.4кг_СНГ</v>
          </cell>
          <cell r="D67" t="str">
            <v>ШТ</v>
          </cell>
          <cell r="E67" t="str">
            <v>Колбасные изделия</v>
          </cell>
          <cell r="F67" t="str">
            <v>Вареные колбасы</v>
          </cell>
          <cell r="G67" t="str">
            <v>Папа может</v>
          </cell>
          <cell r="H67" t="str">
            <v>ОМПК(О)</v>
          </cell>
          <cell r="I67" t="str">
            <v>ТУ 10.13.14-180-00425283-2025</v>
          </cell>
          <cell r="J67" t="str">
            <v>Мясной продукт. Изделие колбасное вареное категории В.</v>
          </cell>
          <cell r="K67"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67">
            <v>9</v>
          </cell>
          <cell r="M67">
            <v>14</v>
          </cell>
          <cell r="N67">
            <v>5</v>
          </cell>
          <cell r="O67" t="str">
            <v>182/756</v>
          </cell>
          <cell r="P67" t="str">
            <v>0…+6</v>
          </cell>
          <cell r="Q67">
            <v>60</v>
          </cell>
        </row>
        <row r="68">
          <cell r="B68">
            <v>1001012486332</v>
          </cell>
          <cell r="C68" t="str">
            <v>МЯСНАЯ Папа может вар п/о 0.5кг 8шт.</v>
          </cell>
          <cell r="D68" t="str">
            <v>ШТ</v>
          </cell>
          <cell r="E68" t="str">
            <v>Колбасные изделия</v>
          </cell>
          <cell r="F68" t="str">
            <v>Вареные колбасы</v>
          </cell>
          <cell r="G68" t="str">
            <v>Папа может</v>
          </cell>
          <cell r="H68" t="str">
            <v xml:space="preserve">ОМПК(О)
ОМПК(С)
ОМПК(Г)
</v>
          </cell>
          <cell r="I68" t="str">
            <v>ТУ 10.13.14-180-00425283-2025</v>
          </cell>
          <cell r="J68" t="str">
            <v>Мясной продукт. Изделие колбасное вареное категории В.</v>
          </cell>
          <cell r="K68"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68">
            <v>9</v>
          </cell>
          <cell r="M68">
            <v>14</v>
          </cell>
          <cell r="N68">
            <v>5</v>
          </cell>
          <cell r="O68" t="str">
            <v>182/756</v>
          </cell>
          <cell r="P68" t="str">
            <v>0…+6</v>
          </cell>
          <cell r="Q68">
            <v>60</v>
          </cell>
        </row>
        <row r="69">
          <cell r="B69">
            <v>1001016767323</v>
          </cell>
          <cell r="C69" t="str">
            <v>ТОЛСТЫЙ СЛАЙС ВАРЕНЫЙ вар с/н мгс 1/150</v>
          </cell>
          <cell r="D69" t="str">
            <v>ШТ</v>
          </cell>
          <cell r="E69" t="str">
            <v>Колбасные изделия</v>
          </cell>
          <cell r="F69" t="str">
            <v>Вареные колбасы</v>
          </cell>
          <cell r="G69" t="str">
            <v>Папа может</v>
          </cell>
          <cell r="H69" t="str">
            <v>ОМПК(О)</v>
          </cell>
          <cell r="I69" t="str">
            <v>ТУ 10.13.14-130-00425283-2017</v>
          </cell>
          <cell r="J69" t="str">
            <v>Мясной продукт. Изделие колбасное вареное категории В.</v>
          </cell>
          <cell r="K69" t="str">
            <v>свинина, филе грудок куриных, стабилизатор белковый (шкурка свиная, кожа куриная, вода питьевая), вода питьевая, сыворотка молочная сухая,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кориандр, мускатный орех, перец черный, имбирь,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69">
            <v>12</v>
          </cell>
          <cell r="M69">
            <v>14</v>
          </cell>
          <cell r="N69">
            <v>3</v>
          </cell>
          <cell r="O69" t="str">
            <v>186/764</v>
          </cell>
          <cell r="P69" t="str">
            <v>0…+6</v>
          </cell>
          <cell r="Q69">
            <v>30</v>
          </cell>
        </row>
        <row r="70">
          <cell r="B70">
            <v>1001017677629</v>
          </cell>
          <cell r="C70" t="str">
            <v>АСС:ТОЛСТ.СЛАЙС КОПЧ.VS ВАР. мгс 1/210</v>
          </cell>
          <cell r="D70" t="str">
            <v>ШТ</v>
          </cell>
          <cell r="E70" t="str">
            <v>Колбасные изделия</v>
          </cell>
          <cell r="F70" t="str">
            <v>Вареные колбасы</v>
          </cell>
          <cell r="G70" t="str">
            <v>Папа может</v>
          </cell>
          <cell r="H70" t="str">
            <v>ОМПК(О)</v>
          </cell>
          <cell r="I70" t="str">
            <v>ТУ 10.13.14-174-00425283-2024</v>
          </cell>
          <cell r="J70" t="str">
            <v>Мясной продукт. Ассорти вареных и варено-копченых колбас: Толстый слайс Копченый vs Вареный.</v>
          </cell>
          <cell r="K70" t="str">
            <v>СЕРВЕЛАТ ТОЛСТЫЙ СЛАЙС КОПЧЕНЫЙ: свинина, шпик, мясо цыпленка-бройлера бескостное,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глюконо-дельта-лактон), стабилизатор (полифосфаты), загустители (альгинат натрия, каррагинан, гуаровая камедь, ксантановая камедь), перец черный молотый, мускатный орех, пряности, сахара, соль, антиокислители (аскорбиновая кислота, лимонная кислота), гемоглобин, усилитель вкуса и аромата (глутамат натрия 1-замещенный), ароматизаторы, краситель (кармины).
ТОЛСТЫЙ СЛАЙС ВАРЕНЫЙ: свинина, филе грудок куриных, стабилизатор белковый (шкурка свиная, кожа куриная, вода питьевая), вода питьевая, сыворотка молочная сухая,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кориандр, мускатный орех, перец черный, имбирь,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70" t="str">
            <v>13
12</v>
          </cell>
          <cell r="M70" t="str">
            <v>17
14</v>
          </cell>
          <cell r="N70" t="str">
            <v>5
3</v>
          </cell>
          <cell r="O70" t="str">
            <v>225/935
186/764</v>
          </cell>
          <cell r="P70" t="str">
            <v>0…+6</v>
          </cell>
          <cell r="Q70">
            <v>30</v>
          </cell>
        </row>
        <row r="71">
          <cell r="B71">
            <v>1001016497242</v>
          </cell>
          <cell r="C71" t="str">
            <v>ПАПИН ВЫБОР Папа может вар п/о 0.5кг 8шт</v>
          </cell>
          <cell r="D71" t="str">
            <v>ШТ</v>
          </cell>
          <cell r="E71" t="str">
            <v>Колбасные изделия</v>
          </cell>
          <cell r="F71" t="str">
            <v>Вареные колбасы</v>
          </cell>
          <cell r="G71" t="str">
            <v>Папа может</v>
          </cell>
          <cell r="H71" t="str">
            <v>ОМПК(С)</v>
          </cell>
          <cell r="I71" t="str">
            <v>ТУ 10.13.14-180-00425283-2025</v>
          </cell>
          <cell r="J71" t="str">
            <v>Мясной продукт. Изделие колбасное вареное категории В.</v>
          </cell>
          <cell r="K71"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71">
            <v>9</v>
          </cell>
          <cell r="M71">
            <v>14</v>
          </cell>
          <cell r="N71">
            <v>5</v>
          </cell>
          <cell r="O71" t="str">
            <v>182/756</v>
          </cell>
          <cell r="P71" t="str">
            <v>0…+6</v>
          </cell>
          <cell r="Q71">
            <v>60</v>
          </cell>
        </row>
        <row r="72">
          <cell r="B72">
            <v>1001012487096</v>
          </cell>
          <cell r="C72" t="str">
            <v>МЯСНАЯ Папа может вар п/о 0.7кг 6шт.</v>
          </cell>
          <cell r="D72" t="str">
            <v>ШТ</v>
          </cell>
          <cell r="E72" t="str">
            <v>Колбасные изделия</v>
          </cell>
          <cell r="F72" t="str">
            <v>Вареные колбасы</v>
          </cell>
          <cell r="G72" t="str">
            <v>Папа может</v>
          </cell>
          <cell r="H72" t="str">
            <v>ОМПК(О)</v>
          </cell>
          <cell r="I72" t="str">
            <v>ТУ 10.13.14-180-00425283-2025</v>
          </cell>
          <cell r="J72" t="str">
            <v>Мясной продукт. Изделие колбасное вареное категории В.</v>
          </cell>
          <cell r="K72"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72">
            <v>9</v>
          </cell>
          <cell r="M72">
            <v>14</v>
          </cell>
          <cell r="N72">
            <v>5</v>
          </cell>
          <cell r="O72" t="str">
            <v>182/756</v>
          </cell>
          <cell r="P72" t="str">
            <v>0…+6</v>
          </cell>
          <cell r="Q72">
            <v>60</v>
          </cell>
        </row>
        <row r="73">
          <cell r="B73">
            <v>1001012486815</v>
          </cell>
          <cell r="C73" t="str">
            <v>МЯСНАЯ Папа может вар п/о 0.6кг 6шт.</v>
          </cell>
          <cell r="D73" t="str">
            <v>ШТ</v>
          </cell>
          <cell r="E73" t="str">
            <v>Колбасные изделия</v>
          </cell>
          <cell r="F73" t="str">
            <v>Вареные колбасы</v>
          </cell>
          <cell r="G73" t="str">
            <v>Папа может</v>
          </cell>
          <cell r="H73" t="str">
            <v>ОМПК(С)</v>
          </cell>
          <cell r="I73" t="str">
            <v>ТУ 10.13.14-180-00425283-2025</v>
          </cell>
          <cell r="J73" t="str">
            <v>Мясной продукт. Изделие колбасное вареное категории В.</v>
          </cell>
          <cell r="K73"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73">
            <v>9</v>
          </cell>
          <cell r="M73">
            <v>14</v>
          </cell>
          <cell r="N73">
            <v>5</v>
          </cell>
          <cell r="O73" t="str">
            <v>182/756</v>
          </cell>
          <cell r="P73" t="str">
            <v>0…+6</v>
          </cell>
          <cell r="Q73">
            <v>60</v>
          </cell>
        </row>
        <row r="74">
          <cell r="B74">
            <v>1001012483969</v>
          </cell>
          <cell r="C74" t="str">
            <v>МЯСНАЯ Папа может вар п/о_Ашан</v>
          </cell>
          <cell r="D74" t="str">
            <v>КГ</v>
          </cell>
          <cell r="E74" t="str">
            <v>Колбасные изделия</v>
          </cell>
          <cell r="F74" t="str">
            <v>Вареные колбасы</v>
          </cell>
          <cell r="G74" t="str">
            <v>Папа может</v>
          </cell>
          <cell r="H74" t="str">
            <v>ОМПК(С)</v>
          </cell>
          <cell r="I74" t="str">
            <v>ТУ 10.13.14-180-00425283-2025</v>
          </cell>
          <cell r="J74" t="str">
            <v>Мясной продукт. Изделие колбасное вареное категории В.</v>
          </cell>
          <cell r="K74"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74">
            <v>9</v>
          </cell>
          <cell r="M74">
            <v>14</v>
          </cell>
          <cell r="N74">
            <v>5</v>
          </cell>
          <cell r="O74" t="str">
            <v>182/756</v>
          </cell>
          <cell r="P74" t="str">
            <v>0…+6</v>
          </cell>
          <cell r="Q74">
            <v>60</v>
          </cell>
        </row>
        <row r="75">
          <cell r="B75">
            <v>1001012484109</v>
          </cell>
          <cell r="C75" t="str">
            <v>МЯСНАЯ Папа может вар п/о_Метро</v>
          </cell>
          <cell r="D75" t="str">
            <v>КГ</v>
          </cell>
          <cell r="E75" t="str">
            <v>Колбасные изделия</v>
          </cell>
          <cell r="F75" t="str">
            <v>Вареные колбасы</v>
          </cell>
          <cell r="G75" t="str">
            <v>Папа может</v>
          </cell>
          <cell r="H75" t="str">
            <v xml:space="preserve">ОМПК(О)
ОМПК(С)
</v>
          </cell>
          <cell r="I75" t="str">
            <v>ТУ 10.13.14-180-00425283-2025</v>
          </cell>
          <cell r="J75" t="str">
            <v>Мясной продукт. Изделие колбасное вареное категории В.</v>
          </cell>
          <cell r="K75"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75">
            <v>9</v>
          </cell>
          <cell r="M75">
            <v>14</v>
          </cell>
          <cell r="N75">
            <v>5</v>
          </cell>
          <cell r="O75" t="str">
            <v>182/756</v>
          </cell>
          <cell r="P75" t="str">
            <v>0…+6</v>
          </cell>
          <cell r="Q75">
            <v>60</v>
          </cell>
        </row>
        <row r="76">
          <cell r="B76">
            <v>1001012484025</v>
          </cell>
          <cell r="C76" t="str">
            <v>МЯСНАЯ Папа может вар п/о_О</v>
          </cell>
          <cell r="D76" t="str">
            <v>КГ</v>
          </cell>
          <cell r="E76" t="str">
            <v>Колбасные изделия</v>
          </cell>
          <cell r="F76" t="str">
            <v>Вареные колбасы</v>
          </cell>
          <cell r="G76" t="str">
            <v>Папа может</v>
          </cell>
          <cell r="H76" t="str">
            <v xml:space="preserve">ОМПК(О)
ОМПК(С)
</v>
          </cell>
          <cell r="I76" t="str">
            <v>ТУ 10.13.14-180-00425283-2025</v>
          </cell>
          <cell r="J76" t="str">
            <v>Мясной продукт. Изделие колбасное вареное категории В.</v>
          </cell>
          <cell r="K76"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76">
            <v>9</v>
          </cell>
          <cell r="M76">
            <v>14</v>
          </cell>
          <cell r="N76">
            <v>5</v>
          </cell>
          <cell r="O76" t="str">
            <v>182/756</v>
          </cell>
          <cell r="P76" t="str">
            <v>0…+6</v>
          </cell>
          <cell r="Q76">
            <v>60</v>
          </cell>
        </row>
        <row r="77">
          <cell r="B77">
            <v>1001012484405</v>
          </cell>
          <cell r="C77" t="str">
            <v>МЯСНАЯ Папа может вар п/о_СНГ</v>
          </cell>
          <cell r="D77" t="str">
            <v>КГ</v>
          </cell>
          <cell r="E77" t="str">
            <v>Колбасные изделия</v>
          </cell>
          <cell r="F77" t="str">
            <v>Вареные колбасы</v>
          </cell>
          <cell r="G77" t="str">
            <v>Папа может</v>
          </cell>
          <cell r="H77" t="str">
            <v>ОМПК(С)</v>
          </cell>
          <cell r="I77" t="str">
            <v>ТУ 10.13.14-180-00425283-2025</v>
          </cell>
          <cell r="J77" t="str">
            <v>Мясной продукт. Изделие колбасное вареное категории В.</v>
          </cell>
          <cell r="K77"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77">
            <v>9</v>
          </cell>
          <cell r="M77">
            <v>14</v>
          </cell>
          <cell r="N77">
            <v>5</v>
          </cell>
          <cell r="O77" t="str">
            <v>182/756</v>
          </cell>
          <cell r="P77" t="str">
            <v>0…+6</v>
          </cell>
          <cell r="Q77">
            <v>60</v>
          </cell>
        </row>
        <row r="78">
          <cell r="B78">
            <v>1001012484458</v>
          </cell>
          <cell r="C78" t="str">
            <v>МЯСНАЯ Папа может вар п/о_Х5</v>
          </cell>
          <cell r="D78" t="str">
            <v>КГ</v>
          </cell>
          <cell r="E78" t="str">
            <v>Колбасные изделия</v>
          </cell>
          <cell r="F78" t="str">
            <v>Вареные колбасы</v>
          </cell>
          <cell r="G78" t="str">
            <v>Папа может</v>
          </cell>
          <cell r="H78" t="str">
            <v xml:space="preserve">ОМПК(С)
</v>
          </cell>
          <cell r="I78" t="str">
            <v>ТУ 10.13.14-180-00425283-2025</v>
          </cell>
          <cell r="J78" t="str">
            <v>Мясной продукт. Изделие колбасное вареное категории В.</v>
          </cell>
          <cell r="K78"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78">
            <v>9</v>
          </cell>
          <cell r="M78">
            <v>14</v>
          </cell>
          <cell r="N78">
            <v>5</v>
          </cell>
          <cell r="O78" t="str">
            <v>182/756</v>
          </cell>
          <cell r="P78" t="str">
            <v>0…+6</v>
          </cell>
          <cell r="Q78">
            <v>60</v>
          </cell>
        </row>
        <row r="79">
          <cell r="B79">
            <v>1001012485125</v>
          </cell>
          <cell r="C79" t="str">
            <v>Z-МЯСНАЯ Папа может вар п/о</v>
          </cell>
          <cell r="D79" t="str">
            <v>КГ</v>
          </cell>
          <cell r="E79" t="str">
            <v>Колбасные изделия</v>
          </cell>
          <cell r="F79" t="str">
            <v>Вареные колбасы</v>
          </cell>
          <cell r="G79" t="str">
            <v>Папа может</v>
          </cell>
          <cell r="H79" t="str">
            <v xml:space="preserve">ОМПК(С)
</v>
          </cell>
          <cell r="I79" t="str">
            <v>ТУ 10.13.14-180-00425283-2025</v>
          </cell>
          <cell r="J79" t="str">
            <v>Мясной продукт. Изделие колбасное вареное категории В.</v>
          </cell>
          <cell r="K79"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79">
            <v>9</v>
          </cell>
          <cell r="M79">
            <v>14</v>
          </cell>
          <cell r="N79">
            <v>5</v>
          </cell>
          <cell r="O79" t="str">
            <v>182/756</v>
          </cell>
          <cell r="P79" t="str">
            <v>0…+6</v>
          </cell>
          <cell r="Q79">
            <v>60</v>
          </cell>
        </row>
        <row r="80">
          <cell r="B80">
            <v>1001012484181</v>
          </cell>
          <cell r="C80" t="str">
            <v>Z-МЯСНАЯ Папа может вар п/о 0.4кг_СНГ</v>
          </cell>
          <cell r="D80" t="str">
            <v>ШТ</v>
          </cell>
          <cell r="E80" t="str">
            <v>Колбасные изделия</v>
          </cell>
          <cell r="F80" t="str">
            <v>Вареные колбасы</v>
          </cell>
          <cell r="G80" t="str">
            <v>Папа может</v>
          </cell>
          <cell r="H80" t="str">
            <v>ОМПК(О)</v>
          </cell>
          <cell r="I80" t="str">
            <v>ТУ 10.13.14-180-00425283-2025</v>
          </cell>
          <cell r="J80" t="str">
            <v>Мясной продукт. Изделие колбасное вареное категории В.</v>
          </cell>
          <cell r="K80"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80">
            <v>9</v>
          </cell>
          <cell r="M80">
            <v>14</v>
          </cell>
          <cell r="N80">
            <v>5</v>
          </cell>
          <cell r="O80" t="str">
            <v>182/756</v>
          </cell>
          <cell r="P80" t="str">
            <v>0…+6</v>
          </cell>
          <cell r="Q80">
            <v>60</v>
          </cell>
        </row>
        <row r="81">
          <cell r="B81">
            <v>1001012485055</v>
          </cell>
          <cell r="C81" t="str">
            <v>Z-МЯСНАЯ Папа может вар п/о_СНГ</v>
          </cell>
          <cell r="D81" t="str">
            <v>КГ</v>
          </cell>
          <cell r="E81" t="str">
            <v>Колбасные изделия</v>
          </cell>
          <cell r="F81" t="str">
            <v>Вареные колбасы</v>
          </cell>
          <cell r="G81" t="str">
            <v>Папа может</v>
          </cell>
          <cell r="H81" t="str">
            <v>ОМПК(С)</v>
          </cell>
          <cell r="I81" t="str">
            <v>ТУ 10.13.14-180-00425283-2025</v>
          </cell>
          <cell r="J81" t="str">
            <v>Мясной продукт. Изделие колбасное вареное категории В.</v>
          </cell>
          <cell r="K81"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81">
            <v>9</v>
          </cell>
          <cell r="M81">
            <v>14</v>
          </cell>
          <cell r="N81">
            <v>5</v>
          </cell>
          <cell r="O81" t="str">
            <v>182/756</v>
          </cell>
          <cell r="P81" t="str">
            <v>0…+6</v>
          </cell>
          <cell r="Q81">
            <v>60</v>
          </cell>
        </row>
        <row r="82">
          <cell r="B82">
            <v>1001012637334</v>
          </cell>
          <cell r="C82" t="str">
            <v>МЯСНАЯ СО ШПИКОМ ПМ вар п/о 0.4кг 8шт.</v>
          </cell>
          <cell r="D82" t="str">
            <v>ШТ</v>
          </cell>
          <cell r="E82" t="str">
            <v>Колбасные изделия</v>
          </cell>
          <cell r="F82" t="str">
            <v>Вареные колбасы</v>
          </cell>
          <cell r="G82" t="str">
            <v>Папа может</v>
          </cell>
          <cell r="H82" t="str">
            <v>ОМПК(С)</v>
          </cell>
          <cell r="I82" t="str">
            <v>ТУ 10.13.14-180-00425283-2025</v>
          </cell>
          <cell r="J82" t="str">
            <v>Мясной продукт. Изделие колбасное вареное категории В.</v>
          </cell>
          <cell r="K82" t="str">
            <v>свинина, вода питьевая, мясо куриное механической обвалки, шпик, стабилизатор белковый (вода питьевая, шкурка свиная), филе грудок куриных, сыворотка молочная сухая, смесь посолочно-нитритная (соль, фиксатор окраски (нитрит натрия)), соль, сахар, чеснок свежий, регуляторы кислотности (пирофосфаты, трифосфаты, цитраты натрия), стабилизатор (полифосфаты), загуститель (альгинат натрия), специи, экстракты специй (в т.ч. сельдерей, горчица), антиокислитель (изоаскорбат натрия), усилитель вкуса и аромата (глутамат натрия), ароматизаторы, краситель (кармины)</v>
          </cell>
          <cell r="L82">
            <v>9</v>
          </cell>
          <cell r="M82">
            <v>16</v>
          </cell>
          <cell r="N82">
            <v>3</v>
          </cell>
          <cell r="O82" t="str">
            <v>192/796</v>
          </cell>
          <cell r="P82" t="str">
            <v>0…+6</v>
          </cell>
          <cell r="Q82">
            <v>60</v>
          </cell>
        </row>
        <row r="83">
          <cell r="B83">
            <v>1001012634574</v>
          </cell>
          <cell r="C83" t="str">
            <v>МЯСНАЯ СО ШПИКОМ Папа может вар п/о</v>
          </cell>
          <cell r="D83" t="str">
            <v>КГ</v>
          </cell>
          <cell r="E83" t="str">
            <v>Колбасные изделия</v>
          </cell>
          <cell r="F83" t="str">
            <v>Вареные колбасы</v>
          </cell>
          <cell r="G83" t="str">
            <v>Папа может</v>
          </cell>
          <cell r="H83" t="str">
            <v>ОМПК(С)</v>
          </cell>
          <cell r="I83" t="str">
            <v>ТУ 10.13.14-180-00425283-2025</v>
          </cell>
          <cell r="J83" t="str">
            <v>Мясной продукт. Изделие колбасное вареное категории В.</v>
          </cell>
          <cell r="K83" t="str">
            <v>свинина, вода питьевая, мясо куриное механической обвалки, шпик, стабилизатор белковый (вода питьевая, шкурка свиная), филе грудок куриных, сыворотка молочная сухая, смесь посолочно-нитритная (соль, фиксатор окраски (нитрит натрия)), соль, сахар, чеснок свежий, регуляторы кислотности (пирофосфаты, трифосфаты, цитраты натрия), стабилизатор (полифосфаты), загуститель (альгинат натрия), специи, экстракты специй (в т.ч. сельдерей, горчица), антиокислитель (изоаскорбат натрия), усилитель вкуса и аромата (глутамат натрия), ароматизаторы, краситель (кармины)</v>
          </cell>
          <cell r="L83">
            <v>9</v>
          </cell>
          <cell r="M83">
            <v>16</v>
          </cell>
          <cell r="N83">
            <v>3</v>
          </cell>
          <cell r="O83" t="str">
            <v>192/796</v>
          </cell>
          <cell r="P83" t="str">
            <v>0…+6</v>
          </cell>
          <cell r="Q83">
            <v>60</v>
          </cell>
        </row>
        <row r="84">
          <cell r="B84">
            <v>1001012637569</v>
          </cell>
          <cell r="C84" t="str">
            <v>МЯСНАЯ СО ШПИКОМ ПМ вар п/о 1.35*8</v>
          </cell>
          <cell r="D84" t="str">
            <v>КГ</v>
          </cell>
          <cell r="E84" t="str">
            <v>Колбасные изделия</v>
          </cell>
          <cell r="F84" t="str">
            <v>Вареные колбасы</v>
          </cell>
          <cell r="G84" t="str">
            <v>Папа может</v>
          </cell>
          <cell r="H84" t="str">
            <v>ОМПК(С)</v>
          </cell>
          <cell r="I84" t="str">
            <v>ТУ 10.13.14-180-00425283-2025</v>
          </cell>
          <cell r="J84" t="str">
            <v>Мясной продукт. Изделие колбасное вареное категории В.</v>
          </cell>
          <cell r="K84" t="str">
            <v>свинина, вода питьевая, мясо куриное механической обвалки, шпик, стабилизатор белковый (вода питьевая, шкурка свиная), филе грудок куриных, сыворотка молочная сухая, смесь посолочно-нитритная (соль, фиксатор окраски (нитрит натрия)), соль, сахар, чеснок свежий, регуляторы кислотности (пирофосфаты, трифосфаты, цитраты натрия), стабилизатор (полифосфаты), загуститель (альгинат натрия), специи, экстракты специй (в т.ч. сельдерей, горчица), антиокислитель (изоаскорбат натрия), усилитель вкуса и аромата (глутамат натрия), ароматизаторы, краситель (кармины)</v>
          </cell>
          <cell r="L84">
            <v>9</v>
          </cell>
          <cell r="M84">
            <v>16</v>
          </cell>
          <cell r="N84">
            <v>3</v>
          </cell>
          <cell r="O84" t="str">
            <v>192/796</v>
          </cell>
          <cell r="P84" t="str">
            <v>0…+6</v>
          </cell>
          <cell r="Q84">
            <v>60</v>
          </cell>
        </row>
        <row r="85">
          <cell r="B85">
            <v>1001012634424</v>
          </cell>
          <cell r="C85" t="str">
            <v>Z-МЯСНАЯ СО ШПИКОМ ПМ вар п/о_СНГ</v>
          </cell>
          <cell r="D85" t="str">
            <v>КГ</v>
          </cell>
          <cell r="E85" t="str">
            <v>Колбасные изделия</v>
          </cell>
          <cell r="F85" t="str">
            <v>Вареные колбасы</v>
          </cell>
          <cell r="G85" t="str">
            <v>Папа может</v>
          </cell>
          <cell r="H85" t="str">
            <v>ОМПК(С)</v>
          </cell>
          <cell r="I85" t="str">
            <v xml:space="preserve"> ТУ 10.13.14-130-00425283-2017</v>
          </cell>
          <cell r="J85" t="str">
            <v>Мясной продукт. Изделие колбасное вареное категории В.</v>
          </cell>
          <cell r="K85" t="str">
            <v>свинина, вода питьевая, мясо куриное механической обвалки, шпик, стабилизатор белковый (вода питьевая, шкурка свиная), филе грудок куриных, сыворотка молочная сухая, смесь посолочно-нитритная (соль, фиксатор окраски (нитрит натрия)), соль, сахар, чеснок свежий, регуляторы кислотности (пирофосфаты, трифосфаты, цитраты натрия), стабилизатор (полифосфаты), загуститель (альгинат натрия), специи, экстракты специй (в т.ч. сельдерей, горчица), антиокислитель (изоаскорбат натрия), усилитель вкуса и аромата (глутамат натрия), ароматизаторы, краситель (кармины)</v>
          </cell>
          <cell r="L85">
            <v>9</v>
          </cell>
          <cell r="M85">
            <v>16</v>
          </cell>
          <cell r="N85">
            <v>3</v>
          </cell>
          <cell r="O85" t="str">
            <v>192/796</v>
          </cell>
          <cell r="P85" t="str">
            <v>0…+6</v>
          </cell>
          <cell r="Q85">
            <v>60</v>
          </cell>
        </row>
        <row r="86">
          <cell r="B86">
            <v>1001014375704</v>
          </cell>
          <cell r="C86" t="str">
            <v>ПАПИН БУТЕР Папа может вар п/о 0.4кг</v>
          </cell>
          <cell r="D86" t="str">
            <v>ШТ</v>
          </cell>
          <cell r="E86" t="str">
            <v>Колбасные изделия</v>
          </cell>
          <cell r="F86" t="str">
            <v>Вареные колбасы</v>
          </cell>
          <cell r="G86" t="str">
            <v>Папа может</v>
          </cell>
          <cell r="H86" t="str">
            <v xml:space="preserve">ОМПК(С)
</v>
          </cell>
          <cell r="I86" t="str">
            <v>ТУ 10.13.14-180-00425283-2025</v>
          </cell>
          <cell r="J86" t="str">
            <v>Мясной продукт. Изделие колбасное вареное категории В.</v>
          </cell>
          <cell r="K86"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86">
            <v>9</v>
          </cell>
          <cell r="M86">
            <v>14</v>
          </cell>
          <cell r="N86">
            <v>5</v>
          </cell>
          <cell r="O86" t="str">
            <v>182/756</v>
          </cell>
          <cell r="P86" t="str">
            <v>0…+6</v>
          </cell>
          <cell r="Q86">
            <v>60</v>
          </cell>
        </row>
        <row r="87">
          <cell r="B87">
            <v>1001016867554</v>
          </cell>
          <cell r="C87" t="str">
            <v>РУССКАЯ ГОСТ вар н/о в/у_30с</v>
          </cell>
          <cell r="D87" t="str">
            <v>КГ</v>
          </cell>
          <cell r="E87" t="str">
            <v>Колбасные изделия</v>
          </cell>
          <cell r="F87" t="str">
            <v>Вареные колбасы</v>
          </cell>
          <cell r="G87" t="str">
            <v>Останкино</v>
          </cell>
          <cell r="H87" t="str">
            <v>ОМПК(Г)</v>
          </cell>
          <cell r="I87" t="str">
            <v>ГОСТ 23670-2019</v>
          </cell>
          <cell r="J87" t="str">
            <v>Мясной продукт. Изделие колбасное вареное категории Б.</v>
          </cell>
          <cell r="K87" t="str">
            <v>говядина, свинина, шпик, вода питьевая, соль, смесь посолочно-нитритная (соль, фиксатор окраски (нитрит натрия)), регуляторы кислотности (трифосфаты, пирофосфаты, цитраты натрия), пряности, чеснок, сахар, антиокислитель (изоаскорбат натрия), усилитель вкуса и аромата (глутамат натрия)</v>
          </cell>
          <cell r="L87">
            <v>10</v>
          </cell>
          <cell r="M87">
            <v>30</v>
          </cell>
          <cell r="N87">
            <v>0</v>
          </cell>
          <cell r="O87" t="str">
            <v>310/1298</v>
          </cell>
          <cell r="P87" t="str">
            <v>0…+6</v>
          </cell>
          <cell r="Q87">
            <v>30</v>
          </cell>
        </row>
        <row r="88">
          <cell r="B88">
            <v>1001016867517</v>
          </cell>
          <cell r="C88" t="str">
            <v>РУССКАЯ ГОСТ Останкино вар н/о в/у</v>
          </cell>
          <cell r="D88" t="str">
            <v>КГ</v>
          </cell>
          <cell r="E88" t="str">
            <v>Колбасные изделия</v>
          </cell>
          <cell r="F88" t="str">
            <v>Вареные колбасы</v>
          </cell>
          <cell r="G88" t="str">
            <v>Останкино</v>
          </cell>
          <cell r="H88" t="str">
            <v>ОМПК(Г)</v>
          </cell>
          <cell r="I88" t="str">
            <v>ГОСТ 23670-2019</v>
          </cell>
          <cell r="J88" t="str">
            <v>Мясной продукт. Изделие колбасное вареное категории Б.</v>
          </cell>
          <cell r="K88" t="str">
            <v>говядина, свинина, шпик, вода питьевая, соль, смесь посолочно-нитритная (соль, фиксатор окраски (нитрит натрия)), регуляторы кислотности (трифосфаты, пирофосфаты, цитраты натрия), пряности, чеснок, сахар, антиокислитель (изоаскорбат натрия), усилитель вкуса и аромата (глутамат натрия)</v>
          </cell>
          <cell r="L88">
            <v>10</v>
          </cell>
          <cell r="M88">
            <v>30</v>
          </cell>
          <cell r="N88">
            <v>0</v>
          </cell>
          <cell r="O88" t="str">
            <v>310/1298</v>
          </cell>
          <cell r="P88" t="str">
            <v>0…+6</v>
          </cell>
          <cell r="Q88">
            <v>30</v>
          </cell>
        </row>
        <row r="89">
          <cell r="B89">
            <v>1001010506989</v>
          </cell>
          <cell r="C89" t="str">
            <v>РУССКАЯ ОРИГИНАЛЬНАЯ вар ц/о в/у_45с</v>
          </cell>
          <cell r="D89" t="str">
            <v>КГ</v>
          </cell>
          <cell r="E89" t="str">
            <v>Колбасные изделия</v>
          </cell>
          <cell r="F89" t="str">
            <v>Вареные колбасы</v>
          </cell>
          <cell r="G89" t="str">
            <v>Коровино</v>
          </cell>
          <cell r="H89" t="str">
            <v>ОМПК(С)</v>
          </cell>
          <cell r="I89" t="str">
            <v>ТУ 10.13.14-150-00425283-2018</v>
          </cell>
          <cell r="J89" t="str">
            <v>Изделие колбасное вареное из мяса кур охлажденное.</v>
          </cell>
          <cell r="K89" t="str">
            <v>филе грудок куриных, мясо куриное механической обвалки, вода, свинина, белковый стабилизатор (вода, кожа куриная, шкурка свиная), шпик,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цитраты натрия, глюконо-дельта-лактон; стабилизатор альгинат натрия, натуральные пряности и экстракты пряностей (в т.ч. горчица, сельдерей), чеснок свежий, сахара, ароматизаторы, антиокислитель изоаскорбат натрия, усилитель вкуса и аромата глутамат натрия, краситель кармины</v>
          </cell>
          <cell r="L89">
            <v>8</v>
          </cell>
          <cell r="M89">
            <v>14</v>
          </cell>
          <cell r="N89">
            <v>4</v>
          </cell>
          <cell r="O89" t="str">
            <v>174/722</v>
          </cell>
          <cell r="P89" t="str">
            <v>0…+6</v>
          </cell>
          <cell r="Q89">
            <v>45</v>
          </cell>
        </row>
        <row r="90">
          <cell r="B90">
            <v>1001017597556</v>
          </cell>
          <cell r="C90" t="str">
            <v>РУССКАЯ ПО-ОСТАНКИНСКИ вар б/о в/у</v>
          </cell>
          <cell r="D90" t="str">
            <v>КГ</v>
          </cell>
          <cell r="E90" t="str">
            <v>Колбасные изделия</v>
          </cell>
          <cell r="F90" t="str">
            <v>Вареные колбасы</v>
          </cell>
          <cell r="G90" t="str">
            <v>Останкино</v>
          </cell>
          <cell r="H90" t="str">
            <v>ОМПК(Г)</v>
          </cell>
          <cell r="I90" t="str">
            <v>ТУ 10.13.14-180-00425283-2025</v>
          </cell>
          <cell r="J90" t="str">
            <v>Мясной продукт. Изделие колбасное вареное категории В.</v>
          </cell>
          <cell r="K90" t="str">
            <v>свинина, вода питьевая, стабилизатор белковый (вода питьевая, шкурка свиная, кожа куриная), филе грудок куриных, шпик, сыворотка молочная сухая, крахмал картофельный, смесь посолочно-нитритная (соль, фиксатор окраски (нитрит натрия)), чеснок свежий, соль, животный белок (говяжий), регуляторы кислотности (пирофосфаты, трифосфаты, цитраты натрия), загустители (тары камедь, камедь рожкового дерева, каррагинан, гуаровая камедь, кстантановая камедь, альгинат натрия), специи, экстракты специй, экстракты пряностей (в т.ч. горчица, сельдерей), антиокислители (изоаскорбат натрия, аскорбиновая кислота, лимонная кислота), усилитель вкуса и аромата (глутамат натрия), ароматизаторы, красители (диоксид титана, кармины)</v>
          </cell>
          <cell r="L90">
            <v>9</v>
          </cell>
          <cell r="M90">
            <v>13</v>
          </cell>
          <cell r="N90">
            <v>4</v>
          </cell>
          <cell r="O90" t="str">
            <v>169/702</v>
          </cell>
          <cell r="P90" t="str">
            <v>0…+6</v>
          </cell>
          <cell r="Q90">
            <v>30</v>
          </cell>
        </row>
        <row r="91">
          <cell r="B91">
            <v>1001015026797</v>
          </cell>
          <cell r="C91" t="str">
            <v>С ИНДЕЙКОЙ Папа может вар п/о 0.4кг 8шт.</v>
          </cell>
          <cell r="D91" t="str">
            <v>ШТ</v>
          </cell>
          <cell r="E91" t="str">
            <v>Колбасные изделия</v>
          </cell>
          <cell r="F91" t="str">
            <v>Вареные колбасы</v>
          </cell>
          <cell r="G91" t="str">
            <v>Папа может</v>
          </cell>
          <cell r="H91" t="str">
            <v>ОМПК(С)</v>
          </cell>
          <cell r="I91" t="str">
            <v>ТУ 10.13.14-150-00425283-2018</v>
          </cell>
          <cell r="J91" t="str">
            <v>Изделие колбасное вареное из мяса кур охлажденное.</v>
          </cell>
          <cell r="K91" t="str">
            <v>филе грудок куриных, мясо механической обвалки (куриное, индюшиное), вода питьевая, сыворотка молочная сухая, крахмал картофельный,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91">
            <v>11</v>
          </cell>
          <cell r="M91">
            <v>14</v>
          </cell>
          <cell r="N91">
            <v>4</v>
          </cell>
          <cell r="O91" t="str">
            <v>186/773</v>
          </cell>
          <cell r="P91" t="str">
            <v>0…+6</v>
          </cell>
          <cell r="Q91">
            <v>60</v>
          </cell>
        </row>
        <row r="92">
          <cell r="B92">
            <v>1001015027481</v>
          </cell>
          <cell r="C92" t="str">
            <v>С ИНДЕЙКОЙ Папа может вар п/о 0.8кг 4шт.</v>
          </cell>
          <cell r="D92" t="str">
            <v>ШТ</v>
          </cell>
          <cell r="E92" t="str">
            <v>Колбасные изделия</v>
          </cell>
          <cell r="F92" t="str">
            <v>Вареные колбасы</v>
          </cell>
          <cell r="G92" t="str">
            <v>Папа может</v>
          </cell>
          <cell r="H92" t="str">
            <v>ОМПК(С)</v>
          </cell>
          <cell r="I92" t="str">
            <v>ТУ 10.13.14-150-00425283-2018</v>
          </cell>
          <cell r="J92" t="str">
            <v>Изделие колбасное вареное из мяса кур охлажденное.</v>
          </cell>
          <cell r="K92" t="str">
            <v>мясо куриное механической обвалки, стабилизатор белковый (кожа куриная, вода питьевая), филе грудок куриных, вода питьевая, мясо индюшиное механической обвалки, сыворотка молочная сухая, крахмал картофельный,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антиокислители (изоаскорбат натрия), усилитель вкуса и аромата (глутамат натрия), ароматизаторы, краситель (кармины)</v>
          </cell>
          <cell r="L92">
            <v>11</v>
          </cell>
          <cell r="M92">
            <v>14</v>
          </cell>
          <cell r="N92">
            <v>4</v>
          </cell>
          <cell r="O92" t="str">
            <v>186/773</v>
          </cell>
          <cell r="P92" t="str">
            <v>0…+6</v>
          </cell>
          <cell r="Q92">
            <v>60</v>
          </cell>
        </row>
        <row r="93">
          <cell r="B93">
            <v>1001010116327</v>
          </cell>
          <cell r="C93" t="str">
            <v>СЛИВОЧНАЯ Коровино вар п/о</v>
          </cell>
          <cell r="D93" t="str">
            <v>КГ</v>
          </cell>
          <cell r="E93" t="str">
            <v>Колбасные изделия</v>
          </cell>
          <cell r="F93" t="str">
            <v>Вареные колбасы</v>
          </cell>
          <cell r="G93" t="str">
            <v>Коровино</v>
          </cell>
          <cell r="H93" t="str">
            <v>ОМПК(С)</v>
          </cell>
          <cell r="I93" t="str">
            <v>ТУ 10.13.14-150-00425283-2018</v>
          </cell>
          <cell r="J93" t="str">
            <v>Изделие колбасное вареное из мяса кур охлажденное.</v>
          </cell>
          <cell r="K93" t="str">
            <v>мясо куриное механической обвалки, вода, филе грудок куриных, белковый стабилизатор (вода, кожа куриная, шкурка свиная), свинина, крахмал картофельный, сыворотка молочная сухая, смесь посолочно-нитритная (соль, фиксатор окраски нитрит натрия), молоко сухое, регуляторы кислотности: пирофосфаты, трифосфаты, ацетаты натрия, цитраты натрия, глюконо-дельта-лактон; стабилизаторы: полифосфаты, гуаровая камедь, ксантановая камедь; загуститель альгинат натрия, натуральные специи, ароматизаторы, антиокислитель изоаскорбат натрия, усилитель вкуса и аромата глутамат натрия, сахар, сливки сухие, соль, горчица, краситель кармины</v>
          </cell>
          <cell r="L93">
            <v>8</v>
          </cell>
          <cell r="M93">
            <v>14</v>
          </cell>
          <cell r="O93" t="str">
            <v>158/654</v>
          </cell>
          <cell r="P93" t="str">
            <v>0…+6</v>
          </cell>
          <cell r="Q93">
            <v>60</v>
          </cell>
        </row>
        <row r="94">
          <cell r="B94">
            <v>1001016747343</v>
          </cell>
          <cell r="C94" t="str">
            <v>СЕЙЧАС СЕЗОН ПМ вар п/о 0.4кг</v>
          </cell>
          <cell r="D94" t="str">
            <v>ШТ</v>
          </cell>
          <cell r="E94" t="str">
            <v>Колбасные изделия</v>
          </cell>
          <cell r="F94" t="str">
            <v>Вареные колбасы</v>
          </cell>
          <cell r="G94" t="str">
            <v>Папа может</v>
          </cell>
          <cell r="H94" t="str">
            <v>ОМПК(С)</v>
          </cell>
          <cell r="I94" t="str">
            <v xml:space="preserve"> ТУ 10.13.14-150-00425283-2018</v>
          </cell>
          <cell r="J94" t="str">
            <v>Изделие колбасное вареное из мяса кур охлажденное.</v>
          </cell>
          <cell r="K94" t="str">
            <v>мясо куриное механической обвалки, вода питьевая, филе грудок куриных, стабилизатор белковый (кожа куриная, шкурка свиная, вода питьевая), свинина, шпик, крахмалы (картофельный, кукурузный), сыворотка молочная сухая, молоко сухое обезжиренное, смесь посолочно-нитритная (соль, фиксатор окраски (нитрит натрия)), сахара, регуляторы кислотности (пирофосфаты, трифосфаты, цитраты натрия), стабилизаторы (альгинат натрия, полифосфаты), соль, загустители (конжак, ксантановая камедь, гуаровая камедь), специи и экстракты специй (перец черный молотый, мускатный орех, чили), антиокислитель (изоаскорбат натрия), усилитель вкуса и аромата (глутамат натрия), ароматизаторы, краситель (кармины)</v>
          </cell>
          <cell r="L94">
            <v>10</v>
          </cell>
          <cell r="M94">
            <v>16</v>
          </cell>
          <cell r="N94">
            <v>2</v>
          </cell>
          <cell r="O94" t="str">
            <v>192/796</v>
          </cell>
          <cell r="P94" t="str">
            <v>0…+6</v>
          </cell>
          <cell r="Q94">
            <v>60</v>
          </cell>
        </row>
        <row r="95">
          <cell r="B95">
            <v>1001016747341</v>
          </cell>
          <cell r="C95" t="str">
            <v>СЕЙЧАС СЕЗОН Папа может вар п/о 0.75кг</v>
          </cell>
          <cell r="D95" t="str">
            <v>ШТ</v>
          </cell>
          <cell r="E95" t="str">
            <v>Колбасные изделия</v>
          </cell>
          <cell r="F95" t="str">
            <v>Вареные колбасы</v>
          </cell>
          <cell r="G95" t="str">
            <v>Папа может</v>
          </cell>
          <cell r="H95" t="str">
            <v>ОМПК(Г)
ОМПК(О)</v>
          </cell>
          <cell r="I95" t="str">
            <v xml:space="preserve"> ТУ 10.13.14-150-00425283-2018</v>
          </cell>
          <cell r="J95" t="str">
            <v>Изделие колбасное вареное из мяса кур охлажденное.</v>
          </cell>
          <cell r="K95" t="str">
            <v>мясо куриное механической обвалки, вода питьевая, филе грудок куриных, стабилизатор белковый (кожа куриная, шкурка свиная, вода питьевая), свинина, шпик, крахмалы (картофельный, кукурузный), сыворотка молочная сухая, молоко сухое обезжиренное, смесь посолочно-нитритная (соль, фиксатор окраски (нитрит натрия)), сахара, регуляторы кислотности (пирофосфаты, трифосфаты, цитраты натрия), стабилизатор (полифосфаты), соль, загустители (альгинат натрия, каррагинан, конжак, ксантановая камедь, гуаровая камедь), специи и экстракты специй (перец черный молотый, мускатный орех, чили), антиокислитель (изоаскорбат натрия), усилитель вкуса и аромата (глутамат натрия), ароматизаторы, краситель (кармины)</v>
          </cell>
          <cell r="L95">
            <v>10</v>
          </cell>
          <cell r="M95">
            <v>16</v>
          </cell>
          <cell r="N95">
            <v>2</v>
          </cell>
          <cell r="O95" t="str">
            <v>192/796</v>
          </cell>
          <cell r="P95" t="str">
            <v>0…+6</v>
          </cell>
          <cell r="Q95">
            <v>60</v>
          </cell>
        </row>
        <row r="96">
          <cell r="B96">
            <v>1001016747342</v>
          </cell>
          <cell r="C96" t="str">
            <v>СЕЙЧАС СЕЗОН Папа может вар п/о</v>
          </cell>
          <cell r="D96" t="str">
            <v>КГ</v>
          </cell>
          <cell r="E96" t="str">
            <v>Колбасные изделия</v>
          </cell>
          <cell r="F96" t="str">
            <v>Вареные колбасы</v>
          </cell>
          <cell r="G96" t="str">
            <v>Папа может</v>
          </cell>
          <cell r="H96" t="str">
            <v>ОМПК(С)</v>
          </cell>
          <cell r="I96" t="str">
            <v>ТУ 10.13.14-150-00425283-2018</v>
          </cell>
          <cell r="J96" t="str">
            <v>Изделие колбасное вареное из мяса кур охлажденное.</v>
          </cell>
          <cell r="K96" t="str">
            <v>мясо куриное механической обвалки, вода питьевая, филе грудок куриных, стабилизатор белковый (кожа куриная, шкурка свиная, вода питьевая), свинина, шпик, крахмалы (картофельный, кукурузный), сыворотка молочная сухая, молоко сухое обезжиренное, смесь посолочно-нитритная (соль, фиксатор окраски (нитрит натрия)), сахара, регуляторы кислотности (пирофосфаты, трифосфаты, цитраты натрия), стабилизатор (полифосфаты), соль, загустители (альгинат натрия, каррагинан, конжак, ксантановая камедь, гуаровая камедь), специи и экстракты специй (перец черный молотый, мускатный орех, чили), антиокислитель (изоаскорбат натрия), усилитель вкуса и аромата (глутамат натрия), ароматизаторы, краситель (кармины)</v>
          </cell>
          <cell r="L96">
            <v>10</v>
          </cell>
          <cell r="M96">
            <v>16</v>
          </cell>
          <cell r="N96">
            <v>2</v>
          </cell>
          <cell r="O96" t="str">
            <v>192/796</v>
          </cell>
          <cell r="P96" t="str">
            <v>0…+6</v>
          </cell>
          <cell r="Q96">
            <v>60</v>
          </cell>
        </row>
        <row r="97">
          <cell r="B97">
            <v>1001010067479</v>
          </cell>
          <cell r="C97" t="str">
            <v>СЛИВОЧНАЯ ПМ вар п/о 0.5кг 8шт.</v>
          </cell>
          <cell r="D97" t="str">
            <v>ШТ</v>
          </cell>
          <cell r="E97" t="str">
            <v>Колбасные изделия</v>
          </cell>
          <cell r="F97" t="str">
            <v>Вареные колбасы</v>
          </cell>
          <cell r="G97" t="str">
            <v>Папа может</v>
          </cell>
          <cell r="H97" t="str">
            <v xml:space="preserve">ОМПК(С)
</v>
          </cell>
          <cell r="I97" t="str">
            <v xml:space="preserve"> ТУ 10.13.14-130-00425283-2017</v>
          </cell>
          <cell r="J97" t="str">
            <v>Мясной продукт. Изделие колбасное вареное категории В.</v>
          </cell>
          <cell r="K97"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сливки сухие,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97">
            <v>9</v>
          </cell>
          <cell r="M97">
            <v>14</v>
          </cell>
          <cell r="N97">
            <v>5</v>
          </cell>
          <cell r="O97" t="str">
            <v>182/756</v>
          </cell>
          <cell r="P97" t="str">
            <v>0…+6</v>
          </cell>
          <cell r="Q97">
            <v>60</v>
          </cell>
        </row>
        <row r="98">
          <cell r="B98">
            <v>1001013967355</v>
          </cell>
          <cell r="C98" t="str">
            <v>СОЧНАЯ Папа может вар п/о 0.4кг 10шт.</v>
          </cell>
          <cell r="D98" t="str">
            <v>ШТ</v>
          </cell>
          <cell r="E98" t="str">
            <v>Колбасные изделия</v>
          </cell>
          <cell r="F98" t="str">
            <v>Вареные колбасы</v>
          </cell>
          <cell r="G98" t="str">
            <v>Папа может</v>
          </cell>
          <cell r="H98" t="str">
            <v>ОМПК(С)</v>
          </cell>
          <cell r="I98" t="str">
            <v>ТУ 10.13.14-150-00425283-2018</v>
          </cell>
          <cell r="J98" t="str">
            <v>Изделие колбасное вареное из мяса кур охлажденное.</v>
          </cell>
          <cell r="K98" t="str">
            <v>филе грудок куриных, свинина, вода питьевая, стабилизатор белковый (вода питьевая, кожа куриная, шкурка свиная), мясо куриное механической обвалки,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98">
            <v>9</v>
          </cell>
          <cell r="M98">
            <v>14</v>
          </cell>
          <cell r="N98">
            <v>4</v>
          </cell>
          <cell r="O98" t="str">
            <v>178/739</v>
          </cell>
          <cell r="P98" t="str">
            <v>0…+6</v>
          </cell>
          <cell r="Q98">
            <v>60</v>
          </cell>
        </row>
        <row r="99">
          <cell r="B99">
            <v>1001013966114</v>
          </cell>
          <cell r="C99" t="str">
            <v>Z-СОЧНАЯ Папа может вар п/о 0.4кг</v>
          </cell>
          <cell r="D99" t="str">
            <v>ШТ</v>
          </cell>
          <cell r="E99" t="str">
            <v>Колбасные изделия</v>
          </cell>
          <cell r="F99" t="str">
            <v>Вареные колбасы</v>
          </cell>
          <cell r="G99" t="str">
            <v>Папа может</v>
          </cell>
          <cell r="H99" t="str">
            <v>ОМПК(С)</v>
          </cell>
          <cell r="I99" t="str">
            <v>ТУ 10.13.14-150-00425283-2018</v>
          </cell>
          <cell r="J99" t="str">
            <v>Изделие колбасное вареное из мяса кур охлажденное.</v>
          </cell>
          <cell r="K99" t="str">
            <v>филе грудок куриных, свинина, вода питьевая, стабилизатор белковый (вода питьевая, кожа куриная, шкурка свиная), мясо куриное механической обвалки,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99">
            <v>9</v>
          </cell>
          <cell r="M99">
            <v>14</v>
          </cell>
          <cell r="N99">
            <v>4</v>
          </cell>
          <cell r="O99" t="str">
            <v>178/739</v>
          </cell>
          <cell r="P99" t="str">
            <v>0…+6</v>
          </cell>
          <cell r="Q99">
            <v>60</v>
          </cell>
        </row>
        <row r="100">
          <cell r="B100">
            <v>1001017097420</v>
          </cell>
          <cell r="C100" t="str">
            <v>СОЧНАЯ КЛАССИКА ПМ вар п/о 0.5кг 8шт.</v>
          </cell>
          <cell r="D100" t="str">
            <v>ШТ</v>
          </cell>
          <cell r="E100" t="str">
            <v>Колбасные изделия</v>
          </cell>
          <cell r="F100" t="str">
            <v>Вареные колбасы</v>
          </cell>
          <cell r="G100" t="str">
            <v>Папа может</v>
          </cell>
          <cell r="H100" t="str">
            <v>ОМПК(С)</v>
          </cell>
          <cell r="I100" t="str">
            <v>ТУ 10.13.14-150-00425283-2018</v>
          </cell>
          <cell r="J100" t="str">
            <v>Изделие колбасное вареное из мяса кур охлажденное.</v>
          </cell>
          <cell r="K100" t="str">
            <v>мясо куриное механической обвалки, вода питьевая, филе грудок куриных, стабилизатор белковый (кожа куриная, шкурка свиная, вода питьевая), свинина, шпик, крахмалы (картофельный, кукурузный), сыворотка молочная сухая, молоко сухое обезжиренное, смесь посолочно-нитритная (соль, фиксатор окраски (нитрит натрия)), сахара, регуляторы кислотности (пирофосфаты, трифосфаты, цитраты натрия), стабилизатор (полифосфаты), соль, загустители (альгинат натрия, каррагинан, конжак, ксантановая камедь, гуаровая камедь), специи и экстракты специй (перец черный молотый, мускатный орех, чили), антиокислитель (изоаскорбат натрия), усилитель вкуса и аромата (глутамат натрия), ароматизаторы, краситель (кармины)</v>
          </cell>
          <cell r="L100">
            <v>10</v>
          </cell>
          <cell r="M100">
            <v>16</v>
          </cell>
          <cell r="N100">
            <v>2</v>
          </cell>
          <cell r="O100" t="str">
            <v>192/796</v>
          </cell>
          <cell r="P100" t="str">
            <v>0…+6</v>
          </cell>
          <cell r="Q100">
            <v>60</v>
          </cell>
        </row>
        <row r="101">
          <cell r="B101">
            <v>1001015696863</v>
          </cell>
          <cell r="C101" t="str">
            <v>СО ШПИКОМ И ЧЕСНОКОМ Коровино п/о</v>
          </cell>
          <cell r="D101" t="str">
            <v>КГ</v>
          </cell>
          <cell r="E101" t="str">
            <v>Колбасные изделия</v>
          </cell>
          <cell r="F101" t="str">
            <v>Вареные колбасы</v>
          </cell>
          <cell r="G101" t="str">
            <v>Коровино</v>
          </cell>
          <cell r="H101" t="str">
            <v>ОМПК(С)</v>
          </cell>
          <cell r="I101" t="str">
            <v>ТУ 10.13.14-150-00425283-2018</v>
          </cell>
          <cell r="J101" t="str">
            <v>Изделие колбасное вареное из мяса кур охлажденное.</v>
          </cell>
          <cell r="K101" t="str">
            <v>филе грудок куриных, мясо куриное механической обвалки, вода, свинина, белковый стабилизатор (вода, шкурка свиная, кожа куриная), шпик, сыворотка молочная сухая, крахмал картофельный, смесь посолочно-нитритная (соль, фиксатор окраски нитрит натрия), регуляторы кислотности: пирофосфаты, ацетаты натрия; стабилизаторы: альгинат натрия, каррагинан, камеди (гуаровая, ксантановая); натуральные пряности и экстракты пряностей (в т.ч. горчичное семя, сельдерей), ароматизаторы, антиокислитель изоаскорбат натрия, усилитель вкуса и аромата глутамат натрия, растительное масло, соль, чеснок, краситель кармины</v>
          </cell>
          <cell r="L101">
            <v>8</v>
          </cell>
          <cell r="M101">
            <v>15</v>
          </cell>
          <cell r="N101">
            <v>3</v>
          </cell>
          <cell r="O101" t="str">
            <v>179/742</v>
          </cell>
          <cell r="P101" t="str">
            <v>0…+6</v>
          </cell>
          <cell r="Q101">
            <v>60</v>
          </cell>
        </row>
        <row r="102">
          <cell r="B102">
            <v>1001016427185</v>
          </cell>
          <cell r="C102" t="str">
            <v>СУПЕР МЯСНАЯ ПМ вар б/о в/у срез 0.4кг</v>
          </cell>
          <cell r="D102" t="str">
            <v>ШТ</v>
          </cell>
          <cell r="E102" t="str">
            <v>Колбасные изделия</v>
          </cell>
          <cell r="F102" t="str">
            <v>Вареные колбасы</v>
          </cell>
          <cell r="G102" t="str">
            <v>Папа может</v>
          </cell>
          <cell r="H102" t="str">
            <v>ОМПК(О)</v>
          </cell>
          <cell r="I102" t="str">
            <v>ТУ 10.13.14-150-00425283-2018</v>
          </cell>
          <cell r="J102" t="str">
            <v>Изделие колбасное вареное из мяса кур охлажденное.</v>
          </cell>
          <cell r="K102" t="str">
            <v>мясо куриное механической обвалки, вода питьевая, свинина, филе куриной грудки, стабилизатор белковый (кожа куриная, шкурка свиная, вода питьевая),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 натрия), загуститель (альгинат натрия), сахара, соль, пряности и экстракты пряностей, антиокислитель (аскорбиновая кислота), усилитель вкуса и аромата (глутамат натрия), ароматизаторы, краситель (кармины)</v>
          </cell>
          <cell r="L102">
            <v>9</v>
          </cell>
          <cell r="M102">
            <v>14</v>
          </cell>
          <cell r="O102" t="str">
            <v>162/671</v>
          </cell>
          <cell r="P102" t="str">
            <v>0…+6</v>
          </cell>
          <cell r="Q102">
            <v>30</v>
          </cell>
        </row>
        <row r="103">
          <cell r="B103">
            <v>1001017567518</v>
          </cell>
          <cell r="C103" t="str">
            <v>ТЕЛЯЧЬЯ ГОСТ Останкино вар н/о в/у</v>
          </cell>
          <cell r="D103" t="str">
            <v>КГ</v>
          </cell>
          <cell r="E103" t="str">
            <v>Колбасные изделия</v>
          </cell>
          <cell r="F103" t="str">
            <v>Вареные колбасы</v>
          </cell>
          <cell r="G103" t="str">
            <v>Останкино</v>
          </cell>
          <cell r="H103" t="str">
            <v>ОМПК(Г)</v>
          </cell>
          <cell r="I103" t="str">
            <v>ГОСТ 23670-2019</v>
          </cell>
          <cell r="J103" t="str">
            <v>Мясной продукт. Изделие колбасное вареное категории А.</v>
          </cell>
          <cell r="K103" t="str">
            <v>телятина, свинина, вода питьевая, шпик, языки свиные, меланж яичный сухой, орехи фисташковые очищенные, смесь посолочно-нитритная (соль, фиксатор окраски (нитрит натрия)), соль, регуляторы кислотности (пирофосфаты, цитраты натрия), стабилизатор (полифосфаты), пряности, сахара, антиокислитель (аскорбат натрия), усилитель вкуса и аромата (глутамат натрия), ароматизаторы, краситель (кармины)</v>
          </cell>
          <cell r="L103">
            <v>12</v>
          </cell>
          <cell r="M103">
            <v>25</v>
          </cell>
          <cell r="N103">
            <v>0</v>
          </cell>
          <cell r="O103" t="str">
            <v>273/1143</v>
          </cell>
          <cell r="P103" t="str">
            <v>0…+6</v>
          </cell>
          <cell r="Q103">
            <v>30</v>
          </cell>
        </row>
        <row r="104">
          <cell r="B104">
            <v>1001012564813</v>
          </cell>
          <cell r="C104" t="str">
            <v>ФИЛЕЙНАЯ Папа может вар п/о</v>
          </cell>
          <cell r="D104" t="str">
            <v>КГ</v>
          </cell>
          <cell r="E104" t="str">
            <v>Колбасные изделия</v>
          </cell>
          <cell r="F104" t="str">
            <v>Вареные колбасы</v>
          </cell>
          <cell r="G104" t="str">
            <v>Папа может</v>
          </cell>
          <cell r="H104" t="str">
            <v>ОМПК(С)</v>
          </cell>
          <cell r="I104" t="str">
            <v>ТУ 10.13.14-150-00425283-2018</v>
          </cell>
          <cell r="J104" t="str">
            <v>Изделие колбасное вареное из мяса кур охлажденное.</v>
          </cell>
          <cell r="K104"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04">
            <v>11</v>
          </cell>
          <cell r="M104">
            <v>12</v>
          </cell>
          <cell r="N104">
            <v>3</v>
          </cell>
          <cell r="O104" t="str">
            <v>164/682</v>
          </cell>
          <cell r="P104" t="str">
            <v>0…+6</v>
          </cell>
          <cell r="Q104">
            <v>60</v>
          </cell>
        </row>
        <row r="105">
          <cell r="B105">
            <v>1001012566392</v>
          </cell>
          <cell r="C105" t="str">
            <v>ФИЛЕЙНАЯ Папа может вар п/о 0.4кг</v>
          </cell>
          <cell r="D105" t="str">
            <v>ШТ</v>
          </cell>
          <cell r="E105" t="str">
            <v>Колбасные изделия</v>
          </cell>
          <cell r="F105" t="str">
            <v>Вареные колбасы</v>
          </cell>
          <cell r="G105" t="str">
            <v>Папа может</v>
          </cell>
          <cell r="H105" t="str">
            <v>ОМПК(С)</v>
          </cell>
          <cell r="I105" t="str">
            <v>ТУ 10.13.14-150-00425283-2018</v>
          </cell>
          <cell r="J105" t="str">
            <v>Изделие колбасное вареное из мяса кур охлажденное.</v>
          </cell>
          <cell r="K105"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05">
            <v>11</v>
          </cell>
          <cell r="M105">
            <v>12</v>
          </cell>
          <cell r="N105">
            <v>3</v>
          </cell>
          <cell r="O105" t="str">
            <v>164/682</v>
          </cell>
          <cell r="P105" t="str">
            <v>0…+6</v>
          </cell>
          <cell r="Q105">
            <v>60</v>
          </cell>
        </row>
        <row r="106">
          <cell r="B106">
            <v>1001012566345</v>
          </cell>
          <cell r="C106" t="str">
            <v>ФИЛЕЙНАЯ Папа может вар п/о 0.5кг 8шт.</v>
          </cell>
          <cell r="D106" t="str">
            <v>ШТ</v>
          </cell>
          <cell r="E106" t="str">
            <v>Колбасные изделия</v>
          </cell>
          <cell r="F106" t="str">
            <v>Вареные колбасы</v>
          </cell>
          <cell r="G106" t="str">
            <v>Папа может</v>
          </cell>
          <cell r="H106" t="str">
            <v xml:space="preserve">ОМПК(С)
ОМПК(О)
</v>
          </cell>
          <cell r="I106" t="str">
            <v>ТУ 10.13.14-150-00425283-2018</v>
          </cell>
          <cell r="J106" t="str">
            <v>Изделие колбасное вареное из мяса кур охлажденное.</v>
          </cell>
          <cell r="K106"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06">
            <v>11</v>
          </cell>
          <cell r="M106">
            <v>12</v>
          </cell>
          <cell r="N106">
            <v>3</v>
          </cell>
          <cell r="O106" t="str">
            <v>164/682</v>
          </cell>
          <cell r="P106" t="str">
            <v>0…+6</v>
          </cell>
          <cell r="Q106">
            <v>60</v>
          </cell>
        </row>
        <row r="107">
          <cell r="B107">
            <v>1001012567522</v>
          </cell>
          <cell r="C107" t="str">
            <v>ФИЛЕЙНАЯ Папа может вар п/о 0.45кг 6шт.</v>
          </cell>
          <cell r="D107" t="str">
            <v>ШТ</v>
          </cell>
          <cell r="E107" t="str">
            <v>Колбасные изделия</v>
          </cell>
          <cell r="F107" t="str">
            <v>Вареные колбасы</v>
          </cell>
          <cell r="G107" t="str">
            <v>Папа может</v>
          </cell>
          <cell r="H107" t="str">
            <v>ОМПК(С)</v>
          </cell>
          <cell r="I107" t="str">
            <v>ТУ 10.13.14-150-00425283-2018</v>
          </cell>
          <cell r="J107" t="str">
            <v>Изделие колбасное вареное из мяса кур охлажденное.</v>
          </cell>
          <cell r="K107"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07">
            <v>11</v>
          </cell>
          <cell r="M107">
            <v>12</v>
          </cell>
          <cell r="N107">
            <v>3</v>
          </cell>
          <cell r="O107" t="str">
            <v>164/682</v>
          </cell>
          <cell r="P107" t="str">
            <v>0…+6</v>
          </cell>
          <cell r="Q107">
            <v>60</v>
          </cell>
        </row>
        <row r="108">
          <cell r="B108">
            <v>1001012566309</v>
          </cell>
          <cell r="C108" t="str">
            <v>ФИЛЕЙНАЯ Папа может вар п/о_А</v>
          </cell>
          <cell r="D108" t="str">
            <v>КГ</v>
          </cell>
          <cell r="E108" t="str">
            <v>Колбасные изделия</v>
          </cell>
          <cell r="F108" t="str">
            <v>Вареные колбасы</v>
          </cell>
          <cell r="G108" t="str">
            <v>Папа может</v>
          </cell>
          <cell r="H108" t="str">
            <v>ОМПК(С)</v>
          </cell>
          <cell r="I108" t="str">
            <v>ТУ 10.13.14-150-00425283-2018</v>
          </cell>
          <cell r="J108" t="str">
            <v>Изделие колбасное вареное из мяса кур охлажденное.</v>
          </cell>
          <cell r="K108"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08">
            <v>11</v>
          </cell>
          <cell r="M108">
            <v>12</v>
          </cell>
          <cell r="N108">
            <v>3</v>
          </cell>
          <cell r="O108" t="str">
            <v>164/682</v>
          </cell>
          <cell r="P108" t="str">
            <v>0…+6</v>
          </cell>
          <cell r="Q108">
            <v>60</v>
          </cell>
        </row>
        <row r="109">
          <cell r="B109">
            <v>1001012564211</v>
          </cell>
          <cell r="C109" t="str">
            <v>ФИЛЕЙНАЯ Папа может вар п/о_О</v>
          </cell>
          <cell r="D109" t="str">
            <v>КГ</v>
          </cell>
          <cell r="E109" t="str">
            <v>Колбасные изделия</v>
          </cell>
          <cell r="F109" t="str">
            <v>Вареные колбасы</v>
          </cell>
          <cell r="G109" t="str">
            <v>Папа может</v>
          </cell>
          <cell r="H109" t="str">
            <v>ОМПК(С)</v>
          </cell>
          <cell r="I109" t="str">
            <v>ТУ 10.13.14-150-00425283-2018</v>
          </cell>
          <cell r="J109" t="str">
            <v>Изделие колбасное вареное из мяса кур охлажденное.</v>
          </cell>
          <cell r="K109"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09">
            <v>11</v>
          </cell>
          <cell r="M109">
            <v>12</v>
          </cell>
          <cell r="N109">
            <v>3</v>
          </cell>
          <cell r="O109" t="str">
            <v>164/682</v>
          </cell>
          <cell r="P109" t="str">
            <v>0…+6</v>
          </cell>
          <cell r="Q109">
            <v>60</v>
          </cell>
        </row>
        <row r="110">
          <cell r="B110">
            <v>1001012564335</v>
          </cell>
          <cell r="C110" t="str">
            <v>ФИЛЕЙНАЯ Папа может вар п/о_СНГ</v>
          </cell>
          <cell r="D110" t="str">
            <v>КГ</v>
          </cell>
          <cell r="E110" t="str">
            <v>Колбасные изделия</v>
          </cell>
          <cell r="F110" t="str">
            <v>Вареные колбасы</v>
          </cell>
          <cell r="G110" t="str">
            <v>Папа может</v>
          </cell>
          <cell r="H110" t="str">
            <v>ОМПК(С)</v>
          </cell>
          <cell r="I110" t="str">
            <v>ТУ 10.13.14-150-00425283-2018</v>
          </cell>
          <cell r="J110" t="str">
            <v>Изделие колбасное вареное из мяса кур охлажденное.</v>
          </cell>
          <cell r="K110"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10">
            <v>11</v>
          </cell>
          <cell r="M110">
            <v>12</v>
          </cell>
          <cell r="N110">
            <v>3</v>
          </cell>
          <cell r="O110" t="str">
            <v>164/682</v>
          </cell>
          <cell r="P110" t="str">
            <v>0…+6</v>
          </cell>
          <cell r="Q110">
            <v>60</v>
          </cell>
        </row>
        <row r="111">
          <cell r="B111">
            <v>1001012564425</v>
          </cell>
          <cell r="C111" t="str">
            <v>Z-ФИЛЕЙНАЯ Папа может вар п/о_СНГ</v>
          </cell>
          <cell r="D111" t="str">
            <v>КГ</v>
          </cell>
          <cell r="E111" t="str">
            <v>Колбасные изделия</v>
          </cell>
          <cell r="F111" t="str">
            <v>Вареные колбасы</v>
          </cell>
          <cell r="G111" t="str">
            <v>Папа может</v>
          </cell>
          <cell r="H111" t="str">
            <v>ОМПК(С)</v>
          </cell>
          <cell r="I111" t="str">
            <v>ТУ 10.13.14-150-00425283-2018</v>
          </cell>
          <cell r="J111" t="str">
            <v>Изделие колбасное вареное из мяса кур охлажденное.</v>
          </cell>
          <cell r="K111"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11">
            <v>11</v>
          </cell>
          <cell r="M111">
            <v>12</v>
          </cell>
          <cell r="N111">
            <v>3</v>
          </cell>
          <cell r="O111" t="str">
            <v>164/682</v>
          </cell>
          <cell r="P111" t="str">
            <v>0…+6</v>
          </cell>
          <cell r="Q111">
            <v>60</v>
          </cell>
        </row>
        <row r="112">
          <cell r="B112">
            <v>1001012563485</v>
          </cell>
          <cell r="C112" t="str">
            <v>Z-ФИЛЕЙНАЯ Папа может вар п/о</v>
          </cell>
          <cell r="D112" t="str">
            <v>КГ</v>
          </cell>
          <cell r="E112" t="str">
            <v>Колбасные изделия</v>
          </cell>
          <cell r="F112" t="str">
            <v>Вареные колбасы</v>
          </cell>
          <cell r="G112" t="str">
            <v>Папа может</v>
          </cell>
          <cell r="H112" t="str">
            <v>ОМПК(С)</v>
          </cell>
          <cell r="I112" t="str">
            <v>ТУ 10.13.14-150-00425283-2018</v>
          </cell>
          <cell r="J112" t="str">
            <v>Изделие колбасное вареное из мяса кур охлажденное.</v>
          </cell>
          <cell r="K112"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12">
            <v>11</v>
          </cell>
          <cell r="M112">
            <v>12</v>
          </cell>
          <cell r="N112">
            <v>3</v>
          </cell>
          <cell r="O112" t="str">
            <v>164/682</v>
          </cell>
          <cell r="P112" t="str">
            <v>0…+6</v>
          </cell>
          <cell r="Q112">
            <v>60</v>
          </cell>
        </row>
        <row r="113">
          <cell r="B113">
            <v>1001012486502</v>
          </cell>
          <cell r="C113" t="str">
            <v>ФИРМЕННАЯ Папа может вар п/о 0.5кг 16шт.</v>
          </cell>
          <cell r="D113" t="str">
            <v>ШТ</v>
          </cell>
          <cell r="E113" t="str">
            <v>Колбасные изделия</v>
          </cell>
          <cell r="F113" t="str">
            <v>Вареные колбасы</v>
          </cell>
          <cell r="G113" t="str">
            <v>Папа может</v>
          </cell>
          <cell r="H113" t="str">
            <v>ОМПК(С)
ОМПК(О)
ОМПК(Г)</v>
          </cell>
          <cell r="I113" t="str">
            <v>ТУ 10.13.14-180-00425283-2025</v>
          </cell>
          <cell r="J113" t="str">
            <v>Мясной продукт. Изделие колбасное вареное категории В.</v>
          </cell>
          <cell r="K113"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113">
            <v>9</v>
          </cell>
          <cell r="M113">
            <v>14</v>
          </cell>
          <cell r="N113">
            <v>5</v>
          </cell>
          <cell r="O113" t="str">
            <v>182/756</v>
          </cell>
          <cell r="P113" t="str">
            <v>0…+6</v>
          </cell>
          <cell r="Q113">
            <v>60</v>
          </cell>
        </row>
        <row r="114">
          <cell r="B114">
            <v>1001012505851</v>
          </cell>
          <cell r="C114" t="str">
            <v>ЭКСТРА Папа может вар п/о</v>
          </cell>
          <cell r="D114" t="str">
            <v>КГ</v>
          </cell>
          <cell r="E114" t="str">
            <v>Колбасные изделия</v>
          </cell>
          <cell r="F114" t="str">
            <v>Вареные колбасы</v>
          </cell>
          <cell r="G114" t="str">
            <v>Папа может</v>
          </cell>
          <cell r="H114" t="str">
            <v xml:space="preserve">ОМПК(С)
</v>
          </cell>
          <cell r="I114" t="str">
            <v xml:space="preserve"> ТУ 10.13.14-150-00425283-2018</v>
          </cell>
          <cell r="J114" t="str">
            <v>Изделие колбасное вареное из мяса кур охлажденное.</v>
          </cell>
          <cell r="K114"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14">
            <v>11</v>
          </cell>
          <cell r="M114">
            <v>12</v>
          </cell>
          <cell r="N114">
            <v>3</v>
          </cell>
          <cell r="O114" t="str">
            <v>164/682</v>
          </cell>
          <cell r="P114" t="str">
            <v>0…+6</v>
          </cell>
          <cell r="Q114">
            <v>60</v>
          </cell>
        </row>
        <row r="115">
          <cell r="B115">
            <v>1001012507632</v>
          </cell>
          <cell r="C115" t="str">
            <v>ЭКСТРА Папа может вар п/о 0.4кг 8шт_195к</v>
          </cell>
          <cell r="D115" t="str">
            <v>ШТ</v>
          </cell>
          <cell r="E115" t="str">
            <v>Колбасные изделия</v>
          </cell>
          <cell r="F115" t="str">
            <v>Вареные колбасы</v>
          </cell>
          <cell r="G115" t="str">
            <v>Папа может</v>
          </cell>
          <cell r="H115" t="str">
            <v xml:space="preserve">ОМПК(С)
</v>
          </cell>
          <cell r="I115" t="str">
            <v xml:space="preserve"> ТУ 10.13.14-150-00425283-2018</v>
          </cell>
          <cell r="J115" t="str">
            <v>Изделие колбасное вареное из мяса кур охлажденное.</v>
          </cell>
          <cell r="K115"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15">
            <v>11</v>
          </cell>
          <cell r="M115">
            <v>12</v>
          </cell>
          <cell r="N115">
            <v>3</v>
          </cell>
          <cell r="O115" t="str">
            <v>164/682</v>
          </cell>
          <cell r="P115" t="str">
            <v>0…+6</v>
          </cell>
          <cell r="Q115">
            <v>60</v>
          </cell>
        </row>
        <row r="116">
          <cell r="B116">
            <v>1001094517502</v>
          </cell>
          <cell r="C116" t="str">
            <v>ВЕТЧ.БАВАРСКАЯ GUTMANN в/у срез 0.4кг</v>
          </cell>
          <cell r="D116" t="str">
            <v>ШТ</v>
          </cell>
          <cell r="E116" t="str">
            <v>Колбасные изделия</v>
          </cell>
          <cell r="F116" t="str">
            <v>Ветчины</v>
          </cell>
          <cell r="G116" t="str">
            <v>GUTMANN</v>
          </cell>
          <cell r="H116" t="str">
            <v>ОМПК(Г)</v>
          </cell>
          <cell r="I116" t="str">
            <v>ТУ 10.13.14-149-00425283-2018</v>
          </cell>
          <cell r="J116" t="str">
            <v>Мясной продукт. Продукт из мяса вареный категории Б.</v>
          </cell>
          <cell r="K116" t="str">
            <v>свинина, вода питьевая, стабилизатор белковый (вода питьевая, шкурка свиная), крахмал картофельный, соль,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загуститель (каррагинан из водорослей EUCHEUMA), специи (в т.ч. горчица), пряности, экстракты специй, сахара, антиокислители (лимонная кислота, аскорбиновая кислота, аскорбат натрия), усилитель вкуса и аромата (глутамат натрия), ароматизаторы, краситель (кармины)</v>
          </cell>
          <cell r="L116">
            <v>11</v>
          </cell>
          <cell r="M116">
            <v>14</v>
          </cell>
          <cell r="N116">
            <v>4</v>
          </cell>
          <cell r="O116" t="str">
            <v>186/773</v>
          </cell>
          <cell r="P116" t="str">
            <v>0…+6</v>
          </cell>
          <cell r="Q116">
            <v>45</v>
          </cell>
        </row>
        <row r="117">
          <cell r="B117">
            <v>1001093637593</v>
          </cell>
          <cell r="C117" t="str">
            <v>ВЕТЧ.БАЛЫКОВАЯ Коровино в/у 0.76кг</v>
          </cell>
          <cell r="D117" t="str">
            <v>ШТ</v>
          </cell>
          <cell r="E117" t="str">
            <v>Колбасные изделия</v>
          </cell>
          <cell r="F117" t="str">
            <v>Ветчины</v>
          </cell>
          <cell r="G117" t="str">
            <v>Коровино</v>
          </cell>
          <cell r="H117" t="str">
            <v xml:space="preserve">ОМПК(Г)
</v>
          </cell>
          <cell r="I117" t="str">
            <v>ТУ 10.13.14-182-00425283-2026</v>
          </cell>
          <cell r="J117" t="str">
            <v>Мясной продукт из свинины вареный категории Б.</v>
          </cell>
          <cell r="K117"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17">
            <v>11</v>
          </cell>
          <cell r="M117">
            <v>13</v>
          </cell>
          <cell r="N117">
            <v>4</v>
          </cell>
          <cell r="O117" t="str">
            <v>177/736</v>
          </cell>
          <cell r="P117" t="str">
            <v>0…+6</v>
          </cell>
          <cell r="Q117">
            <v>55</v>
          </cell>
        </row>
        <row r="118">
          <cell r="B118">
            <v>1001095797641</v>
          </cell>
          <cell r="C118" t="str">
            <v>ВЕТЧ.БРЕСТСКАЯ п/о 0.75кг 6шт.</v>
          </cell>
          <cell r="D118" t="str">
            <v>ШТ</v>
          </cell>
          <cell r="E118" t="str">
            <v>Колбасные изделия</v>
          </cell>
          <cell r="F118" t="str">
            <v>Ветчины</v>
          </cell>
          <cell r="G118" t="str">
            <v>Без ТМ</v>
          </cell>
          <cell r="H118" t="str">
            <v>ОМПК(С)</v>
          </cell>
          <cell r="I118" t="str">
            <v>ТУ 10.13.14-149-00425283-2018</v>
          </cell>
          <cell r="J118" t="str">
            <v>Мясной продукт из свинины вареный категории А.</v>
          </cell>
          <cell r="K118" t="str">
            <v>свинина, стабилизатор белковый (шкурка свиная, мясо цыпленка-бройлера механической обвалки, вода питьевая),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18">
            <v>10</v>
          </cell>
          <cell r="M118">
            <v>10</v>
          </cell>
          <cell r="N118">
            <v>4</v>
          </cell>
          <cell r="O118" t="str">
            <v>146/608</v>
          </cell>
          <cell r="P118" t="str">
            <v>0…+6</v>
          </cell>
          <cell r="Q118">
            <v>60</v>
          </cell>
        </row>
        <row r="119">
          <cell r="B119">
            <v>1001095227235</v>
          </cell>
          <cell r="C119" t="str">
            <v>ВЕТЧ.КЛАССИЧЕСКАЯ ПМ п/о 0.35кг 8шт_209к</v>
          </cell>
          <cell r="D119" t="str">
            <v>ШТ</v>
          </cell>
          <cell r="E119" t="str">
            <v>Колбасные изделия</v>
          </cell>
          <cell r="F119" t="str">
            <v>Ветчины</v>
          </cell>
          <cell r="G119" t="str">
            <v>Папа может</v>
          </cell>
          <cell r="H119" t="str">
            <v>ОМПК(Г)</v>
          </cell>
          <cell r="I119" t="str">
            <v>ТУ 10.13.14-149-00425283-2018</v>
          </cell>
          <cell r="J119" t="str">
            <v>Мясосодержащий продукт. Продукт из мяса вареный категории В.</v>
          </cell>
          <cell r="K119" t="str">
            <v>свинина, стабилизатор белковый (шкурка свиная, мясо куриное механической обвалки, вода питьевая), вода питьевая, крахмал картофельный, смесь посолочно-нитритная (соль, фиксатор окраски (нитрит натрия)), соль, животный белок (говяжий), регуляторы кислотности (трифосфаты, пирофосфаты, цитраты натрия), стабилизатор (полифосфаты), загустители (модифицированный крахмал, каррагинан из водорослей EUCHEMA), белок соевый, сахара, антиокислители (аскорбат натрия, лимонная кислота, аскорбиновая кислота), усилитель вкуса и аромата (глутамат натрия), ароматизаторы, краситель (кармины)</v>
          </cell>
          <cell r="L119">
            <v>10</v>
          </cell>
          <cell r="M119">
            <v>12</v>
          </cell>
          <cell r="N119">
            <v>2</v>
          </cell>
          <cell r="O119" t="str">
            <v>156/648</v>
          </cell>
          <cell r="P119" t="str">
            <v>0…+6</v>
          </cell>
          <cell r="Q119">
            <v>60</v>
          </cell>
        </row>
        <row r="120">
          <cell r="B120">
            <v>1001095227353</v>
          </cell>
          <cell r="C120" t="str">
            <v>ВЕТЧ.КЛАССИЧЕСКАЯ Коровино в/у 0.6кг_55с</v>
          </cell>
          <cell r="D120" t="str">
            <v>ШТ</v>
          </cell>
          <cell r="E120" t="str">
            <v>Колбасные изделия</v>
          </cell>
          <cell r="F120" t="str">
            <v>Ветчины</v>
          </cell>
          <cell r="G120" t="str">
            <v>Коровино</v>
          </cell>
          <cell r="H120" t="str">
            <v xml:space="preserve">ОМПК(С)
ОМПК(Г)
</v>
          </cell>
          <cell r="I120" t="str">
            <v>ТУ 10.13.14-182-00425283-2026</v>
          </cell>
          <cell r="J120" t="str">
            <v>Мясной продукт из свинины вареный категории Б.</v>
          </cell>
          <cell r="K120"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20">
            <v>10</v>
          </cell>
          <cell r="M120">
            <v>13</v>
          </cell>
          <cell r="N120">
            <v>4</v>
          </cell>
          <cell r="O120" t="str">
            <v>177/736</v>
          </cell>
          <cell r="P120" t="str">
            <v>0…+6</v>
          </cell>
          <cell r="Q120">
            <v>55</v>
          </cell>
        </row>
        <row r="121">
          <cell r="B121">
            <v>1001095226925</v>
          </cell>
          <cell r="C121" t="str">
            <v>ВЕТЧ.КЛАССИЧЕСКАЯ в/у 0.6кг 8шт.</v>
          </cell>
          <cell r="D121" t="str">
            <v>ШТ</v>
          </cell>
          <cell r="E121" t="str">
            <v>Колбасные изделия</v>
          </cell>
          <cell r="F121" t="str">
            <v>Ветчины</v>
          </cell>
          <cell r="G121" t="str">
            <v>Без ТМ</v>
          </cell>
          <cell r="H121" t="str">
            <v>ОМПК(С)</v>
          </cell>
          <cell r="I121" t="str">
            <v>ТУ 10.13.14-182-00425283-2026</v>
          </cell>
          <cell r="J121" t="str">
            <v>Мясной продукт из мяса вареный категории Б.</v>
          </cell>
          <cell r="K121"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21">
            <v>11</v>
          </cell>
          <cell r="M121">
            <v>13</v>
          </cell>
          <cell r="N121">
            <v>4</v>
          </cell>
          <cell r="O121" t="str">
            <v>177/736</v>
          </cell>
          <cell r="P121" t="str">
            <v>0…+6</v>
          </cell>
          <cell r="Q121">
            <v>45</v>
          </cell>
        </row>
        <row r="122">
          <cell r="B122">
            <v>1001095837670</v>
          </cell>
          <cell r="C122" t="str">
            <v>ВЕТЧ.КОПЧЕНАЯ в/у 0.6кг 8шт.</v>
          </cell>
          <cell r="D122" t="str">
            <v>ШТ</v>
          </cell>
          <cell r="E122" t="str">
            <v>Колбасные изделия</v>
          </cell>
          <cell r="F122" t="str">
            <v>Ветчины</v>
          </cell>
          <cell r="G122" t="str">
            <v>Коровино</v>
          </cell>
          <cell r="H122" t="str">
            <v>ОМПК(Г)</v>
          </cell>
          <cell r="I122" t="str">
            <v>ТУ 10.13.14-182-00425283-2026</v>
          </cell>
          <cell r="J122" t="str">
            <v>Мясной продукт из свинины вареный категории Б.</v>
          </cell>
          <cell r="K122"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22">
            <v>11</v>
          </cell>
          <cell r="M122">
            <v>13</v>
          </cell>
          <cell r="N122">
            <v>4</v>
          </cell>
          <cell r="O122" t="str">
            <v>177/736</v>
          </cell>
          <cell r="P122" t="str">
            <v>0…+6</v>
          </cell>
          <cell r="Q122">
            <v>55</v>
          </cell>
        </row>
        <row r="123">
          <cell r="B123">
            <v>1001094053215</v>
          </cell>
          <cell r="C123" t="str">
            <v>ВЕТЧ.МЯСНАЯ Папа может п/о 0.4кг 8шт.</v>
          </cell>
          <cell r="D123" t="str">
            <v>ШТ</v>
          </cell>
          <cell r="E123" t="str">
            <v>Колбасные изделия</v>
          </cell>
          <cell r="F123" t="str">
            <v>Ветчины</v>
          </cell>
          <cell r="G123" t="str">
            <v>Папа может</v>
          </cell>
          <cell r="H123" t="str">
            <v>ОМПК(Г)</v>
          </cell>
          <cell r="I123" t="str">
            <v>ТУ 10.13.14-149-00425283-2018</v>
          </cell>
          <cell r="J123" t="str">
            <v>Мясосодержащий продукт. Продукт из мяса вареный категории В.</v>
          </cell>
          <cell r="K123" t="str">
            <v>свинина, стабилизатор белковый (вода питьевая, шкурка свиная, мясо куриное механической обвалки), вода питьевая, крахмал картофельный, смесь посолочно-нитритная (соль, фиксатор окраски (нитрит натрия)), соль, белок животный (говяжий), регуляторы кислотности (цитраты натрия, пирофосфаты, трифосфаты), стабилизатор (полифосфаты), загустители (каррагинан из водорослей EUCHEUMA, крахмал модифицированный, ксантановая камедь), белок соевый, сахара, антиокислители (аскорбиновая кислота, лимонная кислота, аскорбат натрия), усилитель вкуса и аромата (глутамат натрия), ароматизаторы, краситель (кармины)</v>
          </cell>
          <cell r="L123">
            <v>10</v>
          </cell>
          <cell r="M123">
            <v>12</v>
          </cell>
          <cell r="N123">
            <v>2</v>
          </cell>
          <cell r="O123" t="str">
            <v>156/648</v>
          </cell>
          <cell r="P123" t="str">
            <v>0…+6</v>
          </cell>
          <cell r="Q123">
            <v>60</v>
          </cell>
        </row>
        <row r="124">
          <cell r="B124">
            <v>1001094053281</v>
          </cell>
          <cell r="C124" t="str">
            <v>ВЕТЧ.МЯСНАЯ Папа может п/о 0.4кг_СНГ</v>
          </cell>
          <cell r="D124" t="str">
            <v>ШТ</v>
          </cell>
          <cell r="E124" t="str">
            <v>Колбасные изделия</v>
          </cell>
          <cell r="F124" t="str">
            <v>Ветчины</v>
          </cell>
          <cell r="G124" t="str">
            <v>Папа может</v>
          </cell>
          <cell r="H124" t="str">
            <v>ОМПК(Г)</v>
          </cell>
          <cell r="I124" t="str">
            <v>ТУ 10.13.14-149-00425283-2018</v>
          </cell>
          <cell r="J124" t="str">
            <v>Мясосодержащий продукт. Продукт из мяса вареный категории В.</v>
          </cell>
          <cell r="K124" t="str">
            <v>свинина, стабилизатор белковый (вода питьевая, шкурка свиная, мясо куриное механической обвалки), вода питьевая, крахмал картофельный, смесь посолочно-нитритная (соль, фиксатор окраски (нитрит натрия)), соль, белок животный (говяжий), регуляторы кислотности (цитраты натрия, пирофосфаты, трифосфаты), стабилизатор (полифосфаты), загустители (каррагинан из водорослей EUCHEUMA, крахмал модифицированный, ксантановая камедь), белок соевый, сахара, антиокислители (аскорбиновая кислота, лимонная кислота, аскорбат натрия), усилитель вкуса и аромата (глутамат натрия), ароматизаторы, краситель (кармины)</v>
          </cell>
          <cell r="L124">
            <v>10</v>
          </cell>
          <cell r="M124">
            <v>12</v>
          </cell>
          <cell r="N124">
            <v>2</v>
          </cell>
          <cell r="O124" t="str">
            <v>156/648</v>
          </cell>
          <cell r="P124" t="str">
            <v>0…+6</v>
          </cell>
          <cell r="Q124">
            <v>60</v>
          </cell>
        </row>
        <row r="125">
          <cell r="B125">
            <v>1001094057348</v>
          </cell>
          <cell r="C125" t="str">
            <v>ВЕТЧ.МЯСНАЯ Папа может п/о 0.4кг 6шт.</v>
          </cell>
          <cell r="D125" t="str">
            <v>ШТ</v>
          </cell>
          <cell r="E125" t="str">
            <v>Колбасные изделия</v>
          </cell>
          <cell r="F125" t="str">
            <v>Ветчины</v>
          </cell>
          <cell r="G125" t="str">
            <v>Папа может</v>
          </cell>
          <cell r="H125" t="str">
            <v>ОМПК(С)</v>
          </cell>
          <cell r="I125" t="str">
            <v>ТУ 10.13.14-149-00425283-2018</v>
          </cell>
          <cell r="J125" t="str">
            <v>Мясосодержащий продукт. Продукт из мяса вареный категории В.</v>
          </cell>
          <cell r="K125" t="str">
            <v>свинина, стабилизатор белковый (вода питьевая, шкурка свиная, мясо куриное механической обвалки), вода питьевая, крахмал картофельный, смесь посолочно-нитритная (соль, фиксатор окраски (нитрит натрия)), соль, белок животный (говяжий), регуляторы кислотности (цитраты натрия, пирофосфаты, трифосфаты), стабилизатор (полифосфаты), загустители (каррагинан из водорослей EUCHEUMA, крахмал модифицированный, ксантановая камедь), белок соевый, сахара, антиокислители (аскорбиновая кислота, лимонная кислота, аскорбат натрия), усилитель вкуса и аромата (глутамат натрия), ароматизаторы, краситель (кармины)</v>
          </cell>
          <cell r="L125">
            <v>10</v>
          </cell>
          <cell r="M125">
            <v>12</v>
          </cell>
          <cell r="N125">
            <v>2</v>
          </cell>
          <cell r="O125" t="str">
            <v>156/648</v>
          </cell>
          <cell r="P125" t="str">
            <v>0…+6</v>
          </cell>
          <cell r="Q125">
            <v>60</v>
          </cell>
        </row>
        <row r="126">
          <cell r="B126">
            <v>1001092674584</v>
          </cell>
          <cell r="C126" t="str">
            <v>ВЕТЧ.ИЗ ЛОПАТКИ Папа может п/о_HRC</v>
          </cell>
          <cell r="D126" t="str">
            <v>КГ</v>
          </cell>
          <cell r="E126" t="str">
            <v>Колбасные изделия</v>
          </cell>
          <cell r="F126" t="str">
            <v>Ветчины</v>
          </cell>
          <cell r="G126" t="str">
            <v>Папа может</v>
          </cell>
          <cell r="H126" t="str">
            <v>ОМПК(С)
ОМПК(Г)</v>
          </cell>
          <cell r="I126" t="str">
            <v>ТУ 10.13.14-182-00425283-2026</v>
          </cell>
          <cell r="J126" t="str">
            <v>Мясосодержащий продукт из свинины вареный категории В.</v>
          </cell>
          <cell r="K126" t="str">
            <v>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26">
            <v>10</v>
          </cell>
          <cell r="M126">
            <v>10</v>
          </cell>
          <cell r="N126">
            <v>4</v>
          </cell>
          <cell r="O126" t="str">
            <v>146/608</v>
          </cell>
          <cell r="P126" t="str">
            <v>0…+6</v>
          </cell>
          <cell r="Q126">
            <v>60</v>
          </cell>
        </row>
        <row r="127">
          <cell r="B127">
            <v>1001092675902</v>
          </cell>
          <cell r="C127" t="str">
            <v>ВЕТЧ.ИЗ ЛОПАТКИ Папа может п/о_HRC_Окей</v>
          </cell>
          <cell r="D127" t="str">
            <v>КГ</v>
          </cell>
          <cell r="E127" t="str">
            <v>Колбасные изделия</v>
          </cell>
          <cell r="F127" t="str">
            <v>Ветчины</v>
          </cell>
          <cell r="G127" t="str">
            <v>Папа может</v>
          </cell>
          <cell r="H127" t="str">
            <v>ОМПК(С)
ОМПК(Г)</v>
          </cell>
          <cell r="I127" t="str">
            <v>ТУ 10.13.14-182-00425283-2026</v>
          </cell>
          <cell r="J127" t="str">
            <v>Мясосодержащий продукт из свинины вареный категории В.</v>
          </cell>
          <cell r="K127" t="str">
            <v>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27">
            <v>10</v>
          </cell>
          <cell r="M127">
            <v>10</v>
          </cell>
          <cell r="N127">
            <v>4</v>
          </cell>
          <cell r="O127" t="str">
            <v>146/608</v>
          </cell>
          <cell r="P127" t="str">
            <v>0…+6</v>
          </cell>
          <cell r="Q127">
            <v>60</v>
          </cell>
        </row>
        <row r="128">
          <cell r="B128">
            <v>1001092675945</v>
          </cell>
          <cell r="C128" t="str">
            <v>Z-ВЕТЧ.ИЗ ЛОПАТКИ Папа может п/о_HRC</v>
          </cell>
          <cell r="D128" t="str">
            <v>КГ</v>
          </cell>
          <cell r="E128" t="str">
            <v>Колбасные изделия</v>
          </cell>
          <cell r="F128" t="str">
            <v>Ветчины</v>
          </cell>
          <cell r="G128" t="str">
            <v>Папа может</v>
          </cell>
          <cell r="H128" t="str">
            <v>ОМПК(С)
ОМПК(Г)</v>
          </cell>
          <cell r="I128" t="str">
            <v>ТУ 10.13.14-182-00425283-2026</v>
          </cell>
          <cell r="J128" t="str">
            <v>Мясосодержащий продукт из свинины вареный категории В.</v>
          </cell>
          <cell r="K128" t="str">
            <v>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28">
            <v>10</v>
          </cell>
          <cell r="M128">
            <v>10</v>
          </cell>
          <cell r="N128">
            <v>4</v>
          </cell>
          <cell r="O128" t="str">
            <v>146/608</v>
          </cell>
          <cell r="P128" t="str">
            <v>0…+6</v>
          </cell>
          <cell r="Q128">
            <v>60</v>
          </cell>
        </row>
        <row r="129">
          <cell r="B129">
            <v>1001092677543</v>
          </cell>
          <cell r="C129" t="str">
            <v>ВЕТЧ.ИЗ ЛОПАТКИ п/о (пресс)_HRC</v>
          </cell>
          <cell r="D129" t="str">
            <v>КГ</v>
          </cell>
          <cell r="E129" t="str">
            <v>Колбасные изделия</v>
          </cell>
          <cell r="F129" t="str">
            <v>Ветчины</v>
          </cell>
          <cell r="G129" t="str">
            <v>Папа может</v>
          </cell>
          <cell r="H129" t="str">
            <v>ОМПК(С)</v>
          </cell>
          <cell r="I129" t="str">
            <v>ТУ 10.13.14-182-00425283-2026</v>
          </cell>
          <cell r="J129" t="str">
            <v>Мясосодержащий продукт из свинины вареный категории В.</v>
          </cell>
          <cell r="K129" t="str">
            <v>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29">
            <v>10</v>
          </cell>
          <cell r="M129">
            <v>10</v>
          </cell>
          <cell r="N129">
            <v>4</v>
          </cell>
          <cell r="O129" t="str">
            <v>146/608</v>
          </cell>
          <cell r="P129" t="str">
            <v>0…+6</v>
          </cell>
          <cell r="Q129">
            <v>60</v>
          </cell>
        </row>
        <row r="130">
          <cell r="B130">
            <v>1001096667266</v>
          </cell>
          <cell r="C130" t="str">
            <v>ВЕТЧ.ОХОТНИЧЬЯ ПМ п/о 0.35кг 6шт.</v>
          </cell>
          <cell r="D130" t="str">
            <v>ШТ</v>
          </cell>
          <cell r="E130" t="str">
            <v>Колбасные изделия</v>
          </cell>
          <cell r="F130" t="str">
            <v>Ветчины</v>
          </cell>
          <cell r="G130" t="str">
            <v>Папа может</v>
          </cell>
          <cell r="H130" t="str">
            <v>ОМПК(Г)</v>
          </cell>
          <cell r="I130" t="str">
            <v>ТУ 10.13.14-149-00425283-2018</v>
          </cell>
          <cell r="J130" t="str">
            <v>Мясосодержащий продукт. Продукт из мяса вареный категории В.</v>
          </cell>
          <cell r="K130" t="str">
            <v>свинина, стабилизатор белковый (шкурка свиная, мясо куриное механической обвалки, вода питьевая), вода питьевая, крахмал картофельный, смесь посолочно-нитритная (соль, фиксатор окраски (нитрит натрия)), соль, животный белок (говяжий), регуляторы кислотности (трифосфаты, пирофосфаты, цитраты натрия), стабилизатор (полифосфаты), загустители (модифицированный крахмал, каррагинан из водорослей EUCHEMA), белок соевый, сахара, антиокислители (аскорбат натрия, лимонная кислота, аскорбиновая кислота), усилитель вкуса и аромата (глутамат натрия), ароматизаторы, краситель (кармины)</v>
          </cell>
          <cell r="L130">
            <v>10</v>
          </cell>
          <cell r="M130">
            <v>12</v>
          </cell>
          <cell r="N130">
            <v>2</v>
          </cell>
          <cell r="O130" t="str">
            <v>156/648</v>
          </cell>
          <cell r="P130" t="str">
            <v>0…+6</v>
          </cell>
          <cell r="Q130">
            <v>60</v>
          </cell>
        </row>
        <row r="131">
          <cell r="B131">
            <v>1001092687245</v>
          </cell>
          <cell r="C131" t="str">
            <v>ВЕТЧ.ФИЛЕЙНАЯ ПМ п/о 0,4кг 8шт.</v>
          </cell>
          <cell r="D131" t="str">
            <v>ШТ</v>
          </cell>
          <cell r="E131" t="str">
            <v>Колбасные изделия</v>
          </cell>
          <cell r="F131" t="str">
            <v>Ветчины</v>
          </cell>
          <cell r="G131" t="str">
            <v>Папа может</v>
          </cell>
          <cell r="H131" t="str">
            <v>ОМПК(С)</v>
          </cell>
          <cell r="I131" t="str">
            <v>ТУ 10.13.14-188-00425283-2026</v>
          </cell>
          <cell r="J131" t="str">
            <v>Продукт из мяса кур вареный охлажденный.</v>
          </cell>
          <cell r="K131" t="str">
            <v>филе грудок куриных, стабилизатор белковый (кожа куриная, вода питьевая), мясо индейки бескостное, вода питьевая, крахмал картофельный, смесь посолочно-нитритная (соль, фиксатор окраски (нитрит натрия)), регулятор кислотности (цитраты натрия), загустители (каррагинан из водорослей eucheuma, ксантановая камедь, модифицированный крахмал), белок говяжий, белок соевый, сахара, антиокислитель (аскорбат натрия), усилитель вкуса и аромата (глутамат натрия 1-замещенный), ароматизаторы, краситель (кармины)</v>
          </cell>
          <cell r="L131">
            <v>10</v>
          </cell>
          <cell r="M131">
            <v>5</v>
          </cell>
          <cell r="N131">
            <v>4</v>
          </cell>
          <cell r="O131" t="str">
            <v>101/423</v>
          </cell>
          <cell r="P131" t="str">
            <v>0…+6</v>
          </cell>
          <cell r="Q131">
            <v>60</v>
          </cell>
        </row>
        <row r="132">
          <cell r="B132">
            <v>1001094966025</v>
          </cell>
          <cell r="C132" t="str">
            <v>ВЕТЧ.ФИРМЕННАЯ С ИНДЕЙКОЙ п/о</v>
          </cell>
          <cell r="D132" t="str">
            <v>КГ</v>
          </cell>
          <cell r="E132" t="str">
            <v>Колбасные изделия</v>
          </cell>
          <cell r="F132" t="str">
            <v>Ветчины</v>
          </cell>
          <cell r="G132" t="str">
            <v>Папа может</v>
          </cell>
          <cell r="H132" t="str">
            <v>ОМПК(С)</v>
          </cell>
          <cell r="I132" t="str">
            <v>ТУ 10.13.14-188-00425283-2026</v>
          </cell>
          <cell r="J132" t="str">
            <v>Продукт из мяса кур вареный охлажденный.</v>
          </cell>
          <cell r="K132" t="str">
            <v>филе грудок куриных, стабилизатор белковый (кожа куриная, вода питьевая), мясо индейки бескостное, вода питьевая, крахмал картофельный, смесь посолочно-нитритная (соль, фиксатор окраски (нитрит натрия)), регулятор кислотности (цитраты натрия), загустители (каррагинан из водорослей eucheuma, ксантановая камедь, модифицированный крахмал), белок говяжий, белок соевый, сахара, антиокислитель (аскорбат натрия), усилитель вкуса и аромата (глутамат натрия 1-замещенный), ароматизаторы, краситель (кармины)</v>
          </cell>
          <cell r="L132">
            <v>10</v>
          </cell>
          <cell r="M132">
            <v>5</v>
          </cell>
          <cell r="N132">
            <v>4</v>
          </cell>
          <cell r="O132" t="str">
            <v>101/423</v>
          </cell>
          <cell r="P132" t="str">
            <v>0…+6</v>
          </cell>
          <cell r="Q132">
            <v>60</v>
          </cell>
        </row>
        <row r="133">
          <cell r="B133">
            <v>1001094966848</v>
          </cell>
          <cell r="C133" t="str">
            <v>ВЕТЧ.ФИРМЕННАЯ С ИНДЕЙКОЙ ПМ п/о 1.5*4</v>
          </cell>
          <cell r="D133" t="str">
            <v>КГ</v>
          </cell>
          <cell r="E133" t="str">
            <v>Колбасные изделия</v>
          </cell>
          <cell r="F133" t="str">
            <v>Ветчины</v>
          </cell>
          <cell r="G133" t="str">
            <v>Папа может</v>
          </cell>
          <cell r="H133" t="str">
            <v>ОМПК(С)</v>
          </cell>
          <cell r="I133" t="str">
            <v>ТУ 10.13.14-188-00425283-2026</v>
          </cell>
          <cell r="J133" t="str">
            <v>Продукт из мяса кур вареный охлажденный.</v>
          </cell>
          <cell r="K133" t="str">
            <v>филе грудок куриных, стабилизатор белковый (кожа куриная, вода питьевая), мясо индейки бескостное, вода питьевая, крахмал картофельный, смесь посолочно-нитритная (соль, фиксатор окраски (нитрит натрия)), регулятор кислотности (цитраты натрия), загустители (каррагинан из водорослей eucheuma, ксантановая камедь, модифицированный крахмал), белок говяжий, белок соевый, сахара, антиокислитель (аскорбат натрия), усилитель вкуса и аромата (глутамат натрия 1-замещенный), ароматизаторы, краситель (кармины)</v>
          </cell>
          <cell r="L133">
            <v>10</v>
          </cell>
          <cell r="M133">
            <v>5</v>
          </cell>
          <cell r="N133">
            <v>4</v>
          </cell>
          <cell r="O133" t="str">
            <v>101/423</v>
          </cell>
          <cell r="P133" t="str">
            <v>0…+6</v>
          </cell>
          <cell r="Q133">
            <v>60</v>
          </cell>
        </row>
        <row r="134">
          <cell r="B134">
            <v>1001096687329</v>
          </cell>
          <cell r="C134" t="str">
            <v>ВЕТЧ.ДОМАШНЯЯ Папа может п/о 0.75кг 6шт.</v>
          </cell>
          <cell r="D134" t="str">
            <v>ШТ</v>
          </cell>
          <cell r="E134" t="str">
            <v>Колбасные изделия</v>
          </cell>
          <cell r="F134" t="str">
            <v>Ветчины</v>
          </cell>
          <cell r="G134" t="str">
            <v>Папа может</v>
          </cell>
          <cell r="H134" t="str">
            <v>ОМПК(С)</v>
          </cell>
          <cell r="I134" t="str">
            <v>ТУ 10.13.14-149-00425283-2018</v>
          </cell>
          <cell r="J134" t="str">
            <v>Мясосодержащий продукт. Продукт из мяса вареный категории В.</v>
          </cell>
          <cell r="K134" t="str">
            <v>свинина, стабилизатор белковый (шкурка свиная, мясо куриное механической обвалки, вода питьевая), вода питьевая, крахмал картофельный, смесь посолочно-нитритная (соль, фиксатор окраски (нитрит натрия)), соль, животный белок (говяжий), регуляторы кислотности (трифосфаты, пирофосфаты, цитраты натрия), стабилизатор (полифосфаты), загустители (модифицированный крахмал, каррагинан из водорослей EUCHEMA), белок соевый, сахара, антиокислители (аскорбат натрия, лимонная кислота, аскорбиновая кислота), усилитель вкуса и аромата (глутамат натрия), ароматизаторы, краситель (кармины)</v>
          </cell>
          <cell r="L134">
            <v>10</v>
          </cell>
          <cell r="M134">
            <v>12</v>
          </cell>
          <cell r="N134">
            <v>2</v>
          </cell>
          <cell r="O134" t="str">
            <v>156/648</v>
          </cell>
          <cell r="P134" t="str">
            <v>0…+6</v>
          </cell>
          <cell r="Q134">
            <v>60</v>
          </cell>
        </row>
        <row r="135">
          <cell r="B135">
            <v>1001096687574</v>
          </cell>
          <cell r="C135" t="str">
            <v>ВЕТЧ.ДОМАШНЯЯ Папа может п/о 0.75кг 12шт</v>
          </cell>
          <cell r="D135" t="str">
            <v>ШТ</v>
          </cell>
          <cell r="E135" t="str">
            <v>Колбасные изделия</v>
          </cell>
          <cell r="F135" t="str">
            <v>Ветчины</v>
          </cell>
          <cell r="G135" t="str">
            <v>Папа может</v>
          </cell>
          <cell r="H135" t="str">
            <v>ОМПК(С)</v>
          </cell>
          <cell r="I135" t="str">
            <v>ТУ 10.13.14-182-00425283-2026</v>
          </cell>
          <cell r="J135" t="str">
            <v>Мясосодержащий продукт из свинины вареный категории В.</v>
          </cell>
          <cell r="K135" t="str">
            <v>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35">
            <v>10</v>
          </cell>
          <cell r="M135">
            <v>10</v>
          </cell>
          <cell r="N135">
            <v>4</v>
          </cell>
          <cell r="O135" t="str">
            <v>146/608</v>
          </cell>
          <cell r="P135" t="str">
            <v>0…+6</v>
          </cell>
          <cell r="Q135">
            <v>60</v>
          </cell>
        </row>
        <row r="136">
          <cell r="B136">
            <v>1001092646823</v>
          </cell>
          <cell r="C136" t="str">
            <v>ВЕТЧ.ДОМАШНЯЯ Папа может п/о</v>
          </cell>
          <cell r="D136" t="str">
            <v>КГ</v>
          </cell>
          <cell r="E136" t="str">
            <v>Колбасные изделия</v>
          </cell>
          <cell r="F136" t="str">
            <v>Ветчины</v>
          </cell>
          <cell r="G136" t="str">
            <v>Папа может</v>
          </cell>
          <cell r="H136" t="str">
            <v>ОМПК(С)</v>
          </cell>
          <cell r="I136" t="str">
            <v>ТУ 10.13.14-182-00425283-2026</v>
          </cell>
          <cell r="J136" t="str">
            <v>Мясосодержащий продукт из свинины вареный категории В.</v>
          </cell>
          <cell r="K136" t="str">
            <v>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36">
            <v>10</v>
          </cell>
          <cell r="M136">
            <v>10</v>
          </cell>
          <cell r="N136">
            <v>4</v>
          </cell>
          <cell r="O136" t="str">
            <v>146/608</v>
          </cell>
          <cell r="P136" t="str">
            <v>0…+6</v>
          </cell>
          <cell r="Q136">
            <v>60</v>
          </cell>
        </row>
        <row r="137">
          <cell r="B137">
            <v>1001095726867</v>
          </cell>
          <cell r="C137" t="str">
            <v>ВЕТЧ.ДОМАШНИЙ РЕЦЕПТ Коровино п/о</v>
          </cell>
          <cell r="D137" t="str">
            <v>КГ</v>
          </cell>
          <cell r="E137" t="str">
            <v>Колбасные изделия</v>
          </cell>
          <cell r="F137" t="str">
            <v>Ветчины</v>
          </cell>
          <cell r="G137" t="str">
            <v>Коровино</v>
          </cell>
          <cell r="H137" t="str">
            <v>ОМПК(С)</v>
          </cell>
          <cell r="I137" t="str">
            <v>ТУ 10.13.14-182-00425283-2026</v>
          </cell>
          <cell r="J137" t="str">
            <v>Мясосодержащий продукт из свинины вареный категории В.</v>
          </cell>
          <cell r="K137" t="str">
            <v>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37">
            <v>10</v>
          </cell>
          <cell r="M137">
            <v>10</v>
          </cell>
          <cell r="N137">
            <v>4</v>
          </cell>
          <cell r="O137" t="str">
            <v>146/608</v>
          </cell>
          <cell r="P137" t="str">
            <v>0…+6</v>
          </cell>
          <cell r="Q137">
            <v>60</v>
          </cell>
        </row>
        <row r="138">
          <cell r="B138">
            <v>1001092436470</v>
          </cell>
          <cell r="C138" t="str">
            <v>ВЕТЧ.МРАМОРНАЯ в/у_45с</v>
          </cell>
          <cell r="D138" t="str">
            <v>КГ</v>
          </cell>
          <cell r="E138" t="str">
            <v>Колбасные изделия</v>
          </cell>
          <cell r="F138" t="str">
            <v>Ветчины</v>
          </cell>
          <cell r="G138" t="str">
            <v>Останкино</v>
          </cell>
          <cell r="H138" t="str">
            <v>ОМПК(С)</v>
          </cell>
          <cell r="I138" t="str">
            <v>ТУ 10.13.14-182-00425283-2026</v>
          </cell>
          <cell r="J138" t="str">
            <v>Мясной продукт из свинины вареный категории Б.</v>
          </cell>
          <cell r="K138"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38">
            <v>11</v>
          </cell>
          <cell r="M138">
            <v>13</v>
          </cell>
          <cell r="N138">
            <v>4</v>
          </cell>
          <cell r="O138" t="str">
            <v>177/736</v>
          </cell>
          <cell r="P138" t="str">
            <v>0…+6</v>
          </cell>
          <cell r="Q138">
            <v>45</v>
          </cell>
        </row>
        <row r="139">
          <cell r="B139">
            <v>1001092485452</v>
          </cell>
          <cell r="C139" t="str">
            <v>ВЕТЧ.МЯСНАЯ Папа может п/о</v>
          </cell>
          <cell r="D139" t="str">
            <v>КГ</v>
          </cell>
          <cell r="E139" t="str">
            <v>Колбасные изделия</v>
          </cell>
          <cell r="F139" t="str">
            <v>Ветчины</v>
          </cell>
          <cell r="G139" t="str">
            <v>Папа может</v>
          </cell>
          <cell r="H139" t="str">
            <v>ОМПК(Г)</v>
          </cell>
          <cell r="I139" t="str">
            <v>ТУ 10.13.14-149-00425283-2018</v>
          </cell>
          <cell r="J139" t="str">
            <v>Мясосодержащий продукт. Продукт из мяса вареный категории В.</v>
          </cell>
          <cell r="K139" t="str">
            <v>свинина, стабилизатор белковый (вода питьевая, шкурка свиная, мясо куриное механической обвалки), вода питьевая, крахмал картофельный, смесь посолочно-нитритная (соль, фиксатор окраски (нитрит натрия)), соль, белок животный (говяжий), регуляторы кислотности (цитраты натрия, пирофосфаты, трифосфаты), стабилизатор (полифосфаты), загустители (каррагинан из водорослей EUCHEUMA, крахмал модифицированный, ксантановая камедь), белок соевый, сахара, антиокислители (аскорбиновая кислота, лимонная кислота, аскорбат натрия), усилитель вкуса и аромата (глутамат натрия), ароматизаторы, краситель (кармины)</v>
          </cell>
          <cell r="L139">
            <v>10</v>
          </cell>
          <cell r="M139">
            <v>12</v>
          </cell>
          <cell r="N139">
            <v>2</v>
          </cell>
          <cell r="O139" t="str">
            <v>156/684</v>
          </cell>
          <cell r="P139" t="str">
            <v>0…+6</v>
          </cell>
          <cell r="Q139">
            <v>60</v>
          </cell>
        </row>
        <row r="140">
          <cell r="B140">
            <v>1001095716866</v>
          </cell>
          <cell r="C140" t="str">
            <v>ВЕТЧ.НЕЖНАЯ Коровино п/о_Маяк</v>
          </cell>
          <cell r="D140" t="str">
            <v>КГ</v>
          </cell>
          <cell r="E140" t="str">
            <v>Колбасные изделия</v>
          </cell>
          <cell r="F140" t="str">
            <v>Ветчины</v>
          </cell>
          <cell r="G140" t="str">
            <v>Коровино</v>
          </cell>
          <cell r="H140" t="str">
            <v>ОМПК(С)</v>
          </cell>
          <cell r="I140" t="str">
            <v>ТУ 10.13.14-149-00425283-2018</v>
          </cell>
          <cell r="J140" t="str">
            <v>Мясосодержащий продукт. Продукт из мяса вареный категории В.</v>
          </cell>
          <cell r="K140" t="str">
            <v>свинина, вода, белковый стабилизатор (шкурка свиная, вода), крахмал картофельный, смесь посолочно-нитритная (соль, фиксатор окраски нитрит натрия), животный белок говяжий, соль, сахар, загустители: дикрахмалфосфат оксипропилированный, каррагинан из водорослей EUCHEMA, ксантановая камедь; соевый белок, регуляторы кислотности: трифосфаты, ацетаты натрия, цитраты натрия; стабилизаторы: пирофосфаты и полифосфаты, усилитель вкуса и аромата глутамат натрия, антиокислитель аскорбат натрия, горчица, ароматизаторы, краситель кармины</v>
          </cell>
          <cell r="L140">
            <v>10</v>
          </cell>
          <cell r="M140">
            <v>9</v>
          </cell>
          <cell r="N140">
            <v>3</v>
          </cell>
          <cell r="O140" t="str">
            <v>133/554</v>
          </cell>
          <cell r="P140" t="str">
            <v>0…+6</v>
          </cell>
          <cell r="Q140">
            <v>60</v>
          </cell>
        </row>
        <row r="141">
          <cell r="B141">
            <v>1001095717142</v>
          </cell>
          <cell r="C141" t="str">
            <v>ВЕТЧ.НЕЖНАЯ Коровино п/о_Т</v>
          </cell>
          <cell r="D141" t="str">
            <v>КГ</v>
          </cell>
          <cell r="E141" t="str">
            <v>Колбасные изделия</v>
          </cell>
          <cell r="F141" t="str">
            <v>Ветчины</v>
          </cell>
          <cell r="G141" t="str">
            <v>Коровино</v>
          </cell>
          <cell r="H141" t="str">
            <v>ОМПК(С)</v>
          </cell>
          <cell r="I141" t="str">
            <v>ТУ 10.13.14-182-00425283-2026</v>
          </cell>
          <cell r="J141" t="str">
            <v>Мясосодержащий продукт из свинины вареный категории В.</v>
          </cell>
          <cell r="K141" t="str">
            <v>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41">
            <v>10</v>
          </cell>
          <cell r="M141">
            <v>10</v>
          </cell>
          <cell r="N141">
            <v>4</v>
          </cell>
          <cell r="O141" t="str">
            <v>146/608</v>
          </cell>
          <cell r="P141" t="str">
            <v>0…+6</v>
          </cell>
          <cell r="Q141">
            <v>60</v>
          </cell>
        </row>
        <row r="142">
          <cell r="B142">
            <v>1001095716907</v>
          </cell>
          <cell r="C142" t="str">
            <v>Z-ВЕТЧ.НЕЖНАЯ Коровино п/о</v>
          </cell>
          <cell r="D142" t="str">
            <v>КГ</v>
          </cell>
          <cell r="E142" t="str">
            <v>Колбасные изделия</v>
          </cell>
          <cell r="F142" t="str">
            <v>Ветчины</v>
          </cell>
          <cell r="G142" t="str">
            <v>Коровино</v>
          </cell>
          <cell r="H142" t="str">
            <v>ОМПК(С)</v>
          </cell>
          <cell r="I142" t="str">
            <v>ТУ 10.13.14-182-00425283-2026</v>
          </cell>
          <cell r="J142" t="str">
            <v>Мясосодержащий продукт из свинины вареный категории В.</v>
          </cell>
          <cell r="K142" t="str">
            <v>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42">
            <v>10</v>
          </cell>
          <cell r="M142">
            <v>10</v>
          </cell>
          <cell r="N142">
            <v>4</v>
          </cell>
          <cell r="O142" t="str">
            <v>146/608</v>
          </cell>
          <cell r="P142" t="str">
            <v>0…+6</v>
          </cell>
          <cell r="Q142">
            <v>60</v>
          </cell>
        </row>
        <row r="143">
          <cell r="B143">
            <v>1001093345495</v>
          </cell>
          <cell r="C143" t="str">
            <v>ВЕТЧ.С ИНДЕЙКОЙ Папа может п/о 400*6</v>
          </cell>
          <cell r="D143" t="str">
            <v>ШТ</v>
          </cell>
          <cell r="E143" t="str">
            <v>Колбасные изделия</v>
          </cell>
          <cell r="F143" t="str">
            <v>Ветчины</v>
          </cell>
          <cell r="G143" t="str">
            <v>Папа может</v>
          </cell>
          <cell r="H143" t="str">
            <v>ОМПК(С)</v>
          </cell>
          <cell r="I143" t="str">
            <v>ТУ 10.13.14-188-00425283-2026</v>
          </cell>
          <cell r="J143" t="str">
            <v>Продукт из мяса кур вареный охлажденный</v>
          </cell>
          <cell r="K143" t="str">
            <v>филе грудок куриных, стабилизатор белковый (кожа куриная, вода питьевая), мясо индейки бескостное, вода питьевая, крахмал картофельный, смесь посолочно-нитритная (соль, фиксатор окраски (нитрит натрия)), регулятор кислотности (цитраты натрия), загустители (каррагинан из водорослей eucheuma, ксантановая камедь, модифицированный крахмал), белок говяжий, белок соевый, сахара, антиокислитель (аскорбат натрия), усилитель вкуса и аромата (глутамат натрия 1-замещенный), ароматизаторы, краситель (кармины)</v>
          </cell>
          <cell r="L143">
            <v>10</v>
          </cell>
          <cell r="M143">
            <v>5</v>
          </cell>
          <cell r="N143">
            <v>4</v>
          </cell>
          <cell r="O143" t="str">
            <v>101/423</v>
          </cell>
          <cell r="P143" t="str">
            <v>0…+6</v>
          </cell>
          <cell r="Q143">
            <v>60</v>
          </cell>
        </row>
        <row r="144">
          <cell r="B144">
            <v>1001097637637</v>
          </cell>
          <cell r="C144" t="str">
            <v>ВЕТЧ.С ИНДЕЙКОЙ ПМ п/о 0.4кг 12шт.</v>
          </cell>
          <cell r="D144" t="str">
            <v>ШТ</v>
          </cell>
          <cell r="E144" t="str">
            <v>Колбасные изделия</v>
          </cell>
          <cell r="F144" t="str">
            <v>Ветчины</v>
          </cell>
          <cell r="G144" t="str">
            <v>Папа может</v>
          </cell>
          <cell r="H144" t="str">
            <v>ОМПК(С)</v>
          </cell>
          <cell r="I144" t="str">
            <v>ТУ 10.13.14-188-00425283-2026</v>
          </cell>
          <cell r="J144" t="str">
            <v>Продукт из мяса кур вареный охлажденный</v>
          </cell>
          <cell r="K144" t="str">
            <v>филе грудок куриных, стабилизатор белковый (кожа куриная, вода питьевая), мясо индейки бескостное, вода питьевая, крахмал картофельный, смесь посолочно-нитритная (соль, фиксатор окраски (нитрит натрия)), регулятор кислотности (цитраты натрия), загустители (каррагинан из водорослей eucheuma, ксантановая камедь, модифицированный крахмал), белок говяжий, белок соевый, сахара, антиокислитель (аскорбат натрия), усилитель вкуса и аромата (глутамат натрия 1-замещенный), ароматизаторы, краситель (кармины)</v>
          </cell>
          <cell r="L144">
            <v>10</v>
          </cell>
          <cell r="M144">
            <v>5</v>
          </cell>
          <cell r="N144">
            <v>4</v>
          </cell>
          <cell r="O144" t="str">
            <v>101/423</v>
          </cell>
          <cell r="P144" t="str">
            <v>0…+6</v>
          </cell>
          <cell r="Q144">
            <v>60</v>
          </cell>
        </row>
        <row r="145">
          <cell r="B145">
            <v>1001095027377</v>
          </cell>
          <cell r="C145" t="str">
            <v>ВЕТЧ.С ИНДЕЙКОЙ ПМ в/у срез 0.3кг 6шт.</v>
          </cell>
          <cell r="D145" t="str">
            <v>ШТ</v>
          </cell>
          <cell r="E145" t="str">
            <v>Колбасные изделия</v>
          </cell>
          <cell r="F145" t="str">
            <v>Ветчины</v>
          </cell>
          <cell r="G145" t="str">
            <v>Папа может</v>
          </cell>
          <cell r="H145" t="str">
            <v>ОМПК(С)</v>
          </cell>
          <cell r="I145" t="str">
            <v>ТУ 10.13.14-188-00425283-2026</v>
          </cell>
          <cell r="J145" t="str">
            <v>Продукт из мяса кур вареный охлажденный</v>
          </cell>
          <cell r="K145" t="str">
            <v>филе грудок куриных, стабилизатор белковый (кожа куриная, вода питьевая), мясо индейки бескостное, вода питьевая, крахмал картофельный, смесь посолочно-нитритная (соль, фиксатор окраски (нитрит натрия)), регулятор кислотности (цитраты натрия), загустители (каррагинан из водорослей eucheuma, ксантановая камедь, модифицированный крахмал), белок говяжий, белок соевый, сахара, антиокислитель (аскорбат натрия), усилитель вкуса и аромата (глутамат натрия 1-замещенный), ароматизаторы, краситель (кармины)</v>
          </cell>
          <cell r="L145">
            <v>10</v>
          </cell>
          <cell r="M145">
            <v>5</v>
          </cell>
          <cell r="N145">
            <v>4</v>
          </cell>
          <cell r="O145" t="str">
            <v>101/423</v>
          </cell>
          <cell r="P145" t="str">
            <v>0…+6</v>
          </cell>
          <cell r="Q145">
            <v>45</v>
          </cell>
        </row>
        <row r="146">
          <cell r="B146">
            <v>1001095027482</v>
          </cell>
          <cell r="C146" t="str">
            <v>Z-ВЕТЧ.С ИНДЕЙКОЙ ПМ в/у срез 0.3кг</v>
          </cell>
          <cell r="D146" t="str">
            <v>ШТ</v>
          </cell>
          <cell r="E146" t="str">
            <v>Колбасные изделия</v>
          </cell>
          <cell r="F146" t="str">
            <v>Ветчины</v>
          </cell>
          <cell r="G146" t="str">
            <v>Папа может</v>
          </cell>
          <cell r="H146" t="str">
            <v>ОМПК(С)</v>
          </cell>
          <cell r="I146" t="str">
            <v>ТУ 10.13.14-188-00425283-2026</v>
          </cell>
          <cell r="J146" t="str">
            <v>Продукт из мяса кур вареный охлажденный</v>
          </cell>
          <cell r="K146" t="str">
            <v>филе грудок куриных, стабилизатор белковый (кожа куриная, вода питьевая), мясо индейки бескостное, вода питьевая, крахмал картофельный, смесь посолочно-нитритная (соль, фиксатор окраски (нитрит натрия)), регулятор кислотности (цитраты натрия), загустители (каррагинан из водорослей eucheuma, ксантановая камедь, модифицированный крахмал), белок говяжий, белок соевый, сахара, антиокислитель (аскорбат натрия), усилитель вкуса и аромата (глутамат натрия 1-замещенный), ароматизаторы, краситель (кармины)</v>
          </cell>
          <cell r="L146">
            <v>10</v>
          </cell>
          <cell r="M146">
            <v>5</v>
          </cell>
          <cell r="N146">
            <v>4</v>
          </cell>
          <cell r="O146" t="str">
            <v>101/423</v>
          </cell>
          <cell r="P146" t="str">
            <v>0…+6</v>
          </cell>
          <cell r="Q146">
            <v>7</v>
          </cell>
        </row>
        <row r="147">
          <cell r="B147">
            <v>1001092436495</v>
          </cell>
          <cell r="C147" t="str">
            <v>ВЕТЧ.МРАМОРНАЯ в/у срез 0.3кг 6шт_45с</v>
          </cell>
          <cell r="D147" t="str">
            <v>ШТ</v>
          </cell>
          <cell r="E147" t="str">
            <v>Колбасные изделия</v>
          </cell>
          <cell r="F147" t="str">
            <v>Ветчины</v>
          </cell>
          <cell r="G147" t="str">
            <v>Останкино</v>
          </cell>
          <cell r="H147" t="str">
            <v>ОМПК(С)</v>
          </cell>
          <cell r="I147" t="str">
            <v>ТУ 10.13.14-182-00425283-2026</v>
          </cell>
          <cell r="J147" t="str">
            <v>Мясной продукт из свинины вареный категории Б.</v>
          </cell>
          <cell r="K147"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47">
            <v>11</v>
          </cell>
          <cell r="M147">
            <v>13</v>
          </cell>
          <cell r="N147">
            <v>4</v>
          </cell>
          <cell r="O147" t="str">
            <v>177/736</v>
          </cell>
          <cell r="P147" t="str">
            <v>0…+6</v>
          </cell>
          <cell r="Q147">
            <v>45</v>
          </cell>
        </row>
        <row r="148">
          <cell r="B148">
            <v>1001092437354</v>
          </cell>
          <cell r="C148" t="str">
            <v>ВЕТЧ.МРАМОРНАЯ Коровино в/у 0.6кг_55с</v>
          </cell>
          <cell r="D148" t="str">
            <v>ШТ</v>
          </cell>
          <cell r="E148" t="str">
            <v>Колбасные изделия</v>
          </cell>
          <cell r="F148" t="str">
            <v>Ветчины</v>
          </cell>
          <cell r="G148" t="str">
            <v>Коровино</v>
          </cell>
          <cell r="H148" t="str">
            <v>ОМПК(С)
ОМПК(Г)</v>
          </cell>
          <cell r="I148" t="str">
            <v>ТУ 10.13.14-182-00425283-2026</v>
          </cell>
          <cell r="J148" t="str">
            <v>Мясной продукт из свинины вареный категории Б.</v>
          </cell>
          <cell r="K148"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48">
            <v>11</v>
          </cell>
          <cell r="M148">
            <v>13</v>
          </cell>
          <cell r="N148">
            <v>4</v>
          </cell>
          <cell r="O148" t="str">
            <v>177/736</v>
          </cell>
          <cell r="P148" t="str">
            <v>0…+6</v>
          </cell>
          <cell r="Q148">
            <v>55</v>
          </cell>
        </row>
        <row r="149">
          <cell r="B149">
            <v>1001093316411</v>
          </cell>
          <cell r="C149" t="str">
            <v>ВЕТЧ.РУБЛЕНАЯ ПМ в/у срез 0.3кг 6шт.</v>
          </cell>
          <cell r="D149" t="str">
            <v>ШТ</v>
          </cell>
          <cell r="E149" t="str">
            <v>Колбасные изделия</v>
          </cell>
          <cell r="F149" t="str">
            <v>Ветчины</v>
          </cell>
          <cell r="G149" t="str">
            <v>Папа может</v>
          </cell>
          <cell r="H149" t="str">
            <v>ОМПК(С)
ОМПК(Г)</v>
          </cell>
          <cell r="I149" t="str">
            <v>ТУ 10.13.14-182-00425283-2026</v>
          </cell>
          <cell r="J149" t="str">
            <v>Мясной продукт из свинины вареный категории Б.</v>
          </cell>
          <cell r="K149"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49">
            <v>11</v>
          </cell>
          <cell r="M149">
            <v>13</v>
          </cell>
          <cell r="N149">
            <v>4</v>
          </cell>
          <cell r="O149" t="str">
            <v>177/736</v>
          </cell>
          <cell r="P149" t="str">
            <v>0…+6</v>
          </cell>
          <cell r="Q149">
            <v>45</v>
          </cell>
        </row>
        <row r="150">
          <cell r="B150">
            <v>1001093316511</v>
          </cell>
          <cell r="C150" t="str">
            <v>Z-ВЕТЧ.РУБЛЕНАЯ ПМ в/у срез 0.3кг 6шт.</v>
          </cell>
          <cell r="D150" t="str">
            <v>ШТ</v>
          </cell>
          <cell r="E150" t="str">
            <v>Колбасные изделия</v>
          </cell>
          <cell r="F150" t="str">
            <v>Ветчины</v>
          </cell>
          <cell r="G150" t="str">
            <v>Папа может</v>
          </cell>
          <cell r="H150" t="str">
            <v>ОМПК(С)</v>
          </cell>
          <cell r="I150" t="str">
            <v>ТУ 10.13.14-182-00425283-2026</v>
          </cell>
          <cell r="J150" t="str">
            <v>Мясной продукт из свинины вареный категории Б.</v>
          </cell>
          <cell r="K150"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50">
            <v>11</v>
          </cell>
          <cell r="M150">
            <v>13</v>
          </cell>
          <cell r="N150">
            <v>4</v>
          </cell>
          <cell r="O150" t="str">
            <v>177/736</v>
          </cell>
          <cell r="P150" t="str">
            <v>0…+6</v>
          </cell>
          <cell r="Q150">
            <v>10</v>
          </cell>
        </row>
        <row r="151">
          <cell r="B151">
            <v>1001093317480</v>
          </cell>
          <cell r="C151" t="str">
            <v>ВЕТЧ.РУБЛЕНАЯ ПМ в/у срез 0.6кг_Kvalita</v>
          </cell>
          <cell r="D151" t="str">
            <v>ШТ</v>
          </cell>
          <cell r="E151" t="str">
            <v>Колбасные изделия</v>
          </cell>
          <cell r="F151" t="str">
            <v>Ветчины</v>
          </cell>
          <cell r="G151" t="str">
            <v>Папа может</v>
          </cell>
          <cell r="H151" t="str">
            <v>ОМПК(С)
ОМПК(Г)</v>
          </cell>
          <cell r="I151" t="str">
            <v>ТУ 10.13.14-182-00425283-2026</v>
          </cell>
          <cell r="J151" t="str">
            <v>Мясной продукт из свинины вареный категории Б.</v>
          </cell>
          <cell r="K151"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51">
            <v>11</v>
          </cell>
          <cell r="M151">
            <v>13</v>
          </cell>
          <cell r="N151">
            <v>4</v>
          </cell>
          <cell r="O151" t="str">
            <v>177/736</v>
          </cell>
          <cell r="P151" t="str">
            <v>0…+6</v>
          </cell>
          <cell r="Q151">
            <v>45</v>
          </cell>
        </row>
        <row r="152">
          <cell r="B152">
            <v>1001097707648</v>
          </cell>
          <cell r="C152" t="str">
            <v>ВЕТЧ. ИЗ ОКОРОКА с/н мгс 1/90 8шт_Л11</v>
          </cell>
          <cell r="D152" t="str">
            <v>ШТ</v>
          </cell>
          <cell r="E152" t="str">
            <v>Колбасные изделия</v>
          </cell>
          <cell r="F152" t="str">
            <v>Ветчины</v>
          </cell>
          <cell r="G152" t="str">
            <v>Останкино</v>
          </cell>
          <cell r="H152" t="str">
            <v xml:space="preserve">ОМПК(О)
</v>
          </cell>
          <cell r="I152" t="str">
            <v>ТУ 10.13.14-149-00425283-2018</v>
          </cell>
          <cell r="J152" t="str">
            <v>Мясной продукт. Продукт из мяса вареный.</v>
          </cell>
          <cell r="K152" t="str">
            <v>свинина, вода питьевая, крахмал картофельный, смесь посолочно-нитритная (соль, фиксатор окраски (нитрит натрия)), белок животный (говяжий), загустители (каррагинан из водорослей EUCHEUMA, ксантановая камедь), регуляторы кислотности (трифосфаты, цитраты натрия), пряности,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52">
            <v>15</v>
          </cell>
          <cell r="M152">
            <v>3</v>
          </cell>
          <cell r="N152">
            <v>3</v>
          </cell>
          <cell r="O152" t="str">
            <v>99/417</v>
          </cell>
          <cell r="P152" t="str">
            <v>0…+6</v>
          </cell>
          <cell r="Q152">
            <v>30</v>
          </cell>
        </row>
        <row r="153">
          <cell r="B153">
            <v>1001097747647</v>
          </cell>
          <cell r="C153" t="str">
            <v>ХОЧУ ВЕТЧ.ИЗ СВ.ОТРУБА с/н мгс 1/100_Л11</v>
          </cell>
          <cell r="D153" t="str">
            <v>ШТ</v>
          </cell>
          <cell r="E153" t="str">
            <v>Колбасные изделия</v>
          </cell>
          <cell r="F153" t="str">
            <v>Ветчины</v>
          </cell>
          <cell r="G153" t="str">
            <v>Папа может</v>
          </cell>
          <cell r="H153" t="str">
            <v xml:space="preserve">ОМПК(О)
</v>
          </cell>
          <cell r="I153" t="str">
            <v>ТУ 10.13.14-149-00425283-2018</v>
          </cell>
          <cell r="J153" t="str">
            <v>Мясной продукт. Продукт из мяса вареный.</v>
          </cell>
          <cell r="K153" t="str">
            <v>свинина, вода питьевая, крахмал картофельный, смесь посолочно-нитритная (соль, фиксатор окраски (нитрит натрия)), белок животный (говяжий), загустители (каррагинан из водорослей EUCHEUMA, ксантановая камедь), регуляторы кислотности (трифосфаты, цитраты натрия), пряности,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53">
            <v>15</v>
          </cell>
          <cell r="M153">
            <v>3</v>
          </cell>
          <cell r="N153">
            <v>3</v>
          </cell>
          <cell r="O153" t="str">
            <v>99/417</v>
          </cell>
          <cell r="P153" t="str">
            <v>0…+6</v>
          </cell>
          <cell r="Q153">
            <v>30</v>
          </cell>
        </row>
        <row r="154">
          <cell r="B154">
            <v>1001097717649</v>
          </cell>
          <cell r="C154" t="str">
            <v>ВЕТЧ. ДЛЯ РУЛЕТОВ с/н мгс 1/100 8шт_Л11</v>
          </cell>
          <cell r="D154" t="str">
            <v>ШТ</v>
          </cell>
          <cell r="E154" t="str">
            <v>Колбасные изделия</v>
          </cell>
          <cell r="F154" t="str">
            <v>Ветчины</v>
          </cell>
          <cell r="G154" t="str">
            <v>Останкино</v>
          </cell>
          <cell r="H154" t="str">
            <v xml:space="preserve">ОМПК(О)
</v>
          </cell>
          <cell r="I154" t="str">
            <v>ТУ 10.13.14-149-00425283-2018</v>
          </cell>
          <cell r="J154" t="str">
            <v>Мясной продукт. Продукт из мяса вареный.</v>
          </cell>
          <cell r="K154" t="str">
            <v>свинина, стабилизатор белковый (шкурка свиная, вода питьевая), мясо цыпленка-бройлера бескостное, крахмал картофельный, смесь посолочно-нитритная (соль, фиксатор окраски (нитрит натрия)), регуляторы кислотности (трифосфаты цитраты натрия), загустители (каррагинан из водорослей EUCHEUMA, ксантановая камедь), белок животный (говяжий), специи (в т.ч. горчица), сахара, антиокислитель (лимонная кислота), усилитель вкуса и аромата (глутамат натрия 1-замещенный), ароматизаторы, краситель (каротин)</v>
          </cell>
          <cell r="L154">
            <v>13</v>
          </cell>
          <cell r="M154">
            <v>14</v>
          </cell>
          <cell r="N154">
            <v>4</v>
          </cell>
          <cell r="O154" t="str">
            <v>194/807</v>
          </cell>
          <cell r="P154" t="str">
            <v>0…+6</v>
          </cell>
          <cell r="Q154">
            <v>30</v>
          </cell>
        </row>
        <row r="155">
          <cell r="B155">
            <v>1001097757650</v>
          </cell>
          <cell r="C155" t="str">
            <v>ХОЧУ ВЕТЧ. С ИНДЕЙКОЙ с/н мгс 1/100_Л11</v>
          </cell>
          <cell r="D155" t="str">
            <v>ШТ</v>
          </cell>
          <cell r="E155" t="str">
            <v>Колбасные изделия</v>
          </cell>
          <cell r="F155" t="str">
            <v>Ветчины</v>
          </cell>
          <cell r="G155" t="str">
            <v>Папа может</v>
          </cell>
          <cell r="H155" t="str">
            <v xml:space="preserve">ОМПК(О)
</v>
          </cell>
          <cell r="I155" t="str">
            <v>ТУ 10.13.14-171-00425283-2024</v>
          </cell>
          <cell r="J155" t="str">
            <v>Продукт из мяса кур вареный охлажденный.</v>
          </cell>
          <cell r="K155" t="str">
            <v>филе грудок куриных, филе бедра индейки, кожа куриная,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из водорослей EUCHEUMA, ксантановая камедь), белок животный (говяжий), мускатный орех, чеснок, перец душистый, перец черный, перец белый, сахара, антиокислители (аскорбиновая кислота, лимонная кислота), усилитель вкуса и аромата (глутамат натрия 1-замещенный), ароматизаторы, стартовая культура</v>
          </cell>
          <cell r="L155">
            <v>15</v>
          </cell>
          <cell r="M155">
            <v>7</v>
          </cell>
          <cell r="N155">
            <v>4</v>
          </cell>
          <cell r="O155" t="str">
            <v>139/582</v>
          </cell>
          <cell r="P155" t="str">
            <v>0…+6</v>
          </cell>
          <cell r="Q155">
            <v>30</v>
          </cell>
        </row>
        <row r="156">
          <cell r="B156">
            <v>1001097767651</v>
          </cell>
          <cell r="C156" t="str">
            <v>ХОЧУ ВЕТЧ. МРАМОР. ПМ с/н мгс 1/100_Л11</v>
          </cell>
          <cell r="D156" t="str">
            <v>ШТ</v>
          </cell>
          <cell r="E156" t="str">
            <v>Колбасные изделия</v>
          </cell>
          <cell r="F156" t="str">
            <v>Ветчины</v>
          </cell>
          <cell r="G156" t="str">
            <v>Папа может</v>
          </cell>
          <cell r="H156" t="str">
            <v xml:space="preserve">ОМПК(О)
</v>
          </cell>
          <cell r="I156" t="str">
            <v>ТУ 10.13.14-149-00425283-2018</v>
          </cell>
          <cell r="J156" t="str">
            <v>Мясной продукт. Продукт из мяса вареный.</v>
          </cell>
          <cell r="K156" t="str">
            <v>свинина, стабилизатор белковый (шкурка свиная, вода питьевая), мясо цыпленка-бройлера бескостное, крахмал картофельный, смесь посолочно-нитритная (соль, фиксатор окраски (нитрит натрия)), регуляторы кислотности (трифосфаты цитраты натрия), загустители (каррагинан из водорослей EUCHEUMA, ксантановая камедь), белок животный (говяжий), специи (в т.ч. горчица), сахара, антиокислитель (лимонная кислота), усилитель вкуса и аромата (глутамат натрия 1-замещенный), ароматизаторы, краситель (каротин)</v>
          </cell>
          <cell r="L156">
            <v>13</v>
          </cell>
          <cell r="M156">
            <v>14</v>
          </cell>
          <cell r="N156">
            <v>4</v>
          </cell>
          <cell r="O156" t="str">
            <v>194/807</v>
          </cell>
          <cell r="P156" t="str">
            <v>0…+6</v>
          </cell>
          <cell r="Q156">
            <v>30</v>
          </cell>
        </row>
        <row r="157">
          <cell r="B157">
            <v>1001097057444</v>
          </cell>
          <cell r="C157" t="str">
            <v>РУЛЕТ МРАМОРНЫЙ ASLAM п/о 0.5кг 8шт.</v>
          </cell>
          <cell r="D157" t="str">
            <v>ШТ</v>
          </cell>
          <cell r="E157" t="str">
            <v>Колбасные изделия</v>
          </cell>
          <cell r="F157" t="str">
            <v>Ветчины</v>
          </cell>
          <cell r="G157" t="str">
            <v>ASLAM</v>
          </cell>
          <cell r="H157" t="str">
            <v>ООО Казанские деликатесы</v>
          </cell>
          <cell r="I157" t="str">
            <v>ТУ 10.13.14-177-00425283-2025</v>
          </cell>
          <cell r="J157" t="str">
            <v>Продукт из мяса кур вареный охлажденный.</v>
          </cell>
          <cell r="K157" t="str">
            <v>филе бедра куриное, филе куриное, вода питьевая, стабилизатор белковый (кожа куриная,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из водорослей eucheuma, ксантановая камедь, конжак), соль, пряности, экстракты пряностей, сахара, антиокислители (аскорбат натрия, аскорбиновая кислота, лимонная кислота), усилитель вкуса и аромата (глутамат натрия), ароматизаторы, экстракт гардении красной</v>
          </cell>
          <cell r="L157">
            <v>12</v>
          </cell>
          <cell r="M157">
            <v>6</v>
          </cell>
          <cell r="N157">
            <v>5</v>
          </cell>
          <cell r="O157" t="str">
            <v>112/511</v>
          </cell>
          <cell r="P157" t="str">
            <v>0…+6</v>
          </cell>
          <cell r="Q157">
            <v>45</v>
          </cell>
        </row>
        <row r="158">
          <cell r="B158">
            <v>1001122287344</v>
          </cell>
          <cell r="C158" t="str">
            <v>КОНСЕРВЫ МЯС.ГОВЯДИНА ТУШ. В/С 338г_ЧЗ</v>
          </cell>
          <cell r="D158" t="str">
            <v>ШТ</v>
          </cell>
          <cell r="E158" t="str">
            <v>Колбасные изделия</v>
          </cell>
          <cell r="F158" t="str">
            <v>Консервы мясные</v>
          </cell>
          <cell r="G158" t="str">
            <v>Останкино</v>
          </cell>
          <cell r="H158" t="str">
            <v>Пионер</v>
          </cell>
          <cell r="I158" t="str">
            <v>ГОСТ 32125-2013</v>
          </cell>
          <cell r="J158" t="str">
            <v>Консервы мясные кусковые стерилизованные.</v>
          </cell>
          <cell r="K158" t="str">
            <v>говядина, жир, лук, соль, перец черный, лавровый лист. Массовая доля мяса не менее 58,0%</v>
          </cell>
          <cell r="L158">
            <v>15</v>
          </cell>
          <cell r="M158">
            <v>17</v>
          </cell>
          <cell r="O158" t="str">
            <v>213/892</v>
          </cell>
          <cell r="P158" t="str">
            <v>0…+20</v>
          </cell>
          <cell r="Q158" t="str">
            <v>3 года</v>
          </cell>
        </row>
        <row r="159">
          <cell r="B159">
            <v>1001123677345</v>
          </cell>
          <cell r="C159" t="str">
            <v>КОНСЕРВЫ МЯС.СВИНИНА ТУШ. В/С 325г_ЧЗ</v>
          </cell>
          <cell r="D159" t="str">
            <v>ШТ</v>
          </cell>
          <cell r="E159" t="str">
            <v>Колбасные изделия</v>
          </cell>
          <cell r="F159" t="str">
            <v>Консервы мясные</v>
          </cell>
          <cell r="G159" t="str">
            <v>Останкино</v>
          </cell>
          <cell r="H159" t="str">
            <v>Пионер</v>
          </cell>
          <cell r="I159" t="str">
            <v>ГОСТ 32125-2013</v>
          </cell>
          <cell r="J159" t="str">
            <v>Консервы мясные кусковые стерилизованные.</v>
          </cell>
          <cell r="K159" t="str">
            <v>свинина, лук, соль, перец черный, лист лавровый. Массовая доля мяса не менее 59,0%</v>
          </cell>
          <cell r="L159">
            <v>16</v>
          </cell>
          <cell r="M159">
            <v>18</v>
          </cell>
          <cell r="O159" t="str">
            <v>226/946</v>
          </cell>
          <cell r="P159" t="str">
            <v>0…+20</v>
          </cell>
          <cell r="Q159" t="str">
            <v>3 года</v>
          </cell>
        </row>
        <row r="160">
          <cell r="B160">
            <v>1001080238154</v>
          </cell>
          <cell r="C160" t="str">
            <v>БУЖЕНИНА ЗАПЕЧЕННАЯ кр/к в/у(п)</v>
          </cell>
          <cell r="D160" t="str">
            <v>КГ</v>
          </cell>
          <cell r="E160" t="str">
            <v>Колбасные изделия</v>
          </cell>
          <cell r="F160" t="str">
            <v>Копчености</v>
          </cell>
          <cell r="G160" t="str">
            <v>Останкино</v>
          </cell>
          <cell r="H160" t="str">
            <v>ОМПК(О)</v>
          </cell>
          <cell r="I160" t="str">
            <v>ГОСТ Р 55795-2013</v>
          </cell>
          <cell r="J160" t="str">
            <v>Запеченный мясной продукт из свинины категории Б.</v>
          </cell>
          <cell r="K160" t="str">
            <v>свинина, соль, перец красный, чеснок</v>
          </cell>
          <cell r="L160">
            <v>19</v>
          </cell>
          <cell r="M160">
            <v>30</v>
          </cell>
          <cell r="O160" t="str">
            <v>350/1470</v>
          </cell>
          <cell r="P160" t="str">
            <v>0…+6</v>
          </cell>
          <cell r="Q160">
            <v>10</v>
          </cell>
        </row>
        <row r="161">
          <cell r="B161">
            <v>1001080226843</v>
          </cell>
          <cell r="C161" t="str">
            <v>ДЫМОВИЦА ИЗ ЛОПАТКИ ПМ к/в кр/к в/у</v>
          </cell>
          <cell r="D161" t="str">
            <v>КГ</v>
          </cell>
          <cell r="E161" t="str">
            <v>Колбасные изделия</v>
          </cell>
          <cell r="F161" t="str">
            <v>Копчености</v>
          </cell>
          <cell r="G161" t="str">
            <v>Папа может</v>
          </cell>
          <cell r="H161" t="str">
            <v>ОМПК(О)</v>
          </cell>
          <cell r="I161" t="str">
            <v>ТУ 10.13.14-183-00425283-2026</v>
          </cell>
          <cell r="J161" t="str">
            <v>Мясной продукт из свинины копчено-вареный категории Б.</v>
          </cell>
          <cell r="K161" t="str">
            <v>лопатка свиная, вода питьевая, смесь посолочно-нитритная (соль, фиксатор окраски (нитрит натрия)), крахмал картофельный, белок животный (говяжий), регуляторы кислотности (трифосфаты, цитраты натрия), загустители (каррагинан, ксантановая камедь, модифицированный крахмал), перец черный, сахара, антиокислитель (аскорбиновая кислота), усилитель вкуса и аромата (глутамат натрия 1-замещенный), ароматизатор, краситель (кармины)</v>
          </cell>
          <cell r="L161">
            <v>15</v>
          </cell>
          <cell r="M161">
            <v>5</v>
          </cell>
          <cell r="N161">
            <v>4</v>
          </cell>
          <cell r="O161" t="str">
            <v>121/508</v>
          </cell>
          <cell r="P161" t="str">
            <v>0…+6</v>
          </cell>
          <cell r="Q161">
            <v>30</v>
          </cell>
        </row>
        <row r="162">
          <cell r="B162">
            <v>1001080226932</v>
          </cell>
          <cell r="C162" t="str">
            <v>ДЫМОВИЦА ИЗ ЛОПАТКИ ПМ к/в кр/к в/у_М</v>
          </cell>
          <cell r="D162" t="str">
            <v>КГ</v>
          </cell>
          <cell r="E162" t="str">
            <v>Колбасные изделия</v>
          </cell>
          <cell r="F162" t="str">
            <v>Копчености</v>
          </cell>
          <cell r="G162" t="str">
            <v>Папа может</v>
          </cell>
          <cell r="H162" t="str">
            <v>ОМПК(О)</v>
          </cell>
          <cell r="I162" t="str">
            <v>ТУ 10.13.14-183-00425283-2026</v>
          </cell>
          <cell r="J162" t="str">
            <v>Мясной продукт из свинины копчено-вареный категории Б.</v>
          </cell>
          <cell r="K162" t="str">
            <v>лопатка свиная, вода питьевая, смесь посолочно-нитритная (соль, фиксатор окраски (нитрит натрия)), крахмал картофельный, белок животный (говяжий), регуляторы кислотности (трифосфаты, цитраты натрия), загустители (каррагинан, ксантановая камедь, модифицированный крахмал), перец черный, сахара, антиокислитель (аскорбиновая кислота), усилитель вкуса и аромата (глутамат натрия 1-замещенный), ароматизатор, краситель (кармины)</v>
          </cell>
          <cell r="L162">
            <v>15</v>
          </cell>
          <cell r="M162">
            <v>5</v>
          </cell>
          <cell r="N162">
            <v>4</v>
          </cell>
          <cell r="O162" t="str">
            <v>121/508</v>
          </cell>
          <cell r="P162" t="str">
            <v>0…+6</v>
          </cell>
          <cell r="Q162">
            <v>30</v>
          </cell>
        </row>
        <row r="163">
          <cell r="B163">
            <v>1001085476933</v>
          </cell>
          <cell r="C163" t="str">
            <v>КАРБОНAД ДОМАШНИЙ ПМ к/в кр/к в/у_Глобус</v>
          </cell>
          <cell r="D163" t="str">
            <v>КГ</v>
          </cell>
          <cell r="E163" t="str">
            <v>Колбасные изделия</v>
          </cell>
          <cell r="F163" t="str">
            <v>Копчености</v>
          </cell>
          <cell r="G163" t="str">
            <v>Папа может</v>
          </cell>
          <cell r="H163" t="str">
            <v>ОМПК(О)</v>
          </cell>
          <cell r="I163" t="str">
            <v>ТУ 10.13.14-183-00425283-2026</v>
          </cell>
          <cell r="J163" t="str">
            <v>Мясной продукт из свинины копчено-вареный категории Б.</v>
          </cell>
          <cell r="K163" t="str">
            <v>карбонад свиной, вода питьевая, смесь посолочно-нитритная (соль, фиксатор окраски (нитрит натрия)), регуляторы кислотности (пирофосфаты, цитраты натрия), загустители (каррагинан, ксантановая камедь), белок животный (свиной), сахара, усилитель вкуса и аромата (глутамат натрия 1-замещенный), ароматизаторы, краситель (кармины)</v>
          </cell>
          <cell r="L163">
            <v>15</v>
          </cell>
          <cell r="M163">
            <v>6</v>
          </cell>
          <cell r="N163">
            <v>1</v>
          </cell>
          <cell r="O163" t="str">
            <v>118/494</v>
          </cell>
          <cell r="P163" t="str">
            <v>0…+6</v>
          </cell>
          <cell r="Q163">
            <v>45</v>
          </cell>
        </row>
        <row r="164">
          <cell r="B164">
            <v>1001085476929</v>
          </cell>
          <cell r="C164" t="str">
            <v>КАРБОНAД ДОМАШНИЙ ПМ к/в кр/к в/у</v>
          </cell>
          <cell r="D164" t="str">
            <v>КГ</v>
          </cell>
          <cell r="E164" t="str">
            <v>Колбасные изделия</v>
          </cell>
          <cell r="F164" t="str">
            <v>Копчености</v>
          </cell>
          <cell r="G164" t="str">
            <v>Папа может</v>
          </cell>
          <cell r="H164" t="str">
            <v>ОМПК(О)</v>
          </cell>
          <cell r="I164" t="str">
            <v>ТУ 10.13.14-183-00425283-2026</v>
          </cell>
          <cell r="J164" t="str">
            <v>Мясной продукт из свинины копчено-вареный категории Б.</v>
          </cell>
          <cell r="K164" t="str">
            <v>карбонад свиной, вода питьевая, смесь посолочно-нитритная (соль, фиксатор окраски (нитрит натрия)), регуляторы кислотности (пирофосфаты, цитраты натрия), загустители (каррагинан, ксантановая камедь), белок животный (свиной), сахара, усилитель вкуса и аромата (глутамат натрия 1-замещенный), ароматизаторы, краситель (кармины)</v>
          </cell>
          <cell r="L164">
            <v>15</v>
          </cell>
          <cell r="M164">
            <v>6</v>
          </cell>
          <cell r="N164">
            <v>1</v>
          </cell>
          <cell r="O164" t="str">
            <v>118/494</v>
          </cell>
          <cell r="P164" t="str">
            <v>0…+6</v>
          </cell>
          <cell r="Q164">
            <v>45</v>
          </cell>
        </row>
        <row r="165">
          <cell r="B165">
            <v>1001085476930</v>
          </cell>
          <cell r="C165" t="str">
            <v>КАРБОНAД ДОМАШНИЙ ПМ к/в кр/к в/у_СНГ</v>
          </cell>
          <cell r="D165" t="str">
            <v>КГ</v>
          </cell>
          <cell r="E165" t="str">
            <v>Колбасные изделия</v>
          </cell>
          <cell r="F165" t="str">
            <v>Копчености</v>
          </cell>
          <cell r="G165" t="str">
            <v>Папа может</v>
          </cell>
          <cell r="H165" t="str">
            <v>ОМПК(О)</v>
          </cell>
          <cell r="I165" t="str">
            <v>ТУ 10.13.14-183-00425283-2026</v>
          </cell>
          <cell r="J165" t="str">
            <v>Мясной продукт из свинины копчено-вареный категории Б.</v>
          </cell>
          <cell r="K165" t="str">
            <v>карбонад свиной, вода питьевая, смесь посолочно-нитритная (соль, фиксатор окраски (нитрит натрия)), регуляторы кислотности (пирофосфаты, цитраты натрия), загустители (каррагинан, ксантановая камедь), белок животный (свиной), сахара, усилитель вкуса и аромата (глутамат натрия 1-замещенный), ароматизаторы, краситель (кармины)</v>
          </cell>
          <cell r="L165">
            <v>15</v>
          </cell>
          <cell r="M165">
            <v>6</v>
          </cell>
          <cell r="N165">
            <v>1</v>
          </cell>
          <cell r="O165" t="str">
            <v>118/494</v>
          </cell>
          <cell r="P165" t="str">
            <v>0…+6</v>
          </cell>
          <cell r="Q165">
            <v>45</v>
          </cell>
        </row>
        <row r="166">
          <cell r="B166">
            <v>1001081596620</v>
          </cell>
          <cell r="C166" t="str">
            <v>РЕБРЫШКИ к/в в/у_30c</v>
          </cell>
          <cell r="D166" t="str">
            <v>КГ</v>
          </cell>
          <cell r="E166" t="str">
            <v>Колбасные изделия</v>
          </cell>
          <cell r="F166" t="str">
            <v>Копчености</v>
          </cell>
          <cell r="G166" t="str">
            <v>Папа может</v>
          </cell>
          <cell r="H166" t="str">
            <v>ОМПК(О)</v>
          </cell>
          <cell r="I166" t="str">
            <v>ТУ 10.13.14-183-00425283-2026</v>
          </cell>
          <cell r="J166" t="str">
            <v>Мясной продукт из свинины копчено-вареный.</v>
          </cell>
          <cell r="K166" t="str">
            <v>ребра свиные, вода питьевая, смесь посолочно-нитритная (соль, фиксатор окраски (нитрит натрия)), регуляторы кислотности (трифосфат, цитраты натрия), сахар</v>
          </cell>
          <cell r="L166">
            <v>17</v>
          </cell>
          <cell r="M166">
            <v>27</v>
          </cell>
          <cell r="N166">
            <v>1</v>
          </cell>
          <cell r="O166" t="str">
            <v>315/1305</v>
          </cell>
          <cell r="P166" t="str">
            <v>0…+6</v>
          </cell>
          <cell r="Q166">
            <v>30</v>
          </cell>
        </row>
        <row r="167">
          <cell r="B167">
            <v>1001084856189</v>
          </cell>
          <cell r="C167" t="str">
            <v>САЛО СОЛЕНОЕ С ЧЕРН.ПЕРЦ.мл/к в/у_Глобус</v>
          </cell>
          <cell r="D167" t="str">
            <v>КГ</v>
          </cell>
          <cell r="E167" t="str">
            <v>Колбасные изделия</v>
          </cell>
          <cell r="F167" t="str">
            <v>Копчености</v>
          </cell>
          <cell r="G167" t="str">
            <v>Папа может</v>
          </cell>
          <cell r="H167" t="str">
            <v>ОМПК(О)</v>
          </cell>
          <cell r="I167" t="str">
            <v>ТУ 10.13.15-158-00425283-2026</v>
          </cell>
          <cell r="J167" t="str">
            <v>Мясной продукт из шпика свиного соленый.</v>
          </cell>
          <cell r="K167" t="str">
            <v>грудинка свиная, вода питьевая, чеснок свежий, перец черный молотый, смесь посолочно-нитритная (соль, фиксатор окраски (нитрит натрия))</v>
          </cell>
          <cell r="L167">
            <v>12</v>
          </cell>
          <cell r="M167">
            <v>40</v>
          </cell>
          <cell r="N167">
            <v>1</v>
          </cell>
          <cell r="O167" t="str">
            <v>412/1701</v>
          </cell>
          <cell r="P167" t="str">
            <v>0…+6</v>
          </cell>
          <cell r="Q167">
            <v>40</v>
          </cell>
        </row>
        <row r="168">
          <cell r="B168">
            <v>1001084856008</v>
          </cell>
          <cell r="C168" t="str">
            <v>САЛО СОЛЕНОЕ С ЧЕРНЫМ ПЕРЦЕМ мл/к в/у</v>
          </cell>
          <cell r="D168" t="str">
            <v>КГ</v>
          </cell>
          <cell r="E168" t="str">
            <v>Колбасные изделия</v>
          </cell>
          <cell r="F168" t="str">
            <v>Копчености</v>
          </cell>
          <cell r="G168" t="str">
            <v>Папа может</v>
          </cell>
          <cell r="H168" t="str">
            <v>ОМПК(О)</v>
          </cell>
          <cell r="I168" t="str">
            <v>ТУ 10.13.15-158-00425283-2026</v>
          </cell>
          <cell r="J168" t="str">
            <v>Мясной продукт из шпика свиного соленый.</v>
          </cell>
          <cell r="K168" t="str">
            <v>грудинка свиная, вода питьевая, чеснок свежий, перец черный молотый, смесь посолочно-нитритная (соль, фиксатор окраски (нитрит натрия))</v>
          </cell>
          <cell r="L168">
            <v>12</v>
          </cell>
          <cell r="M168">
            <v>40</v>
          </cell>
          <cell r="N168">
            <v>1</v>
          </cell>
          <cell r="O168" t="str">
            <v>412/1701</v>
          </cell>
          <cell r="P168" t="str">
            <v>0…+6</v>
          </cell>
          <cell r="Q168">
            <v>40</v>
          </cell>
        </row>
        <row r="169">
          <cell r="B169">
            <v>1001454857510</v>
          </cell>
          <cell r="C169" t="str">
            <v>САЛО СОЛЕНОЕ С ЧЕРНЫМ ПЕРЦЕМ мл/к в/у_X5</v>
          </cell>
          <cell r="D169" t="str">
            <v>КГ</v>
          </cell>
          <cell r="E169" t="str">
            <v>Колбасные изделия</v>
          </cell>
          <cell r="F169" t="str">
            <v>Копчености</v>
          </cell>
          <cell r="G169" t="str">
            <v>Папа может</v>
          </cell>
          <cell r="H169" t="str">
            <v>ОМПК(О)</v>
          </cell>
          <cell r="I169" t="str">
            <v>ТУ 10.13.15-158-00425283-2026</v>
          </cell>
          <cell r="J169" t="str">
            <v>Мясной продукт из шпика свиного соленый.</v>
          </cell>
          <cell r="K169" t="str">
            <v>грудинка свиная, вода питьевая, чеснок свежий, перец черный молотый, смесь посолочно-нитритная (соль, фиксатор окраски (нитрит натрия))</v>
          </cell>
          <cell r="L169">
            <v>12</v>
          </cell>
          <cell r="M169">
            <v>40</v>
          </cell>
          <cell r="N169">
            <v>1</v>
          </cell>
          <cell r="O169" t="str">
            <v>412/1701</v>
          </cell>
          <cell r="P169" t="str">
            <v>0…+6</v>
          </cell>
          <cell r="Q169">
            <v>40</v>
          </cell>
        </row>
        <row r="170">
          <cell r="B170">
            <v>1001083426210</v>
          </cell>
          <cell r="C170" t="str">
            <v>ШЕЙКА КОПЧЕНАЯ ПМ к/в кр/к в/у_Ашан</v>
          </cell>
          <cell r="D170" t="str">
            <v>КГ</v>
          </cell>
          <cell r="E170" t="str">
            <v>Колбасные изделия</v>
          </cell>
          <cell r="F170" t="str">
            <v>Копчености</v>
          </cell>
          <cell r="G170" t="str">
            <v>Папа может</v>
          </cell>
          <cell r="H170" t="str">
            <v>ОМПК(О)</v>
          </cell>
          <cell r="I170" t="str">
            <v>ТУ 10.13.14-183-00425283-2026</v>
          </cell>
          <cell r="J170" t="str">
            <v>Мясной продукт из свинины копчено-вареный категории Б.</v>
          </cell>
          <cell r="K170" t="str">
            <v>шейка свиная, вода питьевая, смесь посолочно-нитритная (соль, фиксатор окраски (нитрит натрия)), стабилизаторы (пирофосфаты, цитраты натрия), белок животный (свиной), загустители (каррагинан, ксантановая камедь), сахара, антиокислитель (лимонная кислота), усилитель вкуса и аромата (глутамат натрия 1-замещенный), ароматизаторы, краситель (кармины)</v>
          </cell>
          <cell r="L170">
            <v>12</v>
          </cell>
          <cell r="M170">
            <v>10</v>
          </cell>
          <cell r="N170">
            <v>3</v>
          </cell>
          <cell r="O170" t="str">
            <v>150/625</v>
          </cell>
          <cell r="P170" t="str">
            <v>0…+6</v>
          </cell>
          <cell r="Q170">
            <v>45</v>
          </cell>
        </row>
        <row r="171">
          <cell r="B171">
            <v>1001083426211</v>
          </cell>
          <cell r="C171" t="str">
            <v>ШЕЙКА КОПЧЕНАЯ ПМ к/в кр/к в/у_М</v>
          </cell>
          <cell r="D171" t="str">
            <v>КГ</v>
          </cell>
          <cell r="E171" t="str">
            <v>Колбасные изделия</v>
          </cell>
          <cell r="F171" t="str">
            <v>Копчености</v>
          </cell>
          <cell r="G171" t="str">
            <v>Папа может</v>
          </cell>
          <cell r="H171" t="str">
            <v>ОМПК(О)</v>
          </cell>
          <cell r="I171" t="str">
            <v>ТУ 10.13.14-183-00425283-2026</v>
          </cell>
          <cell r="J171" t="str">
            <v>Мясной продукт из свинины копчено-вареный категории Б.</v>
          </cell>
          <cell r="K171" t="str">
            <v>шейка свиная, вода питьевая, смесь посолочно-нитритная (соль, фиксатор окраски (нитрит натрия)), стабилизаторы (пирофосфаты, цитраты натрия), белок животный (свиной), загустители (каррагинан, ксантановая камедь), сахара, антиокислитель (лимонная кислота), усилитель вкуса и аромата (глутамат натрия 1-замещенный), ароматизаторы, краситель (кармины)</v>
          </cell>
          <cell r="L171">
            <v>12</v>
          </cell>
          <cell r="M171">
            <v>10</v>
          </cell>
          <cell r="N171">
            <v>3</v>
          </cell>
          <cell r="O171" t="str">
            <v>150/625</v>
          </cell>
          <cell r="P171" t="str">
            <v>0…+6</v>
          </cell>
          <cell r="Q171">
            <v>45</v>
          </cell>
        </row>
        <row r="172">
          <cell r="B172">
            <v>1001083426235</v>
          </cell>
          <cell r="C172" t="str">
            <v>ШЕЙКА КОПЧЕНАЯ ПМ к/в кр/к в/у</v>
          </cell>
          <cell r="D172" t="str">
            <v>КГ</v>
          </cell>
          <cell r="E172" t="str">
            <v>Колбасные изделия</v>
          </cell>
          <cell r="F172" t="str">
            <v>Копчености</v>
          </cell>
          <cell r="G172" t="str">
            <v>Папа может</v>
          </cell>
          <cell r="H172" t="str">
            <v>ОМПК(О)</v>
          </cell>
          <cell r="I172" t="str">
            <v>ТУ 10.13.14-183-00425283-2026</v>
          </cell>
          <cell r="J172" t="str">
            <v>Мясной продукт из свинины копчено-вареный категории Б.</v>
          </cell>
          <cell r="K172" t="str">
            <v>шейка свиная, вода питьевая, смесь посолочно-нитритная (соль, фиксатор окраски (нитрит натрия)), стабилизаторы (пирофосфаты, цитраты натрия), белок животный (свиной), загустители (каррагинан, ксантановая камедь), сахара, антиокислитель (лимонная кислота), усилитель вкуса и аромата (глутамат натрия 1-замещенный), ароматизаторы, краситель (кармины)</v>
          </cell>
          <cell r="L172">
            <v>12</v>
          </cell>
          <cell r="M172">
            <v>10</v>
          </cell>
          <cell r="N172">
            <v>3</v>
          </cell>
          <cell r="O172" t="str">
            <v>150/625</v>
          </cell>
          <cell r="P172" t="str">
            <v>0…+6</v>
          </cell>
          <cell r="Q172">
            <v>45</v>
          </cell>
        </row>
        <row r="173">
          <cell r="B173">
            <v>1001085206945</v>
          </cell>
          <cell r="C173" t="str">
            <v>Z-БАЛЫК с/в в/у (для нарезки)</v>
          </cell>
          <cell r="D173" t="str">
            <v>КГ</v>
          </cell>
          <cell r="E173" t="str">
            <v>Колбасные изделия</v>
          </cell>
          <cell r="F173" t="str">
            <v>Копчености</v>
          </cell>
          <cell r="G173" t="str">
            <v>Останкино</v>
          </cell>
          <cell r="H173" t="str">
            <v>ОМПК(Г)</v>
          </cell>
          <cell r="I173" t="str">
            <v>ТУ 10.13.14-165-00425283-2023</v>
          </cell>
          <cell r="J173" t="str">
            <v>Мясной продукт. Продукт из свинины сыровяленый категории А.</v>
          </cell>
          <cell r="K173" t="str">
            <v>карбонад свиной, смесь посолочно-нитритная (соль, фиксатор окраски (нитрит натрия)), регуляторы кислотности (глюконо-дельта-лактон, цитраты натрия), перец черный, сельдерей, лук репчатый, сахара, антиокислитель (аскорбиновая кислота), усилитель вкуса и аромата (глутамат натрия 1-замещенный), ароматизатор</v>
          </cell>
          <cell r="L173">
            <v>25</v>
          </cell>
          <cell r="M173">
            <v>3</v>
          </cell>
          <cell r="N173">
            <v>1</v>
          </cell>
          <cell r="O173" t="str">
            <v>131/553</v>
          </cell>
          <cell r="P173" t="str">
            <v>0…+6</v>
          </cell>
          <cell r="Q173">
            <v>50</v>
          </cell>
        </row>
        <row r="174">
          <cell r="B174">
            <v>1001457507598</v>
          </cell>
          <cell r="C174" t="str">
            <v>Z-КАРПАЧЧО ИЗ КУРИЦЫ с/к в/у гр/уп</v>
          </cell>
          <cell r="D174" t="str">
            <v>КГ</v>
          </cell>
          <cell r="E174" t="str">
            <v>Колбасные изделия</v>
          </cell>
          <cell r="F174" t="str">
            <v>Копчености</v>
          </cell>
          <cell r="G174" t="str">
            <v>Останкино</v>
          </cell>
          <cell r="H174" t="str">
            <v>ОМПК(Г)</v>
          </cell>
          <cell r="I174" t="str">
            <v>ТУ 10.13.15-159-00425283-2022</v>
          </cell>
          <cell r="J174" t="str">
            <v>Продукт из мяса кур сырокопченый охлажденный.</v>
          </cell>
          <cell r="K174" t="str">
            <v>филе грудок куриных, смесь посолочно-нитритная (соль, фиксатор окраски (нитрит натрия)), регуляторы кислотности (пирофосфаты, цитраты натрия), белок молочный, сельдерей, лук репчатый, сахара, антиокислитель (аскорбиновая кислота), усилитель вкуса и аромата (глутамат натрия 1-замещенный), ароматизаторы</v>
          </cell>
          <cell r="L174">
            <v>25</v>
          </cell>
          <cell r="M174">
            <v>4</v>
          </cell>
          <cell r="N174">
            <v>1</v>
          </cell>
          <cell r="O174" t="str">
            <v>140/590</v>
          </cell>
          <cell r="P174" t="str">
            <v>0…+6</v>
          </cell>
          <cell r="Q174">
            <v>7</v>
          </cell>
        </row>
        <row r="175">
          <cell r="B175">
            <v>1001081736944</v>
          </cell>
          <cell r="C175" t="str">
            <v>Z-ШЕЙКА с/в в/у (для нарезки)</v>
          </cell>
          <cell r="D175" t="str">
            <v>КГ</v>
          </cell>
          <cell r="E175" t="str">
            <v>Колбасные изделия</v>
          </cell>
          <cell r="F175" t="str">
            <v>Копчености</v>
          </cell>
          <cell r="G175" t="str">
            <v>Останкино</v>
          </cell>
          <cell r="H175" t="str">
            <v>ОМПК(Г)</v>
          </cell>
          <cell r="I175" t="str">
            <v>ТУ 10.13.14-165-00425283-2023</v>
          </cell>
          <cell r="J175" t="str">
            <v>Мясной продукт. Продукт из свинины сыровяленый категории А.</v>
          </cell>
          <cell r="K175" t="str">
            <v>шейка свиная, смесь посолочно-нитритная (соль, фиксатор окраски (нитрит натрия)), регуляторы кислотности (глюконо-дельта-лактон, цитраты натрия), перец черный, сельдерей, лук репчатый, сахара, антиокислители (аскорбиновая кислота, лимонная кислота), усилитель вкуса и аромата (глутамат натрия 1-замещенный), ароматизатор</v>
          </cell>
          <cell r="L175">
            <v>18</v>
          </cell>
          <cell r="M175">
            <v>17</v>
          </cell>
          <cell r="N175">
            <v>2</v>
          </cell>
          <cell r="O175" t="str">
            <v>233/969</v>
          </cell>
          <cell r="P175" t="str">
            <v>0…+6</v>
          </cell>
          <cell r="Q175">
            <v>50</v>
          </cell>
        </row>
        <row r="176">
          <cell r="B176">
            <v>1001453907495</v>
          </cell>
          <cell r="C176" t="str">
            <v>БАЛЫК Останкино с/к кр/к в/у</v>
          </cell>
          <cell r="D176" t="str">
            <v>КГ</v>
          </cell>
          <cell r="E176" t="str">
            <v>Колбасные изделия</v>
          </cell>
          <cell r="F176" t="str">
            <v>Копчености</v>
          </cell>
          <cell r="G176" t="str">
            <v>Останкино</v>
          </cell>
          <cell r="H176" t="str">
            <v>ОМПК(О)</v>
          </cell>
          <cell r="I176" t="str">
            <v>ТУ 10.13.14-184-00425283-2026</v>
          </cell>
          <cell r="J176" t="str">
            <v>Мясной продукт из свинины сырокопченый категории А.</v>
          </cell>
          <cell r="K176" t="str">
            <v>карбонад свиной, смесь посолочно-нитритная (соль, фиксатор окраски (нитрит натрия)), перец черный, чеснок, регуляторы кислотности (пирофосфаты, трифосфаты, цитраты натрия), сахара, антиокислитель (аскорбат натрия), усилитель вкуса и аромата (глутамат натрия 1-замещенный), ароматизатор</v>
          </cell>
          <cell r="L176">
            <v>21</v>
          </cell>
          <cell r="M176">
            <v>4</v>
          </cell>
          <cell r="N176">
            <v>1</v>
          </cell>
          <cell r="O176" t="str">
            <v>124/522</v>
          </cell>
          <cell r="P176" t="str">
            <v>0…+6</v>
          </cell>
          <cell r="Q176">
            <v>60</v>
          </cell>
        </row>
        <row r="177">
          <cell r="B177">
            <v>1001083907188</v>
          </cell>
          <cell r="C177" t="str">
            <v>БАЛЫК Останкино с/к мл/к в/у 0.25кг</v>
          </cell>
          <cell r="D177" t="str">
            <v>ШТ</v>
          </cell>
          <cell r="E177" t="str">
            <v>Колбасные изделия</v>
          </cell>
          <cell r="F177" t="str">
            <v>Копчености</v>
          </cell>
          <cell r="G177" t="str">
            <v>Останкино</v>
          </cell>
          <cell r="H177" t="str">
            <v>ОМПК(О)</v>
          </cell>
          <cell r="I177" t="str">
            <v>ТУ 10.13.14-184-00425283-2026</v>
          </cell>
          <cell r="J177" t="str">
            <v>Мясной продукт из свинины сырокопченый категории А.</v>
          </cell>
          <cell r="K177" t="str">
            <v>карбонад свиной, смесь посолочно-нитритная (соль, фиксатор окраски (нитрит натрия)), перец черный, чеснок, регуляторы кислотности (пирофосфаты, трифосфаты, цитраты натрия), сахара, антиокислитель (аскорбат натрия), усилитель вкуса и аромата (глутамат натрия 1-замещенный), ароматизатор</v>
          </cell>
          <cell r="L177">
            <v>21</v>
          </cell>
          <cell r="M177">
            <v>4</v>
          </cell>
          <cell r="N177">
            <v>1</v>
          </cell>
          <cell r="O177" t="str">
            <v>124/522</v>
          </cell>
          <cell r="P177" t="str">
            <v>0…+6</v>
          </cell>
          <cell r="Q177">
            <v>60</v>
          </cell>
        </row>
        <row r="178">
          <cell r="B178">
            <v>1001456957380</v>
          </cell>
          <cell r="C178" t="str">
            <v>БУЖЕНИНА КЛАССИК к/з мл/к в/у 0.25кг</v>
          </cell>
          <cell r="D178" t="str">
            <v>ШТ</v>
          </cell>
          <cell r="E178" t="str">
            <v>Колбасные изделия</v>
          </cell>
          <cell r="F178" t="str">
            <v>Копчености</v>
          </cell>
          <cell r="G178" t="str">
            <v>Останкино</v>
          </cell>
          <cell r="H178" t="str">
            <v>ОМПК(О)</v>
          </cell>
          <cell r="I178" t="str">
            <v>ТУ 10.13.14-183-00425283-2026</v>
          </cell>
          <cell r="J178" t="str">
            <v>Мясной продукт из свинины запеченный категории Б.</v>
          </cell>
          <cell r="K178" t="str">
            <v>окорок свиной, вода питьевая, соль, белок животный (свиной), регуляторы кислотности (трифосфаты, цитраты натрия), чеснок сушеный молотый, сахара, антиокислители (аскорбиновая кислота, лимонная кислота), усилитель вкуса и аромата (глутамат натрия 1-замещенный), ароматизатор</v>
          </cell>
          <cell r="L178">
            <v>18</v>
          </cell>
          <cell r="M178">
            <v>13</v>
          </cell>
          <cell r="N178">
            <v>1</v>
          </cell>
          <cell r="O178" t="str">
            <v>193/804</v>
          </cell>
          <cell r="P178" t="str">
            <v>0…+6</v>
          </cell>
          <cell r="Q178">
            <v>30</v>
          </cell>
        </row>
        <row r="179">
          <cell r="B179">
            <v>1001084267094</v>
          </cell>
          <cell r="C179" t="str">
            <v>ГРУДИНКА ОХОТН. к/в мл/к в/у 0.3кг_50с</v>
          </cell>
          <cell r="D179" t="str">
            <v>ШТ</v>
          </cell>
          <cell r="E179" t="str">
            <v>Колбасные изделия</v>
          </cell>
          <cell r="F179" t="str">
            <v>Копчености</v>
          </cell>
          <cell r="G179" t="str">
            <v>Папа может</v>
          </cell>
          <cell r="H179" t="str">
            <v>ОМПК(О)</v>
          </cell>
          <cell r="I179" t="str">
            <v>ТУ 10.13.14-183-00425283-2026</v>
          </cell>
          <cell r="J179" t="str">
            <v>Мясной продукт из свинины копчено-вареный.</v>
          </cell>
          <cell r="K179" t="str">
            <v>свинина, вода питьевая, стабилизатор белковый (шкурка свиная, вода питьевая), смесь посолочно-нитритная (соль, фиксатор окраски (нитрит натрия)), крахмал картофельный, регуляторы кислотности (пирофосфаты, трифосфаты, цитраты натрия), белок животный (говяжий), загустители (каррагинан, ксантановая камедь, модифицированный крахмал), горчица, чеснок сушеный молотый, сахара, антиокислитель (аскорбиновая кислота), усилитель вкуса и аромата (глутамат натрия 1-замещенный), ароматизаторы, краситель (кармины)</v>
          </cell>
          <cell r="L179">
            <v>14</v>
          </cell>
          <cell r="M179">
            <v>25</v>
          </cell>
          <cell r="N179">
            <v>4</v>
          </cell>
          <cell r="O179" t="str">
            <v>297/1231</v>
          </cell>
          <cell r="P179" t="str">
            <v>0…+6</v>
          </cell>
          <cell r="Q179">
            <v>50</v>
          </cell>
        </row>
        <row r="180">
          <cell r="B180">
            <v>1001085637187</v>
          </cell>
          <cell r="C180" t="str">
            <v>ГРУДИНКА ПРЕМИУМ к/в мл/к в/у 0.3кг_50с</v>
          </cell>
          <cell r="D180" t="str">
            <v>ШТ</v>
          </cell>
          <cell r="E180" t="str">
            <v>Колбасные изделия</v>
          </cell>
          <cell r="F180" t="str">
            <v>Копчености</v>
          </cell>
          <cell r="G180" t="str">
            <v>Останкино</v>
          </cell>
          <cell r="H180" t="str">
            <v>ОМПК(О)</v>
          </cell>
          <cell r="I180" t="str">
            <v>ТУ 10.13.14-183-00425283-2026</v>
          </cell>
          <cell r="J180" t="str">
            <v>Мясной продукт из свинины копчено-вареный.</v>
          </cell>
          <cell r="K180" t="str">
            <v>грудинка свиная, вода питьевая, стабилизатор белковый (шкурка свиная, вода питьевая), смесь посолочно-нитритная (соль, фиксатор окраски (нитрит натрия)), белок животный (говяжий), горчица, чеснок сушеный молотый, крахмал картофельный, регуляторы кислотности (пирофосфаты, трифосфаты, цитраты натрия), загустители (каррагинан, ксантановая камедь, модифицированный крахмал), сахара, антиокислитель (аскорбиновая кислота), усилитель вкуса и аромата (глутамат натрия 1-замещенный), ароматизаторы, краситель (кармины)</v>
          </cell>
          <cell r="L180">
            <v>14</v>
          </cell>
          <cell r="M180">
            <v>25</v>
          </cell>
          <cell r="N180">
            <v>4</v>
          </cell>
          <cell r="O180" t="str">
            <v>297/1231</v>
          </cell>
          <cell r="P180" t="str">
            <v>0…+6</v>
          </cell>
          <cell r="Q180">
            <v>50</v>
          </cell>
        </row>
        <row r="181">
          <cell r="B181">
            <v>1001455637483</v>
          </cell>
          <cell r="C181" t="str">
            <v>ГРУДИНКА ПРЕМИУМ к/в мл/к в/у</v>
          </cell>
          <cell r="D181" t="str">
            <v>КГ</v>
          </cell>
          <cell r="E181" t="str">
            <v>Колбасные изделия</v>
          </cell>
          <cell r="F181" t="str">
            <v>Копчености</v>
          </cell>
          <cell r="G181" t="str">
            <v>Останкино</v>
          </cell>
          <cell r="H181" t="str">
            <v>ОМПК(О)</v>
          </cell>
          <cell r="I181" t="str">
            <v>ТУ 10.13.14-183-00425283-2026</v>
          </cell>
          <cell r="J181" t="str">
            <v>Мясной продукт из свинины копчено-вареный.</v>
          </cell>
          <cell r="K181" t="str">
            <v>грудинка свиная, вода питьевая, стабилизатор белковый (шкурка свиная, вода питьевая), смесь посолочно-нитритная (соль, фиксатор окраски (нитрит натрия)), белок животный (говяжий), горчица, чеснок сушеный молотый, крахмал картофельный, регуляторы кислотности (пирофосфаты, трифосфаты, цитраты натрия), загустители (каррагинан, ксантановая камедь, модифицированный крахмал), сахара, антиокислитель (аскорбиновая кислота), усилитель вкуса и аромата (глутамат натрия 1-замещенный), ароматизаторы, краситель (кармины)</v>
          </cell>
          <cell r="L181">
            <v>14</v>
          </cell>
          <cell r="M181">
            <v>25</v>
          </cell>
          <cell r="N181">
            <v>4</v>
          </cell>
          <cell r="O181" t="str">
            <v>297/1231</v>
          </cell>
          <cell r="P181" t="str">
            <v>0…+6</v>
          </cell>
          <cell r="Q181">
            <v>50</v>
          </cell>
        </row>
        <row r="182">
          <cell r="B182">
            <v>1001085956711</v>
          </cell>
          <cell r="C182" t="str">
            <v>ГРУДИНКА ФИРМЕННАЯ ПМ к/в мл/к 0.3кг</v>
          </cell>
          <cell r="D182" t="str">
            <v>ШТ</v>
          </cell>
          <cell r="E182" t="str">
            <v>Колбасные изделия</v>
          </cell>
          <cell r="F182" t="str">
            <v>Копчености</v>
          </cell>
          <cell r="G182" t="str">
            <v>Папа может</v>
          </cell>
          <cell r="H182" t="str">
            <v>ОМПК(О)</v>
          </cell>
          <cell r="I182" t="str">
            <v>ТУ 10.13.14-183-00425283-2026</v>
          </cell>
          <cell r="J182" t="str">
            <v>Мясной продукт из свинины копчено-вареный.</v>
          </cell>
          <cell r="K182" t="str">
            <v>свинина, вода питьевая, стабилизатор белковый (шкурка свиная, вода питьевая), смесь посолочно-нитритная (соль, фиксатор окраски (нитрит натрия)), крахмал картофельный, регуляторы кислотности (пирофосфаты, трифосфаты, цитраты натрия), белок животный (говяжий), загустители (каррагинан, ксантановая камедь, модифицированный крахмал), горчица, чеснок сушеный молотый, сахара, антиокислитель (аскорбиновая кислота), усилитель вкуса и аромата (глутамат натрия 1-замещенный), ароматизаторы, краситель (кармины)</v>
          </cell>
          <cell r="L182">
            <v>14</v>
          </cell>
          <cell r="M182">
            <v>25</v>
          </cell>
          <cell r="N182">
            <v>4</v>
          </cell>
          <cell r="O182" t="str">
            <v>297/1231</v>
          </cell>
          <cell r="P182" t="str">
            <v>0…+6</v>
          </cell>
          <cell r="Q182">
            <v>45</v>
          </cell>
        </row>
        <row r="183">
          <cell r="B183">
            <v>1001080216842</v>
          </cell>
          <cell r="C183" t="str">
            <v>ДЫМОВИЦА ИЗ ОКОРОКА к/в мл/к в/у 0.3кг</v>
          </cell>
          <cell r="D183" t="str">
            <v>ШТ</v>
          </cell>
          <cell r="E183" t="str">
            <v>Колбасные изделия</v>
          </cell>
          <cell r="F183" t="str">
            <v>Копчености</v>
          </cell>
          <cell r="G183" t="str">
            <v>Папа может</v>
          </cell>
          <cell r="H183" t="str">
            <v>ОМПК(О)</v>
          </cell>
          <cell r="I183" t="str">
            <v>ТУ 10.13.14-183-00425283-2026</v>
          </cell>
          <cell r="J183" t="str">
            <v>Мясной продукт из свинины копчено-вареный категории Б.</v>
          </cell>
          <cell r="K183" t="str">
            <v>окорок свиной, вода питьевая, стабилизатор белковый (шкурка свиная, вода питьевая), загустители (каррагинан, ксантановая камедь, модифицированный крахмал), смесь посолочно-нитритная (соль, фиксатор окраски (нитрит натрия)), белок соевый, регуляторы кислотности (трифосфаты, пирофосфаты, цитраты натрия), волокна пищевые (в т.ч. пшеничные), белок животный (говяжий), сахара, антиокислители (аскорбиновая кислота, лимонная кислота), горчица, усилитель вкуса и аромата (глутамат натрия 1-замещенный), ароматизаторы, краситель (кармины)</v>
          </cell>
          <cell r="L183">
            <v>14</v>
          </cell>
          <cell r="M183">
            <v>4</v>
          </cell>
          <cell r="N183">
            <v>4</v>
          </cell>
          <cell r="O183" t="str">
            <v>108/454</v>
          </cell>
          <cell r="P183" t="str">
            <v>0…+6</v>
          </cell>
          <cell r="Q183">
            <v>30</v>
          </cell>
        </row>
        <row r="184">
          <cell r="B184">
            <v>1001085476928</v>
          </cell>
          <cell r="C184" t="str">
            <v>КАРБОНАД ДОМАШНИЙ ПМ к/в мл/к в/у 0.3кг</v>
          </cell>
          <cell r="D184" t="str">
            <v>ШТ</v>
          </cell>
          <cell r="E184" t="str">
            <v>Колбасные изделия</v>
          </cell>
          <cell r="F184" t="str">
            <v>Копчености</v>
          </cell>
          <cell r="G184" t="str">
            <v>Папа может</v>
          </cell>
          <cell r="H184" t="str">
            <v>ОМПК(О)</v>
          </cell>
          <cell r="I184" t="str">
            <v>ТУ 10.13.14-183-00425283-2026</v>
          </cell>
          <cell r="J184" t="str">
            <v>Мясной продукт из свинины копчено-вареный категории Б.</v>
          </cell>
          <cell r="K184" t="str">
            <v>карбонад свиной, вода питьевая, смесь посолочно-нитритная (соль, фиксатор окраски (нитрит натрия)), регуляторы кислотности (пирофосфаты, цитраты натрия), загустители (каррагинан, ксантановая камедь), белок животный (свиной), сахара, усилитель вкуса и аромата (глутамат натрия 1-замещенный), ароматизаторы, краситель (кармины)</v>
          </cell>
          <cell r="L184">
            <v>15</v>
          </cell>
          <cell r="M184">
            <v>6</v>
          </cell>
          <cell r="N184">
            <v>1</v>
          </cell>
          <cell r="O184" t="str">
            <v>118/494</v>
          </cell>
          <cell r="P184" t="str">
            <v>0…+6</v>
          </cell>
          <cell r="Q184">
            <v>45</v>
          </cell>
        </row>
        <row r="185">
          <cell r="B185">
            <v>1001085966961</v>
          </cell>
          <cell r="C185" t="str">
            <v>КОРЕЙКА ПО-ДОМАШНЕМУ к/в мл/к в/у 0.3кг</v>
          </cell>
          <cell r="D185" t="str">
            <v>ШТ</v>
          </cell>
          <cell r="E185" t="str">
            <v>Колбасные изделия</v>
          </cell>
          <cell r="F185" t="str">
            <v>Копчености</v>
          </cell>
          <cell r="G185" t="str">
            <v>Папа может</v>
          </cell>
          <cell r="H185" t="str">
            <v>ОМПК(О)</v>
          </cell>
          <cell r="I185" t="str">
            <v>ТУ 10.13.14-183-00425283-2026</v>
          </cell>
          <cell r="J185" t="str">
            <v>Мясной продукт из свинины копчено-вареный категории Б.</v>
          </cell>
          <cell r="K185" t="str">
            <v>корейка свиная, вода питьевая, смесь посолочно-нитритная (соль, фиксатор окраски (нитрит натрия)), регуляторы кислотности (пирофосфаты, трифосфаты, цитраты натрия), белок животный (свиной), белок молочный, антиокислитель (аскорбат натрия), ароматизатор</v>
          </cell>
          <cell r="L185">
            <v>18</v>
          </cell>
          <cell r="M185">
            <v>6</v>
          </cell>
          <cell r="N185">
            <v>1</v>
          </cell>
          <cell r="O185" t="str">
            <v>130/545</v>
          </cell>
          <cell r="P185" t="str">
            <v>0…+6</v>
          </cell>
          <cell r="Q185">
            <v>45</v>
          </cell>
        </row>
        <row r="186">
          <cell r="B186">
            <v>1001455967623</v>
          </cell>
          <cell r="C186" t="str">
            <v>КОРЕЙКА ПО-ДОМАШНЕМУ к/в мл/к в/у</v>
          </cell>
          <cell r="D186" t="str">
            <v>КГ</v>
          </cell>
          <cell r="E186" t="str">
            <v>Колбасные изделия</v>
          </cell>
          <cell r="F186" t="str">
            <v>Копчености</v>
          </cell>
          <cell r="G186" t="str">
            <v>Папа может</v>
          </cell>
          <cell r="H186" t="str">
            <v>ОМПК(О)</v>
          </cell>
          <cell r="I186" t="str">
            <v>ТУ 10.13.14-183-00425283-2026</v>
          </cell>
          <cell r="J186" t="str">
            <v>Мясной продукт из свинины копчено-вареный категории Б.</v>
          </cell>
          <cell r="K186" t="str">
            <v>корейка свиная, вода питьевая, смесь посолочно-нитритная (соль, фиксатор окраски (нитрит натрия)), регуляторы кислотности (пирофосфаты, трифосфаты, цитраты натрия), белок животный (свиной), белок молочный, антиокислитель (аскорбат натрия), ароматизатор</v>
          </cell>
          <cell r="L186">
            <v>18</v>
          </cell>
          <cell r="M186">
            <v>6</v>
          </cell>
          <cell r="N186">
            <v>1</v>
          </cell>
          <cell r="O186" t="str">
            <v>130/545</v>
          </cell>
          <cell r="P186" t="str">
            <v>0…+6</v>
          </cell>
          <cell r="Q186">
            <v>45</v>
          </cell>
        </row>
        <row r="187">
          <cell r="B187">
            <v>1001085756881</v>
          </cell>
          <cell r="C187" t="str">
            <v>КОРЕЙКА ФИРМЕННАЯ ПМ к/в мл/к в/у 0.3кг</v>
          </cell>
          <cell r="D187" t="str">
            <v>ШТ</v>
          </cell>
          <cell r="E187" t="str">
            <v>Колбасные изделия</v>
          </cell>
          <cell r="F187" t="str">
            <v>Копчености</v>
          </cell>
          <cell r="G187" t="str">
            <v>Папа может</v>
          </cell>
          <cell r="H187" t="str">
            <v>ОМПК(О)</v>
          </cell>
          <cell r="I187" t="str">
            <v>ТУ 10.13.14-183-00425283-2026</v>
          </cell>
          <cell r="J187" t="str">
            <v>Мясной продукт из свинины копчено-вареный категории Б.</v>
          </cell>
          <cell r="K187" t="str">
            <v>свинина, вода питьевая, смесь посолочно-нитритная (соль, фиксатор окраски (нитрит натрия)), регуляторы кислотности (пирофосфаты, трифосфаты, цитраты натрия), белок животный (свиной), белок молочный, антиокислитель (аскорбат натрия), ароматизатор</v>
          </cell>
          <cell r="L187">
            <v>18</v>
          </cell>
          <cell r="M187">
            <v>6</v>
          </cell>
          <cell r="N187">
            <v>1</v>
          </cell>
          <cell r="O187" t="str">
            <v>130/545</v>
          </cell>
          <cell r="P187" t="str">
            <v>0…+6</v>
          </cell>
          <cell r="Q187">
            <v>45</v>
          </cell>
        </row>
        <row r="188">
          <cell r="B188">
            <v>1001083444819</v>
          </cell>
          <cell r="C188" t="str">
            <v>ОКОРОК КОПЧЕНЫЙ к/в мл/к в/у 300*6</v>
          </cell>
          <cell r="D188" t="str">
            <v>ШТ</v>
          </cell>
          <cell r="E188" t="str">
            <v>Колбасные изделия</v>
          </cell>
          <cell r="F188" t="str">
            <v>Копчености</v>
          </cell>
          <cell r="G188" t="str">
            <v>Папа может</v>
          </cell>
          <cell r="H188" t="str">
            <v>ОМПК(О)</v>
          </cell>
          <cell r="I188" t="str">
            <v>ТУ 10.13.14-183-00425283-2026</v>
          </cell>
          <cell r="J188" t="str">
            <v>Мясной продукт из свинины копчено-вареный категории Б.</v>
          </cell>
          <cell r="K188" t="str">
            <v>окорок свиной, вода питьевая, смесь посолочно-нитритная (соль, фиксатор окраски (нитрит натрия)), загустители (каррагинан, ксантановая камедь, модифицированный крахмал), белок соевый, регуляторы кислотности (пирофосфаты, трифосфаты, цитраты натрия), волокна пищевые (в т.ч. пшеничные), белок животный (говяжий), сахара, усилитель вкуса и аромата (глутамат натрия 1-замещенный), ароматизаторы, краситель (кармины)</v>
          </cell>
          <cell r="L188">
            <v>14</v>
          </cell>
          <cell r="M188">
            <v>4</v>
          </cell>
          <cell r="N188">
            <v>3</v>
          </cell>
          <cell r="O188" t="str">
            <v>104/437</v>
          </cell>
          <cell r="P188" t="str">
            <v>0…+6</v>
          </cell>
          <cell r="Q188">
            <v>45</v>
          </cell>
        </row>
        <row r="189">
          <cell r="B189">
            <v>1001083446207</v>
          </cell>
          <cell r="C189" t="str">
            <v>ОКОРОК КОПЧЕНЫЙ к/в мл/к в/у 0.3кг_СНГ</v>
          </cell>
          <cell r="D189" t="str">
            <v>ШТ</v>
          </cell>
          <cell r="E189" t="str">
            <v>Колбасные изделия</v>
          </cell>
          <cell r="F189" t="str">
            <v>Копчености</v>
          </cell>
          <cell r="G189" t="str">
            <v>Папа может</v>
          </cell>
          <cell r="H189" t="str">
            <v>ОМПК(О)</v>
          </cell>
          <cell r="I189" t="str">
            <v>ТУ 10.13.14-183-00425283-2026</v>
          </cell>
          <cell r="J189" t="str">
            <v>Мясной продукт из свинины копчено-вареный категории Б.</v>
          </cell>
          <cell r="K189" t="str">
            <v>окорок свиной, вода питьевая, смесь посолочно-нитритная (соль, фиксатор окраски (нитрит натрия)), загустители (каррагинан, ксантановая камедь, модифицированный крахмал), белок соевый, регуляторы кислотности (пирофосфаты, трифосфаты, цитраты натрия), волокна пищевые (в т.ч. пшеничные), белок животный (говяжий), сахара, усилитель вкуса и аромата (глутамат натрия 1-замещенный), ароматизаторы, краситель (кармины)</v>
          </cell>
          <cell r="L189">
            <v>14</v>
          </cell>
          <cell r="M189">
            <v>4</v>
          </cell>
          <cell r="N189">
            <v>3</v>
          </cell>
          <cell r="O189" t="str">
            <v>104/437</v>
          </cell>
          <cell r="P189" t="str">
            <v>0…+6</v>
          </cell>
          <cell r="Q189">
            <v>45</v>
          </cell>
        </row>
        <row r="190">
          <cell r="B190">
            <v>1001457777655</v>
          </cell>
          <cell r="C190" t="str">
            <v>СВИНИНА ПО-БЕЛОРУССКИ к/в в/у 0.4кг</v>
          </cell>
          <cell r="D190" t="str">
            <v>ШТ</v>
          </cell>
          <cell r="E190" t="str">
            <v>Колбасные изделия</v>
          </cell>
          <cell r="F190" t="str">
            <v>Копчености</v>
          </cell>
          <cell r="G190" t="str">
            <v>Без ТМ</v>
          </cell>
          <cell r="H190" t="str">
            <v>ОМПК(О)</v>
          </cell>
          <cell r="I190" t="str">
            <v>ТУ 10.13.14-183-00425283-2026</v>
          </cell>
          <cell r="J190" t="str">
            <v>Мясной продукт из свинины копчено-вареный категории А.</v>
          </cell>
          <cell r="K190" t="str">
            <v>свинина, вода питьевая, стабилизатор белковый (шкурка свиная,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белок животный (говяжий), загуститель (каррагинан), сахара, специи (в т.ч. горчица), чеснок сушеный молотый, антиокислитель (аскорбат натрия), усилитель вкуса и аромата (глутамат натрия 1-замещенный), ароматизаторы, краситель (кармины)</v>
          </cell>
          <cell r="L190">
            <v>13</v>
          </cell>
          <cell r="M190">
            <v>15</v>
          </cell>
          <cell r="N190">
            <v>3</v>
          </cell>
          <cell r="O190" t="str">
            <v>199/827</v>
          </cell>
          <cell r="P190" t="str">
            <v>0…+6</v>
          </cell>
          <cell r="Q190">
            <v>55</v>
          </cell>
        </row>
        <row r="191">
          <cell r="B191">
            <v>1001084217089</v>
          </cell>
          <cell r="C191" t="str">
            <v>СВИНИНА ПО-ДОМ.к/в мл/к в/у 0.3кг_СНГ_50</v>
          </cell>
          <cell r="D191" t="str">
            <v>ШТ</v>
          </cell>
          <cell r="E191" t="str">
            <v>Колбасные изделия</v>
          </cell>
          <cell r="F191" t="str">
            <v>Копчености</v>
          </cell>
          <cell r="G191" t="str">
            <v>Папа может</v>
          </cell>
          <cell r="H191" t="str">
            <v>ОМПК(О)</v>
          </cell>
          <cell r="I191" t="str">
            <v>ТУ 10.13.14-183-00425283-2026</v>
          </cell>
          <cell r="J191" t="str">
            <v>Мясной продукт из свинины копчено-вареный категории Б.</v>
          </cell>
          <cell r="K191" t="str">
            <v>свинина, вода питьевая, стабилизатор белковый (шкурка свиная,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белок животный (говяжий), загуститель (каррагинан), сахара, специи (в т.ч. горчица), чеснок сушеный молотый, антиокислитель (аскорбат натрия), усилитель вкуса и аромата (глутамат натрия 1-замещенный), ароматизаторы, краситель (кармины)</v>
          </cell>
          <cell r="L191">
            <v>13</v>
          </cell>
          <cell r="M191">
            <v>15</v>
          </cell>
          <cell r="N191">
            <v>3</v>
          </cell>
          <cell r="O191" t="str">
            <v>199/827</v>
          </cell>
          <cell r="P191" t="str">
            <v>0…+6</v>
          </cell>
          <cell r="Q191">
            <v>50</v>
          </cell>
        </row>
        <row r="192">
          <cell r="B192">
            <v>1001084217090</v>
          </cell>
          <cell r="C192" t="str">
            <v>СВИНИНА ПО-ДОМ. к/в мл/к в/у 0.3кг_50с</v>
          </cell>
          <cell r="D192" t="str">
            <v>ШТ</v>
          </cell>
          <cell r="E192" t="str">
            <v>Колбасные изделия</v>
          </cell>
          <cell r="F192" t="str">
            <v>Копчености</v>
          </cell>
          <cell r="G192" t="str">
            <v>Папа может</v>
          </cell>
          <cell r="H192" t="str">
            <v>ОМПК(О)</v>
          </cell>
          <cell r="I192" t="str">
            <v>ТУ 10.13.14-183-00425283-2026</v>
          </cell>
          <cell r="J192" t="str">
            <v>Мясной продукт из свинины копчено-вареный категории Б.</v>
          </cell>
          <cell r="K192" t="str">
            <v>свинина, вода питьевая, стабилизатор белковый (шкурка свиная,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белок животный (говяжий), загуститель (каррагинан), сахара, специи (в т.ч. горчица), чеснок сушеный молотый, антиокислитель (аскорбат натрия), усилитель вкуса и аромата (глутамат натрия 1-замещенный), ароматизаторы, краситель (кармины)</v>
          </cell>
          <cell r="L192">
            <v>13</v>
          </cell>
          <cell r="M192">
            <v>15</v>
          </cell>
          <cell r="N192">
            <v>3</v>
          </cell>
          <cell r="O192" t="str">
            <v>199/827</v>
          </cell>
          <cell r="P192" t="str">
            <v>0…+6</v>
          </cell>
          <cell r="Q192">
            <v>50</v>
          </cell>
        </row>
        <row r="193">
          <cell r="B193">
            <v>1001453547656</v>
          </cell>
          <cell r="C193" t="str">
            <v>СВИНИНА ПРАЗДНИЧНАЯ с/к мл/к в/у 0.3кг</v>
          </cell>
          <cell r="D193" t="str">
            <v>ШТ</v>
          </cell>
          <cell r="E193" t="str">
            <v>Колбасные изделия</v>
          </cell>
          <cell r="F193" t="str">
            <v>Копчености</v>
          </cell>
          <cell r="G193" t="str">
            <v>Без ТМ</v>
          </cell>
          <cell r="H193" t="str">
            <v>ОМПК(О)</v>
          </cell>
          <cell r="I193" t="str">
            <v>ТУ 10.13.14-184-00425283-2026</v>
          </cell>
          <cell r="J193" t="str">
            <v>Мясной продукт из свинины сырокопченый категории А.</v>
          </cell>
          <cell r="K193" t="str">
            <v>свинина, смесь посолочно-нитритная (соль, фиксатор окраски (нитрит натрия)), регуляторы кислотности (цитраты натрия, пирофосфаты, трифосфаты), перец черный, кориандр, можжевельник, горчица, гвоздика, сахара, антиокислитель (аскорбат натрия), усилитель вкуса и аромата (глутамат натрия 1-замещенный), ароматизатор, стартовая культура</v>
          </cell>
          <cell r="L193">
            <v>16</v>
          </cell>
          <cell r="M193">
            <v>14</v>
          </cell>
          <cell r="N193">
            <v>2</v>
          </cell>
          <cell r="O193" t="str">
            <v>198/824</v>
          </cell>
          <cell r="P193" t="str">
            <v>0…+6</v>
          </cell>
          <cell r="Q193">
            <v>55</v>
          </cell>
        </row>
        <row r="194">
          <cell r="B194">
            <v>1001084227087</v>
          </cell>
          <cell r="C194" t="str">
            <v>ШПИК С ЧЕСНОК.И ПЕРЦЕМ к/в в/у 0.3кг_50c</v>
          </cell>
          <cell r="D194" t="str">
            <v>ШТ</v>
          </cell>
          <cell r="E194" t="str">
            <v>Колбасные изделия</v>
          </cell>
          <cell r="F194" t="str">
            <v>Копчености</v>
          </cell>
          <cell r="G194" t="str">
            <v>Папа может</v>
          </cell>
          <cell r="H194" t="str">
            <v>ОМПК(О)</v>
          </cell>
          <cell r="I194" t="str">
            <v>ТУ 10.13.14-183-00425283-2026</v>
          </cell>
          <cell r="J194" t="str">
            <v>Мясной продукт из свинины копчено-вареный.</v>
          </cell>
          <cell r="K194" t="str">
            <v>свинина, вода питьевая, чеснок свежий, перец черный молотый, смесь посолочно-нитритная (соль, фиксатор окраски (нитрит натрия)), регуляторы кислотности (трифосфаты, цитраты натрия, пирофосфаты), желатин (говяжий), белок животный (свиной), белок молочный, белок пшеничный, антиокислитель (аскорбат натрия), ароматизаторы</v>
          </cell>
          <cell r="L194">
            <v>13</v>
          </cell>
          <cell r="M194">
            <v>27</v>
          </cell>
          <cell r="N194">
            <v>3</v>
          </cell>
          <cell r="O194" t="str">
            <v>307/1271</v>
          </cell>
          <cell r="P194" t="str">
            <v>0…+6</v>
          </cell>
          <cell r="Q194">
            <v>50</v>
          </cell>
        </row>
        <row r="195">
          <cell r="B195">
            <v>1001305066505</v>
          </cell>
          <cell r="C195" t="str">
            <v>АРОМАТНАЯ С ЧЕСНОКОМ ПМ п/к в/у 420*16</v>
          </cell>
          <cell r="D195" t="str">
            <v>ШТ</v>
          </cell>
          <cell r="E195" t="str">
            <v>Колбасные изделия</v>
          </cell>
          <cell r="F195" t="str">
            <v>Копченые колбасы</v>
          </cell>
          <cell r="G195" t="str">
            <v>Папа может</v>
          </cell>
          <cell r="H195" t="str">
            <v>ОМПК(К)</v>
          </cell>
          <cell r="I195" t="str">
            <v xml:space="preserve"> ТУ 10.13.14-160-00425283-2022</v>
          </cell>
          <cell r="J195" t="str">
            <v>Мясной продукт. Изделие колбасное полукопченое категории В.</v>
          </cell>
          <cell r="K195" t="str">
            <v>свинина, шпик, мясо цыпленка-бройлера механической обвалки,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соль, клетчатка растительная, регуляторы кислотности (пирофосфаты, трифосфаты, цитраты натрия), стабилизатор (полифосфаты), загустители (альгинат натрия, каррагинан, ксантановая камедь, гуаровая камедь), чеснок сушеный молотый, горчица, ароматизаторы, сахара, антиокислители (аскорбиновая кислота, лимонная кислота), усилитель вкуса и аромата (глутамат натрия 1-замещенный), краситель (кармины)</v>
          </cell>
          <cell r="L195">
            <v>13</v>
          </cell>
          <cell r="M195">
            <v>17</v>
          </cell>
          <cell r="N195">
            <v>5</v>
          </cell>
          <cell r="O195" t="str">
            <v>225/935</v>
          </cell>
          <cell r="P195" t="str">
            <v>0…+6</v>
          </cell>
          <cell r="Q195">
            <v>45</v>
          </cell>
        </row>
        <row r="196">
          <cell r="B196">
            <v>1001303637506</v>
          </cell>
          <cell r="C196" t="str">
            <v>БАЛЫКОВАЯ GUTMANN п/к в/у 0.28кг 8шт.</v>
          </cell>
          <cell r="D196" t="str">
            <v>ШТ</v>
          </cell>
          <cell r="E196" t="str">
            <v>Колбасные изделия</v>
          </cell>
          <cell r="F196" t="str">
            <v>Копченые колбасы</v>
          </cell>
          <cell r="G196" t="str">
            <v>GUTMANN</v>
          </cell>
          <cell r="H196" t="str">
            <v>ОМПК(К)</v>
          </cell>
          <cell r="I196" t="str">
            <v>ТУ 10.13.14-160-00425283-2022</v>
          </cell>
          <cell r="J196" t="str">
            <v>Мясной продукт. Изделие колбасное полукопченое категории Б.</v>
          </cell>
          <cell r="K196" t="str">
            <v>свинина, стабилизатор белковый (шкурка свиная, вода питьевая), вода питьевая,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цитраты натрия), стабилизаторы (пирофосфаты, полифосфаты), специи, экстракты специй (в т.ч. горчица), экстракты пряностей, чеснок сушеный молотый, сахара, антиокислители (аскорбат натрия, аскорбиновая кислота, лимонная кислота), усилитель вкуса и аромата (глутамат натрия), ароматизаторы, краситель (кармины)</v>
          </cell>
          <cell r="L196">
            <v>15</v>
          </cell>
          <cell r="M196">
            <v>16</v>
          </cell>
          <cell r="N196">
            <v>5</v>
          </cell>
          <cell r="O196" t="str">
            <v>224/932</v>
          </cell>
          <cell r="P196" t="str">
            <v>0…+6</v>
          </cell>
          <cell r="Q196">
            <v>50</v>
          </cell>
        </row>
        <row r="197">
          <cell r="B197">
            <v>1001303637603</v>
          </cell>
          <cell r="C197" t="str">
            <v>БАЛЫКОВАЯ Останкино в/к в/у 0.33кг 8шт.</v>
          </cell>
          <cell r="D197" t="str">
            <v>ШТ</v>
          </cell>
          <cell r="E197" t="str">
            <v>Колбасные изделия</v>
          </cell>
          <cell r="F197" t="str">
            <v>Копченые колбасы</v>
          </cell>
          <cell r="G197" t="str">
            <v>Останкино</v>
          </cell>
          <cell r="H197" t="str">
            <v>ОМПК(К)</v>
          </cell>
          <cell r="I197" t="str">
            <v>ТУ 10.13.14-161-00425283-2022</v>
          </cell>
          <cell r="J197" t="str">
            <v>Мясной продукт. Изделие колбасное варено-копченое.</v>
          </cell>
          <cell r="K197" t="str">
            <v>свинина, стабилизатор белковый (шкурка свиная, вода питьевая), вода питьевая, смесь посолочно-нитритная (соль, фиксатор окраски (нитрит натрия)), соль, белок животный (говяжий), регуляторы кислотности (пирофосфаты, трифосфаты, цитраты натрия), стабилизатор (полифосфаты), соль, специи, пряности, экстракты специй (в т.ч.горчица), сахара, антиокислитель (аскорбиновая кислота), усилитель вкуса и аромата (глутамат натрия 1-замещенный), фермент (лизин), ароматизаторы</v>
          </cell>
          <cell r="L197">
            <v>15</v>
          </cell>
          <cell r="M197">
            <v>17</v>
          </cell>
          <cell r="N197">
            <v>1</v>
          </cell>
          <cell r="O197" t="str">
            <v>217/901</v>
          </cell>
          <cell r="P197" t="str">
            <v>0…+6</v>
          </cell>
          <cell r="Q197">
            <v>45</v>
          </cell>
        </row>
        <row r="198">
          <cell r="B198">
            <v>1001303637564</v>
          </cell>
          <cell r="C198" t="str">
            <v>БАЛЫКОВАЯ Останкино в/к в/у</v>
          </cell>
          <cell r="D198" t="str">
            <v>КГ</v>
          </cell>
          <cell r="E198" t="str">
            <v>Колбасные изделия</v>
          </cell>
          <cell r="F198" t="str">
            <v>Копченые колбасы</v>
          </cell>
          <cell r="G198" t="str">
            <v>Останкино</v>
          </cell>
          <cell r="H198" t="str">
            <v>ОМПК(К)</v>
          </cell>
          <cell r="I198" t="str">
            <v>ТУ 10.13.14-161-00425283-2022</v>
          </cell>
          <cell r="J198" t="str">
            <v>Мясной продукт. Изделие колбасное варено-копченое.</v>
          </cell>
          <cell r="K198" t="str">
            <v>свинина, стабилизатор белковый (шкурка свиная, вода питьевая), вода питьевая, смесь посолочно-нитритная (соль, фиксатор окраски (нитрит натрия)), соль, белок животный (говяжий), регуляторы кислотности (пирофосфаты, трифосфаты, цитраты натрия), стабилизатор (полифосфаты), соль, специи, пряности, экстракты специй (в т.ч.горчица), сахара, антиокислитель (аскорбиновая кислота), усилитель вкуса и аромата (глутамат натрия 1-замещенный), фермент (лизин), ароматизаторы</v>
          </cell>
          <cell r="L198">
            <v>15</v>
          </cell>
          <cell r="M198">
            <v>17</v>
          </cell>
          <cell r="N198">
            <v>1</v>
          </cell>
          <cell r="O198" t="str">
            <v>217/901</v>
          </cell>
          <cell r="P198" t="str">
            <v>0…+6</v>
          </cell>
          <cell r="Q198">
            <v>45</v>
          </cell>
        </row>
        <row r="199">
          <cell r="B199">
            <v>1001043635226</v>
          </cell>
          <cell r="C199" t="str">
            <v>БАЛЫКОВАЯ Папа Может п/к в/у 0.84кг</v>
          </cell>
          <cell r="D199" t="str">
            <v>КГ</v>
          </cell>
          <cell r="E199" t="str">
            <v>Колбасные изделия</v>
          </cell>
          <cell r="F199" t="str">
            <v>Копченые колбасы</v>
          </cell>
          <cell r="G199" t="str">
            <v>Папа может</v>
          </cell>
          <cell r="H199" t="str">
            <v>ОМПК(К)</v>
          </cell>
          <cell r="I199" t="str">
            <v>ТУ 10.13.14-160-00425283-2022</v>
          </cell>
          <cell r="J199" t="str">
            <v>Мясной продукт. Изделие колбасное полукопченое категории Б.</v>
          </cell>
          <cell r="K199" t="str">
            <v>свинина, стабилизатор белковый (шкурка свиная, вода питьевая), вода питьевая,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пирофосфаты, цитраты натрия), чеснок сушеный молотый, горчица, перец черный, кардамон,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99">
            <v>15</v>
          </cell>
          <cell r="M199">
            <v>14</v>
          </cell>
          <cell r="N199">
            <v>5</v>
          </cell>
          <cell r="O199" t="str">
            <v>206/858</v>
          </cell>
          <cell r="P199" t="str">
            <v>0…+6</v>
          </cell>
          <cell r="Q199">
            <v>45</v>
          </cell>
        </row>
        <row r="200">
          <cell r="B200">
            <v>1001303637233</v>
          </cell>
          <cell r="C200" t="str">
            <v>БАЛЫКОВАЯ ПМ п/к в/у 0.31кг 8шт_209к</v>
          </cell>
          <cell r="D200" t="str">
            <v>ШТ</v>
          </cell>
          <cell r="E200" t="str">
            <v>Колбасные изделия</v>
          </cell>
          <cell r="F200" t="str">
            <v>Копченые колбасы</v>
          </cell>
          <cell r="G200" t="str">
            <v>Папа может</v>
          </cell>
          <cell r="H200" t="str">
            <v>ОМПК(К)</v>
          </cell>
          <cell r="I200" t="str">
            <v>ТУ 10.13.14-160-00425283-2022</v>
          </cell>
          <cell r="J200" t="str">
            <v>Мясной продукт. Изделие колбасное полукопченое категории Б.</v>
          </cell>
          <cell r="K200" t="str">
            <v>свинина, стабилизатор белковый (шкурка свиная, вода питьевая), вода питьевая,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пирофосфаты, цитраты натрия), чеснок сушеный молотый, горчица, перец черный, кардамон,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200">
            <v>15</v>
          </cell>
          <cell r="M200">
            <v>14</v>
          </cell>
          <cell r="N200">
            <v>5</v>
          </cell>
          <cell r="O200" t="str">
            <v>206/858</v>
          </cell>
          <cell r="P200" t="str">
            <v>0…+6</v>
          </cell>
          <cell r="Q200">
            <v>45</v>
          </cell>
        </row>
        <row r="201">
          <cell r="B201">
            <v>1001303637340</v>
          </cell>
          <cell r="C201" t="str">
            <v>БАЛЫКОВАЯ Коровино п/к в/у 0.76кг</v>
          </cell>
          <cell r="D201" t="str">
            <v>ШТ</v>
          </cell>
          <cell r="E201" t="str">
            <v>Колбасные изделия</v>
          </cell>
          <cell r="F201" t="str">
            <v>Копченые колбасы</v>
          </cell>
          <cell r="G201" t="str">
            <v>Коровино</v>
          </cell>
          <cell r="H201" t="str">
            <v>ОМПК(К)</v>
          </cell>
          <cell r="I201" t="str">
            <v>ТУ 10.13.14-160-00425283-2022</v>
          </cell>
          <cell r="J201" t="str">
            <v>Мясной продукт. Изделие колбасное полукопченое категории А.</v>
          </cell>
          <cell r="K201" t="str">
            <v>свинина, стабилизатор белковый (шкурка свиная, вода питьевая), вода питьевая, кожа куриная,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пирофосфаты, цитраты натрия), чеснок сушеный молотый, горчица, экстракты пряностей,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201">
            <v>15</v>
          </cell>
          <cell r="M201">
            <v>14</v>
          </cell>
          <cell r="N201">
            <v>5</v>
          </cell>
          <cell r="O201" t="str">
            <v>206/858</v>
          </cell>
          <cell r="P201" t="str">
            <v>0…+6</v>
          </cell>
          <cell r="Q201">
            <v>50</v>
          </cell>
        </row>
        <row r="202">
          <cell r="B202">
            <v>1001303637149</v>
          </cell>
          <cell r="C202" t="str">
            <v>БАЛЫКОВАЯ Коровино п/к в/у 0.84кг_50с</v>
          </cell>
          <cell r="D202" t="str">
            <v>ШТ</v>
          </cell>
          <cell r="E202" t="str">
            <v>Колбасные изделия</v>
          </cell>
          <cell r="F202" t="str">
            <v>Копченые колбасы</v>
          </cell>
          <cell r="G202" t="str">
            <v>Коровино</v>
          </cell>
          <cell r="H202" t="str">
            <v>ОМПК(К)</v>
          </cell>
          <cell r="I202" t="str">
            <v>ТУ 10.13.14-160-00425283-2022</v>
          </cell>
          <cell r="J202" t="str">
            <v>Мясной продукт. Изделие колбасное полукопченое категории А.</v>
          </cell>
          <cell r="K202" t="str">
            <v>свинина, стабилизатор белковый (шкурка свиная, вода питьевая), вода питьевая, кожа куриная,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пирофосфаты, цитраты натрия), чеснок сушеный молотый, горчица, экстракты пряностей,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202">
            <v>15</v>
          </cell>
          <cell r="M202">
            <v>14</v>
          </cell>
          <cell r="N202">
            <v>5</v>
          </cell>
          <cell r="O202" t="str">
            <v>206/858</v>
          </cell>
          <cell r="P202" t="str">
            <v>0…+6</v>
          </cell>
          <cell r="Q202">
            <v>50</v>
          </cell>
        </row>
        <row r="203">
          <cell r="B203">
            <v>1001303636579</v>
          </cell>
          <cell r="C203" t="str">
            <v>БАЛЫКОВАЯ СТМ Kvalita п/к в/у 0.84кг 6шт</v>
          </cell>
          <cell r="D203" t="str">
            <v>ШТ</v>
          </cell>
          <cell r="E203" t="str">
            <v>Колбасные изделия</v>
          </cell>
          <cell r="F203" t="str">
            <v>Копченые колбасы</v>
          </cell>
          <cell r="G203" t="str">
            <v>СТМ</v>
          </cell>
          <cell r="H203" t="str">
            <v>ОМПК(К)</v>
          </cell>
          <cell r="I203" t="str">
            <v>ТУ 10.13.14-160-00425283-2022</v>
          </cell>
          <cell r="J203" t="str">
            <v>Мясной продукт. Изделие колбасное полукопченое категории А.</v>
          </cell>
          <cell r="K203" t="str">
            <v>свинина нежирная 10%*(окорок), белковый стабилизатор (шкурка свиная, вода), вода, крахмал картофельный, сыворотка молочная сухая, соль, смесь посолочно-нитритная (соль, фиксатор окраски нитрит натрия), регуляторы кислотности: трифосфаты, пирофосфаты, ацетаты натрия, цитраты натрия, лимонная кислота; стабилизатор полифосфаты, экстракты пряностей (перец черный, кардамон), ароматизатор, антиокислители: аскорбат натрия, аскорбиновая кислота; усилитель вкуса и аромата глутамат натрия, горчица, чеснок, сахар, краситель кармины. *Процент обозначает массовую долю соединительной и жировой ткани, используемой в рецептуре свинины</v>
          </cell>
          <cell r="L203">
            <v>14</v>
          </cell>
          <cell r="M203">
            <v>17</v>
          </cell>
          <cell r="N203">
            <v>3</v>
          </cell>
          <cell r="O203" t="str">
            <v>221/918</v>
          </cell>
          <cell r="P203" t="str">
            <v>0…+6</v>
          </cell>
          <cell r="Q203">
            <v>45</v>
          </cell>
        </row>
        <row r="204">
          <cell r="B204">
            <v>1001303637591</v>
          </cell>
          <cell r="C204" t="str">
            <v>БАЛЫКОВАЯ СТМ Kvalit п/к в/у 0.84кг 10шт</v>
          </cell>
          <cell r="D204" t="str">
            <v>ШТ</v>
          </cell>
          <cell r="E204" t="str">
            <v>Колбасные изделия</v>
          </cell>
          <cell r="F204" t="str">
            <v>Копченые колбасы</v>
          </cell>
          <cell r="G204" t="str">
            <v>СТМ</v>
          </cell>
          <cell r="H204" t="str">
            <v>ОМПК(К)</v>
          </cell>
          <cell r="I204" t="str">
            <v>ТУ 10.13.14-160-00425283-2022</v>
          </cell>
          <cell r="J204" t="str">
            <v>Мясной продукт. Изделие колбасное полукопченое категории А.</v>
          </cell>
          <cell r="K204" t="str">
            <v>свинина нежирная 10%*(окорок), белковый стабилизатор (шкурка свиная, вода), вода, крахмал картофельный, сыворотка молочная сухая, соль, смесь посолочно-нитритная (соль, фиксатор окраски нитрит натрия), регуляторы кислотности: трифосфаты, пирофосфаты, ацетаты натрия, цитраты натрия, лимонная кислота; стабилизатор полифосфаты, экстракты пряностей (перец черный, кардамон), ароматизатор, антиокислители: аскорбат натрия, аскорбиновая кислота; усилитель вкуса и аромата глутамат натрия, горчица, чеснок, сахар, краситель кармины. *Процент обозначает массовую долю соединительной и жировой ткани, используемой в рецептуре свинины</v>
          </cell>
          <cell r="L204">
            <v>14</v>
          </cell>
          <cell r="M204">
            <v>17</v>
          </cell>
          <cell r="N204">
            <v>3</v>
          </cell>
          <cell r="O204" t="str">
            <v>221/918</v>
          </cell>
          <cell r="P204" t="str">
            <v>0…+6</v>
          </cell>
          <cell r="Q204">
            <v>45</v>
          </cell>
        </row>
        <row r="205">
          <cell r="B205">
            <v>1001302277175</v>
          </cell>
          <cell r="C205" t="str">
            <v>БОЯNСКАЯ ПМ п/к в/у 0.42кг 8шт_50с</v>
          </cell>
          <cell r="D205" t="str">
            <v>ШТ</v>
          </cell>
          <cell r="E205" t="str">
            <v>Колбасные изделия</v>
          </cell>
          <cell r="F205" t="str">
            <v>Копченые колбасы</v>
          </cell>
          <cell r="G205" t="str">
            <v>Папа может</v>
          </cell>
          <cell r="H205" t="str">
            <v>ОМПК(К)</v>
          </cell>
          <cell r="I205" t="str">
            <v>ТУ 10.13.14-160-00425283-2022</v>
          </cell>
          <cell r="J205" t="str">
            <v>Мясной продукт. Изделие колбасное полукопченое категории Б.</v>
          </cell>
          <cell r="K205" t="str">
            <v>свинина, вода питьевая, стабилизатор белковый (шкурка свиная, вода питьевая), крахмал картофельный, сыворотка молочная сухая, соль, смесь посолочно-нитритная (соль, фиксатор окраски (нитрит натрия)), регуляторы кислотности (пирофосфаты, трифосфаты, цитраты натрия), стабилизаторы (полифосфаты), сахара, экстракты пряностей (перец черный, кардамон), чеснок сушеный молотый, антиокислители (аскорбиновая кислота, лимонная кислота, аскорбат натрия), усилитель вкуса и аромата (глутамат натрия), ароматизаторы, краситель (кармины)</v>
          </cell>
          <cell r="L205">
            <v>14</v>
          </cell>
          <cell r="M205">
            <v>14</v>
          </cell>
          <cell r="N205">
            <v>3</v>
          </cell>
          <cell r="O205" t="str">
            <v>198/824</v>
          </cell>
          <cell r="P205" t="str">
            <v>0…+6</v>
          </cell>
          <cell r="Q205">
            <v>50</v>
          </cell>
        </row>
        <row r="206">
          <cell r="B206">
            <v>1001302277232</v>
          </cell>
          <cell r="C206" t="str">
            <v>БОЯNСКАЯ ПМ п/к в/у 0.28кг 8шт_209к</v>
          </cell>
          <cell r="D206" t="str">
            <v>ШТ</v>
          </cell>
          <cell r="E206" t="str">
            <v>Колбасные изделия</v>
          </cell>
          <cell r="F206" t="str">
            <v>Копченые колбасы</v>
          </cell>
          <cell r="G206" t="str">
            <v>Папа может</v>
          </cell>
          <cell r="H206" t="str">
            <v>ОМПК(К)</v>
          </cell>
          <cell r="I206" t="str">
            <v>ТУ 10.13.14-160-00425283-2022</v>
          </cell>
          <cell r="J206" t="str">
            <v>Мясной продукт. Изделие колбасное полукопченое категории Б.</v>
          </cell>
          <cell r="K206" t="str">
            <v>свинина, стабилизатор белковый (шкурка свиная, вода питьевая), вода питьевая,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пирофосфаты, цитраты натрия), чеснок сушеный молотый, горчица, перец черный, кардамон,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206">
            <v>15</v>
          </cell>
          <cell r="M206">
            <v>14</v>
          </cell>
          <cell r="N206">
            <v>5</v>
          </cell>
          <cell r="O206" t="str">
            <v>206/858</v>
          </cell>
          <cell r="P206" t="str">
            <v>0…+6</v>
          </cell>
          <cell r="Q206">
            <v>50</v>
          </cell>
        </row>
        <row r="207">
          <cell r="B207">
            <v>1001301777332</v>
          </cell>
          <cell r="C207" t="str">
            <v>БОЯРСКАЯ ПМ п/к в/у 0.28кг_СНГ</v>
          </cell>
          <cell r="D207" t="str">
            <v>ШТ</v>
          </cell>
          <cell r="E207" t="str">
            <v>Колбасные изделия</v>
          </cell>
          <cell r="F207" t="str">
            <v>Копченые колбасы</v>
          </cell>
          <cell r="G207" t="str">
            <v>Папа может</v>
          </cell>
          <cell r="H207" t="str">
            <v>ОМПК(К)</v>
          </cell>
          <cell r="I207" t="str">
            <v>ТУ 10.13.14-160-00425283-2022</v>
          </cell>
          <cell r="J207" t="str">
            <v>Мясной продукт. Изделие колбасное полукопченое категории Б.</v>
          </cell>
          <cell r="K207" t="str">
            <v>свинина, стабилизатор белковый (шкурка свиная, вода питьевая), вода питьевая,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пирофосфаты, цитраты натрия), чеснок сушеный молотый, горчица, перец черный, кардамон,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207">
            <v>15</v>
          </cell>
          <cell r="M207">
            <v>14</v>
          </cell>
          <cell r="N207">
            <v>5</v>
          </cell>
          <cell r="O207" t="str">
            <v>206/858</v>
          </cell>
          <cell r="P207" t="str">
            <v>0…+6</v>
          </cell>
          <cell r="Q207">
            <v>50</v>
          </cell>
        </row>
        <row r="208">
          <cell r="B208">
            <v>1001300516785</v>
          </cell>
          <cell r="C208" t="str">
            <v>ВЕНСКАЯ САЛЯМИ п/к в/у 0.33кг 8шт.</v>
          </cell>
          <cell r="D208" t="str">
            <v>ШТ</v>
          </cell>
          <cell r="E208" t="str">
            <v>Колбасные изделия</v>
          </cell>
          <cell r="F208" t="str">
            <v>Копченые колбасы</v>
          </cell>
          <cell r="G208" t="str">
            <v>Останкино</v>
          </cell>
          <cell r="H208" t="str">
            <v>ОМПК(К)</v>
          </cell>
          <cell r="I208" t="str">
            <v>ТУ 10.13.14-160-00425283-2022</v>
          </cell>
          <cell r="J208" t="str">
            <v>Мясной продукт. Изделие колбасное полукопченое категории Б.</v>
          </cell>
          <cell r="K208" t="str">
            <v>свинина, окорок свиной,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картофельный, соль, регуляторы кислотности (трифосфаты, пирофосфаты, цитраты натрия), загуститель (альгинат натрия), перец черный, горчица, маис, кардамон, тмин, чеснок сушеный молотый, антиокислители (аскорбиновая кислота, лимонная кислота), сахара, усилитель вкуса и аромата (глутамат натрия 1-замещенный), ароматизаторы, гемоглобин, краситель (кармины)</v>
          </cell>
          <cell r="L208">
            <v>14</v>
          </cell>
          <cell r="M208">
            <v>25</v>
          </cell>
          <cell r="N208">
            <v>3</v>
          </cell>
          <cell r="O208" t="str">
            <v>293/1214</v>
          </cell>
          <cell r="P208" t="str">
            <v>0…+6</v>
          </cell>
          <cell r="Q208">
            <v>45</v>
          </cell>
        </row>
        <row r="209">
          <cell r="B209">
            <v>1001300516803</v>
          </cell>
          <cell r="C209" t="str">
            <v>ВЕНСКАЯ САЛЯМИ п/к в/у 0.66кг 8шт.</v>
          </cell>
          <cell r="D209" t="str">
            <v>ШТ</v>
          </cell>
          <cell r="E209" t="str">
            <v>Колбасные изделия</v>
          </cell>
          <cell r="F209" t="str">
            <v>Копченые колбасы</v>
          </cell>
          <cell r="G209" t="str">
            <v>Останкино</v>
          </cell>
          <cell r="H209" t="str">
            <v>ОМПК(К)</v>
          </cell>
          <cell r="I209" t="str">
            <v>ТУ 10.13.14-160-00425283-2022</v>
          </cell>
          <cell r="J209" t="str">
            <v>Мясной продукт. Изделие колбасное полукопченое категории Б.</v>
          </cell>
          <cell r="K209" t="str">
            <v>свинина, стабилизатор белковый (шкурка свиная, вода питьевая), шпик, вода питьевая,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цитраты натрия), белок животный (говяжий), загуститель (каррагинан), сахара, специи и экстракты специй (перец черный, мацис, кардамон, тмин, горчица), усилитель вкуса и аромата (глутамат натрия), ароматизаторы, антиокислитель (аскорбиновая кислота), краситель (кармины)</v>
          </cell>
          <cell r="L209">
            <v>14</v>
          </cell>
          <cell r="M209">
            <v>25</v>
          </cell>
          <cell r="N209">
            <v>2</v>
          </cell>
          <cell r="O209" t="str">
            <v>289/1197</v>
          </cell>
          <cell r="P209" t="str">
            <v>0…+6</v>
          </cell>
          <cell r="Q209">
            <v>45</v>
          </cell>
        </row>
        <row r="210">
          <cell r="B210">
            <v>1001300517132</v>
          </cell>
          <cell r="C210" t="str">
            <v>ВЕНСКАЯ САЛЯМИ п/к в/у 0.840кг</v>
          </cell>
          <cell r="D210" t="str">
            <v>КГ</v>
          </cell>
          <cell r="E210" t="str">
            <v>Колбасные изделия</v>
          </cell>
          <cell r="F210" t="str">
            <v>Копченые колбасы</v>
          </cell>
          <cell r="G210" t="str">
            <v>Останкино</v>
          </cell>
          <cell r="H210" t="str">
            <v>ОМПК(К)</v>
          </cell>
          <cell r="I210" t="str">
            <v>ТУ 10.13.14-160-00425283-2022</v>
          </cell>
          <cell r="J210" t="str">
            <v>Мясной продукт. Изделие колбасное полукопченое категории Б.</v>
          </cell>
          <cell r="K210" t="str">
            <v>свинина, стабилизатор белковый (шкурка свиная, вода питьевая), шпик, вода питьевая,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цитраты натрия), белок животный (говяжий), загуститель (каррагинан), сахара, специи и экстракты специй (перец черный, мацис, кардамон, тмин, горчица), усилитель вкуса и аромата (глутамат натрия), ароматизаторы, антиокислитель (аскорбиновая кислота), краситель (кармины)</v>
          </cell>
          <cell r="L210">
            <v>14</v>
          </cell>
          <cell r="M210">
            <v>25</v>
          </cell>
          <cell r="N210">
            <v>2</v>
          </cell>
          <cell r="O210" t="str">
            <v>289/1197</v>
          </cell>
          <cell r="P210" t="str">
            <v>0…+6</v>
          </cell>
          <cell r="Q210">
            <v>45</v>
          </cell>
        </row>
        <row r="211">
          <cell r="B211">
            <v>1001305646825</v>
          </cell>
          <cell r="C211" t="str">
            <v>ДОМАШНИЙ РЕЦЕПТ ПМ п/к б/о мгс 0.33кг</v>
          </cell>
          <cell r="D211" t="str">
            <v>ШТ</v>
          </cell>
          <cell r="E211" t="str">
            <v>Колбасные изделия</v>
          </cell>
          <cell r="F211" t="str">
            <v>Копченые колбасы</v>
          </cell>
          <cell r="G211" t="str">
            <v>Папа может</v>
          </cell>
          <cell r="H211" t="str">
            <v>ОМПК(К)</v>
          </cell>
          <cell r="I211" t="str">
            <v>ТУ 10.13.14-144-00425283-2017</v>
          </cell>
          <cell r="J211" t="str">
            <v>Изделие колбасное полукопченое из мяса кур охлажденное.</v>
          </cell>
          <cell r="K211" t="str">
            <v>филе грудок куриных, свинина, мясо цыпленка-бройлера механической обвалки, белковый стабилизатор (шкурка свиная, вода), вода, крахмал картофельный, соль, смесь посолочно-нитритная (соль, фиксатор окраски нитрит натрия), регуляторы кислотности: трифосфаты, цитраты натрия; стабилизатор полифосфаты, ароматизаторы, усилитель вкуса и аромата глутамат натрия,  сахара, чеснок сушеный, антиокислители: аскорбат натрия, лимонная кислота, экстракты розмарина; краситель кармины</v>
          </cell>
          <cell r="L211">
            <v>13</v>
          </cell>
          <cell r="M211">
            <v>22</v>
          </cell>
          <cell r="N211">
            <v>3</v>
          </cell>
          <cell r="O211" t="str">
            <v>262/1086</v>
          </cell>
          <cell r="P211" t="str">
            <v>0…+6</v>
          </cell>
          <cell r="Q211">
            <v>45</v>
          </cell>
        </row>
        <row r="212">
          <cell r="B212">
            <v>1001307687638</v>
          </cell>
          <cell r="C212" t="str">
            <v>МЯСНАЯ РУБЛЕНАЯ ASLAM п/к в/у 0.29кг 8шт</v>
          </cell>
          <cell r="D212" t="str">
            <v>ШТ</v>
          </cell>
          <cell r="E212" t="str">
            <v>Колбасные изделия</v>
          </cell>
          <cell r="F212" t="str">
            <v>Копченые колбасы</v>
          </cell>
          <cell r="G212" t="str">
            <v>ASLAM</v>
          </cell>
          <cell r="H212" t="str">
            <v>ООО Казанские деликатесы</v>
          </cell>
          <cell r="I212" t="str">
            <v>ТУ 10.13.14-176-00425283-2025</v>
          </cell>
          <cell r="J212" t="str">
            <v>Изделие колбасное полукопченое из мяса кур охлажденное.</v>
          </cell>
          <cell r="K212" t="str">
            <v>филе грудок куриных, мясо куриное механической обвалки, говядина, вода питьевая,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пряности, экстракты пряностей, сахара, антиокислители (аскорбиновая кислота, лимонная кислота), белок растительный гидролизированный, усилитель вкуса и аромата (глутамат натрия), ароматизаторы, экстракт гардении красной</v>
          </cell>
          <cell r="L212">
            <v>15</v>
          </cell>
          <cell r="M212">
            <v>24</v>
          </cell>
          <cell r="N212">
            <v>3</v>
          </cell>
          <cell r="O212" t="str">
            <v>288/1194</v>
          </cell>
          <cell r="P212" t="str">
            <v>0…+6</v>
          </cell>
          <cell r="Q212">
            <v>45</v>
          </cell>
        </row>
        <row r="213">
          <cell r="B213">
            <v>1001307687639</v>
          </cell>
          <cell r="C213" t="str">
            <v>МЯСНАЯ РУБЛЕНАЯ ASLAM п/к в/у 0.82кг 6шт</v>
          </cell>
          <cell r="D213" t="str">
            <v>ШТ</v>
          </cell>
          <cell r="E213" t="str">
            <v>Колбасные изделия</v>
          </cell>
          <cell r="F213" t="str">
            <v>Копченые колбасы</v>
          </cell>
          <cell r="G213" t="str">
            <v>ASLAM</v>
          </cell>
          <cell r="H213" t="str">
            <v>ООО Казанские деликатесы</v>
          </cell>
          <cell r="I213" t="str">
            <v>ТУ 10.13.14-176-00425283-2025</v>
          </cell>
          <cell r="J213" t="str">
            <v>Изделие колбасное полукопченое из мяса кур охлажденное.</v>
          </cell>
          <cell r="K213" t="str">
            <v>филе грудок куриных, мясо куриное механической обвалки, говядина, вода питьевая,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пряности, экстракты пряностей, сахара, антиокислители (аскорбиновая кислота, лимонная кислота), белок растительный гидролизированный, усилитель вкуса и аромата (глутамат натрия), ароматизаторы, экстракт гардении красной</v>
          </cell>
          <cell r="L213">
            <v>15</v>
          </cell>
          <cell r="M213">
            <v>24</v>
          </cell>
          <cell r="N213">
            <v>3</v>
          </cell>
          <cell r="O213" t="str">
            <v>288/1194</v>
          </cell>
          <cell r="P213" t="str">
            <v>0…+6</v>
          </cell>
          <cell r="Q213">
            <v>45</v>
          </cell>
        </row>
        <row r="214">
          <cell r="B214">
            <v>1001305427314</v>
          </cell>
          <cell r="C214" t="str">
            <v>РУБЛЕНАЯ Коровино п/к в/у 0.84кг 6шт_СНГ</v>
          </cell>
          <cell r="D214" t="str">
            <v>ШТ</v>
          </cell>
          <cell r="E214" t="str">
            <v>Колбасные изделия</v>
          </cell>
          <cell r="F214" t="str">
            <v>Копченые колбасы</v>
          </cell>
          <cell r="G214" t="str">
            <v>Коровино</v>
          </cell>
          <cell r="H214" t="str">
            <v>ОМПК(К)</v>
          </cell>
          <cell r="I214" t="str">
            <v>ТУ 10.13.14-160-00425283-2022</v>
          </cell>
          <cell r="J214" t="str">
            <v>Мясной продукт. Изделие колбасное полукопченое категории А.</v>
          </cell>
          <cell r="K214" t="str">
            <v>свинина, вода питьевая, стабилизатор белковый (шкурка свиная, вода питьевая, кожа куриная), крахмал картофельный, сыворотка молочная сухая, соль,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сахара, экстракты пряностей (перец черный, кардамон), чеснок сушеный, антиокислители (аскорбиновая кислота, лимонная кислота, аскорбат натрия), гидролизат кукурузного белка, усилитель вкуса и аромата (глутамат натрия), ароматизаторы, краситель (кармины)</v>
          </cell>
          <cell r="L214">
            <v>14</v>
          </cell>
          <cell r="M214">
            <v>16</v>
          </cell>
          <cell r="N214">
            <v>3</v>
          </cell>
          <cell r="O214" t="str">
            <v>212/881</v>
          </cell>
          <cell r="P214" t="str">
            <v>0…+6</v>
          </cell>
          <cell r="Q214">
            <v>60</v>
          </cell>
        </row>
        <row r="215">
          <cell r="B215">
            <v>1001307027397</v>
          </cell>
          <cell r="C215" t="str">
            <v>МУСУЛЬМАНСКАЯ ASLAM п/к в/у 0.29кг 8шт.</v>
          </cell>
          <cell r="D215" t="str">
            <v>ШТ</v>
          </cell>
          <cell r="E215" t="str">
            <v>Колбасные изделия</v>
          </cell>
          <cell r="F215" t="str">
            <v>Копченые колбасы</v>
          </cell>
          <cell r="G215" t="str">
            <v>ASLAM</v>
          </cell>
          <cell r="H215" t="str">
            <v>ООО Казанские деликатесы</v>
          </cell>
          <cell r="I215" t="str">
            <v>ТУ 10.13.14-176-00425283-2025</v>
          </cell>
          <cell r="J215" t="str">
            <v>Изделие колбасное полукопченое из мяса кур охлажденное.</v>
          </cell>
          <cell r="K215" t="str">
            <v>филе бедра куриного, мясо куриное механической обвалки, говядина, вода питьевая, сыворотка молочная сухая, крахмал картофельный,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соль, специи, пряности, экстракты пряностей, сахара, антиокислители (аскорбиновая кислота, лимонная кислота), усилитель вкуса и аромата (глутамат натрия),  краситель (понсо 4R), экстракт монаскуса</v>
          </cell>
          <cell r="L215">
            <v>14</v>
          </cell>
          <cell r="M215">
            <v>25</v>
          </cell>
          <cell r="N215">
            <v>3</v>
          </cell>
          <cell r="O215" t="str">
            <v>293/1175</v>
          </cell>
          <cell r="P215" t="str">
            <v>0…+6</v>
          </cell>
          <cell r="Q215">
            <v>45</v>
          </cell>
        </row>
        <row r="216">
          <cell r="B216">
            <v>1001307027400</v>
          </cell>
          <cell r="C216" t="str">
            <v>МУСУЛЬМАНСКАЯ ASLAM п/к в/у 0.82кг 6шт.</v>
          </cell>
          <cell r="D216" t="str">
            <v>ШТ</v>
          </cell>
          <cell r="E216" t="str">
            <v>Колбасные изделия</v>
          </cell>
          <cell r="F216" t="str">
            <v>Копченые колбасы</v>
          </cell>
          <cell r="G216" t="str">
            <v>ASLAM</v>
          </cell>
          <cell r="H216" t="str">
            <v>ООО Казанские деликатесы</v>
          </cell>
          <cell r="I216" t="str">
            <v>ТУ 10.13.14-176-00425283-2025</v>
          </cell>
          <cell r="J216" t="str">
            <v>Изделие колбасное полукопченое из мяса кур охлажденное.</v>
          </cell>
          <cell r="K216" t="str">
            <v>филе бедра куриного, мясо куриное механической обвалки, говядина, вода питьевая, сыворотка молочная сухая, крахмал картофельный,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соль, специи, пряности, экстракты пряностей, сахара, антиокислители (аскорбиновая кислота, лимонная кислота), усилитель вкуса и аромата (глутамат натрия),  краситель (понсо 4R), экстракт монаскуса</v>
          </cell>
          <cell r="L216">
            <v>14</v>
          </cell>
          <cell r="M216">
            <v>25</v>
          </cell>
          <cell r="N216">
            <v>3</v>
          </cell>
          <cell r="O216" t="str">
            <v>293/1175</v>
          </cell>
          <cell r="P216" t="str">
            <v>0…+6</v>
          </cell>
          <cell r="Q216">
            <v>45</v>
          </cell>
        </row>
        <row r="217">
          <cell r="B217">
            <v>1001057037398</v>
          </cell>
          <cell r="C217" t="str">
            <v>САЛЯМИ ZHAZIRA ASLAM в/к в/у 0.29кг 8шт.</v>
          </cell>
          <cell r="D217" t="str">
            <v>ШТ</v>
          </cell>
          <cell r="E217" t="str">
            <v>Колбасные изделия</v>
          </cell>
          <cell r="F217" t="str">
            <v>Копченые колбасы</v>
          </cell>
          <cell r="G217" t="str">
            <v>ASLAM</v>
          </cell>
          <cell r="H217" t="str">
            <v>ООО Казанские деликатесы</v>
          </cell>
          <cell r="I217" t="str">
            <v>ТУ 10.13.14-176-00425283-2025</v>
          </cell>
          <cell r="J217" t="str">
            <v>Изделие колбасное варено-копченое из мяса кур охлажденное.</v>
          </cell>
          <cell r="K217" t="str">
            <v>филе грудок куриных, мясо куриное механической обвалки, говядина, белок соевый, вода питьевая, крахмал картофельный, смесь посолочно-нитритная (соль, фиксатор окраски (нитрит натрия)), соль, белок животный (говяжий), клетчатка растительная, регуляторы кислотности (пирофосфаты, цитраты натрия), пряности, экстракты пряностей, сахара, антиокислители (аскорбат натрия, аскорбиновая кислота, лимонная кислота), ароматизаторы,  красители (понсо 4R), экстракт монаскуса</v>
          </cell>
          <cell r="L217">
            <v>16</v>
          </cell>
          <cell r="M217">
            <v>24</v>
          </cell>
          <cell r="N217">
            <v>3</v>
          </cell>
          <cell r="O217" t="str">
            <v>292/1211</v>
          </cell>
          <cell r="P217" t="str">
            <v>0…+6</v>
          </cell>
          <cell r="Q217">
            <v>45</v>
          </cell>
        </row>
        <row r="218">
          <cell r="B218">
            <v>1001057037399</v>
          </cell>
          <cell r="C218" t="str">
            <v>САЛЯМИ ZHAZIRA ASLAM в/к в/у 0.82кг</v>
          </cell>
          <cell r="D218" t="str">
            <v>ШТ</v>
          </cell>
          <cell r="E218" t="str">
            <v>Колбасные изделия</v>
          </cell>
          <cell r="F218" t="str">
            <v>Копченые колбасы</v>
          </cell>
          <cell r="G218" t="str">
            <v>ASLAM</v>
          </cell>
          <cell r="H218" t="str">
            <v>ООО Казанские деликатесы</v>
          </cell>
          <cell r="I218" t="str">
            <v>ТУ 10.13.14-176-00425283-2025</v>
          </cell>
          <cell r="J218" t="str">
            <v>Изделие колбасное варено-копченое из мяса кур охлажденное.</v>
          </cell>
          <cell r="K218" t="str">
            <v>филе грудок куриных, мясо куриное механической обвалки, говядина, белок соевый, вода питьевая, крахмал картофельный, смесь посолочно-нитритная (соль, фиксатор окраски (нитрит натрия)), соль, белок животный (говяжий), клетчатка растительная, регуляторы кислотности (пирофосфаты, цитраты натрия), пряности, экстракты пряностей, сахара, антиокислители (аскорбат натрия, аскорбиновая кислота, лимонная кислота), ароматизаторы,  красители (понсо 4R), экстракт монаскуса</v>
          </cell>
          <cell r="L218">
            <v>16</v>
          </cell>
          <cell r="M218">
            <v>24</v>
          </cell>
          <cell r="N218">
            <v>3</v>
          </cell>
          <cell r="O218" t="str">
            <v>292/1211</v>
          </cell>
          <cell r="P218" t="str">
            <v>0…+6</v>
          </cell>
          <cell r="Q218">
            <v>45</v>
          </cell>
        </row>
        <row r="219">
          <cell r="B219">
            <v>1001057047402</v>
          </cell>
          <cell r="C219" t="str">
            <v>СЕРВЕЛАТ SAMAH ASLAM в/к в/у 0.29кг 8шт.</v>
          </cell>
          <cell r="D219" t="str">
            <v>ШТ</v>
          </cell>
          <cell r="E219" t="str">
            <v>Колбасные изделия</v>
          </cell>
          <cell r="F219" t="str">
            <v>Копченые колбасы</v>
          </cell>
          <cell r="G219" t="str">
            <v>ASLAM</v>
          </cell>
          <cell r="H219" t="str">
            <v>ООО Казанские деликатесы</v>
          </cell>
          <cell r="I219" t="str">
            <v>ТУ 10.13.14-176-00425283-2025</v>
          </cell>
          <cell r="J219" t="str">
            <v>Изделие колбасное варено-копченое из мяса кур охлажденное.</v>
          </cell>
          <cell r="K219" t="str">
            <v>филе грудок куриных, мясо птицы механической обвалки, говядина, вода питьевая,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пряности, экстракты пряностей, сахара, антиокислители (аскорбиновая кислота, лимонная кислота), белок растительный гидролизированный, усилитель вкуса и аромата (глутамат натрия), ароматизаторы, экстракт гардении красной</v>
          </cell>
          <cell r="L219">
            <v>15</v>
          </cell>
          <cell r="M219">
            <v>24</v>
          </cell>
          <cell r="N219">
            <v>3</v>
          </cell>
          <cell r="O219" t="str">
            <v>288/1194</v>
          </cell>
          <cell r="P219" t="str">
            <v>0…+6</v>
          </cell>
          <cell r="Q219">
            <v>45</v>
          </cell>
        </row>
        <row r="220">
          <cell r="B220">
            <v>1001057047401</v>
          </cell>
          <cell r="C220" t="str">
            <v>СЕРВЕЛАТ SAMAH ASLAM в/к в/у 0.82кг 6шт.</v>
          </cell>
          <cell r="D220" t="str">
            <v>ШТ</v>
          </cell>
          <cell r="E220" t="str">
            <v>Колбасные изделия</v>
          </cell>
          <cell r="F220" t="str">
            <v>Копченые колбасы</v>
          </cell>
          <cell r="G220" t="str">
            <v>ASLAM</v>
          </cell>
          <cell r="H220" t="str">
            <v>ООО Казанские деликатесы</v>
          </cell>
          <cell r="I220" t="str">
            <v>ТУ 10.13.14-176-00425283-2025</v>
          </cell>
          <cell r="J220" t="str">
            <v>Изделие колбасное варено-копченое из мяса кур охлажденное.</v>
          </cell>
          <cell r="K220" t="str">
            <v>филе грудок куриных, мясо птицы механической обвалки, говядина, вода питьевая,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пряности, экстракты пряностей, сахара, антиокислители (аскорбиновая кислота, лимонная кислота), белок растительный гидролизированный, усилитель вкуса и аромата (глутамат натрия), ароматизаторы, экстракт гардении красной</v>
          </cell>
          <cell r="L220">
            <v>15</v>
          </cell>
          <cell r="M220">
            <v>24</v>
          </cell>
          <cell r="N220">
            <v>3</v>
          </cell>
          <cell r="O220" t="str">
            <v>288/1194</v>
          </cell>
          <cell r="P220" t="str">
            <v>0…+6</v>
          </cell>
          <cell r="Q220">
            <v>45</v>
          </cell>
        </row>
        <row r="221">
          <cell r="B221">
            <v>1001305427372</v>
          </cell>
          <cell r="C221" t="str">
            <v>РУБЛЕНАЯ ПМ п/к в/у 0.28кг 8шт.</v>
          </cell>
          <cell r="D221" t="str">
            <v>ШТ</v>
          </cell>
          <cell r="E221" t="str">
            <v>Колбасные изделия</v>
          </cell>
          <cell r="F221" t="str">
            <v>Копченые колбасы</v>
          </cell>
          <cell r="G221" t="str">
            <v>Папа может</v>
          </cell>
          <cell r="H221" t="str">
            <v>ОМПК(К)</v>
          </cell>
          <cell r="I221" t="str">
            <v>ТУ 10.13.14-160-00425283-2022</v>
          </cell>
          <cell r="J221" t="str">
            <v>Мясной продукт. Изделие колбасное полукопченое категории Б.</v>
          </cell>
          <cell r="K221" t="str">
            <v>свинина, вода питьевая, стабилизатор белковый (шкурка свиная, вода питьевая), крахмал картофельный, сыворотка молочная сухая, соль,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сахара, чеснок сушеный, экстракты пряностей (перец черный, кардамон), антиокислители (аскорбиновая кислота, лимонная кислота, аскорбат натрия), усилитель вкуса и аромата (глутамат натрия), ароматизаторы, краситель (кармины)</v>
          </cell>
          <cell r="L221">
            <v>14</v>
          </cell>
          <cell r="M221">
            <v>14</v>
          </cell>
          <cell r="N221">
            <v>3</v>
          </cell>
          <cell r="O221" t="str">
            <v>198/824</v>
          </cell>
          <cell r="P221" t="str">
            <v>0…+6</v>
          </cell>
          <cell r="Q221">
            <v>50</v>
          </cell>
        </row>
        <row r="222">
          <cell r="B222">
            <v>1001307387486</v>
          </cell>
          <cell r="C222" t="str">
            <v>КОЛБ.ВЕТЧИН.С ГОРЧИЦЕЙ ПМ п/к в/у 0.25кг</v>
          </cell>
          <cell r="D222" t="str">
            <v>ШТ</v>
          </cell>
          <cell r="E222" t="str">
            <v>Колбасные изделия</v>
          </cell>
          <cell r="F222" t="str">
            <v>Копченые колбасы</v>
          </cell>
          <cell r="G222" t="str">
            <v>Папа может</v>
          </cell>
          <cell r="H222" t="str">
            <v>ОМПК(О)</v>
          </cell>
          <cell r="I222" t="str">
            <v>ТУ 10.13.14-160-00425283-2022</v>
          </cell>
          <cell r="J222" t="str">
            <v>Мясной продукт. Изделие колбасное полукопченое категории Б.</v>
          </cell>
          <cell r="K222" t="str">
            <v>свинина, стабилизатор белковый (шкурка свиная, вода питьевая), вода питьевая, сыворотка молочная сухая, смесь посолочно-нитритная (соль, фиксатор окраски (нитрит натрия)), стабилизаторы (пирофосфаты, полифосфаты), регуляторы кислотности (трифосфаты, цитраты натрия), семена горчицы, уксус спиртовой, соль, сахара, перец белый молотый, перец черный молотый, чеснок сушеный молотый, экстракты пряностей, антиокислители (аскорбиновая кислота, лимонная кислота, изоаскорбат натрия), усилитель вкуса и аромата (глутамат натрия), ароматизаторы</v>
          </cell>
          <cell r="L222">
            <v>16</v>
          </cell>
          <cell r="M222">
            <v>20</v>
          </cell>
          <cell r="N222">
            <v>3</v>
          </cell>
          <cell r="O222" t="str">
            <v>256/1063</v>
          </cell>
          <cell r="P222" t="str">
            <v>0…+6</v>
          </cell>
          <cell r="Q222">
            <v>45</v>
          </cell>
        </row>
        <row r="223">
          <cell r="B223">
            <v>1001307367487</v>
          </cell>
          <cell r="C223" t="str">
            <v>КОЛБАСКИ ШТУТГАРТСКИЕ ПМ п/к в/у 0.25кг</v>
          </cell>
          <cell r="D223" t="str">
            <v>ШТ</v>
          </cell>
          <cell r="E223" t="str">
            <v>Колбасные изделия</v>
          </cell>
          <cell r="F223" t="str">
            <v>Копченые колбасы</v>
          </cell>
          <cell r="G223" t="str">
            <v>Папа может</v>
          </cell>
          <cell r="H223" t="str">
            <v>ОМПК(О)</v>
          </cell>
          <cell r="I223" t="str">
            <v>ТУ 10.13.14-160-00425283-2022</v>
          </cell>
          <cell r="J223" t="str">
            <v>Мясной продукт. Изделие колбасное полукопченое категории Б.</v>
          </cell>
          <cell r="K223" t="str">
            <v>свинина, стабилизатор белковый (шкурка свиная, вода питьевая), вода питьевая, смесь посолочно-нитритная (соль, фиксатор окраски (нитрит натрия)), соль, стабилизаторы (полифосфаты, пирофосфаты), регуляторы кислотности (трифосфаты, цитраты натрия), перец черный молотый, кумин молотый, паприка молотая, куркума, орегано сушеный молотый, чеснок сушеный молотый, экстракты пряностей, пряности, сахар, антиокислители (аскорбиновая кислота, лимонная кислота, изоаскорбат натрия), усилитель вкуса и аромата (глутамат натрия), ароматизаторы</v>
          </cell>
          <cell r="L223">
            <v>16</v>
          </cell>
          <cell r="M223">
            <v>21</v>
          </cell>
          <cell r="N223">
            <v>2</v>
          </cell>
          <cell r="O223" t="str">
            <v>261/1083</v>
          </cell>
          <cell r="P223" t="str">
            <v>0…+6</v>
          </cell>
          <cell r="Q223">
            <v>45</v>
          </cell>
        </row>
        <row r="224">
          <cell r="B224">
            <v>1001307377488</v>
          </cell>
          <cell r="C224" t="str">
            <v>КОЛБАСКИ КАРРИВУРСТ ПМ п/к в/у 0.25кг</v>
          </cell>
          <cell r="D224" t="str">
            <v>ШТ</v>
          </cell>
          <cell r="E224" t="str">
            <v>Колбасные изделия</v>
          </cell>
          <cell r="F224" t="str">
            <v>Копченые колбасы</v>
          </cell>
          <cell r="G224" t="str">
            <v>Папа может</v>
          </cell>
          <cell r="H224" t="str">
            <v>ОМПК(О)</v>
          </cell>
          <cell r="I224" t="str">
            <v>ТУ 10.13.14-160-00425283-2022</v>
          </cell>
          <cell r="J224" t="str">
            <v>Мясной продукт. Изделие колбасное полукопченое категории Б.</v>
          </cell>
          <cell r="K224" t="str">
            <v>свинина, стабилизатор белковый (шкурка свиная, вода питьевая), вода питьевая, смесь посолочно-нитритная (соль, фиксатор окраски (нитрит натрия)), желатин (свиной), стабилизаторы (полифосфаты, пирофосфаты), регуляторы кислотности (трифосфаты, цитраты натрия), загустители (гуаровая камедь, ксантановая камедь, тары камедь), куркума, кориандр молотый, перец красный молотый, перец черный молотый, горчица, экстракты пряностей (кориандр, перец красный, пажитник, кумин, перец черный, сельдерей, перец белый, чеснок), лук сушеный молотый, чеснок сушеный молотый, сахара, соль, антиокислители (аскорбиновая кислота, лимонная кислота), усилитель вкуса и аромата (глутамат натрия), ароматизаторы</v>
          </cell>
          <cell r="L224">
            <v>16</v>
          </cell>
          <cell r="M224">
            <v>20</v>
          </cell>
          <cell r="N224">
            <v>3</v>
          </cell>
          <cell r="O224" t="str">
            <v>256/1063</v>
          </cell>
          <cell r="P224" t="str">
            <v>0…+6</v>
          </cell>
          <cell r="Q224">
            <v>45</v>
          </cell>
        </row>
        <row r="225">
          <cell r="B225">
            <v>1001053946097</v>
          </cell>
          <cell r="C225" t="str">
            <v>КОЛБ.СНЭКИ Папа может в/к мгс 1/200</v>
          </cell>
          <cell r="D225" t="str">
            <v>ШТ</v>
          </cell>
          <cell r="E225" t="str">
            <v>Колбасные изделия</v>
          </cell>
          <cell r="F225" t="str">
            <v>Копченые колбасы</v>
          </cell>
          <cell r="G225" t="str">
            <v>Папа может</v>
          </cell>
          <cell r="H225" t="str">
            <v>Юнитекс</v>
          </cell>
          <cell r="I225" t="str">
            <v>ТУ 10.13.14-001-98189035-2019</v>
          </cell>
          <cell r="J225" t="str">
            <v>мясной продукт</v>
          </cell>
          <cell r="K225" t="str">
            <v>свинина, комплексные пищевые добавки: стабилизаторы: альгинат натрия, Е466, цитраты натрия, крахмал картофельный, смесь посолочно-нитритная (соль,фиксатор окраски нитрит натрия), мальтодекстрин, глюкоза, специи, сушеный чеснок, усилитель вкуса и аромата Е621, ароматизаторы, регулятор кислотности молочная кислота, антиоксидант аскорбат натрия, консервант сорбат калия</v>
          </cell>
          <cell r="L225">
            <v>25</v>
          </cell>
          <cell r="M225">
            <v>35</v>
          </cell>
          <cell r="O225" t="str">
            <v>415/1738</v>
          </cell>
          <cell r="P225" t="str">
            <v>+2…+24</v>
          </cell>
          <cell r="Q225">
            <v>120</v>
          </cell>
        </row>
        <row r="226">
          <cell r="B226">
            <v>1001307587562</v>
          </cell>
          <cell r="C226" t="str">
            <v>КРАКОВСКАЯ ГОСТ Останкино п/к н/о мгс</v>
          </cell>
          <cell r="D226" t="str">
            <v>КГ</v>
          </cell>
          <cell r="E226" t="str">
            <v>Колбасные изделия</v>
          </cell>
          <cell r="F226" t="str">
            <v>Копченые колбасы</v>
          </cell>
          <cell r="G226" t="str">
            <v>Останкино</v>
          </cell>
          <cell r="H226" t="str">
            <v>ОМПК(К)</v>
          </cell>
          <cell r="I226" t="str">
            <v>ГОСТ 31785-2012</v>
          </cell>
          <cell r="J226" t="str">
            <v>Мясной продукт. Изделие колбасное полукопченое категории Б.</v>
          </cell>
          <cell r="K226" t="str">
            <v>свинина, говядина, грудинка свиная, соль, смесь посолочно-нитритная (соль, фиксатор окраски (нитрит натрия)), чеснок свежий, натуральные пряности (черный и душистый перцы молотые), сахар, усилитель вкуса и аромата (глутамат натрия)</v>
          </cell>
          <cell r="L226">
            <v>14</v>
          </cell>
          <cell r="M226">
            <v>45</v>
          </cell>
          <cell r="N226">
            <v>0</v>
          </cell>
          <cell r="O226" t="str">
            <v>461/1930</v>
          </cell>
          <cell r="P226" t="str">
            <v>0…+6</v>
          </cell>
          <cell r="Q226">
            <v>45</v>
          </cell>
        </row>
        <row r="227">
          <cell r="B227">
            <v>1001300437291</v>
          </cell>
          <cell r="C227" t="str">
            <v>КРАКОВСКАЯ п/к н/о мгс_45с</v>
          </cell>
          <cell r="D227" t="str">
            <v>КГ</v>
          </cell>
          <cell r="E227" t="str">
            <v>Колбасные изделия</v>
          </cell>
          <cell r="F227" t="str">
            <v>Копченые колбасы</v>
          </cell>
          <cell r="G227" t="str">
            <v>Останкино</v>
          </cell>
          <cell r="H227" t="str">
            <v>ОМПК(К)</v>
          </cell>
          <cell r="I227" t="str">
            <v>ГОСТ 31785-2012</v>
          </cell>
          <cell r="J227" t="str">
            <v>Мясной продукт. Изделие колбасное полукопченое категории Б.</v>
          </cell>
          <cell r="K227" t="str">
            <v>свинина, говядина, грудинка свиная, соль, смесь посолочно-нитритная (соль, фиксатор окраски (нитрит натрия)), чеснок свежий, натуральные пряности (черный и душистый перцы молотые), сахар, усилитель вкуса и аромата (глутамат натрия)</v>
          </cell>
          <cell r="L227">
            <v>14</v>
          </cell>
          <cell r="M227">
            <v>45</v>
          </cell>
          <cell r="N227">
            <v>0</v>
          </cell>
          <cell r="O227" t="str">
            <v>461/1930</v>
          </cell>
          <cell r="P227" t="str">
            <v>0…+6</v>
          </cell>
          <cell r="Q227">
            <v>45</v>
          </cell>
        </row>
        <row r="228">
          <cell r="B228">
            <v>1001303106995</v>
          </cell>
          <cell r="C228" t="str">
            <v>САЛЯМИ Папа может п/к в/у</v>
          </cell>
          <cell r="D228" t="str">
            <v>КГ</v>
          </cell>
          <cell r="E228" t="str">
            <v>Колбасные изделия</v>
          </cell>
          <cell r="F228" t="str">
            <v>Копченые колбасы</v>
          </cell>
          <cell r="G228" t="str">
            <v>Папа может</v>
          </cell>
          <cell r="H228" t="str">
            <v>ОМПК(К)</v>
          </cell>
          <cell r="I228" t="str">
            <v>ТУ 10.13.14-160-00425283-2022</v>
          </cell>
          <cell r="J228" t="str">
            <v>Мясной продукт. Изделие колбасное полукопченое категории В.</v>
          </cell>
          <cell r="K228" t="str">
            <v>свинина, шпик, стабилизатор белковый (шкурка свиная, вода питьевая), мясо куриное механической обвалки, сыворотка молочная сухая, вода питьевая, смесь посолочно-нитритная (соль, фиксатор окраски (нитрит натрия)), крахмал картофельный, соль, регуляторы кислотности (пирофосфаты, трифосфаты, цитраты натрия), загуститель (альгинат натрия), пряности, экстракты пряностей, сахара, чеснок сушеный, антиокислители (аскорбиновая кислота, лимонная кислота), усилитель вкуса и аромата (глутамат натрия), ароматизаторы, краситель (кармины), гемоглобин</v>
          </cell>
          <cell r="L228">
            <v>10</v>
          </cell>
          <cell r="M228">
            <v>22</v>
          </cell>
          <cell r="N228">
            <v>1</v>
          </cell>
          <cell r="O228" t="str">
            <v>242/1001</v>
          </cell>
          <cell r="P228" t="str">
            <v>0…+6</v>
          </cell>
          <cell r="Q228">
            <v>45</v>
          </cell>
        </row>
        <row r="229">
          <cell r="B229">
            <v>1001303107241</v>
          </cell>
          <cell r="C229" t="str">
            <v>САЛЯМИ Папа может п/к в/у 0.28кг_209к</v>
          </cell>
          <cell r="D229" t="str">
            <v>ШТ</v>
          </cell>
          <cell r="E229" t="str">
            <v>Колбасные изделия</v>
          </cell>
          <cell r="F229" t="str">
            <v>Копченые колбасы</v>
          </cell>
          <cell r="G229" t="str">
            <v>Папа может</v>
          </cell>
          <cell r="H229" t="str">
            <v>ОМПК(К)</v>
          </cell>
          <cell r="I229" t="str">
            <v>ТУ 10.13.14-160-00425283-2022</v>
          </cell>
          <cell r="J229" t="str">
            <v>Мясной продукт. Изделие колбасное полукопченое категории В.</v>
          </cell>
          <cell r="K229" t="str">
            <v>свинина, шпик, стабилизатор белковый (шкурка свиная, вода питьевая), мясо куриное механической обвалки, сыворотка молочная сухая, вода питьевая, смесь посолочно-нитритная (соль, фиксатор окраски (нитрит натрия)), крахмал картофельный, соль, регуляторы кислотности (пирофосфаты, трифосфаты, цитраты натрия), загуститель (альгинат натрия), пряности, экстракты пряностей, сахара, чеснок сушеный, антиокислители (аскорбиновая кислота, лимонная кислота), усилитель вкуса и аромата (глутамат натрия), ароматизаторы, краситель (кармины), гемоглобин</v>
          </cell>
          <cell r="L229">
            <v>10</v>
          </cell>
          <cell r="M229">
            <v>22</v>
          </cell>
          <cell r="N229">
            <v>1</v>
          </cell>
          <cell r="O229" t="str">
            <v>242/1001</v>
          </cell>
          <cell r="P229" t="str">
            <v>0…+6</v>
          </cell>
          <cell r="Q229">
            <v>45</v>
          </cell>
        </row>
        <row r="230">
          <cell r="B230">
            <v>1001307077390</v>
          </cell>
          <cell r="C230" t="str">
            <v>ВОСКРЕСЕНСКАЯ ВЯЛЕНАЯ Останкино в/к в/у</v>
          </cell>
          <cell r="D230" t="str">
            <v>КГ</v>
          </cell>
          <cell r="E230" t="str">
            <v>Колбасные изделия</v>
          </cell>
          <cell r="F230" t="str">
            <v>Копченые колбасы</v>
          </cell>
          <cell r="G230" t="str">
            <v>Останкино</v>
          </cell>
          <cell r="H230" t="str">
            <v>ОМПК(К)</v>
          </cell>
          <cell r="I230" t="str">
            <v>ТУ 10.13.14-161-00425283-2022</v>
          </cell>
          <cell r="J230" t="str">
            <v>Мясной продукт. Изделие колбасное варено-копченое.</v>
          </cell>
          <cell r="K230" t="str">
            <v>свинина, стабилизатор белковый (шкурка свиная, вода питьевая), шпик, вода питьевая, сыворотка молочная сухая, крахмал картофельный, смесь посолочно-нитритная (соль, фиксатор окраски (нитрит натрия)), белок животный (говяжий), регуляторы кислотности (пирофосфаты, трифосфаты, цитраты натрия), стабилизатор (полифосфаты), специи и экстракты специй (в т.ч. горчица), сахара, чеснок, белок соевый, антиокислители (аскорбиновая кислота, изоаскорбат натрия), усилитель вкуса и аромата (глутамат натрия), ароматизаторы, гемоглобин, краситель (кармины), фермент (лизин)</v>
          </cell>
          <cell r="L230">
            <v>18</v>
          </cell>
          <cell r="M230">
            <v>36</v>
          </cell>
          <cell r="N230">
            <v>3</v>
          </cell>
          <cell r="O230" t="str">
            <v>408/1689</v>
          </cell>
          <cell r="P230" t="str">
            <v>0…+6</v>
          </cell>
          <cell r="Q230">
            <v>45</v>
          </cell>
        </row>
        <row r="231">
          <cell r="B231">
            <v>1001307077513</v>
          </cell>
          <cell r="C231" t="str">
            <v>ВОСКРЕСЕНСКАЯ ВЯЛЕНАЯ в/к в/у срез 1/260</v>
          </cell>
          <cell r="D231" t="str">
            <v>ШТ</v>
          </cell>
          <cell r="E231" t="str">
            <v>Колбасные изделия</v>
          </cell>
          <cell r="F231" t="str">
            <v>Копченые колбасы</v>
          </cell>
          <cell r="G231" t="str">
            <v>Останкино</v>
          </cell>
          <cell r="H231" t="str">
            <v>ОМПК(К)</v>
          </cell>
          <cell r="I231" t="str">
            <v>ТУ 10.13.14-161-00425283-2022</v>
          </cell>
          <cell r="J231" t="str">
            <v>Мясной продукт. Изделие колбасное варено-копченое.</v>
          </cell>
          <cell r="K231" t="str">
            <v>свинина, стабилизатор белковый (шкурка свиная, вода питьевая), шпик, вода питьевая, сыворотка молочная сухая, крахмал картофельный, смесь посолочно-нитритная (соль, фиксатор окраски (нитрит натрия)), белок животный (говяжий), регуляторы кислотности (пирофосфаты, трифосфаты, цитраты натрия), стабилизатор (полифосфаты), специи и экстракты специй (в т.ч. горчица), сахара, чеснок, белок соевый, антиокислители (аскорбиновая кислота, изоаскорбат натрия), усилитель вкуса и аромата (глутамат натрия), ароматизаторы, гемоглобин, краситель (кармины), фермент (лизин)</v>
          </cell>
          <cell r="L231">
            <v>18</v>
          </cell>
          <cell r="M231">
            <v>36</v>
          </cell>
          <cell r="N231">
            <v>3</v>
          </cell>
          <cell r="O231" t="str">
            <v>408/1689</v>
          </cell>
          <cell r="P231" t="str">
            <v>0…+6</v>
          </cell>
          <cell r="Q231">
            <v>45</v>
          </cell>
        </row>
        <row r="232">
          <cell r="B232">
            <v>1001307107415</v>
          </cell>
          <cell r="C232" t="str">
            <v>НОВОМОСКОВСКАЯ Останкино в/к в/у</v>
          </cell>
          <cell r="D232" t="str">
            <v>КГ</v>
          </cell>
          <cell r="E232" t="str">
            <v>Колбасные изделия</v>
          </cell>
          <cell r="F232" t="str">
            <v>Копченые колбасы</v>
          </cell>
          <cell r="G232" t="str">
            <v>Останкино</v>
          </cell>
          <cell r="H232" t="str">
            <v>ОМПК(К)</v>
          </cell>
          <cell r="I232" t="str">
            <v>ТУ 10.13.14-161-00425283-2022</v>
          </cell>
          <cell r="J232" t="str">
            <v>Мясной продукт. Изделие колбасное варено-копченое.</v>
          </cell>
          <cell r="K232" t="str">
            <v>свинина, шпик, говядина, смесь посолочно-нитритная (соль, фиксатор окраски (нитрит натрия)), соль, регуляторы кислотности (цитраты натрия), стабилизаторы (пирофосфаты, трифосфаты, полифосфаты), сахара, экстракты специй, специи (в т.ч. горчица), усилитель вкуса и аромата (глутамат натрия), гемоглобин, краситель (кармины)</v>
          </cell>
          <cell r="L232">
            <v>14</v>
          </cell>
          <cell r="M232">
            <v>39</v>
          </cell>
          <cell r="N232">
            <v>1</v>
          </cell>
          <cell r="O232" t="str">
            <v>411/1698</v>
          </cell>
          <cell r="P232" t="str">
            <v>0…+6</v>
          </cell>
          <cell r="Q232">
            <v>45</v>
          </cell>
        </row>
        <row r="233">
          <cell r="B233">
            <v>1001307107516</v>
          </cell>
          <cell r="C233" t="str">
            <v>НОВОМОСКОВСКАЯ в/к в/у срез 0.31кг</v>
          </cell>
          <cell r="D233" t="str">
            <v>ШТ</v>
          </cell>
          <cell r="E233" t="str">
            <v>Колбасные изделия</v>
          </cell>
          <cell r="F233" t="str">
            <v>Копченые колбасы</v>
          </cell>
          <cell r="G233" t="str">
            <v>Останкино</v>
          </cell>
          <cell r="H233" t="str">
            <v>ОМПК(К)</v>
          </cell>
          <cell r="I233" t="str">
            <v>ТУ 10.13.14-161-00425283-2022</v>
          </cell>
          <cell r="J233" t="str">
            <v>Мясной продукт. Изделие колбасное варено-копченое.</v>
          </cell>
          <cell r="K233" t="str">
            <v>свинина, шпик, говядина, смесь посолочно-нитритная (соль, фиксатор окраски (нитрит натрия)), соль, регуляторы кислотности (цитраты натрия), стабилизаторы (пирофосфаты, трифосфаты, полифосфаты), сахара, экстракты специй, специи (в т.ч. горчица), усилитель вкуса и аромата (глутамат натрия), гемоглобин, краситель (кармины)</v>
          </cell>
          <cell r="L233">
            <v>14</v>
          </cell>
          <cell r="M233">
            <v>39</v>
          </cell>
          <cell r="N233">
            <v>1</v>
          </cell>
          <cell r="O233" t="str">
            <v>411/1698</v>
          </cell>
          <cell r="P233" t="str">
            <v>0…+6</v>
          </cell>
          <cell r="Q233">
            <v>45</v>
          </cell>
        </row>
        <row r="234">
          <cell r="B234">
            <v>1001306697277</v>
          </cell>
          <cell r="C234" t="str">
            <v>ПАПИН ВЫБОР С ЧЕСНОЧКОМ ПМ п/к в/у 1/420</v>
          </cell>
          <cell r="D234" t="str">
            <v>ШТ</v>
          </cell>
          <cell r="E234" t="str">
            <v>Колбасные изделия</v>
          </cell>
          <cell r="F234" t="str">
            <v>Копченые колбасы</v>
          </cell>
          <cell r="G234" t="str">
            <v>Папа может</v>
          </cell>
          <cell r="H234" t="str">
            <v>ОМПК(К)</v>
          </cell>
          <cell r="I234" t="str">
            <v>ТУ 10.13.14-160-00425283-2022</v>
          </cell>
          <cell r="J234" t="str">
            <v>Мясной продукт. Изделие колбасное полукопченое категории В.</v>
          </cell>
          <cell r="K234" t="str">
            <v>свинина, шпик, мясо цыпленка-бройлера механической обвалки,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соль, клетчатка растительная, регуляторы кислотности (пирофосфаты, трифосфаты, цитраты натрия), стабилизатор (полифосфаты), загустители (альгинат натрия, каррагинан, ксантановая камедь, гуаровая камедь), чеснок сушеный молотый, горчица, ароматизаторы, сахара, антиокислители (аскорбиновая кислота, лимонная кислота), усилитель вкуса и аромата (глутамат натрия 1-замещенный), краситель (кармины)</v>
          </cell>
          <cell r="L234">
            <v>13</v>
          </cell>
          <cell r="M234">
            <v>19</v>
          </cell>
          <cell r="N234">
            <v>5</v>
          </cell>
          <cell r="O234" t="str">
            <v>243/1009</v>
          </cell>
          <cell r="P234" t="str">
            <v>0…+6</v>
          </cell>
          <cell r="Q234">
            <v>45</v>
          </cell>
        </row>
        <row r="235">
          <cell r="B235">
            <v>1001301957294</v>
          </cell>
          <cell r="C235" t="str">
            <v>СЕРВЕЛАТ АВСТРИЙСКИЙ в/к в/у 0.42кг_55с</v>
          </cell>
          <cell r="D235" t="str">
            <v>ШТ</v>
          </cell>
          <cell r="E235" t="str">
            <v>Колбасные изделия</v>
          </cell>
          <cell r="F235" t="str">
            <v>Копченые колбасы</v>
          </cell>
          <cell r="G235" t="str">
            <v>Папа может</v>
          </cell>
          <cell r="H235" t="str">
            <v>ОМПК(К)</v>
          </cell>
          <cell r="I235" t="str">
            <v>ТУ 10.13.14-161-00425283-2022</v>
          </cell>
          <cell r="J235" t="str">
            <v>Мясной продукт. Изделие колбасное варено-копченое.</v>
          </cell>
          <cell r="K235" t="str">
            <v>свинина, филе грудок куриных,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белок животный (говяжий), клетчатка растительная, специи (в т.ч. горчица), ароматизаторы, сахара, регуляторы кислотности (пирофосфаты, трифосфаты, цитраты натрия), антиокислители (аскорбиновая кислота, лимонная кислота), загуститель (альгинат натрия), усилитель вкуса и аромата (глутамат натрия 1-замещенный), гемоглобин, краситель (кармины)</v>
          </cell>
          <cell r="L235">
            <v>12</v>
          </cell>
          <cell r="M235">
            <v>20</v>
          </cell>
          <cell r="N235">
            <v>5</v>
          </cell>
          <cell r="O235" t="str">
            <v>248/1029</v>
          </cell>
          <cell r="P235" t="str">
            <v>0…+6</v>
          </cell>
          <cell r="Q235">
            <v>55</v>
          </cell>
        </row>
        <row r="236">
          <cell r="B236">
            <v>1001307137418</v>
          </cell>
          <cell r="C236" t="str">
            <v>СЕРВЕЛАТ АРБАТСКИЙ АВТОРСКИЙ в/к мгс</v>
          </cell>
          <cell r="D236" t="str">
            <v>КГ</v>
          </cell>
          <cell r="E236" t="str">
            <v>Колбасные изделия</v>
          </cell>
          <cell r="F236" t="str">
            <v>Копченые колбасы</v>
          </cell>
          <cell r="G236" t="str">
            <v>Останкино</v>
          </cell>
          <cell r="H236" t="str">
            <v>ОМПК(К)
ОМПК(О)</v>
          </cell>
          <cell r="I236" t="str">
            <v>ТУ 10.13.14-161-00425283-2022</v>
          </cell>
          <cell r="J236" t="str">
            <v>Мясной продукт. Изделие колбасное варено-копченое.</v>
          </cell>
          <cell r="K236" t="str">
            <v>свинина, шпик, стабилизатор белковый (шкурка свиная, вода питьевая), вода питьевая, сыворотка молочная сухая, крахмал картофельный, смесь посолочно-нитритная (соль, фиксатор окраски (нитрит натрия)), соль, белок животный (говяжий), регуляторы кислотности (пирофосфаты, трифосфаты, цитраты натрия), стабилизатор (полифосфаты), сахара, специи, экстракты специй (в т.ч. горчица), экстракты пряностей, белок соевый, антиокислитель (аскорбиновая кислота), усилитель вкуса и аромата (глутамат натрия), ароматизаторы, гемоглобин, краситель (кармины), фермент (лизин)</v>
          </cell>
          <cell r="L236">
            <v>18</v>
          </cell>
          <cell r="M236">
            <v>36</v>
          </cell>
          <cell r="N236">
            <v>2</v>
          </cell>
          <cell r="O236" t="str">
            <v>404/1672</v>
          </cell>
          <cell r="P236" t="str">
            <v>0…+6</v>
          </cell>
          <cell r="Q236">
            <v>45</v>
          </cell>
        </row>
        <row r="237">
          <cell r="B237">
            <v>1001306717472</v>
          </cell>
          <cell r="C237" t="str">
            <v>Z-СЕРВ. БАВАРСКИЙ в/к (для нарезки)</v>
          </cell>
          <cell r="D237" t="str">
            <v>КГ</v>
          </cell>
          <cell r="E237" t="str">
            <v>Колбасные изделия</v>
          </cell>
          <cell r="F237" t="str">
            <v>Копченые колбасы</v>
          </cell>
          <cell r="G237" t="str">
            <v>Останкино</v>
          </cell>
          <cell r="H237" t="str">
            <v>ОМПК(К)</v>
          </cell>
          <cell r="I237" t="str">
            <v>ТУ 10.13.14-161-00425283-2022</v>
          </cell>
          <cell r="J237" t="str">
            <v>Мясной продукт. Изделие колбасное варено-копченое.</v>
          </cell>
          <cell r="K237" t="str">
            <v>свинина, шпик, стабилизатор белковый (шкурка свиная, вода питьевая), мясо куриное механической обвалки, вода питьевая, сыворотка молочная сухая, крахмал картофельный, смесь посолочно-нитритная (соль, фиксатор окраски (нитрит натрия)), черный перец, белый перец, чеснок, кориандр, красная паприка, соль, белок животный (говяжий), сахар, регуляторы кислотности (трифосфаты, пирофосфаты, глюконо-дельта-лактон, цитраты натрия), экстракты специй и пряностей, антиокислители (лимонная кислота, аскорбиновая кислота, экстракт розмарина), усилитель вкуса и аромата (глутамат натрия), гемоглобин, ароматизаторы, краситель (кармины)</v>
          </cell>
          <cell r="L237">
            <v>13</v>
          </cell>
          <cell r="M237">
            <v>28</v>
          </cell>
          <cell r="N237">
            <v>1</v>
          </cell>
          <cell r="O237" t="str">
            <v>308/1274</v>
          </cell>
          <cell r="P237" t="str">
            <v>0…+6</v>
          </cell>
          <cell r="Q237">
            <v>5</v>
          </cell>
        </row>
        <row r="238">
          <cell r="B238">
            <v>1001306717610</v>
          </cell>
          <cell r="C238" t="str">
            <v>СЕРВЕЛАТ БАВАРСКИЙ в/к с/н в/у 1/100_Л11</v>
          </cell>
          <cell r="D238" t="str">
            <v>ШТ</v>
          </cell>
          <cell r="E238" t="str">
            <v>Колбасные изделия</v>
          </cell>
          <cell r="F238" t="str">
            <v>Копченые колбасы</v>
          </cell>
          <cell r="G238" t="str">
            <v>Останкино</v>
          </cell>
          <cell r="H238" t="str">
            <v>ОМПК(О)</v>
          </cell>
          <cell r="I238" t="str">
            <v>ТУ 10.13.14-161-00425283-2022</v>
          </cell>
          <cell r="J238" t="str">
            <v>Мясной продукт. Изделие колбасное варено-копченое.</v>
          </cell>
          <cell r="K238" t="str">
            <v>свинина, шпик, стабилизатор белковый (шкурка свиная, вода питьевая), сыворотка молочная сухая, смесь посолочно-нитритная (соль, фиксатор окраски (нитрит натрия)), черный перец, белый перец, чеснок сушеный молотый, кориандр, красная паприка, крахмал картофельный, белок животный (говяжий), регуляторы кислотности (пирофосфаты, трифосфаты, глюконо-дельта-лактон, цитраты натрия), горчица, экстракты пряностей, сахара, антиокислители (лимонная кислота, аскорбиновая кислота), усилитель вкуса и аромата (глутамат натрия 1-замещенный), гемоглобин, ароматизаторы, краситель (кармины)</v>
          </cell>
          <cell r="L238">
            <v>14</v>
          </cell>
          <cell r="M238">
            <v>25</v>
          </cell>
          <cell r="N238">
            <v>4</v>
          </cell>
          <cell r="O238" t="str">
            <v>297/1231</v>
          </cell>
          <cell r="P238" t="str">
            <v>0…+6</v>
          </cell>
          <cell r="Q238">
            <v>45</v>
          </cell>
        </row>
        <row r="239">
          <cell r="B239">
            <v>1001306927360</v>
          </cell>
          <cell r="C239" t="str">
            <v>СЕРВЕЛАТ ВЕНСКИЙ п/к в/у 0.65кг_Kvalita</v>
          </cell>
          <cell r="D239" t="str">
            <v>ШТ</v>
          </cell>
          <cell r="E239" t="str">
            <v>Колбасные изделия</v>
          </cell>
          <cell r="F239" t="str">
            <v>Копченые колбасы</v>
          </cell>
          <cell r="G239" t="str">
            <v>СТМ</v>
          </cell>
          <cell r="H239" t="str">
            <v>ОМПК(К)</v>
          </cell>
          <cell r="I239" t="str">
            <v>ТУ 10.13.14-160-00425283-2022</v>
          </cell>
          <cell r="J239" t="str">
            <v>Мясной продукт. Изделие колбасное полукопченое категории Б.</v>
          </cell>
          <cell r="K239" t="str">
            <v>свинина, филе грудок куриных, шпик, белковый стабилизатор (шкурка свиная, вода питьевая), сыворотка молочная сухая, смесь посолочно-нитритная (соль, фиксатор окраски (нитрит натрия)), крахмал кукурузный, соль, сахар, регуляторы кислотности (пирофосфаты, цитраты натрия), стабилизатор (альгинат натрия), пряности и экстракты пряностей (в т.ч. перец черный), антиокислитель (лимонная кислота), усилитель вкуса и аромата (глутамат натрия), гемоглобин, краситель (кармины)</v>
          </cell>
          <cell r="L239">
            <v>12</v>
          </cell>
          <cell r="M239">
            <v>20</v>
          </cell>
          <cell r="N239">
            <v>3</v>
          </cell>
          <cell r="O239" t="str">
            <v>240/995</v>
          </cell>
          <cell r="P239" t="str">
            <v>0…+6</v>
          </cell>
          <cell r="Q239">
            <v>45</v>
          </cell>
        </row>
        <row r="240">
          <cell r="B240">
            <v>1001305627161</v>
          </cell>
          <cell r="C240" t="str">
            <v>СЕРВЕЛАТ ДОМАШНИЙ ПМ в/к в/у 0.84кг_50с</v>
          </cell>
          <cell r="D240" t="str">
            <v>ШТ</v>
          </cell>
          <cell r="E240" t="str">
            <v>Колбасные изделия</v>
          </cell>
          <cell r="F240" t="str">
            <v>Копченые колбасы</v>
          </cell>
          <cell r="G240" t="str">
            <v>Папа может</v>
          </cell>
          <cell r="H240" t="str">
            <v>ОМПК(К)</v>
          </cell>
          <cell r="I240" t="str">
            <v>ТУ 10.13.14-161-00425283-2022</v>
          </cell>
          <cell r="J240" t="str">
            <v>Мясной продукт. Изделие колбасное варено-копченое.</v>
          </cell>
          <cell r="K240" t="str">
            <v>свинина, филе грудок куриных, шпик, белковый стабилизатор (шкурка свиная, вода), сыворотка молочная сухая, смесь посолочно-нитритная (соль, фиксатор окраски нитрит натрия), крахмал картофельный, соль, сахар, животный белок говяжий, регуляторы кислотности: пирофосфаты, ацетаты натрия; стабилизатор альгинат натрия, загуститель ксантановая камедь, натуральные специи (горчица, имбирь, мускатный орех, сельдерей), ароматизаторы, антиокислитель изоаскорбат натрия, усилитель вкуса и аромата глутамат натрия, чеснок, краситель кармины</v>
          </cell>
          <cell r="L240">
            <v>13</v>
          </cell>
          <cell r="M240">
            <v>20</v>
          </cell>
          <cell r="O240" t="str">
            <v>232/961</v>
          </cell>
          <cell r="P240" t="str">
            <v>0…+6</v>
          </cell>
          <cell r="Q240">
            <v>50</v>
          </cell>
        </row>
        <row r="241">
          <cell r="B241">
            <v>1001305627505</v>
          </cell>
          <cell r="C241" t="str">
            <v>СЕРВЕЛАТ ДОМАШНИЙ Коровино в/к в/у 1/280</v>
          </cell>
          <cell r="D241" t="str">
            <v>ШТ</v>
          </cell>
          <cell r="E241" t="str">
            <v>Колбасные изделия</v>
          </cell>
          <cell r="F241" t="str">
            <v>Копченые колбасы</v>
          </cell>
          <cell r="G241" t="str">
            <v>Коровино</v>
          </cell>
          <cell r="H241" t="str">
            <v>ОМПК(К)</v>
          </cell>
          <cell r="I241" t="str">
            <v xml:space="preserve">ТУ 10.13.14-154-00425283-2020 </v>
          </cell>
          <cell r="J241" t="str">
            <v>Изделие колбасное варено-копченое из мяса кур охлажденное.</v>
          </cell>
          <cell r="K241" t="str">
            <v>ясо цыпленка-бройлера механической обвалки, свинина, шпик, стабилизатор белковый (шкурка свиная, вода питьевая), вода питьевая, белок соевый, сыворотка молочная сухая, крахмал картофельный, смесь посолочно-нитритная (соль, фиксатор окраски (нитрит натрия)), белок животный (говяжий), регуляторы кислотности (пирофосфаты, трифосфаты, цитраты натрия)), загуститель (альгинат натрия), клетчатка растительная, чеснок сушеный молотый, перец душистый, перец черный, сахара, антиокислитель (аскорбиновая кислота), усилитель вкуса и аромата (глутамат натрия 1-замещенный), ароматизатор, гемоглобин, краситель (кармины)</v>
          </cell>
          <cell r="L241">
            <v>12</v>
          </cell>
          <cell r="M241">
            <v>15</v>
          </cell>
          <cell r="N241">
            <v>4</v>
          </cell>
          <cell r="O241" t="str">
            <v>199/844</v>
          </cell>
          <cell r="P241" t="str">
            <v>0…+6</v>
          </cell>
          <cell r="Q241">
            <v>45</v>
          </cell>
        </row>
        <row r="242">
          <cell r="B242">
            <v>1001300367362</v>
          </cell>
          <cell r="C242" t="str">
            <v>СЕРВЕЛАТ ЕВРОПЕЙСКИЙ в/к в/у 0.35кг_Л</v>
          </cell>
          <cell r="D242" t="str">
            <v>ШТ</v>
          </cell>
          <cell r="E242" t="str">
            <v>Колбасные изделия</v>
          </cell>
          <cell r="F242" t="str">
            <v>Копченые колбасы</v>
          </cell>
          <cell r="G242" t="str">
            <v>СТМ</v>
          </cell>
          <cell r="H242" t="str">
            <v>ОМПК(К)</v>
          </cell>
          <cell r="I242" t="str">
            <v>ТУ 10.13.14-161-00425283-2022</v>
          </cell>
          <cell r="J242" t="str">
            <v>Мясной продукт. Изделие колбасное варено-копченое.</v>
          </cell>
          <cell r="K242" t="str">
            <v>свинина (в т.ч. окорок), филе грудок куриных, шпик, стабилизатор белковый (шкурка свиная, вода питьевая), вода питьевая, сыворотка молочная сухая, смесь посолочно-нитритная (соль, фиксатор окраски (нитрит натрия)), соль, пищевые растительные волокна, регуляторы кислотности (пирофосфаты, трифосфаты, цитраты натрия), стабилизатор (полифосфаты), загуститель (альгинат натрия), специи, сахара, антиокислители (изоаскорбат натрия, аскорбиновая кислота, лимонная кислота), усилитель вкуса и аромата (глутамат натрия), ароматизаторы (в т.ч. горчица), краситель (кармины), гемоглобин</v>
          </cell>
          <cell r="L242">
            <v>11</v>
          </cell>
          <cell r="M242">
            <v>21</v>
          </cell>
          <cell r="N242">
            <v>0</v>
          </cell>
          <cell r="O242" t="str">
            <v>233/964</v>
          </cell>
          <cell r="P242" t="str">
            <v>0…+6</v>
          </cell>
          <cell r="Q242">
            <v>45</v>
          </cell>
        </row>
        <row r="243">
          <cell r="B243">
            <v>1001300366807</v>
          </cell>
          <cell r="C243" t="str">
            <v>СЕРВЕЛАТ ЕВРОПЕЙСКИЙ в/к в/у 0.33кг 8шт.</v>
          </cell>
          <cell r="D243" t="str">
            <v>ШТ</v>
          </cell>
          <cell r="E243" t="str">
            <v>Колбасные изделия</v>
          </cell>
          <cell r="F243" t="str">
            <v>Копченые колбасы</v>
          </cell>
          <cell r="G243" t="str">
            <v>Останкино</v>
          </cell>
          <cell r="H243" t="str">
            <v>ОМПК(К)</v>
          </cell>
          <cell r="I243" t="str">
            <v>ТУ 10.13.14-161-00425283-2022</v>
          </cell>
          <cell r="J243" t="str">
            <v>Мясной продукт. Изделие колбасное варено-копченое.</v>
          </cell>
          <cell r="K243" t="str">
            <v>cвинина, шпик, стабилизатор белковый (шкурка свиная, вода питьевая), вода питьевая, сыворотка молочная сухая, крахмал картофельный, посолочно-нитритная смесь (соль, фиксатор окраски (нитрит натрия)), соль, регуляторы кислотности (пирофосфаты, цитраты натрия), белок животный (говяжий), загуститель (каррагинан), сахара, специи и экстракты специй (перец черный, мацис, кардамон, тмин, имбирь молотый, горчица), усилитель вкуса и аромата (глутамат натрия), ароматизаторы, антиокислитель (аскорбиновая кислота), краситель (кармины)</v>
          </cell>
          <cell r="L243">
            <v>14</v>
          </cell>
          <cell r="M243">
            <v>24</v>
          </cell>
          <cell r="N243">
            <v>2</v>
          </cell>
          <cell r="O243" t="str">
            <v>280/1160</v>
          </cell>
          <cell r="P243" t="str">
            <v>0…+6</v>
          </cell>
          <cell r="Q243">
            <v>45</v>
          </cell>
        </row>
        <row r="244">
          <cell r="B244">
            <v>1001300366806</v>
          </cell>
          <cell r="C244" t="str">
            <v>СЕРВЕЛАТ ЕВРОПЕЙСКИЙ в/к в/у 0.66кг 8шт.</v>
          </cell>
          <cell r="D244" t="str">
            <v>ШТ</v>
          </cell>
          <cell r="E244" t="str">
            <v>Колбасные изделия</v>
          </cell>
          <cell r="F244" t="str">
            <v>Копченые колбасы</v>
          </cell>
          <cell r="G244" t="str">
            <v>Останкино</v>
          </cell>
          <cell r="H244" t="str">
            <v>ОМПК(К)</v>
          </cell>
          <cell r="I244" t="str">
            <v>ТУ 10.13.14-161-00425283-2022</v>
          </cell>
          <cell r="J244" t="str">
            <v>Мясной продукт. Изделие колбасное варено-копченое.</v>
          </cell>
          <cell r="K244" t="str">
            <v>свинина, шпик, белковый стабилизатор (шкурка свиная, вода), вода, сыворотка молочная сухая, крахмал картофельный, посолочно-нитритная смесь (соль, фиксатор окраски нитрит натрия), соль, регуляторы кислотности: пирофосфаты, цитраты натрия, глюконо-дельта-лактон; белок животный говяжий, загуститель каррагинан, сахара, специи и экстракты специй (перец черный, мацис, кардамон, тмин, имбирь молотый, горчица), усилитель вкуса и аромата глутамат натрия, ароматизаторы, антиокислитель аскорбиновая кислота, краситель кармины</v>
          </cell>
          <cell r="L244">
            <v>14</v>
          </cell>
          <cell r="M244">
            <v>24</v>
          </cell>
          <cell r="N244">
            <v>2</v>
          </cell>
          <cell r="O244" t="str">
            <v>280/1160</v>
          </cell>
          <cell r="P244" t="str">
            <v>0…+6</v>
          </cell>
          <cell r="Q244">
            <v>45</v>
          </cell>
        </row>
        <row r="245">
          <cell r="B245">
            <v>1001300367133</v>
          </cell>
          <cell r="C245" t="str">
            <v>СЕРВЕЛАТ ЕВРОПЕЙСКИЙ в/к в/у 0.84кг</v>
          </cell>
          <cell r="D245" t="str">
            <v>КГ</v>
          </cell>
          <cell r="E245" t="str">
            <v>Колбасные изделия</v>
          </cell>
          <cell r="F245" t="str">
            <v>Копченые колбасы</v>
          </cell>
          <cell r="G245" t="str">
            <v>Останкино</v>
          </cell>
          <cell r="H245" t="str">
            <v>ОМПК(К)</v>
          </cell>
          <cell r="I245" t="str">
            <v>ТУ 10.13.14-161-00425283-2022</v>
          </cell>
          <cell r="J245" t="str">
            <v>Мясной продукт. Изделие колбасное варено-копченое.</v>
          </cell>
          <cell r="K245" t="str">
            <v>свинина, шпик, стабилизатор белковый (шкурка свиная, вода питьевая), вода питьевая, сыворотка молочная сухая, крахмал картофельный, посолочно-нитритная смесь (соль, фиксатор окраски (нитрит натрия)), соль, регуляторы кислотности (пирофосфаты, цитраты натрия), белок животный (говяжий), загуститель (каррагинан), сахара, специи и экстракты специй (перец черный, мацис, кардамон, тмин, имбирь молотый, горчица), усилитель вкуса и аромата (глутамат натрия), ароматизаторы, антиокислитель (аскорбиновая кислота), краситель (кармины)</v>
          </cell>
          <cell r="L245">
            <v>14</v>
          </cell>
          <cell r="M245">
            <v>24</v>
          </cell>
          <cell r="N245">
            <v>2</v>
          </cell>
          <cell r="O245" t="str">
            <v>280/1160</v>
          </cell>
          <cell r="P245" t="str">
            <v>0…+6</v>
          </cell>
          <cell r="Q245">
            <v>45</v>
          </cell>
        </row>
        <row r="246">
          <cell r="B246">
            <v>1001300367363</v>
          </cell>
          <cell r="C246" t="str">
            <v>СЕРВЕЛАТ ЕВРОПЕЙСКИЙ в/к в/у 0.7кг 8шт_Л</v>
          </cell>
          <cell r="D246" t="str">
            <v>ШТ</v>
          </cell>
          <cell r="E246" t="str">
            <v>Колбасные изделия</v>
          </cell>
          <cell r="F246" t="str">
            <v>Копченые колбасы</v>
          </cell>
          <cell r="G246" t="str">
            <v>СТМ</v>
          </cell>
          <cell r="H246" t="str">
            <v>ОМПК(К)</v>
          </cell>
          <cell r="I246" t="str">
            <v>ТУ 10.13.14-161-00425283-2022</v>
          </cell>
          <cell r="J246" t="str">
            <v>Мясной продукт. Изделие колбасное варено-копченое.</v>
          </cell>
          <cell r="K246" t="str">
            <v>свинина (в т.ч. окорок), филе грудок куриных, шпик, стабилизатор белковый (шкурка свиная, вода питьевая), вода питьевая, сыворотка молочная сухая, смесь посолочно-нитритная (соль, фиксатор окраски (нитрит натрия)), соль, пищевые растительные волокна, регуляторы кислотности (пирофосфаты, трифосфаты, цитраты натрия), стабилизатор (полифосфаты), загуститель (альгинат натрия), специи, сахара, антиокислители (изоаскорбат натрия, аскорбиновая кислота, лимонная кислота), усилитель вкуса и аромата (глутамат натрия), ароматизаторы (в т.ч. горчица), краситель (кармины), гемоглобин</v>
          </cell>
          <cell r="L246">
            <v>11</v>
          </cell>
          <cell r="M246">
            <v>21</v>
          </cell>
          <cell r="N246">
            <v>0</v>
          </cell>
          <cell r="O246" t="str">
            <v>233/964</v>
          </cell>
          <cell r="P246" t="str">
            <v>0…+6</v>
          </cell>
          <cell r="Q246">
            <v>45</v>
          </cell>
        </row>
        <row r="247">
          <cell r="B247">
            <v>1001050385943</v>
          </cell>
          <cell r="C247" t="str">
            <v>Z-СЕРВЕЛАТ ЗЕРНИСТЫЙ Папа может в/к в/у</v>
          </cell>
          <cell r="D247" t="str">
            <v>КГ</v>
          </cell>
          <cell r="E247" t="str">
            <v>Колбасные изделия</v>
          </cell>
          <cell r="F247" t="str">
            <v>Копченые колбасы</v>
          </cell>
          <cell r="G247" t="str">
            <v>Папа может</v>
          </cell>
          <cell r="H247" t="str">
            <v>ОМПК(К)</v>
          </cell>
          <cell r="I247" t="str">
            <v>ТУ 10.13.14-161-00425283-2022</v>
          </cell>
          <cell r="J247" t="str">
            <v>Мясной продукт. Изделие колбасное варено-копченое.</v>
          </cell>
          <cell r="K247" t="str">
            <v>свинина, филе грудок куриных, мясо цыплят-бройлеров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экстракты специй,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v>
          </cell>
          <cell r="L247">
            <v>12</v>
          </cell>
          <cell r="M247">
            <v>19</v>
          </cell>
          <cell r="N247">
            <v>5</v>
          </cell>
          <cell r="O247" t="str">
            <v>239/992</v>
          </cell>
          <cell r="P247" t="str">
            <v>0…+6</v>
          </cell>
          <cell r="Q247">
            <v>45</v>
          </cell>
        </row>
        <row r="248">
          <cell r="B248">
            <v>1001300387157</v>
          </cell>
          <cell r="C248" t="str">
            <v>СЕРВЕЛАТ ЗЕРНИСТЫЙ ПМ в/к в/у_50с</v>
          </cell>
          <cell r="D248" t="str">
            <v>КГ</v>
          </cell>
          <cell r="E248" t="str">
            <v>Колбасные изделия</v>
          </cell>
          <cell r="F248" t="str">
            <v>Копченые колбасы</v>
          </cell>
          <cell r="G248" t="str">
            <v>Папа может</v>
          </cell>
          <cell r="H248" t="str">
            <v>ОМПК(К)</v>
          </cell>
          <cell r="I248" t="str">
            <v>ТУ 10.13.14-161-00425283-2022</v>
          </cell>
          <cell r="J248" t="str">
            <v>Мясной продукт. Изделие колбасное варено-копченое.</v>
          </cell>
          <cell r="K248" t="str">
            <v>свинина, филе грудок куриных, мясо цыплят-бройлеров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экстракты специй,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v>
          </cell>
          <cell r="L248">
            <v>12</v>
          </cell>
          <cell r="M248">
            <v>19</v>
          </cell>
          <cell r="N248">
            <v>5</v>
          </cell>
          <cell r="O248" t="str">
            <v>239/992</v>
          </cell>
          <cell r="P248" t="str">
            <v>0…+6</v>
          </cell>
          <cell r="Q248">
            <v>50</v>
          </cell>
        </row>
        <row r="249">
          <cell r="B249">
            <v>1001300386913</v>
          </cell>
          <cell r="C249" t="str">
            <v>СЕРВЕЛАТ ЗЕРНИСТЫЙ Папа может в/к в/у_О</v>
          </cell>
          <cell r="D249" t="str">
            <v>КГ</v>
          </cell>
          <cell r="E249" t="str">
            <v>Колбасные изделия</v>
          </cell>
          <cell r="F249" t="str">
            <v>Копченые колбасы</v>
          </cell>
          <cell r="G249" t="str">
            <v>Папа может</v>
          </cell>
          <cell r="H249" t="str">
            <v>ОМПК(К)</v>
          </cell>
          <cell r="I249" t="str">
            <v>ТУ 10.13.14-161-00425283-2022</v>
          </cell>
          <cell r="J249" t="str">
            <v>Мясной продукт. Изделие колбасное варено-копченое.</v>
          </cell>
          <cell r="K249" t="str">
            <v>свинина, филе грудок куриных, мясо цыплят-бройлеров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экстракты специй,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v>
          </cell>
          <cell r="L249">
            <v>12</v>
          </cell>
          <cell r="M249">
            <v>19</v>
          </cell>
          <cell r="N249">
            <v>5</v>
          </cell>
          <cell r="O249" t="str">
            <v>239/992</v>
          </cell>
          <cell r="P249" t="str">
            <v>0…+6</v>
          </cell>
          <cell r="Q249">
            <v>50</v>
          </cell>
        </row>
        <row r="250">
          <cell r="B250">
            <v>1001300387154</v>
          </cell>
          <cell r="C250" t="str">
            <v>СЕРВЕЛАТ ЗЕРНИСТЫЙ ПМ в/к в/у 0.35кг_50с</v>
          </cell>
          <cell r="D250" t="str">
            <v>ШТ</v>
          </cell>
          <cell r="E250" t="str">
            <v>Колбасные изделия</v>
          </cell>
          <cell r="F250" t="str">
            <v>Копченые колбасы</v>
          </cell>
          <cell r="G250" t="str">
            <v>Папа может</v>
          </cell>
          <cell r="H250" t="str">
            <v>ОМПК(К)</v>
          </cell>
          <cell r="I250" t="str">
            <v>ТУ 10.13.14-161-00425283-2022</v>
          </cell>
          <cell r="J250" t="str">
            <v>Мясной продукт. Изделие колбасное варено-копченое.</v>
          </cell>
          <cell r="K250" t="str">
            <v>свинина, филе грудок куриных, мясо цыплят-бройлеров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экстракты специй,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v>
          </cell>
          <cell r="L250">
            <v>12</v>
          </cell>
          <cell r="M250">
            <v>19</v>
          </cell>
          <cell r="N250">
            <v>5</v>
          </cell>
          <cell r="O250" t="str">
            <v>239/992</v>
          </cell>
          <cell r="P250" t="str">
            <v>0…+6</v>
          </cell>
          <cell r="Q250">
            <v>50</v>
          </cell>
        </row>
        <row r="251">
          <cell r="B251">
            <v>1001300387155</v>
          </cell>
          <cell r="C251" t="str">
            <v>СЕРВЕЛАТ ЗЕРНИСТЫЙ ПМ в/к в/у 0.56кг_50с</v>
          </cell>
          <cell r="D251" t="str">
            <v>ШТ</v>
          </cell>
          <cell r="E251" t="str">
            <v>Колбасные изделия</v>
          </cell>
          <cell r="F251" t="str">
            <v>Копченые колбасы</v>
          </cell>
          <cell r="G251" t="str">
            <v>Папа может</v>
          </cell>
          <cell r="H251" t="str">
            <v>ОМПК(К)</v>
          </cell>
          <cell r="I251" t="str">
            <v>ТУ 10.13.14-161-00425283-2022</v>
          </cell>
          <cell r="J251" t="str">
            <v>Мясной продукт. Изделие колбасное варено-копченое.</v>
          </cell>
          <cell r="K251" t="str">
            <v>свинина, филе грудок куриных, мясо цыплят-бройлеров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экстракты специй,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v>
          </cell>
          <cell r="L251">
            <v>12</v>
          </cell>
          <cell r="M251">
            <v>19</v>
          </cell>
          <cell r="N251">
            <v>5</v>
          </cell>
          <cell r="O251" t="str">
            <v>239/992</v>
          </cell>
          <cell r="P251" t="str">
            <v>0…+6</v>
          </cell>
          <cell r="Q251">
            <v>50</v>
          </cell>
        </row>
        <row r="252">
          <cell r="B252">
            <v>1001304506998</v>
          </cell>
          <cell r="C252" t="str">
            <v>СЕРВЕЛАТ КАРЕЛЬСКИЙ ПМ в/к в/у 0.35кг</v>
          </cell>
          <cell r="D252" t="str">
            <v>ШТ</v>
          </cell>
          <cell r="E252" t="str">
            <v>Колбасные изделия</v>
          </cell>
          <cell r="F252" t="str">
            <v>Копченые колбасы</v>
          </cell>
          <cell r="G252" t="str">
            <v>Папа может</v>
          </cell>
          <cell r="H252" t="str">
            <v>ОМПК(К)</v>
          </cell>
          <cell r="I252" t="str">
            <v>ТУ 10.13.14-161-00425283-2022</v>
          </cell>
          <cell r="J252" t="str">
            <v>Мясной продукт. Изделие колбасное варено-копченое.</v>
          </cell>
          <cell r="K252" t="str">
            <v>свинина, филе грудок куриных, шпик, стабилизатор белковый (шкурка свиная, 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v>
          </cell>
          <cell r="L252">
            <v>13</v>
          </cell>
          <cell r="M252">
            <v>20</v>
          </cell>
          <cell r="N252">
            <v>6</v>
          </cell>
          <cell r="O252" t="str">
            <v>256/1063</v>
          </cell>
          <cell r="P252" t="str">
            <v>0…+6</v>
          </cell>
          <cell r="Q252">
            <v>45</v>
          </cell>
        </row>
        <row r="253">
          <cell r="B253">
            <v>1001304507236</v>
          </cell>
          <cell r="C253" t="str">
            <v>СЕРВЕЛАТ КАРЕЛЬСКИЙ в/к в/у 0.28кг_209к</v>
          </cell>
          <cell r="D253" t="str">
            <v>ШТ</v>
          </cell>
          <cell r="E253" t="str">
            <v>Колбасные изделия</v>
          </cell>
          <cell r="F253" t="str">
            <v>Копченые колбасы</v>
          </cell>
          <cell r="G253" t="str">
            <v>Папа может</v>
          </cell>
          <cell r="H253" t="str">
            <v>ОМПК(К)</v>
          </cell>
          <cell r="I253" t="str">
            <v>ТУ 10.13.14-161-00425283-2022</v>
          </cell>
          <cell r="J253" t="str">
            <v>Мясной продукт. Изделие колбасное варено-копченое.</v>
          </cell>
          <cell r="K253" t="str">
            <v>свинина, филе грудок куриных, шпик стабилизатор белковый (шкурка свиная, 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v>
          </cell>
          <cell r="L253">
            <v>13</v>
          </cell>
          <cell r="M253">
            <v>20</v>
          </cell>
          <cell r="N253">
            <v>6</v>
          </cell>
          <cell r="O253" t="str">
            <v>256/1063</v>
          </cell>
          <cell r="P253" t="str">
            <v>0…+6</v>
          </cell>
          <cell r="Q253">
            <v>45</v>
          </cell>
        </row>
        <row r="254">
          <cell r="B254">
            <v>1001304237158</v>
          </cell>
          <cell r="C254" t="str">
            <v>СЕРВ.КОПЧ.НА БУКЕ в/к в/у 0.35кг_СНГ_50с</v>
          </cell>
          <cell r="D254" t="str">
            <v>ШТ</v>
          </cell>
          <cell r="E254" t="str">
            <v>Колбасные изделия</v>
          </cell>
          <cell r="F254" t="str">
            <v>Копченые колбасы</v>
          </cell>
          <cell r="G254" t="str">
            <v>Папа может</v>
          </cell>
          <cell r="H254" t="str">
            <v>ОМПК(К)</v>
          </cell>
          <cell r="I254" t="str">
            <v>ТУ 10.13.14-161-00425283-2022</v>
          </cell>
          <cell r="J254" t="str">
            <v>Мясной продукт. Изделие колбасное варено-копченое.</v>
          </cell>
          <cell r="K254" t="str">
            <v>свинина, мясо птицы бескостное, шпик, стабилизатор белковый (шкурка свиная, вода питьевая), вода питьевая, сыворотка сухая молочная, крахмал кукурузный, смесь посолочно-нитритная (соль, фиксатор окраски (нитрит натрия)), соль, клетчатка, сахар, регуляторы кислотности (пирофосфаты, трифосфаты, цитраты натрия), загуститель (альгинат натрия), специи, экстракты специй, чеснок сушеный, лук сушеный, антиокислители (изоаскорбат натрия, лимонная кислота, аскорбиновая кислота), усилитель вкуса и аромата (глутамат натрия), ароматизаторы, гемоглобин, краситель (кармины)</v>
          </cell>
          <cell r="L254">
            <v>10</v>
          </cell>
          <cell r="M254">
            <v>24</v>
          </cell>
          <cell r="N254">
            <v>3</v>
          </cell>
          <cell r="O254" t="str">
            <v>268/1109</v>
          </cell>
          <cell r="P254" t="str">
            <v>0…+6</v>
          </cell>
          <cell r="Q254">
            <v>50</v>
          </cell>
        </row>
        <row r="255">
          <cell r="B255">
            <v>1001305587179</v>
          </cell>
          <cell r="C255" t="str">
            <v>СЕРВЕЛАТ КОПЧ.С ДЫМ.ПМ в/к в/у 1/350_50с</v>
          </cell>
          <cell r="D255" t="str">
            <v>ШТ</v>
          </cell>
          <cell r="E255" t="str">
            <v>Колбасные изделия</v>
          </cell>
          <cell r="F255" t="str">
            <v>Копченые колбасы</v>
          </cell>
          <cell r="G255" t="str">
            <v>Папа может</v>
          </cell>
          <cell r="H255" t="str">
            <v>ОМПК(К)</v>
          </cell>
          <cell r="I255" t="str">
            <v>ТУ 10.13.14-161-00425283-2022</v>
          </cell>
          <cell r="J255" t="str">
            <v>Мясной продукт. Изделие колбасное варено-копченое.</v>
          </cell>
          <cell r="K255" t="str">
            <v>свинина, филе грудки куриной, шпик, стабилизатор белковый (шкурка свиная, вода питьевая), мясо цыпленка-бройлера механической обвалки,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клетчатка растительная, белок животный (говяжий), загуститель (альгинат натрия), чеснок сушеный молотый, лук репчатый сушеный, экстракты специй, сахара, антиокислители (аскорбиновая кислота, лимонная кислота), гемоглобин, краситель (кармины)</v>
          </cell>
          <cell r="L255">
            <v>13</v>
          </cell>
          <cell r="M255">
            <v>20</v>
          </cell>
          <cell r="N255">
            <v>5</v>
          </cell>
          <cell r="O255" t="str">
            <v>252/1046</v>
          </cell>
          <cell r="P255" t="str">
            <v>0…+6</v>
          </cell>
          <cell r="Q255">
            <v>50</v>
          </cell>
        </row>
        <row r="256">
          <cell r="B256">
            <v>1001304237156</v>
          </cell>
          <cell r="C256" t="str">
            <v>СЕРВЕЛАТ КОПЧ.НА БУКЕ в/к в/у 0.35кг_50с</v>
          </cell>
          <cell r="D256" t="str">
            <v>ШТ</v>
          </cell>
          <cell r="E256" t="str">
            <v>Колбасные изделия</v>
          </cell>
          <cell r="F256" t="str">
            <v>Копченые колбасы</v>
          </cell>
          <cell r="G256" t="str">
            <v>Папа может</v>
          </cell>
          <cell r="H256" t="str">
            <v>ОМПК(К)</v>
          </cell>
          <cell r="I256" t="str">
            <v>ТУ 10.13.14-161-00425283-2022</v>
          </cell>
          <cell r="J256" t="str">
            <v>Мясной продукт. Изделие колбасное варено-копченое.</v>
          </cell>
          <cell r="K256" t="str">
            <v>свинина, филе грудки куриной, мясо цыплят-бройлеров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клетчатка растительная, белок животный (говяжий), загуститель (альгинат натрия), чеснок сушеный молотый, лук репчатый сушеный, экстракты специй, сахара, антиокислители (аскорбиновая кислота, лимонная кислота), гемоглобин, краситель (кармины)</v>
          </cell>
          <cell r="L256">
            <v>13</v>
          </cell>
          <cell r="M256">
            <v>20</v>
          </cell>
          <cell r="N256">
            <v>5</v>
          </cell>
          <cell r="O256" t="str">
            <v>252/1046</v>
          </cell>
          <cell r="P256" t="str">
            <v>0…+6</v>
          </cell>
          <cell r="Q256">
            <v>50</v>
          </cell>
        </row>
        <row r="257">
          <cell r="B257">
            <v>1001304237335</v>
          </cell>
          <cell r="C257" t="str">
            <v>СЕРВЕЛАТ КОПЧ.НА БУКЕ ПМ в/к в/у 0.7кг</v>
          </cell>
          <cell r="D257" t="str">
            <v>ШТ</v>
          </cell>
          <cell r="E257" t="str">
            <v>Колбасные изделия</v>
          </cell>
          <cell r="F257" t="str">
            <v>Копченые колбасы</v>
          </cell>
          <cell r="G257" t="str">
            <v>Папа может</v>
          </cell>
          <cell r="H257" t="str">
            <v>ОМПК(К)</v>
          </cell>
          <cell r="I257" t="str">
            <v>ТУ 10.13.14-161-00425283-2022</v>
          </cell>
          <cell r="J257" t="str">
            <v>Мясной продукт. Изделие колбасное варено-копченое.</v>
          </cell>
          <cell r="K257" t="str">
            <v>свинина, мясо птицы бескостное, шпик, стабилизатор белковый (шкурка свиная, вода питьевая), вода питьевая, сыворотка сухая молочная, крахмал кукурузный, смесь посолочно-нитритная (соль, фиксатор окраски (нитрит натрия)), соль, клетчатка, сахар, регуляторы кислотности (пирофосфаты, трифосфаты, цитраты натрия), загуститель (альгинат натрия), специи, экстракты специй, чеснок сушеный, лук сушеный, антиокислители (изоаскорбат натрия, лимонная кислота, аскорбиновая кислота), усилитель вкуса и аромата (глутамат натрия), ароматизаторы, гемоглобин, краситель (кармины)</v>
          </cell>
          <cell r="L257">
            <v>10</v>
          </cell>
          <cell r="M257">
            <v>24</v>
          </cell>
          <cell r="N257">
            <v>3</v>
          </cell>
          <cell r="O257" t="str">
            <v>268/1109</v>
          </cell>
          <cell r="P257" t="str">
            <v>0…+6</v>
          </cell>
          <cell r="Q257">
            <v>50</v>
          </cell>
        </row>
        <row r="258">
          <cell r="B258">
            <v>1001305587315</v>
          </cell>
          <cell r="C258" t="str">
            <v>СЕРВЕЛАТ КОП.С ДЫМ.Кор в/к в/у 0.7кг_СНГ</v>
          </cell>
          <cell r="D258" t="str">
            <v>ШТ</v>
          </cell>
          <cell r="E258" t="str">
            <v>Колбасные изделия</v>
          </cell>
          <cell r="F258" t="str">
            <v>Копченые колбасы</v>
          </cell>
          <cell r="G258" t="str">
            <v>Коровино</v>
          </cell>
          <cell r="H258" t="str">
            <v>ОМПК(К)</v>
          </cell>
          <cell r="I258" t="str">
            <v>ТУ 10.13.14-161-00425283-2022</v>
          </cell>
          <cell r="J258" t="str">
            <v>Мясной продукт. Изделие колбасное варено-копченое категории А.</v>
          </cell>
          <cell r="K258" t="str">
            <v>свинина, шпик, стабилизатор белковый (шкурка свиная, вода питьевая), филе грудок куриных, мясо куриное механической обвалки, крахмал кукурузный, сыворотка сухая молочная, смесь посолочно-нитритная (соль, фиксатор окраски (нитрит натрия)), соль, клетчатка, сахар, регуляторы кислотности (пирофосфаты, трифосфаты, цитраты натрия), загуститель (альгинат натрия), специи, экстракты специй, чеснок сушеный, лук сушеный, антиокислители (изоаскорбат натрия, лимонная кислота, аскорбиновая кислота), усилитель вкуса и аромата (глутамат натрия), ароматизаторы, гемоглобин, краситель (кармины)</v>
          </cell>
          <cell r="L258">
            <v>10</v>
          </cell>
          <cell r="M258">
            <v>24</v>
          </cell>
          <cell r="N258">
            <v>3</v>
          </cell>
          <cell r="O258" t="str">
            <v>268/1109</v>
          </cell>
          <cell r="P258" t="str">
            <v>0…+6</v>
          </cell>
          <cell r="Q258">
            <v>60</v>
          </cell>
        </row>
        <row r="259">
          <cell r="B259">
            <v>1001300456946</v>
          </cell>
          <cell r="C259" t="str">
            <v>СЕРВЕЛАТ КРЕМЛЕВСКИЙ в/к в/у 0.84кг</v>
          </cell>
          <cell r="D259" t="str">
            <v>КГ</v>
          </cell>
          <cell r="E259" t="str">
            <v>Колбасные изделия</v>
          </cell>
          <cell r="F259" t="str">
            <v>Копченые колбасы</v>
          </cell>
          <cell r="G259" t="str">
            <v>Останкино</v>
          </cell>
          <cell r="H259" t="str">
            <v>ОМПК(К)</v>
          </cell>
          <cell r="I259" t="str">
            <v>ТУ 10.13.14-161-00425283-2022</v>
          </cell>
          <cell r="J259" t="str">
            <v>Мясной продукт. Изделие колбасное варено-копченое.</v>
          </cell>
          <cell r="K259" t="str">
            <v>свинина, шпик, белковый стабилизатор (шкурка свиная, вода), вода, сыворотка молочная сухая, крахмал картофельный, посолочно-нитритная смесь (соль, фиксатор окраски нитрит натрия), соль, регуляторы кислотности: пирофосфаты, цитраты натрия; стабилизатор полифосфат натрия, белок животный говяжий, сахара, специи (горчица, имбирь, черный перец, мускатный орех, чили, тмин), усилитель вкуса и аромата глутамат натрия, ароматизаторы, антиокислитель изоаскорбат натрия, краситель кармины</v>
          </cell>
          <cell r="L259">
            <v>14</v>
          </cell>
          <cell r="M259">
            <v>24</v>
          </cell>
          <cell r="N259">
            <v>2</v>
          </cell>
          <cell r="O259" t="str">
            <v>280/1160</v>
          </cell>
          <cell r="P259" t="str">
            <v>0…+6</v>
          </cell>
          <cell r="Q259">
            <v>45</v>
          </cell>
        </row>
        <row r="260">
          <cell r="B260">
            <v>1001300456787</v>
          </cell>
          <cell r="C260" t="str">
            <v>СЕРВЕЛАТ КРЕМЛЕВСКИЙ в/к в/у 0.33кг 8шт.</v>
          </cell>
          <cell r="D260" t="str">
            <v>ШТ</v>
          </cell>
          <cell r="E260" t="str">
            <v>Колбасные изделия</v>
          </cell>
          <cell r="F260" t="str">
            <v>Копченые колбасы</v>
          </cell>
          <cell r="G260" t="str">
            <v>Останкино</v>
          </cell>
          <cell r="H260" t="str">
            <v>ОМПК(К)</v>
          </cell>
          <cell r="I260" t="str">
            <v>ТУ 10.13.14-161-00425283-2022</v>
          </cell>
          <cell r="J260" t="str">
            <v>Мясной продукт. Изделие колбасное варено-копченое.</v>
          </cell>
          <cell r="K260" t="str">
            <v>свинина, окорок свиной, шпик, стабилизатор белковый (шкурка свиная, вода питьевая), сыворотка молочная, смесь посолочно-нитритная (соль, фиксатор окраски (нитрит натрия)), крахмал картофельный, регуляторы кислотности (пирофосфаты, трифосфаты, цитраты натрия), белок животный (говяжий), горчица, имбирь, перец черный, мускатный орех, чили, тмин, ароматизаторы, сахара, гемоглобин, антиокислители (лимонная кислота, аскорбиновая кислота), усилитель вкуса и аромата (глутамат натрия 1-замещенный), краситель (кармины)</v>
          </cell>
          <cell r="L260">
            <v>14</v>
          </cell>
          <cell r="M260">
            <v>25</v>
          </cell>
          <cell r="N260">
            <v>3</v>
          </cell>
          <cell r="O260" t="str">
            <v>293/1214</v>
          </cell>
          <cell r="P260" t="str">
            <v>0…+6</v>
          </cell>
          <cell r="Q260">
            <v>45</v>
          </cell>
        </row>
        <row r="261">
          <cell r="B261">
            <v>1001304626688</v>
          </cell>
          <cell r="C261" t="str">
            <v>СЕРВЕЛАТ МЕЛКОЗЕРНЕНЫЙ ПМ в/к в/у 0.35кг</v>
          </cell>
          <cell r="D261" t="str">
            <v>ШТ</v>
          </cell>
          <cell r="E261" t="str">
            <v>Колбасные изделия</v>
          </cell>
          <cell r="F261" t="str">
            <v>Копченые колбасы</v>
          </cell>
          <cell r="G261" t="str">
            <v>Папа может</v>
          </cell>
          <cell r="H261" t="str">
            <v>ОМПК(К)</v>
          </cell>
          <cell r="I261" t="str">
            <v>ТУ 10.13.14-161-00425283-2022</v>
          </cell>
          <cell r="J261" t="str">
            <v>Мясной продукт. Изделие колбасное варено-копченое.</v>
          </cell>
          <cell r="K261" t="str">
            <v>свинина, филе грудок куриных, шпик, белковый стабилизатор (шкурка свиная, вода питьевая), сыворотка сухая молочная, смесь посолочно-нитритная (соль, фиксатор окраски (нитрит натрия)), соль, крахмал кукурузный, регуляторы кислотности (пирофосфаты), стабилизатор (альгинат натрия), загуститель (ксантановая камедь), клетчатка растительная, экстракты специй (черный перец, сельдерей), чеснок сушеный, лук сушеный, усилитель вкуса и аромата (глутамат натрия 1-замещенный), антиокислитель (лимонная кислота), гемоглобин, краситель (кармины)</v>
          </cell>
          <cell r="L261">
            <v>13</v>
          </cell>
          <cell r="M261">
            <v>20</v>
          </cell>
          <cell r="N261">
            <v>5</v>
          </cell>
          <cell r="O261" t="str">
            <v>252/1046</v>
          </cell>
          <cell r="P261" t="str">
            <v>0…+6</v>
          </cell>
          <cell r="Q261">
            <v>50</v>
          </cell>
        </row>
        <row r="262">
          <cell r="B262">
            <v>1001301847392</v>
          </cell>
          <cell r="C262" t="str">
            <v>СЕРВЕЛАТ МОСКОВСКИЙ п/к в/у 0.3кг_бренд</v>
          </cell>
          <cell r="D262" t="str">
            <v>ШТ</v>
          </cell>
          <cell r="E262" t="str">
            <v>Колбасные изделия</v>
          </cell>
          <cell r="F262" t="str">
            <v>Копченые колбасы</v>
          </cell>
          <cell r="G262" t="str">
            <v>Останкино</v>
          </cell>
          <cell r="H262" t="str">
            <v>ОМПК(К)</v>
          </cell>
          <cell r="I262" t="str">
            <v>ГОСТ 31785-2012</v>
          </cell>
          <cell r="J262" t="str">
            <v>Мясной продукт. Изделие колбасное полукопченое категории Б.</v>
          </cell>
          <cell r="K262" t="str">
            <v>говядина, шпик, свинина, смесь посолочно-нитритная (соль, фиксатор окраски (нитрит натрия)), регулятор кислотности (цитраты натрия), молоко сухое обезжиренное, сахар, чеснок сушеный молотый, перец черный молотый, орех мускатный, корица молотая, антиокислитель (аскорбиновая кислота), усилитель вкуса и аромата (глутамат натрия)</v>
          </cell>
          <cell r="L262">
            <v>13</v>
          </cell>
          <cell r="M262">
            <v>41</v>
          </cell>
          <cell r="N262">
            <v>0</v>
          </cell>
          <cell r="O262" t="str">
            <v>421/1738</v>
          </cell>
          <cell r="P262" t="str">
            <v>0…+6</v>
          </cell>
          <cell r="Q262">
            <v>45</v>
          </cell>
        </row>
        <row r="263">
          <cell r="B263">
            <v>1001301847421</v>
          </cell>
          <cell r="C263" t="str">
            <v>СЕРВЕЛАТ МОСКОВСКИЙ п/к в/у 0.3кг</v>
          </cell>
          <cell r="D263" t="str">
            <v>ШТ</v>
          </cell>
          <cell r="E263" t="str">
            <v>Колбасные изделия</v>
          </cell>
          <cell r="F263" t="str">
            <v>Копченые колбасы</v>
          </cell>
          <cell r="G263" t="str">
            <v>Останкино</v>
          </cell>
          <cell r="H263" t="str">
            <v>ОМПК(К)</v>
          </cell>
          <cell r="I263" t="str">
            <v>ГОСТ 31785-2012</v>
          </cell>
          <cell r="J263" t="str">
            <v>Мясной продукт. Изделие колбасное полукопченое категории Б.</v>
          </cell>
          <cell r="K263" t="str">
            <v>говядина, шпик, свинина, смесь посолочно-нитритная (соль, фиксатор окраски (нитрит натрия)), регулятор кислотности (цитраты натрия), молоко сухое обезжиренное, сахар, чеснок сушеный молотый, перец черный молотый, орех мускатный, корица молотая, антиокислитель (аскорбиновая кислота), усилитель вкуса и аромата (глутамат натрия)</v>
          </cell>
          <cell r="L263">
            <v>13</v>
          </cell>
          <cell r="M263">
            <v>41</v>
          </cell>
          <cell r="N263">
            <v>0</v>
          </cell>
          <cell r="O263" t="str">
            <v>421/1738</v>
          </cell>
          <cell r="P263" t="str">
            <v>0…+6</v>
          </cell>
          <cell r="Q263">
            <v>45</v>
          </cell>
        </row>
        <row r="264">
          <cell r="B264">
            <v>1001306647249</v>
          </cell>
          <cell r="C264" t="str">
            <v>СЕРВЕЛАТ МЯСНОЙ в/к в/у 0.28кг</v>
          </cell>
          <cell r="D264" t="str">
            <v>ШТ</v>
          </cell>
          <cell r="E264" t="str">
            <v>Колбасные изделия</v>
          </cell>
          <cell r="F264" t="str">
            <v>Копченые колбасы</v>
          </cell>
          <cell r="G264" t="str">
            <v>Папа может</v>
          </cell>
          <cell r="H264" t="str">
            <v>ОМПК(К)</v>
          </cell>
          <cell r="I264" t="str">
            <v>ТУ 10.13.14-161-00425283-2022</v>
          </cell>
          <cell r="J264" t="str">
            <v>Мясной продукт. Изделие колбасное варено-копченое.</v>
          </cell>
          <cell r="K264" t="str">
            <v>свинина, филе грудок куриных, шпик, стабилизатор белковый (шкурка свиная, 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v>
          </cell>
          <cell r="L264">
            <v>13</v>
          </cell>
          <cell r="M264">
            <v>20</v>
          </cell>
          <cell r="N264">
            <v>6</v>
          </cell>
          <cell r="O264" t="str">
            <v>256/1063</v>
          </cell>
          <cell r="P264" t="str">
            <v>0…+6</v>
          </cell>
          <cell r="Q264">
            <v>45</v>
          </cell>
        </row>
        <row r="265">
          <cell r="B265">
            <v>1001307657600</v>
          </cell>
          <cell r="C265" t="str">
            <v>СЕРВЕЛАТ НЕМЕЦКИЙ ПМ в/к в/у 0.28кг 8шт.</v>
          </cell>
          <cell r="D265" t="str">
            <v>ШТ</v>
          </cell>
          <cell r="E265" t="str">
            <v>Колбасные изделия</v>
          </cell>
          <cell r="F265" t="str">
            <v>Копченые колбасы</v>
          </cell>
          <cell r="G265" t="str">
            <v>Папа может</v>
          </cell>
          <cell r="H265" t="str">
            <v>ОМПК(К)</v>
          </cell>
          <cell r="I265" t="str">
            <v>ТУ 10.13.14-161-00425283-2022</v>
          </cell>
          <cell r="J265" t="str">
            <v>Мясной продукт. Изделие колбасное варено-копченое.</v>
          </cell>
          <cell r="K265" t="str">
            <v>свинина, филе грудок куриных, шпик стабилизатор белковый (шкурка свиная,вода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чеснок сушеный молотый, сахара, антиокислители (лимонная кислота, аскорбиновая кислота), усилитель вкуса и аромата (глутамат натрия 1- замещенный), ароматизаторы, гемоглобин, краситель (кармины)</v>
          </cell>
          <cell r="L265">
            <v>13</v>
          </cell>
          <cell r="M265">
            <v>20</v>
          </cell>
          <cell r="N265">
            <v>6</v>
          </cell>
          <cell r="O265" t="str">
            <v>256/1053</v>
          </cell>
          <cell r="P265" t="str">
            <v>0…+6</v>
          </cell>
          <cell r="Q265">
            <v>45</v>
          </cell>
        </row>
        <row r="266">
          <cell r="B266">
            <v>1001307117416</v>
          </cell>
          <cell r="C266" t="str">
            <v>СЕРВЕЛАТ ОРЕХОВЫЙ С КЕДР.ОРЕХОМ в/к мгс</v>
          </cell>
          <cell r="D266" t="str">
            <v>КГ</v>
          </cell>
          <cell r="E266" t="str">
            <v>Колбасные изделия</v>
          </cell>
          <cell r="F266" t="str">
            <v>Копченые колбасы</v>
          </cell>
          <cell r="G266" t="str">
            <v>Останкино</v>
          </cell>
          <cell r="H266" t="str">
            <v>ОМПК(К)
ОМПК(О)</v>
          </cell>
          <cell r="I266" t="str">
            <v>ТУ 10.13.14-161-00425283-2022</v>
          </cell>
          <cell r="J266" t="str">
            <v>Мясной продукт. Изделие колбасное варено-копченое.</v>
          </cell>
          <cell r="K266" t="str">
            <v>свинина, шпик, стабилизатор белковый (шкурка свиная, вода питьевая), вода питьевая, сыворотка молочная сухая, крахмал картофельный, смесь посолочно-нитритная (соль, фиксатор окраски (нитрит натрия)), соль, белок животный (говяжий), орех кедровый очищенный, регуляторы кислотности (пирофосфаты, трифосфаты, цитраты натрия), стабилизатор (полифосфаты), чеснок, экстракты специй (в т.ч. горчица), сахара, антиокислитель (аскорбиновая кислота), усилитель вкуса и аромата (глутамат натрия), гемоглобин, ароматизаторы, ароматизатор коптильный, краситель (кармины), фермент (лизин)</v>
          </cell>
          <cell r="L266">
            <v>19</v>
          </cell>
          <cell r="M266">
            <v>37</v>
          </cell>
          <cell r="N266">
            <v>2</v>
          </cell>
          <cell r="O266" t="str">
            <v>417/1723</v>
          </cell>
          <cell r="P266" t="str">
            <v>0…+6</v>
          </cell>
          <cell r="Q266">
            <v>45</v>
          </cell>
        </row>
        <row r="267">
          <cell r="B267">
            <v>1001307117547</v>
          </cell>
          <cell r="C267" t="str">
            <v>Z-СЕРВ. ОРЕХОВЫЙ С КЕДР.ОРЕХОМ в/к мгс</v>
          </cell>
          <cell r="D267" t="str">
            <v>КГ</v>
          </cell>
          <cell r="E267" t="str">
            <v>Колбасные изделия</v>
          </cell>
          <cell r="F267" t="str">
            <v>Копченые колбасы</v>
          </cell>
          <cell r="G267" t="str">
            <v>Останкино</v>
          </cell>
          <cell r="H267" t="str">
            <v>ОМПК(К)</v>
          </cell>
          <cell r="I267" t="str">
            <v>ТУ 10.13.14-161-00425283-2022</v>
          </cell>
          <cell r="J267" t="str">
            <v>Мясной продукт. Изделие колбасное варено-копченое.</v>
          </cell>
          <cell r="K267" t="str">
            <v>свинина, шпик, стабилизатор белковый (шкурка свиная, вода питьевая), вода питьевая, сыворотка молочная сухая, крахмал картофельный, смесь посолочно-нитритная (соль, фиксатор окраски (нитрит натрия)), соль, белок животный (говяжий), орех кедровый очищенный, регуляторы кислотности (пирофосфаты, трифосфаты, цитраты натрия), стабилизатор (полифосфаты), чеснок, экстракты специй (в т.ч. горчица), сахара, антиокислитель (аскорбиновая кислота), усилитель вкуса и аромата (глутамат натрия), гемоглобин, ароматизаторы, ароматизатор коптильный, краситель (кармины), фермент (лизин)</v>
          </cell>
          <cell r="L267">
            <v>19</v>
          </cell>
          <cell r="M267">
            <v>37</v>
          </cell>
          <cell r="N267">
            <v>2</v>
          </cell>
          <cell r="O267" t="str">
            <v>417/1723</v>
          </cell>
          <cell r="P267" t="str">
            <v>0…+6</v>
          </cell>
          <cell r="Q267">
            <v>10</v>
          </cell>
        </row>
        <row r="268">
          <cell r="B268">
            <v>1001305197238</v>
          </cell>
          <cell r="C268" t="str">
            <v>СЕРВЕЛАТ ОРЕХОВЫЙ в/к в/у 0.31кг_209к</v>
          </cell>
          <cell r="D268" t="str">
            <v>ШТ</v>
          </cell>
          <cell r="E268" t="str">
            <v>Колбасные изделия</v>
          </cell>
          <cell r="F268" t="str">
            <v>Копченые колбасы</v>
          </cell>
          <cell r="G268" t="str">
            <v>Папа может</v>
          </cell>
          <cell r="H268" t="str">
            <v>ОМПК(К)</v>
          </cell>
          <cell r="I268" t="str">
            <v>ТУ 10.13.14-161-00425283-2022</v>
          </cell>
          <cell r="J268" t="str">
            <v>Мясной продукт. Изделие колбасное варено-копченое.</v>
          </cell>
          <cell r="K268" t="str">
            <v>свинина, шпик, мясо цыпленка-бройлера бескостное, стабилизатор белковый (шкурка свиная, вода питьевая), белок соевый,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орех кедровый, экстракты специй, лук репчатый сушеный, горчица, сахара, антиокислители (лимонная кислота, аскорбиновая кислота), гемоглобин, усилитель вкуса и аромата (глутамат натрия 1-замещенный), ароматизаторы, краситель (кармины)</v>
          </cell>
          <cell r="L268">
            <v>13</v>
          </cell>
          <cell r="M268">
            <v>20</v>
          </cell>
          <cell r="N268">
            <v>4</v>
          </cell>
          <cell r="O268" t="str">
            <v>248/1029</v>
          </cell>
          <cell r="P268" t="str">
            <v>0…+6</v>
          </cell>
          <cell r="Q268">
            <v>45</v>
          </cell>
        </row>
        <row r="269">
          <cell r="B269">
            <v>1001305197379</v>
          </cell>
          <cell r="C269" t="str">
            <v>СЕРВЕЛАТ ОРЕХОВЫЙ Кор в/к в/у 0.65_катА</v>
          </cell>
          <cell r="D269" t="str">
            <v>ШТ</v>
          </cell>
          <cell r="E269" t="str">
            <v>Колбасные изделия</v>
          </cell>
          <cell r="F269" t="str">
            <v>Копченые колбасы</v>
          </cell>
          <cell r="G269" t="str">
            <v>Коровино</v>
          </cell>
          <cell r="H269" t="str">
            <v>ОМПК(К)</v>
          </cell>
          <cell r="I269" t="str">
            <v>ТУ 10.13.14-161-00425283-2022</v>
          </cell>
          <cell r="J269" t="str">
            <v>Мясной продукт. Изделие колбасное варено-копченое А.</v>
          </cell>
          <cell r="K269" t="str">
            <v>свинина, стабилизатор белковый (шкурка свиная, вода питьевая), шпик, белок соевый, мясо куриное механической обвалки,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загуститель (альгинат натрия), специи, экстракты специй, сахара, антиокислители (аскорбиновая кислота, лимонная кислота), усилитель вкуса и аромата, ароматизаторы, лук сушеный молотый, краситель (кармины), гемоглобин</v>
          </cell>
          <cell r="L269">
            <v>11</v>
          </cell>
          <cell r="M269">
            <v>21</v>
          </cell>
          <cell r="N269">
            <v>1</v>
          </cell>
          <cell r="O269" t="str">
            <v>237/981</v>
          </cell>
          <cell r="P269" t="str">
            <v>0…+6</v>
          </cell>
          <cell r="Q269">
            <v>45</v>
          </cell>
        </row>
        <row r="270">
          <cell r="B270">
            <v>1001305197535</v>
          </cell>
          <cell r="C270" t="str">
            <v>СЕРВЕЛАТ ОРЕХОВЫЙ Коровино в/к в/у 0.7кг</v>
          </cell>
          <cell r="D270" t="str">
            <v>ШТ</v>
          </cell>
          <cell r="E270" t="str">
            <v>Колбасные изделия</v>
          </cell>
          <cell r="F270" t="str">
            <v>Копченые колбасы</v>
          </cell>
          <cell r="G270" t="str">
            <v>Коровино</v>
          </cell>
          <cell r="H270" t="str">
            <v>ОМПК(К)</v>
          </cell>
          <cell r="I270" t="str">
            <v>ТУ 10.13.14-161-00425283-2022</v>
          </cell>
          <cell r="J270" t="str">
            <v>Мясной продукт. Изделие колбасное варено-копченое А.</v>
          </cell>
          <cell r="K270" t="str">
            <v>свинина, стабилизатор белковый (шкурка свиная, вода питьевая), шпик, белок соевый, мясо куриное механической обвалки,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загуститель (альгинат натрия), специи, экстракты специй, сахара, антиокислители (аскорбиновая кислота, лимонная кислота), усилитель вкуса и аромата, ароматизаторы, лук сушеный молотый, краситель (кармины), гемоглобин</v>
          </cell>
          <cell r="L270">
            <v>11</v>
          </cell>
          <cell r="M270">
            <v>21</v>
          </cell>
          <cell r="N270">
            <v>1</v>
          </cell>
          <cell r="O270" t="str">
            <v>237/981</v>
          </cell>
          <cell r="P270" t="str">
            <v>0…+6</v>
          </cell>
          <cell r="Q270">
            <v>45</v>
          </cell>
        </row>
        <row r="271">
          <cell r="B271">
            <v>1001305827164</v>
          </cell>
          <cell r="C271" t="str">
            <v>СЕРВЕЛАТ ОРИГИН.ПМ в/к в/у 1/420_Kvalita</v>
          </cell>
          <cell r="D271" t="str">
            <v>ШТ</v>
          </cell>
          <cell r="E271" t="str">
            <v>Колбасные изделия</v>
          </cell>
          <cell r="F271" t="str">
            <v>Копченые колбасы</v>
          </cell>
          <cell r="G271" t="str">
            <v>Папа может</v>
          </cell>
          <cell r="H271" t="str">
            <v>ОМПК(К)</v>
          </cell>
          <cell r="I271" t="str">
            <v>ТУ 10.13.14-161-00425283-2022</v>
          </cell>
          <cell r="J271" t="str">
            <v>Мясной продукт. Изделие колбасное варено-копченое.</v>
          </cell>
          <cell r="K271" t="str">
            <v>свинина, филе грудок куриных, шпик, белковый стабилизатор (шкурка свиная, вода), вода, сыворотка сухая молочная, соль, смесь посолочно-нитритная (соль, фиксатор окраски нитрит натрия), животный белок говяжий, регуляторы кислотности: пирофосфаты, цитраты натрия; стабилизатор альгинат натрия, специи (горчица, имбирь, черный перец, мускатный орех), ароматизаторы, антиокислители: лимонная кислота, изоаскорбат натрия; усилитель вкуса и аромата глутамат натрия, краситель кармины</v>
          </cell>
          <cell r="L271">
            <v>13</v>
          </cell>
          <cell r="M271">
            <v>20</v>
          </cell>
          <cell r="O271" t="str">
            <v>232/961</v>
          </cell>
          <cell r="P271" t="str">
            <v>0…+6</v>
          </cell>
          <cell r="Q271">
            <v>50</v>
          </cell>
        </row>
        <row r="272">
          <cell r="B272">
            <v>1001305827588</v>
          </cell>
          <cell r="C272" t="str">
            <v>СЕРВ.ОРИГИН.ПМ в/к в/у 1/420 20шт_Kvalit</v>
          </cell>
          <cell r="D272" t="str">
            <v>ШТ</v>
          </cell>
          <cell r="E272" t="str">
            <v>Колбасные изделия</v>
          </cell>
          <cell r="F272" t="str">
            <v>Копченые колбасы</v>
          </cell>
          <cell r="G272" t="str">
            <v>Папа может</v>
          </cell>
          <cell r="H272" t="str">
            <v>ОМПК(К)</v>
          </cell>
          <cell r="I272" t="str">
            <v>ТУ 10.13.14-161-00425283-2022</v>
          </cell>
          <cell r="J272" t="str">
            <v>Мясной продукт. Изделие колбасное варено-копченое.</v>
          </cell>
          <cell r="K272" t="str">
            <v>свинина, филе грудок куриных, шпик, белковый стабилизатор (шкурка свиная, вода), вода, сыворотка сухая молочная, соль, смесь посолочно-нитритная (соль, фиксатор окраски нитрит натрия), животный белок говяжий, регуляторы кислотности: пирофосфаты, цитраты натрия; стабилизатор альгинат натрия, специи (горчица, имбирь, черный перец, мускатный орех), ароматизаторы, антиокислители: лимонная кислота, изоаскорбат натрия; усилитель вкуса и аромата глутамат натрия, краситель кармины</v>
          </cell>
          <cell r="L272">
            <v>13</v>
          </cell>
          <cell r="M272">
            <v>20</v>
          </cell>
          <cell r="O272" t="str">
            <v>232/961</v>
          </cell>
          <cell r="P272" t="str">
            <v>0…+6</v>
          </cell>
          <cell r="Q272">
            <v>50</v>
          </cell>
        </row>
        <row r="273">
          <cell r="B273">
            <v>1001303987166</v>
          </cell>
          <cell r="C273" t="str">
            <v>СЕРВЕЛАТ ОХОТНИЧИЙ ПМ в/к в/у_50с</v>
          </cell>
          <cell r="D273" t="str">
            <v>КГ</v>
          </cell>
          <cell r="E273" t="str">
            <v>Колбасные изделия</v>
          </cell>
          <cell r="F273" t="str">
            <v>Копченые колбасы</v>
          </cell>
          <cell r="G273" t="str">
            <v>Папа может</v>
          </cell>
          <cell r="H273" t="str">
            <v>ОМПК(К)</v>
          </cell>
          <cell r="I273" t="str">
            <v>ТУ 10.13.14-161-00425283-2022</v>
          </cell>
          <cell r="J273" t="str">
            <v>Мясной продукт. Изделие колбасное варено-копченое.</v>
          </cell>
          <cell r="K273" t="str">
            <v>свинина, филе куриной грудки, шпик, стабилизатор белковый (шкурка свиная, 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перец черный, мускатный орех, чили, тмин, ароматизаторы, сахара, антиокислители (лимонная кислота, аскорбиновая кислота), усилитель вкуса и аромата (глутамат натрия 1-замещенный), гемоглобин, краситель (кармины)</v>
          </cell>
          <cell r="L273">
            <v>13</v>
          </cell>
          <cell r="M273">
            <v>20</v>
          </cell>
          <cell r="N273">
            <v>5</v>
          </cell>
          <cell r="O273" t="str">
            <v>252/1046</v>
          </cell>
          <cell r="P273" t="str">
            <v>0…+6</v>
          </cell>
          <cell r="Q273">
            <v>50</v>
          </cell>
        </row>
        <row r="274">
          <cell r="B274">
            <v>1001303987333</v>
          </cell>
          <cell r="C274" t="str">
            <v>СЕРВЕЛАТ ОХОТНИЧИЙ ПМ в/к в/у 0.28кг_СНГ</v>
          </cell>
          <cell r="D274" t="str">
            <v>ШТ</v>
          </cell>
          <cell r="E274" t="str">
            <v>Колбасные изделия</v>
          </cell>
          <cell r="F274" t="str">
            <v>Копченые колбасы</v>
          </cell>
          <cell r="G274" t="str">
            <v>Папа может</v>
          </cell>
          <cell r="H274" t="str">
            <v>ОМПК(К)</v>
          </cell>
          <cell r="I274" t="str">
            <v>ТУ 10.13.14-161-00425283-2022</v>
          </cell>
          <cell r="J274" t="str">
            <v>Мясной продукт. Изделие колбасное варено-копченое.</v>
          </cell>
          <cell r="K274" t="str">
            <v>свинина, филе куриной грудки, шпик, стабилизатор белковый (шкурка свиная, 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перец черный, мускатный орех, чили, тмин, ароматизаторы, сахара, антиокислители (лимонная кислота, аскорбиновая кислота), усилитель вкуса и аромата (глутамат натрия 1-замещенный), гемоглобин, краситель (кармины)</v>
          </cell>
          <cell r="L274">
            <v>13</v>
          </cell>
          <cell r="M274">
            <v>20</v>
          </cell>
          <cell r="N274">
            <v>5</v>
          </cell>
          <cell r="O274" t="str">
            <v>252/1046</v>
          </cell>
          <cell r="P274" t="str">
            <v>0…+6</v>
          </cell>
          <cell r="Q274">
            <v>50</v>
          </cell>
        </row>
        <row r="275">
          <cell r="B275">
            <v>1001303987165</v>
          </cell>
          <cell r="C275" t="str">
            <v>СЕРВЕЛАТ ОХОТНИЧИЙ ПМ в/к в/у_СНГ_50с</v>
          </cell>
          <cell r="D275" t="str">
            <v>КГ</v>
          </cell>
          <cell r="E275" t="str">
            <v>Колбасные изделия</v>
          </cell>
          <cell r="F275" t="str">
            <v>Копченые колбасы</v>
          </cell>
          <cell r="G275" t="str">
            <v>Папа может</v>
          </cell>
          <cell r="H275" t="str">
            <v>ОМПК(К)</v>
          </cell>
          <cell r="I275" t="str">
            <v>ТУ 10.13.14-161-00425283-2022</v>
          </cell>
          <cell r="J275" t="str">
            <v>Мясной продукт. Изделие колбасное варено-копченое.</v>
          </cell>
          <cell r="K275" t="str">
            <v>свинина, мясо птицы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соль, клетчатка, регуляторы кислотности (пирофосфаты, трифосфаты, цитраты натрия), стабилизатор (полифосфаты), загуститель (альгинат натрия), специи (в т.ч. горчица, сельдерей), сахара, антиокислители (изоаскорбат натрия, лимонная кислота, аскорбиновая кислота), усилитель вкуса и аромата (глутамат натрия), ароматизаторы (в т.ч. глютен), гемоглобин, краситель (кармины)</v>
          </cell>
          <cell r="L275">
            <v>13</v>
          </cell>
          <cell r="M275">
            <v>23</v>
          </cell>
          <cell r="N275">
            <v>3</v>
          </cell>
          <cell r="O275" t="str">
            <v>271/1123</v>
          </cell>
          <cell r="P275" t="str">
            <v>0…+6</v>
          </cell>
          <cell r="Q275">
            <v>50</v>
          </cell>
        </row>
        <row r="276">
          <cell r="B276">
            <v>1001303987336</v>
          </cell>
          <cell r="C276" t="str">
            <v>СЕРВЕЛАТ ОХОТНИЧИЙ ПМ в/к в/у 0.7кг_С</v>
          </cell>
          <cell r="D276" t="str">
            <v>ШТ</v>
          </cell>
          <cell r="E276" t="str">
            <v>Колбасные изделия</v>
          </cell>
          <cell r="F276" t="str">
            <v>Копченые колбасы</v>
          </cell>
          <cell r="G276" t="str">
            <v>Папа может</v>
          </cell>
          <cell r="H276" t="str">
            <v>ОМПК(К)</v>
          </cell>
          <cell r="I276" t="str">
            <v>ТУ 10.13.14-161-00425283-2022</v>
          </cell>
          <cell r="J276" t="str">
            <v>Мясной продукт. Изделие колбасное варено-копченое.</v>
          </cell>
          <cell r="K276" t="str">
            <v>свинина, мясо птицы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соль, клетчатка, регуляторы кислотности (пирофосфаты, трифосфаты, цитраты натрия), стабилизатор (полифосфаты), загуститель (альгинат натрия), специи (в т.ч. горчица, сельдерей), сахара, антиокислители (изоаскорбат натрия, лимонная кислота, аскорбиновая кислота), усилитель вкуса и аромата (глутамат натрия), ароматизаторы (в т.ч. глютен), гемоглобин, краситель (кармины)</v>
          </cell>
          <cell r="L276">
            <v>13</v>
          </cell>
          <cell r="M276">
            <v>23</v>
          </cell>
          <cell r="N276">
            <v>3</v>
          </cell>
          <cell r="O276" t="str">
            <v>271/1123</v>
          </cell>
          <cell r="P276" t="str">
            <v>0…+6</v>
          </cell>
          <cell r="Q276">
            <v>50</v>
          </cell>
        </row>
        <row r="277">
          <cell r="B277">
            <v>1001303987169</v>
          </cell>
          <cell r="C277" t="str">
            <v>СЕРВЕЛАТ ОХОТНИЧИЙ ПМ в/к в/у 0.35кг_50с</v>
          </cell>
          <cell r="D277" t="str">
            <v>ШТ</v>
          </cell>
          <cell r="E277" t="str">
            <v>Колбасные изделия</v>
          </cell>
          <cell r="F277" t="str">
            <v>Копченые колбасы</v>
          </cell>
          <cell r="G277" t="str">
            <v>Папа может</v>
          </cell>
          <cell r="H277" t="str">
            <v>ОМПК(К)</v>
          </cell>
          <cell r="I277" t="str">
            <v>ТУ 10.13.14-161-00425283-2022</v>
          </cell>
          <cell r="J277" t="str">
            <v>Мясной продукт. Изделие колбасное варено-копченое.</v>
          </cell>
          <cell r="K277" t="str">
            <v>свинина, филе куриной грудки, шпик, стабилизатор белковый (шкурка свиная, 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перец черный, мускатный орех, чили, тмин, ароматизаторы, сахара, антиокислители (лимонная кислота, аскорбиновая кислота), усилитель вкуса и аромата (глутамат натрия 1-замещенный), гемоглобин, краситель (кармины)</v>
          </cell>
          <cell r="L277">
            <v>13</v>
          </cell>
          <cell r="M277">
            <v>20</v>
          </cell>
          <cell r="N277">
            <v>5</v>
          </cell>
          <cell r="O277" t="str">
            <v>252/1046</v>
          </cell>
          <cell r="P277" t="str">
            <v>0…+6</v>
          </cell>
          <cell r="Q277">
            <v>50</v>
          </cell>
        </row>
        <row r="278">
          <cell r="B278">
            <v>1001304077293</v>
          </cell>
          <cell r="C278" t="str">
            <v>СЕРВЕЛАТ ПРАЖСКИЙ ПМ в/к в/у 0.7кг_55с</v>
          </cell>
          <cell r="D278" t="str">
            <v>ШТ</v>
          </cell>
          <cell r="E278" t="str">
            <v>Колбасные изделия</v>
          </cell>
          <cell r="F278" t="str">
            <v>Копченые колбасы</v>
          </cell>
          <cell r="G278" t="str">
            <v>Папа может</v>
          </cell>
          <cell r="H278" t="str">
            <v>ОМПК(К)</v>
          </cell>
          <cell r="I278" t="str">
            <v>ТУ 10.13.14-161-00425283-2022</v>
          </cell>
          <cell r="J278" t="str">
            <v>Мясной продукт. Изделие колбасное варено-копченое.</v>
          </cell>
          <cell r="K278" t="str">
            <v>свинина, филе грудок куриных, шпик, стабилизатор белковый (шкурка свиная, вода питьевая), мясо цыпленка-бройлера механической обвалки, сыворотка молочная сухая, крахмал кукурузный, смесь посолочно-нитритная (соль, фиксатор окраски (нитрит натрия), клетчатка растительная, регуляторы кислотности (пирофосфаты, трифосфаты, цитраты натрия), белок животный (говяжий), загуститель (альгинат натрия), овощи сушеные, пряности, сахара, антиокислители (лимонная кислота, аскорбиновая кислота), усилитель вкуса и аромата (глутамат натрия 1-замещенный), гемоглобин, ароматизаторы, краситель (кармины)</v>
          </cell>
          <cell r="L278">
            <v>13</v>
          </cell>
          <cell r="M278">
            <v>20</v>
          </cell>
          <cell r="N278">
            <v>6</v>
          </cell>
          <cell r="O278" t="str">
            <v>256/1063</v>
          </cell>
          <cell r="P278" t="str">
            <v>0…+6</v>
          </cell>
          <cell r="Q278">
            <v>55</v>
          </cell>
        </row>
        <row r="279">
          <cell r="B279">
            <v>1001304076691</v>
          </cell>
          <cell r="C279" t="str">
            <v>СЕРВЕЛАТ ПРАЖСКИЙ ПМ в/к в/у 0.35кг 8шт.</v>
          </cell>
          <cell r="D279" t="str">
            <v>ШТ</v>
          </cell>
          <cell r="E279" t="str">
            <v>Колбасные изделия</v>
          </cell>
          <cell r="F279" t="str">
            <v>Копченые колбасы</v>
          </cell>
          <cell r="G279" t="str">
            <v>Папа может</v>
          </cell>
          <cell r="H279" t="str">
            <v>ОМПК(К)</v>
          </cell>
          <cell r="I279" t="str">
            <v>ТУ 10.13.14-161-00425283-2022</v>
          </cell>
          <cell r="J279" t="str">
            <v>Мясной продукт. Изделие колбасное варено-копченое.</v>
          </cell>
          <cell r="K279" t="str">
            <v>свинина, филе грудок куриных, шпик, стабилизатор белковый (шкурка свиная, вода питьевая), мясо цыпленка-бройлера механической обвалки, сыворотка молочная сухая, крахмал кукурузный, смесь посолочно-нитритная (соль, фиксатор окраски (нитрит натрия), клетчатка растительная, регуляторы кислотности (пирофосфаты, трифосфаты, цитраты натрия), белок животный (говяжий), загуститель (альгинат натрия), овощи сушеные, пряности, сахара, антиокислители (лимонная кислота, аскорбиновая кислота), усилитель вкуса и аромата (глутамат натрия 1-замещенный), гемоглобин, ароматизаторы, краситель (кармины)</v>
          </cell>
          <cell r="L279">
            <v>13</v>
          </cell>
          <cell r="M279">
            <v>20</v>
          </cell>
          <cell r="N279">
            <v>6</v>
          </cell>
          <cell r="O279" t="str">
            <v>256/1063</v>
          </cell>
          <cell r="P279" t="str">
            <v>0…+6</v>
          </cell>
          <cell r="Q279">
            <v>45</v>
          </cell>
        </row>
        <row r="280">
          <cell r="B280">
            <v>1001303086695</v>
          </cell>
          <cell r="C280" t="str">
            <v>СЕРВЕЛАТ РУССКИЙ ПМ в/к в/у 0.31кг_СНГ</v>
          </cell>
          <cell r="D280" t="str">
            <v>ШТ</v>
          </cell>
          <cell r="E280" t="str">
            <v>Колбасные изделия</v>
          </cell>
          <cell r="F280" t="str">
            <v>Копченые колбасы</v>
          </cell>
          <cell r="G280" t="str">
            <v>Папа может</v>
          </cell>
          <cell r="H280" t="str">
            <v>ОМПК(К)</v>
          </cell>
          <cell r="I280" t="str">
            <v>ТУ 10.13.14-161-00425283-2022</v>
          </cell>
          <cell r="J280" t="str">
            <v>Мясной продукт. Изделие колбасное варено-копченое.</v>
          </cell>
          <cell r="K280" t="str">
            <v>свинина, окорок свиной, шпик, стабилизатор белковый (шкурка свиная, вода питьевая), смесь посолочно-нитритная (соль, фиксатор окраски (нитрит натрия)), регуляторы кислотности (пирофосфаты, трифосфаты, цитраты натрия), чеснок сушеный молотый, экстракты пряностей (перец душистый, перец черный), горчица,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v>
          </cell>
          <cell r="L280">
            <v>16</v>
          </cell>
          <cell r="M280">
            <v>20</v>
          </cell>
          <cell r="N280">
            <v>5</v>
          </cell>
          <cell r="O280" t="str">
            <v>264/1148</v>
          </cell>
          <cell r="P280" t="str">
            <v>0…+6</v>
          </cell>
          <cell r="Q280">
            <v>45</v>
          </cell>
        </row>
        <row r="281">
          <cell r="B281">
            <v>1001307917498</v>
          </cell>
          <cell r="C281" t="str">
            <v>СЕРВЕЛАТ С ГОВЯДИНОЙ ПМ в/к в/у 0.28кг</v>
          </cell>
          <cell r="D281" t="str">
            <v>ШТ</v>
          </cell>
          <cell r="E281" t="str">
            <v>Колбасные изделия</v>
          </cell>
          <cell r="F281" t="str">
            <v>Копченые колбасы</v>
          </cell>
          <cell r="G281" t="str">
            <v>Папа может</v>
          </cell>
          <cell r="H281" t="str">
            <v>ОМПК(К)</v>
          </cell>
          <cell r="I281" t="str">
            <v>ТУ 10.13.14-185-00425283-2026</v>
          </cell>
          <cell r="J281" t="str">
            <v>Изделие колбасное варено-копченое из мяса кур охлажденное.</v>
          </cell>
          <cell r="K281" t="str">
            <v>филе грудок куриных, говядина, мясо цыпленка-бройлера механической обвалки, вода питьевая, белок соевый, крахмал картофельный, смесь посолочно-нитритная (соль, фиксатор окраски (нитрит натрия)), регуляторы кислотности (пирофосфаты, цитраты натрия, трифосфаты), кардамон, перец чили, кориандр, тмин, карри, имбирь, мускатный орех, лук репчатый сушеный, перец черный, перец душистый, клетчатка растительная, сахара, антиокислители (аскорбиновая кислота, лимонная кислота), усилитель вкуса и аромата (глутамат натрия 1-замещенный), ароматизаторы, гемоглобин, краситель (кармины), экстракт гардении красной</v>
          </cell>
          <cell r="L281">
            <v>13</v>
          </cell>
          <cell r="M281">
            <v>25</v>
          </cell>
          <cell r="N281">
            <v>5</v>
          </cell>
          <cell r="O281" t="str">
            <v>297/1231</v>
          </cell>
          <cell r="P281" t="str">
            <v>0…+6</v>
          </cell>
          <cell r="Q281">
            <v>45</v>
          </cell>
        </row>
        <row r="282">
          <cell r="B282">
            <v>1001307487496</v>
          </cell>
          <cell r="C282" t="str">
            <v>СЕРВЕЛАТ С ИНДЕЙКОЙ ПМ в/к в/у 0.28кг</v>
          </cell>
          <cell r="D282" t="str">
            <v>ШТ</v>
          </cell>
          <cell r="E282" t="str">
            <v>Колбасные изделия</v>
          </cell>
          <cell r="F282" t="str">
            <v>Копченые колбасы</v>
          </cell>
          <cell r="G282" t="str">
            <v>Папа может</v>
          </cell>
          <cell r="H282" t="str">
            <v>ОМПК(К)</v>
          </cell>
          <cell r="I282" t="str">
            <v>ТУ 10.13.14-185-00425283-2026</v>
          </cell>
          <cell r="J282" t="str">
            <v>Изделие колбасное варено-копченое из мяса кур охлажденное.</v>
          </cell>
          <cell r="K282" t="str">
            <v>филе куриное, говядина, филе бедра индейки, мясо цыпленка-бройлера механической обвалки, сыворотка молочная сухая, крахмал картофельный, смесь посолочно-нитритная (соль, фиксатор окраски (нитрит натрия)), регуляторы кислотности (пирофосфат, цитраты натрия), перец черный, кориандр, мускатный орех, кардамон, волокна пищевые, сахар, антиокислители (аскорбиновая кислота, лимонная кислота), усилитель вкуса и аромата (глутамат натрия 1-замещенный), ароматизаторы, краситель (понсо R4)</v>
          </cell>
          <cell r="L282">
            <v>14</v>
          </cell>
          <cell r="M282">
            <v>25</v>
          </cell>
          <cell r="N282">
            <v>5</v>
          </cell>
          <cell r="O282" t="str">
            <v>301/1248</v>
          </cell>
          <cell r="P282" t="str">
            <v>0…+6</v>
          </cell>
          <cell r="Q282">
            <v>45</v>
          </cell>
        </row>
        <row r="283">
          <cell r="B283">
            <v>1001307357489</v>
          </cell>
          <cell r="C283" t="str">
            <v>СЫРРРВЕЛАТ Папа может в/к в/у 0.28кг 8шт</v>
          </cell>
          <cell r="D283" t="str">
            <v>ШТ</v>
          </cell>
          <cell r="E283" t="str">
            <v>Колбасные изделия</v>
          </cell>
          <cell r="F283" t="str">
            <v>Копченые колбасы</v>
          </cell>
          <cell r="G283" t="str">
            <v>Папа может</v>
          </cell>
          <cell r="H283" t="str">
            <v>ОМПК(К)</v>
          </cell>
          <cell r="I283" t="str">
            <v>ТУ 10.13.14-161-00425283-2022</v>
          </cell>
          <cell r="J283" t="str">
            <v>Мясной продукт. Изделие колбасное варено-копченое.</v>
          </cell>
          <cell r="K283" t="str">
            <v>свинина, стабилизатор белковый (вода питьевая, шкурка свиная), филе грудок куриных, сыр плавленый (вода питьевая, сыр (молоко пастеризованное, бактериальная закваска мезофильных молочнокислых микроорганизмов, молокосвертывающий ферментный препарат микробного происхождения), масло сливочное, молоко сухое обезжиренное, сыворотка молочная сухая, эмульгаторы (полифосфат натрия, орто-фосфат натрия 2-замещенный), крахмал кукурузный, загуститель (каррагинан), соль), сыворотка молочная сухая, смесь посолочно-нитритная (соль, фиксатор окраски (нитрит натрия)), крахмал картофельный, стабилизаторы (пирофосфаты, полифосфаты), регуляторы кислотности (трифосфаты, цитраты натрия), белок животный (говяжий), чеснок сушеный, экстракты специй, орех молотый (миндаль), сахара, соль, антиокислители (аскорбиновая кислота, изоаскорбат натрия), усилитель вкуса и аромата (глутамат натрия), ароматизаторы, гемоглобин, краситель (кармины)</v>
          </cell>
          <cell r="L283">
            <v>16</v>
          </cell>
          <cell r="M283">
            <v>15</v>
          </cell>
          <cell r="N283">
            <v>4</v>
          </cell>
          <cell r="O283" t="str">
            <v>215/895</v>
          </cell>
          <cell r="P283" t="str">
            <v>0…+6</v>
          </cell>
          <cell r="Q283">
            <v>45</v>
          </cell>
        </row>
        <row r="284">
          <cell r="B284">
            <v>1001304087163</v>
          </cell>
          <cell r="C284" t="str">
            <v>СЕРВЕЛАТ КЛАССИЧ.ПМ в/к в/у 0.62кг_50с</v>
          </cell>
          <cell r="D284" t="str">
            <v>ШТ</v>
          </cell>
          <cell r="E284" t="str">
            <v>Колбасные изделия</v>
          </cell>
          <cell r="F284" t="str">
            <v>Копченые колбасы</v>
          </cell>
          <cell r="G284" t="str">
            <v>Папа может</v>
          </cell>
          <cell r="H284" t="str">
            <v>ОМПК(К)</v>
          </cell>
          <cell r="I284" t="str">
            <v>ТУ 10.13.14-161-00425283-2022</v>
          </cell>
          <cell r="J284" t="str">
            <v>Мясной продукт. Изделие колбасное варено-копченое.</v>
          </cell>
          <cell r="K284"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регуляторы кислотности (пирофосфаты, трифосфаты, цитраты натрия), загуститель (альгинат натрия), горчица, имбирь, черный перец молотый, мускатный орех, чили, тмин, клетчатка растительная, ароматизаторы, сахара, антиокислители (аскорбиновая кислота, лимонная кислота), усилитель вкуса и аромата (глутамат натрия 1-замещенный), гемоглобин, краситель (кармины)</v>
          </cell>
          <cell r="L284">
            <v>12</v>
          </cell>
          <cell r="M284">
            <v>20</v>
          </cell>
          <cell r="N284">
            <v>5</v>
          </cell>
          <cell r="O284" t="str">
            <v>248/1029</v>
          </cell>
          <cell r="P284" t="str">
            <v>0…+6</v>
          </cell>
          <cell r="Q284">
            <v>50</v>
          </cell>
        </row>
        <row r="285">
          <cell r="B285">
            <v>1001301876782</v>
          </cell>
          <cell r="C285" t="str">
            <v>СЕРВЕЛАТ ФИНСКИЙ в/к в/у 0.6кг 8шт.</v>
          </cell>
          <cell r="D285" t="str">
            <v>ШТ</v>
          </cell>
          <cell r="E285" t="str">
            <v>Колбасные изделия</v>
          </cell>
          <cell r="F285" t="str">
            <v>Копченые колбасы</v>
          </cell>
          <cell r="G285" t="str">
            <v>Папа может</v>
          </cell>
          <cell r="H285" t="str">
            <v xml:space="preserve">ОМПК(К)
</v>
          </cell>
          <cell r="I285" t="str">
            <v>ТУ 10.13.14-161-00425283-2022</v>
          </cell>
          <cell r="J285" t="str">
            <v>Мясной продукт. Изделие колбасное варено-копченое.</v>
          </cell>
          <cell r="K285"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85">
            <v>12</v>
          </cell>
          <cell r="M285">
            <v>20</v>
          </cell>
          <cell r="N285">
            <v>5</v>
          </cell>
          <cell r="O285" t="str">
            <v>248/1029</v>
          </cell>
          <cell r="P285" t="str">
            <v>0…+6</v>
          </cell>
          <cell r="Q285">
            <v>45</v>
          </cell>
        </row>
        <row r="286">
          <cell r="B286">
            <v>1001051875595</v>
          </cell>
          <cell r="C286" t="str">
            <v>СЕРВЕЛАТ ФИНСКИЙ в/к в/у 0.840кг_45с</v>
          </cell>
          <cell r="D286" t="str">
            <v>ШТ</v>
          </cell>
          <cell r="E286" t="str">
            <v>Колбасные изделия</v>
          </cell>
          <cell r="F286" t="str">
            <v>Копченые колбасы</v>
          </cell>
          <cell r="G286" t="str">
            <v>Папа может</v>
          </cell>
          <cell r="H286" t="str">
            <v>ОМПК(К)</v>
          </cell>
          <cell r="I286" t="str">
            <v>ТУ 10.13.14-161-00425283-2022</v>
          </cell>
          <cell r="J286" t="str">
            <v>Мясной продукт. Изделие колбасное варено-копченое.</v>
          </cell>
          <cell r="K286"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86">
            <v>12</v>
          </cell>
          <cell r="M286">
            <v>20</v>
          </cell>
          <cell r="N286">
            <v>5</v>
          </cell>
          <cell r="O286" t="str">
            <v>248/1029</v>
          </cell>
          <cell r="P286" t="str">
            <v>0…+6</v>
          </cell>
          <cell r="Q286">
            <v>45</v>
          </cell>
        </row>
        <row r="287">
          <cell r="B287">
            <v>1001051875600</v>
          </cell>
          <cell r="C287" t="str">
            <v>СЕРВЕЛАТ ФИНСКИЙ в/к в/у 45c_О</v>
          </cell>
          <cell r="D287" t="str">
            <v>КГ</v>
          </cell>
          <cell r="E287" t="str">
            <v>Колбасные изделия</v>
          </cell>
          <cell r="F287" t="str">
            <v>Копченые колбасы</v>
          </cell>
          <cell r="G287" t="str">
            <v>Папа может</v>
          </cell>
          <cell r="H287" t="str">
            <v>ОМПК(К)</v>
          </cell>
          <cell r="I287" t="str">
            <v>ТУ 10.13.14-161-00425283-2022</v>
          </cell>
          <cell r="J287" t="str">
            <v>Мясной продукт. Изделие колбасное варено-копченое.</v>
          </cell>
          <cell r="K287"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87">
            <v>12</v>
          </cell>
          <cell r="M287">
            <v>20</v>
          </cell>
          <cell r="N287">
            <v>5</v>
          </cell>
          <cell r="O287" t="str">
            <v>248/1029</v>
          </cell>
          <cell r="P287" t="str">
            <v>0…+6</v>
          </cell>
          <cell r="Q287">
            <v>45</v>
          </cell>
        </row>
        <row r="288">
          <cell r="B288">
            <v>1001051875607</v>
          </cell>
          <cell r="C288" t="str">
            <v>СЕРВЕЛАТ ФИНСКИЙ в/к в/у 45с_СНГ</v>
          </cell>
          <cell r="D288" t="str">
            <v>КГ</v>
          </cell>
          <cell r="E288" t="str">
            <v>Колбасные изделия</v>
          </cell>
          <cell r="F288" t="str">
            <v>Копченые колбасы</v>
          </cell>
          <cell r="G288" t="str">
            <v>Папа может</v>
          </cell>
          <cell r="H288" t="str">
            <v>ОМПК(К)</v>
          </cell>
          <cell r="I288" t="str">
            <v>ТУ 10.13.14-161-00425283-2022</v>
          </cell>
          <cell r="J288" t="str">
            <v>Мясной продукт. Изделие колбасное варено-копченое.</v>
          </cell>
          <cell r="K288" t="str">
            <v>свинина,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клетчатка, регуляторы кислотности (пирофосфаты, трифосфаты, цитраты натрия), загуститель (альгинат натрия), специи (в т.ч. горчица), ароматизаторы, сахара, антиокислители (аскорбиновая кислота, лимонная кислота), усилитель вкуса и аромата (глутамат натрия 1-замещенный), гемоглобин, краситель (кармины)</v>
          </cell>
          <cell r="L288">
            <v>11</v>
          </cell>
          <cell r="M288">
            <v>21</v>
          </cell>
          <cell r="N288">
            <v>2</v>
          </cell>
          <cell r="O288" t="str">
            <v>241/998</v>
          </cell>
          <cell r="P288" t="str">
            <v>0…+6</v>
          </cell>
          <cell r="Q288">
            <v>45</v>
          </cell>
        </row>
        <row r="289">
          <cell r="B289">
            <v>1001051875544</v>
          </cell>
          <cell r="C289" t="str">
            <v>СЕРВЕЛАТ ФИНСКИЙ в/к в/у_45с</v>
          </cell>
          <cell r="D289" t="str">
            <v>КГ</v>
          </cell>
          <cell r="E289" t="str">
            <v>Колбасные изделия</v>
          </cell>
          <cell r="F289" t="str">
            <v>Копченые колбасы</v>
          </cell>
          <cell r="G289" t="str">
            <v>Папа может</v>
          </cell>
          <cell r="H289" t="str">
            <v>ОМПК(К)</v>
          </cell>
          <cell r="I289" t="str">
            <v>ТУ 10.13.14-161-00425283-2022</v>
          </cell>
          <cell r="J289" t="str">
            <v>Мясной продукт. Изделие колбасное варено-копченое.</v>
          </cell>
          <cell r="K289"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89">
            <v>12</v>
          </cell>
          <cell r="M289">
            <v>20</v>
          </cell>
          <cell r="N289">
            <v>5</v>
          </cell>
          <cell r="O289" t="str">
            <v>248/1029</v>
          </cell>
          <cell r="P289" t="str">
            <v>0…+6</v>
          </cell>
          <cell r="Q289">
            <v>45</v>
          </cell>
        </row>
        <row r="290">
          <cell r="B290">
            <v>1001051873657</v>
          </cell>
          <cell r="C290" t="str">
            <v>СЕРВЕЛАТ ФИНСКИЙ в/к в/у_Ашан</v>
          </cell>
          <cell r="D290" t="str">
            <v>КГ</v>
          </cell>
          <cell r="E290" t="str">
            <v>Колбасные изделия</v>
          </cell>
          <cell r="F290" t="str">
            <v>Копченые колбасы</v>
          </cell>
          <cell r="G290" t="str">
            <v>Папа может</v>
          </cell>
          <cell r="H290" t="str">
            <v>ОМПК(К)</v>
          </cell>
          <cell r="I290" t="str">
            <v>ТУ 10.13.14-161-00425283-2022</v>
          </cell>
          <cell r="J290" t="str">
            <v>Мясной продукт. Изделие колбасное варено-копченое.</v>
          </cell>
          <cell r="K290"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90">
            <v>12</v>
          </cell>
          <cell r="M290">
            <v>20</v>
          </cell>
          <cell r="N290">
            <v>5</v>
          </cell>
          <cell r="O290" t="str">
            <v>248/1029</v>
          </cell>
          <cell r="P290" t="str">
            <v>0…+6</v>
          </cell>
          <cell r="Q290">
            <v>45</v>
          </cell>
        </row>
        <row r="291">
          <cell r="B291">
            <v>1001051873892</v>
          </cell>
          <cell r="C291" t="str">
            <v>СЕРВЕЛАТ ФИНСКИЙ в/к в/у_Глобус</v>
          </cell>
          <cell r="D291" t="str">
            <v>КГ</v>
          </cell>
          <cell r="E291" t="str">
            <v>Колбасные изделия</v>
          </cell>
          <cell r="F291" t="str">
            <v>Копченые колбасы</v>
          </cell>
          <cell r="G291" t="str">
            <v>Папа может</v>
          </cell>
          <cell r="H291" t="str">
            <v>ОМПК(К)</v>
          </cell>
          <cell r="I291" t="str">
            <v>ТУ 10.13.14-161-00425283-2022</v>
          </cell>
          <cell r="J291" t="str">
            <v>Мясной продукт. Изделие колбасное варено-копченое.</v>
          </cell>
          <cell r="K291"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91">
            <v>12</v>
          </cell>
          <cell r="M291">
            <v>20</v>
          </cell>
          <cell r="N291">
            <v>5</v>
          </cell>
          <cell r="O291" t="str">
            <v>248/1029</v>
          </cell>
          <cell r="P291" t="str">
            <v>0…+6</v>
          </cell>
          <cell r="Q291">
            <v>45</v>
          </cell>
        </row>
        <row r="292">
          <cell r="B292">
            <v>1001051872477</v>
          </cell>
          <cell r="C292" t="str">
            <v>СЕРВЕЛАТ ФИНСКИЙ в/к в/у_Х5</v>
          </cell>
          <cell r="D292" t="str">
            <v>КГ</v>
          </cell>
          <cell r="E292" t="str">
            <v>Колбасные изделия</v>
          </cell>
          <cell r="F292" t="str">
            <v>Копченые колбасы</v>
          </cell>
          <cell r="G292" t="str">
            <v>Папа может</v>
          </cell>
          <cell r="H292" t="str">
            <v>ОМПК(К)</v>
          </cell>
          <cell r="I292" t="str">
            <v>ТУ 10.13.14-161-00425283-2022</v>
          </cell>
          <cell r="J292" t="str">
            <v>Мясной продукт. Изделие колбасное варено-копченое.</v>
          </cell>
          <cell r="K292"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92">
            <v>12</v>
          </cell>
          <cell r="M292">
            <v>20</v>
          </cell>
          <cell r="N292">
            <v>5</v>
          </cell>
          <cell r="O292" t="str">
            <v>248/1029</v>
          </cell>
          <cell r="P292" t="str">
            <v>0…+6</v>
          </cell>
          <cell r="Q292">
            <v>45</v>
          </cell>
        </row>
        <row r="293">
          <cell r="B293">
            <v>1001301876697</v>
          </cell>
          <cell r="C293" t="str">
            <v>СЕРВЕЛАТ ФИНСКИЙ ПМ в/к в/у 0.35кг 8шт.</v>
          </cell>
          <cell r="D293" t="str">
            <v>ШТ</v>
          </cell>
          <cell r="E293" t="str">
            <v>Колбасные изделия</v>
          </cell>
          <cell r="F293" t="str">
            <v>Копченые колбасы</v>
          </cell>
          <cell r="G293" t="str">
            <v>Папа может</v>
          </cell>
          <cell r="H293" t="str">
            <v>ОМПК(К)</v>
          </cell>
          <cell r="I293" t="str">
            <v>ТУ 10.13.14-161-00425283-2022</v>
          </cell>
          <cell r="J293" t="str">
            <v>Мясной продукт. Изделие колбасное варено-копченое.</v>
          </cell>
          <cell r="K293"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93">
            <v>12</v>
          </cell>
          <cell r="M293">
            <v>20</v>
          </cell>
          <cell r="N293">
            <v>5</v>
          </cell>
          <cell r="O293" t="str">
            <v>248/1029</v>
          </cell>
          <cell r="P293" t="str">
            <v>0…+6</v>
          </cell>
          <cell r="Q293">
            <v>45</v>
          </cell>
        </row>
        <row r="294">
          <cell r="B294">
            <v>1001301876699</v>
          </cell>
          <cell r="C294" t="str">
            <v>СЕРВЕЛАТ ФИНСКИЙ ПМ в/к в/у 0.42кг 8шт.</v>
          </cell>
          <cell r="D294" t="str">
            <v>ШТ</v>
          </cell>
          <cell r="E294" t="str">
            <v>Колбасные изделия</v>
          </cell>
          <cell r="F294" t="str">
            <v>Копченые колбасы</v>
          </cell>
          <cell r="G294" t="str">
            <v>Папа может</v>
          </cell>
          <cell r="H294" t="str">
            <v>ОМПК(К)</v>
          </cell>
          <cell r="I294" t="str">
            <v>ТУ 10.13.14-161-00425283-2022</v>
          </cell>
          <cell r="J294" t="str">
            <v>Мясной продукт. Изделие колбасное варено-копченое.</v>
          </cell>
          <cell r="K294"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94">
            <v>12</v>
          </cell>
          <cell r="M294">
            <v>20</v>
          </cell>
          <cell r="N294">
            <v>5</v>
          </cell>
          <cell r="O294" t="str">
            <v>248/1029</v>
          </cell>
          <cell r="P294" t="str">
            <v>0…+6</v>
          </cell>
          <cell r="Q294">
            <v>45</v>
          </cell>
        </row>
        <row r="295">
          <cell r="B295">
            <v>1001304477393</v>
          </cell>
          <cell r="C295" t="str">
            <v>СЕРВЕЛАТ ФИРМЕННЫЙ Кор в/к в/у 0.7кг 8шт</v>
          </cell>
          <cell r="D295" t="str">
            <v>ШТ</v>
          </cell>
          <cell r="E295" t="str">
            <v>Колбасные изделия</v>
          </cell>
          <cell r="F295" t="str">
            <v>Копченые колбасы</v>
          </cell>
          <cell r="G295" t="str">
            <v>Коровино</v>
          </cell>
          <cell r="H295" t="str">
            <v>ОМПК(Г)</v>
          </cell>
          <cell r="I295" t="str">
            <v>ТУ 10.13.14-161-00425283-2022</v>
          </cell>
          <cell r="J295" t="str">
            <v>Мясной продукт. Изделие колбасное варено-копченое.</v>
          </cell>
          <cell r="K295" t="str">
            <v>свинина (в т.ч. окорок), филе грудок куриных, шпик, стабилизатор белковый (шкурка свиная, вода питьевая), вода питьевая, сыворотка молочная сухая, смесь посолочно-нитритная (соль, фиксатор окраски (нитрит натрия)), соль, пищевые растительные волокна, регуляторы кислотности (пирофосфаты, трифосфаты, цитраты натрия), стабилизатор (полифосфаты), загуститель (альгинат натрия), специи, сахара, антиокислители (изоаскорбат натрия, аскорбиновая кислота, лимонная кислота), усилитель вкуса и аромата (глутамат натрия), ароматизаторы (в т.ч. горчица), краситель (кармины), гемоглобин</v>
          </cell>
          <cell r="L295">
            <v>11</v>
          </cell>
          <cell r="M295">
            <v>21</v>
          </cell>
          <cell r="N295">
            <v>2</v>
          </cell>
          <cell r="O295" t="str">
            <v>241/998</v>
          </cell>
          <cell r="P295" t="str">
            <v>0…+6</v>
          </cell>
          <cell r="Q295">
            <v>45</v>
          </cell>
        </row>
        <row r="296">
          <cell r="B296">
            <v>1001306387148</v>
          </cell>
          <cell r="C296" t="str">
            <v>СЕРВЕЛАТ ШВЕЙЦАРСКИЙ ПРЕМИУМ в/к в/у</v>
          </cell>
          <cell r="D296" t="str">
            <v>КГ</v>
          </cell>
          <cell r="E296" t="str">
            <v>Колбасные изделия</v>
          </cell>
          <cell r="F296" t="str">
            <v>Копченые колбасы</v>
          </cell>
          <cell r="G296" t="str">
            <v>Останкино</v>
          </cell>
          <cell r="H296" t="str">
            <v>ОМПК(К)</v>
          </cell>
          <cell r="I296" t="str">
            <v>ТУ 10.13.14-161-00425283-2022</v>
          </cell>
          <cell r="J296" t="str">
            <v>Мясной продукт. Изделие колбасное варено-копченое.</v>
          </cell>
          <cell r="K296" t="str">
            <v>свинина, шпик, стабилизатор белковый (шкурка свиная, вода питьевая), вода питьевая, смесь посолочно-нитритная (соль, фиксатор окраски (нитрит натрия)), соль, волокна растительные, регуляторы кислотности (пирофосфаты, цитраты натрия), пряности и экстракты пряностей (чеснок, перец чили), сахара, ароматизаторы, антиокислители (изоаскорбат натрия, экстракты розмарина), усилитель вкуса и аромата (глутамат натрия), краситель (кармины)</v>
          </cell>
          <cell r="L296">
            <v>13</v>
          </cell>
          <cell r="M296">
            <v>29</v>
          </cell>
          <cell r="O296" t="str">
            <v>313/1294</v>
          </cell>
          <cell r="P296" t="str">
            <v>0…+6</v>
          </cell>
          <cell r="Q296">
            <v>45</v>
          </cell>
        </row>
        <row r="297">
          <cell r="B297">
            <v>1001054193265</v>
          </cell>
          <cell r="C297" t="str">
            <v>Z-СЕРВЕЛАТ ШВЕЙЦАРСКИЙ в/к (для нарезки)</v>
          </cell>
          <cell r="D297" t="str">
            <v>КГ</v>
          </cell>
          <cell r="E297" t="str">
            <v>Колбасные изделия</v>
          </cell>
          <cell r="F297" t="str">
            <v>Копченые колбасы</v>
          </cell>
          <cell r="G297" t="str">
            <v>Останкино</v>
          </cell>
          <cell r="H297" t="str">
            <v>ОМПК(К)</v>
          </cell>
          <cell r="I297" t="str">
            <v>ТУ 10.13.14-161-00425283-2022</v>
          </cell>
          <cell r="J297" t="str">
            <v>Мясной продукт. Изделие колбасное варено-копченое.</v>
          </cell>
          <cell r="K297" t="str">
            <v>свинина, шпик, белковый стабилизатор (шкурка свиная, вода), вода, смесь посолочно-нитритная (соль, фиксатор окраски нитрит натрия), соль, растительные волокна, регуляторы кислотности: пирофосфаты, цитраты натрия; пряности и экстракты пряностей (чеснок, перец чили), сахара, ароматизаторы, антиокислители: изоаскорбат натрия, экстракты розмарина; усилитель вкуса и аромата глутамат натрия, краситель кармины</v>
          </cell>
          <cell r="L297">
            <v>13</v>
          </cell>
          <cell r="M297">
            <v>29</v>
          </cell>
          <cell r="O297" t="str">
            <v>313/1294</v>
          </cell>
          <cell r="P297" t="str">
            <v>0…+6</v>
          </cell>
          <cell r="Q297">
            <v>50</v>
          </cell>
        </row>
        <row r="298">
          <cell r="B298">
            <v>1001051873828</v>
          </cell>
          <cell r="C298" t="str">
            <v>Z-СЕРВЕЛАТ ФИНСКИЙ в/к в/у</v>
          </cell>
          <cell r="D298" t="str">
            <v>КГ</v>
          </cell>
          <cell r="E298" t="str">
            <v>Колбасные изделия</v>
          </cell>
          <cell r="F298" t="str">
            <v>Копченые колбасы</v>
          </cell>
          <cell r="G298" t="str">
            <v>Папа может</v>
          </cell>
          <cell r="H298" t="str">
            <v>ОМПК(К)</v>
          </cell>
          <cell r="I298" t="str">
            <v>ТУ 10.13.14-161-00425283-2022</v>
          </cell>
          <cell r="J298" t="str">
            <v>Мясной продукт. Изделие колбасное варено-копченое.</v>
          </cell>
          <cell r="K298"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98">
            <v>12</v>
          </cell>
          <cell r="M298">
            <v>20</v>
          </cell>
          <cell r="N298">
            <v>5</v>
          </cell>
          <cell r="O298" t="str">
            <v>248/1029</v>
          </cell>
          <cell r="P298" t="str">
            <v>0…+6</v>
          </cell>
          <cell r="Q298">
            <v>45</v>
          </cell>
        </row>
        <row r="299">
          <cell r="B299">
            <v>1001051875901</v>
          </cell>
          <cell r="C299" t="str">
            <v>Z-СЕРВЕЛАТ ФИНСКИЙ в/к в/у 0.840кг</v>
          </cell>
          <cell r="D299" t="str">
            <v>ШТ</v>
          </cell>
          <cell r="E299" t="str">
            <v>Колбасные изделия</v>
          </cell>
          <cell r="F299" t="str">
            <v>Копченые колбасы</v>
          </cell>
          <cell r="G299" t="str">
            <v>Папа может</v>
          </cell>
          <cell r="H299" t="str">
            <v>ОМПК(К)</v>
          </cell>
          <cell r="I299" t="str">
            <v>ТУ 10.13.14-161-00425283-2022</v>
          </cell>
          <cell r="J299" t="str">
            <v>Мясной продукт. Изделие колбасное варено-копченое.</v>
          </cell>
          <cell r="K299"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99">
            <v>12</v>
          </cell>
          <cell r="M299">
            <v>20</v>
          </cell>
          <cell r="N299">
            <v>5</v>
          </cell>
          <cell r="O299" t="str">
            <v>248/1029</v>
          </cell>
          <cell r="P299" t="str">
            <v>0…+6</v>
          </cell>
          <cell r="Q299">
            <v>45</v>
          </cell>
        </row>
        <row r="300">
          <cell r="B300">
            <v>1001051873261</v>
          </cell>
          <cell r="C300" t="str">
            <v>Z-СЕРВЕЛАТ ФИНСКИЙ в/к (для нарезки)</v>
          </cell>
          <cell r="D300" t="str">
            <v>КГ</v>
          </cell>
          <cell r="E300" t="str">
            <v>Колбасные изделия</v>
          </cell>
          <cell r="F300" t="str">
            <v>Копченые колбасы</v>
          </cell>
          <cell r="G300" t="str">
            <v>Папа может</v>
          </cell>
          <cell r="H300" t="str">
            <v>ОМПК(К)</v>
          </cell>
          <cell r="I300" t="str">
            <v>ТУ 10.13.14-161-00425283-2022</v>
          </cell>
          <cell r="J300" t="str">
            <v>Мясной продукт. Изделие колбасное варено-копченое.</v>
          </cell>
          <cell r="K300" t="str">
            <v>свинина, филе грудок куриных, шпик, стабилизатор белковый (шкурка свиная, вода питьевая), вода питьевая, сыворотка сухая молочная, соль, смесь посолочно-нитритная (соль, фиксатор окраски (нитрит натрия)), белок животный (говяжий), сахар, регулятор кислотности (пирофосфаты, цитраты натрия), стабилизатор (альгинат натрия), специи (горчица, имбирь, черный перец, мускатный орех), ароматизаторы, антиокислители (лимонная кислота, изоаскорбат натрия), усилитель вкуса и аромата (глутамат натрия), краситель (кармины)</v>
          </cell>
          <cell r="L300">
            <v>13</v>
          </cell>
          <cell r="M300">
            <v>20</v>
          </cell>
          <cell r="O300" t="str">
            <v>232/961</v>
          </cell>
          <cell r="P300" t="str">
            <v>0…+6</v>
          </cell>
          <cell r="Q300">
            <v>45</v>
          </cell>
        </row>
        <row r="301">
          <cell r="B301">
            <v>1001306657449</v>
          </cell>
          <cell r="C301" t="str">
            <v>Z-СЕРВ.ФИН.ТОЛС.СЛАЙСЫ в/к (для нарезки)</v>
          </cell>
          <cell r="D301" t="str">
            <v>КГ</v>
          </cell>
          <cell r="E301" t="str">
            <v>Колбасные изделия</v>
          </cell>
          <cell r="F301" t="str">
            <v>Копченые колбасы</v>
          </cell>
          <cell r="G301" t="str">
            <v>Папа может</v>
          </cell>
          <cell r="H301" t="str">
            <v>ОМПК(К)</v>
          </cell>
          <cell r="I301" t="str">
            <v>ТУ 10.13.14-161-00425283-2022</v>
          </cell>
          <cell r="J301" t="str">
            <v>Мясной продукт. Изделие колбасное варено-копченое.</v>
          </cell>
          <cell r="K301" t="str">
            <v>свинина, стабилизатор белковый (шкурка свиная, вода питьевая), мясо куриное механической обвалки, шпик, сыворотка молочная сухая, крахмал картофельный, смесь посолочно-нитритная (соль, фиксатор окраски (нитрит натрия)), белок животный (говяжий), регуляторы кислотности (пирофосфаты, цитраты натрия, трифосфаты, глюконо-дельта-лактон), стабилизатор (полифосфаты), клетчатка, белок соевый, загустители (альгинат натрия, каррагинан, гуаровая камедь, ксантановая камедь), пряности, экстракты пряностей, сахара, соль, антиокислители (лимонная кислота, аскорбиновая кислота, аскорбат натрия), усилитель вкуса и аромата (глутамат натрия), гемоглобин, ароматизаторы, ароматизатор коптильный, краситель (кармины)</v>
          </cell>
          <cell r="L301">
            <v>13</v>
          </cell>
          <cell r="M301">
            <v>18</v>
          </cell>
          <cell r="N301">
            <v>3</v>
          </cell>
          <cell r="O301" t="str">
            <v>226/938</v>
          </cell>
          <cell r="P301" t="str">
            <v>0…+6</v>
          </cell>
          <cell r="Q301">
            <v>5</v>
          </cell>
        </row>
        <row r="302">
          <cell r="B302">
            <v>1001304497237</v>
          </cell>
          <cell r="C302" t="str">
            <v>СЕРВЕЛАТ ШВАРЦЕР ПМ в/к в/у 0.28кг_209к</v>
          </cell>
          <cell r="D302" t="str">
            <v>ШТ</v>
          </cell>
          <cell r="E302" t="str">
            <v>Колбасные изделия</v>
          </cell>
          <cell r="F302" t="str">
            <v>Копченые колбасы</v>
          </cell>
          <cell r="G302" t="str">
            <v>Папа может</v>
          </cell>
          <cell r="H302" t="str">
            <v>ОМПК(К)</v>
          </cell>
          <cell r="I302" t="str">
            <v>ТУ 10.13.14-161-00425283-2022</v>
          </cell>
          <cell r="J302" t="str">
            <v>Мясной продукт. Изделие колбасное варено-копченое.</v>
          </cell>
          <cell r="K302" t="str">
            <v>свинина (в т.ч. окорок), филе грудок куриных, шпик, стабилизатор белковый (шкурка свиная, вода питьевая), вода питьевая, сыворотка молочная сухая, смесь посолочно-нитритная (соль, фиксатор окраски (нитрит натрия)), пищевые растительные волокна, соль, регуляторы кислотности (цитраты натрия, пирофосфаты, трифосфаты), загуститель (альгинат натрия), экстракты специй, чеснок сушеный, лук сушеный, масло подсолнечное рафинированное дезодорированное, сахара, антиокислители (аскорбиновая кислота, изоаскорбат натрия, лимонная кислота), усилитель вкуса и аромата (глутамат натрия), ароматизатор, гемоглобин, краситель (кармины)</v>
          </cell>
          <cell r="L302">
            <v>13</v>
          </cell>
          <cell r="M302">
            <v>18</v>
          </cell>
          <cell r="N302">
            <v>0</v>
          </cell>
          <cell r="O302" t="str">
            <v>214/887</v>
          </cell>
          <cell r="P302" t="str">
            <v>0…+6</v>
          </cell>
          <cell r="Q302">
            <v>45</v>
          </cell>
        </row>
        <row r="303">
          <cell r="B303">
            <v>1001302347292</v>
          </cell>
          <cell r="C303" t="str">
            <v>ЧЕСНОЧНАЯ п/к в/у_55с</v>
          </cell>
          <cell r="D303" t="str">
            <v>КГ</v>
          </cell>
          <cell r="E303" t="str">
            <v>Колбасные изделия</v>
          </cell>
          <cell r="F303" t="str">
            <v>Копченые колбасы</v>
          </cell>
          <cell r="G303" t="str">
            <v>Папа может</v>
          </cell>
          <cell r="H303" t="str">
            <v>ОМПК(К)</v>
          </cell>
          <cell r="I303" t="str">
            <v>ТУ 10.13.14-160-00425283-2022</v>
          </cell>
          <cell r="J303" t="str">
            <v>Мясной продукт. Изделие колбасное полукопченое категории В.</v>
          </cell>
          <cell r="K303" t="str">
            <v>свинина, шпик, мясо цыпленка-бройлера бескостное,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соль, клетчатка растительная, регуляторы кислотности (пирофосфаты, трифосфаты, цитраты натрия), стабилизатор (полифосфаты), загустители (альгинат натрия, каррагинан, ксантановая камедь, гуаровая камедь), чеснок сушеный молотый, горчица, ароматизаторы, сахара, антиокислители (аскорбиновая кислота, лимонная кислота), усилитель вкуса и аромата (глутамат натрия 1-замещенный), краситель (кармины)</v>
          </cell>
          <cell r="L303">
            <v>13</v>
          </cell>
          <cell r="M303">
            <v>19</v>
          </cell>
          <cell r="N303">
            <v>5</v>
          </cell>
          <cell r="O303" t="str">
            <v>243/1009</v>
          </cell>
          <cell r="P303" t="str">
            <v>0…+6</v>
          </cell>
          <cell r="Q303">
            <v>55</v>
          </cell>
        </row>
        <row r="304">
          <cell r="B304">
            <v>1001042343778</v>
          </cell>
          <cell r="C304" t="str">
            <v>Z-ЧЕСНОЧНАЯ п/к в/у</v>
          </cell>
          <cell r="D304" t="str">
            <v>КГ</v>
          </cell>
          <cell r="E304" t="str">
            <v>Колбасные изделия</v>
          </cell>
          <cell r="F304" t="str">
            <v>Копченые колбасы</v>
          </cell>
          <cell r="G304" t="str">
            <v>Папа может</v>
          </cell>
          <cell r="H304" t="str">
            <v>ОМПК(К)</v>
          </cell>
          <cell r="I304" t="str">
            <v>ТУ 10.13.14-160-00425283-2022</v>
          </cell>
          <cell r="J304" t="str">
            <v>Мясной продукт. Изделие колбасное полукопченое категории В.</v>
          </cell>
          <cell r="K304" t="str">
            <v>свинина, шпик, мясо цыпленка-бройлера бескостное,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соль, клетчатка растительная, регуляторы кислотности (пирофосфаты, трифосфаты, цитраты натрия), стабилизатор (полифосфаты), загустители (альгинат натрия, каррагинан, ксантановая камедь, гуаровая камедь), чеснок сушеный молотый, горчица, ароматизаторы, сахара, антиокислители (аскорбиновая кислота, лимонная кислота), усилитель вкуса и аромата (глутамат натрия 1-замещенный), краситель (кармины)</v>
          </cell>
          <cell r="L304">
            <v>13</v>
          </cell>
          <cell r="M304">
            <v>19</v>
          </cell>
          <cell r="N304">
            <v>5</v>
          </cell>
          <cell r="O304" t="str">
            <v>243/1009</v>
          </cell>
          <cell r="P304" t="str">
            <v>0…+6</v>
          </cell>
          <cell r="Q304">
            <v>45</v>
          </cell>
        </row>
        <row r="305">
          <cell r="B305">
            <v>1001302347177</v>
          </cell>
          <cell r="C305" t="str">
            <v>ЧЕСНОЧНАЯ ПМ п/к в/у 0.35кг 8шт_50с</v>
          </cell>
          <cell r="D305" t="str">
            <v>ШТ</v>
          </cell>
          <cell r="E305" t="str">
            <v>Колбасные изделия</v>
          </cell>
          <cell r="F305" t="str">
            <v>Копченые колбасы</v>
          </cell>
          <cell r="G305" t="str">
            <v>Папа может</v>
          </cell>
          <cell r="H305" t="str">
            <v>ОМПК(К)</v>
          </cell>
          <cell r="I305" t="str">
            <v>ТУ 10.13.14-160-00425283-2022</v>
          </cell>
          <cell r="J305" t="str">
            <v>Мясной продукт. Изделие колбасное полукопченое категории В.</v>
          </cell>
          <cell r="K305" t="str">
            <v>свинина, шпик, мясо цыпленка-бройлера бескостное,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соль, клетчатка растительная, регуляторы кислотности (пирофосфаты, трифосфаты, цитраты натрия), стабилизатор (полифосфаты), загустители (альгинат натрия, каррагинан, ксантановая камедь, гуаровая камедь), чеснок сушеный молотый, горчица, ароматизаторы, сахара, антиокислители (аскорбиновая кислота, лимонная кислота), усилитель вкуса и аромата (глутамат натрия 1-замещенный), краситель (кармины)</v>
          </cell>
          <cell r="L305">
            <v>13</v>
          </cell>
          <cell r="M305">
            <v>19</v>
          </cell>
          <cell r="N305">
            <v>5</v>
          </cell>
          <cell r="O305" t="str">
            <v>243/1009</v>
          </cell>
          <cell r="P305" t="str">
            <v>0…+6</v>
          </cell>
          <cell r="Q305">
            <v>50</v>
          </cell>
        </row>
        <row r="306">
          <cell r="B306">
            <v>1001305436728</v>
          </cell>
          <cell r="C306" t="str">
            <v>Z-ИМПЕРСКАЯ в/к (для нарезки)</v>
          </cell>
          <cell r="D306" t="str">
            <v>КГ</v>
          </cell>
          <cell r="E306" t="str">
            <v>Колбасные изделия</v>
          </cell>
          <cell r="F306" t="str">
            <v>Копченые колбасы</v>
          </cell>
          <cell r="G306" t="str">
            <v>Папа может</v>
          </cell>
          <cell r="H306" t="str">
            <v>ОМПК(К)</v>
          </cell>
          <cell r="I306" t="str">
            <v>ТУ 10.13.14-161-00425283-2022</v>
          </cell>
          <cell r="J306" t="str">
            <v>Мясной продукт. Изделие колбасное варено-копченое.</v>
          </cell>
          <cell r="K306" t="str">
            <v>свинина, шпик, вода,  белковый стабилизатор (вода, шкурка свиная), смесь посолочно-нитритная (соль, фиксатор окраски нитрит натрия), регуляторы кислотности: пирофосфаты, трифосфаты, ацетаты натрия, цитраты натрия; стабилизатор полифосфаты, соль, натуральные пряности (в т.ч. горчица), усилитель вкуса и аромата глутамат натрия, виноградный сахар, антиокислители: аскорбиновая кислота, изоаскорбат натрия</v>
          </cell>
          <cell r="L306">
            <v>14</v>
          </cell>
          <cell r="M306">
            <v>26</v>
          </cell>
          <cell r="O306" t="str">
            <v>290/1200</v>
          </cell>
          <cell r="P306" t="str">
            <v>0…+6</v>
          </cell>
          <cell r="Q306">
            <v>50</v>
          </cell>
        </row>
        <row r="307">
          <cell r="B307">
            <v>1001303636729</v>
          </cell>
          <cell r="C307" t="str">
            <v>Z-БАЛЫКОВАЯ в/к (для нарезки)</v>
          </cell>
          <cell r="D307" t="str">
            <v>КГ</v>
          </cell>
          <cell r="E307" t="str">
            <v>Колбасные изделия</v>
          </cell>
          <cell r="F307" t="str">
            <v>Копченые колбасы</v>
          </cell>
          <cell r="G307" t="str">
            <v>Папа может</v>
          </cell>
          <cell r="H307" t="str">
            <v>ОМПК(К)</v>
          </cell>
          <cell r="I307" t="str">
            <v>ТУ 10.13.14-161-00425283-2022</v>
          </cell>
          <cell r="J307" t="str">
            <v>Мясной продукт. Изделие колбасное варено-копченое.</v>
          </cell>
          <cell r="K307" t="str">
            <v>свинина, вода, мясо цыпленка-бройлера механической обвалки, белковый стабилизатор (вода, шкурка свиная), смесь посолочно-нитритная (соль, фиксатор окраски нитрит натрия), регуляторы кислотности: пирофосфаты, трифосфаты, ацетаты натрия, цитраты натрия; стабилизатор полифосфаты, соль, сахара, натуральные пряности, усилитель вкуса и аромата глутамат натрия, ароматизаторы, антиокислители: аскорбат натрия, изоаскорбат натрия</v>
          </cell>
          <cell r="L307">
            <v>14</v>
          </cell>
          <cell r="M307">
            <v>17</v>
          </cell>
          <cell r="O307" t="str">
            <v>209/867</v>
          </cell>
          <cell r="P307" t="str">
            <v>0…+6</v>
          </cell>
          <cell r="Q307">
            <v>50</v>
          </cell>
        </row>
        <row r="308">
          <cell r="B308">
            <v>1001215576586</v>
          </cell>
          <cell r="C308" t="str">
            <v>МРАМОРНАЯ И БАЛЫКОВАЯ в/к с/н мгс 1/90</v>
          </cell>
          <cell r="D308" t="str">
            <v>ШТ</v>
          </cell>
          <cell r="E308" t="str">
            <v>Колбасные изделия</v>
          </cell>
          <cell r="F308" t="str">
            <v>Копченые колбасы</v>
          </cell>
          <cell r="G308" t="str">
            <v>Папа может</v>
          </cell>
          <cell r="H308" t="str">
            <v>ОМПК(О)</v>
          </cell>
          <cell r="I308" t="str">
            <v>ТУ 10.13.14-161-00425283-2022</v>
          </cell>
          <cell r="J308" t="str">
            <v>Мясной продукт. Изделие колбасное варено-копченое.</v>
          </cell>
          <cell r="K308" t="str">
            <v>МРАМОРНАЯ: свинина, шпик, стабилизатор белковый (шкурка свиная, вода питьевая), смесь посолочно-нитритная (соль, фиксатор окраски (нитрит натрия)), белок животный (говяжий), регуляторы кислотности (пирофосфаты, трифосфаты, цитраты натрия), стабилизатор (полифосфат), сахара, перец черный, перец белый, горчица, экстракты специй, антиокислители (аскорбиновая кислота), усилитель вкуса и аромата (глутамат натрия 1-замещенный), гемоглобин, ароматизаторы, краситель (кармины).
БАЛЫКОВАЯ: свинина, окорок свиной, стабилизатор белковый (шкурка свиная, вода питьевая), смесь посолочно-нитритная (соль, фиксатор окраски (нитрит натрия)), белок животный (говяжий), регуляторы кислотности (пирофосфаты, трифосфаты, цитраты натрия), стабилизатор (полифосфаты), сахара, тмин, пажитник, горчица, лук репчатый сушеный молотый, чеснок сушеный молотый, антиокислители (аскорбиновая кислота), усилитель вкуса и аромата (глутамат натрия 1-замещенный), ароматизаторы.</v>
          </cell>
          <cell r="L308" t="str">
            <v>15
15</v>
          </cell>
          <cell r="M308" t="str">
            <v>19
19</v>
          </cell>
          <cell r="N308" t="str">
            <v>4
5</v>
          </cell>
          <cell r="O308" t="str">
            <v>247/1026
251/1043</v>
          </cell>
          <cell r="P308" t="str">
            <v>0…+6</v>
          </cell>
          <cell r="Q308">
            <v>45</v>
          </cell>
        </row>
        <row r="309">
          <cell r="B309">
            <v>1001217297466</v>
          </cell>
          <cell r="C309" t="str">
            <v>СЕРВ.ТОЛСТ.СЛАЙС КОПЧ. в/к с/н мгс 1/150</v>
          </cell>
          <cell r="D309" t="str">
            <v>ШТ</v>
          </cell>
          <cell r="E309" t="str">
            <v>Колбасные изделия</v>
          </cell>
          <cell r="F309" t="str">
            <v>Копченые колбасы</v>
          </cell>
          <cell r="G309" t="str">
            <v>Папа может</v>
          </cell>
          <cell r="H309" t="str">
            <v>ОМПК(О)</v>
          </cell>
          <cell r="I309" t="str">
            <v>ТУ 10.13.14-161-00425283-2022</v>
          </cell>
          <cell r="J309" t="str">
            <v>Мясной продукт. Изделие колбасное варено-копченое.</v>
          </cell>
          <cell r="K309" t="str">
            <v>свинина, шпик, мясо цыпленка-бройлера бескостное,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глюконо-дельта-лактон), стабилизатор (полифосфаты), загустители (альгинат натрия, каррагинан, гуаровая камедь, ксантановая камедь), перец черный молотый, мускатный орех, пряности, сахара, соль, антиокислители (аскорбиновая кислота, лимонная кислота), гемоглобин, усилитель вкуса и аромата (глутамат натрия 1-замещенный), ароматизаторы, краситель (кармины)</v>
          </cell>
          <cell r="L309">
            <v>13</v>
          </cell>
          <cell r="M309">
            <v>17</v>
          </cell>
          <cell r="N309">
            <v>5</v>
          </cell>
          <cell r="O309" t="str">
            <v>225/935</v>
          </cell>
          <cell r="P309" t="str">
            <v>0…+6</v>
          </cell>
          <cell r="Q309">
            <v>45</v>
          </cell>
        </row>
        <row r="310">
          <cell r="B310">
            <v>1001211877252</v>
          </cell>
          <cell r="C310" t="str">
            <v>СЕРВЕЛАТ ФИНСКИЙ ПМ в/к с/н мгс 1/100*12</v>
          </cell>
          <cell r="D310" t="str">
            <v>ШТ</v>
          </cell>
          <cell r="E310" t="str">
            <v>Колбасные изделия</v>
          </cell>
          <cell r="F310" t="str">
            <v>Копченые колбасы</v>
          </cell>
          <cell r="G310" t="str">
            <v>Папа может</v>
          </cell>
          <cell r="H310" t="str">
            <v>ОМПК(О)</v>
          </cell>
          <cell r="I310" t="str">
            <v>ТУ 10.13.14-161-00425283-2022</v>
          </cell>
          <cell r="J310" t="str">
            <v>Мясной продукт. Изделие колбасное варено-копченое.</v>
          </cell>
          <cell r="K310"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красители (кармины)</v>
          </cell>
          <cell r="L310">
            <v>13</v>
          </cell>
          <cell r="M310">
            <v>21</v>
          </cell>
          <cell r="N310">
            <v>4</v>
          </cell>
          <cell r="O310" t="str">
            <v>257/1066</v>
          </cell>
          <cell r="P310" t="str">
            <v>0…+6</v>
          </cell>
          <cell r="Q310">
            <v>45</v>
          </cell>
        </row>
        <row r="311">
          <cell r="B311">
            <v>1001304197608</v>
          </cell>
          <cell r="C311" t="str">
            <v>СЕРВЕЛАТ ШВЕЙЦАРСК.в/к с/н в/у 1/100_Л11</v>
          </cell>
          <cell r="D311" t="str">
            <v>ШТ</v>
          </cell>
          <cell r="E311" t="str">
            <v>Колбасные изделия</v>
          </cell>
          <cell r="F311" t="str">
            <v>Копченые колбасы</v>
          </cell>
          <cell r="G311" t="str">
            <v>Останкино</v>
          </cell>
          <cell r="H311" t="str">
            <v>ОМПК(О)</v>
          </cell>
          <cell r="I311" t="str">
            <v>ТУ 10.13.14-161-00425283-2022</v>
          </cell>
          <cell r="J311" t="str">
            <v>Мясной продукт. Изделие колбасное варено-копченое.</v>
          </cell>
          <cell r="K311" t="str">
            <v>свинина, окорок свиной, шпик, стабилизатор белковый (шкурка свиная, вода питьевая), смесь посолочно-нитритная (соль, фиксатор окраски (нитрит натрия)), волокна пищевые (пшеничные), соль, регуляторы кислотности (пирофосфаты, трифосфаты, цитраты натрия), горчица, чеснок сушеный молотый, перец душистый, чили, ароматизаторы, гемоглобин, антиокислители (лимонная кислота, аскорбиновая кислота), сахара, усилитель вкуса и аромата (глутамат натрия 1-замещенный), краситель (кармины)</v>
          </cell>
          <cell r="L311">
            <v>14</v>
          </cell>
          <cell r="M311">
            <v>23</v>
          </cell>
          <cell r="N311">
            <v>4</v>
          </cell>
          <cell r="O311" t="str">
            <v>279/1157</v>
          </cell>
          <cell r="P311" t="str">
            <v>0…+6</v>
          </cell>
          <cell r="Q311">
            <v>45</v>
          </cell>
        </row>
        <row r="312">
          <cell r="B312">
            <v>1001220226208</v>
          </cell>
          <cell r="C312" t="str">
            <v>ДЫМОВИЦА ИЗ ЛОПАТКИ ПМ к/в с/н в/у 1/150</v>
          </cell>
          <cell r="D312" t="str">
            <v>ШТ</v>
          </cell>
          <cell r="E312" t="str">
            <v>Колбасные изделия</v>
          </cell>
          <cell r="F312" t="str">
            <v>Копчености</v>
          </cell>
          <cell r="G312" t="str">
            <v>Папа может</v>
          </cell>
          <cell r="H312" t="str">
            <v>ОМПК(О)</v>
          </cell>
          <cell r="I312" t="str">
            <v>ТУ 10.13.14-183-00425283-2026</v>
          </cell>
          <cell r="J312" t="str">
            <v>Мясной продукт из свинины копчено-вареный категории Б.</v>
          </cell>
          <cell r="K312" t="str">
            <v>лопатка свиная, вода питьевая, смесь посолочно-нитритная (соль, фиксатор окраски (нитрит натрия)), крахмал картофельный, белок животный (говяжий), регуляторы кислотности (трифосфаты, цитраты натрия), загустители (каррагинан, ксантановая камедь, модифицированный крахмал), перец черный, сахара, антиокислитель (аскорбиновая кислота), усилитель вкуса и аромата (глутамат натрия 1-замещенный), ароматизатор, краситель (кармины)</v>
          </cell>
          <cell r="L312">
            <v>15</v>
          </cell>
          <cell r="M312">
            <v>5</v>
          </cell>
          <cell r="N312">
            <v>4</v>
          </cell>
          <cell r="O312" t="str">
            <v>121/508</v>
          </cell>
          <cell r="P312" t="str">
            <v>0…+6</v>
          </cell>
          <cell r="Q312">
            <v>45</v>
          </cell>
        </row>
        <row r="313">
          <cell r="B313">
            <v>1001220227411</v>
          </cell>
          <cell r="C313" t="str">
            <v>ДЫМОВИЦА ИЗ ЛОП.к/в с/н в/у 1/100_СТМ МC</v>
          </cell>
          <cell r="D313" t="str">
            <v>ШТ</v>
          </cell>
          <cell r="E313" t="str">
            <v>Колбасные изделия</v>
          </cell>
          <cell r="F313" t="str">
            <v>Копчености</v>
          </cell>
          <cell r="G313" t="str">
            <v>СТМ</v>
          </cell>
          <cell r="H313" t="str">
            <v>ОМПК(О)</v>
          </cell>
          <cell r="I313" t="str">
            <v>ТУ 10.13.14-183-00425283-2026</v>
          </cell>
          <cell r="J313" t="str">
            <v>Мясной продукт из свинины копчено-вареный категории Б.</v>
          </cell>
          <cell r="K313" t="str">
            <v>свинина, вода питьевая, смесь посолочно-нитритная (соль, фиксатор окраски (нитрит натрия)), крахмал картофельный, белок животный (говяжий), регуляторы кислотности (цитраты натрия, трифосфаты), загустители (каррагинан из водорослей EUCHEUMA, ксантановая камедь, модифицированный крахмал), соль, пряности, экстракты пряностей, сахара, антиокислители (лимонная кислота, аскорбиновая кислота, аскорбат натрия), усилитель вкуса и аромата (глутамат натрия), ароматизаторы, краситель (кармины)</v>
          </cell>
          <cell r="L313">
            <v>13</v>
          </cell>
          <cell r="M313">
            <v>5</v>
          </cell>
          <cell r="N313">
            <v>1</v>
          </cell>
          <cell r="O313" t="str">
            <v>101/423</v>
          </cell>
          <cell r="P313" t="str">
            <v>0…+6</v>
          </cell>
          <cell r="Q313">
            <v>30</v>
          </cell>
        </row>
        <row r="314">
          <cell r="B314">
            <v>1001225406754</v>
          </cell>
          <cell r="C314" t="str">
            <v>БАЛЫК И ШЕЙКА с/в с/н мгс 1/90 8шт.</v>
          </cell>
          <cell r="D314" t="str">
            <v>ШТ</v>
          </cell>
          <cell r="E314" t="str">
            <v>Колбасные изделия</v>
          </cell>
          <cell r="F314" t="str">
            <v>Копчености</v>
          </cell>
          <cell r="G314" t="str">
            <v>Останкино</v>
          </cell>
          <cell r="H314" t="str">
            <v>ОМПК(О)</v>
          </cell>
          <cell r="I314" t="str">
            <v>ТУ 10.13.14-184-00425283-2026</v>
          </cell>
          <cell r="J314" t="str">
            <v>Мясные продукты из свинины сыровяленые категории А: мясное ассорти: Балык и Шейка.</v>
          </cell>
          <cell r="K314" t="str">
            <v xml:space="preserve">БАЛЫК: карбонад свиной, смесь посолочно-нитритная (соль, фиксатор окраски (нитрит натрия)), регуляторы кислотности (глюконо-дельта-лактон, цитраты натрия), перец черный, сельдерей, лук репчатый, сахара, антиокислитель (аскорбиновая кислота), усилитель вкуса и аромата (глутамат натрия 1-замещенный), ароматизатор.
ШЕЙКА: шейка свиная, смесь посолочно-нитритная (соль, фиксатор окраски (нитрит натрия)), регуляторы кислотности (глюконо-дельта-лактон, цитраты натрия), перец черный, сельдерей, лук репчатый, сахара, антиокислитель (аскорбиновая кислота), усилитель вкуса и аромата (глутамат натрия 1-замещенный), ароматизатор. </v>
          </cell>
          <cell r="L314" t="str">
            <v>25
18</v>
          </cell>
          <cell r="M314" t="str">
            <v>3
17</v>
          </cell>
          <cell r="N314" t="str">
            <v>1
2</v>
          </cell>
          <cell r="O314" t="str">
            <v>131/553
233/969</v>
          </cell>
          <cell r="P314" t="str">
            <v>0…+6</v>
          </cell>
          <cell r="Q314">
            <v>60</v>
          </cell>
        </row>
        <row r="315">
          <cell r="B315">
            <v>1001225407181</v>
          </cell>
          <cell r="C315" t="str">
            <v>БАЛЫК И ШЕЙКА ПМ к/з с/н мгс 1/90 8шт.</v>
          </cell>
          <cell r="D315" t="str">
            <v>ШТ</v>
          </cell>
          <cell r="E315" t="str">
            <v>Колбасные изделия</v>
          </cell>
          <cell r="F315" t="str">
            <v>Копчености</v>
          </cell>
          <cell r="G315" t="str">
            <v>Папа может</v>
          </cell>
          <cell r="H315" t="str">
            <v>ОМПК(О)</v>
          </cell>
          <cell r="I315" t="str">
            <v>ТУ 10.13.14-183-00425283-2026</v>
          </cell>
          <cell r="J315" t="str">
            <v>Мясные продукты из свинины копчено-запеченные: мясное ассорти: Балык и Шейка.</v>
          </cell>
          <cell r="K315" t="str">
            <v>БАЛЫК: карбонад свиной,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пряности, экстракты пряностей, сахара, белок животный (говяжий), антиокислитель (аскорбиновая кислота), усилитель вкуса и аромата (глутамат натрия 1-замещенный), ароматизатор.
ШЕЙКА: шейка свиная,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гуаровая камедь), ПРЯНОСТИ, сахара, белок животный (говяжий), антиокислитель (аскорбиновая кислота), усилитель вкуса и аромата (глутамат натрия 1-замещенный), ароматизатор.</v>
          </cell>
          <cell r="L315" t="str">
            <v>15
19</v>
          </cell>
          <cell r="M315" t="str">
            <v>12
4</v>
          </cell>
          <cell r="N315" t="str">
            <v>2
1</v>
          </cell>
          <cell r="O315" t="str">
            <v>176/733
116/488</v>
          </cell>
          <cell r="P315" t="str">
            <v>0…+6</v>
          </cell>
          <cell r="Q315">
            <v>50</v>
          </cell>
        </row>
        <row r="316">
          <cell r="B316">
            <v>1001225416228</v>
          </cell>
          <cell r="C316" t="str">
            <v>МЯСНОЕ АССОРТИ к/з с/н мгс 1/90 10шт.</v>
          </cell>
          <cell r="D316" t="str">
            <v>ШТ</v>
          </cell>
          <cell r="E316" t="str">
            <v>Колбасные изделия</v>
          </cell>
          <cell r="F316" t="str">
            <v>Копчености</v>
          </cell>
          <cell r="G316" t="str">
            <v>Останкино</v>
          </cell>
          <cell r="H316" t="str">
            <v>ОМПК(О)</v>
          </cell>
          <cell r="I316" t="str">
            <v>ТУ 10.13.14-183-00425283-2026</v>
          </cell>
          <cell r="J316" t="str">
            <v>Мясные продукты из свинины копчено-запеченные: Мясное ассорти: Балык и Шейка.</v>
          </cell>
          <cell r="K316" t="str">
            <v>БАЛЫК категории А: карбонад свиной, смесь посолочно-нитритная (соль, фиксатор окраски (нитрит натрия)), перец черный, регуляторы кислотности (пирофосфаты, трифосфаты, цитраты натрия), загустители (каррагинан, гуаровая камедь, ксантановая камедь), сахара, белок животный (говяжий), антиокислитель (аскорбиновая кислота), усилитель вкуса и аромата (глутамат натрия 1-замещенный), ароматизатор.
ШЕЙКА категории Б: шейка свиная, смесь посолочно-нитритная (соль, фиксатор окраски (нитрит натрия)), перец черный молотый, регуляторы кислотности (пирофосфаты, трифосфаты, цитраты натрия), загустители (каррагинан, ксантановая камедь, гуаровая камедь), сахара, белок животный (говяжий), антиокислитель (аскорбиновая кислота), усилитель вкуса и аромата (глутамат натрия 1-замещенный), ароматизатор.</v>
          </cell>
          <cell r="L316" t="str">
            <v>15
19</v>
          </cell>
          <cell r="M316" t="str">
            <v>12
4</v>
          </cell>
          <cell r="N316" t="str">
            <v>2
1</v>
          </cell>
          <cell r="O316" t="str">
            <v>176/733
116/488</v>
          </cell>
          <cell r="P316" t="str">
            <v>0…+6</v>
          </cell>
          <cell r="Q316">
            <v>45</v>
          </cell>
        </row>
        <row r="317">
          <cell r="B317">
            <v>1001225156500</v>
          </cell>
          <cell r="C317" t="str">
            <v>КАРБОНАД к/в с/н в/у 1/150 8шт.</v>
          </cell>
          <cell r="D317" t="str">
            <v>ШТ</v>
          </cell>
          <cell r="E317" t="str">
            <v>Колбасные изделия</v>
          </cell>
          <cell r="F317" t="str">
            <v>Копчености</v>
          </cell>
          <cell r="G317" t="str">
            <v>Останкино</v>
          </cell>
          <cell r="H317" t="str">
            <v>ОМПК(О)</v>
          </cell>
          <cell r="I317" t="str">
            <v>ТУ 10.13.14-183-00425283-2026</v>
          </cell>
          <cell r="J317" t="str">
            <v>Мясной продукт из свинины копчено-вареный категории А.</v>
          </cell>
          <cell r="K317" t="str">
            <v>карбонад свиной, вода питьевая, смесь посолочно-нитритная (соль, фиксатор окраски (нитрит натрия)), белок животный (свиной), регуляторы кислотности (пирофосфаты, трифосфаты, цитраты натрия), антиокислители (лимонная кислота, аскорбиновая кислота), ароматизатор</v>
          </cell>
          <cell r="L317">
            <v>18</v>
          </cell>
          <cell r="M317">
            <v>6</v>
          </cell>
          <cell r="N317">
            <v>1</v>
          </cell>
          <cell r="O317" t="str">
            <v>130/545</v>
          </cell>
          <cell r="P317" t="str">
            <v>0…+6</v>
          </cell>
          <cell r="Q317">
            <v>45</v>
          </cell>
        </row>
        <row r="318">
          <cell r="B318">
            <v>1001225157541</v>
          </cell>
          <cell r="C318" t="str">
            <v>КАРБОНАД к/в с/н мгс 1/100 10шт.</v>
          </cell>
          <cell r="D318" t="str">
            <v>ШТ</v>
          </cell>
          <cell r="E318" t="str">
            <v>Колбасные изделия</v>
          </cell>
          <cell r="F318" t="str">
            <v>Копчености</v>
          </cell>
          <cell r="G318" t="str">
            <v>Останкино</v>
          </cell>
          <cell r="H318" t="str">
            <v>ОМПК(О)</v>
          </cell>
          <cell r="I318" t="str">
            <v>ТУ 10.13.14-183-00425283-2026</v>
          </cell>
          <cell r="J318" t="str">
            <v>Мясной продукт из свинины копчено-вареный категории А.</v>
          </cell>
          <cell r="K318" t="str">
            <v>карбонад свиной, вода питьевая, смесь посолочно-нитритная (соль, фиксатор окраски (нитрит натрия)), белок животный (свиной), регуляторы кислотности (пирофосфаты, трифосфаты, цитраты натрия), антиокислители (лимонная кислота, аскорбиновая кислота), ароматизатор</v>
          </cell>
          <cell r="L318">
            <v>18</v>
          </cell>
          <cell r="M318">
            <v>6</v>
          </cell>
          <cell r="N318">
            <v>1</v>
          </cell>
          <cell r="O318" t="str">
            <v>130/545</v>
          </cell>
          <cell r="P318" t="str">
            <v>0…+6</v>
          </cell>
          <cell r="Q318">
            <v>45</v>
          </cell>
        </row>
        <row r="319">
          <cell r="B319">
            <v>1001225157458</v>
          </cell>
          <cell r="C319" t="str">
            <v>КАРБОНАД Останкино к/в с/н в/у 1/100_Л11</v>
          </cell>
          <cell r="D319" t="str">
            <v>ШТ</v>
          </cell>
          <cell r="E319" t="str">
            <v>Колбасные изделия</v>
          </cell>
          <cell r="F319" t="str">
            <v>Копчености</v>
          </cell>
          <cell r="G319" t="str">
            <v>Останкино</v>
          </cell>
          <cell r="H319" t="str">
            <v>ОМПК(О)</v>
          </cell>
          <cell r="I319" t="str">
            <v>ТУ 10.13.14-183-00425283-2026</v>
          </cell>
          <cell r="J319" t="str">
            <v>Мясной продукт из свинины копчено-вареный категории А.</v>
          </cell>
          <cell r="K319" t="str">
            <v>карбонад свиной, вода питьевая, смесь посолочно-нитритная (соль, фиксатор окраски (нитрит натрия)), белок животный (свиной), регуляторы кислотности (пирофосфаты, трифосфаты, цитраты натрия), антиокислители (лимонная кислота, аскорбиновая кислота), ароматизатор</v>
          </cell>
          <cell r="L319">
            <v>18</v>
          </cell>
          <cell r="M319">
            <v>6</v>
          </cell>
          <cell r="N319">
            <v>1</v>
          </cell>
          <cell r="O319" t="str">
            <v>130/545</v>
          </cell>
          <cell r="P319" t="str">
            <v>0…+6</v>
          </cell>
          <cell r="Q319">
            <v>45</v>
          </cell>
        </row>
        <row r="320">
          <cell r="B320">
            <v>1001225156473</v>
          </cell>
          <cell r="C320" t="str">
            <v>КАРБОНАД к/в с/н в/у 1/100 10шт_Т/СТМ</v>
          </cell>
          <cell r="D320" t="str">
            <v>ШТ</v>
          </cell>
          <cell r="E320" t="str">
            <v>Колбасные изделия</v>
          </cell>
          <cell r="F320" t="str">
            <v>Копчености</v>
          </cell>
          <cell r="G320" t="str">
            <v>СТМ</v>
          </cell>
          <cell r="H320" t="str">
            <v>ОМПК(О)</v>
          </cell>
          <cell r="I320" t="str">
            <v>ТУ 10.13.14-183-00425283-2026</v>
          </cell>
          <cell r="J320" t="str">
            <v>Мясной продукт из свинины копчено-вареный категории А.</v>
          </cell>
          <cell r="K320" t="str">
            <v>свинина, вода питьевая, смесь посолочно-нитритная (соль, фиксатор окраски (нитрит натрия)), белок животный (свиной), регуляторы кислотности (пирофосфаты, трифосфаты, цитраты натрия), антиокислители (лимонная кислота, аскорбиновая кислота), ароматизатор</v>
          </cell>
          <cell r="L320">
            <v>18</v>
          </cell>
          <cell r="M320">
            <v>6</v>
          </cell>
          <cell r="N320">
            <v>1</v>
          </cell>
          <cell r="O320" t="str">
            <v>130/545</v>
          </cell>
          <cell r="P320" t="str">
            <v>0…+6</v>
          </cell>
          <cell r="Q320">
            <v>45</v>
          </cell>
        </row>
        <row r="321">
          <cell r="B321">
            <v>1001225157412</v>
          </cell>
          <cell r="C321" t="str">
            <v>КАРБОНАД к/в с/н в/у 1/100*10_Х5/СТМ МС</v>
          </cell>
          <cell r="D321" t="str">
            <v>ШТ</v>
          </cell>
          <cell r="E321" t="str">
            <v>Колбасные изделия</v>
          </cell>
          <cell r="F321" t="str">
            <v>Копчености</v>
          </cell>
          <cell r="G321" t="str">
            <v>СТМ</v>
          </cell>
          <cell r="H321" t="str">
            <v>ОМПК(О)</v>
          </cell>
          <cell r="I321" t="str">
            <v>ТУ 10.13.14-183-00425283-2026</v>
          </cell>
          <cell r="J321" t="str">
            <v>Мясной продукт из свинины копчено-вареный категории А.</v>
          </cell>
          <cell r="K321" t="str">
            <v>свинина, вода питьевая, соль, регуляторы кислотности (пирофосфаты, трифосфаты, цитраты натрия), стабилизатор (полифосфаты), белок животный (свиной), сывороточный молочный белок, антиокислитель (аскорбат натрия), смесь посолочно-нитритная (соль, фиксатор окраски (нитрит натрия)), ароматизаторы</v>
          </cell>
          <cell r="L321">
            <v>18</v>
          </cell>
          <cell r="M321">
            <v>10</v>
          </cell>
          <cell r="N321">
            <v>0</v>
          </cell>
          <cell r="O321" t="str">
            <v>162/676</v>
          </cell>
          <cell r="P321" t="str">
            <v>0…+6</v>
          </cell>
          <cell r="Q321">
            <v>45</v>
          </cell>
        </row>
        <row r="322">
          <cell r="B322">
            <v>1001227507499</v>
          </cell>
          <cell r="C322" t="str">
            <v>КАРПАЧЧО ИЗ КУРИЦЫ с/к с/н мгс 1/80_Л10</v>
          </cell>
          <cell r="D322" t="str">
            <v>ШТ</v>
          </cell>
          <cell r="E322" t="str">
            <v>Колбасные изделия</v>
          </cell>
          <cell r="F322" t="str">
            <v>Копчености</v>
          </cell>
          <cell r="G322" t="str">
            <v>Останкино</v>
          </cell>
          <cell r="H322" t="str">
            <v>ОМПК(О)</v>
          </cell>
          <cell r="I322" t="str">
            <v>ТУ 10.13.14-187-00425283-2026</v>
          </cell>
          <cell r="J322" t="str">
            <v>Продукт из мяса кур сырокопченый охлажденный.</v>
          </cell>
          <cell r="K322" t="str">
            <v>филе грудок куриных, смесь посолочно-нитритная (соль, фиксатор окраски (нитрит натрия)), регуляторы кислотности (пирофосфаты, цитраты натрия), белок молочный, сельдерей, лук репчатый, сахара, антиокислитель (аскорбиновая кислота), усилитель вкуса и аромата (глутамат натрия 1 -замещенный), ароматизаторы</v>
          </cell>
          <cell r="L322">
            <v>25</v>
          </cell>
          <cell r="M322">
            <v>4</v>
          </cell>
          <cell r="N322">
            <v>1</v>
          </cell>
          <cell r="O322" t="str">
            <v>140/590</v>
          </cell>
          <cell r="P322" t="str">
            <v>0…+6</v>
          </cell>
          <cell r="Q322">
            <v>45</v>
          </cell>
        </row>
        <row r="323">
          <cell r="B323">
            <v>1001220286279</v>
          </cell>
          <cell r="C323" t="str">
            <v>КОРЕЙКА ПО-ОСТ.к/в в/с с/н в/у 1/150_45с</v>
          </cell>
          <cell r="D323" t="str">
            <v>ШТ</v>
          </cell>
          <cell r="E323" t="str">
            <v>Колбасные изделия</v>
          </cell>
          <cell r="F323" t="str">
            <v>Копчености</v>
          </cell>
          <cell r="G323" t="str">
            <v>Останкино</v>
          </cell>
          <cell r="H323" t="str">
            <v>ОМПК(О)</v>
          </cell>
          <cell r="I323" t="str">
            <v>ТУ 10.13.14-183-00425283-2026</v>
          </cell>
          <cell r="J323" t="str">
            <v>Мясной продукт из свинины копчено-вареный категории Б.</v>
          </cell>
          <cell r="K323" t="str">
            <v>корейка свиная, вода питьевая, смесь посолочно-нитритная (соль, фиксатор окраски (нитрит натрия)), животный белок (свиной), регуляторы кислотности (пирофосфаты, трифосфаты, цитраты натрия), антиокислители (аскорбиновая кислота, лимонная кислота), сахара, ароматизатор</v>
          </cell>
          <cell r="L323">
            <v>17</v>
          </cell>
          <cell r="M323">
            <v>10</v>
          </cell>
          <cell r="N323">
            <v>1</v>
          </cell>
          <cell r="O323" t="str">
            <v>162/766</v>
          </cell>
          <cell r="P323" t="str">
            <v>0…+6</v>
          </cell>
          <cell r="Q323">
            <v>45</v>
          </cell>
        </row>
        <row r="324">
          <cell r="B324">
            <v>1001220287459</v>
          </cell>
          <cell r="C324" t="str">
            <v>КОРЕЙКА ПО-ОСТ.к/в в/с с/н в/у 1/100_Л11</v>
          </cell>
          <cell r="D324" t="str">
            <v>ШТ</v>
          </cell>
          <cell r="E324" t="str">
            <v>Колбасные изделия</v>
          </cell>
          <cell r="F324" t="str">
            <v>Копчености</v>
          </cell>
          <cell r="G324" t="str">
            <v>Останкино</v>
          </cell>
          <cell r="H324" t="str">
            <v>ОМПК(О)</v>
          </cell>
          <cell r="I324" t="str">
            <v>ТУ 10.13.14-183-00425283-2026</v>
          </cell>
          <cell r="J324" t="str">
            <v>Мясной продукт из свинины копчено-вареный категории Б.</v>
          </cell>
          <cell r="K324" t="str">
            <v>корейка свиная, вода питьевая, смесь посолочно-нитритная (соль, фиксатор окраски (нитрит натрия)), животный белок (свиной), регуляторы кислотности (пирофосфаты, трифосфаты, цитраты натрия), антиокислители (аскорбиновая кислота, лимонная кислота), сахара, ароматизатор</v>
          </cell>
          <cell r="L324">
            <v>17</v>
          </cell>
          <cell r="M324">
            <v>10</v>
          </cell>
          <cell r="N324">
            <v>1</v>
          </cell>
          <cell r="O324" t="str">
            <v>162/766</v>
          </cell>
          <cell r="P324" t="str">
            <v>0…+6</v>
          </cell>
          <cell r="Q324">
            <v>45</v>
          </cell>
        </row>
        <row r="325">
          <cell r="B325">
            <v>1001220287511</v>
          </cell>
          <cell r="C325" t="str">
            <v>КОРЕЙКА ПО-ОСТ.к/в в/с с/н мгс 1/100_Л11</v>
          </cell>
          <cell r="D325" t="str">
            <v>ШТ</v>
          </cell>
          <cell r="E325" t="str">
            <v>Колбасные изделия</v>
          </cell>
          <cell r="F325" t="str">
            <v>Копчености</v>
          </cell>
          <cell r="G325" t="str">
            <v>Останкино</v>
          </cell>
          <cell r="H325" t="str">
            <v>ОМПК(О)</v>
          </cell>
          <cell r="I325" t="str">
            <v>ТУ 10.13.14-183-00425283-2026</v>
          </cell>
          <cell r="J325" t="str">
            <v>Мясной продукт из свинины копчено-вареный категории Б.</v>
          </cell>
          <cell r="K325" t="str">
            <v>корейка свиная, вода питьевая, смесь посолочно-нитритная (соль, фиксатор окраски (нитрит натрия)), животный белок (свиной), регуляторы кислотности (пирофосфаты, трифосфаты, цитраты натрия), антиокислители (аскорбиновая кислота, лимонная кислота), сахара, ароматизатор</v>
          </cell>
          <cell r="L325">
            <v>17</v>
          </cell>
          <cell r="M325">
            <v>10</v>
          </cell>
          <cell r="N325">
            <v>1</v>
          </cell>
          <cell r="O325" t="str">
            <v>162/766</v>
          </cell>
          <cell r="P325" t="str">
            <v>0…+6</v>
          </cell>
          <cell r="Q325">
            <v>45</v>
          </cell>
        </row>
        <row r="326">
          <cell r="B326">
            <v>1001225157046</v>
          </cell>
          <cell r="C326" t="str">
            <v>КАРБОНАД ЮБ.к/в в/у 1/150*14_Х5/СТМ Верн</v>
          </cell>
          <cell r="D326" t="str">
            <v>ШТ</v>
          </cell>
          <cell r="E326" t="str">
            <v>Колбасные изделия</v>
          </cell>
          <cell r="F326" t="str">
            <v>Копчености</v>
          </cell>
          <cell r="G326" t="str">
            <v>СТМ</v>
          </cell>
          <cell r="H326" t="str">
            <v>ОМПК(О)</v>
          </cell>
          <cell r="I326" t="str">
            <v>ТУ 10.13.14-183-00425283-2026</v>
          </cell>
          <cell r="J326" t="str">
            <v>Мясной продукт из свинины копчено-вареный категории А.</v>
          </cell>
          <cell r="K326" t="str">
            <v>свинина, вода питьевая, смесь посолочно-нитритная (соль, фиксатор окраски (нитрит натрия)), белок животный (свиной), регуляторы кислотности (пирофосфаты, трифосфаты, цитраты натрия), антиокислители (лимонная кислота, аскорбиновая кислота), ароматизатор</v>
          </cell>
          <cell r="L326">
            <v>18</v>
          </cell>
          <cell r="M326">
            <v>6</v>
          </cell>
          <cell r="N326">
            <v>1</v>
          </cell>
          <cell r="O326" t="str">
            <v>130/545</v>
          </cell>
          <cell r="P326" t="str">
            <v>0…+6</v>
          </cell>
          <cell r="Q326">
            <v>45</v>
          </cell>
        </row>
        <row r="327">
          <cell r="B327">
            <v>1001225637198</v>
          </cell>
          <cell r="C327" t="str">
            <v>ГРУДИНКА ПРЕМИУМ к/в с/н в/у 1/150*8_50с</v>
          </cell>
          <cell r="D327" t="str">
            <v>ШТ</v>
          </cell>
          <cell r="E327" t="str">
            <v>Колбасные изделия</v>
          </cell>
          <cell r="F327" t="str">
            <v>Копчености</v>
          </cell>
          <cell r="G327" t="str">
            <v>Останкино</v>
          </cell>
          <cell r="H327" t="str">
            <v>ОМПК(О)</v>
          </cell>
          <cell r="I327" t="str">
            <v>ТУ 10.13.14-183-00425283-2026</v>
          </cell>
          <cell r="J327" t="str">
            <v>Мясной продукт из свинины копчено-вареный.</v>
          </cell>
          <cell r="K327" t="str">
            <v>грудинка свиная, вода питьевая, стабилизатор белковый (шкурка свиная, вода питьевая), смесь посолочно-нитритная (соль, фиксатор окраски (нитрит натрия)), белок животный (говяжий), горчица, чеснок сушеный молотый, крахмал картофельный, регуляторы кислотности (пирофосфаты, трифосфаты, цитраты натрия),загустители (каррагинан, ксантановая камедь, модифицированный крахмал), сахара, антиокислитель (аскорбиновая кислота), усилитель вкуса и аромата (глутамат натрия 1-замещенный), ароматизаторы, краситель (кармины)</v>
          </cell>
          <cell r="L327">
            <v>14</v>
          </cell>
          <cell r="M327">
            <v>25</v>
          </cell>
          <cell r="N327">
            <v>4</v>
          </cell>
          <cell r="O327" t="str">
            <v>297/1231</v>
          </cell>
          <cell r="P327" t="str">
            <v>0…+6</v>
          </cell>
          <cell r="Q327">
            <v>50</v>
          </cell>
        </row>
        <row r="328">
          <cell r="B328">
            <v>1001455347609</v>
          </cell>
          <cell r="C328" t="str">
            <v>СВИНИНА КОПЧЕН. ПМ к/в с/н в/у 1/100_Л11</v>
          </cell>
          <cell r="D328" t="str">
            <v>ШТ</v>
          </cell>
          <cell r="E328" t="str">
            <v>Колбасные изделия</v>
          </cell>
          <cell r="F328" t="str">
            <v>Копчености</v>
          </cell>
          <cell r="G328" t="str">
            <v>Папа может</v>
          </cell>
          <cell r="H328" t="str">
            <v>ОМПК(О)</v>
          </cell>
          <cell r="I328" t="str">
            <v>ТУ 10.13.14-183-00425283-2026</v>
          </cell>
          <cell r="J328" t="str">
            <v>Мясной продукт из свинины копчено-вареный категории Б.</v>
          </cell>
          <cell r="K328" t="str">
            <v>свинина, вода питьевая, стабилизатор белковый (шкурка свиная,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белок животный (говяжий), загуститель (каррагинан), сахара, специи (в т.ч. горчица), чеснок сушеный молотый, антиокислитель (аскорбат натрия), усилитель вкуса и аромата (глутамат натрия 1 -замещенный), ароматизаторы, краситель (кармины)</v>
          </cell>
          <cell r="L328">
            <v>13</v>
          </cell>
          <cell r="M328">
            <v>15</v>
          </cell>
          <cell r="N328">
            <v>3</v>
          </cell>
          <cell r="O328" t="str">
            <v>199/827</v>
          </cell>
          <cell r="P328" t="str">
            <v>0…+6</v>
          </cell>
          <cell r="Q328">
            <v>45</v>
          </cell>
        </row>
        <row r="329">
          <cell r="B329">
            <v>1001222706818</v>
          </cell>
          <cell r="C329" t="str">
            <v>РУЛЕТ ФИЛЕЙНЫЙ к/в в/у 1/100_Х5/СТМ МФ</v>
          </cell>
          <cell r="D329" t="str">
            <v>ШТ</v>
          </cell>
          <cell r="E329" t="str">
            <v>Колбасные изделия</v>
          </cell>
          <cell r="F329" t="str">
            <v>Копчености</v>
          </cell>
          <cell r="G329" t="str">
            <v>СТМ</v>
          </cell>
          <cell r="H329" t="str">
            <v>ОМПК(О)</v>
          </cell>
          <cell r="I329" t="str">
            <v>ТУ 10.13.14-188-00425283-2026</v>
          </cell>
          <cell r="J329" t="str">
            <v>Продукт из мяса кур копчено-вареный охлажденный.</v>
          </cell>
          <cell r="K329" t="str">
            <v>филе грудок куриных, вода, соль, пищевые волокна, регуляторы кислотности: трифосфаты, пирофосфаты, ацетаты натрия, цитраты натрия; нитритно-посолочная смесь (соль, фиксатор окраски нитрит натрия), стабилизаторы: пирофосфаты и полифосфаты, сахар, усилитель вкуса и аромата глутамат натрия, антиокислитель аскорбат натрия, молочный белок, чеснок свежий, ароматизаторы</v>
          </cell>
          <cell r="L329">
            <v>14</v>
          </cell>
          <cell r="M329" t="str">
            <v>3</v>
          </cell>
          <cell r="N329" t="str">
            <v>2</v>
          </cell>
          <cell r="O329" t="str">
            <v>91/383</v>
          </cell>
          <cell r="P329" t="str">
            <v>0…+6</v>
          </cell>
          <cell r="Q329">
            <v>45</v>
          </cell>
        </row>
        <row r="330">
          <cell r="B330">
            <v>1001227527504</v>
          </cell>
          <cell r="C330" t="str">
            <v>РУЛЕТ НЕЖНЫЙ к/в с/н в/у 1/100_СТМ</v>
          </cell>
          <cell r="D330" t="str">
            <v>ШТ</v>
          </cell>
          <cell r="E330" t="str">
            <v>Колбасные изделия</v>
          </cell>
          <cell r="F330" t="str">
            <v>Копчености</v>
          </cell>
          <cell r="G330" t="str">
            <v>СТМ</v>
          </cell>
          <cell r="H330" t="str">
            <v>ОМПК(О)</v>
          </cell>
          <cell r="I330" t="str">
            <v>ТУ 10.13.14-188-00425283-2026</v>
          </cell>
          <cell r="J330" t="str">
            <v>Продукт из мяса кур копчено-вареный охлажденный.</v>
          </cell>
          <cell r="K330" t="str">
            <v>филе грудок куриных, вода питьевая, смесь посолочно-нитритная (соль, фиксатор окраски (нитрит натрия)), регуляторы кислотности (трифосфаты, пирифосфаты, цитраты натрия), волокна пищевые (в т.ч. пшеничные), чеснок свежий, сахара, антиокислители (лимонная кислота, аскорбиновая кислота), усилитель вкуса и аромата (глутамат натрия 1-замещенный), ароматизаторы</v>
          </cell>
          <cell r="L330">
            <v>17</v>
          </cell>
          <cell r="M330">
            <v>2</v>
          </cell>
          <cell r="N330">
            <v>2</v>
          </cell>
          <cell r="O330" t="str">
            <v>94/397</v>
          </cell>
          <cell r="P330" t="str">
            <v>0…+6</v>
          </cell>
          <cell r="Q330">
            <v>45</v>
          </cell>
        </row>
        <row r="331">
          <cell r="B331">
            <v>1001452707614</v>
          </cell>
          <cell r="C331" t="str">
            <v>РУЛЕТ ФИЛЕЙНЫЙ к/в с/н в/у 1/100_Л11</v>
          </cell>
          <cell r="D331" t="str">
            <v>ШТ</v>
          </cell>
          <cell r="E331" t="str">
            <v>Колбасные изделия</v>
          </cell>
          <cell r="F331" t="str">
            <v>Копчености</v>
          </cell>
          <cell r="G331" t="str">
            <v>Останкино</v>
          </cell>
          <cell r="H331" t="str">
            <v>ОМПК(О)</v>
          </cell>
          <cell r="I331" t="str">
            <v>ТУ 10.13.14-188-00425283-2026</v>
          </cell>
          <cell r="J331" t="str">
            <v>Продукт из мяса кур копчено-вареный охлажденный.</v>
          </cell>
          <cell r="K331" t="str">
            <v>филе грудок куриных, вода питьевая, смесь посолочно-нитритная (соль, фиксатор окраски (нитрит натрия)), регуляторы кислотности (трифосфаты, пирофосфаты, цитраты натрия), волокна пищевые (в т.ч. пшеничные), чеснок свежий, сахара, антиокислители (лимонная кислота, аскорбиновая кислота), усилитель вкуса и аромата (глутамат натрия 1-замещенный), ароматизаторы</v>
          </cell>
          <cell r="L331">
            <v>17</v>
          </cell>
          <cell r="M331">
            <v>2</v>
          </cell>
          <cell r="N331">
            <v>2</v>
          </cell>
          <cell r="O331" t="str">
            <v>94/397</v>
          </cell>
          <cell r="P331" t="str">
            <v>0…+6</v>
          </cell>
          <cell r="Q331">
            <v>45</v>
          </cell>
        </row>
        <row r="332">
          <cell r="B332">
            <v>1001225156169</v>
          </cell>
          <cell r="C332" t="str">
            <v>КАРБОНАД к/в с/н в/у 1/100*10_Х5/СТМ МФ</v>
          </cell>
          <cell r="D332" t="str">
            <v>ШТ</v>
          </cell>
          <cell r="E332" t="str">
            <v>Колбасные изделия</v>
          </cell>
          <cell r="F332" t="str">
            <v>Копчености</v>
          </cell>
          <cell r="G332" t="str">
            <v>СТМ</v>
          </cell>
          <cell r="H332" t="str">
            <v>ОМПК(О)</v>
          </cell>
          <cell r="I332" t="str">
            <v>ТУ 10.13.14-183-00425283-2026</v>
          </cell>
          <cell r="J332" t="str">
            <v>Мясной продукт из свинины копчено-вареный категории А.</v>
          </cell>
          <cell r="K332" t="str">
            <v>свинина, вода, соль, регуляторы кислотности: трифосфаты, ацетаты натрия, цитраты натрия; стабилизаторы: пирофосфаты и полифосфаты; сахар, антиокислитель аскорбат натрия, нитритно-посолочная смесь (соль, фиксатор окраски Е250), молочный белок, животный белок свиной, ароматизатор</v>
          </cell>
          <cell r="L332">
            <v>15</v>
          </cell>
          <cell r="M332">
            <v>13</v>
          </cell>
          <cell r="O332" t="str">
            <v xml:space="preserve">177/736 </v>
          </cell>
          <cell r="P332" t="str">
            <v>0…+6</v>
          </cell>
          <cell r="Q332">
            <v>45</v>
          </cell>
        </row>
        <row r="333">
          <cell r="B333">
            <v>1001193915568</v>
          </cell>
          <cell r="C333" t="str">
            <v>ШЕЙКА Останкино с/к с/н в/у 1/100 10шт.</v>
          </cell>
          <cell r="D333" t="str">
            <v>ШТ</v>
          </cell>
          <cell r="E333" t="str">
            <v>Колбасные изделия</v>
          </cell>
          <cell r="F333" t="str">
            <v>Копчености</v>
          </cell>
          <cell r="G333" t="str">
            <v>Останкино</v>
          </cell>
          <cell r="H333" t="str">
            <v>ОМПК(О)</v>
          </cell>
          <cell r="I333" t="str">
            <v>ТУ 10.13.14-146-00425283-2018</v>
          </cell>
          <cell r="J333" t="str">
            <v>Мясной продукт. Изделие из свинины сырокопченое категории А.</v>
          </cell>
          <cell r="K333" t="str">
            <v>шейка свиная, вода, смесь посолочно-нитритная (соль, фиксатор окраски нитрит натрия), соль, сахар, регуляторы кислотности: ацетаты натрия, цитраты натрия, трифосфаты, пирофосфаты, глюконо-дельта-лактон, цитраты кальция, стабилизатор полифосфат, усилитель вкуса и аромата (глутамат натрия), ароматизаторы, уплотнитель сульфат магния, краситель кармины</v>
          </cell>
          <cell r="L333">
            <v>15</v>
          </cell>
          <cell r="M333">
            <v>19</v>
          </cell>
          <cell r="N333">
            <v>0</v>
          </cell>
          <cell r="O333" t="str">
            <v>231/958</v>
          </cell>
          <cell r="P333" t="str">
            <v>0…+6</v>
          </cell>
          <cell r="Q333">
            <v>45</v>
          </cell>
        </row>
        <row r="334">
          <cell r="B334">
            <v>1001107397485</v>
          </cell>
          <cell r="C334" t="str">
            <v>РИЕТ МЯСНОЙ С ГРИБАМИ ПМ п/о 1/150</v>
          </cell>
          <cell r="D334" t="str">
            <v>ШТ</v>
          </cell>
          <cell r="E334" t="str">
            <v>Колбасные изделия</v>
          </cell>
          <cell r="F334" t="str">
            <v>Прочая продукция</v>
          </cell>
          <cell r="G334" t="str">
            <v>Папа может</v>
          </cell>
          <cell r="H334" t="str">
            <v>ОМПК(Г)</v>
          </cell>
          <cell r="I334" t="str">
            <v>ТУ 10.13.14-138-00425283-2026</v>
          </cell>
          <cell r="J334" t="str">
            <v>Мясосодержащий продукт. Изделие колбасное из термически обработанных ингредиентов: паштет.</v>
          </cell>
          <cell r="K334" t="str">
            <v>свинина, филе грудок куриных, мясо цыпленка-бройлера механической обвалки, стабилизатор белковый (шкурка свиная, кожа куриная, вода питьевая), говядина, масло подсолнечное рафинированное дезодорированное, вода питьевая, молоко сухое, желток яичный сухой, грибы сушеные, крахмалы (кукурузный, картофельный), смесь посолочно-нитритная (соль, фиксатор окраски (нитрит натрия)), сахара, регуляторы кислотности (пирофосфаты, трифосфаты, цитраты натрия), загустители (альгинат натрия, каррагинан, гуаровая камедь, ксантановая камедь, модифицированный крахмал), волокна пищевые (пшеничные), белок животный (говяжий, свиной), пряности (в т.ч. горчица, сельдерей), антиокислители (аскорбиновая кислота, лимонная кислота), усилитель вкуса и аромата (глутамат натрия 1-замещенный), ароматизаторы, краситель (кармины).</v>
          </cell>
          <cell r="L334">
            <v>10</v>
          </cell>
          <cell r="M334">
            <v>32</v>
          </cell>
          <cell r="N334">
            <v>4</v>
          </cell>
          <cell r="O334" t="str">
            <v>344/1422</v>
          </cell>
          <cell r="P334" t="str">
            <v>0…+6</v>
          </cell>
          <cell r="Q334">
            <v>60</v>
          </cell>
        </row>
        <row r="335">
          <cell r="B335">
            <v>1001201976454</v>
          </cell>
          <cell r="C335" t="str">
            <v>АРОМАТНАЯ с/к с/н в/у 1/100 10шт.</v>
          </cell>
          <cell r="D335" t="str">
            <v>ШТ</v>
          </cell>
          <cell r="E335" t="str">
            <v>Колбасные изделия</v>
          </cell>
          <cell r="F335" t="str">
            <v>С/к колбасы</v>
          </cell>
          <cell r="G335" t="str">
            <v>Останкино</v>
          </cell>
          <cell r="H335" t="str">
            <v>ОМПК(О)
ОМПК(Г)</v>
          </cell>
          <cell r="I335" t="str">
            <v>ТУ 10.13.14-181-00425283-2026</v>
          </cell>
          <cell r="J335" t="str">
            <v>Мясной продукт. Изделие колбасное сырокопченое.</v>
          </cell>
          <cell r="K335" t="str">
            <v>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35">
            <v>19</v>
          </cell>
          <cell r="M335">
            <v>40</v>
          </cell>
          <cell r="N335">
            <v>6</v>
          </cell>
          <cell r="O335" t="str">
            <v>460/1905</v>
          </cell>
          <cell r="P335" t="str">
            <v>0…+6</v>
          </cell>
          <cell r="Q335">
            <v>60</v>
          </cell>
        </row>
        <row r="336">
          <cell r="B336">
            <v>1001061977613</v>
          </cell>
          <cell r="C336" t="str">
            <v>АРОМАТНАЯ с/к с/н в/у 1/100 10шт_Л10</v>
          </cell>
          <cell r="D336" t="str">
            <v>ШТ</v>
          </cell>
          <cell r="E336" t="str">
            <v>Колбасные изделия</v>
          </cell>
          <cell r="F336" t="str">
            <v>С/к колбасы</v>
          </cell>
          <cell r="G336" t="str">
            <v>Останкино</v>
          </cell>
          <cell r="H336" t="str">
            <v xml:space="preserve">ОМПК(О)
</v>
          </cell>
          <cell r="I336" t="str">
            <v>ТУ 10.13.14-181-00425283-2026</v>
          </cell>
          <cell r="J336" t="str">
            <v>Мясной продукт. Изделие колбасное сырокопченое.</v>
          </cell>
          <cell r="K336" t="str">
            <v>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36">
            <v>19</v>
          </cell>
          <cell r="M336">
            <v>40</v>
          </cell>
          <cell r="N336">
            <v>6</v>
          </cell>
          <cell r="O336" t="str">
            <v>460/1905</v>
          </cell>
          <cell r="P336" t="str">
            <v>0…+6</v>
          </cell>
          <cell r="Q336">
            <v>60</v>
          </cell>
        </row>
        <row r="337">
          <cell r="B337">
            <v>1001207647565</v>
          </cell>
          <cell r="C337" t="str">
            <v>АСС: БУРГУНДИЯ И САЛЯМИ с/к с/н мгс 1/90</v>
          </cell>
          <cell r="D337" t="str">
            <v>ШТ</v>
          </cell>
          <cell r="E337" t="str">
            <v>Колбасные изделия</v>
          </cell>
          <cell r="F337" t="str">
            <v>С/к колбасы</v>
          </cell>
          <cell r="G337" t="str">
            <v>Папа может</v>
          </cell>
          <cell r="H337" t="str">
            <v>ОМПК(О)</v>
          </cell>
          <cell r="I337" t="str">
            <v>ТУ 10.13.14-181-00425283-2026</v>
          </cell>
          <cell r="J337" t="str">
            <v>Мясной продукт. Изделие колбасное сырокопченое полусухое с регулятором кислотности: Ассорти колбас: Бургундия и Салями.</v>
          </cell>
          <cell r="K337" t="str">
            <v>БУРГУНДИЯ: свинина, окорок свиной,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перец черный, мускатный орех, сахара, антиокислители (аскорбиновая кислота, изоаскорбат натрия), гемоглобин, краситель (кармины).
САЛЯМИ: свинина, окорок свиной, шпик, белок животный (говяжий), смесь посолочно-нитритная (соль, фиксатор окраски (нитрит натрия)), регуляторы кислотности (глюконо-дельта-лактон, цитраты натрия), волокна пищевые (растительные), пряности, мускатный цвет, перец белый, сахара, антиокислители (аскорбиновая кислота, лимонная кислота), усилитель вкуса и аромата (глутамат натрия 1-замещенный), ароматизаторы, гемоглобин, краситель (кармины).</v>
          </cell>
          <cell r="L337" t="str">
            <v>20
19</v>
          </cell>
          <cell r="M337" t="str">
            <v>30
30</v>
          </cell>
          <cell r="N337" t="str">
            <v>5
4</v>
          </cell>
          <cell r="O337" t="str">
            <v>370/1535
362/1501</v>
          </cell>
          <cell r="P337" t="str">
            <v>0…+6</v>
          </cell>
          <cell r="Q337">
            <v>60</v>
          </cell>
        </row>
        <row r="338">
          <cell r="B338">
            <v>1001190715677</v>
          </cell>
          <cell r="C338" t="str">
            <v>БРАУНШВЕЙГСКАЯ полусухая с/к в/у 1/100</v>
          </cell>
          <cell r="D338" t="str">
            <v>ШТ</v>
          </cell>
          <cell r="E338" t="str">
            <v>Колбасные изделия</v>
          </cell>
          <cell r="F338" t="str">
            <v>С/к колбасы</v>
          </cell>
          <cell r="G338" t="str">
            <v>Останкино</v>
          </cell>
          <cell r="H338" t="str">
            <v>ОМПК(Г)
ОМПК(О)</v>
          </cell>
          <cell r="I338" t="str">
            <v>ГОСТ Р 55456-2013</v>
          </cell>
          <cell r="J338" t="str">
            <v>Мясной продукт категории А. Изделие колбасное сырокопченое</v>
          </cell>
          <cell r="K338" t="str">
            <v>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v>
          </cell>
          <cell r="L338">
            <v>15</v>
          </cell>
          <cell r="M338">
            <v>53</v>
          </cell>
          <cell r="N338">
            <v>0</v>
          </cell>
          <cell r="O338" t="str">
            <v>537/2216</v>
          </cell>
          <cell r="P338" t="str">
            <v>0…+6</v>
          </cell>
          <cell r="Q338">
            <v>60</v>
          </cell>
        </row>
        <row r="339">
          <cell r="B339">
            <v>1001066607626</v>
          </cell>
          <cell r="C339" t="str">
            <v>БРАУНШВЕЙГСКАЯ с/к с/н мгс 1/100_Л10</v>
          </cell>
          <cell r="D339" t="str">
            <v>ШТ</v>
          </cell>
          <cell r="E339" t="str">
            <v>Колбасные изделия</v>
          </cell>
          <cell r="F339" t="str">
            <v>С/к колбасы</v>
          </cell>
          <cell r="G339" t="str">
            <v>Останкино</v>
          </cell>
          <cell r="H339" t="str">
            <v>ОМПК(О)</v>
          </cell>
          <cell r="I339" t="str">
            <v>ГОСТ Р 55456-2013</v>
          </cell>
          <cell r="J339" t="str">
            <v>Мясной продукт категории А. Изделие колбасное сырокопченое</v>
          </cell>
          <cell r="K339" t="str">
            <v>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v>
          </cell>
          <cell r="L339">
            <v>15</v>
          </cell>
          <cell r="M339">
            <v>53</v>
          </cell>
          <cell r="N339">
            <v>0</v>
          </cell>
          <cell r="O339" t="str">
            <v>537/2216</v>
          </cell>
          <cell r="P339" t="str">
            <v>0…+6</v>
          </cell>
          <cell r="Q339">
            <v>60</v>
          </cell>
        </row>
        <row r="340">
          <cell r="B340">
            <v>1001206607509</v>
          </cell>
          <cell r="C340" t="str">
            <v>БРАУНШВЕЙГСКАЯ GUTMANN с/к с/н мгс 1/130</v>
          </cell>
          <cell r="D340" t="str">
            <v>ШТ</v>
          </cell>
          <cell r="E340" t="str">
            <v>Колбасные изделия</v>
          </cell>
          <cell r="F340" t="str">
            <v>С/к колбасы</v>
          </cell>
          <cell r="G340" t="str">
            <v>GUTMANN</v>
          </cell>
          <cell r="H340" t="str">
            <v>ОМПК(О)</v>
          </cell>
          <cell r="I340" t="str">
            <v>ГОСТ Р 55456-2013</v>
          </cell>
          <cell r="J340" t="str">
            <v>Мясной продукт категории А. Изделие колбасное сырокопченое</v>
          </cell>
          <cell r="K340" t="str">
            <v>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v>
          </cell>
          <cell r="L340">
            <v>15</v>
          </cell>
          <cell r="M340">
            <v>53</v>
          </cell>
          <cell r="N340">
            <v>0</v>
          </cell>
          <cell r="O340" t="str">
            <v>537/2216</v>
          </cell>
          <cell r="P340" t="str">
            <v>0…+6</v>
          </cell>
          <cell r="Q340">
            <v>60</v>
          </cell>
        </row>
        <row r="341">
          <cell r="B341">
            <v>1001203657139</v>
          </cell>
          <cell r="C341" t="str">
            <v>БУРГУНДИЯ ПМ с/к с/н мгс 1/90 14шт.</v>
          </cell>
          <cell r="D341" t="str">
            <v>ШТ</v>
          </cell>
          <cell r="E341" t="str">
            <v>Колбасные изделия</v>
          </cell>
          <cell r="F341" t="str">
            <v>С/к колбасы</v>
          </cell>
          <cell r="G341" t="str">
            <v>Папа может</v>
          </cell>
          <cell r="H341" t="str">
            <v>ОМПК(О)</v>
          </cell>
          <cell r="I341" t="str">
            <v>ТУ 10.13.14-181-00425283-2026</v>
          </cell>
          <cell r="J341" t="str">
            <v>Мясной продукт. Изделие колбасное сырокопченое.</v>
          </cell>
          <cell r="K341" t="str">
            <v>свинина,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пряности, сахара, антиокислители (аскорбиновая кислота, изоаскорбат натрия), гемоглобин, краситель (кармины)</v>
          </cell>
          <cell r="L341">
            <v>20</v>
          </cell>
          <cell r="M341">
            <v>30</v>
          </cell>
          <cell r="N341">
            <v>5</v>
          </cell>
          <cell r="O341" t="str">
            <v>370/1535</v>
          </cell>
          <cell r="P341" t="str">
            <v>0…+6</v>
          </cell>
          <cell r="Q341">
            <v>60</v>
          </cell>
        </row>
        <row r="342">
          <cell r="B342">
            <v>1001205386222</v>
          </cell>
          <cell r="C342" t="str">
            <v>ИТАЛЬЯНСКОЕ АССОРТИ с/в с/н мгс 1/90</v>
          </cell>
          <cell r="D342" t="str">
            <v>ШТ</v>
          </cell>
          <cell r="E342" t="str">
            <v>Колбасные изделия</v>
          </cell>
          <cell r="F342" t="str">
            <v>С/к колбасы</v>
          </cell>
          <cell r="G342" t="str">
            <v>Останкино</v>
          </cell>
          <cell r="H342" t="str">
            <v>ОМПК(О)</v>
          </cell>
          <cell r="I342" t="str">
            <v>ТУ 10.13.14-181-00425283-2026</v>
          </cell>
          <cell r="J342" t="str">
            <v>Мясные продукты. Изделия колбасные сыровяленые полусухие с регулятором кислотности: колбасы Итальянское ассорти.</v>
          </cell>
          <cell r="K342" t="str">
            <v>САН-РЕМО: свинина, окорок свиной, смесь посолочно-нитритная (соль, фиксатор окраски (нитрит натрия)), регуляторы кислотности (цитраты натрия, глюконо-дельта-лактон), волокна пищевые (растительные), чеснок сушеный молотый, грибы белые сушеные молотые, молоко сухое обезжиренное, сахара, антиокислители (аскорбиновая кислота, изоаскорбат натрия, лимонная кислота), усилитель вкуса и аромата (глутамат натрия 1-замещенный), гемоглобин, ароматизаторы, краситель (кармины).
ПАЛЕРМО: свинина, окорок свиной, шпик, белок животный (говяжий),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перец белый, перец черный, сахара, антиокислители (аскорбиновая кислота, изоаскорбат натрия, лимонная кислота), усилитель вкуса и аромата (глутамат натрия 1-замещенный), ароматизаторы, белок молочный, гемоглобин, краситель (кармины).</v>
          </cell>
          <cell r="L342" t="str">
            <v>22
19</v>
          </cell>
          <cell r="M342" t="str">
            <v>28
30</v>
          </cell>
          <cell r="N342" t="str">
            <v>5
6</v>
          </cell>
          <cell r="O342" t="str">
            <v>360/1495
370/1535</v>
          </cell>
          <cell r="P342" t="str">
            <v>0…+6</v>
          </cell>
          <cell r="Q342">
            <v>60</v>
          </cell>
        </row>
        <row r="343">
          <cell r="B343">
            <v>1001205376221</v>
          </cell>
          <cell r="C343" t="str">
            <v>НЕАПОЛИТАНСКИЙ ДУЭТ с/к с/н мгс 1/90</v>
          </cell>
          <cell r="D343" t="str">
            <v>ШТ</v>
          </cell>
          <cell r="E343" t="str">
            <v>Колбасные изделия</v>
          </cell>
          <cell r="F343" t="str">
            <v>С/к колбасы</v>
          </cell>
          <cell r="G343" t="str">
            <v>Останкино</v>
          </cell>
          <cell r="H343" t="str">
            <v>ОМПК(О)</v>
          </cell>
          <cell r="I343" t="str">
            <v>ТУ 10.13.14-181-00425283-2026</v>
          </cell>
          <cell r="J343" t="str">
            <v>Мясной продукт. Изделие колбасное сырокопченое полусухое с регулятором кислотности: Ассорти колбас: Неаполитанский дуэт.</v>
          </cell>
          <cell r="K343" t="str">
            <v>ТОСКАНО: свинина, окорок свиной, шпик, белок животный (говяжий), смесь посолочно-нитритная (соль, фиксатор окраски (нитрит натрия)), регуляторы кислотности (глюконо-дельта-лактон, цитраты натрия), волокна пищевые (растительные), пряности, мускатный цвет, перец белый, сахара, антиокислители (аскорбиновая кислота, лимонная кислота), усилитель вкуса и аромата (глутамат натрия 1-замещенный), ароматизаторы, гемоглобин, краситель (кармины).
МИЛАНО: свинина, окорок свиной,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перец черный, мускатный орех, сахара, антиокислители (аскорбиновая кислота, изоаскорбат натрия), гемоглобин, краситель (кармины).</v>
          </cell>
          <cell r="L343" t="str">
            <v>19
20</v>
          </cell>
          <cell r="M343" t="str">
            <v>30
30</v>
          </cell>
          <cell r="N343" t="str">
            <v>4
5</v>
          </cell>
          <cell r="O343" t="str">
            <v>362/1501
370/1535</v>
          </cell>
          <cell r="P343" t="str">
            <v>0…+6</v>
          </cell>
          <cell r="Q343">
            <v>60</v>
          </cell>
        </row>
        <row r="344">
          <cell r="B344">
            <v>1001205376979</v>
          </cell>
          <cell r="C344" t="str">
            <v>НЕАПОЛИТАНСКИЙ ДУЭТ с/к с/н мгс 1/180</v>
          </cell>
          <cell r="D344" t="str">
            <v>ШТ</v>
          </cell>
          <cell r="E344" t="str">
            <v>Колбасные изделия</v>
          </cell>
          <cell r="F344" t="str">
            <v>С/к колбасы</v>
          </cell>
          <cell r="G344" t="str">
            <v>Останкино</v>
          </cell>
          <cell r="H344" t="str">
            <v>ОМПК(О)</v>
          </cell>
          <cell r="I344" t="str">
            <v>ТУ 10.13.14-181-00425283-2026</v>
          </cell>
          <cell r="J344" t="str">
            <v>Мясной продукт. Изделие колбасное сырокопченое полусухое с регулятором кислотности: Ассорти колбас: Неаполитанский дуэт.</v>
          </cell>
          <cell r="K344" t="str">
            <v>ТОСКАНО: свинина, окорок свиной, шпик, белок животный (говяжий), смесь посолочно-нитритная (соль, фиксатор окраски (нитрит натрия)), регуляторы кислотности (глюконо-дельта-лактон, цитраты натрия), волокна пищевые (растительные), пряности, мускатный цвет, перец белый, сахара, антиокислители (аскорбиновая кислота, лимонная кислота), усилитель вкуса и аромата (глутамат натрия 1-замещенный), ароматизаторы, гемоглобин, краситель (кармины).
МИЛАНО: свинина, окорок свиной,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перец черный, мускатный орех, сахара, антиокислители (аскорбиновая кислота, изоаскорбат натрия), гемоглобин, краситель (кармины).</v>
          </cell>
          <cell r="L344" t="str">
            <v>19
20</v>
          </cell>
          <cell r="M344" t="str">
            <v>30
30</v>
          </cell>
          <cell r="N344" t="str">
            <v>4
5</v>
          </cell>
          <cell r="O344" t="str">
            <v>362/1501
370/1535</v>
          </cell>
          <cell r="P344" t="str">
            <v>0…+6</v>
          </cell>
          <cell r="Q344">
            <v>60</v>
          </cell>
        </row>
        <row r="345">
          <cell r="B345">
            <v>1001206757309</v>
          </cell>
          <cell r="C345" t="str">
            <v>САЛЬЧИЧОН И САЛЯМИ ПМ с/к с/н мгс 1/90</v>
          </cell>
          <cell r="D345" t="str">
            <v>ШТ</v>
          </cell>
          <cell r="E345" t="str">
            <v>Колбасные изделия</v>
          </cell>
          <cell r="F345" t="str">
            <v>С/к колбасы</v>
          </cell>
          <cell r="G345" t="str">
            <v>Папа может</v>
          </cell>
          <cell r="H345" t="str">
            <v>ОМПК(О)</v>
          </cell>
          <cell r="I345" t="str">
            <v>ТУ 10.13.14-181-00425283-2026</v>
          </cell>
          <cell r="J345" t="str">
            <v>Мясной продукт. Изделие колбасное сырокопченое полусухое с регулятором кислотности: Ассорти колбас: Сальчичон и Салями.</v>
          </cell>
          <cell r="K345" t="str">
            <v>САЛЬЧИЧОН: свинина, шпик,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перец черный, горчица, мускатный цвет, экстракты пряностей, сахара, антиокислители (аскорбиновая кислота, изоаскорбат натрия), усилитель вкуса и аромата (глутамат натрия 1-замещенный), ароматизаторы, гемоглобин. 
САЛЯМИ: свинина, шпик, говядина, вода питьевая, белок соевый, белок молочный, волокна пищевые (растительные), смесь посолочно-нитритная (соль, фиксатор окраски (нитрит натрия)), сыворотка молочная сухая, специи, сахара,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45" t="str">
            <v>22
19</v>
          </cell>
          <cell r="M345" t="str">
            <v>35
40</v>
          </cell>
          <cell r="N345" t="str">
            <v>4
6</v>
          </cell>
          <cell r="O345" t="str">
            <v>419/1737
460/1905</v>
          </cell>
          <cell r="P345" t="str">
            <v>0…+6</v>
          </cell>
          <cell r="Q345">
            <v>60</v>
          </cell>
        </row>
        <row r="346">
          <cell r="B346">
            <v>1001203107138</v>
          </cell>
          <cell r="C346" t="str">
            <v>САЛЯМИ ПМ с/к с/н мгс 1/90 14шт.</v>
          </cell>
          <cell r="D346" t="str">
            <v>ШТ</v>
          </cell>
          <cell r="E346" t="str">
            <v>Колбасные изделия</v>
          </cell>
          <cell r="F346" t="str">
            <v>С/к колбасы</v>
          </cell>
          <cell r="G346" t="str">
            <v>Папа может</v>
          </cell>
          <cell r="H346" t="str">
            <v>ОМПК(О)</v>
          </cell>
          <cell r="I346" t="str">
            <v>ТУ 10.13.14-181-00425283-2026</v>
          </cell>
          <cell r="J346" t="str">
            <v>Мясной продукт. Изделие колбасное сырокопченое.</v>
          </cell>
          <cell r="K346" t="str">
            <v>свинина, шпик, говядина, вода питьевая, белок соевый, белок молочный, волокна пищевые (растительные), смесь посолочно-нитритная (соль, фиксатор окраски (нитрит натрия)), пряности, сахара,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46">
            <v>19</v>
          </cell>
          <cell r="M346">
            <v>40</v>
          </cell>
          <cell r="N346">
            <v>6</v>
          </cell>
          <cell r="O346" t="str">
            <v>460/1905</v>
          </cell>
          <cell r="P346" t="str">
            <v>0…+6</v>
          </cell>
          <cell r="Q346">
            <v>60</v>
          </cell>
        </row>
        <row r="347">
          <cell r="B347">
            <v>1001067867667</v>
          </cell>
          <cell r="C347" t="str">
            <v>САЛЯМИ БЕРЛИНСКАЯ с/к с/н мгс 1/130_Л10</v>
          </cell>
          <cell r="D347" t="str">
            <v>ШТ</v>
          </cell>
          <cell r="E347" t="str">
            <v>Колбасные изделия</v>
          </cell>
          <cell r="F347" t="str">
            <v>С/к колбасы</v>
          </cell>
          <cell r="G347" t="str">
            <v>GUTMANN</v>
          </cell>
          <cell r="H347" t="str">
            <v>ОМПК(О)</v>
          </cell>
          <cell r="I347" t="str">
            <v>ТУ 10.13.14-181-00425283-2026</v>
          </cell>
          <cell r="J347" t="str">
            <v>Мясной продукт. Изделие колбасное сырокопченое.</v>
          </cell>
          <cell r="K347" t="str">
            <v>свинина, окорок свиной, шпик, белок животный (говяжий), смесь посолочно-нитритная (соль, фиксатор окраски (нитрит натрия)), регуляторы кислотности (глюконо-дельта-лактон, цитраты натрия), волокна пищевые (растительные), пряности, мускатный цвет, перец белый, сахара, антиокислители (аскорбиновая кислота, лимонная кислота), усилитель вкуса и аромата (глутамат натрия 1-замещенный), ароматизаторы, гемоглобин, краситель (кармины)</v>
          </cell>
          <cell r="L347">
            <v>19</v>
          </cell>
          <cell r="M347">
            <v>30</v>
          </cell>
          <cell r="N347">
            <v>4</v>
          </cell>
          <cell r="O347" t="str">
            <v>362/1501</v>
          </cell>
          <cell r="P347" t="str">
            <v>0…+6</v>
          </cell>
          <cell r="Q347">
            <v>60</v>
          </cell>
        </row>
        <row r="348">
          <cell r="B348">
            <v>1001060757653</v>
          </cell>
          <cell r="C348" t="str">
            <v>ОХОТНИЧЬЯ ПМ с/к с/н мгс 1/100 10шт.</v>
          </cell>
          <cell r="D348" t="str">
            <v>ШТ</v>
          </cell>
          <cell r="E348" t="str">
            <v>Колбасные изделия</v>
          </cell>
          <cell r="F348" t="str">
            <v>С/к колбасы</v>
          </cell>
          <cell r="G348" t="str">
            <v>Папа может</v>
          </cell>
          <cell r="H348" t="str">
            <v>ОМПК(О)</v>
          </cell>
          <cell r="I348" t="str">
            <v>ТУ 10.13.14-140-00425283-2015</v>
          </cell>
          <cell r="J348" t="str">
            <v>Мясной продукт. Изделие колбасное сырокопченое.</v>
          </cell>
          <cell r="K348" t="str">
            <v>свинина, шпик, белок соевый, филе грудок куриных, говядина, белок молочный, клетчатка (в т.ч. пшеничная), смесь посолочно-нитритная (соль, фиксатор окраски (нитрит натрия)), стабилизатор (пирофосфат натрия), специи (перец черный молотый, чеснок сушеный молотый, мускат, перец белый молотый, перец душистый, имбирь, кардамон), экстракты специй, сахара, антиокислители (изоаскорбат натрия, аскорбиновая кислота, аскорбат натрия), усилитель вкуса и аромата (глутамат натрия), ароматизаторы, гемоглобин, краситель (кармины), стартовая культура</v>
          </cell>
          <cell r="L348">
            <v>20</v>
          </cell>
          <cell r="M348">
            <v>40</v>
          </cell>
          <cell r="N348">
            <v>0</v>
          </cell>
          <cell r="O348" t="str">
            <v>462/1911</v>
          </cell>
          <cell r="P348" t="str">
            <v>0…+6</v>
          </cell>
          <cell r="Q348">
            <v>60</v>
          </cell>
        </row>
        <row r="349">
          <cell r="B349">
            <v>1001064447640</v>
          </cell>
          <cell r="C349" t="str">
            <v>ПЕППЕРОНИ с/к с/н мгс 1*8_HRC_90с</v>
          </cell>
          <cell r="D349" t="str">
            <v>КГ</v>
          </cell>
          <cell r="E349" t="str">
            <v>Колбасные изделия</v>
          </cell>
          <cell r="F349" t="str">
            <v>С/к колбасы</v>
          </cell>
          <cell r="G349" t="str">
            <v>Останкино</v>
          </cell>
          <cell r="H349" t="str">
            <v>ОМПК(О)</v>
          </cell>
          <cell r="I349" t="str">
            <v>ТУ 10.13.14-181-00425283-2026</v>
          </cell>
          <cell r="J349" t="str">
            <v>Мясной продукт. Изделие колбасное сырокопченое.</v>
          </cell>
          <cell r="K349" t="str">
            <v>свинина, говядина, шпик, вода питьевая, белок соевый, белок молочный, волокна пищевые (растительные), смесь посолочно-нитритная (соль, фиксатор окраски (нитрит натрия)), перец чили, паприка, тмин, чеснок сушеный молотый, перец черный,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349">
            <v>17</v>
          </cell>
          <cell r="M349">
            <v>40</v>
          </cell>
          <cell r="N349">
            <v>5</v>
          </cell>
          <cell r="O349" t="str">
            <v>448/1854</v>
          </cell>
          <cell r="P349" t="str">
            <v>0…+6</v>
          </cell>
          <cell r="Q349">
            <v>90</v>
          </cell>
        </row>
        <row r="350">
          <cell r="B350">
            <v>1001203107448</v>
          </cell>
          <cell r="C350" t="str">
            <v>САЛЯМИ с/к с/н мгс 1*8_HRC</v>
          </cell>
          <cell r="D350" t="str">
            <v>КГ</v>
          </cell>
          <cell r="E350" t="str">
            <v>Колбасные изделия</v>
          </cell>
          <cell r="F350" t="str">
            <v>С/к колбасы</v>
          </cell>
          <cell r="G350" t="str">
            <v>Без ТМ</v>
          </cell>
          <cell r="H350" t="str">
            <v>ОМПК(О)</v>
          </cell>
          <cell r="I350" t="str">
            <v>ТУ 10.13.14-181-00425283-2026</v>
          </cell>
          <cell r="J350" t="str">
            <v>Мясной продукт. Изделие колбасное сырокопченое.</v>
          </cell>
          <cell r="K350" t="str">
            <v>свинина, шпик, филе грудок куриных, говядина, белок соевый, белок молочный, клетчатка растительная (в т.ч. пшеничная), волокна пищевые, смесь посолочно-нитритная (соль, фиксатор окраски (нитрит натрия)), регуляторы кислотности (пирофосфаты, глюконо-дельта-ланктон, стабилизаторы (трифосфаты), пряности, экстракты пряностей, сахара, соль, антиокислители (изоаскорбат натрия, аскорбиновая кислота), усилитель вкуса и аромата (глутамат натрия), ароматизаторы, гемоглобин, краситель (кармины), стартовая культура</v>
          </cell>
          <cell r="L350">
            <v>19</v>
          </cell>
          <cell r="M350">
            <v>40</v>
          </cell>
          <cell r="N350">
            <v>2</v>
          </cell>
          <cell r="O350" t="str">
            <v>444/1837</v>
          </cell>
          <cell r="P350" t="str">
            <v>0…+6</v>
          </cell>
          <cell r="Q350">
            <v>60</v>
          </cell>
        </row>
        <row r="351">
          <cell r="B351">
            <v>1001205596873</v>
          </cell>
          <cell r="C351" t="str">
            <v>ПРАЖСКАЯ с/к с/н в/у 1/100*10_Х5/СТМ МФ</v>
          </cell>
          <cell r="D351" t="str">
            <v>ШТ</v>
          </cell>
          <cell r="E351" t="str">
            <v>Колбасные изделия</v>
          </cell>
          <cell r="F351" t="str">
            <v>С/к колбасы</v>
          </cell>
          <cell r="G351" t="str">
            <v>СТМ</v>
          </cell>
          <cell r="H351" t="str">
            <v>ОМПК(О)</v>
          </cell>
          <cell r="I351" t="str">
            <v>ТУ 10.13.14-181-00425283-2026</v>
          </cell>
          <cell r="J351" t="str">
            <v>Мясной продукт. Изделие колбасное сырокопченое.</v>
          </cell>
          <cell r="K351" t="str">
            <v>свинина, шпик, вода, соевый белок, жир говяжий, смесь посолочно-нитритная (соль, фиксатор окраски нитрит натрия), молочный белок, растительная клетчатка (в т.ч. пшеничная), регулятор кислотности пирофосфаты, специи и экстракты специй, соль, сахара, усилители вкуса и аромата: Е621, Е631; антиокислители: изоаскорбат натрия, аскорбат натрия, аскорбиновая кислота; ароматизатор, красители: кармины, красный рисовый; стартовая культура</v>
          </cell>
          <cell r="L351">
            <v>21</v>
          </cell>
          <cell r="M351">
            <v>48</v>
          </cell>
          <cell r="O351" t="str">
            <v>516/2133</v>
          </cell>
          <cell r="P351" t="str">
            <v>0…+6</v>
          </cell>
          <cell r="Q351">
            <v>60</v>
          </cell>
        </row>
        <row r="352">
          <cell r="B352">
            <v>1001065597628</v>
          </cell>
          <cell r="C352" t="str">
            <v>ПРАЖСКАЯ с/к с/н мгс 1/100*10_Х5/СТМ МФ</v>
          </cell>
          <cell r="D352" t="str">
            <v>ШТ</v>
          </cell>
          <cell r="E352" t="str">
            <v>Колбасные изделия</v>
          </cell>
          <cell r="F352" t="str">
            <v>С/к колбасы</v>
          </cell>
          <cell r="G352" t="str">
            <v>СТМ</v>
          </cell>
          <cell r="H352" t="str">
            <v>ОМПК(О)</v>
          </cell>
          <cell r="I352" t="str">
            <v>ТУ 10.13.14-181-00425283-2026</v>
          </cell>
          <cell r="J352" t="str">
            <v>Мясной продукт. Изделие колбасное сырокопченое.</v>
          </cell>
          <cell r="K352" t="str">
            <v>свинина, шпик, белок соевый, говядина, вода питьевая, белок молочный, клетчатка растительная, смесь посолочно-нитритная (соль, фиксатор окраски (нитрит натрия)), сыворотка молочная сухая, соль, регулятор кислотности (пирофосфаты), специи, экстракты специй, сахара, антиокислители (аскорбиновая кислота, аскорбат натрия, изоаскорбат натрия), усилитель вкуса и аромата Е621, ароматизатор, гемоглобин, краситель (кармины), стартовая культура</v>
          </cell>
          <cell r="L352">
            <v>21</v>
          </cell>
          <cell r="M352">
            <v>41</v>
          </cell>
          <cell r="N352">
            <v>2</v>
          </cell>
          <cell r="O352" t="str">
            <v>461/1908</v>
          </cell>
          <cell r="P352" t="str">
            <v>0…+6</v>
          </cell>
          <cell r="Q352">
            <v>60</v>
          </cell>
        </row>
        <row r="353">
          <cell r="B353">
            <v>1001205246619</v>
          </cell>
          <cell r="C353" t="str">
            <v>ФИРМЕННАЯ КОПЧ.НА БУКЕ с/к с/н в/у 1/150</v>
          </cell>
          <cell r="D353" t="str">
            <v>ШТ</v>
          </cell>
          <cell r="E353" t="str">
            <v>Колбасные изделия</v>
          </cell>
          <cell r="F353" t="str">
            <v>С/к колбасы</v>
          </cell>
          <cell r="G353" t="str">
            <v>Папа может</v>
          </cell>
          <cell r="H353" t="str">
            <v>ОМПК(Г)</v>
          </cell>
          <cell r="I353" t="str">
            <v>ТУ 10.13.14-181-00425283-2026</v>
          </cell>
          <cell r="J353" t="str">
            <v>Мясной продукт. Изделие колбасное сырокопченое.</v>
          </cell>
          <cell r="K353" t="str">
            <v>свинина, шпик, говядина, вода питьевая, белок соевый, белок молочный, волокна пищевые (растительные), смесь посолочно-нитритная (соль, фиксатор окраски (нитрит натрия)), пряности, сахара,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53">
            <v>19</v>
          </cell>
          <cell r="M353">
            <v>40</v>
          </cell>
          <cell r="N353">
            <v>6</v>
          </cell>
          <cell r="O353" t="str">
            <v>460/1905</v>
          </cell>
          <cell r="P353" t="str">
            <v>0…+6</v>
          </cell>
          <cell r="Q353">
            <v>60</v>
          </cell>
        </row>
        <row r="354">
          <cell r="B354">
            <v>1001205247286</v>
          </cell>
          <cell r="C354" t="str">
            <v>ФИРМЕННАЯ КОПЧ.НА БУКЕ с/к с/н мгс 1/150</v>
          </cell>
          <cell r="D354" t="str">
            <v>ШТ</v>
          </cell>
          <cell r="E354" t="str">
            <v>Колбасные изделия</v>
          </cell>
          <cell r="F354" t="str">
            <v>С/к колбасы</v>
          </cell>
          <cell r="G354" t="str">
            <v>Папа может</v>
          </cell>
          <cell r="H354" t="str">
            <v>ОМПК(О)</v>
          </cell>
          <cell r="I354" t="str">
            <v>ТУ 9213-140-00425283-2015</v>
          </cell>
          <cell r="J354" t="str">
            <v>Мясной продукт. Изделие колбасное сырокопченое.</v>
          </cell>
          <cell r="K354" t="str">
            <v>свинина, шпик, говядина, белок соевый, смесь посолочно-нитритная (соль, фиксатор окраски (нитрит натрия)), белок молочный, клетчатка (в т.ч. пшеничная), соль, регулятор кислотности (пирофосфаты), пряности (перец черный, мускатный орех, кардамон), экстракты пряностей, экстракт дрожжей, сахара, антиокислители (лимонная кислота, аскорбиновая кислота, изоаскорбат натрия), усилитель вкуса и аромата (глутамат натрия), ароматизаторы (в т.ч. сельдерей), красители (гемоглобин, кармины), стартовая культура</v>
          </cell>
          <cell r="L354">
            <v>21</v>
          </cell>
          <cell r="M354">
            <v>41</v>
          </cell>
          <cell r="N354">
            <v>1</v>
          </cell>
          <cell r="O354" t="str">
            <v>457/1891</v>
          </cell>
          <cell r="P354" t="str">
            <v>0…+6</v>
          </cell>
          <cell r="Q354">
            <v>60</v>
          </cell>
        </row>
        <row r="355">
          <cell r="B355">
            <v>1001190765679</v>
          </cell>
          <cell r="C355" t="str">
            <v>САЛЯМИ ИТАЛЬЯНСКАЯ с/к в/у 1/150_60с</v>
          </cell>
          <cell r="D355" t="str">
            <v>ШТ</v>
          </cell>
          <cell r="E355" t="str">
            <v>Колбасные изделия</v>
          </cell>
          <cell r="F355" t="str">
            <v>С/к колбасы</v>
          </cell>
          <cell r="G355" t="str">
            <v>Останкино</v>
          </cell>
          <cell r="H355" t="str">
            <v>ОМПК(Г)</v>
          </cell>
          <cell r="I355" t="str">
            <v>ТУ 10.13.14-181-00425283-2026</v>
          </cell>
          <cell r="J355" t="str">
            <v>Мясной продукт. Изделие колбасное сырокопченое.</v>
          </cell>
          <cell r="K355"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355">
            <v>18</v>
          </cell>
          <cell r="M355">
            <v>42</v>
          </cell>
          <cell r="N355">
            <v>5</v>
          </cell>
          <cell r="O355" t="str">
            <v>470/1945</v>
          </cell>
          <cell r="P355" t="str">
            <v>0…+6</v>
          </cell>
          <cell r="Q355">
            <v>60</v>
          </cell>
        </row>
        <row r="356">
          <cell r="B356">
            <v>1001190765681</v>
          </cell>
          <cell r="C356" t="str">
            <v>САЛЯМИ ИТАЛЬЯНСКАЯ с/к в/у 1/150_СНГ_60с</v>
          </cell>
          <cell r="D356" t="str">
            <v>ШТ</v>
          </cell>
          <cell r="E356" t="str">
            <v>Колбасные изделия</v>
          </cell>
          <cell r="F356" t="str">
            <v>С/к колбасы</v>
          </cell>
          <cell r="G356" t="str">
            <v>Останкино</v>
          </cell>
          <cell r="H356" t="str">
            <v>ОМПК(О)</v>
          </cell>
          <cell r="I356" t="str">
            <v>ТУ 10.13.14-181-00425283-2026</v>
          </cell>
          <cell r="J356" t="str">
            <v>Мясной продукт. Изделие колбасное сырокопченое.</v>
          </cell>
          <cell r="K356"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356">
            <v>18</v>
          </cell>
          <cell r="M356">
            <v>42</v>
          </cell>
          <cell r="N356">
            <v>5</v>
          </cell>
          <cell r="O356" t="str">
            <v>470/1945</v>
          </cell>
          <cell r="P356" t="str">
            <v>0…+6</v>
          </cell>
          <cell r="Q356">
            <v>60</v>
          </cell>
        </row>
        <row r="357">
          <cell r="B357">
            <v>1001203117382</v>
          </cell>
          <cell r="C357" t="str">
            <v>САЛЯМИ МЕЛКОЗЕРНЕНАЯ с/к в/у 1/120 8шт.</v>
          </cell>
          <cell r="D357" t="str">
            <v>ШТ</v>
          </cell>
          <cell r="E357" t="str">
            <v>Колбасные изделия</v>
          </cell>
          <cell r="F357" t="str">
            <v>С/к колбасы</v>
          </cell>
          <cell r="G357" t="str">
            <v>Останкино</v>
          </cell>
          <cell r="H357" t="str">
            <v>ОМПК(Г)</v>
          </cell>
          <cell r="I357" t="str">
            <v>ТУ 10.13.14-181-00425283-2026</v>
          </cell>
          <cell r="J357" t="str">
            <v>Мясной продукт. Изделие колбасное сырокопченое.</v>
          </cell>
          <cell r="K357"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белок молочный, волокна пищевые (растительные), перец белый, перец черный, мускатный орех,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357">
            <v>17</v>
          </cell>
          <cell r="M357">
            <v>40</v>
          </cell>
          <cell r="N357">
            <v>6</v>
          </cell>
          <cell r="O357" t="str">
            <v>452/1871</v>
          </cell>
          <cell r="P357" t="str">
            <v>0…+6</v>
          </cell>
          <cell r="Q357">
            <v>60</v>
          </cell>
        </row>
        <row r="358">
          <cell r="B358">
            <v>1001203117267</v>
          </cell>
          <cell r="C358" t="str">
            <v>САЛЯМИ МЕЛКОЗЕРНЕНАЯ ПМ с/к в/у 1/120</v>
          </cell>
          <cell r="D358" t="str">
            <v>ШТ</v>
          </cell>
          <cell r="E358" t="str">
            <v>Колбасные изделия</v>
          </cell>
          <cell r="F358" t="str">
            <v>С/к колбасы</v>
          </cell>
          <cell r="G358" t="str">
            <v>Папа может</v>
          </cell>
          <cell r="H358" t="str">
            <v>ОМПК(Г)</v>
          </cell>
          <cell r="I358" t="str">
            <v>ТУ 10.13.14-181-00425283-2026</v>
          </cell>
          <cell r="J358" t="str">
            <v>Мясной продукт. Изделие колбасное сырокопченое.</v>
          </cell>
          <cell r="K358" t="str">
            <v>свинина,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белок молочный, волокна пищевые (растительные), специи,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358">
            <v>17</v>
          </cell>
          <cell r="M358">
            <v>40</v>
          </cell>
          <cell r="N358">
            <v>6</v>
          </cell>
          <cell r="O358" t="str">
            <v>452/1871</v>
          </cell>
          <cell r="P358" t="str">
            <v>0…+6</v>
          </cell>
          <cell r="Q358">
            <v>60</v>
          </cell>
        </row>
        <row r="359">
          <cell r="B359">
            <v>1001202506442</v>
          </cell>
          <cell r="C359" t="str">
            <v>ЭКСТРА Папа может с/к с/н в/у 1/100_СНГ</v>
          </cell>
          <cell r="D359" t="str">
            <v>ШТ</v>
          </cell>
          <cell r="E359" t="str">
            <v>Колбасные изделия</v>
          </cell>
          <cell r="F359" t="str">
            <v>С/к колбасы</v>
          </cell>
          <cell r="G359" t="str">
            <v>Папа может</v>
          </cell>
          <cell r="H359" t="str">
            <v>ОМПК(О)</v>
          </cell>
          <cell r="I359" t="str">
            <v>ТУ 10.13.14-181-00425283-2026</v>
          </cell>
          <cell r="J359" t="str">
            <v>Мясной продукт. Изделие колбасное сырокопченое.</v>
          </cell>
          <cell r="K359" t="str">
            <v>свинина, шпик, вода питьевая, белок соевый, смесь посолочно-нитритная (соль, фиксатор окраски (нитрит натрия)), регуляторы кислотности (пирофосфат натрия, трифосфаты натрия), чеснок сушеный молотый, лук репчатый сушеный, кориандр, паприка, перец черный молотый, перец чили, сахара, белок молочный, пищевые волокна, гемоглобин, антиокислитель (изоаскорбат натрия), усилитель вкуса и аромата (глутамат натрия 1-замещенный), ароматизатор, краситель (кармины)</v>
          </cell>
          <cell r="L359">
            <v>18</v>
          </cell>
          <cell r="M359">
            <v>38</v>
          </cell>
          <cell r="N359">
            <v>3</v>
          </cell>
          <cell r="O359" t="str">
            <v>426/1763</v>
          </cell>
          <cell r="P359" t="str">
            <v>0…+6</v>
          </cell>
          <cell r="Q359">
            <v>60</v>
          </cell>
        </row>
        <row r="360">
          <cell r="B360">
            <v>1001062507627</v>
          </cell>
          <cell r="C360" t="str">
            <v>ЭКСТРА ПМ с/к с/н в/у 1/100 10шт_СНГ_Л10</v>
          </cell>
          <cell r="D360" t="str">
            <v>ШТ</v>
          </cell>
          <cell r="E360" t="str">
            <v>Колбасные изделия</v>
          </cell>
          <cell r="F360" t="str">
            <v>С/к колбасы</v>
          </cell>
          <cell r="G360" t="str">
            <v>Папа может</v>
          </cell>
          <cell r="H360" t="str">
            <v>ОМПК(О)</v>
          </cell>
          <cell r="I360" t="str">
            <v>ТУ 10.13.14-181-00425283-2026</v>
          </cell>
          <cell r="J360" t="str">
            <v>Мясной продукт. Изделие колбасное сырокопченое.</v>
          </cell>
          <cell r="K360" t="str">
            <v>свинина, шпик, вода питьевая, белок соевый, смесь посолочно-нитритная (соль, фиксатор окраски (нитрит натрия)), регуляторы кислотности (пирофосфат натрия, трифосфаты натрия), чеснок сушеный молотый, лук репчатый сушеный, кориандр, паприка, перец черный молотый, перец чили, сахара, белок молочный, пищевые волокна, гемоглобин, антиокислитель (изоаскорбат натрия), усилитель вкуса и аромата (глутамат натрия 1-замещенный), ароматизатор, краситель (кармины)</v>
          </cell>
          <cell r="L360">
            <v>18</v>
          </cell>
          <cell r="M360">
            <v>38</v>
          </cell>
          <cell r="N360">
            <v>3</v>
          </cell>
          <cell r="O360" t="str">
            <v>426/1763</v>
          </cell>
          <cell r="P360" t="str">
            <v>0…+6</v>
          </cell>
          <cell r="Q360">
            <v>60</v>
          </cell>
        </row>
        <row r="361">
          <cell r="B361">
            <v>1001062507616</v>
          </cell>
          <cell r="C361" t="str">
            <v>ЭКСТРА Папа может с/к с/н в/у 1/100_Л10</v>
          </cell>
          <cell r="D361" t="str">
            <v>ШТ</v>
          </cell>
          <cell r="E361" t="str">
            <v>Колбасные изделия</v>
          </cell>
          <cell r="F361" t="str">
            <v>С/к колбасы</v>
          </cell>
          <cell r="G361" t="str">
            <v>Папа может</v>
          </cell>
          <cell r="H361" t="str">
            <v xml:space="preserve">ОМПК(О)
</v>
          </cell>
          <cell r="I361" t="str">
            <v>ТУ 10.13.14-140-00425283-2015</v>
          </cell>
          <cell r="J361" t="str">
            <v>Мясной продукт. Изделие колбасное сырокопченое.</v>
          </cell>
          <cell r="K361" t="str">
            <v>свинина, шпик, филе грудок куриных, говядина, соевый белок, смесь посолочно-нитритная (соль, фиксатор окраски нитрит натрия), соль, молочный белок, регулятор кислотности пирофосфаты, растительная клетчатка (в т.ч. пшеничная), натуральные пряности (перец белый, перец черный), сахар, ароматизаторы, антиокислитель изоаскорбат натрия, усилитель вкуса и аромата глутамат натрия, красители: кармины, красный рисовый; стартовая культура</v>
          </cell>
          <cell r="L361">
            <v>23</v>
          </cell>
          <cell r="M361">
            <v>32</v>
          </cell>
          <cell r="N361">
            <v>0</v>
          </cell>
          <cell r="O361" t="str">
            <v>380/1575</v>
          </cell>
          <cell r="P361" t="str">
            <v>0…+6</v>
          </cell>
          <cell r="Q361">
            <v>60</v>
          </cell>
        </row>
        <row r="362">
          <cell r="B362">
            <v>1001202507218</v>
          </cell>
          <cell r="C362" t="str">
            <v>Z-ЭКСТРА Папа может с/к с/н в/у 1/100</v>
          </cell>
          <cell r="D362" t="str">
            <v>ШТ</v>
          </cell>
          <cell r="E362" t="str">
            <v>Колбасные изделия</v>
          </cell>
          <cell r="F362" t="str">
            <v>С/к колбасы</v>
          </cell>
          <cell r="G362" t="str">
            <v>Папа может</v>
          </cell>
          <cell r="H362" t="str">
            <v>ОМПК(Г)</v>
          </cell>
          <cell r="I362" t="str">
            <v>ТУ 9213-140-00425283-2015</v>
          </cell>
          <cell r="J362" t="str">
            <v>Мясной продукт. Изделие колбасное сырокопченое.</v>
          </cell>
          <cell r="K362" t="str">
            <v>свинина, шпик, филе грудок куриных, говядина, соевый белок, смесь посолочно-нитритная (соль, фиксатор окраски нитрит натрия), соль, молочный белок, регулятор кислотности пирофосфаты, растительная клетчатка (в т.ч. пшеничная), натуральные пряности (перец белый, перец черный), сахар, ароматизаторы, антиокислитель изоаскорбат натрия, усилитель вкуса и аромата глутамат натрия, красители: кармины, красный рисовый; стартовая культура</v>
          </cell>
          <cell r="L362">
            <v>23</v>
          </cell>
          <cell r="M362">
            <v>32</v>
          </cell>
          <cell r="O362" t="str">
            <v>380/1575</v>
          </cell>
          <cell r="P362" t="str">
            <v>0…+6</v>
          </cell>
          <cell r="Q362">
            <v>60</v>
          </cell>
        </row>
        <row r="363">
          <cell r="B363">
            <v>1001202507491</v>
          </cell>
          <cell r="C363" t="str">
            <v>ЭКСТРА с/к с/н мгс 1*2_HRC</v>
          </cell>
          <cell r="D363" t="str">
            <v>КГ</v>
          </cell>
          <cell r="E363" t="str">
            <v>Колбасные изделия</v>
          </cell>
          <cell r="F363" t="str">
            <v>С/к колбасы</v>
          </cell>
          <cell r="G363" t="str">
            <v>Без ТМ</v>
          </cell>
          <cell r="H363" t="str">
            <v>ОМПК(О)</v>
          </cell>
          <cell r="I363" t="str">
            <v>ТУ 10.13.14-181-00425283-2026</v>
          </cell>
          <cell r="J363" t="str">
            <v>Мясной продукт. Изделие колбасное сырокопченое.</v>
          </cell>
          <cell r="K363" t="str">
            <v>свинина, шпик, вода питьевая, белок соевый, смесь посолочно-нитритная (соль, фиксатор окраски (нитрит натрия)), регуляторы кислотности (пирофосфат натрия, трифосфаты натрия), чеснок сушеный молотый, лук репчатый сушеный, кориандр, паприка, перец черный молотый, перец чили, сахара, белок молочный, пищевые волокна, гемоглобин, антиокислитель (изоаскорбат натрия), усилитель вкуса и аромата (глутамат натрия 1-замещенный), ароматизатор, краситель (кармины)</v>
          </cell>
          <cell r="L363">
            <v>18</v>
          </cell>
          <cell r="M363">
            <v>38</v>
          </cell>
          <cell r="N363">
            <v>3</v>
          </cell>
          <cell r="O363" t="str">
            <v>426/1763</v>
          </cell>
          <cell r="P363" t="str">
            <v>0…+6</v>
          </cell>
          <cell r="Q363">
            <v>60</v>
          </cell>
        </row>
        <row r="364">
          <cell r="B364">
            <v>1001223907047</v>
          </cell>
          <cell r="C364" t="str">
            <v>БАЛЫК с/к с/н в/у 1/150*14_Х5/СТМ Вернер</v>
          </cell>
          <cell r="D364" t="str">
            <v>ШТ</v>
          </cell>
          <cell r="E364" t="str">
            <v>Колбасные изделия</v>
          </cell>
          <cell r="F364" t="str">
            <v>Копчености</v>
          </cell>
          <cell r="G364" t="str">
            <v>СТМ</v>
          </cell>
          <cell r="H364" t="str">
            <v>ОМПК(О)</v>
          </cell>
          <cell r="I364" t="str">
            <v>ТУ 10.13.14-184-00425283-2026</v>
          </cell>
          <cell r="J364" t="str">
            <v>Мясной продукт из свинины сырокопченый категории А.</v>
          </cell>
          <cell r="K364" t="str">
            <v>карбонад свиной, смесь посолочно-нитритная (соль, фиксатор окраски (нитрит натрия)), перец черный, чеснок, регуляторы кислотности (пирофосфаты, трифосфаты, цитраты натрия), сахара, антиокислитель (аскорбат натрия), усилитель вкуса и аромата (глутамат натрия 1-замещенный), ароматизатор</v>
          </cell>
          <cell r="L364">
            <v>21</v>
          </cell>
          <cell r="M364">
            <v>4</v>
          </cell>
          <cell r="N364">
            <v>1</v>
          </cell>
          <cell r="O364" t="str">
            <v>124/522</v>
          </cell>
          <cell r="P364" t="str">
            <v>0…+6</v>
          </cell>
          <cell r="Q364">
            <v>45</v>
          </cell>
        </row>
        <row r="365">
          <cell r="B365">
            <v>1001223907288</v>
          </cell>
          <cell r="C365" t="str">
            <v>БАЛЫК с/к с/н в/у 1/100 10шт.</v>
          </cell>
          <cell r="D365" t="str">
            <v>ШТ</v>
          </cell>
          <cell r="E365" t="str">
            <v>Колбасные изделия</v>
          </cell>
          <cell r="F365" t="str">
            <v>Копчености</v>
          </cell>
          <cell r="G365" t="str">
            <v>Останкино</v>
          </cell>
          <cell r="H365" t="str">
            <v>ОМПК(О)</v>
          </cell>
          <cell r="I365" t="str">
            <v>ТУ 10.13.14-184-00425283-2026</v>
          </cell>
          <cell r="J365" t="str">
            <v>Мясной продукт из свинины сырокопченый категории А.</v>
          </cell>
          <cell r="K365" t="str">
            <v>карбонад свиной, смесь посолочно-нитритная (соль, фиксатор окраски (нитрит натрия)), перец черный, чеснок, регуляторы кислотности (пирофосфаты, трифосфаты, цитраты натрия), сахара, антиокислитель (аскорбат натрия), усилитель вкуса и аромата (глутамат натрия 1-замещенный), ароматизатор</v>
          </cell>
          <cell r="L365">
            <v>19</v>
          </cell>
          <cell r="M365">
            <v>5</v>
          </cell>
          <cell r="N365">
            <v>0</v>
          </cell>
          <cell r="O365" t="str">
            <v>121/508</v>
          </cell>
          <cell r="P365" t="str">
            <v>0…+6</v>
          </cell>
          <cell r="Q365">
            <v>60</v>
          </cell>
        </row>
        <row r="366">
          <cell r="B366">
            <v>1001453907612</v>
          </cell>
          <cell r="C366" t="str">
            <v>БАЛЫК с/к с/н в/у 1/100 10шт_Л11</v>
          </cell>
          <cell r="D366" t="str">
            <v>ШТ</v>
          </cell>
          <cell r="E366" t="str">
            <v>Колбасные изделия</v>
          </cell>
          <cell r="F366" t="str">
            <v>Копчености</v>
          </cell>
          <cell r="G366" t="str">
            <v>Останкино</v>
          </cell>
          <cell r="H366" t="str">
            <v>ОМПК(О)</v>
          </cell>
          <cell r="I366" t="str">
            <v>ТУ 10.13.14-184-00425283-2026</v>
          </cell>
          <cell r="J366" t="str">
            <v>Мясной продукт из свинины сырокопченый категории А.</v>
          </cell>
          <cell r="K366" t="str">
            <v>карбонад свиной, смесь посолочно-нитритная (соль, фиксатор окраски (нитрит натрия)), перец черный, чеснок, регуляторы кислотности (пирофосфаты, трифосфаты, цитраты натрия), сахара, антиокислитель (аскорбат натрия), усилитель вкуса и аромата (глутамат натрия 1-замещенный), ароматизатор</v>
          </cell>
          <cell r="L366">
            <v>19</v>
          </cell>
          <cell r="M366">
            <v>5</v>
          </cell>
          <cell r="N366">
            <v>0</v>
          </cell>
          <cell r="O366" t="str">
            <v>121/508</v>
          </cell>
          <cell r="P366" t="str">
            <v>0…+6</v>
          </cell>
          <cell r="Q366">
            <v>60</v>
          </cell>
        </row>
        <row r="367">
          <cell r="B367">
            <v>1001227547508</v>
          </cell>
          <cell r="C367" t="str">
            <v>КОРЕЙКА GUTMANN с/к с/н мгс 1/130</v>
          </cell>
          <cell r="D367" t="str">
            <v>ШТ</v>
          </cell>
          <cell r="E367" t="str">
            <v>Колбасные изделия</v>
          </cell>
          <cell r="F367" t="str">
            <v>Копчености</v>
          </cell>
          <cell r="G367" t="str">
            <v>GUTMANN</v>
          </cell>
          <cell r="H367" t="str">
            <v>ОМПК(О)</v>
          </cell>
          <cell r="I367" t="str">
            <v>ТУ 10.13.14-184-00425283-2026</v>
          </cell>
          <cell r="J367" t="str">
            <v>Мясной продукт из свинины сырокопченый категории А.</v>
          </cell>
          <cell r="K367" t="str">
            <v>корейка свиная, смесь посолочно-нитритная (соль, фиксатор окраски (нитрит натрия)), перец черный, чеснок, регуляторы кислотности (пирофосфаты, трифосфаты, цитраты натрия), сахара, антиокислитель (аскорбат натрия), усилитель вкуса и аромата (глутамат натрия 1-замещенный), ароматизатор</v>
          </cell>
          <cell r="L367">
            <v>21</v>
          </cell>
          <cell r="M367">
            <v>4</v>
          </cell>
          <cell r="N367">
            <v>1</v>
          </cell>
          <cell r="O367" t="str">
            <v>124/522</v>
          </cell>
          <cell r="P367" t="str">
            <v>0…+6</v>
          </cell>
          <cell r="Q367">
            <v>45</v>
          </cell>
        </row>
        <row r="368">
          <cell r="B368">
            <v>1001223297053</v>
          </cell>
          <cell r="C368" t="str">
            <v>БЕКОН ДЛЯ КУЛИНАРИИ с/к с/н мгс 1*2_HRC</v>
          </cell>
          <cell r="D368" t="str">
            <v>КГ</v>
          </cell>
          <cell r="E368" t="str">
            <v>Колбасные изделия</v>
          </cell>
          <cell r="F368" t="str">
            <v>Копчености</v>
          </cell>
          <cell r="G368" t="str">
            <v>Без ТМ</v>
          </cell>
          <cell r="H368" t="str">
            <v>ОМПК(О)</v>
          </cell>
          <cell r="I368" t="str">
            <v>ТУ 10.13.14-184-00425283-2026</v>
          </cell>
          <cell r="J368" t="str">
            <v>Мясной продукт из свинины сырокопченый категории Б.</v>
          </cell>
          <cell r="K368" t="str">
            <v>грудинка свиная, смесь посолочно-нитритная (соль, фиксатор окраски (нитрит натрия)), регуляторы кислотности (трифосфаты, цитраты натрия), специи, экстракты специй (в т.ч. сельдерей), сахара, антиокислитель (аскорбат натрия), усилитель вкуса и аромата (глутамат натрия 1-замещенный)</v>
          </cell>
          <cell r="L368">
            <v>14</v>
          </cell>
          <cell r="M368">
            <v>28</v>
          </cell>
          <cell r="N368">
            <v>2</v>
          </cell>
          <cell r="O368" t="str">
            <v>316/1308</v>
          </cell>
          <cell r="P368" t="str">
            <v>0…+6</v>
          </cell>
          <cell r="Q368">
            <v>30</v>
          </cell>
        </row>
        <row r="369">
          <cell r="B369">
            <v>1001223297103</v>
          </cell>
          <cell r="C369" t="str">
            <v>БЕКОН Останкино с/к с/н в/у 1/180_50с</v>
          </cell>
          <cell r="D369" t="str">
            <v>ШТ</v>
          </cell>
          <cell r="E369" t="str">
            <v>Колбасные изделия</v>
          </cell>
          <cell r="F369" t="str">
            <v>Копчености</v>
          </cell>
          <cell r="G369" t="str">
            <v>Останкино</v>
          </cell>
          <cell r="H369" t="str">
            <v>ОМПК(О)</v>
          </cell>
          <cell r="I369" t="str">
            <v>ТУ 10.13.14-184-00425283-2026</v>
          </cell>
          <cell r="J369" t="str">
            <v>Мясной продукт из свинины сырокопченый категории Б.</v>
          </cell>
          <cell r="K369" t="str">
            <v>грудинка свиная, смесь посолочно-нитритная (соль, фиксатор окраски (нитрит натрия)), регуляторы кислотности (трифосфаты, цитраты натрия), лук репчатый, сельдерей, экстракты специй, сахара, антиокислитель (аскорбат натрия), усилитель вкуса и аромата (глутамат натрия 1-замещенный)</v>
          </cell>
          <cell r="L369">
            <v>14</v>
          </cell>
          <cell r="M369">
            <v>28</v>
          </cell>
          <cell r="N369">
            <v>2</v>
          </cell>
          <cell r="O369" t="str">
            <v>316/1308</v>
          </cell>
          <cell r="P369" t="str">
            <v>0…+6</v>
          </cell>
          <cell r="Q369">
            <v>50</v>
          </cell>
        </row>
        <row r="370">
          <cell r="B370">
            <v>1001223297104</v>
          </cell>
          <cell r="C370" t="str">
            <v>БЕКОН Останкино с/к с/н в/у 1/180_СНГ_50</v>
          </cell>
          <cell r="D370" t="str">
            <v>ШТ</v>
          </cell>
          <cell r="E370" t="str">
            <v>Колбасные изделия</v>
          </cell>
          <cell r="F370" t="str">
            <v>Копчености</v>
          </cell>
          <cell r="G370" t="str">
            <v>Останкино</v>
          </cell>
          <cell r="H370" t="str">
            <v>ОМПК(О)</v>
          </cell>
          <cell r="I370" t="str">
            <v>ТУ 10.13.14-184-00425283-2026</v>
          </cell>
          <cell r="J370" t="str">
            <v>Мясной продукт из свинины сырокопченый категории Б.</v>
          </cell>
          <cell r="K370" t="str">
            <v>грудинка свиная, смесь посолочно-нитритная (соль, фиксатор окраски (нитрит натрия)), регуляторы кислотности (трифосфаты, цитраты натрия), лук репчатый, сельдерей, экстракты специй, сахара, антиокислитель (аскорбат натрия), усилитель вкуса и аромата (глутамат натрия 1-замещенный)</v>
          </cell>
          <cell r="L370">
            <v>14</v>
          </cell>
          <cell r="M370">
            <v>28</v>
          </cell>
          <cell r="N370">
            <v>2</v>
          </cell>
          <cell r="O370" t="str">
            <v>316/1308</v>
          </cell>
          <cell r="P370" t="str">
            <v>0…+6</v>
          </cell>
          <cell r="Q370">
            <v>50</v>
          </cell>
        </row>
        <row r="371">
          <cell r="B371">
            <v>1001223297092</v>
          </cell>
          <cell r="C371" t="str">
            <v>БЕКОН Папа может с/к с/н в/у 1/140_50с</v>
          </cell>
          <cell r="D371" t="str">
            <v>ШТ</v>
          </cell>
          <cell r="E371" t="str">
            <v>Колбасные изделия</v>
          </cell>
          <cell r="F371" t="str">
            <v>Копчености</v>
          </cell>
          <cell r="G371" t="str">
            <v>Папа может</v>
          </cell>
          <cell r="H371" t="str">
            <v>ОМПК(О)</v>
          </cell>
          <cell r="I371" t="str">
            <v>ТУ 10.13.14-184-00425283-2026</v>
          </cell>
          <cell r="J371" t="str">
            <v>Мясной продукт из свинины сырокопченый категории Б.</v>
          </cell>
          <cell r="K371" t="str">
            <v>грудинка свиная, смесь посолочно-нитритная (соль, фиксатор окраски (нитрит натрия)), регуляторы кислотности (трифосфаты, цитраты натрия), лук репчатый, сельдерей, экстракты специй, сахара, антиокислитель (аскорбат натрия), усилитель вкуса и аромата (глутамат натрия 1-замещенный)</v>
          </cell>
          <cell r="L371">
            <v>14</v>
          </cell>
          <cell r="M371">
            <v>28</v>
          </cell>
          <cell r="N371">
            <v>2</v>
          </cell>
          <cell r="O371" t="str">
            <v>316/1308</v>
          </cell>
          <cell r="P371" t="str">
            <v>0…+6</v>
          </cell>
          <cell r="Q371">
            <v>50</v>
          </cell>
        </row>
        <row r="372">
          <cell r="B372">
            <v>1001223297031</v>
          </cell>
          <cell r="C372" t="str">
            <v>БЕКОН Папа может с/к с/н в/у 1/215 8шт.</v>
          </cell>
          <cell r="D372" t="str">
            <v>ШТ</v>
          </cell>
          <cell r="E372" t="str">
            <v>Колбасные изделия</v>
          </cell>
          <cell r="F372" t="str">
            <v>Копчености</v>
          </cell>
          <cell r="G372" t="str">
            <v>Папа может</v>
          </cell>
          <cell r="H372" t="str">
            <v>ОМПК(О)</v>
          </cell>
          <cell r="I372" t="str">
            <v>ТУ 10.13.14-184-00425283-2026</v>
          </cell>
          <cell r="J372" t="str">
            <v>Мясной продукт из свинины сырокопченый категории Б.</v>
          </cell>
          <cell r="K372" t="str">
            <v>грудинка свиная, смесь посолочно-нитритная (соль, фиксатор окраски (нитрит натрия)), регуляторы кислотности (трифосфаты, цитраты натрия), лук репчатый, сельдерей, экстракты специй, сахара, антиокислитель (аскорбат натрия), усилитель вкуса и аромата (глутамат натрия 1-замещенный)</v>
          </cell>
          <cell r="L372">
            <v>14</v>
          </cell>
          <cell r="M372">
            <v>28</v>
          </cell>
          <cell r="N372">
            <v>2</v>
          </cell>
          <cell r="O372" t="str">
            <v>316/1308</v>
          </cell>
          <cell r="P372" t="str">
            <v>0…+6</v>
          </cell>
          <cell r="Q372">
            <v>50</v>
          </cell>
        </row>
        <row r="373">
          <cell r="B373">
            <v>1001223297093</v>
          </cell>
          <cell r="C373" t="str">
            <v>БЕКОН Папа может с/к с/н в/у 1/250_50с</v>
          </cell>
          <cell r="D373" t="str">
            <v>ШТ</v>
          </cell>
          <cell r="E373" t="str">
            <v>Колбасные изделия</v>
          </cell>
          <cell r="F373" t="str">
            <v>Копчености</v>
          </cell>
          <cell r="G373" t="str">
            <v>Папа может</v>
          </cell>
          <cell r="H373" t="str">
            <v>ОМПК(О)</v>
          </cell>
          <cell r="I373" t="str">
            <v>ТУ 10.13.14-184-00425283-2026</v>
          </cell>
          <cell r="J373" t="str">
            <v>Мясной продукт из свинины сырокопченый категории Б.</v>
          </cell>
          <cell r="K373" t="str">
            <v>грудинка свиная, смесь посолочно-нитритная (соль, фиксатор окраски (нитрит натрия)), регуляторы кислотности (трифосфаты, цитраты натрия), лук репчатый, сельдерей, экстракты специй, сахара, антиокислитель (аскорбат натрия), усилитель вкуса и аромата (глутамат натрия 1-замещенный)</v>
          </cell>
          <cell r="L373">
            <v>14</v>
          </cell>
          <cell r="M373">
            <v>28</v>
          </cell>
          <cell r="N373">
            <v>2</v>
          </cell>
          <cell r="O373" t="str">
            <v>316/1308</v>
          </cell>
          <cell r="P373" t="str">
            <v>0…+6</v>
          </cell>
          <cell r="Q373">
            <v>50</v>
          </cell>
        </row>
        <row r="374">
          <cell r="B374">
            <v>1001226877338</v>
          </cell>
          <cell r="C374" t="str">
            <v>ВЕТЧИНА СЫРОКОПЧЕНАЯ с/н в/у 1/100 10шт.</v>
          </cell>
          <cell r="D374" t="str">
            <v>ШТ</v>
          </cell>
          <cell r="E374" t="str">
            <v>Колбасные изделия</v>
          </cell>
          <cell r="F374" t="str">
            <v>Копчености</v>
          </cell>
          <cell r="G374" t="str">
            <v>Останкино</v>
          </cell>
          <cell r="H374" t="str">
            <v>ОМПК(О)</v>
          </cell>
          <cell r="I374" t="str">
            <v>ТУ 10.13.14-184-00425283-2026</v>
          </cell>
          <cell r="J374" t="str">
            <v>Мясной продукт из свинины сырокопченый категории А.</v>
          </cell>
          <cell r="K374" t="str">
            <v>свинина, смесь посолочно-нитритная (соль, фиксатор окраски (нитрит натрия)), регуляторы кислотности (цитраты натрия, пирофосфаты, трифосфаты), специи, пряности, сахара, антиокислитель (аскорбат натрия), усилитель вкуса и аромата (глутамат натрия 1-замещенный), ароматизатор, стартовая культура</v>
          </cell>
          <cell r="L374">
            <v>16</v>
          </cell>
          <cell r="M374">
            <v>14</v>
          </cell>
          <cell r="N374">
            <v>2</v>
          </cell>
          <cell r="O374" t="str">
            <v>198/824</v>
          </cell>
          <cell r="P374" t="str">
            <v>0…+6</v>
          </cell>
          <cell r="Q374">
            <v>45</v>
          </cell>
        </row>
        <row r="375">
          <cell r="B375">
            <v>1001234916449</v>
          </cell>
          <cell r="C375" t="str">
            <v>МЯСО ПРАЗДНИЧНОЕ с/к с/н в/у 1/100 10шт.</v>
          </cell>
          <cell r="D375" t="str">
            <v>ШТ</v>
          </cell>
          <cell r="E375" t="str">
            <v>Колбасные изделия</v>
          </cell>
          <cell r="F375" t="str">
            <v>Копчености</v>
          </cell>
          <cell r="G375" t="str">
            <v>Останкино</v>
          </cell>
          <cell r="H375" t="str">
            <v>ОМПК(О)</v>
          </cell>
          <cell r="I375" t="str">
            <v>ТУ 10.13.14-184-00425283-2026</v>
          </cell>
          <cell r="J375" t="str">
            <v>Мясной продукт из свинины сырокопченый категории А.</v>
          </cell>
          <cell r="K375" t="str">
            <v>свинина, смесь посолочно-нитритная (соль, фиксатор окраски (нитрит натрия)), регуляторы кислотности (цитраты натрия, пирофосфаты, трифосфаты), перец черный, кориандр, можжевельник, горчица, гвоздика, сахара, антиокислитель (аскорбат натрия), усилитель вкуса и аромата (глутамат натрия 1-замещенный), ароматизатор, стартовая культура</v>
          </cell>
          <cell r="L375">
            <v>16</v>
          </cell>
          <cell r="M375">
            <v>14</v>
          </cell>
          <cell r="N375">
            <v>2</v>
          </cell>
          <cell r="O375" t="str">
            <v>198/824</v>
          </cell>
          <cell r="P375" t="str">
            <v>0…+6</v>
          </cell>
          <cell r="Q375">
            <v>45</v>
          </cell>
        </row>
        <row r="376">
          <cell r="B376">
            <v>1001234146448</v>
          </cell>
          <cell r="C376" t="str">
            <v>СВИНИНА МАДЕРА с/к с/н в/у 1/100 10шт.</v>
          </cell>
          <cell r="D376" t="str">
            <v>ШТ</v>
          </cell>
          <cell r="E376" t="str">
            <v>Колбасные изделия</v>
          </cell>
          <cell r="F376" t="str">
            <v>Копчености</v>
          </cell>
          <cell r="G376" t="str">
            <v>Останкино</v>
          </cell>
          <cell r="H376" t="str">
            <v>ОМПК(О)</v>
          </cell>
          <cell r="I376" t="str">
            <v>ТУ 10.13.14-184-00425283-2026</v>
          </cell>
          <cell r="J376" t="str">
            <v>Мясной продукт из свинины сырокопченый категории А.</v>
          </cell>
          <cell r="K376" t="str">
            <v>свинина, смесь посолочно-нитритная (соль, фиксатор окраски (нитрит натрия)), регуляторы кислотности (цитраты натрия, пирофосфаты, трифосфаты), специи, пряности, сахара, антиокислитель (аскорбат натрия), усилитель вкуса и аромата (глутамат натрия 1-замещенный), ароматизатор, стартовая культура</v>
          </cell>
          <cell r="L376">
            <v>16</v>
          </cell>
          <cell r="M376">
            <v>14</v>
          </cell>
          <cell r="N376">
            <v>2</v>
          </cell>
          <cell r="O376" t="str">
            <v>198/824</v>
          </cell>
          <cell r="P376" t="str">
            <v>0…+6</v>
          </cell>
          <cell r="Q376">
            <v>45</v>
          </cell>
        </row>
        <row r="377">
          <cell r="B377">
            <v>1001194145811</v>
          </cell>
          <cell r="C377" t="str">
            <v>СВИНИНА МАДЕРА с/к с/н в/у 1/100 8шт.</v>
          </cell>
          <cell r="D377" t="str">
            <v>ШТ</v>
          </cell>
          <cell r="E377" t="str">
            <v>Колбасные изделия</v>
          </cell>
          <cell r="F377" t="str">
            <v>Копчености</v>
          </cell>
          <cell r="G377" t="str">
            <v>Останкино</v>
          </cell>
          <cell r="H377" t="str">
            <v>ОМПК(О)</v>
          </cell>
          <cell r="I377" t="str">
            <v>ТУ 10.13.14-184-00425283-2026</v>
          </cell>
          <cell r="J377" t="str">
            <v>Мясной продукт из свинины сырокопченый категории А.</v>
          </cell>
          <cell r="K377" t="str">
            <v>свинина, смесь посолочно-нитритная (соль, фиксатор окраски (нитрит натрия)), регуляторы кислотности (цитраты натрия, пирофосфаты, трифосфаты), специи, пряности, сахара, антиокислитель (аскорбат натрия), усилитель вкуса и аромата (глутамат натрия 1-замещенный), ароматизатор, стартовая культура</v>
          </cell>
          <cell r="L377">
            <v>16</v>
          </cell>
          <cell r="M377">
            <v>14</v>
          </cell>
          <cell r="N377">
            <v>2</v>
          </cell>
          <cell r="O377" t="str">
            <v>198/824</v>
          </cell>
          <cell r="P377" t="str">
            <v>0…+6</v>
          </cell>
          <cell r="Q377">
            <v>45</v>
          </cell>
        </row>
        <row r="378">
          <cell r="B378">
            <v>1001061973986</v>
          </cell>
          <cell r="C378" t="str">
            <v>АРОМАТНАЯ с/к в/у 1/250 8шт.</v>
          </cell>
          <cell r="D378" t="str">
            <v>ШТ</v>
          </cell>
          <cell r="E378" t="str">
            <v>Колбасные изделия</v>
          </cell>
          <cell r="F378" t="str">
            <v>С/к колбасы</v>
          </cell>
          <cell r="G378" t="str">
            <v>Останкино</v>
          </cell>
          <cell r="H378" t="str">
            <v>ОМПК(О)</v>
          </cell>
          <cell r="I378" t="str">
            <v>ТУ 10.13.14-181-00425283-2026</v>
          </cell>
          <cell r="J378" t="str">
            <v>Мясной продукт. Изделие колбасное сырокопченое.</v>
          </cell>
          <cell r="K378" t="str">
            <v>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78">
            <v>19</v>
          </cell>
          <cell r="M378">
            <v>40</v>
          </cell>
          <cell r="N378">
            <v>6</v>
          </cell>
          <cell r="O378" t="str">
            <v>460/1905</v>
          </cell>
          <cell r="P378" t="str">
            <v>0…+6</v>
          </cell>
          <cell r="Q378">
            <v>120</v>
          </cell>
        </row>
        <row r="379">
          <cell r="B379">
            <v>1001061975197</v>
          </cell>
          <cell r="C379" t="str">
            <v>АРОМАТНАЯ с/к в/у 1/250 8шт_СНГ</v>
          </cell>
          <cell r="D379" t="str">
            <v>ШТ</v>
          </cell>
          <cell r="E379" t="str">
            <v>Колбасные изделия</v>
          </cell>
          <cell r="F379" t="str">
            <v>С/к колбасы</v>
          </cell>
          <cell r="G379" t="str">
            <v>Останкино</v>
          </cell>
          <cell r="H379" t="str">
            <v>ОМПК(О)</v>
          </cell>
          <cell r="I379" t="str">
            <v>ТУ 10.13.14-181-00425283-2026</v>
          </cell>
          <cell r="J379" t="str">
            <v>Мясной продукт. Изделие колбасное сырокопченое.</v>
          </cell>
          <cell r="K379" t="str">
            <v>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79">
            <v>19</v>
          </cell>
          <cell r="M379">
            <v>40</v>
          </cell>
          <cell r="N379">
            <v>6</v>
          </cell>
          <cell r="O379" t="str">
            <v>460/1905</v>
          </cell>
          <cell r="P379" t="str">
            <v>0…+6</v>
          </cell>
          <cell r="Q379">
            <v>120</v>
          </cell>
        </row>
        <row r="380">
          <cell r="B380">
            <v>1001061973582</v>
          </cell>
          <cell r="C380" t="str">
            <v>АРОМАТНАЯ с/к в/у_А</v>
          </cell>
          <cell r="D380" t="str">
            <v>КГ</v>
          </cell>
          <cell r="E380" t="str">
            <v>Колбасные изделия</v>
          </cell>
          <cell r="F380" t="str">
            <v>С/к колбасы</v>
          </cell>
          <cell r="G380" t="str">
            <v>Останкино</v>
          </cell>
          <cell r="H380" t="str">
            <v>ОМПК(О)</v>
          </cell>
          <cell r="I380" t="str">
            <v>ТУ 10.13.14-181-00425283-2026</v>
          </cell>
          <cell r="J380" t="str">
            <v>Мясной продукт. Изделие колбасное сырокопченое.</v>
          </cell>
          <cell r="K380" t="str">
            <v>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80">
            <v>19</v>
          </cell>
          <cell r="M380">
            <v>40</v>
          </cell>
          <cell r="N380">
            <v>6</v>
          </cell>
          <cell r="O380" t="str">
            <v>460/1905</v>
          </cell>
          <cell r="P380" t="str">
            <v>0…+12</v>
          </cell>
          <cell r="Q380">
            <v>120</v>
          </cell>
        </row>
        <row r="381">
          <cell r="B381">
            <v>1001061975033</v>
          </cell>
          <cell r="C381" t="str">
            <v>Z-АРОМАТНАЯ с/к в/у</v>
          </cell>
          <cell r="D381" t="str">
            <v>КГ</v>
          </cell>
          <cell r="E381" t="str">
            <v>Колбасные изделия</v>
          </cell>
          <cell r="F381" t="str">
            <v>С/к колбасы</v>
          </cell>
          <cell r="G381" t="str">
            <v>Останкино</v>
          </cell>
          <cell r="H381" t="str">
            <v>ОМПК(О)</v>
          </cell>
          <cell r="I381" t="str">
            <v>ТУ 10.13.14-181-00425283-2026</v>
          </cell>
          <cell r="J381" t="str">
            <v>Мясной продукт. Изделие колбасное сырокопченое.</v>
          </cell>
          <cell r="K381" t="str">
            <v>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81">
            <v>19</v>
          </cell>
          <cell r="M381">
            <v>40</v>
          </cell>
          <cell r="N381">
            <v>6</v>
          </cell>
          <cell r="O381" t="str">
            <v>460/1905</v>
          </cell>
          <cell r="P381" t="str">
            <v>0…+12</v>
          </cell>
          <cell r="Q381">
            <v>120</v>
          </cell>
        </row>
        <row r="382">
          <cell r="B382">
            <v>1001061975909</v>
          </cell>
          <cell r="C382" t="str">
            <v>Z-АРОМАТНАЯ с/к в/у (для нарезки)</v>
          </cell>
          <cell r="D382" t="str">
            <v>КГ</v>
          </cell>
          <cell r="E382" t="str">
            <v>Колбасные изделия</v>
          </cell>
          <cell r="F382" t="str">
            <v>С/к колбасы</v>
          </cell>
          <cell r="G382" t="str">
            <v>Останкино</v>
          </cell>
          <cell r="H382" t="str">
            <v>ОМПК(О)</v>
          </cell>
          <cell r="I382" t="str">
            <v>ТУ 10.13.14-181-00425283-2026</v>
          </cell>
          <cell r="J382" t="str">
            <v>Мясной продукт. Изделие колбасное сырокопченое.</v>
          </cell>
          <cell r="K382" t="str">
            <v>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82">
            <v>19</v>
          </cell>
          <cell r="M382">
            <v>40</v>
          </cell>
          <cell r="N382">
            <v>6</v>
          </cell>
          <cell r="O382" t="str">
            <v>460/1905</v>
          </cell>
          <cell r="P382" t="str">
            <v>0…+12</v>
          </cell>
          <cell r="Q382">
            <v>120</v>
          </cell>
        </row>
        <row r="383">
          <cell r="B383">
            <v>1001061977337</v>
          </cell>
          <cell r="C383" t="str">
            <v>Z-АРОМАТНАЯ мгс в/у (для нарезки 70 мм)</v>
          </cell>
          <cell r="D383" t="str">
            <v>КГ</v>
          </cell>
          <cell r="E383" t="str">
            <v>Колбасные изделия</v>
          </cell>
          <cell r="F383" t="str">
            <v>С/к колбасы</v>
          </cell>
          <cell r="G383" t="str">
            <v>Папа может</v>
          </cell>
          <cell r="H383" t="str">
            <v xml:space="preserve">ОМПК(О)
ОМПК(Г)
</v>
          </cell>
          <cell r="I383" t="str">
            <v>ТУ 10.13.14-181-00425283-2026</v>
          </cell>
          <cell r="J383" t="str">
            <v>Мясной продукт. Изделие колбасное сырокопченое.</v>
          </cell>
          <cell r="K383" t="str">
            <v>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83">
            <v>19</v>
          </cell>
          <cell r="M383">
            <v>40</v>
          </cell>
          <cell r="N383">
            <v>6</v>
          </cell>
          <cell r="O383" t="str">
            <v>460/1905</v>
          </cell>
          <cell r="P383" t="str">
            <v>0…+12</v>
          </cell>
          <cell r="Q383">
            <v>60</v>
          </cell>
        </row>
        <row r="384">
          <cell r="B384">
            <v>1001061974946</v>
          </cell>
          <cell r="C384" t="str">
            <v>Z-АРОМАТНАЯ с/к в/у 1/250</v>
          </cell>
          <cell r="D384" t="str">
            <v>ШТ</v>
          </cell>
          <cell r="E384" t="str">
            <v>Колбасные изделия</v>
          </cell>
          <cell r="F384" t="str">
            <v>С/к колбасы</v>
          </cell>
          <cell r="G384" t="str">
            <v>Останкино</v>
          </cell>
          <cell r="H384" t="str">
            <v>ОМПК(О)</v>
          </cell>
          <cell r="I384" t="str">
            <v>ТУ 10.13.14-181-00425283-2026</v>
          </cell>
          <cell r="J384" t="str">
            <v>Мясной продукт. Изделие колбасное сырокопченое.</v>
          </cell>
          <cell r="K384" t="str">
            <v>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84">
            <v>19</v>
          </cell>
          <cell r="M384">
            <v>40</v>
          </cell>
          <cell r="N384">
            <v>6</v>
          </cell>
          <cell r="O384" t="str">
            <v>460/1905</v>
          </cell>
          <cell r="P384" t="str">
            <v>0…+6</v>
          </cell>
          <cell r="Q384">
            <v>120</v>
          </cell>
        </row>
        <row r="385">
          <cell r="B385">
            <v>1001067017386</v>
          </cell>
          <cell r="C385" t="str">
            <v>БАРСЕЛОНА ПМ с/к в/у 1/150</v>
          </cell>
          <cell r="D385" t="str">
            <v>ШТ</v>
          </cell>
          <cell r="E385" t="str">
            <v>Колбасные изделия</v>
          </cell>
          <cell r="F385" t="str">
            <v>С/к колбасы</v>
          </cell>
          <cell r="G385" t="str">
            <v>Папа может</v>
          </cell>
          <cell r="H385" t="str">
            <v>ОМПК(Г)</v>
          </cell>
          <cell r="I385" t="str">
            <v>ТУ 10.13.14-140-00425283-2015</v>
          </cell>
          <cell r="J385" t="str">
            <v>Мясной продукт. Изделие колбасное сырокопченое.</v>
          </cell>
          <cell r="K385" t="str">
            <v>свинина, филе грудок куриных, говядина, шпик, белок соевый, смесь послочно-нитритная (соль, фиксатор окраски (нитрит натрия)), белок молочный, клетчатка (в т.ч. пшеничная), лактоза, регуляторы кислотности (пирофосфаты, цитраты натрия), овощи сушеные, экстракты пряностей, сахара, антиокислители (аскорбиновая кислота, экстракты розмарина, изоаскорбат натрия), усилитель вкуса и аромата (глутамат натрия), гемоглобин (свиной), ароматизаторы, красители (экстракт паприки, кармины), стартовая культура</v>
          </cell>
          <cell r="L385">
            <v>12</v>
          </cell>
          <cell r="M385">
            <v>29</v>
          </cell>
          <cell r="N385">
            <v>3</v>
          </cell>
          <cell r="O385" t="str">
            <v>329/1328</v>
          </cell>
          <cell r="P385" t="str">
            <v>0…+25</v>
          </cell>
          <cell r="Q385">
            <v>90</v>
          </cell>
        </row>
        <row r="386">
          <cell r="B386">
            <v>1001067017671</v>
          </cell>
          <cell r="C386" t="str">
            <v>БАРСЕЛОНА ПМ с/к в/у 1/150 12шт.</v>
          </cell>
          <cell r="D386" t="str">
            <v>ШТ</v>
          </cell>
          <cell r="E386" t="str">
            <v>Колбасные изделия</v>
          </cell>
          <cell r="F386" t="str">
            <v>С/к колбасы</v>
          </cell>
          <cell r="G386" t="str">
            <v>Папа может</v>
          </cell>
          <cell r="H386" t="str">
            <v>ОМПК(Г)</v>
          </cell>
          <cell r="I386" t="str">
            <v>ТУ 10.13.14-140-00425283-2015</v>
          </cell>
          <cell r="J386" t="str">
            <v>Мясной продукт. Изделие колбасное сырокопченое.</v>
          </cell>
          <cell r="K386" t="str">
            <v>свинина, филе грудок куриных, говядина, шпик, белок соевый, смесь послочно-нитритная (соль, фиксатор окраски (нитрит натрия)), белок молочный, клетчатка (в т.ч. пшеничная), лактоза, регуляторы кислотности (пирофосфаты, цитраты натрия), овощи сушеные, экстракты пряностей, сахара, антиокислители (аскорбиновая кислота, экстракты розмарина, изоаскорбат натрия), усилитель вкуса и аромата (глутамат натрия), гемоглобин (свиной), ароматизаторы, красители (экстракт паприки, кармины), стартовая культура</v>
          </cell>
          <cell r="L386">
            <v>12</v>
          </cell>
          <cell r="M386">
            <v>29</v>
          </cell>
          <cell r="N386">
            <v>3</v>
          </cell>
          <cell r="O386" t="str">
            <v>329/1328</v>
          </cell>
          <cell r="P386" t="str">
            <v>0…+25</v>
          </cell>
          <cell r="Q386">
            <v>90</v>
          </cell>
        </row>
        <row r="387">
          <cell r="B387">
            <v>1001067017528</v>
          </cell>
          <cell r="C387" t="str">
            <v>Z-БАРСЕЛОНА ПМ с/к в/у 1/150 гр/уп</v>
          </cell>
          <cell r="D387" t="str">
            <v>ШТ</v>
          </cell>
          <cell r="E387" t="str">
            <v>Колбасные изделия</v>
          </cell>
          <cell r="F387" t="str">
            <v>С/к колбасы</v>
          </cell>
          <cell r="G387" t="str">
            <v>Папа может</v>
          </cell>
          <cell r="H387" t="str">
            <v>ОМПК(Г)</v>
          </cell>
          <cell r="I387" t="str">
            <v>ТУ 10.13.14-140-00425283-2015</v>
          </cell>
          <cell r="J387" t="str">
            <v>Мясной продукт. Изделие колбасное сырокопченое.</v>
          </cell>
          <cell r="K387" t="str">
            <v>свинина, филе грудок куриных, говядина, шпик, белок соевый, смесь послочно-нитритная (соль, фиксатор окраски (нитрит натрия)), белок молочный, клетчатка (в т.ч. пшеничная), лактоза, регуляторы кислотности (пирофосфаты, цитраты натрия), овощи сушеные, экстракты пряностей, сахара, антиокислители (аскорбиновая кислота, экстракты розмарина, изоаскорбат натрия), усилитель вкуса и аромата (глутамат натрия), гемоглобин (свиной), ароматизаторы, красители (экстракт паприки, кармины), стартовая культура</v>
          </cell>
          <cell r="L387">
            <v>12</v>
          </cell>
          <cell r="M387">
            <v>29</v>
          </cell>
          <cell r="N387">
            <v>3</v>
          </cell>
          <cell r="O387" t="str">
            <v>329/1328</v>
          </cell>
          <cell r="P387" t="str">
            <v>0…+6</v>
          </cell>
          <cell r="Q387">
            <v>30</v>
          </cell>
        </row>
        <row r="388">
          <cell r="B388">
            <v>1001060717143</v>
          </cell>
          <cell r="C388" t="str">
            <v>БРАУНШВЕЙГСКАЯ ГОСТ с/к в/у 1/220 8шт.</v>
          </cell>
          <cell r="D388" t="str">
            <v>ШТ</v>
          </cell>
          <cell r="E388" t="str">
            <v>Колбасные изделия</v>
          </cell>
          <cell r="F388" t="str">
            <v>С/к колбасы</v>
          </cell>
          <cell r="G388" t="str">
            <v>Останкино</v>
          </cell>
          <cell r="H388" t="str">
            <v>ОМПК(Г)
ОМПК(О)</v>
          </cell>
          <cell r="I388" t="str">
            <v>ГОСТ Р 55456-2013</v>
          </cell>
          <cell r="J388" t="str">
            <v>Мясной продукт. Изделие колбасное сырокопченое категории А.</v>
          </cell>
          <cell r="K388" t="str">
            <v>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v>
          </cell>
          <cell r="L388">
            <v>15</v>
          </cell>
          <cell r="M388">
            <v>53</v>
          </cell>
          <cell r="O388" t="str">
            <v>537/2216</v>
          </cell>
          <cell r="P388" t="str">
            <v>0…+6</v>
          </cell>
          <cell r="Q388">
            <v>120</v>
          </cell>
        </row>
        <row r="389">
          <cell r="B389">
            <v>1001060714613</v>
          </cell>
          <cell r="C389" t="str">
            <v>БРАУНШВЕЙГСКАЯ полусухая с/к в/у_А</v>
          </cell>
          <cell r="D389" t="str">
            <v>КГ</v>
          </cell>
          <cell r="E389" t="str">
            <v>Колбасные изделия</v>
          </cell>
          <cell r="F389" t="str">
            <v>С/к колбасы</v>
          </cell>
          <cell r="G389" t="str">
            <v>Останкино</v>
          </cell>
          <cell r="H389" t="str">
            <v>ОМПК(О)</v>
          </cell>
          <cell r="I389" t="str">
            <v>ГОСТ Р 55456-2013</v>
          </cell>
          <cell r="J389" t="str">
            <v>Мясной продукт. Изделие колбасное сырокопченое категории А.</v>
          </cell>
          <cell r="K389" t="str">
            <v>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v>
          </cell>
          <cell r="L389">
            <v>15</v>
          </cell>
          <cell r="M389">
            <v>53</v>
          </cell>
          <cell r="O389" t="str">
            <v>537/2216</v>
          </cell>
          <cell r="P389" t="str">
            <v>0…+12</v>
          </cell>
          <cell r="Q389">
            <v>120</v>
          </cell>
        </row>
        <row r="390">
          <cell r="B390">
            <v>1001060713765</v>
          </cell>
          <cell r="C390" t="str">
            <v>БРАУНШВЕЙГСКАЯ полусухая с/к в/у_Глобус</v>
          </cell>
          <cell r="D390" t="str">
            <v>КГ</v>
          </cell>
          <cell r="E390" t="str">
            <v>Колбасные изделия</v>
          </cell>
          <cell r="F390" t="str">
            <v>С/к колбасы</v>
          </cell>
          <cell r="G390" t="str">
            <v>Останкино</v>
          </cell>
          <cell r="H390" t="str">
            <v>ОМПК(О)</v>
          </cell>
          <cell r="I390" t="str">
            <v>ГОСТ Р 55456-2013</v>
          </cell>
          <cell r="J390" t="str">
            <v>Мясной продукт. Изделие колбасное сырокопченое категории А.</v>
          </cell>
          <cell r="K390" t="str">
            <v>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v>
          </cell>
          <cell r="L390">
            <v>15</v>
          </cell>
          <cell r="M390">
            <v>53</v>
          </cell>
          <cell r="O390" t="str">
            <v>537/2216</v>
          </cell>
          <cell r="P390" t="str">
            <v>0…+12</v>
          </cell>
          <cell r="Q390">
            <v>120</v>
          </cell>
        </row>
        <row r="391">
          <cell r="B391">
            <v>1001060717122</v>
          </cell>
          <cell r="C391" t="str">
            <v>Z-БРАУНШВЕЙГСКАЯ с/к в/у (для нарезки)</v>
          </cell>
          <cell r="D391" t="str">
            <v>КГ</v>
          </cell>
          <cell r="E391" t="str">
            <v>Колбасные изделия</v>
          </cell>
          <cell r="F391" t="str">
            <v>С/к колбасы</v>
          </cell>
          <cell r="G391" t="str">
            <v>Останкино</v>
          </cell>
          <cell r="H391" t="str">
            <v>ОМПК(О)</v>
          </cell>
          <cell r="I391" t="str">
            <v>ГОСТ Р 55456-2013</v>
          </cell>
          <cell r="J391" t="str">
            <v>Мясной продукт. Изделие колбасное сырокопченое категории А.</v>
          </cell>
          <cell r="K391" t="str">
            <v>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v>
          </cell>
          <cell r="L391">
            <v>15</v>
          </cell>
          <cell r="M391">
            <v>53</v>
          </cell>
          <cell r="O391" t="str">
            <v>537/2216</v>
          </cell>
          <cell r="P391" t="str">
            <v>0…+12</v>
          </cell>
          <cell r="Q391">
            <v>120</v>
          </cell>
        </row>
        <row r="392">
          <cell r="B392">
            <v>1001060717657</v>
          </cell>
          <cell r="C392" t="str">
            <v>Z-БРАУНШВЕЙГСКАЯ мгс (для нарезки 70 мм)</v>
          </cell>
          <cell r="D392" t="str">
            <v>КГ</v>
          </cell>
          <cell r="E392" t="str">
            <v>Колбасные изделия</v>
          </cell>
          <cell r="F392" t="str">
            <v>С/к колбасы</v>
          </cell>
          <cell r="G392" t="str">
            <v>Останкино</v>
          </cell>
          <cell r="H392" t="str">
            <v>ОМПК(О)</v>
          </cell>
          <cell r="I392" t="str">
            <v>ГОСТ Р 55456-2013</v>
          </cell>
          <cell r="J392" t="str">
            <v>Мясной продукт. Изделие колбасное сырокопченое категории А.</v>
          </cell>
          <cell r="K392" t="str">
            <v>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v>
          </cell>
          <cell r="L392">
            <v>15</v>
          </cell>
          <cell r="M392">
            <v>53</v>
          </cell>
          <cell r="O392" t="str">
            <v>537/2216</v>
          </cell>
          <cell r="P392" t="str">
            <v>0…+12</v>
          </cell>
          <cell r="Q392">
            <v>30</v>
          </cell>
        </row>
        <row r="393">
          <cell r="B393">
            <v>1001066607387</v>
          </cell>
          <cell r="C393" t="str">
            <v>Z-БРАУНШВЕЙГСКАЯ ГОСТ с/к в/у 0.44 гр/уп</v>
          </cell>
          <cell r="D393" t="str">
            <v>ШТ</v>
          </cell>
          <cell r="E393" t="str">
            <v>Колбасные изделия</v>
          </cell>
          <cell r="F393" t="str">
            <v>С/к колбасы</v>
          </cell>
          <cell r="G393" t="str">
            <v>Останкино</v>
          </cell>
          <cell r="H393" t="str">
            <v>ОМПК(Г)</v>
          </cell>
          <cell r="I393" t="str">
            <v>ГОСТ Р 55456-2013</v>
          </cell>
          <cell r="J393" t="str">
            <v>Мясной продукт. Изделие колбасное сырокопченое категории А.</v>
          </cell>
          <cell r="K393" t="str">
            <v>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v>
          </cell>
          <cell r="L393">
            <v>15</v>
          </cell>
          <cell r="M393">
            <v>53</v>
          </cell>
          <cell r="O393" t="str">
            <v>537/2216</v>
          </cell>
          <cell r="P393" t="str">
            <v>0…+6</v>
          </cell>
          <cell r="Q393">
            <v>30</v>
          </cell>
        </row>
        <row r="394">
          <cell r="B394">
            <v>1001063657544</v>
          </cell>
          <cell r="C394" t="str">
            <v>Z-БУРГУНДИЯ с/к в/у 0.44 гр/уп</v>
          </cell>
          <cell r="D394" t="str">
            <v>ШТ</v>
          </cell>
          <cell r="E394" t="str">
            <v>Колбасные изделия</v>
          </cell>
          <cell r="F394" t="str">
            <v>С/к колбасы</v>
          </cell>
          <cell r="G394" t="str">
            <v>Без ТМ</v>
          </cell>
          <cell r="H394" t="str">
            <v>ОМПК(Г)</v>
          </cell>
          <cell r="I394" t="str">
            <v>ТУ 10.13.14-140-00425283-2015</v>
          </cell>
          <cell r="J394" t="str">
            <v>Мясной продукт. Изделие колбасное сырокопченое.</v>
          </cell>
          <cell r="K394" t="str">
            <v>свинина, шпик, белок соевый, белок молочный, клетчатка растительная (в т.ч. пшеничная), смесь посолочно-нитритная (соль, фиксатор окраски (нитрит натрия)), регулятор кислотности (пирофосфаты), пряности (перец белый молотый, перец черный молотый), сахара, соль, антиокислитель (изоаскорбат натрия), усилитель вкуса и аромата (глутамат натрия), ароматизаторы, гемоглобин, краситель (кармины), стартовая культура</v>
          </cell>
          <cell r="L394">
            <v>20</v>
          </cell>
          <cell r="M394">
            <v>40</v>
          </cell>
          <cell r="N394">
            <v>1</v>
          </cell>
          <cell r="O394" t="str">
            <v>444/1837</v>
          </cell>
          <cell r="P394" t="str">
            <v>0…+6</v>
          </cell>
          <cell r="Q394">
            <v>30</v>
          </cell>
        </row>
        <row r="395">
          <cell r="B395">
            <v>1001063657370</v>
          </cell>
          <cell r="C395" t="str">
            <v>Z-БУРГУНДИЯ с/к в/у</v>
          </cell>
          <cell r="D395" t="str">
            <v>КГ</v>
          </cell>
          <cell r="E395" t="str">
            <v>Колбасные изделия</v>
          </cell>
          <cell r="F395" t="str">
            <v>С/к колбасы</v>
          </cell>
          <cell r="G395" t="str">
            <v>Останкино</v>
          </cell>
          <cell r="H395" t="str">
            <v>ОМПК(Г)
ОМПК(О)</v>
          </cell>
          <cell r="I395" t="str">
            <v>ТУ 10.13.14-140-00425283-2015</v>
          </cell>
          <cell r="J395" t="str">
            <v>Мясной продукт. Изделие колбасное сырокопченое.</v>
          </cell>
          <cell r="K395" t="str">
            <v>свинина, шпик, белок соевый, белок молочный, клетчатка растительная (в т.ч. пшеничная), смесь посолочно-нитритная (соль, фиксатор окраски (нитрит натрия)), соль, регулятор кислотности (пирофосфаты), пряности, сахара, антиокислитель (изоаскорбат натрия), усилитель вкуса и аромата (глутамат натрия), ароматизаторы, краситель (кармины), гемоглобин, стартовая культура</v>
          </cell>
          <cell r="L395">
            <v>10</v>
          </cell>
          <cell r="M395">
            <v>43</v>
          </cell>
          <cell r="N395">
            <v>2</v>
          </cell>
          <cell r="O395" t="str">
            <v>435/1795</v>
          </cell>
          <cell r="P395" t="str">
            <v>0…+12</v>
          </cell>
          <cell r="Q395">
            <v>120</v>
          </cell>
        </row>
        <row r="396">
          <cell r="B396">
            <v>1001063656968</v>
          </cell>
          <cell r="C396" t="str">
            <v>БУРГУНДИЯ Папа может с/к в/у 0.5кг 8шт.</v>
          </cell>
          <cell r="D396" t="str">
            <v>ШТ</v>
          </cell>
          <cell r="E396" t="str">
            <v>Колбасные изделия</v>
          </cell>
          <cell r="F396" t="str">
            <v>С/к колбасы</v>
          </cell>
          <cell r="G396" t="str">
            <v>Папа может</v>
          </cell>
          <cell r="H396" t="str">
            <v>ОМПК(О)</v>
          </cell>
          <cell r="I396" t="str">
            <v>ТУ 10.13.14-181-00425283-2026</v>
          </cell>
          <cell r="J396" t="str">
            <v>Мясной продукт. Изделие колбасное сырокопченое.</v>
          </cell>
          <cell r="K396" t="str">
            <v>свинина, шпик, вода питьевая, белок соевый, смесь посолочно-нитритная (соль, фиксатор окраски (нитрит натрия)), волокна пищевые (растительные), белок молочный, перец белый, перец черный, антиокислитель (изоаскорбат натрия), ароматизаторы, гемоглобин, краситель (кармины), стартовая культура</v>
          </cell>
          <cell r="L396">
            <v>22</v>
          </cell>
          <cell r="M396">
            <v>42</v>
          </cell>
          <cell r="N396">
            <v>6</v>
          </cell>
          <cell r="O396" t="str">
            <v>490/2030</v>
          </cell>
          <cell r="P396" t="str">
            <v>0…+12</v>
          </cell>
          <cell r="Q396">
            <v>120</v>
          </cell>
        </row>
        <row r="397">
          <cell r="B397">
            <v>1001063656967</v>
          </cell>
          <cell r="C397" t="str">
            <v>БУРГУНДИЯ Папа может с/к в/у 1/250 8шт.</v>
          </cell>
          <cell r="D397" t="str">
            <v>ШТ</v>
          </cell>
          <cell r="E397" t="str">
            <v>Колбасные изделия</v>
          </cell>
          <cell r="F397" t="str">
            <v>С/к колбасы</v>
          </cell>
          <cell r="G397" t="str">
            <v>Папа может</v>
          </cell>
          <cell r="H397" t="str">
            <v>ОМПК(О)</v>
          </cell>
          <cell r="I397" t="str">
            <v>ТУ 10.13.14-181-00425283-2026</v>
          </cell>
          <cell r="J397" t="str">
            <v>Мясной продукт. Изделие колбасное сырокопченое.</v>
          </cell>
          <cell r="K397" t="str">
            <v>свинина, шпик, вода питьевая, белок соевый, смесь посолочно-нитритная (соль, фиксатор окраски (нитрит натрия)), волокна пищевые (растительные), белок молочный, перец белый, перец черный, антиокислитель (изоаскорбат натрия), ароматизаторы, гемоглобин, краситель (кармины), стартовая культура</v>
          </cell>
          <cell r="L397">
            <v>22</v>
          </cell>
          <cell r="M397">
            <v>42</v>
          </cell>
          <cell r="N397">
            <v>6</v>
          </cell>
          <cell r="O397" t="str">
            <v>490/2030</v>
          </cell>
          <cell r="P397" t="str">
            <v>0…+6</v>
          </cell>
          <cell r="Q397">
            <v>120</v>
          </cell>
        </row>
        <row r="398">
          <cell r="B398">
            <v>1001060707471</v>
          </cell>
          <cell r="C398" t="str">
            <v>ЕВРЕЙСКАЯ полусухая ГОСТ срез с/к в/у</v>
          </cell>
          <cell r="D398" t="str">
            <v>КГ</v>
          </cell>
          <cell r="E398" t="str">
            <v>Колбасные изделия</v>
          </cell>
          <cell r="F398" t="str">
            <v>С/к колбасы</v>
          </cell>
          <cell r="G398" t="str">
            <v>Останкино</v>
          </cell>
          <cell r="H398" t="str">
            <v>ОМПК(О)</v>
          </cell>
          <cell r="I398" t="str">
            <v>ГОСТ Р 55456-2013</v>
          </cell>
          <cell r="J398" t="str">
            <v>Мясной продукт. Изделие колбасное сырокопченое категории А.</v>
          </cell>
          <cell r="K398" t="str">
            <v>говядина, жир-сырец говяжий, смесь посолочно-нитритная (соль, фиксатор окраски нитрит натрия), соль, сахар, чеснок сушеный, пряности (перец белый и душистый молотые), антиокислитель аскорбат натрия, стартовая культура</v>
          </cell>
          <cell r="L398">
            <v>19</v>
          </cell>
          <cell r="M398">
            <v>45</v>
          </cell>
          <cell r="O398" t="str">
            <v>481/1988</v>
          </cell>
          <cell r="P398" t="str">
            <v>0…+6</v>
          </cell>
          <cell r="Q398">
            <v>120</v>
          </cell>
        </row>
        <row r="399">
          <cell r="B399">
            <v>1001060704070</v>
          </cell>
          <cell r="C399" t="str">
            <v>ЕВРЕЙСКАЯ полусухая с/к в/у_Ашан</v>
          </cell>
          <cell r="D399" t="str">
            <v>КГ</v>
          </cell>
          <cell r="E399" t="str">
            <v>Колбасные изделия</v>
          </cell>
          <cell r="F399" t="str">
            <v>С/к колбасы</v>
          </cell>
          <cell r="G399" t="str">
            <v>Останкино</v>
          </cell>
          <cell r="H399" t="str">
            <v>ОМПК(О)</v>
          </cell>
          <cell r="I399" t="str">
            <v>ГОСТ Р 55456-2013</v>
          </cell>
          <cell r="J399" t="str">
            <v>Мясной продукт. Изделие колбасное сырокопченое категории А.</v>
          </cell>
          <cell r="K399" t="str">
            <v>говядина, жир-сырец говяжий, смесь посолочно-нитритная (соль, фиксатор окраски нитрит натрия), соль, сахар, чеснок сушеный, пряности (перец белый и душистый молотые), антиокислитель аскорбат натрия, стартовая культура</v>
          </cell>
          <cell r="L399">
            <v>19</v>
          </cell>
          <cell r="M399">
            <v>45</v>
          </cell>
          <cell r="O399" t="str">
            <v>481/1988</v>
          </cell>
          <cell r="P399" t="str">
            <v>0…+12</v>
          </cell>
          <cell r="Q399">
            <v>120</v>
          </cell>
        </row>
        <row r="400">
          <cell r="B400">
            <v>1001060703070</v>
          </cell>
          <cell r="C400" t="str">
            <v>ЕВРЕЙСКАЯ полусухая с/к в/у_Метро</v>
          </cell>
          <cell r="D400" t="str">
            <v>КГ</v>
          </cell>
          <cell r="E400" t="str">
            <v>Колбасные изделия</v>
          </cell>
          <cell r="F400" t="str">
            <v>С/к колбасы</v>
          </cell>
          <cell r="G400" t="str">
            <v>Останкино</v>
          </cell>
          <cell r="H400" t="str">
            <v>ОМПК(О)</v>
          </cell>
          <cell r="I400" t="str">
            <v>ГОСТ Р 55456-2013</v>
          </cell>
          <cell r="J400" t="str">
            <v>Мясной продукт. Изделие колбасное сырокопченое категории А.</v>
          </cell>
          <cell r="K400" t="str">
            <v>говядина, жир-сырец говяжий, смесь посолочно-нитритная (соль, фиксатор окраски нитрит натрия), соль, сахар, чеснок сушеный, пряности (перец белый и душистый молотые), антиокислитель аскорбат натрия, стартовая культура</v>
          </cell>
          <cell r="L400">
            <v>19</v>
          </cell>
          <cell r="M400">
            <v>45</v>
          </cell>
          <cell r="O400" t="str">
            <v>481/1988</v>
          </cell>
          <cell r="P400" t="str">
            <v>0…+12</v>
          </cell>
          <cell r="Q400">
            <v>120</v>
          </cell>
        </row>
        <row r="401">
          <cell r="B401">
            <v>1001060704192</v>
          </cell>
          <cell r="C401" t="str">
            <v>ЕВРЕЙСКАЯ полусухая с/к в/у_Х5</v>
          </cell>
          <cell r="D401" t="str">
            <v>КГ</v>
          </cell>
          <cell r="E401" t="str">
            <v>Колбасные изделия</v>
          </cell>
          <cell r="F401" t="str">
            <v>С/к колбасы</v>
          </cell>
          <cell r="G401" t="str">
            <v>Останкино</v>
          </cell>
          <cell r="H401" t="str">
            <v>ОМПК(О)</v>
          </cell>
          <cell r="I401" t="str">
            <v>ГОСТ Р 55456-2013</v>
          </cell>
          <cell r="J401" t="str">
            <v>Мясной продукт. Изделие колбасное сырокопченое категории А.</v>
          </cell>
          <cell r="K401" t="str">
            <v>говядина, жир-сырец говяжий, смесь посолочно-нитритная (соль, фиксатор окраски нитрит натрия), соль, сахар, чеснок сушеный, пряности (перец белый и душистый молотые), антиокислитель аскорбат натрия, стартовая культура</v>
          </cell>
          <cell r="L401">
            <v>19</v>
          </cell>
          <cell r="M401">
            <v>45</v>
          </cell>
          <cell r="O401" t="str">
            <v>481/1988</v>
          </cell>
          <cell r="P401" t="str">
            <v>0…+12</v>
          </cell>
          <cell r="Q401">
            <v>120</v>
          </cell>
        </row>
        <row r="402">
          <cell r="B402">
            <v>1001060707636</v>
          </cell>
          <cell r="C402" t="str">
            <v>Z-ЕВРЕЙСКАЯ полусух. с/к в/у 0.5кг гр/уп</v>
          </cell>
          <cell r="D402" t="str">
            <v>ШТ</v>
          </cell>
          <cell r="E402" t="str">
            <v>Колбасные изделия</v>
          </cell>
          <cell r="F402" t="str">
            <v>С/к колбасы</v>
          </cell>
          <cell r="G402" t="str">
            <v>Останкино</v>
          </cell>
          <cell r="H402" t="str">
            <v>ОМПК(Г)</v>
          </cell>
          <cell r="I402" t="str">
            <v>ГОСТ Р 55456-2013</v>
          </cell>
          <cell r="J402" t="str">
            <v>Мясной продукт. Изделие колбасное сырокопченое категории А.</v>
          </cell>
          <cell r="K402" t="str">
            <v>говядина, жир-сырец говяжий, смесь посолочно-нитритная (соль, фиксатор окраски нитрит натрия), соль, сахар, чеснок сушеный, пряности (перец белый и душистый молотые), антиокислитель аскорбат натрия, стартовая культура</v>
          </cell>
          <cell r="L402">
            <v>19</v>
          </cell>
          <cell r="M402">
            <v>45</v>
          </cell>
          <cell r="O402" t="str">
            <v>481/1988</v>
          </cell>
          <cell r="P402" t="str">
            <v>0…+12</v>
          </cell>
          <cell r="Q402">
            <v>30</v>
          </cell>
        </row>
        <row r="403">
          <cell r="B403">
            <v>1001060707621</v>
          </cell>
          <cell r="C403" t="str">
            <v>Z-ЕВРЕЙСКАЯ с/к в/у гр/уп (для нарезки)</v>
          </cell>
          <cell r="D403" t="str">
            <v>КГ</v>
          </cell>
          <cell r="E403" t="str">
            <v>Колбасные изделия</v>
          </cell>
          <cell r="F403" t="str">
            <v>С/к колбасы</v>
          </cell>
          <cell r="G403" t="str">
            <v>Останкино</v>
          </cell>
          <cell r="H403" t="str">
            <v>ОМПК(Г)</v>
          </cell>
          <cell r="I403" t="str">
            <v>ГОСТ Р 55456-2013</v>
          </cell>
          <cell r="J403" t="str">
            <v>Мясной продукт. Изделие колбасное сырокопченое категории А.</v>
          </cell>
          <cell r="K403" t="str">
            <v>говядина, жир-сырец говяжий, смесь посолочно-нитритная (соль, фиксатор окраски нитрит натрия), соль, сахар, чеснок сушеный, пряности (перец белый и душистый молотые), антиокислитель аскорбат натрия, стартовая культура</v>
          </cell>
          <cell r="L403">
            <v>19</v>
          </cell>
          <cell r="M403">
            <v>45</v>
          </cell>
          <cell r="O403" t="str">
            <v>481/1988</v>
          </cell>
          <cell r="P403" t="str">
            <v>0…+12</v>
          </cell>
          <cell r="Q403">
            <v>30</v>
          </cell>
        </row>
        <row r="404">
          <cell r="B404">
            <v>1001065876924</v>
          </cell>
          <cell r="C404" t="str">
            <v>КАРЕЛЬСКАЯ ПМ с/к в/у 0.5кг 8шт_Kvalita</v>
          </cell>
          <cell r="D404" t="str">
            <v>ШТ</v>
          </cell>
          <cell r="E404" t="str">
            <v>Колбасные изделия</v>
          </cell>
          <cell r="F404" t="str">
            <v>С/к колбасы</v>
          </cell>
          <cell r="G404" t="str">
            <v>Папа может</v>
          </cell>
          <cell r="H404" t="str">
            <v>ОМПК(О)</v>
          </cell>
          <cell r="I404" t="str">
            <v>ТУ 10.13.14-181-00425283-2026</v>
          </cell>
          <cell r="J404" t="str">
            <v>Мясной продукт. Изделие колбасное сырокопченое.</v>
          </cell>
          <cell r="K404" t="str">
            <v>свинина, шпик, вода питьевая, белок соевый, белок молочный, волокна пищевые (растительные), смесь посолочно-нитритная (соль, фиксатор окраски (нитрит натрия)), пряности, антиокислитель (изоаскорбат натрия), ароматизаторы, гемоглобин, краситель (кармины), стартовая культура</v>
          </cell>
          <cell r="L404">
            <v>22</v>
          </cell>
          <cell r="M404">
            <v>42</v>
          </cell>
          <cell r="N404">
            <v>6</v>
          </cell>
          <cell r="O404" t="str">
            <v>490/2030</v>
          </cell>
          <cell r="P404" t="str">
            <v>0…+12</v>
          </cell>
          <cell r="Q404">
            <v>120</v>
          </cell>
        </row>
        <row r="405">
          <cell r="B405">
            <v>1001065877582</v>
          </cell>
          <cell r="C405" t="str">
            <v>КАРЕЛЬСКАЯ ПМ с/к в/у 0.5кг_Kvalita_305к</v>
          </cell>
          <cell r="D405" t="str">
            <v>ШТ</v>
          </cell>
          <cell r="E405" t="str">
            <v>Колбасные изделия</v>
          </cell>
          <cell r="F405" t="str">
            <v>С/к колбасы</v>
          </cell>
          <cell r="G405" t="str">
            <v>Папа может</v>
          </cell>
          <cell r="H405" t="str">
            <v>ОМПК(О)</v>
          </cell>
          <cell r="I405" t="str">
            <v>ТУ 10.13.14-181-00425283-2026</v>
          </cell>
          <cell r="J405" t="str">
            <v>Мясной продукт. Изделие колбасное сырокопченое.</v>
          </cell>
          <cell r="K405" t="str">
            <v>свинина, шпик, вода питьевая, белок соевый, белок молочный, волокна пищевые (растительные), смесь посолочно-нитритная (соль, фиксатор окраски (нитрит натрия)), пряности, антиокислитель (изоаскорбат натрия), ароматизаторы, гемоглобин, краситель (кармины), стартовая культура</v>
          </cell>
          <cell r="L405">
            <v>22</v>
          </cell>
          <cell r="M405">
            <v>42</v>
          </cell>
          <cell r="N405">
            <v>6</v>
          </cell>
          <cell r="O405" t="str">
            <v>490/2030</v>
          </cell>
          <cell r="P405" t="str">
            <v>0…+12</v>
          </cell>
          <cell r="Q405">
            <v>120</v>
          </cell>
        </row>
        <row r="406">
          <cell r="B406">
            <v>1001067537507</v>
          </cell>
          <cell r="C406" t="str">
            <v>КЁЛЬН GUTMANN с/к в/у 1/220 8шт.</v>
          </cell>
          <cell r="D406" t="str">
            <v>ШТ</v>
          </cell>
          <cell r="E406" t="str">
            <v>Колбасные изделия</v>
          </cell>
          <cell r="F406" t="str">
            <v>С/к колбасы</v>
          </cell>
          <cell r="G406" t="str">
            <v>GUTMANN</v>
          </cell>
          <cell r="H406" t="str">
            <v xml:space="preserve">ОМПК(Г)
</v>
          </cell>
          <cell r="I406" t="str">
            <v>ТУ 10.13.14-140-00425283-2015</v>
          </cell>
          <cell r="J406" t="str">
            <v>Мясной продукт. Изделие колбасное сырокопченое.</v>
          </cell>
          <cell r="K406" t="str">
            <v>свинина, шпик, белок соевый, белок молочный, клетчатка растительная (в т.ч. пшеничная), смесь посолочно-нитритная (соль, фиксатор окраски (нитрит натрия)), регулятор кислотности (пирофосфаты), пряности (перец белый молотый, перец черный молотый), сахара, соль, антиокислитель (изоаскорбат натрия), усилитель вкуса и аромата (глутамат натрия), ароматизаторы, гемоглобин, краситель (кармины), стартовая культура</v>
          </cell>
          <cell r="L406">
            <v>20</v>
          </cell>
          <cell r="M406">
            <v>40</v>
          </cell>
          <cell r="N406">
            <v>1</v>
          </cell>
          <cell r="O406" t="str">
            <v>444/1837</v>
          </cell>
          <cell r="P406" t="str">
            <v>0…+6</v>
          </cell>
          <cell r="Q406">
            <v>120</v>
          </cell>
        </row>
        <row r="407">
          <cell r="B407">
            <v>1001065867470</v>
          </cell>
          <cell r="C407" t="str">
            <v>КОПЧЕНАЯ НА ДУБЕ ПМ с/к в/у 1/150 12шт.</v>
          </cell>
          <cell r="D407" t="str">
            <v>ШТ</v>
          </cell>
          <cell r="E407" t="str">
            <v>Колбасные изделия</v>
          </cell>
          <cell r="F407" t="str">
            <v>С/к колбасы</v>
          </cell>
          <cell r="G407" t="str">
            <v>Папа может</v>
          </cell>
          <cell r="H407" t="str">
            <v>ОМПК(Г)</v>
          </cell>
          <cell r="I407" t="str">
            <v>ТУ 10.13.14-140-00425283-2015</v>
          </cell>
          <cell r="J407" t="str">
            <v>Мясной продукт. Изделие колбасное сырокопченое.</v>
          </cell>
          <cell r="K407" t="str">
            <v>свинина, шпик, филе грудок куриных, белок соевый, белок молочный, клетчатка растительная (в т.ч. пшеничная), смесь посолочно-нитритная (соль, фиксатор окраски (нитрит натрия)), соль, регуляторы кислотности (пирофосфаты, цитраты натрия), экстракты пряностей, сахара, антиокислители (изоаскорбат натрия, аскорбиновая кислота), усилитель вкуса и аромата (глутамат натрия), ароматизаторы, гемоглобин, краситель (кармины), стартовая культура</v>
          </cell>
          <cell r="L407">
            <v>15</v>
          </cell>
          <cell r="M407">
            <v>30</v>
          </cell>
          <cell r="N407">
            <v>2</v>
          </cell>
          <cell r="O407" t="str">
            <v>338/1399</v>
          </cell>
          <cell r="P407" t="str">
            <v>0…+25</v>
          </cell>
          <cell r="Q407">
            <v>90</v>
          </cell>
        </row>
        <row r="408">
          <cell r="B408">
            <v>1001061007246</v>
          </cell>
          <cell r="C408" t="str">
            <v>КЛАССИКА Папа может с/к в/у 0.5кг 8шт.</v>
          </cell>
          <cell r="D408" t="str">
            <v>ШТ</v>
          </cell>
          <cell r="E408" t="str">
            <v>Колбасные изделия</v>
          </cell>
          <cell r="F408" t="str">
            <v>С/к колбасы</v>
          </cell>
          <cell r="G408" t="str">
            <v>Папа может</v>
          </cell>
          <cell r="H408" t="str">
            <v>ОМПК(О)</v>
          </cell>
          <cell r="I408" t="str">
            <v>ТУ 10.13.14-181-00425283-2026</v>
          </cell>
          <cell r="J408" t="str">
            <v>Мясной продукт. Изделие колбасное сырокопченое.</v>
          </cell>
          <cell r="K408" t="str">
            <v>свинина, шпик, говядина, вода питьевая, белок соевый, белок молочный, смесь посолочно-нитритная (соль, фиксатор окраски (нитрит натрия)), перец черный, чеснок сушеный молотый, мускатный орех, перец белый, имбирь, кардамон, можжевельник, экстракты специй, волокна пищевые (растительные), сахара, антиокислители (изоаскорбат натрия, аскорбиновая кислота), усилитель вкуса и аромата (глутамат натрия 1-замещенный), гемоглобин, краситель (кармины), стартовая культура</v>
          </cell>
          <cell r="L408">
            <v>17</v>
          </cell>
          <cell r="M408">
            <v>41</v>
          </cell>
          <cell r="N408">
            <v>7</v>
          </cell>
          <cell r="O408" t="str">
            <v>465/1925</v>
          </cell>
          <cell r="P408" t="str">
            <v>0…+12</v>
          </cell>
          <cell r="Q408">
            <v>120</v>
          </cell>
        </row>
        <row r="409">
          <cell r="B409">
            <v>1001065616832</v>
          </cell>
          <cell r="C409" t="str">
            <v>АССОРТИ СЫРОКОПЧЕНЫХ КОЛБАС Коровино в/у</v>
          </cell>
          <cell r="D409" t="str">
            <v>КГ</v>
          </cell>
          <cell r="E409" t="str">
            <v>Колбасные изделия</v>
          </cell>
          <cell r="F409" t="str">
            <v>С/к колбасы</v>
          </cell>
          <cell r="G409" t="str">
            <v>Коровино</v>
          </cell>
          <cell r="H409" t="str">
            <v>ОМПК(О)
ОМПК(Г)</v>
          </cell>
          <cell r="I409" t="str">
            <v>ТУ 10.13.14-181-00425283-2026</v>
          </cell>
          <cell r="J409" t="str">
            <v>Мясной продукт. Изделие колбасное сырокопченое.</v>
          </cell>
          <cell r="K409" t="str">
            <v>свинина, шпик, филе грудок куриных, говядина, белок соевый, смесь посолочно-нитритная (соль, фиксатор окраски (нитрит натрия)), соль, молоко сухое обезжиренное, регуляторы кислотности (глюконо-дельта-лактон, пирофосфаты, цитраты натрия), загустители (каррагинан из водорослей EUCHEMA, ксантановая камедь), стабилизатор (полифосфаты), растительная клетчатка (в т.ч. пшеничная), белок животный, натуральные пряности (перец черный, чеснок, мускатный орех, кардамон, перец душистый, перец белый), сахар, ароматизаторы, антиокислители (аскорбат натрия, изоаскорбат натрия), усилитель вкуса и аромата (глутамат натрия), красители (кармины, сахарный колер III), стартовая культура</v>
          </cell>
          <cell r="L409">
            <v>11</v>
          </cell>
          <cell r="M409">
            <v>67</v>
          </cell>
          <cell r="N409">
            <v>0</v>
          </cell>
          <cell r="O409" t="str">
            <v>647/2666</v>
          </cell>
          <cell r="P409" t="str">
            <v>0…+6</v>
          </cell>
          <cell r="Q409">
            <v>30</v>
          </cell>
        </row>
        <row r="410">
          <cell r="B410">
            <v>1001065617258</v>
          </cell>
          <cell r="C410" t="str">
            <v>Z-АССОРТИ СЫРОКОПЧЕНЫХ КОЛБАС в/у</v>
          </cell>
          <cell r="D410" t="str">
            <v>КГ</v>
          </cell>
          <cell r="E410" t="str">
            <v>Колбасные изделия</v>
          </cell>
          <cell r="F410" t="str">
            <v>С/к колбасы</v>
          </cell>
          <cell r="G410" t="str">
            <v>Коровино</v>
          </cell>
          <cell r="H410" t="str">
            <v>ОМПК(Г)
ОМПК(О)</v>
          </cell>
          <cell r="I410" t="str">
            <v>ТУ 10.13.14-181-00425283-2026</v>
          </cell>
          <cell r="J410" t="str">
            <v>Мясной продукт. Изделие колбасное сырокопченое.</v>
          </cell>
          <cell r="K410" t="str">
            <v>свинина, шпик, филе грудок куриных, говядина, белок соевый, смесь посолочно-нитритная (соль, фиксатор окраски (нитрит натрия)), соль, молоко сухое обезжиренное, регуляторы кислотности (глюконо-дельта-лактон, пирофосфаты, цитраты натрия), загустители (каррагинан из водорослей EUCHEMA, ксантановая камедь), стабилизатор (полифосфаты), растительная клетчатка (в т.ч. пшеничная), белок животный, натуральные пряности (перец черный, чеснок, мускатный орех, кардамон, перец душистый, перец белый), сахар, ароматизаторы, антиокислители (аскорбат натрия, изоаскорбат натрия), усилитель вкуса и аромата (глутамат натрия), красители (кармины, сахарный колер III), стартовая культура</v>
          </cell>
          <cell r="L410">
            <v>11</v>
          </cell>
          <cell r="M410">
            <v>67</v>
          </cell>
          <cell r="O410" t="str">
            <v>647/2666</v>
          </cell>
          <cell r="P410" t="str">
            <v>0…+6</v>
          </cell>
          <cell r="Q410">
            <v>30</v>
          </cell>
        </row>
        <row r="411">
          <cell r="B411">
            <v>1001060677299</v>
          </cell>
          <cell r="C411" t="str">
            <v>НАБОР ДЛЯ ПИЦЦЫ Папа Может с/к в/у</v>
          </cell>
          <cell r="D411" t="str">
            <v>КГ</v>
          </cell>
          <cell r="E411" t="str">
            <v>Колбасные изделия</v>
          </cell>
          <cell r="F411" t="str">
            <v>С/к колбасы</v>
          </cell>
          <cell r="G411" t="str">
            <v>Папа может</v>
          </cell>
          <cell r="H411" t="str">
            <v>ОМПК(О)</v>
          </cell>
          <cell r="I411" t="str">
            <v>ТУ 10.13.14-181-00425283-2026</v>
          </cell>
          <cell r="J411" t="str">
            <v>Мясной продукт. Изделие колбасное сырокопченое.</v>
          </cell>
          <cell r="K411" t="str">
            <v>свинина, шпик, филе грудок куриных, говядина, белок соевый, смесь посолочно-нитритная (соль, фиксатор окраски (нитрит натрия)), соль, молоко сухое обезжиренное, регуляторы кислотности (глюконо-дельта-лактон, пирофосфаты, цитраты натрия), загустители (каррагинан из водорослей EUCHEMA, ксантановая камедь), стабилизатор (полифосфаты), растительная клетчатка (в т.ч. пшеничная), белок животный (говяжий), натуральные пряности (перец черный, чеснок, мускатный орех, кардамон, перец душистый, перец белый), сахар, ароматизаторы, антиокислители (аскорбат натрия, изоаскорбат натрия), усилитель вкуса и аромата (глутамат натрия), краситель (кармины), стартовая культура</v>
          </cell>
          <cell r="L411">
            <v>11</v>
          </cell>
          <cell r="M411">
            <v>67</v>
          </cell>
          <cell r="N411">
            <v>2</v>
          </cell>
          <cell r="O411" t="str">
            <v>655/2700</v>
          </cell>
          <cell r="P411" t="str">
            <v>0…+6</v>
          </cell>
          <cell r="Q411">
            <v>30</v>
          </cell>
        </row>
        <row r="412">
          <cell r="B412">
            <v>1001200677442</v>
          </cell>
          <cell r="C412" t="str">
            <v>НАБОР ДЛЯ ПИЦЦЫ с/к с/н мгс 3*3_HRC</v>
          </cell>
          <cell r="D412" t="str">
            <v>КГ</v>
          </cell>
          <cell r="E412" t="str">
            <v>Колбасные изделия</v>
          </cell>
          <cell r="F412" t="str">
            <v>С/к колбасы</v>
          </cell>
          <cell r="G412" t="str">
            <v>Без ТМ</v>
          </cell>
          <cell r="H412" t="str">
            <v>ОМПК(О)</v>
          </cell>
          <cell r="I412" t="str">
            <v>ТУ 10.13.14-181-00425283-2026</v>
          </cell>
          <cell r="J412" t="str">
            <v>Мясной продукт. Изделие колбасное сырокопченое.</v>
          </cell>
          <cell r="K412" t="str">
            <v>свинина, шпик, филе грудок куриных, говядина, белок соевый, смесь посолочно-нитритная (соль, фиксатор окраски (нитрит натрия)), соль, молоко сухое обезжиренное, регуляторы кислотности (глюконо-дельта-лактон, пирофосфаты, цитраты натрия), загустители (каррагинан из водорослей EUCHEMA, ксантановая камедь), стабилизатор (полифосфаты), растительная клетчатка (в т.ч. пшеничная), белок животный (говяжий), натуральные пряности (перец черный, чеснок, мускатный орех, кардамон, перец душистый, перец белый), сахар, ароматизаторы, антиокислители (аскорбат натрия, изоаскорбат натрия), усилитель вкуса и аромата (глутамат натрия), краситель (кармины), стартовая культура</v>
          </cell>
          <cell r="L412">
            <v>11</v>
          </cell>
          <cell r="M412">
            <v>67</v>
          </cell>
          <cell r="N412">
            <v>2</v>
          </cell>
          <cell r="O412" t="str">
            <v>655/2700</v>
          </cell>
          <cell r="P412" t="str">
            <v>0…+6</v>
          </cell>
          <cell r="Q412">
            <v>30</v>
          </cell>
        </row>
        <row r="413">
          <cell r="B413">
            <v>1001067127422</v>
          </cell>
          <cell r="C413" t="str">
            <v>МАРОЧНАЯ Коровино с/к в/у 0.5кг 8шт.</v>
          </cell>
          <cell r="D413" t="str">
            <v>ШТ</v>
          </cell>
          <cell r="E413" t="str">
            <v>Колбасные изделия</v>
          </cell>
          <cell r="F413" t="str">
            <v>С/к колбасы</v>
          </cell>
          <cell r="G413" t="str">
            <v>Коровино</v>
          </cell>
          <cell r="H413" t="str">
            <v>ОМПК(О)</v>
          </cell>
          <cell r="I413" t="str">
            <v>ТУ 10.13.14-181-00425283-2026</v>
          </cell>
          <cell r="J413" t="str">
            <v>Мясной продукт. Изделие колбасное сырокопченое.</v>
          </cell>
          <cell r="K413" t="str">
            <v>свинина, шпик, белок соевый, филе грудок куриных, говядина, белок молочный, клетчатка (в т.ч. пшеничная), смесь посолочно-нитритная (соль, фиксатор окраски (нитрит натрия)), стабилизатор (пирофосфат натрия), специи (перец черный молотый, чеснок сушеный молотый, мускат, перец белый молотый, перец душистый, имбирь, кардамон), экстракты специй, сахара, антиокислители (изоаскорбат натрия, аскорбиновая кислота, аскорбат натрия), усилитель вкуса и аромата (глутамат натрия), ароматизаторы, гемоглобин, краситель (кармины), стартовая культура</v>
          </cell>
          <cell r="L413">
            <v>20</v>
          </cell>
          <cell r="M413">
            <v>40</v>
          </cell>
          <cell r="N413">
            <v>0</v>
          </cell>
          <cell r="O413" t="str">
            <v>462/1911</v>
          </cell>
          <cell r="P413" t="str">
            <v>0…+12</v>
          </cell>
          <cell r="Q413">
            <v>120</v>
          </cell>
        </row>
        <row r="414">
          <cell r="B414">
            <v>1001066967381</v>
          </cell>
          <cell r="C414" t="str">
            <v>МОНРЕАЛЬ В АРОМАТ.СПЕЦИЯХ с/к мгс срез</v>
          </cell>
          <cell r="D414" t="str">
            <v>КГ</v>
          </cell>
          <cell r="E414" t="str">
            <v>Колбасные изделия</v>
          </cell>
          <cell r="F414" t="str">
            <v>С/к колбасы</v>
          </cell>
          <cell r="G414" t="str">
            <v>Останкино</v>
          </cell>
          <cell r="H414" t="str">
            <v>ОМПК(Г)</v>
          </cell>
          <cell r="I414" t="str">
            <v>ТУ 10.13.14-140-00425283-2015</v>
          </cell>
          <cell r="J414" t="str">
            <v>Мясной продукт. Изделие колбасное сырокопченое.</v>
          </cell>
          <cell r="K414" t="str">
            <v>свинина, шпик, белок соевый, говядина, филе грудки куриной, смесь посолочно-нитритная (соль, фиксатор окраски (нитрит натрия)), белок молочный, клетчатка (в т.ч. пшеничная), соль, регуляторы кислотности (пирофосфаты), перец красный сушеный, лук репчатый сушеный, семя горчичное, перец сладкий зеленый сушеный, тмин, перец черный, морковь сушеная, экстракты пряностей, сахара, желатин пищевой, антиокислитель (изоаскорбат натрия), усилитель вкуса и аромата (глутамат натрия), ароматизатор, гемоглобин, краситель (кармины), стартовая культура</v>
          </cell>
          <cell r="L414">
            <v>13</v>
          </cell>
          <cell r="M414">
            <v>35</v>
          </cell>
          <cell r="N414">
            <v>5</v>
          </cell>
          <cell r="O414" t="str">
            <v>387/1601</v>
          </cell>
          <cell r="P414" t="str">
            <v>0…+6</v>
          </cell>
          <cell r="Q414">
            <v>120</v>
          </cell>
        </row>
        <row r="415">
          <cell r="B415">
            <v>1001066497295</v>
          </cell>
          <cell r="C415" t="str">
            <v>ПАПИН ВЫБОР Папа Может с/к в/у 1/220 8шт</v>
          </cell>
          <cell r="D415" t="str">
            <v>ШТ</v>
          </cell>
          <cell r="E415" t="str">
            <v>Колбасные изделия</v>
          </cell>
          <cell r="F415" t="str">
            <v>С/к колбасы</v>
          </cell>
          <cell r="G415" t="str">
            <v>Папа может</v>
          </cell>
          <cell r="H415" t="str">
            <v>ОМПК(Г)</v>
          </cell>
          <cell r="I415" t="str">
            <v>ТУ 10.13.14-140-00425283-2015</v>
          </cell>
          <cell r="J415" t="str">
            <v>Мясной продукт. Изделие колбасное сырокопченое.</v>
          </cell>
          <cell r="K415" t="str">
            <v>свинина, шпик, мясо куриное механической обвалки, белок соевый, смесь посолочно-нитритная (соль, фиксатор окраски (нитрит натрия)), белок молочный, клетчатка (в т.ч. пшеничная), соль, регуляторы кислотности (трифосфаты, пирофосфаты, цитраты натрия), стабилизатор (полифосфаты), экстракты пряностей, сахара, антиокислители (аскорбиновая кислота, изоаскорбат натрия, аскорбат натрия, экстракты розмарина), усилитель вкуса и аромата (глутамат натрия), ароматизаторы, гемоглобин, красители (кармины), стартовая культура</v>
          </cell>
          <cell r="L415">
            <v>19</v>
          </cell>
          <cell r="M415">
            <v>49</v>
          </cell>
          <cell r="N415">
            <v>2</v>
          </cell>
          <cell r="O415" t="str">
            <v>525/2170</v>
          </cell>
          <cell r="P415" t="str">
            <v>0…+6</v>
          </cell>
          <cell r="Q415">
            <v>90</v>
          </cell>
        </row>
        <row r="416">
          <cell r="B416">
            <v>1001066497526</v>
          </cell>
          <cell r="C416" t="str">
            <v>Z-ПАПИН ВЫБОР Папа Может с/к в/у 1/220</v>
          </cell>
          <cell r="D416" t="str">
            <v>ШТ</v>
          </cell>
          <cell r="E416" t="str">
            <v>Колбасные изделия</v>
          </cell>
          <cell r="F416" t="str">
            <v>С/к колбасы</v>
          </cell>
          <cell r="G416" t="str">
            <v>Папа может</v>
          </cell>
          <cell r="H416" t="str">
            <v>ОМПК(Г)</v>
          </cell>
          <cell r="I416" t="str">
            <v>ТУ 10.13.14-140-00425283-2015</v>
          </cell>
          <cell r="J416" t="str">
            <v>Мясной продукт. Изделие колбасное сырокопченое.</v>
          </cell>
          <cell r="K416" t="str">
            <v>свинина, шпик, мясо куриное механической обвалки, белок соевый, смесь посолочно-нитритная (соль, фиксатор окраски (нитрит натрия)), белок молочный, клетчатка (в т.ч. пшеничная), соль, регуляторы кислотности (трифосфаты, пирофосфаты, цитраты натрия), стабилизатор (полифосфаты), экстракты пряностей, сахара, антиокислители (аскорбиновая кислота, изоаскорбат натрия, аскорбат натрия, экстракты розмарина), усилитель вкуса и аромата (глутамат натрия), ароматизаторы, гемоглобин, красители (кармины), стартовая культура</v>
          </cell>
          <cell r="L416">
            <v>19</v>
          </cell>
          <cell r="M416">
            <v>49</v>
          </cell>
          <cell r="N416">
            <v>2</v>
          </cell>
          <cell r="O416" t="str">
            <v>525/2170</v>
          </cell>
          <cell r="P416" t="str">
            <v>0…+6</v>
          </cell>
          <cell r="Q416">
            <v>30</v>
          </cell>
        </row>
        <row r="417">
          <cell r="B417">
            <v>1001060755931</v>
          </cell>
          <cell r="C417" t="str">
            <v>ОХОТНИЧЬЯ Папа может с/к в/у 1/220 8шт.</v>
          </cell>
          <cell r="D417" t="str">
            <v>ШТ</v>
          </cell>
          <cell r="E417" t="str">
            <v>Колбасные изделия</v>
          </cell>
          <cell r="F417" t="str">
            <v>С/к колбасы</v>
          </cell>
          <cell r="G417" t="str">
            <v>Папа может</v>
          </cell>
          <cell r="H417" t="str">
            <v xml:space="preserve">ОМПК(Г)
</v>
          </cell>
          <cell r="I417" t="str">
            <v>ТУ 10.13.14-140-00425283-2015</v>
          </cell>
          <cell r="J417" t="str">
            <v>Мясной продукт. Изделие колбасное сырокопченое.</v>
          </cell>
          <cell r="K417" t="str">
            <v>свинина, шпик, говядина, белок соевый, белок молочный, клетчатка (в т.ч. пшеничная), смесь посолочно-нитритная (соль, фиксатор окраски (нитрит натрия)), соль, сахара, регулятор кислотности (пирофосфаты), специи, экстракты специй, антиокислители (изоаскорбат натрия, аскорбат натрия, аскорбиновая кислота), усилитель вкуса и аромата (глутамат натрия), ароматизаторы, гемоглобин, краситель (кармины), стартовая культура</v>
          </cell>
          <cell r="L417">
            <v>20</v>
          </cell>
          <cell r="M417">
            <v>40</v>
          </cell>
          <cell r="O417" t="str">
            <v>462/1911</v>
          </cell>
          <cell r="P417" t="str">
            <v>0…+6</v>
          </cell>
          <cell r="Q417">
            <v>120</v>
          </cell>
        </row>
        <row r="418">
          <cell r="B418">
            <v>1001060757211</v>
          </cell>
          <cell r="C418" t="str">
            <v>ОХОТНИЧЬЯ Папа может с/к в/у 1/220_СНГ</v>
          </cell>
          <cell r="D418" t="str">
            <v>ШТ</v>
          </cell>
          <cell r="E418" t="str">
            <v>Колбасные изделия</v>
          </cell>
          <cell r="F418" t="str">
            <v>С/к колбасы</v>
          </cell>
          <cell r="G418" t="str">
            <v>Папа может</v>
          </cell>
          <cell r="H418" t="str">
            <v xml:space="preserve">ОМПК(О)
</v>
          </cell>
          <cell r="I418" t="str">
            <v>ТУ 10.13.14-140-00425283-2015</v>
          </cell>
          <cell r="J418" t="str">
            <v>Мясной продукт. Изделие колбасное сырокопченое.</v>
          </cell>
          <cell r="K418" t="str">
            <v>свинина, шпик, говядина, белок соевый, белок молочный, клетчатка (в т.ч. пшеничная), смесь посолочно-нитритная (соль, фиксатор окраски (нитрит натрия)), соль, сахара, регулятор кислотности (пирофосфаты), специи, экстракты специй, антиокислители (изоаскорбат натрия, аскорбат натрия, аскорбиновая кислота), усилитель вкуса и аромата (глутамат натрия), ароматизаторы, гемоглобин, краситель (кармины), стартовая культура</v>
          </cell>
          <cell r="L418">
            <v>20</v>
          </cell>
          <cell r="M418">
            <v>40</v>
          </cell>
          <cell r="N418">
            <v>0</v>
          </cell>
          <cell r="O418" t="str">
            <v>462/1911</v>
          </cell>
          <cell r="P418" t="str">
            <v>0…+6</v>
          </cell>
          <cell r="Q418">
            <v>120</v>
          </cell>
        </row>
        <row r="419">
          <cell r="B419">
            <v>1001060756032</v>
          </cell>
          <cell r="C419" t="str">
            <v>Z-ОХОТНИЧЬЯ Папа может с/к в/у 1/220</v>
          </cell>
          <cell r="D419" t="str">
            <v>ШТ</v>
          </cell>
          <cell r="E419" t="str">
            <v>Колбасные изделия</v>
          </cell>
          <cell r="F419" t="str">
            <v>С/к колбасы</v>
          </cell>
          <cell r="G419" t="str">
            <v>Папа может</v>
          </cell>
          <cell r="H419" t="str">
            <v>ОМПК(Г)</v>
          </cell>
          <cell r="I419" t="str">
            <v>ТУ 10.13.14-140-00425283-2015</v>
          </cell>
          <cell r="J419" t="str">
            <v>Мясной продукт. Изделие колбасное сырокопченое.</v>
          </cell>
          <cell r="K419" t="str">
            <v>свинина, шпик, говядина, белок соевый, белок молочный, клетчатка (в т.ч. пшеничная), смесь посолочно-нитритная (соль, фиксатор окраски (нитрит натрия)), соль, сахара, регулятор кислотности (пирофосфаты), специи, экстракты специй, антиокислители (изоаскорбат натрия, аскорбат натрия, аскорбиновая кислота), усилитель вкуса и аромата (глутамат натрия), ароматизаторы, гемоглобин, краситель (кармины), стартовая культура</v>
          </cell>
          <cell r="L419">
            <v>20</v>
          </cell>
          <cell r="M419">
            <v>40</v>
          </cell>
          <cell r="O419" t="str">
            <v>462/1911</v>
          </cell>
          <cell r="P419" t="str">
            <v>0…+6</v>
          </cell>
          <cell r="Q419">
            <v>120</v>
          </cell>
        </row>
        <row r="420">
          <cell r="B420">
            <v>1001060756288</v>
          </cell>
          <cell r="C420" t="str">
            <v>Z-ОХОТНИЧЬЯ ПМ с/к в/у (для нарезки)</v>
          </cell>
          <cell r="D420" t="str">
            <v>КГ</v>
          </cell>
          <cell r="E420" t="str">
            <v>Колбасные изделия</v>
          </cell>
          <cell r="F420" t="str">
            <v>С/к колбасы</v>
          </cell>
          <cell r="G420" t="str">
            <v>Папа может</v>
          </cell>
          <cell r="H420" t="str">
            <v>ОМПК(О)</v>
          </cell>
          <cell r="I420" t="str">
            <v>ТУ 10.13.14-181-00425283-2026</v>
          </cell>
          <cell r="J420" t="str">
            <v>Мясной продукт. Изделие колбасное сырокопченое.</v>
          </cell>
          <cell r="K420" t="str">
            <v>свинина, шпик, говядина, вода питьевая, белок соевый, белок молочный, смесь посолочно-нитритная (соль, фиксатор окраски (нитрит натрия)), перец черный, чеснок сушеный молотый, мускатный орех, перец белый, имбирь, кардамон, можжевельник, экстракты специй, волокна пищевые (растительные), сахара, антиокислители (изоаскорбат натрия, аскорбиновая кислота), усилитель вкуса и аромата (глутамат натрия 1-замещенный), гемоглобин, краситель (кармины), стартовая культура</v>
          </cell>
          <cell r="L420">
            <v>17</v>
          </cell>
          <cell r="M420">
            <v>41</v>
          </cell>
          <cell r="N420">
            <v>7</v>
          </cell>
          <cell r="O420" t="str">
            <v>465/1925</v>
          </cell>
          <cell r="P420" t="str">
            <v>0…+12</v>
          </cell>
          <cell r="Q420">
            <v>120</v>
          </cell>
        </row>
        <row r="421">
          <cell r="B421">
            <v>1001060757672</v>
          </cell>
          <cell r="C421" t="str">
            <v>Z-ОХОТНИЧЬЯ с/к в/у (для нарезки 70 мм)</v>
          </cell>
          <cell r="D421" t="str">
            <v>КГ</v>
          </cell>
          <cell r="E421" t="str">
            <v>Колбасные изделия</v>
          </cell>
          <cell r="F421" t="str">
            <v>С/к колбасы</v>
          </cell>
          <cell r="G421" t="str">
            <v>Папа может</v>
          </cell>
          <cell r="H421" t="str">
            <v>ОМПК(Г)</v>
          </cell>
          <cell r="I421" t="str">
            <v>ТУ 10.13.14-140-00425283-2015</v>
          </cell>
          <cell r="J421" t="str">
            <v>Мясной продукт. Изделие колбасное сырокопченое.</v>
          </cell>
          <cell r="K421" t="str">
            <v>свинина, шпик, белок соевый, филе грудок куриных, говядина, белок молочный, клетчатка (в т.ч. пшеничная), смесь посолочно-нитритная (соль, фиксатор окраски (нитрит натрия)), стабилизатор (пирофосфат натрия), специи (перец черный молотый, чеснок сушеный молотый, мускат, перец белый молотый, перец душистый, имбирь, кардамон), экстракты специй, сахара, антиокислители (изоаскорбат натрия, аскорбиновая кислота, аскорбат натрия), усилитель вкуса и аромата (глутамат натрия), ароматизаторы, гемоглобин, краситель (кармины), стартовая культура</v>
          </cell>
          <cell r="L421">
            <v>20</v>
          </cell>
          <cell r="M421">
            <v>40</v>
          </cell>
          <cell r="N421">
            <v>0</v>
          </cell>
          <cell r="O421" t="str">
            <v>462/1911</v>
          </cell>
          <cell r="P421" t="str">
            <v>0…+6</v>
          </cell>
          <cell r="Q421">
            <v>30</v>
          </cell>
        </row>
        <row r="422">
          <cell r="B422">
            <v>1001063145708</v>
          </cell>
          <cell r="C422" t="str">
            <v>ПОСОЛЬСКАЯ Папа может с/к в/у</v>
          </cell>
          <cell r="D422" t="str">
            <v>КГ</v>
          </cell>
          <cell r="E422" t="str">
            <v>Колбасные изделия</v>
          </cell>
          <cell r="F422" t="str">
            <v>С/к колбасы</v>
          </cell>
          <cell r="G422" t="str">
            <v>Папа может</v>
          </cell>
          <cell r="H422" t="str">
            <v>ОМПК(О)</v>
          </cell>
          <cell r="I422" t="str">
            <v>ТУ 10.13.14-139-00425283-2015</v>
          </cell>
          <cell r="J422" t="str">
            <v>Изделие колбасное сырокопченое из мяса кур охлажденное фирменное</v>
          </cell>
          <cell r="K422" t="str">
            <v>филе грудок куриных, свинина, шпик, говядина, белок соевый, белок молочный, клетчатка (в т.ч. пшеничная), смесь посолочно-нитритная (соль, фиксатор окраски (нитрит натрия)), регулятор кислотности (пирофосфаты), соль, сахара, пряности, антиокислитель (изоаскорбат натрия), усилитель вкуса и аромата (глутамат натрия), гемоглобин, краситель (кармины), стартовая культура</v>
          </cell>
          <cell r="L422">
            <v>21</v>
          </cell>
          <cell r="M422">
            <v>42</v>
          </cell>
          <cell r="O422" t="str">
            <v>462/1911</v>
          </cell>
          <cell r="P422" t="str">
            <v>0…+12</v>
          </cell>
          <cell r="Q422">
            <v>120</v>
          </cell>
        </row>
        <row r="423">
          <cell r="B423">
            <v>1001063147247</v>
          </cell>
          <cell r="C423" t="str">
            <v>ПОСОЛЬСКАЯ Папа может с/к в/у 0.5кг 8шт.</v>
          </cell>
          <cell r="D423" t="str">
            <v>ШТ</v>
          </cell>
          <cell r="E423" t="str">
            <v>Колбасные изделия</v>
          </cell>
          <cell r="F423" t="str">
            <v>С/к колбасы</v>
          </cell>
          <cell r="G423" t="str">
            <v>Папа может</v>
          </cell>
          <cell r="H423" t="str">
            <v>ОМПК(О)</v>
          </cell>
          <cell r="I423" t="str">
            <v>ТУ 10.13.14-139-00425283-2015</v>
          </cell>
          <cell r="J423" t="str">
            <v>Изделие колбасное сырокопченое из мяса кур охлажденное фирменное</v>
          </cell>
          <cell r="K423" t="str">
            <v>филе грудок куриных, свинина, шпик, говядина, белок соевый, белок молочный, клетчатка (в т.ч. пшеничная), смесь посолочно-нитритная (соль, фиксатор окраски (нитрит натрия)), регулятор кислотности (пирофосфаты), соль, сахара, пряности, антиокислитель (изоаскорбат натрия), усилитель вкуса и аромата (глутамат натрия), гемоглобин, краситель (кармины), стартовая культура</v>
          </cell>
          <cell r="L423">
            <v>21</v>
          </cell>
          <cell r="M423">
            <v>42</v>
          </cell>
          <cell r="O423" t="str">
            <v>462/1911</v>
          </cell>
          <cell r="P423" t="str">
            <v>0…+12</v>
          </cell>
          <cell r="Q423">
            <v>120</v>
          </cell>
        </row>
        <row r="424">
          <cell r="B424">
            <v>1001063147579</v>
          </cell>
          <cell r="C424" t="str">
            <v>ПОСОЛЬСКАЯ ПМ с/к в/у 0.5кг 8шт_305к</v>
          </cell>
          <cell r="D424" t="str">
            <v>ШТ</v>
          </cell>
          <cell r="E424" t="str">
            <v>Колбасные изделия</v>
          </cell>
          <cell r="F424" t="str">
            <v>С/к колбасы</v>
          </cell>
          <cell r="G424" t="str">
            <v>Папа может</v>
          </cell>
          <cell r="H424" t="str">
            <v>ОМПК(О)</v>
          </cell>
          <cell r="I424" t="str">
            <v>ТУ 10.13.14-139-00425283-2015</v>
          </cell>
          <cell r="J424" t="str">
            <v>Изделие колбасное сырокопченое из мяса кур охлажденное фирменное</v>
          </cell>
          <cell r="K424" t="str">
            <v>филе грудок куриных, свинина, шпик, говядина, белок соевый, белок молочный, клетчатка (в т.ч. пшеничная), смесь посолочно-нитритная (соль, фиксатор окраски (нитрит натрия)), регулятор кислотности (пирофосфаты), соль, сахара, пряности, антиокислитель (изоаскорбат натрия), усилитель вкуса и аромата (глутамат натрия), гемоглобин, краситель (кармины), стартовая культура</v>
          </cell>
          <cell r="L424">
            <v>21</v>
          </cell>
          <cell r="M424">
            <v>42</v>
          </cell>
          <cell r="O424" t="str">
            <v>462/1911</v>
          </cell>
          <cell r="P424" t="str">
            <v>0…+12</v>
          </cell>
          <cell r="Q424">
            <v>120</v>
          </cell>
        </row>
        <row r="425">
          <cell r="B425">
            <v>1001063147281</v>
          </cell>
          <cell r="C425" t="str">
            <v>Z-ПОСОЛЬСКАЯ Папа может с/к в/у 0.5кг</v>
          </cell>
          <cell r="D425" t="str">
            <v>ШТ</v>
          </cell>
          <cell r="E425" t="str">
            <v>Колбасные изделия</v>
          </cell>
          <cell r="F425" t="str">
            <v>С/к колбасы</v>
          </cell>
          <cell r="G425" t="str">
            <v>Папа может</v>
          </cell>
          <cell r="H425" t="str">
            <v>ОМПК(О)</v>
          </cell>
          <cell r="I425" t="str">
            <v>ТУ 10.13.14-139-00425283-2015</v>
          </cell>
          <cell r="J425" t="str">
            <v>Изделие колбасное сырокопченое из мяса кур охлажденное фирменное</v>
          </cell>
          <cell r="K425" t="str">
            <v>филе грудок куриных, свинина, шпик, говядина, белок соевый, белок молочный, клетчатка (в т.ч. пшеничная), смесь посолочно-нитритная (соль, фиксатор окраски (нитрит натрия)), регулятор кислотности (пирофосфаты), соль, сахара, пряности, антиокислитель (изоаскорбат натрия), усилитель вкуса и аромата (глутамат натрия), гемоглобин, краситель (кармины), стартовая культура</v>
          </cell>
          <cell r="L425">
            <v>21</v>
          </cell>
          <cell r="M425">
            <v>42</v>
          </cell>
          <cell r="O425" t="str">
            <v>462/1911</v>
          </cell>
          <cell r="P425" t="str">
            <v>0…+12</v>
          </cell>
          <cell r="Q425">
            <v>120</v>
          </cell>
        </row>
        <row r="426">
          <cell r="B426">
            <v>1001060720614</v>
          </cell>
          <cell r="C426" t="str">
            <v>ПРАЗДНИЧНАЯ с/к в/с дек.спец.мгс</v>
          </cell>
          <cell r="D426" t="str">
            <v>КГ</v>
          </cell>
          <cell r="E426" t="str">
            <v>Колбасные изделия</v>
          </cell>
          <cell r="F426" t="str">
            <v>С/к колбасы</v>
          </cell>
          <cell r="G426" t="str">
            <v>Останкино</v>
          </cell>
          <cell r="H426" t="str">
            <v>ОМПК(О)
ОМПК(Г)</v>
          </cell>
          <cell r="I426" t="str">
            <v>ТУ 10.13.14-140-00425283-2015</v>
          </cell>
          <cell r="J426" t="str">
            <v>Мясной продукт. Изделие колбасное сырокопченое.</v>
          </cell>
          <cell r="K426" t="str">
            <v>свинина, шпик, смесь посолочно-нитритная (соль, фиксатор окраски (нитрит натрия)), соль, перец красный, лук репчатый, семя горчичное, перец сладкий зеленый, тмин, перец черный, морковь сушеная, белок молочный, клетчатка (в т.ч. пшеничная), регулятор кислотности (пирофосфаты), желатин пищевой, экстракты пряностей, пряности, антиокислитель (изоаскорбат натрия), усилитель вкуса и аромата (глутамат натрия), ароматизаторы, краситель (кармины), стартовая культура</v>
          </cell>
          <cell r="L426">
            <v>22</v>
          </cell>
          <cell r="M426">
            <v>49</v>
          </cell>
          <cell r="O426" t="str">
            <v>529/2187</v>
          </cell>
          <cell r="P426" t="str">
            <v>0…+12</v>
          </cell>
          <cell r="Q426">
            <v>120</v>
          </cell>
        </row>
        <row r="427">
          <cell r="B427">
            <v>1001060727320</v>
          </cell>
          <cell r="C427" t="str">
            <v>ПРАЗДНИЧНАЯ с/к в/с дек.спец.мгс_М</v>
          </cell>
          <cell r="D427" t="str">
            <v>КГ</v>
          </cell>
          <cell r="E427" t="str">
            <v>Колбасные изделия</v>
          </cell>
          <cell r="F427" t="str">
            <v>С/к колбасы</v>
          </cell>
          <cell r="G427" t="str">
            <v>Останкино</v>
          </cell>
          <cell r="H427" t="str">
            <v>ОМПК(О)
ОМПК(Г)</v>
          </cell>
          <cell r="I427" t="str">
            <v>ТУ 10.13.14-140-00425283-2015</v>
          </cell>
          <cell r="J427" t="str">
            <v>Мясной продукт. Изделие колбасное сырокопченое.</v>
          </cell>
          <cell r="K427" t="str">
            <v>свинина, шпик, смесь посолочно-нитритная (соль, фиксатор окраски (нитрит натрия)), соль, перец красный, лук репчатый, семя горчичное, перец сладкий зеленый, тмин, перец черный, морковь сушеная, белок молочный, клетчатка (в т.ч. пшеничная), регулятор кислотности (пирофосфаты), желатин пищевой, экстракты пряностей, пряности, антиокислитель (изоаскорбат натрия), усилитель вкуса и аромата (глутамат натрия), ароматизаторы, краситель (кармины), стартовая культура</v>
          </cell>
          <cell r="L427">
            <v>22</v>
          </cell>
          <cell r="M427">
            <v>49</v>
          </cell>
          <cell r="O427" t="str">
            <v>529/2187</v>
          </cell>
          <cell r="P427" t="str">
            <v>0…+12</v>
          </cell>
          <cell r="Q427">
            <v>120</v>
          </cell>
        </row>
        <row r="428">
          <cell r="B428">
            <v>1001060724399</v>
          </cell>
          <cell r="C428" t="str">
            <v>ПРАЗДНИЧНАЯ с/к в/с дек.спец.мгс_Х5</v>
          </cell>
          <cell r="D428" t="str">
            <v>КГ</v>
          </cell>
          <cell r="E428" t="str">
            <v>Колбасные изделия</v>
          </cell>
          <cell r="F428" t="str">
            <v>С/к колбасы</v>
          </cell>
          <cell r="G428" t="str">
            <v>Останкино</v>
          </cell>
          <cell r="H428" t="str">
            <v>ОМПК(О)
ОМПК(Г)</v>
          </cell>
          <cell r="I428" t="str">
            <v>ТУ 10.13.14-140-00425283-2015</v>
          </cell>
          <cell r="J428" t="str">
            <v>Мясной продукт. Изделие колбасное сырокопченое.</v>
          </cell>
          <cell r="K428" t="str">
            <v>свинина, шпик, смесь посолочно-нитритная (соль, фиксатор окраски (нитрит натрия)), соль, перец красный, лук репчатый, семя горчичное, перец сладкий зеленый, тмин, перец черный, морковь сушеная, белок молочный, клетчатка (в т.ч. пшеничная), регулятор кислотности (пирофосфаты), желатин пищевой, экстракты пряностей, пряности, антиокислитель (изоаскорбат натрия), усилитель вкуса и аромата (глутамат натрия), ароматизаторы, краситель (кармины), стартовая культура</v>
          </cell>
          <cell r="L428">
            <v>22</v>
          </cell>
          <cell r="M428">
            <v>49</v>
          </cell>
          <cell r="O428" t="str">
            <v>529/2187</v>
          </cell>
          <cell r="P428" t="str">
            <v>0…+12</v>
          </cell>
          <cell r="Q428">
            <v>120</v>
          </cell>
        </row>
        <row r="429">
          <cell r="B429">
            <v>1001060726971</v>
          </cell>
          <cell r="C429" t="str">
            <v>ПРАЗДНИЧНАЯ с/к в/с дек.спец.мгс срез</v>
          </cell>
          <cell r="D429" t="str">
            <v>КГ</v>
          </cell>
          <cell r="E429" t="str">
            <v>Колбасные изделия</v>
          </cell>
          <cell r="F429" t="str">
            <v>С/к колбасы</v>
          </cell>
          <cell r="G429" t="str">
            <v>Останкино</v>
          </cell>
          <cell r="H429" t="str">
            <v>ОМПК(Г)</v>
          </cell>
          <cell r="I429" t="str">
            <v>ТУ 10.13.14-140-00425283-2015</v>
          </cell>
          <cell r="J429" t="str">
            <v>Мясной продукт. Изделие колбасное сырокопченое.</v>
          </cell>
          <cell r="K429" t="str">
            <v>свинина, шпик, смесь посолочно-нитритная (соль, фиксатор окраски (нитрит натрия)), соль, перец красный, лук репчатый, семя горчичное, перец сладкий зеленый, тмин, перец черный, морковь сушеная, белок молочный, клетчатка (в т.ч. пшеничная), регулятор кислотности (пирофосфаты), желатин пищевой, экстракты пряностей, пряности, антиокислитель (изоаскорбат натрия), усилитель вкуса и аромата (глутамат натрия), ароматизаторы, краситель (кармины), стартовая культура</v>
          </cell>
          <cell r="L429">
            <v>22</v>
          </cell>
          <cell r="M429">
            <v>49</v>
          </cell>
          <cell r="O429" t="str">
            <v>529/2187</v>
          </cell>
          <cell r="P429" t="str">
            <v>0…+6</v>
          </cell>
          <cell r="Q429">
            <v>120</v>
          </cell>
        </row>
        <row r="430">
          <cell r="B430">
            <v>1001060727318</v>
          </cell>
          <cell r="C430" t="str">
            <v>ПРАЗДНИЧНАЯ с/к в/с дек.спец. мгс 1/270</v>
          </cell>
          <cell r="D430" t="str">
            <v>ШТ</v>
          </cell>
          <cell r="E430" t="str">
            <v>Колбасные изделия</v>
          </cell>
          <cell r="F430" t="str">
            <v>С/к колбасы</v>
          </cell>
          <cell r="G430" t="str">
            <v>Останкино</v>
          </cell>
          <cell r="H430" t="str">
            <v>ОМПК(Г)</v>
          </cell>
          <cell r="I430" t="str">
            <v>ТУ 9213-140-00425283-2015</v>
          </cell>
          <cell r="J430" t="str">
            <v>Мясной продукт. Изделие колбасное сырокопченое.</v>
          </cell>
          <cell r="K430" t="str">
            <v>свинина, шпик, смесь посолочно-нитритная (соль, фиксатор окраски (нитрит натрия)), соль, перец красный, лук репчатый, семя горчичное, перец сладкий зеленый, тмин, перец черный, морковь сушеная, белок молочный, клетчатка (в т.ч. пшеничная), регулятор кислотности (пирофосфаты), желатин пищевой, экстракты пряностей, пряности, антиокислитель (изоаскорбат натрия), усилитель вкуса и аромата (глутамат натрия), ароматизаторы, краситель (кармины), стартовая культура</v>
          </cell>
          <cell r="L430">
            <v>22</v>
          </cell>
          <cell r="M430">
            <v>49</v>
          </cell>
          <cell r="O430" t="str">
            <v>529/2187</v>
          </cell>
          <cell r="P430" t="str">
            <v>0…+6</v>
          </cell>
          <cell r="Q430">
            <v>120</v>
          </cell>
        </row>
        <row r="431">
          <cell r="B431">
            <v>1001060727389</v>
          </cell>
          <cell r="C431" t="str">
            <v>Z-ПРАЗДНИЧНАЯ с/к в/с дек.сп. мгс 1/270</v>
          </cell>
          <cell r="D431" t="str">
            <v>ШТ</v>
          </cell>
          <cell r="E431" t="str">
            <v>Колбасные изделия</v>
          </cell>
          <cell r="F431" t="str">
            <v>С/к колбасы</v>
          </cell>
          <cell r="G431" t="str">
            <v>Останкино</v>
          </cell>
          <cell r="H431" t="str">
            <v>ОМПК(Г)</v>
          </cell>
          <cell r="I431" t="str">
            <v>ТУ 10.13.14-140-00425283-2015</v>
          </cell>
          <cell r="J431" t="str">
            <v>Мясной продукт. Изделие колбасное сырокопченое.</v>
          </cell>
          <cell r="K431" t="str">
            <v>свинина, шпик, смесь посолочно-нитритная (соль, фиксатор окраски (нитрит натрия)), соль, перец красный, лук репчатый, семя горчичное, перец сладкий зеленый, тмин, перец черный, морковь сушеная, белок молочный, клетчатка (в т.ч. пшеничная), регулятор кислотности (пирофосфаты), желатин пищевой, экстракты пряностей, пряности, антиокислитель (изоаскорбат натрия), усилитель вкуса и аромата (глутамат натрия), ароматизаторы, краситель (кармины), стартовая культура</v>
          </cell>
          <cell r="L431">
            <v>22</v>
          </cell>
          <cell r="M431">
            <v>49</v>
          </cell>
          <cell r="O431" t="str">
            <v>529/2187</v>
          </cell>
          <cell r="P431" t="str">
            <v>0…+6</v>
          </cell>
          <cell r="Q431">
            <v>30</v>
          </cell>
        </row>
        <row r="432">
          <cell r="B432">
            <v>1001060727316</v>
          </cell>
          <cell r="C432" t="str">
            <v>ПРАЗДНИЧНАЯ с/к в/с дек.спец. мгс 0.54кг</v>
          </cell>
          <cell r="D432" t="str">
            <v>ШТ</v>
          </cell>
          <cell r="E432" t="str">
            <v>Колбасные изделия</v>
          </cell>
          <cell r="F432" t="str">
            <v>С/к колбасы</v>
          </cell>
          <cell r="G432" t="str">
            <v>Останкино</v>
          </cell>
          <cell r="H432" t="str">
            <v>ОМПК(Г)</v>
          </cell>
          <cell r="I432" t="str">
            <v>ТУ 10.13.14-140-00425283-2015</v>
          </cell>
          <cell r="J432" t="str">
            <v>Мясной продукт. Изделие колбасное сырокопченое.</v>
          </cell>
          <cell r="K432" t="str">
            <v>свинина, шпик, смесь посолочно-нитритная (соль, фиксатор окраски (нитрит натрия)), соль, перец красный, лук репчатый, семя горчичное, перец сладкий зеленый, тмин, перец черный, морковь сушеная, белок молочный, клетчатка (в т.ч. пшеничная), регулятор кислотности (пирофосфаты), желатин пищевой, экстракты пряностей, пряности, антиокислитель (изоаскорбат натрия), усилитель вкуса и аромата (глутамат натрия), ароматизаторы, краситель (кармины), стартовая культура</v>
          </cell>
          <cell r="L432">
            <v>22</v>
          </cell>
          <cell r="M432">
            <v>49</v>
          </cell>
          <cell r="O432" t="str">
            <v>529/2187</v>
          </cell>
          <cell r="P432" t="str">
            <v>0…+12</v>
          </cell>
          <cell r="Q432">
            <v>120</v>
          </cell>
        </row>
        <row r="433">
          <cell r="B433">
            <v>1001060727388</v>
          </cell>
          <cell r="C433" t="str">
            <v>Z-ПРАЗДНИЧНАЯ с/к в/с дек.сп. мгс 0.54кг</v>
          </cell>
          <cell r="D433" t="str">
            <v>ШТ</v>
          </cell>
          <cell r="E433" t="str">
            <v>Колбасные изделия</v>
          </cell>
          <cell r="F433" t="str">
            <v>С/к колбасы</v>
          </cell>
          <cell r="G433" t="str">
            <v>Останкино</v>
          </cell>
          <cell r="H433" t="str">
            <v>ОМПК(Г)</v>
          </cell>
          <cell r="I433" t="str">
            <v>ТУ 10.13.14-140-00425283-2015</v>
          </cell>
          <cell r="J433" t="str">
            <v>Мясной продукт. Изделие колбасное сырокопченое.</v>
          </cell>
          <cell r="K433" t="str">
            <v>свинина, шпик, смесь посолочно-нитритная (соль, фиксатор окраски (нитрит натрия)), соль, перец красный, лук репчатый, семя горчичное, перец сладкий зеленый, тмин, перец черный, морковь сушеная, белок молочный, клетчатка (в т.ч. пшеничная), регулятор кислотности (пирофосфаты), желатин пищевой, экстракты пряностей, пряности, антиокислитель (изоаскорбат натрия), усилитель вкуса и аромата (глутамат натрия), ароматизаторы, краситель (кармины), стартовая культура</v>
          </cell>
          <cell r="L433">
            <v>22</v>
          </cell>
          <cell r="M433">
            <v>49</v>
          </cell>
          <cell r="O433" t="str">
            <v>529/2187</v>
          </cell>
          <cell r="P433" t="str">
            <v>0…+12</v>
          </cell>
          <cell r="Q433">
            <v>120</v>
          </cell>
        </row>
        <row r="434">
          <cell r="B434">
            <v>1001062353684</v>
          </cell>
          <cell r="C434" t="str">
            <v>ПРЕСИЖН с/к в/у 1/250 8шт.</v>
          </cell>
          <cell r="D434" t="str">
            <v>ШТ</v>
          </cell>
          <cell r="E434" t="str">
            <v>Колбасные изделия</v>
          </cell>
          <cell r="F434" t="str">
            <v>С/к колбасы</v>
          </cell>
          <cell r="G434" t="str">
            <v>Останкино</v>
          </cell>
          <cell r="H434" t="str">
            <v xml:space="preserve">ОМПК(О)
</v>
          </cell>
          <cell r="I434" t="str">
            <v>ТУ 10.13.14-181-00425283-2026</v>
          </cell>
          <cell r="J434" t="str">
            <v>Мясной продукт. Изделие колбасное сырокопченое.</v>
          </cell>
          <cell r="K434" t="str">
            <v>свинина, шпик, говядина, белок соевый, белок молочный, волокна пищевые (растительные), смесь посолочно-нитритная (соль, фиксатор окраски (нитрит натрия)), стабилизатор (пирофосфат), перец черный, имбирь, перец красный,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34">
            <v>20</v>
          </cell>
          <cell r="M434">
            <v>42</v>
          </cell>
          <cell r="N434">
            <v>5</v>
          </cell>
          <cell r="O434" t="str">
            <v>478/1979</v>
          </cell>
          <cell r="P434" t="str">
            <v>0…+6</v>
          </cell>
          <cell r="Q434">
            <v>120</v>
          </cell>
        </row>
        <row r="435">
          <cell r="B435">
            <v>1001062357519</v>
          </cell>
          <cell r="C435" t="str">
            <v>ПРЕСИЖН с/к в/у срез</v>
          </cell>
          <cell r="D435" t="str">
            <v>КГ</v>
          </cell>
          <cell r="E435" t="str">
            <v>Колбасные изделия</v>
          </cell>
          <cell r="F435" t="str">
            <v>С/к колбасы</v>
          </cell>
          <cell r="G435" t="str">
            <v>Останкино</v>
          </cell>
          <cell r="H435" t="str">
            <v xml:space="preserve">ОМПК(О)
</v>
          </cell>
          <cell r="I435" t="str">
            <v>ТУ 10.13.14-181-00425283-2026</v>
          </cell>
          <cell r="J435" t="str">
            <v>Мясной продукт. Изделие колбасное сырокопченое.</v>
          </cell>
          <cell r="K435" t="str">
            <v>свинина, шпик, говядина, белок соевый, белок молочный, волокна пищевые (растительные), смесь посолочно-нитритная (соль, фиксатор окраски (нитрит натрия)), стабилизатор (пирофосфат), перец черный, имбирь, перец красный,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35">
            <v>20</v>
          </cell>
          <cell r="M435">
            <v>42</v>
          </cell>
          <cell r="N435">
            <v>5</v>
          </cell>
          <cell r="O435" t="str">
            <v>478/1979</v>
          </cell>
          <cell r="P435" t="str">
            <v>0…+6</v>
          </cell>
          <cell r="Q435">
            <v>120</v>
          </cell>
        </row>
        <row r="436">
          <cell r="B436">
            <v>1001062355040</v>
          </cell>
          <cell r="C436" t="str">
            <v>Z-ПРЕСИЖН с/к в/у</v>
          </cell>
          <cell r="D436" t="str">
            <v>КГ</v>
          </cell>
          <cell r="E436" t="str">
            <v>Колбасные изделия</v>
          </cell>
          <cell r="F436" t="str">
            <v>С/к колбасы</v>
          </cell>
          <cell r="G436" t="str">
            <v>Останкино</v>
          </cell>
          <cell r="H436" t="str">
            <v>ОМПК(О)</v>
          </cell>
          <cell r="I436" t="str">
            <v>ТУ 10.13.14-181-00425283-2026</v>
          </cell>
          <cell r="J436" t="str">
            <v>Мясной продукт. Изделие колбасное сырокопченое.</v>
          </cell>
          <cell r="K436" t="str">
            <v>свинина, шпик, говядина, белок соевый, белок молочный, волокна пищевые (растительные), смесь посолочно-нитритная (соль, фиксатор окраски (нитрит натрия)), стабилизатор (пирофосфат), перец черный, имбирь, перец красный,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36">
            <v>20</v>
          </cell>
          <cell r="M436">
            <v>42</v>
          </cell>
          <cell r="N436">
            <v>5</v>
          </cell>
          <cell r="O436" t="str">
            <v>478/1979</v>
          </cell>
          <cell r="P436" t="str">
            <v>0…+12</v>
          </cell>
          <cell r="Q436">
            <v>120</v>
          </cell>
        </row>
        <row r="437">
          <cell r="B437">
            <v>1001062356572</v>
          </cell>
          <cell r="C437" t="str">
            <v>Z-ПРЕСИЖН с/к в/у 1/250</v>
          </cell>
          <cell r="D437" t="str">
            <v>ШТ</v>
          </cell>
          <cell r="E437" t="str">
            <v>Колбасные изделия</v>
          </cell>
          <cell r="F437" t="str">
            <v>С/к колбасы</v>
          </cell>
          <cell r="G437" t="str">
            <v>Останкино</v>
          </cell>
          <cell r="H437" t="str">
            <v>ОМПК(О)
ОМПК(Г)</v>
          </cell>
          <cell r="I437" t="str">
            <v>ТУ 10.13.14-181-00425283-2026</v>
          </cell>
          <cell r="J437" t="str">
            <v>Мясной продукт. Изделие колбасное сырокопченое.</v>
          </cell>
          <cell r="K437" t="str">
            <v>свинина, шпик, говядина, белок соевый, белок молочный, волокна пищевые (растительные), смесь посолочно-нитритная (соль, фиксатор окраски (нитрит натрия)), стабилизатор (пирофосфат), перец черный, имбирь, перец красный,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37">
            <v>20</v>
          </cell>
          <cell r="M437">
            <v>42</v>
          </cell>
          <cell r="N437">
            <v>5</v>
          </cell>
          <cell r="O437" t="str">
            <v>478/1979</v>
          </cell>
          <cell r="P437" t="str">
            <v>0…+6</v>
          </cell>
          <cell r="Q437">
            <v>120</v>
          </cell>
        </row>
        <row r="438">
          <cell r="B438">
            <v>1001062353679</v>
          </cell>
          <cell r="C438" t="str">
            <v>ПРЕСИЖН с/к в/у</v>
          </cell>
          <cell r="D438" t="str">
            <v>КГ</v>
          </cell>
          <cell r="E438" t="str">
            <v>Колбасные изделия</v>
          </cell>
          <cell r="F438" t="str">
            <v>С/к колбасы</v>
          </cell>
          <cell r="G438" t="str">
            <v>Останкино</v>
          </cell>
          <cell r="H438" t="str">
            <v>ОМПК(О)</v>
          </cell>
          <cell r="I438" t="str">
            <v>ТУ 10.13.14-181-00425283-2026</v>
          </cell>
          <cell r="J438" t="str">
            <v>Мясной продукт. Изделие колбасное сырокопченое.</v>
          </cell>
          <cell r="K438" t="str">
            <v>свинина, шпик, говядина, белок соевый, белок молочный, волокна пищевые (растительные), смесь посолочно-нитритная (соль, фиксатор окраски (нитрит натрия)), стабилизатор (пирофосфат), перец черный, имбирь, перец красный,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38">
            <v>20</v>
          </cell>
          <cell r="M438">
            <v>42</v>
          </cell>
          <cell r="N438">
            <v>5</v>
          </cell>
          <cell r="O438" t="str">
            <v>478/1979</v>
          </cell>
          <cell r="P438" t="str">
            <v>0…+12</v>
          </cell>
          <cell r="Q438">
            <v>120</v>
          </cell>
        </row>
        <row r="439">
          <cell r="B439">
            <v>1001062355996</v>
          </cell>
          <cell r="C439" t="str">
            <v>ПРЕСИЖН с/к в/у_О</v>
          </cell>
          <cell r="D439" t="str">
            <v>КГ</v>
          </cell>
          <cell r="E439" t="str">
            <v>Колбасные изделия</v>
          </cell>
          <cell r="F439" t="str">
            <v>С/к колбасы</v>
          </cell>
          <cell r="G439" t="str">
            <v>Останкино</v>
          </cell>
          <cell r="H439" t="str">
            <v>ОМПК(О)</v>
          </cell>
          <cell r="I439" t="str">
            <v>ТУ 10.13.14-181-00425283-2026</v>
          </cell>
          <cell r="J439" t="str">
            <v>Мясной продукт. Изделие колбасное сырокопченое.</v>
          </cell>
          <cell r="K439" t="str">
            <v>свинина, шпик, говядина, белок соевый, белок молочный, волокна пищевые (растительные), смесь посолочно-нитритная (соль, фиксатор окраски (нитрит натрия)), стабилизатор (пирофосфат), перец черный, имбирь, перец красный,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39">
            <v>20</v>
          </cell>
          <cell r="M439">
            <v>42</v>
          </cell>
          <cell r="N439">
            <v>5</v>
          </cell>
          <cell r="O439" t="str">
            <v>478/1979</v>
          </cell>
          <cell r="P439" t="str">
            <v>0…+12</v>
          </cell>
          <cell r="Q439">
            <v>120</v>
          </cell>
        </row>
        <row r="440">
          <cell r="B440">
            <v>1001062353680</v>
          </cell>
          <cell r="C440" t="str">
            <v>ПРЕСИЖН с/к дек.спец.мгс</v>
          </cell>
          <cell r="D440" t="str">
            <v>КГ</v>
          </cell>
          <cell r="E440" t="str">
            <v>Колбасные изделия</v>
          </cell>
          <cell r="F440" t="str">
            <v>С/к колбасы</v>
          </cell>
          <cell r="G440" t="str">
            <v>Останкино</v>
          </cell>
          <cell r="H440" t="str">
            <v>ОМПК(О)
ОМПК(Г)</v>
          </cell>
          <cell r="I440" t="str">
            <v>ТУ 10.13.14-140-00425283-2015</v>
          </cell>
          <cell r="J440" t="str">
            <v>Мясной продукт. Изделие колбасное сырокопченое.</v>
          </cell>
          <cell r="K440" t="str">
            <v>свинина, шпик, белок соевый, говядина, филе грудки куриной, смесь посолочно-нитритная (соль, фиксатор окраски (нитрит натрия)), белок молочный, клетчатка (в т.ч. пшеничная), соль, регуляторы кислотности (пирофосфаты), перец красный сушеный, лук репчатый сушеный, семя горчичное, перец сладкий зеленый сушеный, тмин, перец черный, морковь сушеная, экстракты пряностей, сахара, желатин пищевой, антиокислитель (изоаскорбат натрия), усилитель вкуса и аромата (глутамат натрия), ароматизатор, гемоглобин, краситель (кармины), стартовая культура</v>
          </cell>
          <cell r="L440">
            <v>13</v>
          </cell>
          <cell r="M440">
            <v>35</v>
          </cell>
          <cell r="N440">
            <v>5</v>
          </cell>
          <cell r="O440" t="str">
            <v>387/1601</v>
          </cell>
          <cell r="P440" t="str">
            <v>0…+12</v>
          </cell>
          <cell r="Q440">
            <v>120</v>
          </cell>
        </row>
        <row r="441">
          <cell r="B441">
            <v>1001062353691</v>
          </cell>
          <cell r="C441" t="str">
            <v>ПРЕСИЖН с/к дек.спец.мгс_А-Т</v>
          </cell>
          <cell r="D441" t="str">
            <v>КГ</v>
          </cell>
          <cell r="E441" t="str">
            <v>Колбасные изделия</v>
          </cell>
          <cell r="F441" t="str">
            <v>С/к колбасы</v>
          </cell>
          <cell r="G441" t="str">
            <v>Останкино</v>
          </cell>
          <cell r="H441" t="str">
            <v>ОМПК(О)
ОМПК(Г)</v>
          </cell>
          <cell r="I441" t="str">
            <v>ТУ 10.13.14-140-00425283-2015</v>
          </cell>
          <cell r="J441" t="str">
            <v>Мясной продукт. Изделие колбасное сырокопченое.</v>
          </cell>
          <cell r="K441" t="str">
            <v>свинина, шпик, белок соевый, говядина, филе грудки куриной, смесь посолочно-нитритная (соль, фиксатор окраски (нитрит натрия)), белок молочный, клетчатка (в т.ч. пшеничная), соль, регуляторы кислотности (пирофосфаты), перец красный сушеный, лук репчатый сушеный, семя горчичное, перец сладкий зеленый сушеный, тмин, перец черный, морковь сушеная, экстракты пряностей, сахара, желатин пищевой, антиокислитель (изоаскорбат натрия), усилитель вкуса и аромата (глутамат натрия), ароматизатор, гемоглобин, краситель (кармины), стартовая культура</v>
          </cell>
          <cell r="L441">
            <v>13</v>
          </cell>
          <cell r="M441">
            <v>35</v>
          </cell>
          <cell r="N441">
            <v>5</v>
          </cell>
          <cell r="O441" t="str">
            <v>387/1601</v>
          </cell>
          <cell r="P441" t="str">
            <v>0…+12</v>
          </cell>
          <cell r="Q441">
            <v>120</v>
          </cell>
        </row>
        <row r="442">
          <cell r="B442">
            <v>1001062353692</v>
          </cell>
          <cell r="C442" t="str">
            <v>ПРЕСИЖН с/к дек.спец.мгс_О</v>
          </cell>
          <cell r="D442" t="str">
            <v>КГ</v>
          </cell>
          <cell r="E442" t="str">
            <v>Колбасные изделия</v>
          </cell>
          <cell r="F442" t="str">
            <v>С/к колбасы</v>
          </cell>
          <cell r="G442" t="str">
            <v>Останкино</v>
          </cell>
          <cell r="H442" t="str">
            <v>ОМПК(О)
ОМПК(Г)</v>
          </cell>
          <cell r="I442" t="str">
            <v>ТУ 10.13.14-140-00425283-2015</v>
          </cell>
          <cell r="J442" t="str">
            <v>Мясной продукт. Изделие колбасное сырокопченое.</v>
          </cell>
          <cell r="K442" t="str">
            <v>свинина, шпик, белок соевый, говядина, филе грудки куриной, смесь посолочно-нитритная (соль, фиксатор окраски (нитрит натрия)), белок молочный, клетчатка (в т.ч. пшеничная), соль, регуляторы кислотности (пирофосфаты), перец красный сушеный, лук репчатый сушеный, семя горчичное, перец сладкий зеленый сушеный, тмин, перец черный, морковь сушеная, экстракты пряностей, сахара, желатин пищевой, антиокислитель (изоаскорбат натрия), усилитель вкуса и аромата (глутамат натрия), ароматизатор, гемоглобин, краситель (кармины), стартовая культура</v>
          </cell>
          <cell r="L442">
            <v>13</v>
          </cell>
          <cell r="M442">
            <v>35</v>
          </cell>
          <cell r="N442">
            <v>5</v>
          </cell>
          <cell r="O442" t="str">
            <v>387/1601</v>
          </cell>
          <cell r="P442" t="str">
            <v>0…+12</v>
          </cell>
          <cell r="Q442">
            <v>120</v>
          </cell>
        </row>
        <row r="443">
          <cell r="B443">
            <v>1001066567317</v>
          </cell>
          <cell r="C443" t="str">
            <v>ПРЕСИЖН с/к дек.спец. мгс 0.54кг</v>
          </cell>
          <cell r="D443" t="str">
            <v>ШТ</v>
          </cell>
          <cell r="E443" t="str">
            <v>Колбасные изделия</v>
          </cell>
          <cell r="F443" t="str">
            <v>С/к колбасы</v>
          </cell>
          <cell r="G443" t="str">
            <v>Останкино</v>
          </cell>
          <cell r="H443" t="str">
            <v>ОМПК(О)
ОМПК(Г)</v>
          </cell>
          <cell r="I443" t="str">
            <v>ТУ 10.13.14-140-00425283-2015</v>
          </cell>
          <cell r="J443" t="str">
            <v>Мясной продукт. Изделие колбасное сырокопченое.</v>
          </cell>
          <cell r="K443" t="str">
            <v>свинина, шпик, белок соевый, говядина, филе грудки куриной, смесь посолочно-нитритная (соль, фиксатор окраски (нитрит натрия)), белок молочный, клетчатка (в т.ч. пшеничная), соль, регуляторы кислотности (пирофосфаты), перец красный сушеный, лук репчатый сушеный, семя горчичное, перец сладкий зеленый сушеный, тмин, перец черный, морковь сушеная, экстракты пряностей, сахара, желатин пищевой, антиокислитель (изоаскорбат натрия), усилитель вкуса и аромата (глутамат натрия), ароматизатор, гемоглобин, краситель (кармины), стартовая культура</v>
          </cell>
          <cell r="L443">
            <v>13</v>
          </cell>
          <cell r="M443">
            <v>35</v>
          </cell>
          <cell r="N443">
            <v>5</v>
          </cell>
          <cell r="O443" t="str">
            <v>387/1601</v>
          </cell>
          <cell r="P443" t="str">
            <v>0…+12</v>
          </cell>
          <cell r="Q443">
            <v>120</v>
          </cell>
        </row>
        <row r="444">
          <cell r="B444">
            <v>1001066567537</v>
          </cell>
          <cell r="C444" t="str">
            <v>Z-ПРЕСИЖН с/к дек.спец. мгс 0.54кг</v>
          </cell>
          <cell r="D444" t="str">
            <v>ШТ</v>
          </cell>
          <cell r="E444" t="str">
            <v>Колбасные изделия</v>
          </cell>
          <cell r="F444" t="str">
            <v>С/к колбасы</v>
          </cell>
          <cell r="G444" t="str">
            <v>Останкино</v>
          </cell>
          <cell r="H444" t="str">
            <v>ОМПК(О)
ОМПК(Г)</v>
          </cell>
          <cell r="I444" t="str">
            <v>ТУ 10.13.14-140-00425283-2015</v>
          </cell>
          <cell r="J444" t="str">
            <v>Мясной продукт. Изделие колбасное сырокопченое.</v>
          </cell>
          <cell r="K444" t="str">
            <v>свинина, шпик, белок соевый, говядина, филе грудки куриной, смесь посолочно-нитритная (соль, фиксатор окраски (нитрит натрия)), белок молочный, клетчатка (в т.ч. пшеничная), соль, регуляторы кислотности (пирофосфаты), перец красный сушеный, лук репчатый сушеный, семя горчичное, перец сладкий зеленый сушеный, тмин, перец черный, морковь сушеная, экстракты пряностей, сахара, желатин пищевой, антиокислитель (изоаскорбат натрия), усилитель вкуса и аромата (глутамат натрия), ароматизатор, гемоглобин, краситель (кармины), стартовая культура</v>
          </cell>
          <cell r="L444">
            <v>13</v>
          </cell>
          <cell r="M444">
            <v>35</v>
          </cell>
          <cell r="N444">
            <v>5</v>
          </cell>
          <cell r="O444" t="str">
            <v>387/1601</v>
          </cell>
          <cell r="P444" t="str">
            <v>0…+12</v>
          </cell>
          <cell r="Q444">
            <v>30</v>
          </cell>
        </row>
        <row r="445">
          <cell r="B445">
            <v>1001060746507</v>
          </cell>
          <cell r="C445" t="str">
            <v>ПРЕСТИЖ с/к в/у 1/250 16шт.</v>
          </cell>
          <cell r="D445" t="str">
            <v>ШТ</v>
          </cell>
          <cell r="E445" t="str">
            <v>Колбасные изделия</v>
          </cell>
          <cell r="F445" t="str">
            <v>С/к колбасы</v>
          </cell>
          <cell r="G445" t="str">
            <v>Останкино</v>
          </cell>
          <cell r="H445" t="str">
            <v>ОМПК(О)
ОМПК(Г)</v>
          </cell>
          <cell r="I445" t="str">
            <v>ТУ 10.13.14-140-00425283-2015</v>
          </cell>
          <cell r="J445" t="str">
            <v>Мясной продукт. Изделие колбасное сырокопченое.</v>
          </cell>
          <cell r="K445" t="str">
            <v>свинина, шпик, белок соевый, говядина, филе грудок куриных, белок молочный, клетчатка (в т.ч. пшеничная), смесь посолочно-нитритная (соль, фиксатор окраски (нитрит натрия), регулятор кислотности (пирофосфаты), экстракты пряностей, соль, сахара, антиокислитель (изоаскорбат натрия), усилитель вкуса и аромата (глутамат натрия), гемоглобин, ароматизатор, краситель (кармины), стартовая культура</v>
          </cell>
          <cell r="L445">
            <v>13</v>
          </cell>
          <cell r="M445">
            <v>35</v>
          </cell>
          <cell r="N445">
            <v>2</v>
          </cell>
          <cell r="O445" t="str">
            <v>375/1550</v>
          </cell>
          <cell r="P445" t="str">
            <v>0…+6</v>
          </cell>
          <cell r="Q445">
            <v>120</v>
          </cell>
        </row>
        <row r="446">
          <cell r="B446">
            <v>1001063237147</v>
          </cell>
          <cell r="C446" t="str">
            <v>САЛЬЧИЧОН Останкино с/к в/у 1/220 8шт.</v>
          </cell>
          <cell r="D446" t="str">
            <v>ШТ</v>
          </cell>
          <cell r="E446" t="str">
            <v>Колбасные изделия</v>
          </cell>
          <cell r="F446" t="str">
            <v>С/к колбасы</v>
          </cell>
          <cell r="G446" t="str">
            <v>Останкино</v>
          </cell>
          <cell r="H446" t="str">
            <v>ОМПК(Г)</v>
          </cell>
          <cell r="I446" t="str">
            <v>ТУ 10.13.14-173-00425283-2024</v>
          </cell>
          <cell r="J446" t="str">
            <v>Мясной продукт. Изделие колбасное сырокопченое.</v>
          </cell>
          <cell r="K446" t="str">
            <v>свинина, шпик, смесь посолочно-нитритная (соль, фиксатор окраски (нитрит натрия)), волокна пищевые (в т.ч. пшеничные), регуляторы кислотности (глюконо-дельта-лактон, пирофосфаты, цитраты натрия), сахара, лактоза, соль, пряности и экстракты пряностей (в т.ч. горчица), антиокислители (аскорбиновая кислота, экстракты розмарина, изоаскорбат натрия), усилитель вкуса и аромата (глутамат натрия), ароматизаторы</v>
          </cell>
          <cell r="L446">
            <v>23</v>
          </cell>
          <cell r="M446">
            <v>41</v>
          </cell>
          <cell r="N446">
            <v>2</v>
          </cell>
          <cell r="O446" t="str">
            <v>469/1942</v>
          </cell>
          <cell r="P446" t="str">
            <v>0…+6</v>
          </cell>
          <cell r="Q446">
            <v>120</v>
          </cell>
        </row>
        <row r="447">
          <cell r="B447">
            <v>1001063237465</v>
          </cell>
          <cell r="C447" t="str">
            <v>САЛЬЧИЧОН Останкино с/к в/у 1/220_СНГ</v>
          </cell>
          <cell r="D447" t="str">
            <v>ШТ</v>
          </cell>
          <cell r="E447" t="str">
            <v>Колбасные изделия</v>
          </cell>
          <cell r="F447" t="str">
            <v>С/к колбасы</v>
          </cell>
          <cell r="G447" t="str">
            <v>Останкино</v>
          </cell>
          <cell r="H447" t="str">
            <v>ОМПК(Г)</v>
          </cell>
          <cell r="I447" t="str">
            <v>ТУ 10.13.14-173-00425283-2024</v>
          </cell>
          <cell r="J447" t="str">
            <v>Мясной продукт. Изделие колбасное сырокопченое.</v>
          </cell>
          <cell r="K447" t="str">
            <v>свинина, шпик, смесь посолочно-нитритная (соль, фиксатор окраски (нитрит натрия)), волокна пищевые (в т.ч. пшеничные), регуляторы кислотности (глюконо-дельта-лактон, пирофосфаты, цитраты натрия), сахара, лактоза, соль, пряности и экстракты пряностей (в т.ч. горчица), антиокислители (аскорбиновая кислота, экстракты розмарина, изоаскорбат натрия), усилитель вкуса и аромата (глутамат натрия), ароматизаторы</v>
          </cell>
          <cell r="L447">
            <v>23</v>
          </cell>
          <cell r="M447">
            <v>41</v>
          </cell>
          <cell r="N447">
            <v>2</v>
          </cell>
          <cell r="O447" t="str">
            <v>469/1942</v>
          </cell>
          <cell r="P447" t="str">
            <v>0…+6</v>
          </cell>
          <cell r="Q447">
            <v>120</v>
          </cell>
        </row>
        <row r="448">
          <cell r="B448">
            <v>1001063237324</v>
          </cell>
          <cell r="C448" t="str">
            <v>Z-САЛЬЧИЧОН Останкино с/к в/у 0.44кг</v>
          </cell>
          <cell r="D448" t="str">
            <v>КГ</v>
          </cell>
          <cell r="E448" t="str">
            <v>Колбасные изделия</v>
          </cell>
          <cell r="F448" t="str">
            <v>С/к колбасы</v>
          </cell>
          <cell r="G448" t="str">
            <v>Останкино</v>
          </cell>
          <cell r="H448" t="str">
            <v>ОМПК(Г)</v>
          </cell>
          <cell r="I448" t="str">
            <v>ТУ 10.13.14-173-00425283-2024</v>
          </cell>
          <cell r="J448" t="str">
            <v>Мясной продукт. Изделие колбасное сырокопченое.</v>
          </cell>
          <cell r="K448" t="str">
            <v>свинина, шпик, смесь посолочно-нитритная (соль, фиксатор окраски (нитрит натрия)), волокна пищевые (в т.ч. пшеничные), регуляторы кислотности (глюконо-дельта-лактон, пирофосфаты, цитраты натрия), сахара, лактоза, соль, пряности и экстракты пряностей (в т.ч. горчица), антиокислители (аскорбиновая кислота, экстракты розмарина, изоаскорбат натрия), усилитель вкуса и аромата (глутамат натрия), ароматизаторы</v>
          </cell>
          <cell r="L448">
            <v>23</v>
          </cell>
          <cell r="M448">
            <v>41</v>
          </cell>
          <cell r="N448">
            <v>2</v>
          </cell>
          <cell r="O448" t="str">
            <v>469/1942</v>
          </cell>
          <cell r="P448" t="str">
            <v>0…+12</v>
          </cell>
          <cell r="Q448">
            <v>120</v>
          </cell>
        </row>
        <row r="449">
          <cell r="B449">
            <v>1001307147417</v>
          </cell>
          <cell r="C449" t="str">
            <v>АССОРТИ САЛЬЧИЧОН И ЧОРИЗО с/к в/у 1/440</v>
          </cell>
          <cell r="D449" t="str">
            <v>ШТ</v>
          </cell>
          <cell r="E449" t="str">
            <v>Колбасные изделия</v>
          </cell>
          <cell r="F449" t="str">
            <v>С/к колбасы</v>
          </cell>
          <cell r="G449" t="str">
            <v>Останкино</v>
          </cell>
          <cell r="H449" t="str">
            <v>ОМПК(Г)</v>
          </cell>
          <cell r="I449" t="str">
            <v>ТУ 10.13.14-174-00425283-2024</v>
          </cell>
          <cell r="J449" t="str">
            <v>Мясной продукт. Изделие колбасное сырокопченое.</v>
          </cell>
          <cell r="K449" t="str">
            <v>САЛЬЧИЧОН: свинина, шпик, смесь посолочно-нитритная (соль, фиксатор окраски (нитрит натрия)), волокна пищевые (в т.ч. пшеничные), регуляторы кислотности (глюконо-дельта-лактон, пирофосфаты, цитраты натрия), сахара, лактоза, соль, пряности и экстракты пряностей (в т.ч. горчица), антиокислители (аскорбиновая кислота, экстракты розмарина, изоаскорбат натрия), усилитель вкуса и аромата (глутамат натрия), ароматизаторы. 
ЧОРИЗО: свинина, белок животный (говяжий), смесь посолочно-нитритная (соль, фиксатор окраски (нитрит натрия)), соль, пищевые волокна, регуляторы кислотности (цитраты натрия, глюконо-дельта-лактон), специи, экстракты специй, сахара, антиокислители (аскорбат натрия, лимонная кислота, изоаскорбат натрия, аскорбиновая кислота, экстракты розмарина), масло рапсовое рафинированное дезодорированное, усилитель вкуса и аромата (глутамат натрия), ароматизатор, краситель (кармины).</v>
          </cell>
          <cell r="L449" t="str">
            <v>23
12</v>
          </cell>
          <cell r="M449" t="str">
            <v>41
26</v>
          </cell>
          <cell r="N449" t="str">
            <v>2
2</v>
          </cell>
          <cell r="O449" t="str">
            <v>469/1942
290/1200</v>
          </cell>
          <cell r="P449" t="str">
            <v>0…+6</v>
          </cell>
          <cell r="Q449">
            <v>90</v>
          </cell>
        </row>
        <row r="450">
          <cell r="B450">
            <v>1001066857339</v>
          </cell>
          <cell r="C450" t="str">
            <v>САЛЯМИ ДАТСКАЯ ПМ с/к в/у 1/250_Kvalita</v>
          </cell>
          <cell r="D450" t="str">
            <v>ШТ</v>
          </cell>
          <cell r="E450" t="str">
            <v>Колбасные изделия</v>
          </cell>
          <cell r="F450" t="str">
            <v>С/к колбасы</v>
          </cell>
          <cell r="G450" t="str">
            <v>Папа может</v>
          </cell>
          <cell r="H450" t="str">
            <v>ОМПК(О)</v>
          </cell>
          <cell r="I450" t="str">
            <v>ТУ 10.13.14-181-00425283-2026</v>
          </cell>
          <cell r="J450" t="str">
            <v>Мясной продукт. Изделие колбасное сырокопченое.</v>
          </cell>
          <cell r="K450" t="str">
            <v>свинина, шпик, говядина, вода питьевая, белок соевый, белок молочный, смесь посолочно-нитритная (соль, фиксатор окраски (нитрит натрия)), перец черный, чеснок сушеный молотый, мускатный орех, перец белый, имбирь, кардамон, можжевельник, экстракты специй, волокна пищевые (растительные), сахара, антиокислители (изоаскорбат натрия, аскорбиновая кислота), усилитель вкуса и аромата (глутамат натрия 1-замещенный), гемоглобин, краситель (кармины), стартовая культура</v>
          </cell>
          <cell r="L450">
            <v>17</v>
          </cell>
          <cell r="M450">
            <v>41</v>
          </cell>
          <cell r="N450">
            <v>7</v>
          </cell>
          <cell r="O450" t="str">
            <v>465/1925</v>
          </cell>
          <cell r="P450" t="str">
            <v>0…+6</v>
          </cell>
          <cell r="Q450">
            <v>120</v>
          </cell>
        </row>
        <row r="451">
          <cell r="B451">
            <v>1001060763287</v>
          </cell>
          <cell r="C451" t="str">
            <v>САЛЯМИ ИТАЛЬЯНСКАЯ с/к в/у</v>
          </cell>
          <cell r="D451" t="str">
            <v>КГ</v>
          </cell>
          <cell r="E451" t="str">
            <v>Колбасные изделия</v>
          </cell>
          <cell r="F451" t="str">
            <v>С/к колбасы</v>
          </cell>
          <cell r="G451" t="str">
            <v>Останкино</v>
          </cell>
          <cell r="H451" t="str">
            <v>ОМПК(О)</v>
          </cell>
          <cell r="I451" t="str">
            <v>ТУ 10.13.14-181-00425283-2026</v>
          </cell>
          <cell r="J451" t="str">
            <v>Мясной продукт. Изделие колбасное сырокопченое.</v>
          </cell>
          <cell r="K451"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51">
            <v>18</v>
          </cell>
          <cell r="M451">
            <v>42</v>
          </cell>
          <cell r="N451">
            <v>5</v>
          </cell>
          <cell r="O451" t="str">
            <v>470/1945</v>
          </cell>
          <cell r="P451" t="str">
            <v>0…+12</v>
          </cell>
          <cell r="Q451">
            <v>120</v>
          </cell>
        </row>
        <row r="452">
          <cell r="B452">
            <v>1001060764993</v>
          </cell>
          <cell r="C452" t="str">
            <v>САЛЯМИ ИТАЛЬЯНСКАЯ с/к в/у 1/250*8_120с</v>
          </cell>
          <cell r="D452" t="str">
            <v>ШТ</v>
          </cell>
          <cell r="E452" t="str">
            <v>Колбасные изделия</v>
          </cell>
          <cell r="F452" t="str">
            <v>С/к колбасы</v>
          </cell>
          <cell r="G452" t="str">
            <v>Останкино</v>
          </cell>
          <cell r="H452" t="str">
            <v>ОМПК(О)</v>
          </cell>
          <cell r="I452" t="str">
            <v>ТУ 10.13.14-181-00425283-2026</v>
          </cell>
          <cell r="J452" t="str">
            <v>Мясной продукт. Изделие колбасное сырокопченое.</v>
          </cell>
          <cell r="K452"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52">
            <v>18</v>
          </cell>
          <cell r="M452">
            <v>42</v>
          </cell>
          <cell r="N452">
            <v>5</v>
          </cell>
          <cell r="O452" t="str">
            <v>470/1945</v>
          </cell>
          <cell r="P452" t="str">
            <v>0…+6</v>
          </cell>
          <cell r="Q452">
            <v>120</v>
          </cell>
        </row>
        <row r="453">
          <cell r="B453">
            <v>1001060765178</v>
          </cell>
          <cell r="C453" t="str">
            <v>САЛЯМИ ИТАЛЬЯНСКАЯ с/к в/у 1/250 8шт_СНГ</v>
          </cell>
          <cell r="D453" t="str">
            <v>ШТ</v>
          </cell>
          <cell r="E453" t="str">
            <v>Колбасные изделия</v>
          </cell>
          <cell r="F453" t="str">
            <v>С/к колбасы</v>
          </cell>
          <cell r="G453" t="str">
            <v>Останкино</v>
          </cell>
          <cell r="H453" t="str">
            <v>ОМПК(О)</v>
          </cell>
          <cell r="I453" t="str">
            <v>ТУ 10.13.14-181-00425283-2026</v>
          </cell>
          <cell r="J453" t="str">
            <v>Мясной продукт. Изделие колбасное сырокопченое.</v>
          </cell>
          <cell r="K453"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53">
            <v>18</v>
          </cell>
          <cell r="M453">
            <v>42</v>
          </cell>
          <cell r="N453">
            <v>5</v>
          </cell>
          <cell r="O453" t="str">
            <v>470/1945</v>
          </cell>
          <cell r="P453" t="str">
            <v>0…+6</v>
          </cell>
          <cell r="Q453">
            <v>120</v>
          </cell>
        </row>
        <row r="454">
          <cell r="B454">
            <v>1001060765861</v>
          </cell>
          <cell r="C454" t="str">
            <v>Z-САЛЯМИ ИТАЛЬЯНСКАЯ с/к в/у 1/250</v>
          </cell>
          <cell r="D454" t="str">
            <v>ШТ</v>
          </cell>
          <cell r="E454" t="str">
            <v>Колбасные изделия</v>
          </cell>
          <cell r="F454" t="str">
            <v>С/к колбасы</v>
          </cell>
          <cell r="G454" t="str">
            <v>Останкино</v>
          </cell>
          <cell r="H454" t="str">
            <v>ОМПК(О)</v>
          </cell>
          <cell r="I454" t="str">
            <v>ТУ 10.13.14-181-00425283-2026</v>
          </cell>
          <cell r="J454" t="str">
            <v>Мясной продукт. Изделие колбасное сырокопченое.</v>
          </cell>
          <cell r="K454"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54">
            <v>18</v>
          </cell>
          <cell r="M454">
            <v>42</v>
          </cell>
          <cell r="N454">
            <v>5</v>
          </cell>
          <cell r="O454" t="str">
            <v>470/1945</v>
          </cell>
          <cell r="P454" t="str">
            <v>0…+6</v>
          </cell>
          <cell r="Q454">
            <v>120</v>
          </cell>
        </row>
        <row r="455">
          <cell r="B455">
            <v>1001060765911</v>
          </cell>
          <cell r="C455" t="str">
            <v>Z-САЛЯМИ ИТАЛЬЯН. с/к в/у (для нарезки)</v>
          </cell>
          <cell r="D455" t="str">
            <v>КГ</v>
          </cell>
          <cell r="E455" t="str">
            <v>Колбасные изделия</v>
          </cell>
          <cell r="F455" t="str">
            <v>С/к колбасы</v>
          </cell>
          <cell r="G455" t="str">
            <v>Останкино</v>
          </cell>
          <cell r="H455" t="str">
            <v>ОМПК(О)
Малаховский МК</v>
          </cell>
          <cell r="I455" t="str">
            <v>ТУ 9213-140-00425283-2015</v>
          </cell>
          <cell r="J455" t="str">
            <v>Мясной продукт. Изделие колбасное сырокопченое.</v>
          </cell>
          <cell r="K455" t="str">
            <v>свинина, шпик, соевый белок, смесь посолочно-нитритная (соль, фиксатор окраски нитрит натрия), соль, молочный белок, регулятор кислотности глюконо-дельта-лактон, растительная клетчатка (в т.ч. пшеничная), пряности, сахар, ароматизаторы, антиокислитель изоаскорбат натрия, усилитель вкуса и аромата глутамат натрия, красители: кармины, красный рисовый; стартовая культура</v>
          </cell>
          <cell r="L455">
            <v>16</v>
          </cell>
          <cell r="M455">
            <v>50</v>
          </cell>
          <cell r="O455" t="str">
            <v>514/2123</v>
          </cell>
          <cell r="P455" t="str">
            <v>0…+12</v>
          </cell>
          <cell r="Q455">
            <v>120</v>
          </cell>
        </row>
        <row r="456">
          <cell r="B456">
            <v>1001060767373</v>
          </cell>
          <cell r="C456" t="str">
            <v>САЛЯМИ ИТАЛЬЯНСКАЯ с/к в/у_Ашан</v>
          </cell>
          <cell r="D456" t="str">
            <v>КГ</v>
          </cell>
          <cell r="E456" t="str">
            <v>Колбасные изделия</v>
          </cell>
          <cell r="F456" t="str">
            <v>С/к колбасы</v>
          </cell>
          <cell r="G456" t="str">
            <v>Останкино</v>
          </cell>
          <cell r="H456" t="str">
            <v>ОМПК(О)</v>
          </cell>
          <cell r="I456" t="str">
            <v>ТУ 10.13.14-181-00425283-2026</v>
          </cell>
          <cell r="J456" t="str">
            <v>Мясной продукт. Изделие колбасное сырокопченое.</v>
          </cell>
          <cell r="K456"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56">
            <v>18</v>
          </cell>
          <cell r="M456">
            <v>42</v>
          </cell>
          <cell r="N456">
            <v>5</v>
          </cell>
          <cell r="O456" t="str">
            <v>470/1945</v>
          </cell>
          <cell r="P456" t="str">
            <v>0…+12</v>
          </cell>
          <cell r="Q456">
            <v>120</v>
          </cell>
        </row>
        <row r="457">
          <cell r="B457">
            <v>1001060766187</v>
          </cell>
          <cell r="C457" t="str">
            <v>САЛЯМИ ИТАЛЬЯНСКАЯ с/к в/у_Глобус</v>
          </cell>
          <cell r="D457" t="str">
            <v>КГ</v>
          </cell>
          <cell r="E457" t="str">
            <v>Колбасные изделия</v>
          </cell>
          <cell r="F457" t="str">
            <v>С/к колбасы</v>
          </cell>
          <cell r="G457" t="str">
            <v>Останкино</v>
          </cell>
          <cell r="H457" t="str">
            <v>ОМПК(О)</v>
          </cell>
          <cell r="I457" t="str">
            <v>ТУ 10.13.14-181-00425283-2026</v>
          </cell>
          <cell r="J457" t="str">
            <v>Мясной продукт. Изделие колбасное сырокопченое.</v>
          </cell>
          <cell r="K457"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57">
            <v>18</v>
          </cell>
          <cell r="M457">
            <v>42</v>
          </cell>
          <cell r="N457">
            <v>5</v>
          </cell>
          <cell r="O457" t="str">
            <v>470/1945</v>
          </cell>
          <cell r="P457" t="str">
            <v>0…+12</v>
          </cell>
          <cell r="Q457">
            <v>120</v>
          </cell>
        </row>
        <row r="458">
          <cell r="B458">
            <v>1001060764082</v>
          </cell>
          <cell r="C458" t="str">
            <v>САЛЯМИ ИТАЛЬЯНСКАЯ с/к в/у_Метро</v>
          </cell>
          <cell r="D458" t="str">
            <v>КГ</v>
          </cell>
          <cell r="E458" t="str">
            <v>Колбасные изделия</v>
          </cell>
          <cell r="F458" t="str">
            <v>С/к колбасы</v>
          </cell>
          <cell r="G458" t="str">
            <v>Останкино</v>
          </cell>
          <cell r="H458" t="str">
            <v>ОМПК(О)</v>
          </cell>
          <cell r="I458" t="str">
            <v>ТУ 10.13.14-181-00425283-2026</v>
          </cell>
          <cell r="J458" t="str">
            <v>Мясной продукт. Изделие колбасное сырокопченое.</v>
          </cell>
          <cell r="K458"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58">
            <v>18</v>
          </cell>
          <cell r="M458">
            <v>42</v>
          </cell>
          <cell r="N458">
            <v>5</v>
          </cell>
          <cell r="O458" t="str">
            <v>470/1945</v>
          </cell>
          <cell r="P458" t="str">
            <v>0…+12</v>
          </cell>
          <cell r="Q458">
            <v>120</v>
          </cell>
        </row>
        <row r="459">
          <cell r="B459">
            <v>1001060763382</v>
          </cell>
          <cell r="C459" t="str">
            <v>САЛЯМИ ИТАЛЬЯНСКАЯ с/к в/у_О</v>
          </cell>
          <cell r="D459" t="str">
            <v>КГ</v>
          </cell>
          <cell r="E459" t="str">
            <v>Колбасные изделия</v>
          </cell>
          <cell r="F459" t="str">
            <v>С/к колбасы</v>
          </cell>
          <cell r="G459" t="str">
            <v>Останкино</v>
          </cell>
          <cell r="H459" t="str">
            <v>ОМПК(О)</v>
          </cell>
          <cell r="I459" t="str">
            <v>ТУ 10.13.14-181-00425283-2026</v>
          </cell>
          <cell r="J459" t="str">
            <v>Мясной продукт. Изделие колбасное сырокопченое.</v>
          </cell>
          <cell r="K459"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59">
            <v>18</v>
          </cell>
          <cell r="M459">
            <v>42</v>
          </cell>
          <cell r="N459">
            <v>5</v>
          </cell>
          <cell r="O459" t="str">
            <v>470/1945</v>
          </cell>
          <cell r="P459" t="str">
            <v>0…+12</v>
          </cell>
          <cell r="Q459">
            <v>120</v>
          </cell>
        </row>
        <row r="460">
          <cell r="B460">
            <v>1001060765041</v>
          </cell>
          <cell r="C460" t="str">
            <v>Z-САЛЯМИ ИТАЛЬЯНСКАЯ с/к в/у</v>
          </cell>
          <cell r="D460" t="str">
            <v>КГ</v>
          </cell>
          <cell r="E460" t="str">
            <v>Колбасные изделия</v>
          </cell>
          <cell r="F460" t="str">
            <v>С/к колбасы</v>
          </cell>
          <cell r="G460" t="str">
            <v>Останкино</v>
          </cell>
          <cell r="H460" t="str">
            <v>ОМПК(О)</v>
          </cell>
          <cell r="I460" t="str">
            <v>ТУ 10.13.14-181-00425283-2026</v>
          </cell>
          <cell r="J460" t="str">
            <v>Мясной продукт. Изделие колбасное сырокопченое.</v>
          </cell>
          <cell r="K460"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60">
            <v>18</v>
          </cell>
          <cell r="M460">
            <v>42</v>
          </cell>
          <cell r="N460">
            <v>5</v>
          </cell>
          <cell r="O460" t="str">
            <v>470/1945</v>
          </cell>
          <cell r="P460" t="str">
            <v>0…+12</v>
          </cell>
          <cell r="Q460">
            <v>120</v>
          </cell>
        </row>
        <row r="461">
          <cell r="B461">
            <v>1001060784621</v>
          </cell>
          <cell r="C461" t="str">
            <v>САЛЯМИ МЕЛКОЗЕРНЁНАЯ с/к в/у_Ашан</v>
          </cell>
          <cell r="D461" t="str">
            <v>КГ</v>
          </cell>
          <cell r="E461" t="str">
            <v>Колбасные изделия</v>
          </cell>
          <cell r="F461" t="str">
            <v>С/к колбасы</v>
          </cell>
          <cell r="G461" t="str">
            <v>Останкино</v>
          </cell>
          <cell r="H461" t="str">
            <v>ОМПК(О)</v>
          </cell>
          <cell r="I461" t="str">
            <v>ТУ 10.13.14-181-00425283-2026</v>
          </cell>
          <cell r="J461" t="str">
            <v>Мясной продукт. Изделие колбасное сырокопченое.</v>
          </cell>
          <cell r="K461"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белок молочный, волокна пищевые (растительные), перец белый, перец черный, мускатный орех,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61">
            <v>17</v>
          </cell>
          <cell r="M461">
            <v>40</v>
          </cell>
          <cell r="N461">
            <v>6</v>
          </cell>
          <cell r="O461" t="str">
            <v>452/1871</v>
          </cell>
          <cell r="P461" t="str">
            <v>0…+12</v>
          </cell>
          <cell r="Q461">
            <v>120</v>
          </cell>
        </row>
        <row r="462">
          <cell r="B462">
            <v>1001063117352</v>
          </cell>
          <cell r="C462" t="str">
            <v>САЛЯМИ МЕЛКОЗЕРНЕНАЯ с/к в/у_Глобус</v>
          </cell>
          <cell r="D462" t="str">
            <v>КГ</v>
          </cell>
          <cell r="E462" t="str">
            <v>Колбасные изделия</v>
          </cell>
          <cell r="F462" t="str">
            <v>С/к колбасы</v>
          </cell>
          <cell r="G462" t="str">
            <v>Останкино</v>
          </cell>
          <cell r="H462" t="str">
            <v>ОМПК(О)</v>
          </cell>
          <cell r="I462" t="str">
            <v>ТУ 10.13.14-140-00425283-2015</v>
          </cell>
          <cell r="J462" t="str">
            <v>Мясной продукт. Изделие колбасное сырокопченое.</v>
          </cell>
          <cell r="K462"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белок молочный, волокна пищевые (растительные), перец белый, перец черный, мускатный орех,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62">
            <v>17</v>
          </cell>
          <cell r="M462">
            <v>40</v>
          </cell>
          <cell r="N462">
            <v>6</v>
          </cell>
          <cell r="O462" t="str">
            <v>452/1871</v>
          </cell>
          <cell r="P462" t="str">
            <v>0…+12</v>
          </cell>
          <cell r="Q462">
            <v>120</v>
          </cell>
        </row>
        <row r="463">
          <cell r="B463">
            <v>1001060784118</v>
          </cell>
          <cell r="C463" t="str">
            <v>САЛЯМИ МЕЛКОЗЕРНЕНАЯ с/к в/у_Л</v>
          </cell>
          <cell r="D463" t="str">
            <v>КГ</v>
          </cell>
          <cell r="E463" t="str">
            <v>Колбасные изделия</v>
          </cell>
          <cell r="F463" t="str">
            <v>С/к колбасы</v>
          </cell>
          <cell r="G463" t="str">
            <v>Останкино</v>
          </cell>
          <cell r="H463" t="str">
            <v>ОМПК(О)</v>
          </cell>
          <cell r="I463" t="str">
            <v>ТУ 10.13.14-181-00425283-2026</v>
          </cell>
          <cell r="J463" t="str">
            <v>Мясной продукт. Изделие колбасное сырокопченое.</v>
          </cell>
          <cell r="K463"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белок молочный, волокна пищевые (растительные), перец белый, перец черный, мускатный орех,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63">
            <v>17</v>
          </cell>
          <cell r="M463">
            <v>40</v>
          </cell>
          <cell r="N463">
            <v>6</v>
          </cell>
          <cell r="O463" t="str">
            <v>452/1871</v>
          </cell>
          <cell r="P463" t="str">
            <v>0…+12</v>
          </cell>
          <cell r="Q463">
            <v>120</v>
          </cell>
        </row>
        <row r="464">
          <cell r="B464">
            <v>1001063116571</v>
          </cell>
          <cell r="C464" t="str">
            <v>САЛЯМИ МЕЛКОЗЕРНЁНАЯ с/к в/у 0.5кг 8шт.</v>
          </cell>
          <cell r="D464" t="str">
            <v>ШТ</v>
          </cell>
          <cell r="E464" t="str">
            <v>Колбасные изделия</v>
          </cell>
          <cell r="F464" t="str">
            <v>С/к колбасы</v>
          </cell>
          <cell r="G464" t="str">
            <v>Останкино</v>
          </cell>
          <cell r="H464" t="str">
            <v>ОМПК(О)</v>
          </cell>
          <cell r="I464" t="str">
            <v>ТУ 10.13.14-181-00425283-2026</v>
          </cell>
          <cell r="J464" t="str">
            <v>Мясной продукт. Изделие колбасное сырокопченое.</v>
          </cell>
          <cell r="K464"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белок молочный, волокна пищевые (растительные), перец белый, перец черный, мускатный орех,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64">
            <v>17</v>
          </cell>
          <cell r="M464">
            <v>40</v>
          </cell>
          <cell r="N464">
            <v>6</v>
          </cell>
          <cell r="O464" t="str">
            <v>452/1871</v>
          </cell>
          <cell r="P464" t="str">
            <v>0…+12</v>
          </cell>
          <cell r="Q464">
            <v>120</v>
          </cell>
        </row>
        <row r="465">
          <cell r="B465">
            <v>1001063115043</v>
          </cell>
          <cell r="C465" t="str">
            <v>Z-САЛЯМИ МЕЛКОЗЕРНЕНАЯ с/к в/у</v>
          </cell>
          <cell r="D465" t="str">
            <v>КГ</v>
          </cell>
          <cell r="E465" t="str">
            <v>Колбасные изделия</v>
          </cell>
          <cell r="F465" t="str">
            <v>С/к колбасы</v>
          </cell>
          <cell r="G465" t="str">
            <v>Останкино</v>
          </cell>
          <cell r="H465" t="str">
            <v>ОМПК(О)</v>
          </cell>
          <cell r="I465" t="str">
            <v>ТУ 10.13.14-181-00425283-2026</v>
          </cell>
          <cell r="J465" t="str">
            <v>Мясной продукт. Изделие колбасное сырокопченое.</v>
          </cell>
          <cell r="K465"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белок молочный, волокна пищевые (растительные), перец белый, перец черный, мускатный орех,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65">
            <v>17</v>
          </cell>
          <cell r="M465">
            <v>40</v>
          </cell>
          <cell r="N465">
            <v>6</v>
          </cell>
          <cell r="O465" t="str">
            <v>452/1871</v>
          </cell>
          <cell r="P465" t="str">
            <v>0…+12</v>
          </cell>
          <cell r="Q465">
            <v>120</v>
          </cell>
        </row>
        <row r="466">
          <cell r="B466">
            <v>1001063115912</v>
          </cell>
          <cell r="C466" t="str">
            <v>Z-САЛЯМИ МЕЛКОЗЕРН.с/к в/у (для нарезки)</v>
          </cell>
          <cell r="D466" t="str">
            <v>КГ</v>
          </cell>
          <cell r="E466" t="str">
            <v>Колбасные изделия</v>
          </cell>
          <cell r="F466" t="str">
            <v>С/к колбасы</v>
          </cell>
          <cell r="G466" t="str">
            <v>Останкино</v>
          </cell>
          <cell r="H466" t="str">
            <v>ОМПК(О)</v>
          </cell>
          <cell r="I466" t="str">
            <v>ТУ 10.13.14-140-00425283-2015</v>
          </cell>
          <cell r="J466" t="str">
            <v>Мясной продукт. Изделие колбасное сырокопченое.</v>
          </cell>
          <cell r="K466" t="str">
            <v>свинина, шпик, вода питьевая, белок соевый, смесь посолочно-нитритная (соль, фиксатор окраски (нитрит натрия)), соль, регуляторы кислотности (пирофосфаты, глюконо-дельта-лактон), белок молочный, клетчатка (в т.ч. пшеничная), пряности (перец белый, перец черный), сахар, антиокислитель (изоаскорбат натрия), усилитель вкуса и аромата (глутамат натрия), ароматизаторы (в т.ч. орех), гемоглобин, краситель (кармины), стартовая культура</v>
          </cell>
          <cell r="L466">
            <v>13</v>
          </cell>
          <cell r="M466">
            <v>40</v>
          </cell>
          <cell r="N466">
            <v>0</v>
          </cell>
          <cell r="O466" t="str">
            <v>358/1479</v>
          </cell>
          <cell r="P466" t="str">
            <v>0…+12</v>
          </cell>
          <cell r="Q466">
            <v>120</v>
          </cell>
        </row>
        <row r="467">
          <cell r="B467">
            <v>1001063107215</v>
          </cell>
          <cell r="C467" t="str">
            <v>Z-САЛЯМИ Папа может с/к в/у 1/250</v>
          </cell>
          <cell r="D467" t="str">
            <v>ШТ</v>
          </cell>
          <cell r="E467" t="str">
            <v>Колбасные изделия</v>
          </cell>
          <cell r="F467" t="str">
            <v>С/к колбасы</v>
          </cell>
          <cell r="G467" t="str">
            <v>Папа может</v>
          </cell>
          <cell r="H467" t="str">
            <v>ОМПК(О)</v>
          </cell>
          <cell r="I467" t="str">
            <v>ТУ 10.13.14-181-00425283-2026</v>
          </cell>
          <cell r="J467" t="str">
            <v>Мясной продукт. Изделие колбасное сырокопченое.</v>
          </cell>
          <cell r="K467"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67">
            <v>18</v>
          </cell>
          <cell r="M467">
            <v>42</v>
          </cell>
          <cell r="N467">
            <v>5</v>
          </cell>
          <cell r="O467" t="str">
            <v>470/1945</v>
          </cell>
          <cell r="P467" t="str">
            <v>0…+6</v>
          </cell>
          <cell r="Q467">
            <v>120</v>
          </cell>
        </row>
        <row r="468">
          <cell r="B468">
            <v>1001063106937</v>
          </cell>
          <cell r="C468" t="str">
            <v>САЛЯМИ Папа может с/к в/у 1/250 8шт.</v>
          </cell>
          <cell r="D468" t="str">
            <v>ШТ</v>
          </cell>
          <cell r="E468" t="str">
            <v>Колбасные изделия</v>
          </cell>
          <cell r="F468" t="str">
            <v>С/к колбасы</v>
          </cell>
          <cell r="G468" t="str">
            <v>Папа может</v>
          </cell>
          <cell r="H468" t="str">
            <v>ОМПК(О)</v>
          </cell>
          <cell r="I468" t="str">
            <v>ТУ 10.13.14-181-00425283-2026</v>
          </cell>
          <cell r="J468" t="str">
            <v>Мясной продукт. Изделие колбасное сырокопченое.</v>
          </cell>
          <cell r="K468"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68">
            <v>18</v>
          </cell>
          <cell r="M468">
            <v>42</v>
          </cell>
          <cell r="N468">
            <v>5</v>
          </cell>
          <cell r="O468" t="str">
            <v>470/1945</v>
          </cell>
          <cell r="P468" t="str">
            <v>0…+6</v>
          </cell>
          <cell r="Q468">
            <v>120</v>
          </cell>
        </row>
        <row r="469">
          <cell r="B469">
            <v>1001063107213</v>
          </cell>
          <cell r="C469" t="str">
            <v>САЛЯМИ Папа может с/к в/у 1/250_СНГ</v>
          </cell>
          <cell r="D469" t="str">
            <v>ШТ</v>
          </cell>
          <cell r="E469" t="str">
            <v>Колбасные изделия</v>
          </cell>
          <cell r="F469" t="str">
            <v>С/к колбасы</v>
          </cell>
          <cell r="G469" t="str">
            <v>Папа может</v>
          </cell>
          <cell r="H469" t="str">
            <v>ОМПК(О)</v>
          </cell>
          <cell r="I469" t="str">
            <v>ТУ 10.13.14-181-00425283-2026</v>
          </cell>
          <cell r="J469" t="str">
            <v>Мясной продукт. Изделие колбасное сырокопченое.</v>
          </cell>
          <cell r="K469"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69">
            <v>18</v>
          </cell>
          <cell r="M469">
            <v>42</v>
          </cell>
          <cell r="N469">
            <v>5</v>
          </cell>
          <cell r="O469" t="str">
            <v>470/1945</v>
          </cell>
          <cell r="P469" t="str">
            <v>0…+6</v>
          </cell>
          <cell r="Q469">
            <v>120</v>
          </cell>
        </row>
        <row r="470">
          <cell r="B470">
            <v>1001063104299</v>
          </cell>
          <cell r="C470" t="str">
            <v>САЛЯМИ с/к в/у</v>
          </cell>
          <cell r="D470" t="str">
            <v>КГ</v>
          </cell>
          <cell r="E470" t="str">
            <v>Колбасные изделия</v>
          </cell>
          <cell r="F470" t="str">
            <v>С/к колбасы</v>
          </cell>
          <cell r="G470" t="str">
            <v>Без ТМ</v>
          </cell>
          <cell r="H470" t="str">
            <v>ОМПК(О)</v>
          </cell>
          <cell r="I470" t="str">
            <v>ТУ 10.13.14-181-00425283-2026</v>
          </cell>
          <cell r="J470" t="str">
            <v>Мясной продукт. Изделие колбасное сырокопченое.</v>
          </cell>
          <cell r="K470" t="str">
            <v>свинина, шпик, белок соевый, филе грудок куриных, говядина, белок молочный, клетчатка (в т.ч. пшеничная), смесь посолочно-нитритная (соль, фиксатор окраски (нитрит натрия)), стабилизатор (пирофосфат натрия), специи (перец черный молотый, чеснок сушеный молотый, мускат, перец белый молотый, перец душистый, имбирь, кардамон), экстракты специй, сахара, антиокислители (изоаскорбат натрия, аскорбиновая кислота, аскорбат натрия), усилитель вкуса и аромата (глутамат натрия), ароматизаторы, гемоглобин, краситель (кармины), стартовая культура</v>
          </cell>
          <cell r="L470">
            <v>20</v>
          </cell>
          <cell r="M470">
            <v>40</v>
          </cell>
          <cell r="N470">
            <v>0</v>
          </cell>
          <cell r="O470" t="str">
            <v>462/1911</v>
          </cell>
          <cell r="P470" t="str">
            <v>0…+12</v>
          </cell>
          <cell r="Q470">
            <v>120</v>
          </cell>
        </row>
        <row r="471">
          <cell r="B471">
            <v>1001063097456</v>
          </cell>
          <cell r="C471" t="str">
            <v>САЛЯМИ ФИНСКАЯ Папа может с/к в/у 1/150</v>
          </cell>
          <cell r="D471" t="str">
            <v>ШТ</v>
          </cell>
          <cell r="E471" t="str">
            <v>Колбасные изделия</v>
          </cell>
          <cell r="F471" t="str">
            <v>С/к колбасы</v>
          </cell>
          <cell r="G471" t="str">
            <v>Папа может</v>
          </cell>
          <cell r="H471" t="str">
            <v>ОМПК(Г)</v>
          </cell>
          <cell r="I471" t="str">
            <v>ТУ 10.13.14-140-00425283-2015</v>
          </cell>
          <cell r="J471" t="str">
            <v>Мясной продукт. Изделие колбасное сырокопченое.</v>
          </cell>
          <cell r="K471" t="str">
            <v>свинина, шпик, белок соевый, филе грудок куриных, говядина, белок молочный, клетчатка растительная (в т.ч. пшеничная), смесь посолочно-нитритная (соль, фиксатор окраски (нитрит натрия)), соль, регуляторы кислотности (пирофосфаты, цитраты натрия), экстракты пряностей (перец черный молотый, имбирь, перец красный молотый), сахара, антиокислители (изоаскорбат натрия, аскорбиновая кислота), усилитель вкуса и аромата (глутамат натрия), ароматизаторы, гемоглобин, краситель (кармины), стартовая культура</v>
          </cell>
          <cell r="L471">
            <v>15</v>
          </cell>
          <cell r="M471">
            <v>24</v>
          </cell>
          <cell r="N471">
            <v>1</v>
          </cell>
          <cell r="O471" t="str">
            <v>280/1160</v>
          </cell>
          <cell r="P471" t="str">
            <v>0…+25</v>
          </cell>
          <cell r="Q471">
            <v>90</v>
          </cell>
        </row>
        <row r="472">
          <cell r="B472">
            <v>1001063097525</v>
          </cell>
          <cell r="C472" t="str">
            <v>Z-САЛЯМИ ФИНСКАЯ ПМ с/к в/у 1/150 гр/уп</v>
          </cell>
          <cell r="D472" t="str">
            <v>ШТ</v>
          </cell>
          <cell r="E472" t="str">
            <v>Колбасные изделия</v>
          </cell>
          <cell r="F472" t="str">
            <v>С/к колбасы</v>
          </cell>
          <cell r="G472" t="str">
            <v>Папа может</v>
          </cell>
          <cell r="H472" t="str">
            <v>ОМПК(Г)</v>
          </cell>
          <cell r="I472" t="str">
            <v>ТУ 10.13.14-140-00425283-2015</v>
          </cell>
          <cell r="J472" t="str">
            <v>Мясной продукт. Изделие колбасное сырокопченое.</v>
          </cell>
          <cell r="K472" t="str">
            <v>свинина, шпик, белок соевый, филе грудок куриных, говядина, белок молочный, клетчатка растительная (в т.ч. пшеничная), смесь посолочно-нитритная (соль, фиксатор окраски (нитрит натрия)), соль, регуляторы кислотности (пирофосфаты, цитраты натрия), экстракты пряностей (перец черный молотый, имбирь, перец красный молотый), сахара, антиокислители (изоаскорбат натрия, аскорбиновая кислота), усилитель вкуса и аромата (глутамат натрия), ароматизаторы, гемоглобин, краситель (кармины), стартовая культура</v>
          </cell>
          <cell r="L472">
            <v>15</v>
          </cell>
          <cell r="M472">
            <v>24</v>
          </cell>
          <cell r="N472">
            <v>1</v>
          </cell>
          <cell r="O472" t="str">
            <v>280/1160</v>
          </cell>
          <cell r="P472" t="str">
            <v>0…+6</v>
          </cell>
          <cell r="Q472">
            <v>30</v>
          </cell>
        </row>
        <row r="473">
          <cell r="B473">
            <v>1001065467383</v>
          </cell>
          <cell r="C473" t="str">
            <v>САН-РЕМО Останкино с/в в/у 1/220 8шт.</v>
          </cell>
          <cell r="D473" t="str">
            <v>ШТ</v>
          </cell>
          <cell r="E473" t="str">
            <v>Колбасные изделия</v>
          </cell>
          <cell r="F473" t="str">
            <v>С/к колбасы</v>
          </cell>
          <cell r="G473" t="str">
            <v>Останкино</v>
          </cell>
          <cell r="H473" t="str">
            <v>ОМПК(Г)</v>
          </cell>
          <cell r="I473" t="str">
            <v>ТУ 10.13.14-164-00425283-2023</v>
          </cell>
          <cell r="J473" t="str">
            <v>Мясной продукт. Изделие колбасное сыровяленое.</v>
          </cell>
          <cell r="K473" t="str">
            <v>свинина, пищевые волокна, смесь посолочно-нитритная (соль, фиксатор окраски (нитрит натрия)), соль, регуляторы кислотности (пирофосфаты, трифосфаты, глюконо-дельта-лактон, цитраты натрия), сахара, чеснок сушеный молотый, грибы белые сушеные молотые, молоко сухое обезжиренное, антиокислители (изоаскорбат натрия, аскорбиновая кислота, экстракты розмарина), усилитель вкуса и аромата (глутамат натрия), ароматизаторы, краситель (кармины), гемоглобин</v>
          </cell>
          <cell r="L473">
            <v>13</v>
          </cell>
          <cell r="M473">
            <v>23</v>
          </cell>
          <cell r="N473">
            <v>2</v>
          </cell>
          <cell r="O473" t="str">
            <v>267/1106</v>
          </cell>
          <cell r="P473" t="str">
            <v>0…+6</v>
          </cell>
          <cell r="Q473">
            <v>90</v>
          </cell>
        </row>
        <row r="474">
          <cell r="B474">
            <v>1001065467666</v>
          </cell>
          <cell r="C474" t="str">
            <v>САН-РЕМО Останкино с/в в/у срез</v>
          </cell>
          <cell r="D474" t="str">
            <v>КГ</v>
          </cell>
          <cell r="E474" t="str">
            <v>Колбасные изделия</v>
          </cell>
          <cell r="F474" t="str">
            <v>С/к колбасы</v>
          </cell>
          <cell r="G474" t="str">
            <v>Останкино</v>
          </cell>
          <cell r="H474" t="str">
            <v>ОМПК(Г)</v>
          </cell>
          <cell r="I474" t="str">
            <v>ТУ 10.13.14-181-00425283-2026</v>
          </cell>
          <cell r="J474" t="str">
            <v>Мясной продукт. Изделие колбасное сыровяленое.</v>
          </cell>
          <cell r="K474" t="str">
            <v>свинина, окорок свиной, смесь посолочно-нитритная (соль, фиксатор окраски (нитрит натрия)), регуляторы кислотности (цитраты натрия, глюконо-дельта-лактон), волокна пищевые (растительные), чеснок сушеный молотый, грибы белые сушеные молотые, молоко сухое обезжиренное, сахара, антиокислители (аскорбиновая кислота, изоаскорбат натрия, лимонная кислота), усилитель вкуса и аромата (глутамат натрия 1-замещенный), гемоглобин, ароматизаторы, краситель (кармины)</v>
          </cell>
          <cell r="L474">
            <v>22</v>
          </cell>
          <cell r="M474">
            <v>28</v>
          </cell>
          <cell r="N474">
            <v>5</v>
          </cell>
          <cell r="O474" t="str">
            <v>360/1495</v>
          </cell>
          <cell r="P474" t="str">
            <v>0…+6</v>
          </cell>
          <cell r="Q474">
            <v>90</v>
          </cell>
        </row>
        <row r="475">
          <cell r="B475">
            <v>1001065467394</v>
          </cell>
          <cell r="C475" t="str">
            <v>Z-САН-РЕМО Останкино с/в в/у гр/уп</v>
          </cell>
          <cell r="D475" t="str">
            <v>КГ</v>
          </cell>
          <cell r="E475" t="str">
            <v>Колбасные изделия</v>
          </cell>
          <cell r="F475" t="str">
            <v>С/к колбасы</v>
          </cell>
          <cell r="G475" t="str">
            <v>Останкино</v>
          </cell>
          <cell r="H475" t="str">
            <v>ОМПК(Г)</v>
          </cell>
          <cell r="I475" t="str">
            <v>ТУ 10.13.14-164-00425283-2023</v>
          </cell>
          <cell r="J475" t="str">
            <v>Мясной продукт. Изделие колбасное сыровяленое.</v>
          </cell>
          <cell r="K475" t="str">
            <v>свинина, пищевые волокна, смесь посолочно-нитритная (соль, фиксатор окраски (нитрит натрия)), соль, регуляторы кислотности (пирофосфаты, трифосфаты, глюконо-дельта-лактон, цитраты натрия), сахара, чеснок сушеный молотый, грибы белые сушеные молотые, молоко сухое обезжиренное, антиокислители (изоаскорбат натрия, аскорбиновая кислота, экстракты розмарина), усилитель вкуса и аромата (глутамат натрия), ароматизаторы, краситель (кармины), гемоглобин</v>
          </cell>
          <cell r="L475">
            <v>13</v>
          </cell>
          <cell r="M475">
            <v>23</v>
          </cell>
          <cell r="N475">
            <v>2</v>
          </cell>
          <cell r="O475" t="str">
            <v>267/1106</v>
          </cell>
          <cell r="P475" t="str">
            <v>0…+6</v>
          </cell>
          <cell r="Q475">
            <v>15</v>
          </cell>
        </row>
        <row r="476">
          <cell r="B476">
            <v>1001065236657</v>
          </cell>
          <cell r="C476" t="str">
            <v>Z-СВИНАЯ ГОСТ с/к б/о в/у 1/250</v>
          </cell>
          <cell r="D476" t="str">
            <v>ШТ</v>
          </cell>
          <cell r="E476" t="str">
            <v>Колбасные изделия</v>
          </cell>
          <cell r="F476" t="str">
            <v>С/к колбасы</v>
          </cell>
          <cell r="G476" t="str">
            <v>Останкино</v>
          </cell>
          <cell r="H476" t="str">
            <v>ОМПК(Г)</v>
          </cell>
          <cell r="I476" t="str">
            <v>ГОСТ Р 55456-2013</v>
          </cell>
          <cell r="J476" t="str">
            <v>Мясной продукт. Изделие колбасное сырокопченое категории Б.</v>
          </cell>
          <cell r="K476" t="str">
            <v>свинина, шпик, смесь посолочно-нитритная (соль, фиксатор окраски (нитрит натрия)), коньяк, чеснок сушеный, специи и экстракты специй, сахар, усилитель вкуса и аромата (глутамат натрия), краситель (кармины), стартовая культура</v>
          </cell>
          <cell r="L476">
            <v>12</v>
          </cell>
          <cell r="M476">
            <v>65</v>
          </cell>
          <cell r="O476" t="str">
            <v>633/2609</v>
          </cell>
          <cell r="P476" t="str">
            <v>0…+6</v>
          </cell>
          <cell r="Q476">
            <v>30</v>
          </cell>
        </row>
        <row r="477">
          <cell r="B477">
            <v>1001065236702</v>
          </cell>
          <cell r="C477" t="str">
            <v>СВИНАЯ ГОСТ с/к б/о в/у 1/250 Х5/СТМ Вер</v>
          </cell>
          <cell r="D477" t="str">
            <v>ШТ</v>
          </cell>
          <cell r="E477" t="str">
            <v>Колбасные изделия</v>
          </cell>
          <cell r="F477" t="str">
            <v>С/к колбасы</v>
          </cell>
          <cell r="G477" t="str">
            <v>СТМ</v>
          </cell>
          <cell r="H477" t="str">
            <v>ОМПК(О)</v>
          </cell>
          <cell r="I477" t="str">
            <v>ГОСТ Р 55456-2013</v>
          </cell>
          <cell r="J477" t="str">
            <v>Мясной продукт. Изделие колбасное сырокопченое категории Б.</v>
          </cell>
          <cell r="K477" t="str">
            <v>грудинка свиная, свинина, смесь посолочно-нитритная (соль, фиксатор окраски (нитрит натрия)), коньяк, чеснок сушеный, специи, экстракты специй, сахара, стартовая культура</v>
          </cell>
          <cell r="L477">
            <v>11</v>
          </cell>
          <cell r="M477">
            <v>58</v>
          </cell>
          <cell r="N477">
            <v>0</v>
          </cell>
          <cell r="O477" t="str">
            <v>566/2333</v>
          </cell>
          <cell r="P477" t="str">
            <v>0…+6</v>
          </cell>
          <cell r="Q477">
            <v>120</v>
          </cell>
        </row>
        <row r="478">
          <cell r="B478">
            <v>1001065237248</v>
          </cell>
          <cell r="C478" t="str">
            <v>СВИНАЯ ГОСТ Останкино с/к в/у 0.5кг 8шт.</v>
          </cell>
          <cell r="D478" t="str">
            <v>ШТ</v>
          </cell>
          <cell r="E478" t="str">
            <v>Колбасные изделия</v>
          </cell>
          <cell r="F478" t="str">
            <v>С/к колбасы</v>
          </cell>
          <cell r="G478" t="str">
            <v>Останкино</v>
          </cell>
          <cell r="H478" t="str">
            <v>ОМПК(О)</v>
          </cell>
          <cell r="I478" t="str">
            <v>ГОСТ Р 55456-2013</v>
          </cell>
          <cell r="J478" t="str">
            <v>Мясной продукт. Изделие колбасное сырокопченое категории Б.</v>
          </cell>
          <cell r="K478" t="str">
            <v>свинина, шпик, смесь посолочно-нитритная (соль, фиксатор окраски (нитрит натрия)), коньяк, чеснок сушеный, специи и экстракты специй, сахар, усилитель вкуса и аромата (глутамат натрия), краситель (кармины), стартовая культура</v>
          </cell>
          <cell r="L478">
            <v>12</v>
          </cell>
          <cell r="M478">
            <v>65</v>
          </cell>
          <cell r="N478">
            <v>0</v>
          </cell>
          <cell r="O478" t="str">
            <v>633/2609</v>
          </cell>
          <cell r="P478" t="str">
            <v>0…+12</v>
          </cell>
          <cell r="Q478">
            <v>120</v>
          </cell>
        </row>
        <row r="479">
          <cell r="B479">
            <v>1001065237140</v>
          </cell>
          <cell r="C479" t="str">
            <v>СВИНАЯ ГОСТ Останкино с/к в/у</v>
          </cell>
          <cell r="D479" t="str">
            <v>КГ</v>
          </cell>
          <cell r="E479" t="str">
            <v>Колбасные изделия</v>
          </cell>
          <cell r="F479" t="str">
            <v>С/к колбасы</v>
          </cell>
          <cell r="G479" t="str">
            <v>Останкино</v>
          </cell>
          <cell r="H479" t="str">
            <v>ОМПК(О)</v>
          </cell>
          <cell r="I479" t="str">
            <v>ГОСТ Р 55456-2013</v>
          </cell>
          <cell r="J479" t="str">
            <v>Мясной продукт. Изделие колбасное сырокопченое категории Б.</v>
          </cell>
          <cell r="K479" t="str">
            <v>свинина, шпик, смесь посолочно-нитритная (соль, фиксатор окраски (нитрит натрия)), коньяк, чеснок сушеный, специи и экстракты специй, сахар, усилитель вкуса и аромата (глутамат натрия), краситель (кармины), стартовая культура</v>
          </cell>
          <cell r="L479">
            <v>12</v>
          </cell>
          <cell r="M479">
            <v>65</v>
          </cell>
          <cell r="N479">
            <v>0</v>
          </cell>
          <cell r="O479" t="str">
            <v>633/2609</v>
          </cell>
          <cell r="P479" t="str">
            <v>0…+12</v>
          </cell>
          <cell r="Q479">
            <v>120</v>
          </cell>
        </row>
        <row r="480">
          <cell r="B480">
            <v>1001065237652</v>
          </cell>
          <cell r="C480" t="str">
            <v>Z-СВИНАЯ с/к в/у гр/уп (для нарезки)</v>
          </cell>
          <cell r="D480" t="str">
            <v>КГ</v>
          </cell>
          <cell r="E480" t="str">
            <v>Колбасные изделия</v>
          </cell>
          <cell r="F480" t="str">
            <v>С/к колбасы</v>
          </cell>
          <cell r="G480" t="str">
            <v>Останкино</v>
          </cell>
          <cell r="H480" t="str">
            <v>ОМПК(Г)</v>
          </cell>
          <cell r="I480" t="str">
            <v>ГОСТ Р 55456-2013</v>
          </cell>
          <cell r="J480" t="str">
            <v>Мясной продукт. Изделие колбасное сырокопченое категории Б.</v>
          </cell>
          <cell r="K480" t="str">
            <v>свинина, шпик, смесь посолочно-нитритная (соль, фиксатор окраски (нитрит натрия)), коньяк, чеснок сушеный, специи и экстракты специй, сахар, усилитель вкуса и аромата (глутамат натрия), краситель (кармины), стартовая культура</v>
          </cell>
          <cell r="L480">
            <v>12</v>
          </cell>
          <cell r="M480">
            <v>65</v>
          </cell>
          <cell r="O480" t="str">
            <v>633/2609</v>
          </cell>
          <cell r="P480" t="str">
            <v>0…+12</v>
          </cell>
          <cell r="Q480">
            <v>30</v>
          </cell>
        </row>
        <row r="481">
          <cell r="B481">
            <v>1001063217364</v>
          </cell>
          <cell r="C481" t="str">
            <v>ЧОРИЗО Останкино с/к в/у 1/220 8шт.</v>
          </cell>
          <cell r="D481" t="str">
            <v>ШТ</v>
          </cell>
          <cell r="E481" t="str">
            <v>Колбасные изделия</v>
          </cell>
          <cell r="F481" t="str">
            <v>С/к колбасы</v>
          </cell>
          <cell r="G481" t="str">
            <v>Останкино</v>
          </cell>
          <cell r="H481" t="str">
            <v>ОМПК(Г)</v>
          </cell>
          <cell r="I481" t="str">
            <v>ТУ 10.13.14-145-00425283-2017</v>
          </cell>
          <cell r="J481" t="str">
            <v>Мясной продукт. Изделие колбасное сырокопченое.</v>
          </cell>
          <cell r="K481" t="str">
            <v>свинина, белок животный (говяжий), смесь посолочно-нитритная (соль, фиксатор окраски (нитрит натрия)), соль, пищевые волокна, регуляторы кислотности (цитраты натрия, глюконо-дельта-лактон), специи, экстракты специй, сахара, антиокислители (аскорбат натрия, лимонная кислота, изоаскорбат натрия, аскорбиновая кислота, экстракты розмарина), масло рапсовое рафинированное дезодорированное, усилитель вкуса и аромата (глутамат натрия), ароматизатор, краситель (кармины)</v>
          </cell>
          <cell r="L481">
            <v>12</v>
          </cell>
          <cell r="M481">
            <v>26</v>
          </cell>
          <cell r="N481">
            <v>2</v>
          </cell>
          <cell r="O481" t="str">
            <v>290/1200</v>
          </cell>
          <cell r="P481" t="str">
            <v>0…+6</v>
          </cell>
          <cell r="Q481">
            <v>90</v>
          </cell>
        </row>
        <row r="482">
          <cell r="B482">
            <v>1001063217464</v>
          </cell>
          <cell r="C482" t="str">
            <v>ЧОРИЗО Останкино с/к в/у 1/220 8шт_СНГ</v>
          </cell>
          <cell r="D482" t="str">
            <v>ШТ</v>
          </cell>
          <cell r="E482" t="str">
            <v>Колбасные изделия</v>
          </cell>
          <cell r="F482" t="str">
            <v>С/к колбасы</v>
          </cell>
          <cell r="G482" t="str">
            <v>Останкино</v>
          </cell>
          <cell r="H482" t="str">
            <v>ОМПК(Г)</v>
          </cell>
          <cell r="I482" t="str">
            <v>ТУ 10.13.14-145-00425283-2017</v>
          </cell>
          <cell r="J482" t="str">
            <v>Мясной продукт. Изделие колбасное сырокопченое.</v>
          </cell>
          <cell r="K482" t="str">
            <v>свинина, белок животный (говяжий), смесь посолочно-нитритная (соль, фиксатор окраски (нитрит натрия)), соль, пищевые волокна, регуляторы кислотности (цитраты натрия, глюконо-дельта-лактон), специи, экстракты специй, сахара, антиокислители (аскорбат натрия, лимонная кислота, изоаскорбат натрия, аскорбиновая кислота, экстракты розмарина), масло рапсовое рафинированное дезодорированное, усилитель вкуса и аромата (глутамат натрия), ароматизатор, краситель (кармины)</v>
          </cell>
          <cell r="L482">
            <v>12</v>
          </cell>
          <cell r="M482">
            <v>26</v>
          </cell>
          <cell r="N482">
            <v>2</v>
          </cell>
          <cell r="O482" t="str">
            <v>290/1200</v>
          </cell>
          <cell r="P482" t="str">
            <v>0…+6</v>
          </cell>
          <cell r="Q482">
            <v>90</v>
          </cell>
        </row>
        <row r="483">
          <cell r="B483">
            <v>1001063217366</v>
          </cell>
          <cell r="C483" t="str">
            <v>Z-ЧОРИЗО Останкино с/к в/у</v>
          </cell>
          <cell r="D483" t="str">
            <v>КГ</v>
          </cell>
          <cell r="E483" t="str">
            <v>Колбасные изделия</v>
          </cell>
          <cell r="F483" t="str">
            <v>С/к колбасы</v>
          </cell>
          <cell r="G483" t="str">
            <v>Останкино</v>
          </cell>
          <cell r="H483" t="str">
            <v>ОМПК(Г)</v>
          </cell>
          <cell r="I483" t="str">
            <v>ТУ 10.13.14-145-00425283-2017</v>
          </cell>
          <cell r="J483" t="str">
            <v>Мясной продукт. Изделие колбасное сырокопченое.</v>
          </cell>
          <cell r="K483" t="str">
            <v>свинина, белок животный (говяжий), смесь посолочно-нитритная (соль, фиксатор окраски (нитрит натрия)), соль, пищевые волокна, регуляторы кислотности (цитраты натрия, глюконо-дельта-лактон), специи, экстракты специй, сахара, антиокислители (аскорбат натрия, лимонная кислота, изоаскорбат натрия, аскорбиновая кислота, экстракты розмарина), масло рапсовое рафинированное дезодорированное, усилитель вкуса и аромата (глутамат натрия), ароматизатор, краситель (кармины)</v>
          </cell>
          <cell r="L483">
            <v>12</v>
          </cell>
          <cell r="M483">
            <v>26</v>
          </cell>
          <cell r="N483">
            <v>2</v>
          </cell>
          <cell r="O483" t="str">
            <v>290/1200</v>
          </cell>
          <cell r="P483" t="str">
            <v>0…+12</v>
          </cell>
          <cell r="Q483">
            <v>90</v>
          </cell>
        </row>
        <row r="484">
          <cell r="B484">
            <v>1001062505483</v>
          </cell>
          <cell r="C484" t="str">
            <v>ЭКСТРА Папа может с/к в/у 1/250 8шт.</v>
          </cell>
          <cell r="D484" t="str">
            <v>ШТ</v>
          </cell>
          <cell r="E484" t="str">
            <v>Колбасные изделия</v>
          </cell>
          <cell r="F484" t="str">
            <v>С/к колбасы</v>
          </cell>
          <cell r="G484" t="str">
            <v>Папа может</v>
          </cell>
          <cell r="H484" t="str">
            <v>ОМПК(О)</v>
          </cell>
          <cell r="I484" t="str">
            <v>ТУ 10.13.14-181-00425283-2026</v>
          </cell>
          <cell r="J484" t="str">
            <v>Мясной продукт. Изделие колбасное сырокопченое.</v>
          </cell>
          <cell r="K484" t="str">
            <v>свинина, шпик, вода питьевая, белок соевый, смесь посолочно-нитритная (соль, фиксатор окраски (нитрит натрия)), регуляторы кислотности (пирофосфат натрия, трифосфаты натрия), чеснок сушеный молотый, лук репчатый сушеный, кориандр, паприка, перец черный молотый, перец чили, сахара, белок молочный, пищевые волокна, гемоглобин, антиокислитель (изоаскорбат натрия), усилитель вкуса и аромата (глутамат натрия 1-замещенный), ароматизатор, краситель (кармины)</v>
          </cell>
          <cell r="L484">
            <v>18</v>
          </cell>
          <cell r="M484">
            <v>38</v>
          </cell>
          <cell r="N484">
            <v>3</v>
          </cell>
          <cell r="O484" t="str">
            <v>426/1763</v>
          </cell>
          <cell r="P484" t="str">
            <v>0…+6</v>
          </cell>
          <cell r="Q484">
            <v>120</v>
          </cell>
        </row>
        <row r="485">
          <cell r="B485">
            <v>1001062507463</v>
          </cell>
          <cell r="C485" t="str">
            <v>ЭКСТРА Папа может с/к в/у 1/250 8шт_СНГ</v>
          </cell>
          <cell r="D485" t="str">
            <v>ШТ</v>
          </cell>
          <cell r="E485" t="str">
            <v>Колбасные изделия</v>
          </cell>
          <cell r="F485" t="str">
            <v>С/к колбасы</v>
          </cell>
          <cell r="G485" t="str">
            <v>Папа может</v>
          </cell>
          <cell r="H485" t="str">
            <v>ОМПК(О)</v>
          </cell>
          <cell r="I485" t="str">
            <v>ТУ 10.13.14-181-00425283-2026</v>
          </cell>
          <cell r="J485" t="str">
            <v>Мясной продукт. Изделие колбасное сырокопченое.</v>
          </cell>
          <cell r="K485" t="str">
            <v>свинина, шпик, вода питьевая, белок соевый, смесь посолочно-нитритная (соль, фиксатор окраски (нитрит натрия)), регуляторы кислотности (пирофосфат натрия, трифосфаты натрия), чеснок сушеный молотый, лук репчатый сушеный, кориандр, паприка, перец черный молотый, перец чили, сахара, белок молочный, пищевые волокна, гемоглобин, антиокислитель (изоаскорбат натрия), усилитель вкуса и аромата (глутамат натрия 1-замещенный), ароматизатор, краситель (кармины)</v>
          </cell>
          <cell r="L485">
            <v>18</v>
          </cell>
          <cell r="M485">
            <v>38</v>
          </cell>
          <cell r="N485">
            <v>3</v>
          </cell>
          <cell r="O485" t="str">
            <v>426/1763</v>
          </cell>
          <cell r="P485" t="str">
            <v>0…+6</v>
          </cell>
          <cell r="Q485">
            <v>120</v>
          </cell>
        </row>
        <row r="486">
          <cell r="B486">
            <v>1001062504117</v>
          </cell>
          <cell r="C486" t="str">
            <v>ЭКСТРА Папа может с/к в/у_Л</v>
          </cell>
          <cell r="D486" t="str">
            <v>КГ</v>
          </cell>
          <cell r="E486" t="str">
            <v>Колбасные изделия</v>
          </cell>
          <cell r="F486" t="str">
            <v>С/к колбасы</v>
          </cell>
          <cell r="G486" t="str">
            <v>Папа может</v>
          </cell>
          <cell r="H486" t="str">
            <v>ОМПК(О)</v>
          </cell>
          <cell r="I486" t="str">
            <v>ТУ 10.13.14-181-00425283-2026</v>
          </cell>
          <cell r="J486" t="str">
            <v>Мясной продукт. Изделие колбасное сырокопченое.</v>
          </cell>
          <cell r="K486" t="str">
            <v>свинина, шпик, вода питьевая, белок соевый, смесь посолочно-нитритная (соль, фиксатор окраски (нитрит натрия)), регуляторы кислотности (пирофосфат натрия, трифосфаты натрия), чеснок сушеный молотый, лук репчатый сушеный, кориандр, паприка, перец черный молотый, перец чили, сахара, белок молочный, пищевые волокна, гемоглобин, антиокислитель (изоаскорбат натрия), усилитель вкуса и аромата (глутамат натрия 1-замещенный), ароматизатор, краситель (кармины)</v>
          </cell>
          <cell r="L486">
            <v>18</v>
          </cell>
          <cell r="M486">
            <v>38</v>
          </cell>
          <cell r="N486">
            <v>3</v>
          </cell>
          <cell r="O486" t="str">
            <v>426/1763</v>
          </cell>
          <cell r="P486" t="str">
            <v>0…+12</v>
          </cell>
          <cell r="Q486">
            <v>120</v>
          </cell>
        </row>
        <row r="487">
          <cell r="B487">
            <v>1001065237635</v>
          </cell>
          <cell r="C487" t="str">
            <v>Z-СВИНАЯ ГОСТ с/к мгс 0.5кг гр/уп</v>
          </cell>
          <cell r="D487" t="str">
            <v>ШТ</v>
          </cell>
          <cell r="E487" t="str">
            <v>Колбасные изделия</v>
          </cell>
          <cell r="F487" t="str">
            <v>С/к колбасы</v>
          </cell>
          <cell r="G487" t="str">
            <v>Останкино</v>
          </cell>
          <cell r="H487" t="str">
            <v>ОМПК(Г)</v>
          </cell>
          <cell r="I487" t="str">
            <v>ГОСТ Р 55456-2013</v>
          </cell>
          <cell r="J487" t="str">
            <v>Мясной продукт. Изделие колбасное сырокопченое категории Б.</v>
          </cell>
          <cell r="K487" t="str">
            <v>свинина, шпик, смесь посолочно-нитритная (соль, фиксатор окраски (нитрит натрия)), коньяк, чеснок сушеный, специи и экстракты специй, сахар, усилитель вкуса и аромата (глутамат натрия), краситель (кармины), стартовая культура</v>
          </cell>
          <cell r="L487">
            <v>12</v>
          </cell>
          <cell r="M487">
            <v>65</v>
          </cell>
          <cell r="O487" t="str">
            <v>633/2609</v>
          </cell>
          <cell r="P487" t="str">
            <v>0…+12</v>
          </cell>
          <cell r="Q487">
            <v>30</v>
          </cell>
        </row>
        <row r="488">
          <cell r="B488">
            <v>1001062504674</v>
          </cell>
          <cell r="C488" t="str">
            <v>Z-ЭКСТРА Папа может с/к в/у</v>
          </cell>
          <cell r="D488" t="str">
            <v>КГ</v>
          </cell>
          <cell r="E488" t="str">
            <v>Колбасные изделия</v>
          </cell>
          <cell r="F488" t="str">
            <v>С/к колбасы</v>
          </cell>
          <cell r="G488" t="str">
            <v>Папа может</v>
          </cell>
          <cell r="H488" t="str">
            <v>ОМПК(О)</v>
          </cell>
          <cell r="I488" t="str">
            <v>ТУ 10.13.14-181-00425283-2026</v>
          </cell>
          <cell r="J488" t="str">
            <v>Мясной продукт. Изделие колбасное сырокопченое.</v>
          </cell>
          <cell r="K488" t="str">
            <v>свинина, шпик, вода питьевая, белок соевый, смесь посолочно-нитритная (соль, фиксатор окраски (нитрит натрия)), регуляторы кислотности (пирофосфат натрия, трифосфаты натрия), чеснок сушеный молотый, лук репчатый сушеный, кориандр, паприка, перец черный молотый, перец чили, сахара, белок молочный, пищевые волокна, гемоглобин, антиокислитель (изоаскорбат натрия), усилитель вкуса и аромата (глутамат натрия 1-замещенный), ароматизатор, краситель (кармины)</v>
          </cell>
          <cell r="L488">
            <v>18</v>
          </cell>
          <cell r="M488">
            <v>38</v>
          </cell>
          <cell r="N488">
            <v>3</v>
          </cell>
          <cell r="O488" t="str">
            <v>426/1763</v>
          </cell>
          <cell r="P488" t="str">
            <v>0…+12</v>
          </cell>
          <cell r="Q488">
            <v>120</v>
          </cell>
        </row>
        <row r="489">
          <cell r="B489">
            <v>1001062505913</v>
          </cell>
          <cell r="C489" t="str">
            <v>Z-ЭКСТРА Папа может с/к в/у(для нарезки)</v>
          </cell>
          <cell r="D489" t="str">
            <v>КГ</v>
          </cell>
          <cell r="E489" t="str">
            <v>Колбасные изделия</v>
          </cell>
          <cell r="F489" t="str">
            <v>С/к колбасы</v>
          </cell>
          <cell r="G489" t="str">
            <v>Останкино</v>
          </cell>
          <cell r="H489" t="str">
            <v>ОМПК(О)
ОМПК(Г)</v>
          </cell>
          <cell r="I489" t="str">
            <v>ТУ 9213-140-00425283-2015</v>
          </cell>
          <cell r="J489" t="str">
            <v>Мясной продукт. Изделие колбасное сырокопченое.</v>
          </cell>
          <cell r="K489" t="str">
            <v>свинина, шпик, филе грудок куриных, говядина, соевый белок, смесь посолочно-нитритная (соль, фиксатор окраски нитрит натрия), соль, молочный белок, регулятор кислотности пирофосфаты, растительная клетчатка (в т.ч. пшеничная), пряности и экстракты пряностей (кориандр, паприка, перец черный, перец чили), сахар, ароматизаторы, антиокислитель изоаскорбат натрия, усилитель вкуса и аромата глутамат натрия, красители: кармины, красный рисовый; стартовая культура</v>
          </cell>
          <cell r="L489">
            <v>23</v>
          </cell>
          <cell r="M489">
            <v>32</v>
          </cell>
          <cell r="O489" t="str">
            <v>380/1575</v>
          </cell>
          <cell r="P489" t="str">
            <v>0…+12</v>
          </cell>
          <cell r="Q489">
            <v>120</v>
          </cell>
        </row>
        <row r="490">
          <cell r="B490">
            <v>1001062506575</v>
          </cell>
          <cell r="C490" t="str">
            <v>Z-ЭКСТРА Папа может с/к в/у 1/250</v>
          </cell>
          <cell r="D490" t="str">
            <v>ШТ</v>
          </cell>
          <cell r="E490" t="str">
            <v>Колбасные изделия</v>
          </cell>
          <cell r="F490" t="str">
            <v>С/к колбасы</v>
          </cell>
          <cell r="G490" t="str">
            <v>Папа может</v>
          </cell>
          <cell r="H490" t="str">
            <v>ОМПК(О)</v>
          </cell>
          <cell r="I490" t="str">
            <v>ТУ 10.13.14-181-00425283-2026</v>
          </cell>
          <cell r="J490" t="str">
            <v>Мясной продукт. Изделие колбасное сырокопченое.</v>
          </cell>
          <cell r="K490" t="str">
            <v>свинина, шпик, вода питьевая, белок соевый, смесь посолочно-нитритная (соль, фиксатор окраски (нитрит натрия)), регуляторы кислотности (пирофосфат натрия, трифосфаты натрия), чеснок сушеный молотый, лук репчатый сушеный, кориандр, паприка, перец черный молотый, перец чили, сахара, белок молочный, пищевые волокна, гемоглобин, антиокислитель (изоаскорбат натрия), усилитель вкуса и аромата (глутамат натрия 1-замещенный), ароматизатор, краситель (кармины)</v>
          </cell>
          <cell r="L490">
            <v>18</v>
          </cell>
          <cell r="M490">
            <v>38</v>
          </cell>
          <cell r="N490">
            <v>3</v>
          </cell>
          <cell r="O490" t="str">
            <v>426/1763</v>
          </cell>
          <cell r="P490" t="str">
            <v>0…+6</v>
          </cell>
          <cell r="Q490">
            <v>120</v>
          </cell>
        </row>
        <row r="491">
          <cell r="B491">
            <v>1001062474023</v>
          </cell>
          <cell r="C491" t="str">
            <v>ЮБИЛЕЙНАЯ с/к в/у 1/250 8шт.</v>
          </cell>
          <cell r="D491" t="str">
            <v>ШТ</v>
          </cell>
          <cell r="E491" t="str">
            <v>Колбасные изделия</v>
          </cell>
          <cell r="F491" t="str">
            <v>С/к колбасы</v>
          </cell>
          <cell r="G491" t="str">
            <v>Останкино</v>
          </cell>
          <cell r="H491" t="str">
            <v>ОМПК(О)</v>
          </cell>
          <cell r="I491" t="str">
            <v>ТУ 10.13.14-181-00425283-2026</v>
          </cell>
          <cell r="J491" t="str">
            <v>Мясной продукт. Изделие колбасное сырокопченое.</v>
          </cell>
          <cell r="K491" t="str">
            <v>свинина, окорок свиной, шпик, говядина, вода питьевая, белок соевый, белок молочный, волокна пищевые (растительные), смесь посолочно-нитритная (соль, фиксатор окраски (нитрит натрия)), перец черный, мускатный орех, горчица, сахара, антиокислитель (изоаскорбат натрия), усилитель вкуса и аромата (глутамат натрия 1-замещенный), гемоглобин, ароматизаторы, краситель (кармины), стартовая культура</v>
          </cell>
          <cell r="L491">
            <v>20</v>
          </cell>
          <cell r="M491">
            <v>39</v>
          </cell>
          <cell r="N491">
            <v>5</v>
          </cell>
          <cell r="O491" t="str">
            <v>451/1868</v>
          </cell>
          <cell r="P491" t="str">
            <v>0…+6</v>
          </cell>
          <cell r="Q491">
            <v>120</v>
          </cell>
        </row>
        <row r="492">
          <cell r="B492">
            <v>1001062474767</v>
          </cell>
          <cell r="C492" t="str">
            <v>ЮБИЛЕЙНАЯ с/к в/у 1/250 8шт_СНГ</v>
          </cell>
          <cell r="D492" t="str">
            <v>ШТ</v>
          </cell>
          <cell r="E492" t="str">
            <v>Колбасные изделия</v>
          </cell>
          <cell r="F492" t="str">
            <v>С/к колбасы</v>
          </cell>
          <cell r="G492" t="str">
            <v>Останкино</v>
          </cell>
          <cell r="H492" t="str">
            <v>ОМПК(О)</v>
          </cell>
          <cell r="I492" t="str">
            <v>ТУ 10.13.14-181-00425283-2026</v>
          </cell>
          <cell r="J492" t="str">
            <v>Мясной продукт. Изделие колбасное сырокопченое.</v>
          </cell>
          <cell r="K492" t="str">
            <v>свинина, окорок свиной, шпик, говядина, вода питьевая, белок соевый, белок молочный, волокна пищевые (растительные), смесь посолочно-нитритная (соль, фиксатор окраски (нитрит натрия)), перец черный, мускатный орех, горчица, сахара, антиокислитель (изоаскорбат натрия), усилитель вкуса и аромата (глутамат натрия 1-замещенный), гемоглобин, ароматизаторы, краситель (кармины), стартовая культура</v>
          </cell>
          <cell r="L492">
            <v>20</v>
          </cell>
          <cell r="M492">
            <v>39</v>
          </cell>
          <cell r="N492">
            <v>5</v>
          </cell>
          <cell r="O492" t="str">
            <v>451/1868</v>
          </cell>
          <cell r="P492" t="str">
            <v>0…+6</v>
          </cell>
          <cell r="Q492">
            <v>120</v>
          </cell>
        </row>
        <row r="493">
          <cell r="B493">
            <v>1001062473970</v>
          </cell>
          <cell r="C493" t="str">
            <v>ЮБИЛЕЙНАЯ с/к в/у_Ашан</v>
          </cell>
          <cell r="D493" t="str">
            <v>КГ</v>
          </cell>
          <cell r="E493" t="str">
            <v>Колбасные изделия</v>
          </cell>
          <cell r="F493" t="str">
            <v>С/к колбасы</v>
          </cell>
          <cell r="G493" t="str">
            <v>Останкино</v>
          </cell>
          <cell r="H493" t="str">
            <v>ОМПК(О)</v>
          </cell>
          <cell r="I493" t="str">
            <v>ТУ 10.13.14-181-00425283-2026</v>
          </cell>
          <cell r="J493" t="str">
            <v>Мясной продукт. Изделие колбасное сырокопченое.</v>
          </cell>
          <cell r="K493" t="str">
            <v>свинина, окорок свиной, шпик, говядина, вода питьевая, белок соевый, белок молочный, волокна пищевые (растительные), смесь посолочно-нитритная (соль, фиксатор окраски (нитрит натрия)), перец черный, мускатный орех, горчица, сахара, антиокислитель (изоаскорбат натрия), усилитель вкуса и аромата (глутамат натрия 1-замещенный), гемоглобин, ароматизаторы, краситель (кармины), стартовая культура</v>
          </cell>
          <cell r="L493">
            <v>20</v>
          </cell>
          <cell r="M493">
            <v>39</v>
          </cell>
          <cell r="N493">
            <v>5</v>
          </cell>
          <cell r="O493" t="str">
            <v>451/1868</v>
          </cell>
          <cell r="P493" t="str">
            <v>0…+12</v>
          </cell>
          <cell r="Q493">
            <v>120</v>
          </cell>
        </row>
        <row r="494">
          <cell r="B494">
            <v>1001062475047</v>
          </cell>
          <cell r="C494" t="str">
            <v>Z-ЮБИЛЕЙНАЯ с/к в/у</v>
          </cell>
          <cell r="D494" t="str">
            <v>КГ</v>
          </cell>
          <cell r="E494" t="str">
            <v>Колбасные изделия</v>
          </cell>
          <cell r="F494" t="str">
            <v>С/к колбасы</v>
          </cell>
          <cell r="G494" t="str">
            <v>Останкино</v>
          </cell>
          <cell r="H494" t="str">
            <v>ОМПК(О)</v>
          </cell>
          <cell r="I494" t="str">
            <v>ТУ 10.13.14-181-00425283-2026</v>
          </cell>
          <cell r="J494" t="str">
            <v>Мясной продукт. Изделие колбасное сырокопченое.</v>
          </cell>
          <cell r="K494" t="str">
            <v>свинина, окорок свиной, шпик, говядина, вода питьевая, белок соевый, белок молочный, волокна пищевые (растительные), смесь посолочно-нитритная (соль, фиксатор окраски (нитрит натрия)), перец черный, мускатный орех, горчица, сахара, антиокислитель (изоаскорбат натрия), усилитель вкуса и аромата (глутамат натрия 1-замещенный), гемоглобин, ароматизаторы, краситель (кармины), стартовая культура</v>
          </cell>
          <cell r="L494">
            <v>20</v>
          </cell>
          <cell r="M494">
            <v>39</v>
          </cell>
          <cell r="N494">
            <v>5</v>
          </cell>
          <cell r="O494" t="str">
            <v>451/1868</v>
          </cell>
          <cell r="P494" t="str">
            <v>0…+12</v>
          </cell>
          <cell r="Q494">
            <v>120</v>
          </cell>
        </row>
        <row r="495">
          <cell r="B495">
            <v>1001062476300</v>
          </cell>
          <cell r="C495" t="str">
            <v>Z-ЮБИЛЕЙНАЯ с/к в/у 1/250</v>
          </cell>
          <cell r="D495" t="str">
            <v>ШТ</v>
          </cell>
          <cell r="E495" t="str">
            <v>Колбасные изделия</v>
          </cell>
          <cell r="F495" t="str">
            <v>С/к колбасы</v>
          </cell>
          <cell r="G495" t="str">
            <v>Останкино</v>
          </cell>
          <cell r="H495" t="str">
            <v>ОМПК(О)</v>
          </cell>
          <cell r="I495" t="str">
            <v>ТУ 10.13.14-181-00425283-2026</v>
          </cell>
          <cell r="J495" t="str">
            <v>Мясной продукт. Изделие колбасное сырокопченое.</v>
          </cell>
          <cell r="K495" t="str">
            <v>свинина, окорок свиной, шпик, говядина, вода питьевая, белок соевый, белок молочный, волокна пищевые (растительные), смесь посолочно-нитритная (соль, фиксатор окраски (нитрит натрия)), перец черный, мускатный орех, горчица, сахара, антиокислитель (изоаскорбат натрия), усилитель вкуса и аромата (глутамат натрия 1-замещенный), гемоглобин, ароматизаторы, краситель (кармины), стартовая культура</v>
          </cell>
          <cell r="L495">
            <v>20</v>
          </cell>
          <cell r="M495">
            <v>39</v>
          </cell>
          <cell r="N495">
            <v>5</v>
          </cell>
          <cell r="O495" t="str">
            <v>451/1868</v>
          </cell>
          <cell r="P495" t="str">
            <v>0…+6</v>
          </cell>
          <cell r="Q495">
            <v>120</v>
          </cell>
        </row>
        <row r="496">
          <cell r="B496">
            <v>1001066357180</v>
          </cell>
          <cell r="C496" t="str">
            <v>Z-САЛЬЧИЧОН ПРЕМИУМ с/к в/у(для нарезки)</v>
          </cell>
          <cell r="D496" t="str">
            <v>КГ</v>
          </cell>
          <cell r="E496" t="str">
            <v>Колбасные изделия</v>
          </cell>
          <cell r="F496" t="str">
            <v>С/к колбасы</v>
          </cell>
          <cell r="G496" t="str">
            <v>Останкино</v>
          </cell>
          <cell r="H496" t="str">
            <v>ОМПК(Г)</v>
          </cell>
          <cell r="I496" t="str">
            <v>ТУ 10.13.14-145-00425283-2017</v>
          </cell>
          <cell r="J496" t="str">
            <v>Мясной продукт. Изделие колбасное сырокопченое.</v>
          </cell>
          <cell r="K496" t="str">
            <v>свинина, шпик, волокна пищевые, смесь посолочно-нитритная (соль, фиксатор окраски (нитрит натрия)), соль, регуляторы кислотности (глюконо-дельта-лактон, пирофосфаты, цитраты натрия), сахара, специи и пряности, экстракты пряностей, усилитель вкуса и аромата (глутамат натрия), антиокислители (изоаскорбат натрия, аскорбиновая кислота, экстракт розмарина), ароматизаторы, экстракт дрожжей</v>
          </cell>
          <cell r="L496">
            <v>22</v>
          </cell>
          <cell r="M496">
            <v>38</v>
          </cell>
          <cell r="N496">
            <v>2</v>
          </cell>
          <cell r="O496" t="str">
            <v>439/1819</v>
          </cell>
          <cell r="P496" t="str">
            <v>0…+6</v>
          </cell>
          <cell r="Q496">
            <v>60</v>
          </cell>
        </row>
        <row r="497">
          <cell r="B497">
            <v>1001065466943</v>
          </cell>
          <cell r="C497" t="str">
            <v>Z-САН-РЕМО/ТОЛЕДО с/в в/у (для нарезки)</v>
          </cell>
          <cell r="D497" t="str">
            <v>КГ</v>
          </cell>
          <cell r="E497" t="str">
            <v>Колбасные изделия</v>
          </cell>
          <cell r="F497" t="str">
            <v>С/к колбасы</v>
          </cell>
          <cell r="G497" t="str">
            <v>Останкино</v>
          </cell>
          <cell r="H497" t="str">
            <v>ОМПК(Г)</v>
          </cell>
          <cell r="I497" t="str">
            <v>ТУ 10.13.14-164-00425283-2023</v>
          </cell>
          <cell r="J497" t="str">
            <v>Мясной продукт. Изделие колбасное сыровяленое.</v>
          </cell>
          <cell r="K497" t="str">
            <v>свинина, шпик, животный белок, пищевые волокна (цитрусовые, свекольные, пшеничные), смесь посолочно-нитритная (соль, фиксатор окраски нитрит натрия), регуляторы кислотности: глюконо-дельта-лактон, ацетаты натрия, цитраты натрия, пирофосфаты, трифосфаты; соль, сахара, усилитель вкуса и аромата глутамат натрия, чеснок, грибы белые сушеные, молоко сухое обезжиренное, ароматизаторы, антиокислители: аскорбат натрия, изоаскорбат натрия; красители: кармины, сахарный колер III, красный рисовый</v>
          </cell>
          <cell r="L497">
            <v>16</v>
          </cell>
          <cell r="M497">
            <v>24</v>
          </cell>
          <cell r="O497" t="str">
            <v>280/1160</v>
          </cell>
          <cell r="P497" t="str">
            <v>0…+6</v>
          </cell>
          <cell r="Q497">
            <v>65</v>
          </cell>
        </row>
        <row r="498">
          <cell r="B498">
            <v>1001063206940</v>
          </cell>
          <cell r="C498" t="str">
            <v>Z-МИЛАНО с/к в/у (для нарезки)</v>
          </cell>
          <cell r="D498" t="str">
            <v>КГ</v>
          </cell>
          <cell r="E498" t="str">
            <v>Колбасные изделия</v>
          </cell>
          <cell r="F498" t="str">
            <v>С/к колбасы</v>
          </cell>
          <cell r="G498" t="str">
            <v>Останкино</v>
          </cell>
          <cell r="H498" t="str">
            <v>ОМПК(Г)</v>
          </cell>
          <cell r="I498" t="str">
            <v>ТУ 10.13.14-145-00425283-2017</v>
          </cell>
          <cell r="J498" t="str">
            <v>Мясной продукт. Изделие колбасное сырокопченое.</v>
          </cell>
          <cell r="K498" t="str">
            <v>свинина, пищевые волокна (цитрусовые, свекольные, пшеничные), смесь посолочно-нитритная (соль, фиксатор окраски нитрит натрия), регуляторы кислотности: глюконо-дельта-лактон, ацетаты натрия, цитраты натрия, пирофосфаты, трифосфаты; соль, сахара, пряности, усилитель вкуса и аромата глутамат натрия, ароматизаторы, лактоза, экстракт дрожжей, антиокислители: аскорбат натрия, изоаскорбат натрия; красители: кармины, сахарный колер III, красный рисовый</v>
          </cell>
          <cell r="L498">
            <v>17</v>
          </cell>
          <cell r="M498">
            <v>19</v>
          </cell>
          <cell r="O498" t="str">
            <v>239/992</v>
          </cell>
          <cell r="P498" t="str">
            <v>0…+6</v>
          </cell>
          <cell r="Q498">
            <v>65</v>
          </cell>
        </row>
        <row r="499">
          <cell r="B499">
            <v>1001065446941</v>
          </cell>
          <cell r="C499" t="str">
            <v>Z-ТОСКАНО с/к в/у (для нарезки)</v>
          </cell>
          <cell r="D499" t="str">
            <v>КГ</v>
          </cell>
          <cell r="E499" t="str">
            <v>Колбасные изделия</v>
          </cell>
          <cell r="F499" t="str">
            <v>С/к колбасы</v>
          </cell>
          <cell r="G499" t="str">
            <v>Останкино</v>
          </cell>
          <cell r="H499" t="str">
            <v>ОМПК(Г)</v>
          </cell>
          <cell r="I499" t="str">
            <v>ТУ 10.13.14-145-00425283-2017</v>
          </cell>
          <cell r="J499" t="str">
            <v>Мясной продукт. Изделие колбасное сырокопченое.</v>
          </cell>
          <cell r="K499" t="str">
            <v>свинина, шпик, животный белок, пищевые волокна (цитрусовые, свекольные, пшеничные), смесь посолочно-нитритная (соль, фиксатор окраски нитрит натрия), регуляторы кислотности: глюконо-дельта-лактон, ацетаты натрия, цитраты натрия, трифосфаты; сахара, соль, стабилизаторы: пирофосфаты, полифосфаты; специи и экстракты специй, лактоза, усилитель вкуса и аромата глутамат натрия, ароматизаторы, антиокислители: аскорбат натрия, изоаскорбат натрия; красители: кармины, сахарный колер III, красный рисовый</v>
          </cell>
          <cell r="L499">
            <v>15</v>
          </cell>
          <cell r="M499">
            <v>26</v>
          </cell>
          <cell r="O499" t="str">
            <v>294/1217</v>
          </cell>
          <cell r="P499" t="str">
            <v>0…+6</v>
          </cell>
          <cell r="Q499">
            <v>65</v>
          </cell>
        </row>
        <row r="500">
          <cell r="B500">
            <v>1001065456942</v>
          </cell>
          <cell r="C500" t="str">
            <v>Z-ПАЛЕРМО/КАПРИ с/в в/у (для нарезки)</v>
          </cell>
          <cell r="D500" t="str">
            <v>КГ</v>
          </cell>
          <cell r="E500" t="str">
            <v>Колбасные изделия</v>
          </cell>
          <cell r="F500" t="str">
            <v>С/к колбасы</v>
          </cell>
          <cell r="G500" t="str">
            <v>Останкино</v>
          </cell>
          <cell r="H500" t="str">
            <v>ОМПК(Г)</v>
          </cell>
          <cell r="I500" t="str">
            <v>ТУ 10.13.14-164-00425283-2023</v>
          </cell>
          <cell r="J500" t="str">
            <v>Мясной продукт. Изделие колбасное сыровяленое.</v>
          </cell>
          <cell r="K500" t="str">
            <v>свинина, шпик, животный белок, пищевые волокна (цитрусовые, свекольные, пшеничные), смесь посолочно-нитритная (соль, фиксатор окраски нитрит натрия), регуляторы кислотности: глюконо-дельта-лактон, ацетаты натрия, цитраты натрия, пирофосфаты, трифосфаты; стабилизатор полифосфаты, соль, сахара, специи, соевый белок, загустители: каррагинан из водорослей EUCHEMA, ксантановая камедь; лактоза, усилитель вкуса и аромата глутамат натрия, ароматизаторы, антиокислители: аскорбат натрия, изоаскорбат натрия; красители: кармины, сахарный колер III, красный рисовый</v>
          </cell>
          <cell r="L500">
            <v>15</v>
          </cell>
          <cell r="M500">
            <v>26</v>
          </cell>
          <cell r="O500" t="str">
            <v>294/1217</v>
          </cell>
          <cell r="P500" t="str">
            <v>0…+6</v>
          </cell>
          <cell r="Q500">
            <v>65</v>
          </cell>
        </row>
        <row r="501">
          <cell r="B501">
            <v>1001060653917</v>
          </cell>
          <cell r="C501" t="str">
            <v>БАСТУРМА сыровяленая в/с в/у</v>
          </cell>
          <cell r="D501" t="str">
            <v>КГ</v>
          </cell>
          <cell r="E501" t="str">
            <v>Колбасные изделия</v>
          </cell>
          <cell r="F501" t="str">
            <v>С/к колбасы</v>
          </cell>
          <cell r="G501" t="str">
            <v>Останкино</v>
          </cell>
          <cell r="H501" t="str">
            <v>ОМПК(О)</v>
          </cell>
          <cell r="I501" t="str">
            <v>ТУ 10.13.14-184-00425283-2026</v>
          </cell>
          <cell r="J501" t="str">
            <v>Мясной продукт из говядины сыровяленый категории А.</v>
          </cell>
          <cell r="K501" t="str">
            <v>говядина, пажитник молотый, чеснок свежий, перец черный, перец красный, мука пшеничная в/с, соль, антиокислитель (лимонная кислота), смесь посолочно-нитритная (соль, фиксатор окраски (нитрит натрия))</v>
          </cell>
          <cell r="L501">
            <v>41</v>
          </cell>
          <cell r="M501">
            <v>7</v>
          </cell>
          <cell r="N501">
            <v>2</v>
          </cell>
          <cell r="O501" t="str">
            <v>235/990</v>
          </cell>
          <cell r="P501" t="str">
            <v>0…+12</v>
          </cell>
          <cell r="Q501">
            <v>120</v>
          </cell>
        </row>
        <row r="502">
          <cell r="B502">
            <v>1001070656289</v>
          </cell>
          <cell r="C502" t="str">
            <v>БАСТУРМА сыровяленая в/с в/у_Ашан</v>
          </cell>
          <cell r="D502" t="str">
            <v>КГ</v>
          </cell>
          <cell r="E502" t="str">
            <v>Колбасные изделия</v>
          </cell>
          <cell r="F502" t="str">
            <v>С/к колбасы</v>
          </cell>
          <cell r="G502" t="str">
            <v>Останкино</v>
          </cell>
          <cell r="H502" t="str">
            <v>ОМПК(О)</v>
          </cell>
          <cell r="I502" t="str">
            <v>ТУ 10.13.14-184-00425283-2026</v>
          </cell>
          <cell r="J502" t="str">
            <v>Мясной продукт из говядины сыровяленый категории А.</v>
          </cell>
          <cell r="K502" t="str">
            <v>говядина, пажитник молотый, чеснок свежий, перец черный, перец красный, мука пшеничная в/с, соль, антиокислитель (лимонная кислота), смесь посолочно-нитритная (соль, фиксатор окраски (нитрит натрия))</v>
          </cell>
          <cell r="L502">
            <v>41</v>
          </cell>
          <cell r="M502">
            <v>7</v>
          </cell>
          <cell r="N502">
            <v>2</v>
          </cell>
          <cell r="O502" t="str">
            <v>235/990</v>
          </cell>
          <cell r="P502" t="str">
            <v>0…+12</v>
          </cell>
          <cell r="Q502">
            <v>120</v>
          </cell>
        </row>
        <row r="503">
          <cell r="B503">
            <v>1001070656752</v>
          </cell>
          <cell r="C503" t="str">
            <v>БАСТУРМА сыровяленая в/с в/у_Г</v>
          </cell>
          <cell r="D503" t="str">
            <v>КГ</v>
          </cell>
          <cell r="E503" t="str">
            <v>Колбасные изделия</v>
          </cell>
          <cell r="F503" t="str">
            <v>С/к колбасы</v>
          </cell>
          <cell r="G503" t="str">
            <v>Останкино</v>
          </cell>
          <cell r="H503" t="str">
            <v>ОМПК(О)</v>
          </cell>
          <cell r="I503" t="str">
            <v>ТУ 10.13.14-184-00425283-2026</v>
          </cell>
          <cell r="J503" t="str">
            <v>Мясной продукт из говядины сыровяленый категории А.</v>
          </cell>
          <cell r="K503" t="str">
            <v>говядина, пажитник молотый, чеснок свежий, перец черный, перец красный, мука пшеничная в/с, соль, антиокислитель (лимонная кислота), смесь посолочно-нитритная (соль, фиксатор окраски (нитрит натрия))</v>
          </cell>
          <cell r="L503">
            <v>41</v>
          </cell>
          <cell r="M503">
            <v>7</v>
          </cell>
          <cell r="N503">
            <v>2</v>
          </cell>
          <cell r="O503" t="str">
            <v>235/990</v>
          </cell>
          <cell r="P503" t="str">
            <v>0…+12</v>
          </cell>
          <cell r="Q503">
            <v>120</v>
          </cell>
        </row>
        <row r="504">
          <cell r="B504">
            <v>1001070656118</v>
          </cell>
          <cell r="C504" t="str">
            <v>БАСТУРМА сыровяленая в/с в/у_Л</v>
          </cell>
          <cell r="D504" t="str">
            <v>КГ</v>
          </cell>
          <cell r="E504" t="str">
            <v>Колбасные изделия</v>
          </cell>
          <cell r="F504" t="str">
            <v>С/к колбасы</v>
          </cell>
          <cell r="G504" t="str">
            <v>Останкино</v>
          </cell>
          <cell r="H504" t="str">
            <v>ОМПК(О)</v>
          </cell>
          <cell r="I504" t="str">
            <v>ТУ 10.13.14-184-00425283-2026</v>
          </cell>
          <cell r="J504" t="str">
            <v>Мясной продукт из говядины сыровяленый категории А.</v>
          </cell>
          <cell r="K504" t="str">
            <v>говядина, пажитник молотый, чеснок свежий, перец черный, перец красный, мука пшеничная в/с, соль, антиокислитель (лимонная кислота), смесь посолочно-нитритная (соль, фиксатор окраски (нитрит натрия))</v>
          </cell>
          <cell r="L504">
            <v>41</v>
          </cell>
          <cell r="M504">
            <v>7</v>
          </cell>
          <cell r="N504">
            <v>2</v>
          </cell>
          <cell r="O504" t="str">
            <v>235/990</v>
          </cell>
          <cell r="P504" t="str">
            <v>0…+12</v>
          </cell>
          <cell r="Q504">
            <v>120</v>
          </cell>
        </row>
        <row r="505">
          <cell r="B505">
            <v>1001070656152</v>
          </cell>
          <cell r="C505" t="str">
            <v>Z-БАСТУРМА сыровяленая в/с в/у</v>
          </cell>
          <cell r="D505" t="str">
            <v>КГ</v>
          </cell>
          <cell r="E505" t="str">
            <v>Колбасные изделия</v>
          </cell>
          <cell r="F505" t="str">
            <v>С/к колбасы</v>
          </cell>
          <cell r="G505" t="str">
            <v>Останкино</v>
          </cell>
          <cell r="H505" t="str">
            <v>ОМПК(О)</v>
          </cell>
          <cell r="I505" t="str">
            <v>ТУ 10.13.14-184-00425283-2026</v>
          </cell>
          <cell r="J505" t="str">
            <v>Мясной продукт из говядины сыровяленый категории А.</v>
          </cell>
          <cell r="K505" t="str">
            <v>говядина, пажитник молотый, чеснок свежий, перец черный, перец красный, мука пшеничная в/с, соль, антиокислитель (лимонная кислота), смесь посолочно-нитритная (соль, фиксатор окраски (нитрит натрия))</v>
          </cell>
          <cell r="L505">
            <v>41</v>
          </cell>
          <cell r="M505">
            <v>7</v>
          </cell>
          <cell r="N505">
            <v>2</v>
          </cell>
          <cell r="O505" t="str">
            <v>235/990</v>
          </cell>
          <cell r="P505" t="str">
            <v>0…+12</v>
          </cell>
          <cell r="Q505">
            <v>120</v>
          </cell>
        </row>
        <row r="506">
          <cell r="B506">
            <v>1001035937001</v>
          </cell>
          <cell r="C506" t="str">
            <v>КЛАССИЧЕСКИЕ Папа может сар б/о мгс 1*3</v>
          </cell>
          <cell r="D506" t="str">
            <v>КГ</v>
          </cell>
          <cell r="E506" t="str">
            <v>Колбасные изделия</v>
          </cell>
          <cell r="F506" t="str">
            <v>Сардельки</v>
          </cell>
          <cell r="G506" t="str">
            <v>Папа может</v>
          </cell>
          <cell r="H506" t="str">
            <v>ОМПК(О)</v>
          </cell>
          <cell r="I506" t="str">
            <v>ТУ 10.13.14-150-00425283-2026</v>
          </cell>
          <cell r="J506" t="str">
            <v>Изделие колбасное вареное из мяса кур охлажденное.</v>
          </cell>
          <cell r="K506" t="str">
            <v>мясо цыпленка-бройлера бескостное, мясо цыпленка-бройлера механической обвалки, свинина, говядина, стабилизатор белковый (шкурка свиная, вода питьевая), вода питьевая, сыворотка молочная сухая, крахмалы (кукурузный,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ксантановая камедь), лук репчатый сушеный, чеснок сушеный молотый, тмин, пажитник, сельдерей, антиокислители (аскорбиновая кислота, лимонная кислота), усилитель вкуса и аромата (глутамат натрия 1-замещенный), ароматизатор, красители (кармины, экстракт паприки)</v>
          </cell>
          <cell r="L506">
            <v>9</v>
          </cell>
          <cell r="M506">
            <v>15</v>
          </cell>
          <cell r="N506">
            <v>6</v>
          </cell>
          <cell r="O506" t="str">
            <v>195/810</v>
          </cell>
          <cell r="P506" t="str">
            <v>0…+6</v>
          </cell>
          <cell r="Q506">
            <v>45</v>
          </cell>
        </row>
        <row r="507">
          <cell r="B507">
            <v>1001031017050</v>
          </cell>
          <cell r="C507" t="str">
            <v>КОЛБАСКИ БЕЛЫЕ МЮНХЕНСКИЕ б/о мгс 1/320</v>
          </cell>
          <cell r="D507" t="str">
            <v>ШТ</v>
          </cell>
          <cell r="E507" t="str">
            <v>Колбасные изделия</v>
          </cell>
          <cell r="F507" t="str">
            <v>Сардельки</v>
          </cell>
          <cell r="G507" t="str">
            <v>Останкино</v>
          </cell>
          <cell r="H507" t="str">
            <v xml:space="preserve">ОМПК(О)
</v>
          </cell>
          <cell r="I507" t="str">
            <v>ТУ 10.13.14-180-00425283-2025</v>
          </cell>
          <cell r="J507" t="str">
            <v>Мясной продукт. Изделие колбасное вареное категории Б.</v>
          </cell>
          <cell r="K507" t="str">
            <v>свинина, филе грудок куриных, стабилизатор белковый (вода питьевая, шкурка свиная), вода питьевая, соль, волокна пищевые (пшеничные), регуляторы кислотности (пирофосфаты, трифосфаты, цитраты натрия), стабилизатор (полифосфаты), майоран, специи, экстракты специй, сахара, антиокислители (аскорбиновая кислота, лимонная кислота), усилитель вкуса и аромата (глутамат натрия)</v>
          </cell>
          <cell r="L507">
            <v>14</v>
          </cell>
          <cell r="M507">
            <v>15</v>
          </cell>
          <cell r="N507">
            <v>2</v>
          </cell>
          <cell r="O507" t="str">
            <v>199/827</v>
          </cell>
          <cell r="P507" t="str">
            <v>0…+6</v>
          </cell>
          <cell r="Q507">
            <v>45</v>
          </cell>
        </row>
        <row r="508">
          <cell r="B508">
            <v>1001031017503</v>
          </cell>
          <cell r="C508" t="str">
            <v>КОЛБ.БЕЛЫЕ МЮНХЕН.GUTMANN б/о мгс 1/320</v>
          </cell>
          <cell r="D508" t="str">
            <v>ШТ</v>
          </cell>
          <cell r="E508" t="str">
            <v>Колбасные изделия</v>
          </cell>
          <cell r="F508" t="str">
            <v>Сардельки</v>
          </cell>
          <cell r="G508" t="str">
            <v>GUTMANN</v>
          </cell>
          <cell r="H508" t="str">
            <v xml:space="preserve">ОМПК(Г)
</v>
          </cell>
          <cell r="I508" t="str">
            <v>ТУ 10.13.14-180-00425283-2025</v>
          </cell>
          <cell r="J508" t="str">
            <v>Мясной продукт. Изделие колбасное вареное категории Б.</v>
          </cell>
          <cell r="K508" t="str">
            <v>свинина, филе грудок куриных, стабилизатор белковый (вода питьевая, шкурка свиная), вода питьевая, соль, волокна пищевые (пшеничные), регуляторы кислотности (пирофосфаты, трифосфаты, цитраты натрия), стабилизатор (полифосфаты), майоран, специи, экстракты специй, сахара, антиокислители (аскорбиновая кислота, лимонная кислота), усилитель вкуса и аромата (глутамат натрия)</v>
          </cell>
          <cell r="L508">
            <v>14</v>
          </cell>
          <cell r="M508">
            <v>15</v>
          </cell>
          <cell r="N508">
            <v>2</v>
          </cell>
          <cell r="O508">
            <v>827998</v>
          </cell>
          <cell r="P508" t="str">
            <v>0…+6</v>
          </cell>
          <cell r="Q508">
            <v>45</v>
          </cell>
        </row>
        <row r="509">
          <cell r="B509">
            <v>1001032736549</v>
          </cell>
          <cell r="C509" t="str">
            <v>МЯСНЫЕ Папа может сар б/о мгс 1*3_Х5_45с</v>
          </cell>
          <cell r="D509" t="str">
            <v>КГ</v>
          </cell>
          <cell r="E509" t="str">
            <v>Колбасные изделия</v>
          </cell>
          <cell r="F509" t="str">
            <v>Сардельки</v>
          </cell>
          <cell r="G509" t="str">
            <v>Папа может</v>
          </cell>
          <cell r="H509" t="str">
            <v>ОМПК(О)</v>
          </cell>
          <cell r="I509" t="str">
            <v>ТУ 10.13.14-180-00425283-2025</v>
          </cell>
          <cell r="J509" t="str">
            <v>Мясной продукт. Изделие колбасное вареное категории В.</v>
          </cell>
          <cell r="K509" t="str">
            <v>свинина, мясо куриное механической обвалки, вода питьевая, стабилизатор белковый (вода питьевая, шкурка свиная), говядина, сыворотка молочная сухая, крахмалы (картофельный, кукурузный), смесь посолочно-нитритная (соль, фиксатор окраски (нитрит натрия)), регуляторы кислотности (трифосфаты, пирофосфаты, цитраты натрия), стабилизаторы (полифосфаты, альгинат натрия), соль, специи, экстракты специй и пряностей (в т.ч. сельдерей), сахара, антиокислители (изоаскорбат натрия, лимонная кислота, аскорбиновая кислота), усилитель вкуса и аромата (глутамат натрия), ароматизаторы (в т.ч. горчица, молоко), краситель (кармины)</v>
          </cell>
          <cell r="L509">
            <v>11</v>
          </cell>
          <cell r="M509">
            <v>16</v>
          </cell>
          <cell r="N509">
            <v>2</v>
          </cell>
          <cell r="O509" t="str">
            <v>196/813</v>
          </cell>
          <cell r="P509" t="str">
            <v>0…+6</v>
          </cell>
          <cell r="Q509">
            <v>45</v>
          </cell>
        </row>
        <row r="510">
          <cell r="B510">
            <v>1001032736529</v>
          </cell>
          <cell r="C510" t="str">
            <v>МЯСНЫЕ Папа может сар б/о мгс 1*3_Л_45с</v>
          </cell>
          <cell r="D510" t="str">
            <v>КГ</v>
          </cell>
          <cell r="E510" t="str">
            <v>Колбасные изделия</v>
          </cell>
          <cell r="F510" t="str">
            <v>Сардельки</v>
          </cell>
          <cell r="G510" t="str">
            <v>Папа может</v>
          </cell>
          <cell r="H510" t="str">
            <v>ОМПК(О)</v>
          </cell>
          <cell r="I510" t="str">
            <v>ТУ 10.13.14-180-00425283-2025</v>
          </cell>
          <cell r="J510" t="str">
            <v>Мясной продукт. Изделие колбасное вареное категории В.</v>
          </cell>
          <cell r="K510" t="str">
            <v>свинина, мясо куриное механической обвалки, вода питьевая, стабилизатор белковый (вода питьевая, шкурка свиная), говядина, сыворотка молочная сухая, крахмалы (картофельный, кукурузный), смесь посолочно-нитритная (соль, фиксатор окраски (нитрит натрия)), регуляторы кислотности (трифосфаты, пирофосфаты, цитраты натрия), стабилизаторы (полифосфаты, альгинат натрия), соль, специи, экстракты специй и пряностей (в т.ч. сельдерей), сахара, антиокислители (изоаскорбат натрия, лимонная кислота, аскорбиновая кислота), усилитель вкуса и аромата (глутамат натрия), ароматизаторы (в т.ч. горчица, молоко), краситель (кармины)</v>
          </cell>
          <cell r="L510">
            <v>11</v>
          </cell>
          <cell r="M510">
            <v>16</v>
          </cell>
          <cell r="N510">
            <v>2</v>
          </cell>
          <cell r="O510" t="str">
            <v>196/813</v>
          </cell>
          <cell r="P510" t="str">
            <v>0…+6</v>
          </cell>
          <cell r="Q510">
            <v>45</v>
          </cell>
        </row>
        <row r="511">
          <cell r="B511">
            <v>1001032736550</v>
          </cell>
          <cell r="C511" t="str">
            <v>МЯСНЫЕ Папа может сар б/о мгс 1*3_О_45с</v>
          </cell>
          <cell r="D511" t="str">
            <v>КГ</v>
          </cell>
          <cell r="E511" t="str">
            <v>Колбасные изделия</v>
          </cell>
          <cell r="F511" t="str">
            <v>Сардельки</v>
          </cell>
          <cell r="G511" t="str">
            <v>Папа может</v>
          </cell>
          <cell r="H511" t="str">
            <v>ОМПК(О)</v>
          </cell>
          <cell r="I511" t="str">
            <v>ТУ 10.13.14-180-00425283-2025</v>
          </cell>
          <cell r="J511" t="str">
            <v>Мясной продукт. Изделие колбасное вареное категории В.</v>
          </cell>
          <cell r="K511" t="str">
            <v>свинина, мясо куриное механической обвалки, вода питьевая, стабилизатор белковый (вода питьевая, шкурка свиная), говядина, сыворотка молочная сухая, крахмалы (картофельный, кукурузный), смесь посолочно-нитритная (соль, фиксатор окраски (нитрит натрия)), регуляторы кислотности (трифосфаты, пирофосфаты, цитраты натрия), стабилизаторы (полифосфаты, альгинат натрия), соль, специи, экстракты специй и пряностей (в т.ч. сельдерей), сахара, антиокислители (изоаскорбат натрия, лимонная кислота, аскорбиновая кислота), усилитель вкуса и аромата (глутамат натрия), ароматизаторы (в т.ч. горчица, молоко), краситель (кармины)</v>
          </cell>
          <cell r="L511">
            <v>11</v>
          </cell>
          <cell r="M511">
            <v>16</v>
          </cell>
          <cell r="N511">
            <v>2</v>
          </cell>
          <cell r="O511" t="str">
            <v>196/813</v>
          </cell>
          <cell r="P511" t="str">
            <v>0…+6</v>
          </cell>
          <cell r="Q511">
            <v>45</v>
          </cell>
        </row>
        <row r="512">
          <cell r="B512">
            <v>1001033856608</v>
          </cell>
          <cell r="C512" t="str">
            <v>С ГОВЯДИНОЙ ОРИГИН. сар б/о мгс 1*3_45с</v>
          </cell>
          <cell r="D512" t="str">
            <v>КГ</v>
          </cell>
          <cell r="E512" t="str">
            <v>Колбасные изделия</v>
          </cell>
          <cell r="F512" t="str">
            <v>Сардельки</v>
          </cell>
          <cell r="G512" t="str">
            <v>Папа может</v>
          </cell>
          <cell r="H512" t="str">
            <v>ОМПК(О)</v>
          </cell>
          <cell r="I512" t="str">
            <v>ТУ 10.13.14-180-00425283-2025</v>
          </cell>
          <cell r="J512" t="str">
            <v>Мясосодержащий продукт. Изделие колбасное вареное категории В.</v>
          </cell>
          <cell r="K512" t="str">
            <v>свинина, мясо куриное механической обвалки, вода питьевая, стабилизатор белковый (вода питьевая, шкурка свиная), говядина, сыворотка молочная сухая, крахмал кукурузный, крахмал картофельный, смесь посолочно-нитритная (соль, фиксатор окраски (нитрит натрия)), соль, сахар, регуляторы кислотности (пирофосфаты, трифосфаты, цитраты натрия), загустители (каррагинан, гуаровая камедь, конжак), антиокислители (аскорбиновая кислота, лимонная кислота), экстракты пряностей, усилитель вкуса и аромата (глутамат натрия), краситель (кармины)</v>
          </cell>
          <cell r="L512">
            <v>11</v>
          </cell>
          <cell r="M512">
            <v>15</v>
          </cell>
          <cell r="N512">
            <v>3</v>
          </cell>
          <cell r="O512" t="str">
            <v>191/793</v>
          </cell>
          <cell r="P512" t="str">
            <v>0…+6</v>
          </cell>
          <cell r="Q512">
            <v>45</v>
          </cell>
        </row>
        <row r="513">
          <cell r="B513">
            <v>1001035027646</v>
          </cell>
          <cell r="C513" t="str">
            <v>С ИНДЕЙКОЙ ПМ сар п/о мгс 0.3кг 8шт.</v>
          </cell>
          <cell r="D513" t="str">
            <v>ШТ</v>
          </cell>
          <cell r="E513" t="str">
            <v>Колбасные изделия</v>
          </cell>
          <cell r="F513" t="str">
            <v>Сардельки</v>
          </cell>
          <cell r="G513" t="str">
            <v>Папа может</v>
          </cell>
          <cell r="H513" t="str">
            <v>ОМПК(Г)</v>
          </cell>
          <cell r="I513" t="str">
            <v>ТУ 10.13.14-150-00425283-2018</v>
          </cell>
          <cell r="J513" t="str">
            <v>Изделие колбасное вареное из мяса кур охлажденное.</v>
          </cell>
          <cell r="K513" t="str">
            <v>мясо цыпленка-бройлера механической обвалки, филе грудок куриных, мясо индейки бескостное, стабилизатор белковый (кожа куриная, вода питьевая), говядина, вода питьевая,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гуаровая камедь, альгинат натрия, модифицированный крахмал), перец черный, мускатный орех, перец чили, кардамон перец белый, сахара, антиокислитель (аскорбиновая кислота, лимонная кислота), усилитель вкуса и аромата (глутамат натрия 1-замещенный), ароматизатор, краситель (кармины)</v>
          </cell>
          <cell r="L513">
            <v>10</v>
          </cell>
          <cell r="M513">
            <v>12</v>
          </cell>
          <cell r="N513">
            <v>4</v>
          </cell>
          <cell r="O513" t="str">
            <v>164/682</v>
          </cell>
          <cell r="P513" t="str">
            <v>0…+6</v>
          </cell>
          <cell r="Q513">
            <v>60</v>
          </cell>
        </row>
        <row r="514">
          <cell r="B514">
            <v>1001031076527</v>
          </cell>
          <cell r="C514" t="str">
            <v>ШПИКАЧКИ СОЧНЫЕ ПМ сар б/о мгс 1*3_45с</v>
          </cell>
          <cell r="D514" t="str">
            <v>КГ</v>
          </cell>
          <cell r="E514" t="str">
            <v>Колбасные изделия</v>
          </cell>
          <cell r="F514" t="str">
            <v>Сардельки</v>
          </cell>
          <cell r="G514" t="str">
            <v>Папа может</v>
          </cell>
          <cell r="H514" t="str">
            <v>ОМПК(О)</v>
          </cell>
          <cell r="I514" t="str">
            <v>ТУ 10.13.14-180-00425283-2025</v>
          </cell>
          <cell r="J514" t="str">
            <v>Мясной продукт. Изделие колбасное вареное категории В.</v>
          </cell>
          <cell r="K514" t="str">
            <v>свинина, мясо куриное механической обвалки, вода, белковый стабилизатор (вода, шкурка свиная), шпик, крахмал картофельный, смесь посолочно-нитритная (соль, фиксатор окраски нитрит натрия), соль, загустители: альгинат натрия, каррагинан, гуаровая камедь, камедь целлюлозы; регуляторы кислотности: пирофосфаты, цитраты натрия; экстракты пряностей (мацис, перец), лук репчатый сушеный, декстроза, антиокислитель аскорбиновая кислота, усилители вкуса и аромата: глутамат натрия, рибонуклеотиды натрия; краситель кармины</v>
          </cell>
          <cell r="L514">
            <v>9</v>
          </cell>
          <cell r="M514">
            <v>26</v>
          </cell>
          <cell r="O514" t="str">
            <v>270/1115</v>
          </cell>
          <cell r="P514" t="str">
            <v>0…+6</v>
          </cell>
          <cell r="Q514">
            <v>45</v>
          </cell>
        </row>
        <row r="515">
          <cell r="B515">
            <v>1001031076548</v>
          </cell>
          <cell r="C515" t="str">
            <v>ШПИКАЧКИ СОЧНЫЕ сар б/о мгс 1*3_А_45с</v>
          </cell>
          <cell r="D515" t="str">
            <v>КГ</v>
          </cell>
          <cell r="E515" t="str">
            <v>Колбасные изделия</v>
          </cell>
          <cell r="F515" t="str">
            <v>Сардельки</v>
          </cell>
          <cell r="G515" t="str">
            <v>Папа может</v>
          </cell>
          <cell r="H515" t="str">
            <v>ОМПК(О)</v>
          </cell>
          <cell r="I515" t="str">
            <v>ТУ 10.13.14-180-00425283-2025</v>
          </cell>
          <cell r="J515" t="str">
            <v>Мясной продукт. Изделие колбасное вареное категории В.</v>
          </cell>
          <cell r="K515" t="str">
            <v>свинина, мясо куриное механической обвалки, вода, белковый стабилизатор (вода, шкурка свиная), шпик, крахмал картофельный, смесь посолочно-нитритная (соль, фиксатор окраски нитрит натрия), соль, загустители: альгинат натрия, каррагинан, гуаровая камедь, камедь целлюлозы; регуляторы кислотности: пирофосфаты, цитраты натрия; экстракты пряностей (мацис, перец), лук репчатый сушеный, декстроза, антиокислитель аскорбиновая кислота, усилители вкуса и аромата: глутамат натрия, рибонуклеотиды натрия; краситель кармины</v>
          </cell>
          <cell r="L515">
            <v>9</v>
          </cell>
          <cell r="M515">
            <v>26</v>
          </cell>
          <cell r="O515" t="str">
            <v>270/1115</v>
          </cell>
          <cell r="P515" t="str">
            <v>0…+6</v>
          </cell>
          <cell r="Q515">
            <v>45</v>
          </cell>
        </row>
        <row r="516">
          <cell r="B516">
            <v>1001031897056</v>
          </cell>
          <cell r="C516" t="str">
            <v>СОЧНЫЕ Папа может сар п/о мгс 1*3_60с</v>
          </cell>
          <cell r="D516" t="str">
            <v>КГ</v>
          </cell>
          <cell r="E516" t="str">
            <v>Колбасные изделия</v>
          </cell>
          <cell r="F516" t="str">
            <v>Сардельки</v>
          </cell>
          <cell r="G516" t="str">
            <v>Папа может</v>
          </cell>
          <cell r="H516" t="str">
            <v>ОМПК(Г)</v>
          </cell>
          <cell r="I516" t="str">
            <v>ТУ 10.13.14-150-00425283-2018</v>
          </cell>
          <cell r="J516" t="str">
            <v>Изделие колбасное вареное из мяса кур охлажденное.</v>
          </cell>
          <cell r="K516" t="str">
            <v>мясо куриное механической обвалки, свинина, вода питьевая, стабилизатор белковый (вода питьевая, шкурка свиная), крахмалы (кукурузный, картофельный), смесь посолочно-нитритная (соль, фиксатор окраски (нитрит натрия)), чеснок свежий,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конжак, ксантановая камедь), соль, пряности, экстракты пряностей, сахара, антиокислитель (аскорбиновая кислота), усилитель вкуса и аромата (глутамат натрия), ароматизаторы, краситель (кармины)</v>
          </cell>
          <cell r="L516">
            <v>10</v>
          </cell>
          <cell r="M516">
            <v>17</v>
          </cell>
          <cell r="N516">
            <v>4</v>
          </cell>
          <cell r="O516" t="str">
            <v>209/867</v>
          </cell>
          <cell r="P516" t="str">
            <v>0…+6</v>
          </cell>
          <cell r="Q516">
            <v>60</v>
          </cell>
        </row>
        <row r="517">
          <cell r="B517">
            <v>1001031897057</v>
          </cell>
          <cell r="C517" t="str">
            <v>СОЧНЫЕ Папа может сар п/о мгс 0.3кг_60с</v>
          </cell>
          <cell r="D517" t="str">
            <v>ШТ</v>
          </cell>
          <cell r="E517" t="str">
            <v>Колбасные изделия</v>
          </cell>
          <cell r="F517" t="str">
            <v>Сардельки</v>
          </cell>
          <cell r="G517" t="str">
            <v>Папа может</v>
          </cell>
          <cell r="H517" t="str">
            <v>ОМПК(Г)</v>
          </cell>
          <cell r="I517" t="str">
            <v>ТУ 10.13.14-150-00425283-2018</v>
          </cell>
          <cell r="J517" t="str">
            <v>Изделие колбасное вареное из мяса кур охлажденное.</v>
          </cell>
          <cell r="K517" t="str">
            <v>мясо куриное механической обвалки, свинина, вода питьевая, стабилизатор белковый (вода питьевая, шкурка свиная), крахмалы (кукурузный, картофельный), смесь посолочно-нитритная (соль, фиксатор окраски (нитрит натрия)), чеснок свежий,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конжак, ксантановая камедь), соль, пряности, экстракты пряностей, сахара, антиокислитель (аскорбиновая кислота), усилитель вкуса и аромата (глутамат натрия), ароматизаторы, краситель (кармины)</v>
          </cell>
          <cell r="L517">
            <v>10</v>
          </cell>
          <cell r="M517">
            <v>17</v>
          </cell>
          <cell r="N517">
            <v>4</v>
          </cell>
          <cell r="O517" t="str">
            <v>209/867</v>
          </cell>
          <cell r="P517" t="str">
            <v>0…+6</v>
          </cell>
          <cell r="Q517">
            <v>60</v>
          </cell>
        </row>
        <row r="518">
          <cell r="B518">
            <v>1001035267055</v>
          </cell>
          <cell r="C518" t="str">
            <v>СОЧНЫЕ С СЫРОМ ПМ сар п/о мгс 0.3кг_60с</v>
          </cell>
          <cell r="D518" t="str">
            <v>ШТ</v>
          </cell>
          <cell r="E518" t="str">
            <v>Колбасные изделия</v>
          </cell>
          <cell r="F518" t="str">
            <v>Сардельки</v>
          </cell>
          <cell r="G518" t="str">
            <v>Папа может</v>
          </cell>
          <cell r="H518" t="str">
            <v>ОМПК(Г)</v>
          </cell>
          <cell r="I518" t="str">
            <v>ТУ 10.13.14-150-00425283-2018</v>
          </cell>
          <cell r="J518" t="str">
            <v>Изделие колбасное вареное из мяса кур охлажденное.</v>
          </cell>
          <cell r="K518" t="str">
            <v>мясо куриное механической обвалки, свинина, вода питьевая, стабилизатор белковый (вода питьевая, шкурка свиная), продукт плавленый с сыром (вода питьевая, масло растительное рафинированное дезодорированное (в т.ч. гидрогенезированное, переэтерефицированное, подсолнечное и/или рапсовое), крахмал картофельный, молоко сухое обезжиренное, сыр (молоко пастеризованное, бактериальная закваска мезофильных молочнокислых микроорганизмов, молокосвертывающий ферментный препарат микробного происхождения), соль, регуляторы кислотности (цитраты натрия, пирофосфаты, карбонаты натрия, молочная кислота, янтарная кислота), стабилизаторы (полифосфаты, крахмал модифицированный), ароматизатор, красители (каротины, сахарный колер), крахмал картофельный, крахмал кукурузный,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модифицированный крахмал, камедь целлюлозы), пряности, экстракты пряностей, сахара, антиокислители (аскорбиновая кислота, лимонная кислота), усилитель вкуса и аромата (глутамат натрия), ароматизаторы, краситель (кармины)</v>
          </cell>
          <cell r="L518">
            <v>11</v>
          </cell>
          <cell r="M518">
            <v>13</v>
          </cell>
          <cell r="N518">
            <v>4</v>
          </cell>
          <cell r="O518" t="str">
            <v>177/736</v>
          </cell>
          <cell r="P518" t="str">
            <v>0…+6</v>
          </cell>
          <cell r="Q518">
            <v>60</v>
          </cell>
        </row>
        <row r="519">
          <cell r="B519">
            <v>1001035277058</v>
          </cell>
          <cell r="C519" t="str">
            <v>ШПИКАЧКИ СОЧНЫЕ С БЕК. п/о мгс 1*3_60с</v>
          </cell>
          <cell r="D519" t="str">
            <v>КГ</v>
          </cell>
          <cell r="E519" t="str">
            <v>Колбасные изделия</v>
          </cell>
          <cell r="F519" t="str">
            <v>Сардельки</v>
          </cell>
          <cell r="G519" t="str">
            <v>Папа может</v>
          </cell>
          <cell r="H519" t="str">
            <v>ОМПК(Г)</v>
          </cell>
          <cell r="I519" t="str">
            <v>ТУ 10.13.14-150-00425283-2018</v>
          </cell>
          <cell r="J519" t="str">
            <v>Изделие колбасное вареное из мяса кур охлажденное.</v>
          </cell>
          <cell r="K519" t="str">
            <v>мясо куриное механической обвалки, свинина (в т.ч. бекон), вода, белковый стабилизатор (вода, шкурка свиная), крахмал картофельный, смесь посолочно-нитритная (соль, фиксатор окраски нитрит натрия), соль, регуляторы кислотности: пирофосфаты, цитраты натрия; стабилизатор полифосфаты, загустители: альгинат натрия, каррагинан, гуаровая камедь; чеснок свежий, сахара, пряности и экстракты пряностей, ароматизаторы, антиокислитель аскорбиновая кислота, усилитель вкуса и аромата глутамат натрия, краситель кармины</v>
          </cell>
          <cell r="L519">
            <v>10</v>
          </cell>
          <cell r="M519">
            <v>20</v>
          </cell>
          <cell r="N519">
            <v>3</v>
          </cell>
          <cell r="O519" t="str">
            <v>232/961</v>
          </cell>
          <cell r="P519" t="str">
            <v>0…+6</v>
          </cell>
          <cell r="Q519">
            <v>60</v>
          </cell>
        </row>
        <row r="520">
          <cell r="B520">
            <v>1001035277059</v>
          </cell>
          <cell r="C520" t="str">
            <v>ШПИКАЧКИ СОЧНЫЕ С БЕК. п/о мгс 0.3кг_60с</v>
          </cell>
          <cell r="D520" t="str">
            <v>ШТ</v>
          </cell>
          <cell r="E520" t="str">
            <v>Колбасные изделия</v>
          </cell>
          <cell r="F520" t="str">
            <v>Сардельки</v>
          </cell>
          <cell r="G520" t="str">
            <v>Папа может</v>
          </cell>
          <cell r="H520" t="str">
            <v>ОМПК(Г)</v>
          </cell>
          <cell r="I520" t="str">
            <v>ТУ 10.13.14-150-00425283-2018</v>
          </cell>
          <cell r="J520" t="str">
            <v>Изделие колбасное вареное из мяса кур охлажденное.</v>
          </cell>
          <cell r="K520" t="str">
            <v>мясо куриное механической обвалки, свинина (в т.ч. бекон), вода питьевая, стабилизатор белковый (вода питьевая, шкурка свиная), шпик, крахмал картофельный, крахмал кукурузный, смесь посолочно-нитритная (соль, фиксатор окраски (нитрит натрия)), регуляторы кислотности (цитраты натрия, пирофосфаты, трифосфаты), стабилизатор (полифосфаты), загустители (каррагинан, ксантановая камедь, конжак, альгинат натрия, гуаровая камедь, камедь целлюлозы, модифицированный крахмал), чеснок свежий, соль, сахара, пряности, экстракты пряностей, антиокислители (аскорбиновая кислота, лимонная кислота), усилитель вкуса и аромата (глутамат натрия), ароматизаторы, краситель (кармины)</v>
          </cell>
          <cell r="L520">
            <v>10</v>
          </cell>
          <cell r="M520">
            <v>20</v>
          </cell>
          <cell r="N520">
            <v>3</v>
          </cell>
          <cell r="O520" t="str">
            <v>232/961</v>
          </cell>
          <cell r="P520" t="str">
            <v>0…+6</v>
          </cell>
          <cell r="Q520">
            <v>60</v>
          </cell>
        </row>
        <row r="521">
          <cell r="B521">
            <v>1001033856609</v>
          </cell>
          <cell r="C521" t="str">
            <v>С ГОВЯДИНОЙ ПМ сар б/о мгс 0.4кг_45с</v>
          </cell>
          <cell r="D521" t="str">
            <v>ШТ</v>
          </cell>
          <cell r="E521" t="str">
            <v>Колбасные изделия</v>
          </cell>
          <cell r="F521" t="str">
            <v>Сардельки</v>
          </cell>
          <cell r="G521" t="str">
            <v>Папа может</v>
          </cell>
          <cell r="H521" t="str">
            <v>ОМПК(О)</v>
          </cell>
          <cell r="I521" t="str">
            <v>ТУ 10.13.14-180-00425283-2025</v>
          </cell>
          <cell r="J521" t="str">
            <v>Мясосодержащий продукт. Изделие колбасное вареное категории В.</v>
          </cell>
          <cell r="K521" t="str">
            <v>свинина, мясо куриное механической обвалки, вода питьевая, стабилизатор белковый (вода питьевая, шкурка свиная), говядина, сыворотка молочная сухая, крахмалы (картофельный, кукурузный), смесь посолочно-нитритная (соль, фиксатор окраски (нитрит натрия)), соль, регуляторы кислотности (трифосфаты, пирофосфаты, цитраты натрия), загуститель (альгинат натрия), экстракты пряностей, сахара, антиокислители (лимонная кислота, аскорбиновая кислота), усилитель вкуса и аромата (глутамат натрия), лук сушеный молотый, краситель (кармины)</v>
          </cell>
          <cell r="L521">
            <v>9</v>
          </cell>
          <cell r="M521">
            <v>16</v>
          </cell>
          <cell r="N521">
            <v>2</v>
          </cell>
          <cell r="O521" t="str">
            <v>188/779</v>
          </cell>
          <cell r="P521" t="str">
            <v>0…+6</v>
          </cell>
          <cell r="Q521">
            <v>45</v>
          </cell>
        </row>
        <row r="522">
          <cell r="B522">
            <v>1001034206836</v>
          </cell>
          <cell r="C522" t="str">
            <v>СВИНЫЕ ГОСТ сар н/о мгс 1*3</v>
          </cell>
          <cell r="D522" t="str">
            <v>КГ</v>
          </cell>
          <cell r="E522" t="str">
            <v>Колбасные изделия</v>
          </cell>
          <cell r="F522" t="str">
            <v>Сардельки</v>
          </cell>
          <cell r="G522" t="str">
            <v>Останкино</v>
          </cell>
          <cell r="H522" t="str">
            <v>ОМПК(О)</v>
          </cell>
          <cell r="I522" t="str">
            <v>ГОСТ 23670-2019</v>
          </cell>
          <cell r="J522" t="str">
            <v>Мясной продукт. Изделие колбасное вареное категории Б.</v>
          </cell>
          <cell r="K522" t="str">
            <v>свинина, вода питьевая, стабилизатор белковый (вода питьевая, шкурка свиная), смесь посолочно-нитритная (соль, фиксатор окраски (нитрит натрия)), регуляторы кислотности (пирофосфаты, трифосфаты, цитраты натрия), соль, стабилизатор (полифосфаты), пряности и экстракты пряностей, сахар, усилитель вкуса и аромата (глутамат натрия 1-замещенный), антиокислитель (аскорбиновая кислота), чеснок свежий</v>
          </cell>
          <cell r="L522">
            <v>10</v>
          </cell>
          <cell r="M522">
            <v>30</v>
          </cell>
          <cell r="N522">
            <v>0</v>
          </cell>
          <cell r="O522" t="str">
            <v>310/1298</v>
          </cell>
          <cell r="P522" t="str">
            <v>0…+6</v>
          </cell>
          <cell r="Q522">
            <v>35</v>
          </cell>
        </row>
        <row r="523">
          <cell r="B523">
            <v>1001034206618</v>
          </cell>
          <cell r="C523" t="str">
            <v>СВИНЫЕ сар б/о мгс 0.5кг Х5/СТМ Вернер</v>
          </cell>
          <cell r="D523" t="str">
            <v>ШТ</v>
          </cell>
          <cell r="E523" t="str">
            <v>Колбасные изделия</v>
          </cell>
          <cell r="F523" t="str">
            <v>Сардельки</v>
          </cell>
          <cell r="G523" t="str">
            <v>СТМ</v>
          </cell>
          <cell r="H523" t="str">
            <v>ОМПК(О)</v>
          </cell>
          <cell r="I523" t="str">
            <v>ГОСТ 23670-2019</v>
          </cell>
          <cell r="J523" t="str">
            <v>Мясной продукт. Изделие колбасное вареное категории Б.</v>
          </cell>
          <cell r="K523" t="str">
            <v>свинина, вода питьевая, стабилизатор белковый (вода питьевая, шкурка свиная), смесь посолочно-нитритная (соль, фиксатор окраски (нитрит натрия)), регуляторы кислотности (пирофосфаты, трифосфаты, цитраты натрия), соль, стабилизатор (полифосфаты), пряности и экстракты пряностей, сахар, усилитель вкуса и аромата (глутамат натрия 1-замещенный), антиокислитель (аскорбиновая кислота), чеснок свежий</v>
          </cell>
          <cell r="L523">
            <v>10</v>
          </cell>
          <cell r="M523">
            <v>30</v>
          </cell>
          <cell r="O523" t="str">
            <v>310/1298</v>
          </cell>
          <cell r="P523" t="str">
            <v>0…+6</v>
          </cell>
          <cell r="Q523">
            <v>35</v>
          </cell>
        </row>
        <row r="524">
          <cell r="B524">
            <v>1001034207633</v>
          </cell>
          <cell r="C524" t="str">
            <v>СВИНЫЕ сар б/о мгс 0.5кг/СТМ Вернер_45с</v>
          </cell>
          <cell r="D524" t="str">
            <v>ШТ</v>
          </cell>
          <cell r="E524" t="str">
            <v>Колбасные изделия</v>
          </cell>
          <cell r="F524" t="str">
            <v>Сардельки</v>
          </cell>
          <cell r="G524" t="str">
            <v>СТМ</v>
          </cell>
          <cell r="H524" t="str">
            <v>ОМПК(О)</v>
          </cell>
          <cell r="I524" t="str">
            <v>ГОСТ 23670-2019</v>
          </cell>
          <cell r="J524" t="str">
            <v>Мясной продукт. Изделие колбасное вареное категории Б.</v>
          </cell>
          <cell r="K524" t="str">
            <v>свинина, вода питьевая, стабилизатор белковый (вода питьевая, шкурка свиная), смесь посолочно-нитритная (соль, фиксатор окраски (нитрит натрия)), регуляторы кислотности (пирофосфаты, трифосфаты, цитраты натрия), соль, стабилизатор (полифосфаты), пряности и экстракты пряностей, сахар, усилитель вкуса и аромата (глутамат натрия 1-замещенный), антиокислитель (аскорбиновая кислота), чеснок свежий</v>
          </cell>
          <cell r="L524">
            <v>10</v>
          </cell>
          <cell r="M524">
            <v>30</v>
          </cell>
          <cell r="O524" t="str">
            <v>310/1298</v>
          </cell>
          <cell r="P524" t="str">
            <v>0…+6</v>
          </cell>
          <cell r="Q524">
            <v>45</v>
          </cell>
        </row>
        <row r="525">
          <cell r="B525">
            <v>1001034207634</v>
          </cell>
          <cell r="C525" t="str">
            <v>СВИНЫЕ ГОСТ сар б/о мгс 0.4кг 6шт_45с</v>
          </cell>
          <cell r="D525" t="str">
            <v>ШТ</v>
          </cell>
          <cell r="E525" t="str">
            <v>Колбасные изделия</v>
          </cell>
          <cell r="F525" t="str">
            <v>Сардельки</v>
          </cell>
          <cell r="G525" t="str">
            <v>Останкино</v>
          </cell>
          <cell r="H525" t="str">
            <v>ОМПК(О)</v>
          </cell>
          <cell r="I525" t="str">
            <v>ГОСТ 23670-2019</v>
          </cell>
          <cell r="J525" t="str">
            <v>Мясной продукт. Изделие колбасное вареное категории Б.</v>
          </cell>
          <cell r="K525" t="str">
            <v>свинина, вода питьевая, стабилизатор белковый (вода питьевая, шкурка свиная), смесь посолочно-нитритная (соль, фиксатор окраски (нитрит натрия)), регуляторы кислотности (пирофосфаты, трифосфаты, цитраты натрия), соль, стабилизатор (полифосфаты), пряности и экстракты пряностей, сахар, усилитель вкуса и аромата (глутамат натрия 1-замещенный), антиокислитель (аскорбиновая кислота), чеснок свежий</v>
          </cell>
          <cell r="L525">
            <v>10</v>
          </cell>
          <cell r="M525">
            <v>30</v>
          </cell>
          <cell r="N525">
            <v>0</v>
          </cell>
          <cell r="O525" t="str">
            <v>310/1298</v>
          </cell>
          <cell r="P525" t="str">
            <v>0…+6</v>
          </cell>
          <cell r="Q525">
            <v>45</v>
          </cell>
        </row>
        <row r="526">
          <cell r="B526">
            <v>1001031076528</v>
          </cell>
          <cell r="C526" t="str">
            <v>ШПИКАЧКИ СОЧНЫЕ ПМ сар б/о мгс 0.4кг_45с</v>
          </cell>
          <cell r="D526" t="str">
            <v>ШТ</v>
          </cell>
          <cell r="E526" t="str">
            <v>Колбасные изделия</v>
          </cell>
          <cell r="F526" t="str">
            <v>Сардельки</v>
          </cell>
          <cell r="G526" t="str">
            <v>Папа может</v>
          </cell>
          <cell r="H526" t="str">
            <v>ОМПК(О)</v>
          </cell>
          <cell r="I526" t="str">
            <v>ТУ 10.13.14-180-00425283-2025</v>
          </cell>
          <cell r="J526" t="str">
            <v>Мясной продукт. Изделие колбасное вареное категории В.</v>
          </cell>
          <cell r="K526" t="str">
            <v>свинина, мясо куриное механической обвалки, стабилизатор белковый (вода питьевая, шкурка свиная), вода питьевая, шпик, крахмал кукурузный,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загустители (гуаровая камедь, конжак, альгинат натрия, каррагинан, модифицированный крахмал, конжак), экстракты пряностей, лук сушеный молотый, антиокислители (аскорбиновая кислота, лимонная кислота), усилитель вкуса и аромата (глутамат натрия), ароматизаторы, краситель (кармины)</v>
          </cell>
          <cell r="L526">
            <v>10</v>
          </cell>
          <cell r="M526">
            <v>20</v>
          </cell>
          <cell r="N526">
            <v>1</v>
          </cell>
          <cell r="O526" t="str">
            <v>224/927</v>
          </cell>
          <cell r="P526" t="str">
            <v>0…+6</v>
          </cell>
          <cell r="Q526">
            <v>45</v>
          </cell>
        </row>
        <row r="527">
          <cell r="B527">
            <v>1001035667060</v>
          </cell>
          <cell r="C527" t="str">
            <v>ШПИКАЧКИ С БЕКОНОМ сар п/о мгс 0.8кг_60с</v>
          </cell>
          <cell r="D527" t="str">
            <v>ШТ</v>
          </cell>
          <cell r="E527" t="str">
            <v>Колбасные изделия</v>
          </cell>
          <cell r="F527" t="str">
            <v>Сардельки</v>
          </cell>
          <cell r="G527" t="str">
            <v>Коровино</v>
          </cell>
          <cell r="H527" t="str">
            <v>ОМПК(Г)</v>
          </cell>
          <cell r="I527" t="str">
            <v>ТУ 10.13.14-150-00425283-2018</v>
          </cell>
          <cell r="J527" t="str">
            <v>Изделие колбасное вареное из мяса кур охлажденное.</v>
          </cell>
          <cell r="K527" t="str">
            <v>мясо куриное механической обвалки, свинина (в т.ч. бекон), вода питьевая, стабилизатор белковый (вода питьевая, шкурка свиная), шпик, крахмал картофельный, крахмал кукурузный, смесь посолочно-нитритная (соль, фиксатор окраски (нитрит натрия)), регуляторы кислотности (цитраты натрия, пирофосфаты, трифосфаты), стабилизатор (полифосфаты), загустители (каррагинан, ксантановая камедь, конжак, альгинат натрия, гуаровая камедь, камедь целлюлозы, модифицированный крахмал), чеснок свежий, соль, сахара, пряности, экстракты пряностей, антиокислители (аскорбиновая кислота, лимонная кислота), усилитель вкуса и аромата (глутамат натрия), ароматизаторы, краситель (кармины)</v>
          </cell>
          <cell r="L527">
            <v>10</v>
          </cell>
          <cell r="M527">
            <v>20</v>
          </cell>
          <cell r="N527">
            <v>3</v>
          </cell>
          <cell r="O527" t="str">
            <v>232/961</v>
          </cell>
          <cell r="P527" t="str">
            <v>0…+6</v>
          </cell>
          <cell r="Q527">
            <v>60</v>
          </cell>
        </row>
        <row r="528">
          <cell r="B528">
            <v>1001027317478</v>
          </cell>
          <cell r="C528" t="str">
            <v>АСС: 2 ВК ПОРЦ МОЛ И С БЕК сос мгс 0.4кг</v>
          </cell>
          <cell r="D528" t="str">
            <v>ШТ</v>
          </cell>
          <cell r="E528" t="str">
            <v>Колбасные изделия</v>
          </cell>
          <cell r="F528" t="str">
            <v>Сосиски</v>
          </cell>
          <cell r="G528" t="str">
            <v>Папа может</v>
          </cell>
          <cell r="H528" t="str">
            <v>ОМПК(Г)</v>
          </cell>
          <cell r="I528" t="str">
            <v>ТУ 10.13.14-180-00425283-2025</v>
          </cell>
          <cell r="J528" t="str">
            <v>Мясной продукт. Изделие колбасное вареное категории В.</v>
          </cell>
          <cell r="K528" t="str">
            <v>сосиски Молочные: 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сливки сухие, крахмал картофельный,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сахара, антиокислители (лимонная кислота, аскорбиновая кислота), усилитель вкуса и аромата (глутамат натрия), ароматизаторы, краситель (кармины). 
сосиски С беконом: свинина, мясо куриное механической обвалки, вода питьевая, стабилизатор белковый (вода питьевая, шкурка свиная), шпик, сыворотка молочная сухая,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стабилизатор (полифосфаты), загустители (каррагинан, альгинат натрия, гуаровая камедь, модифицированный крахмал, камедь целлюлозы), сахара, чеснок свежий, специи (чеснок сушеный, перец белый молотый, перец черный молотый), экстракты специй, антиокислитель (аскорбиновая кислота), усилитель вкуса и аромата (глутамат натрия), ароматизаторы, краситель (кармины).</v>
          </cell>
          <cell r="L528" t="str">
            <v>10
10</v>
          </cell>
          <cell r="M528" t="str">
            <v>15
21</v>
          </cell>
          <cell r="N528" t="str">
            <v>4
3</v>
          </cell>
          <cell r="O528" t="str">
            <v>191/793
241/998</v>
          </cell>
          <cell r="P528" t="str">
            <v>0…+6</v>
          </cell>
          <cell r="Q528">
            <v>45</v>
          </cell>
        </row>
        <row r="529">
          <cell r="B529">
            <v>1001027427492</v>
          </cell>
          <cell r="C529" t="str">
            <v>АСС:СОЧ.МИКС КЛАС.VS С СЫР. сос мгс 0.4</v>
          </cell>
          <cell r="D529" t="str">
            <v>ШТ</v>
          </cell>
          <cell r="E529" t="str">
            <v>Колбасные изделия</v>
          </cell>
          <cell r="F529" t="str">
            <v>Сосиски</v>
          </cell>
          <cell r="G529" t="str">
            <v>Папа может</v>
          </cell>
          <cell r="H529" t="str">
            <v>ОМПК(Г)</v>
          </cell>
          <cell r="I529" t="str">
            <v>ТУ 10.13.14-150-00425283-2018</v>
          </cell>
          <cell r="J529" t="str">
            <v>Изделие колбасное вареное из мяса кур охлажденное.</v>
          </cell>
          <cell r="K529" t="str">
            <v xml:space="preserve">сосиски Классические: мясо куриное механической обвалки, свинина, стабилизатор белковый (вода питьевая, шкурка свиная), вода питьевая, сыворотка молочная сухая, масло подсолнечное рафинированное дезодорированное, крахмал картофельный, крахмал кукурузный, смесь посолочно-нитритная (соль, фиксатор окраски (нитрит натрия)), сахара, белок животный (говяжий), регуляторы кислотности (цитраты натрия, пирофосфаты, трифосфаты), загустители (камедь целлюлозы, гуаровая камедь, каррагинан, конжак, ксантановая камедь, альгинат натрия, модифицированный крахмал), экстракты пряностей, антиокислители (аскорбиновая кислота, лимонная кислота, изоаскорбат натрия), гидролизат соевого белка, усилитель вкуса и аромата (глутамат натрия), ароматизаторы, краситель (кармины).  
сосиски С сыром: мясо цыпленка-бройлера бескостное, мясо цыпленка-бройлера механической обвалки, свинина, стабилизатор белковый (вода питьевая, шкурка свиная), вода питьевая, сыр плавленый (сыр, масло сливочное, творог, вода питьевая, молоко сухое обезжиренное, сыворотка молочная сухая, эмульгаторы (полифосфаты, фосфаты натрия), стабилизатор (фосфат кальция), загустители (гуаровая камедь, камедь рожкового дерева), консервант (сорбат калия)), регуляторы кислотности (пирофосфаты, трифосфаты, цитраты натрия),загустители (альгинат натрия, каррагинан, ксантановая камедь, гуаровая камедь, модифицированный крахмал), чеснок сушеный молотый, перец черный, мускатный орех, чили, сахара, антиокислители (аскорбиновая кислота, лимонная кислота), усилитель вкуса и аромата (глутамат натрия 1-замещенный), ароматизаторы, краситель (кармины). </v>
          </cell>
          <cell r="L529" t="str">
            <v>9
10</v>
          </cell>
          <cell r="M529" t="str">
            <v>13
18</v>
          </cell>
          <cell r="N529" t="str">
            <v>5
4</v>
          </cell>
          <cell r="O529" t="str">
            <v>173/719
222/921</v>
          </cell>
          <cell r="P529" t="str">
            <v>0…+6</v>
          </cell>
          <cell r="Q529">
            <v>45</v>
          </cell>
        </row>
        <row r="530">
          <cell r="B530">
            <v>1001026947371</v>
          </cell>
          <cell r="C530" t="str">
            <v>БРЕСТСКИЕ сос п/о в/у 0.3кг 8шт.</v>
          </cell>
          <cell r="D530" t="str">
            <v>ШТ</v>
          </cell>
          <cell r="E530" t="str">
            <v>Колбасные изделия</v>
          </cell>
          <cell r="F530" t="str">
            <v>Сосиски</v>
          </cell>
          <cell r="G530" t="str">
            <v>Без ТМ</v>
          </cell>
          <cell r="H530" t="str">
            <v>ОМПК(Г)</v>
          </cell>
          <cell r="I530" t="str">
            <v>ТУ 10.13.14-150-00425283-2026</v>
          </cell>
          <cell r="J530" t="str">
            <v>Изделие колбасное вареное из мяса кур охлажденное.</v>
          </cell>
          <cell r="K530" t="str">
            <v>мясо цыпленка-бройлера бескостное, мясо цыпленка-бройлера механической обвалки, свинина, стабилизатор белковый (шкурка свиная, вода питьевая), вода питьевая, сыворотка молочная сухая, крахмал картофельный, смесь посолочно-нитритная (соль, фиксатор окраски (нитрит натрия)), загустители (альгинат натрия, каррагинан, ксантановая камедь, гуаровая камедь, модифицированный крахмал), перец черный, мускатный орех, кардамон, чеснок сушеный молотый, паприка, сахара, антиокислители (лимонная кислота, аскорбиновая кислота), усилитель вкуса и аромата (глутамат натрия 1-замещенный), ароматизаторы, краситель (кармины)</v>
          </cell>
          <cell r="L530">
            <v>10</v>
          </cell>
          <cell r="M530">
            <v>12</v>
          </cell>
          <cell r="N530">
            <v>6</v>
          </cell>
          <cell r="O530" t="str">
            <v>172/716</v>
          </cell>
          <cell r="P530" t="str">
            <v>0…+6</v>
          </cell>
          <cell r="Q530">
            <v>45</v>
          </cell>
        </row>
        <row r="531">
          <cell r="B531">
            <v>1001020867062</v>
          </cell>
          <cell r="C531" t="str">
            <v>ВЕНСКИЕ ПРЕМИУМ сос б/о мгс 1*4</v>
          </cell>
          <cell r="D531" t="str">
            <v>КГ</v>
          </cell>
          <cell r="E531" t="str">
            <v>Колбасные изделия</v>
          </cell>
          <cell r="F531" t="str">
            <v>Сосиски</v>
          </cell>
          <cell r="G531" t="str">
            <v>Останкино</v>
          </cell>
          <cell r="H531" t="str">
            <v>ОМПК(О)</v>
          </cell>
          <cell r="I531" t="str">
            <v>ТУ 10.13.14-180-00425283-2025</v>
          </cell>
          <cell r="J531" t="str">
            <v>Мясной продукт. Изделие колбасное вареное категории Б.</v>
          </cell>
          <cell r="K531" t="str">
            <v>свинина, белковый стабилизатор (вода питьевая, шкурка свиная), говядина, вода питьевая, молоко сухое обезжиренное,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специи, сахара, антиокислитель (аскорбиновая кислота), усилитель вкуса и аромата (глутамат натрия), ароматизатор, краситель (кармины)</v>
          </cell>
          <cell r="L531">
            <v>12</v>
          </cell>
          <cell r="M531">
            <v>20</v>
          </cell>
          <cell r="O531" t="str">
            <v>228/944</v>
          </cell>
          <cell r="P531" t="str">
            <v>0…+6</v>
          </cell>
          <cell r="Q531">
            <v>45</v>
          </cell>
        </row>
        <row r="532">
          <cell r="B532">
            <v>1001020867123</v>
          </cell>
          <cell r="C532" t="str">
            <v>ВЕНСКИЕ ПРЕМИУМ сос б/о мгс 0.3кг 6шт.</v>
          </cell>
          <cell r="D532" t="str">
            <v>ШТ</v>
          </cell>
          <cell r="E532" t="str">
            <v>Колбасные изделия</v>
          </cell>
          <cell r="F532" t="str">
            <v>Сосиски</v>
          </cell>
          <cell r="G532" t="str">
            <v>Останкино</v>
          </cell>
          <cell r="H532" t="str">
            <v>ОМПК(О)</v>
          </cell>
          <cell r="I532" t="str">
            <v>ТУ 10.13.14-180-00425283-2025</v>
          </cell>
          <cell r="J532" t="str">
            <v>Мясной продукт. Изделие колбасное вареное категории Б.</v>
          </cell>
          <cell r="K532" t="str">
            <v>свинина, вода питьевая, стабилизатор белковый (вода питьевая, шкурка свиная), говядина, сыворотка молочная сухая,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специи, экстракты специй, сахара, антиокислители (аскорбиновая кислота, лимонная кислота), усилитель вкуса и аромата (глутамат натрия), ароматизаторы, краситель (кармины)</v>
          </cell>
          <cell r="L532">
            <v>13</v>
          </cell>
          <cell r="M532">
            <v>17</v>
          </cell>
          <cell r="N532">
            <v>5</v>
          </cell>
          <cell r="O532" t="str">
            <v>225/935</v>
          </cell>
          <cell r="P532" t="str">
            <v>0…+6</v>
          </cell>
          <cell r="Q532">
            <v>45</v>
          </cell>
        </row>
        <row r="533">
          <cell r="B533">
            <v>1001027517524</v>
          </cell>
          <cell r="C533" t="str">
            <v>ВЕРНЫЙ ВЫБОР ПМ сос п/о мгс 0.6кг 8шт.</v>
          </cell>
          <cell r="D533" t="str">
            <v>ШТ</v>
          </cell>
          <cell r="E533" t="str">
            <v>Колбасные изделия</v>
          </cell>
          <cell r="F533" t="str">
            <v>Сосиски</v>
          </cell>
          <cell r="G533" t="str">
            <v>Папа может</v>
          </cell>
          <cell r="H533" t="str">
            <v>ОМПК(Г)</v>
          </cell>
          <cell r="I533" t="str">
            <v>ТУ 10.13.14-150-00425283-2018</v>
          </cell>
          <cell r="J533" t="str">
            <v>Изделие колбасное вареное из мяса кур охлажденное.</v>
          </cell>
          <cell r="K533" t="str">
            <v>мясо куриное механической обвалки,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молоко сухое обезжиренное, сливки сухие, регуляторы кислотности (пирофосфаты, трифосфаты, цитраты натрия), загустители (каррагинан, конжак, ксантановая камедь, альгинат натрия, гуаровая камедь, модифицированный крахмал, камедь целлюлозы), сахара, экстракты пряностей, антиокислители (аскорбиновая кислота, лимонная кислота, изоаскорбат натрия), усилитель вкуса и аромата (глутамат натрия), ароматизаторы, краситель (кармины)</v>
          </cell>
          <cell r="L533">
            <v>8</v>
          </cell>
          <cell r="M533">
            <v>10</v>
          </cell>
          <cell r="N533">
            <v>5</v>
          </cell>
          <cell r="O533" t="str">
            <v>142/591</v>
          </cell>
          <cell r="P533" t="str">
            <v>0…+6</v>
          </cell>
          <cell r="Q533">
            <v>45</v>
          </cell>
        </row>
        <row r="534">
          <cell r="B534">
            <v>1001025767284</v>
          </cell>
          <cell r="C534" t="str">
            <v>ДЛЯ ДЕТЕЙ сос п/о мгс 0.33кг 6шт.</v>
          </cell>
          <cell r="D534" t="str">
            <v>ШТ</v>
          </cell>
          <cell r="E534" t="str">
            <v>Колбасные изделия</v>
          </cell>
          <cell r="F534" t="str">
            <v>Сосиски</v>
          </cell>
          <cell r="G534" t="str">
            <v>Останкино</v>
          </cell>
          <cell r="H534" t="str">
            <v>ОМПК(Г)</v>
          </cell>
          <cell r="I534" t="str">
            <v>ТУ 10.86.10-157-00425283-2022</v>
          </cell>
          <cell r="J534" t="str">
            <v>Мясной продукт. Изделие колбасное вареное для питания детей старше трех лет.</v>
          </cell>
          <cell r="K534" t="str">
            <v>свинина, вода, говядина, белковый стабилизатор (шкурка свиная, вода), молоко сухое обезжиренное, соль, смесь посолочно-нитритная (соль, фиксатор окраски нитрит натрия), стабилизатор цитраты натрия, сахар, экстракты специй (душистый перец, мускатный орех)</v>
          </cell>
          <cell r="L534">
            <v>12</v>
          </cell>
          <cell r="M534">
            <v>22</v>
          </cell>
          <cell r="N534">
            <v>0</v>
          </cell>
          <cell r="O534" t="str">
            <v>246/1018</v>
          </cell>
          <cell r="P534" t="str">
            <v>0…+6</v>
          </cell>
          <cell r="Q534">
            <v>30</v>
          </cell>
        </row>
        <row r="535">
          <cell r="B535">
            <v>1001025767659</v>
          </cell>
          <cell r="C535" t="str">
            <v>ДЛЯ ДЕТЕЙ сос п/о мгс 0.264кг 12шт_Х5</v>
          </cell>
          <cell r="D535" t="str">
            <v>ШТ</v>
          </cell>
          <cell r="E535" t="str">
            <v>Колбасные изделия</v>
          </cell>
          <cell r="F535" t="str">
            <v>Сосиски</v>
          </cell>
          <cell r="G535" t="str">
            <v>Останкино</v>
          </cell>
          <cell r="H535" t="str">
            <v>ОМПК(Г)</v>
          </cell>
          <cell r="I535" t="str">
            <v>ТУ 10.86.10-157-00425283-2022</v>
          </cell>
          <cell r="J535" t="str">
            <v>Мясной продукт. Изделие колбасное вареное для питания детей старше трех лет.</v>
          </cell>
          <cell r="K535" t="str">
            <v>свинина, вода, говядина, белковый стабилизатор (шкурка свиная, вода), молоко сухое обезжиренное, смесь посолочно-нитритная (соль, фиксатор окраски (нитрит натрия)), стабилизатор (цитраты натрия), сахар, экстракт специй (душистый перец, мускатный орех)</v>
          </cell>
          <cell r="L535">
            <v>12</v>
          </cell>
          <cell r="M535">
            <v>22</v>
          </cell>
          <cell r="N535">
            <v>0</v>
          </cell>
          <cell r="O535" t="str">
            <v>246/1018</v>
          </cell>
          <cell r="P535" t="str">
            <v>0…+6</v>
          </cell>
          <cell r="Q535">
            <v>30</v>
          </cell>
        </row>
        <row r="536">
          <cell r="B536">
            <v>1001025767461</v>
          </cell>
          <cell r="C536" t="str">
            <v>ДЛЯ ДЕТЕЙ Папа может сос п/о мгс 0.33кг</v>
          </cell>
          <cell r="D536" t="str">
            <v>ШТ</v>
          </cell>
          <cell r="E536" t="str">
            <v>Колбасные изделия</v>
          </cell>
          <cell r="F536" t="str">
            <v>Сосиски</v>
          </cell>
          <cell r="G536" t="str">
            <v>Папа может</v>
          </cell>
          <cell r="H536" t="str">
            <v>ОМПК(Г)</v>
          </cell>
          <cell r="I536" t="str">
            <v>ТУ 10.86.10-157-00425283-2022</v>
          </cell>
          <cell r="J536" t="str">
            <v>Мясной продукт. Изделие колбасное вареное для питания детей старше трех лет.</v>
          </cell>
          <cell r="K536" t="str">
            <v>свинина, вода, говядина, белковый стабилизатор (шкурка свиная, вода), молоко сухое обезжиренное, смесь посолочно-нитритная (соль, фиксатор окраски (нитрит натрия)), стабилизатор (цитраты натрия), сахар, экстракт специй (душистый перец, мускатный орех)</v>
          </cell>
          <cell r="L536">
            <v>12</v>
          </cell>
          <cell r="M536">
            <v>22</v>
          </cell>
          <cell r="N536">
            <v>0</v>
          </cell>
          <cell r="O536" t="str">
            <v>246/1018</v>
          </cell>
          <cell r="P536" t="str">
            <v>0…+6</v>
          </cell>
          <cell r="Q536">
            <v>30</v>
          </cell>
        </row>
        <row r="537">
          <cell r="B537">
            <v>1001025767601</v>
          </cell>
          <cell r="C537" t="str">
            <v>ДЛЯ ДЕТЕЙ Папа может сос п/о мгс 0.264кг</v>
          </cell>
          <cell r="D537" t="str">
            <v>ШТ</v>
          </cell>
          <cell r="E537" t="str">
            <v>Колбасные изделия</v>
          </cell>
          <cell r="F537" t="str">
            <v>Сосиски</v>
          </cell>
          <cell r="G537" t="str">
            <v>Папа может</v>
          </cell>
          <cell r="H537" t="str">
            <v>ОМПК(Г)</v>
          </cell>
          <cell r="I537" t="str">
            <v>ТУ 10.86.10-157-00425283-2022</v>
          </cell>
          <cell r="J537" t="str">
            <v>Мясной продукт. Изделие колбасное вареное для питания детей старше трех лет.</v>
          </cell>
          <cell r="K537" t="str">
            <v>свинина, вода, говядина, белковый стабилизатор (шкурка свиная, вода), молоко сухое обезжиренное, смесь посолочно-нитритная (соль, фиксатор окраски (нитрит натрия)), стабилизатор (цитраты натрия), сахар, экстракт специй (душистый перец, мускатный орех)</v>
          </cell>
          <cell r="L537">
            <v>12</v>
          </cell>
          <cell r="M537">
            <v>22</v>
          </cell>
          <cell r="N537">
            <v>0</v>
          </cell>
          <cell r="O537" t="str">
            <v>246/1018</v>
          </cell>
          <cell r="P537" t="str">
            <v>0…+6</v>
          </cell>
          <cell r="Q537">
            <v>30</v>
          </cell>
        </row>
        <row r="538">
          <cell r="B538">
            <v>1001027267469</v>
          </cell>
          <cell r="C538" t="str">
            <v>КОЛБ.РУБЛЕН.С ГОВЯД.ПМ сос п/о в/у 1/320</v>
          </cell>
          <cell r="D538" t="str">
            <v>ШТ</v>
          </cell>
          <cell r="E538" t="str">
            <v>Колбасные изделия</v>
          </cell>
          <cell r="F538" t="str">
            <v>Сосиски</v>
          </cell>
          <cell r="G538" t="str">
            <v>Папа может</v>
          </cell>
          <cell r="H538" t="str">
            <v>ОМПК(О)</v>
          </cell>
          <cell r="I538" t="str">
            <v>ТУ 10.13.14-180-00425283-2025</v>
          </cell>
          <cell r="J538" t="str">
            <v>Мясной продукт. Изделие колбасное вареное категории Б.</v>
          </cell>
          <cell r="K538" t="str">
            <v>говядина, мясо куриное механической обвалки, филе грудок куриных, вода питьевая, говядина, крахмал картофельный, молоко сухое обезжиренное, смесь посолочно-нитритная (соль, фиксатор окраски (нитрит натрия)), сахар, соль, регуляторы кислотности (пирофосфаты, трифосфаты, цитраты натрия), лук сушеный молотый, пряности, экстракты пряностей, антиокислители (аскорбат натрия, лимонная кислота, аскорбиновая кислота), усилитель вкуса и аромата (глутамат натрия), ароматизаторы, красители (кармины, сахарный коллер), гемоглобин</v>
          </cell>
          <cell r="L538">
            <v>12</v>
          </cell>
          <cell r="M538">
            <v>15</v>
          </cell>
          <cell r="N538">
            <v>4</v>
          </cell>
          <cell r="O538" t="str">
            <v>199/857</v>
          </cell>
          <cell r="P538" t="str">
            <v>0…+6</v>
          </cell>
          <cell r="Q538">
            <v>45</v>
          </cell>
        </row>
        <row r="539">
          <cell r="B539">
            <v>1001027257467</v>
          </cell>
          <cell r="C539" t="str">
            <v>КОЛБ.РУБЛЕН.КУРИНЫЕ ПМ сос п/о в/у 1/320</v>
          </cell>
          <cell r="D539" t="str">
            <v>ШТ</v>
          </cell>
          <cell r="E539" t="str">
            <v>Колбасные изделия</v>
          </cell>
          <cell r="F539" t="str">
            <v>Сосиски</v>
          </cell>
          <cell r="G539" t="str">
            <v>Папа может</v>
          </cell>
          <cell r="H539" t="str">
            <v>ОМПК(О)</v>
          </cell>
          <cell r="I539" t="str">
            <v>ТУ 10.13.14-150-00425283-2026</v>
          </cell>
          <cell r="J539" t="str">
            <v>Изделие колбасное вареное из мяса кур охлажденное.</v>
          </cell>
          <cell r="K539" t="str">
            <v>филе грудок куриных, кожа куриная, вода питьевая, молоко сухое обезжиренное, сыворотка молочная сухая, смесь посолочно-нитритная (соль, фиксатор окраски (нитрит натрия)), сахара, регуляторы кислотности (трифосфаты, пирофосфаты, цитраты натрия), соль, пряности, экстракты пряностей, антиокислители (аскорбат натрия, лимонная кислота, аскорбиновая кислота), усилитель вкуса и аромата (глутамат натрия), ароматизаторы</v>
          </cell>
          <cell r="L539">
            <v>15</v>
          </cell>
          <cell r="M539">
            <v>13</v>
          </cell>
          <cell r="N539">
            <v>2</v>
          </cell>
          <cell r="O539" t="str">
            <v>185/770</v>
          </cell>
          <cell r="P539" t="str">
            <v>0…+6</v>
          </cell>
          <cell r="Q539">
            <v>45</v>
          </cell>
        </row>
        <row r="540">
          <cell r="B540">
            <v>1001027277468</v>
          </cell>
          <cell r="C540" t="str">
            <v>КОЛБ.РУБЛЕН.СВИНЫЕ ПМ сос п/о в/у 1/320</v>
          </cell>
          <cell r="D540" t="str">
            <v>ШТ</v>
          </cell>
          <cell r="E540" t="str">
            <v>Колбасные изделия</v>
          </cell>
          <cell r="F540" t="str">
            <v>Сосиски</v>
          </cell>
          <cell r="G540" t="str">
            <v>Папа может</v>
          </cell>
          <cell r="H540" t="str">
            <v>ОМПК(О)</v>
          </cell>
          <cell r="I540" t="str">
            <v>ТУ 10.13.14-180-00425283-2025</v>
          </cell>
          <cell r="J540" t="str">
            <v>Мясной продукт. Изделие колбасное вареное категории Б.</v>
          </cell>
          <cell r="K540" t="str">
            <v>свинина, вода питьевая, молоко сухое обезжиренное, крахмал картофельный, смесь посолочно-нитритная (соль, фиксатор окраски (нитрит натрия)), сахар, соль, регуляторы кислотности (пирофосфаты, трифосфаты, цитраты натрия), паприка, петрушка, чеснок, пряности, экстракты пряностей, антиокислители (аскорбат натрия, лимонная кислота, аскорбиновая кислота), усилитель вкуса и аромата (глутамат натрия), ароматизаторы</v>
          </cell>
          <cell r="L540">
            <v>13</v>
          </cell>
          <cell r="M540">
            <v>19</v>
          </cell>
          <cell r="N540">
            <v>4</v>
          </cell>
          <cell r="O540" t="str">
            <v>239/992</v>
          </cell>
          <cell r="P540" t="str">
            <v>0…+6</v>
          </cell>
          <cell r="Q540">
            <v>45</v>
          </cell>
        </row>
        <row r="541">
          <cell r="B541">
            <v>1001020837501</v>
          </cell>
          <cell r="C541" t="str">
            <v>МОЛОЧНЫЕ GUTMANN сос п/о мгс 0.5кг 10шт.</v>
          </cell>
          <cell r="D541" t="str">
            <v>ШТ</v>
          </cell>
          <cell r="E541" t="str">
            <v>Колбасные изделия</v>
          </cell>
          <cell r="F541" t="str">
            <v>Сосиски</v>
          </cell>
          <cell r="G541" t="str">
            <v>GUTMANN</v>
          </cell>
          <cell r="H541" t="str">
            <v>ОМПК(Г)</v>
          </cell>
          <cell r="I541" t="str">
            <v>ТУ 10.13.14-180-00425283-2025</v>
          </cell>
          <cell r="J541" t="str">
            <v>Мясосодержащий продукт. Изделие колбасное вареное категории В.</v>
          </cell>
          <cell r="K541" t="str">
            <v>свинина, филе грудок куриных, мясо цыпленка-бройлера механической обвалки, стабилизатор белковый (вода питьевая, шкурка свиная), говядина, вода питьевая,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ксантановая камедь, гуаровая камедь, модифицированный крахмал), белок животный (говяжий), перец черный, мускатный орех, чили, сахара, антиокислители (аскорбиновая кислота, лимонная кислота), клетчатка растительная (соевая), усилитель вкуса и аромата (глутамат натрия 1-замещенный), ароматизаторы, краситель (кармины)</v>
          </cell>
          <cell r="L541">
            <v>10</v>
          </cell>
          <cell r="M541">
            <v>12</v>
          </cell>
          <cell r="N541">
            <v>3</v>
          </cell>
          <cell r="O541" t="str">
            <v>665/160</v>
          </cell>
          <cell r="P541" t="str">
            <v>0…+6</v>
          </cell>
          <cell r="Q541">
            <v>50</v>
          </cell>
        </row>
        <row r="542">
          <cell r="B542">
            <v>1001020837676</v>
          </cell>
          <cell r="C542" t="str">
            <v>МОЛОЧНЫЕ GUTMANN сос п/о мгс 0.5кг 8шт.</v>
          </cell>
          <cell r="D542" t="str">
            <v>ШТ</v>
          </cell>
          <cell r="E542" t="str">
            <v>Колбасные изделия</v>
          </cell>
          <cell r="F542" t="str">
            <v>Сосиски</v>
          </cell>
          <cell r="G542" t="str">
            <v>GUTMANN</v>
          </cell>
          <cell r="H542" t="str">
            <v>ОМПК(Г)</v>
          </cell>
          <cell r="I542" t="str">
            <v>ТУ 10.13.14-180-00425283-2025</v>
          </cell>
          <cell r="J542" t="str">
            <v>Мясосодержащий продукт. Изделие колбасное вареное категории В.</v>
          </cell>
          <cell r="K542" t="str">
            <v>свинина, филе грудок куриных, мясо цыпленка-бройлера механической обвалки, стабилизатор белковый (вода питьевая, шкурка свиная), говядина, вода питьевая,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ксантановая камедь, гуаровая камедь, модифицированный крахмал), белок животный (говяжий), перец черный, мускатный орех, чили, сахара, антиокислители (аскорбиновая кислота, лимонная кислота), клетчатка растительная (соевая), усилитель вкуса и аромата (глутамат натрия 1-замещенный), ароматизаторы, краситель (кармины)</v>
          </cell>
          <cell r="L542">
            <v>10</v>
          </cell>
          <cell r="M542">
            <v>12</v>
          </cell>
          <cell r="N542">
            <v>3</v>
          </cell>
          <cell r="O542" t="str">
            <v>665/160</v>
          </cell>
          <cell r="P542" t="str">
            <v>0…+6</v>
          </cell>
          <cell r="Q542">
            <v>50</v>
          </cell>
        </row>
        <row r="543">
          <cell r="B543">
            <v>1001022657074</v>
          </cell>
          <cell r="C543" t="str">
            <v>МОЛОЧ.ПРЕМИУМ ПМ сос п/о мгс 0.6кг_50с</v>
          </cell>
          <cell r="D543" t="str">
            <v>ШТ</v>
          </cell>
          <cell r="E543" t="str">
            <v>Колбасные изделия</v>
          </cell>
          <cell r="F543" t="str">
            <v>Сосиски</v>
          </cell>
          <cell r="G543" t="str">
            <v>Папа может</v>
          </cell>
          <cell r="H543" t="str">
            <v>ОМПК(Г)</v>
          </cell>
          <cell r="I543" t="str">
            <v>ТУ 10.13.14-180-00425283-2025</v>
          </cell>
          <cell r="J543" t="str">
            <v>Мясосодержащий продукт. Изделие колбасное вареное категории В.</v>
          </cell>
          <cell r="K543"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543">
            <v>10</v>
          </cell>
          <cell r="M543">
            <v>12</v>
          </cell>
          <cell r="N543">
            <v>3</v>
          </cell>
          <cell r="O543" t="str">
            <v>160/665</v>
          </cell>
          <cell r="P543" t="str">
            <v>0…+6</v>
          </cell>
          <cell r="Q543">
            <v>50</v>
          </cell>
        </row>
        <row r="544">
          <cell r="B544">
            <v>1001022726303</v>
          </cell>
          <cell r="C544" t="str">
            <v>МЯСНЫЕ Папа может сос п/о мгс 1.5*3</v>
          </cell>
          <cell r="D544" t="str">
            <v>КГ</v>
          </cell>
          <cell r="E544" t="str">
            <v>Колбасные изделия</v>
          </cell>
          <cell r="F544" t="str">
            <v>Сосиски</v>
          </cell>
          <cell r="G544" t="str">
            <v>Папа может</v>
          </cell>
          <cell r="H544" t="str">
            <v>ОМПК(Г)</v>
          </cell>
          <cell r="I544" t="str">
            <v>ТУ 10.13.14-180-00425283-2025</v>
          </cell>
          <cell r="J544" t="str">
            <v>Мясной продукт. Изделие колбасное вареное категории В.</v>
          </cell>
          <cell r="K544" t="str">
            <v>свинина, мясо куриное механической обвалки,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альгинат натрия, каррагинан, гуаровая камедь, камедь целлюлозы, модифицированный крахмал), специи, экстракты специй, антиокислители (лимонная кислота, аскорбиновая кислота), усилитель вкуса и аромата (глутамат натрия), ароматизатор, краситель (кармины)</v>
          </cell>
          <cell r="L544">
            <v>10</v>
          </cell>
          <cell r="M544">
            <v>13</v>
          </cell>
          <cell r="N544">
            <v>5</v>
          </cell>
          <cell r="O544" t="str">
            <v>177/736</v>
          </cell>
          <cell r="P544" t="str">
            <v>0…+6</v>
          </cell>
          <cell r="Q544">
            <v>45</v>
          </cell>
        </row>
        <row r="545">
          <cell r="B545">
            <v>1001025507272</v>
          </cell>
          <cell r="C545" t="str">
            <v>МЯСНЫЕ С ГОВЯД.ПМ сос п/о мгс 1кг 6шт.</v>
          </cell>
          <cell r="D545" t="str">
            <v>ШТ</v>
          </cell>
          <cell r="E545" t="str">
            <v>Колбасные изделия</v>
          </cell>
          <cell r="F545" t="str">
            <v>Сосиски</v>
          </cell>
          <cell r="G545" t="str">
            <v>Папа может</v>
          </cell>
          <cell r="H545" t="str">
            <v>ОМПК(Г)</v>
          </cell>
          <cell r="I545" t="str">
            <v>ТУ 10.13.14-180-00425283-2025</v>
          </cell>
          <cell r="J545" t="str">
            <v>Мясной продукт. Изделие колбасное вареное категории В.</v>
          </cell>
          <cell r="K545" t="str">
            <v>говядина, мясо куриное механической обвалки, вода питьевая, филе грудок куриных, стабилизатор белковый (вода питьевая, кожа куриная), крахмал кукурузный,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загустители (каррагинан, ксантановая камедь, конжак, альгинат натрия, гуаровая камедь, модифицированный крахмал, камедь целлюлозы), антиокислители (аскорбиновая кислота, лимонная кислота), ароматизаторы, краситель (кармины)</v>
          </cell>
          <cell r="L545">
            <v>10</v>
          </cell>
          <cell r="M545">
            <v>12</v>
          </cell>
          <cell r="N545">
            <v>4</v>
          </cell>
          <cell r="O545" t="str">
            <v>164/682</v>
          </cell>
          <cell r="P545" t="str">
            <v>0…+6</v>
          </cell>
          <cell r="Q545">
            <v>50</v>
          </cell>
        </row>
        <row r="546">
          <cell r="B546">
            <v>1001025507271</v>
          </cell>
          <cell r="C546" t="str">
            <v>МЯСНЫЕ С ГОВЯДИНОЙ ПМ сос п/о мгс 1.5*4</v>
          </cell>
          <cell r="D546" t="str">
            <v>КГ</v>
          </cell>
          <cell r="E546" t="str">
            <v>Колбасные изделия</v>
          </cell>
          <cell r="F546" t="str">
            <v>Сосиски</v>
          </cell>
          <cell r="G546" t="str">
            <v>Папа может</v>
          </cell>
          <cell r="H546" t="str">
            <v>ОМПК(Г)</v>
          </cell>
          <cell r="I546" t="str">
            <v>ТУ 10.13.14-180-00425283-2025</v>
          </cell>
          <cell r="J546" t="str">
            <v>Мясной продукт. Изделие колбасное вареное категории В.</v>
          </cell>
          <cell r="K546" t="str">
            <v>говядина, мясо куриное механической обвалки, вода питьевая, филе грудок куриных, стабилизатор белковый (вода питьевая, кожа куриная), крахмал кукурузный,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загустители (каррагинан, ксантановая камедь, конжак, альгинат натрия, гуаровая камедь, модифицированный крахмал, камедь целлюлозы), антиокислители (аскорбиновая кислота, лимонная кислота), ароматизаторы, краситель (кармины)</v>
          </cell>
          <cell r="L546">
            <v>10</v>
          </cell>
          <cell r="M546">
            <v>12</v>
          </cell>
          <cell r="N546">
            <v>4</v>
          </cell>
          <cell r="O546" t="str">
            <v>164/682</v>
          </cell>
          <cell r="P546" t="str">
            <v>0…+6</v>
          </cell>
          <cell r="Q546">
            <v>50</v>
          </cell>
        </row>
        <row r="547">
          <cell r="B547">
            <v>1001027287473</v>
          </cell>
          <cell r="C547" t="str">
            <v>ПО-ОСТАНКИНСКИ ПМ сос п/о мгс 0.5кг 10шт</v>
          </cell>
          <cell r="D547" t="str">
            <v>ШТ</v>
          </cell>
          <cell r="E547" t="str">
            <v>Колбасные изделия</v>
          </cell>
          <cell r="F547" t="str">
            <v>Сосиски</v>
          </cell>
          <cell r="G547" t="str">
            <v>Папа может</v>
          </cell>
          <cell r="H547" t="str">
            <v>ОМПК(Г)</v>
          </cell>
          <cell r="I547" t="str">
            <v>ТУ 10.13.14-180-00425283-2025</v>
          </cell>
          <cell r="J547" t="str">
            <v>Мясной продукт. Изделие колбасное вареное категории В.</v>
          </cell>
          <cell r="K547" t="str">
            <v xml:space="preserve">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 </v>
          </cell>
          <cell r="L547">
            <v>10</v>
          </cell>
          <cell r="M547">
            <v>13</v>
          </cell>
          <cell r="N547">
            <v>5</v>
          </cell>
          <cell r="O547" t="str">
            <v>177/736</v>
          </cell>
          <cell r="P547" t="str">
            <v>0…+6</v>
          </cell>
          <cell r="Q547">
            <v>50</v>
          </cell>
        </row>
        <row r="548">
          <cell r="B548">
            <v>1001027247460</v>
          </cell>
          <cell r="C548" t="str">
            <v>СО ВКУС.ПИЦЦА БАРБЕКЮ сос п/о мгс 0.33кг</v>
          </cell>
          <cell r="D548" t="str">
            <v>ШТ</v>
          </cell>
          <cell r="E548" t="str">
            <v>Колбасные изделия</v>
          </cell>
          <cell r="F548" t="str">
            <v>Сосиски</v>
          </cell>
          <cell r="G548" t="str">
            <v>Папа может</v>
          </cell>
          <cell r="H548" t="str">
            <v>ОМПК(Г)</v>
          </cell>
          <cell r="I548" t="str">
            <v>ТУ 10.13.14-150-00425283-2018</v>
          </cell>
          <cell r="J548" t="str">
            <v>Изделие колбасное вареное из мяса кур охлажденное.</v>
          </cell>
          <cell r="K548" t="str">
            <v xml:space="preserve">мясо куриное механической обвалки, свинина, вода питьевая, стабилизатор белковый (вода питьевая, шкурка свиная, говядина), сыворотка молочная сухая, крахмал кукурузный, желатин пищевой, соль, овощи сушеные (томат, лук репчатый, чеснок), пряности (паприка, базилик, орегано, кориандр, пажитник, перец красный), экстракты пряностей, сырный порошок, смесь посолочно-нитритная (соль, фиксатор окраски (нитрит натрия)), регуляторы кислотности (цитраты натрия, пирофосфаты, трифосфаты), стабилизатор (полифосфаты), загустители (каррагинан, конжак, ксантановая камедь, гуммиарабик, альгинат натрия, гуаровая камедь, модифицированный крахмал, камедь целлюлозы), сахара, антиокислители (изоаскорбат натрия, аскорбиновая кислота, лимонная кислота), усилитель вкуса и аромата (глутамат натрия), ароматизатор коптильный, ароматизаторы, краситель (кармины) </v>
          </cell>
          <cell r="L548">
            <v>10</v>
          </cell>
          <cell r="M548">
            <v>12</v>
          </cell>
          <cell r="N548">
            <v>4</v>
          </cell>
          <cell r="O548" t="str">
            <v>156/682</v>
          </cell>
          <cell r="P548" t="str">
            <v>0…+6</v>
          </cell>
          <cell r="Q548">
            <v>45</v>
          </cell>
        </row>
        <row r="549">
          <cell r="B549">
            <v>1001027327475</v>
          </cell>
          <cell r="C549" t="str">
            <v>СО ВКУС.СОУСА ШРИРАЧА сос п/о мгс 0.33кг</v>
          </cell>
          <cell r="D549" t="str">
            <v>ШТ</v>
          </cell>
          <cell r="E549" t="str">
            <v>Колбасные изделия</v>
          </cell>
          <cell r="F549" t="str">
            <v>Сосиски</v>
          </cell>
          <cell r="G549" t="str">
            <v>Папа может</v>
          </cell>
          <cell r="H549" t="str">
            <v>ОМПК(Г)</v>
          </cell>
          <cell r="I549" t="str">
            <v>ТУ 10.13.14-150-00425283-2018</v>
          </cell>
          <cell r="J549" t="str">
            <v>Изделие колбасное вареное из мяса кур охлажденное.</v>
          </cell>
          <cell r="K549" t="str">
            <v>мясо цыпленка-бройлера механической обвалки, свинина, стабилизатор белковый (шкурка свиная, вода питьевая, говядина), вода питьевая, сыворотка молочная сухая, крахмал кукурузный, паприка, куркума, перец чили, сок лимона, перец черный, мускатный орех,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альгинат натрия, гуаровая камедь, модифицированный крахмал), сахара, антиокислители (лимонная кислота, аскорбиновая кислота), усилитель вкуса и аромата (глутамат натрия 1-замещенный), ароматизаторы, краситель (кармины)</v>
          </cell>
          <cell r="L549">
            <v>10</v>
          </cell>
          <cell r="M549">
            <v>12</v>
          </cell>
          <cell r="N549">
            <v>5</v>
          </cell>
          <cell r="O549" t="str">
            <v>168/699</v>
          </cell>
          <cell r="P549" t="str">
            <v>0…+6</v>
          </cell>
          <cell r="Q549">
            <v>45</v>
          </cell>
        </row>
        <row r="550">
          <cell r="B550">
            <v>1001027697642</v>
          </cell>
          <cell r="C550" t="str">
            <v>СО ВКУС.МЕКСИК. ТАКО сос п/о мгс 0.264кг</v>
          </cell>
          <cell r="D550" t="str">
            <v>ШТ</v>
          </cell>
          <cell r="E550" t="str">
            <v>Колбасные изделия</v>
          </cell>
          <cell r="F550" t="str">
            <v>Сосиски</v>
          </cell>
          <cell r="G550" t="str">
            <v>Папа может</v>
          </cell>
          <cell r="H550" t="str">
            <v>ОМПК(Г)</v>
          </cell>
          <cell r="I550" t="str">
            <v>ТУ 10.13.14-150-00425283-2018</v>
          </cell>
          <cell r="J550" t="str">
            <v>Изделие колбасное вареное из мяса кур охлажденное.</v>
          </cell>
          <cell r="K550" t="str">
            <v>мясо цыпленка-бройлера механической обвалки, свинина, стабилизатор белковый (шкурка свиная, вода питьевая, говядина), вода питьевая, сыворотка молочная сухая, крахмал кукурузный, паприка, лук, чеснок, перец черный, кориандр, шпинат, петрушка, перец чили, кумин, гвоздика, мускатный орех, смесь посолочно-нитритная (соль, фиксатор окраски (нитрит натрия)), желатин пищевой, регуляторы кислотности (пирофосфаты, трифосфаты, цитраты натрия), загустители (каррагинан, ксантановая камедь, альгинат натрия, гуаровая камедь, модифицированный крахмал), сахара, антиокислители (лимонная кислота, аскорбиновая кислота), усилитель вкуса и аромата (глутамат натрия 1-замещенный), ароматизаторы, краситель (кармины)</v>
          </cell>
          <cell r="L550">
            <v>9</v>
          </cell>
          <cell r="M550">
            <v>10</v>
          </cell>
          <cell r="N550">
            <v>4</v>
          </cell>
          <cell r="O550" t="str">
            <v>142/591</v>
          </cell>
          <cell r="P550" t="str">
            <v>0…+6</v>
          </cell>
          <cell r="Q550">
            <v>45</v>
          </cell>
        </row>
        <row r="551">
          <cell r="B551">
            <v>1001022377065</v>
          </cell>
          <cell r="C551" t="str">
            <v>СОЧНЫЕ ПМ сос п/о мгс 0.6кг 8шт_50с</v>
          </cell>
          <cell r="D551" t="str">
            <v>ШТ</v>
          </cell>
          <cell r="E551" t="str">
            <v>Колбасные изделия</v>
          </cell>
          <cell r="F551" t="str">
            <v>Сосиски</v>
          </cell>
          <cell r="G551" t="str">
            <v>Папа может</v>
          </cell>
          <cell r="H551" t="str">
            <v>ОМПК(Г)</v>
          </cell>
          <cell r="I551" t="str">
            <v>ТУ 10.13.14-180-00425283-2025</v>
          </cell>
          <cell r="J551" t="str">
            <v>Мясной продукт. Изделие колбасное вареное категории В.</v>
          </cell>
          <cell r="K551"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551">
            <v>10</v>
          </cell>
          <cell r="M551">
            <v>13</v>
          </cell>
          <cell r="N551">
            <v>5</v>
          </cell>
          <cell r="O551" t="str">
            <v>177/736</v>
          </cell>
          <cell r="P551" t="str">
            <v>0…+6</v>
          </cell>
          <cell r="Q551">
            <v>50</v>
          </cell>
        </row>
        <row r="552">
          <cell r="B552">
            <v>1001022246713</v>
          </cell>
          <cell r="C552" t="str">
            <v>СОЧНЫЙ ГРИЛЬ ПМ сос п/о мгс 0.41кг 8шт.</v>
          </cell>
          <cell r="D552" t="str">
            <v>ШТ</v>
          </cell>
          <cell r="E552" t="str">
            <v>Колбасные изделия</v>
          </cell>
          <cell r="F552" t="str">
            <v>Сосиски</v>
          </cell>
          <cell r="G552" t="str">
            <v>Папа может</v>
          </cell>
          <cell r="H552" t="str">
            <v>ОМПК(Г)</v>
          </cell>
          <cell r="I552" t="str">
            <v>ТУ 10.13.14-180-00425283-2025</v>
          </cell>
          <cell r="J552" t="str">
            <v>Мясной продукт. Изделие колбасное вареное категории В.</v>
          </cell>
          <cell r="K552" t="str">
            <v>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552">
            <v>9</v>
          </cell>
          <cell r="M552">
            <v>13</v>
          </cell>
          <cell r="N552">
            <v>5</v>
          </cell>
          <cell r="O552" t="str">
            <v>173/719</v>
          </cell>
          <cell r="P552" t="str">
            <v>0…+6</v>
          </cell>
          <cell r="Q552">
            <v>45</v>
          </cell>
        </row>
        <row r="553">
          <cell r="B553">
            <v>1001027417490</v>
          </cell>
          <cell r="C553" t="str">
            <v>СОЧНЫЙ ГРИЛЬ сос ц/о мгс 0.41кг_Даблпак</v>
          </cell>
          <cell r="D553" t="str">
            <v>ШТ</v>
          </cell>
          <cell r="E553" t="str">
            <v>Колбасные изделия</v>
          </cell>
          <cell r="F553" t="str">
            <v>Сосиски</v>
          </cell>
          <cell r="G553" t="str">
            <v>Папа может</v>
          </cell>
          <cell r="H553" t="str">
            <v>ОМПК(Г)</v>
          </cell>
          <cell r="I553" t="str">
            <v>ТУ 10.13.14-130-00425283-2017</v>
          </cell>
          <cell r="J553" t="str">
            <v>Мясной продукт. Изделие колбасное вареное категории В.</v>
          </cell>
          <cell r="K553" t="str">
            <v>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553">
            <v>9</v>
          </cell>
          <cell r="M553">
            <v>13</v>
          </cell>
          <cell r="N553">
            <v>5</v>
          </cell>
          <cell r="O553" t="str">
            <v>173/719</v>
          </cell>
          <cell r="P553" t="str">
            <v>0…+6</v>
          </cell>
          <cell r="Q553">
            <v>45</v>
          </cell>
        </row>
        <row r="554">
          <cell r="B554">
            <v>1001022246958</v>
          </cell>
          <cell r="C554" t="str">
            <v>СОЧНЫЙ ГРИЛЬ ПМ сос п/о мгс 1.5*4</v>
          </cell>
          <cell r="D554" t="str">
            <v>КГ</v>
          </cell>
          <cell r="E554" t="str">
            <v>Колбасные изделия</v>
          </cell>
          <cell r="F554" t="str">
            <v>Сосиски</v>
          </cell>
          <cell r="G554" t="str">
            <v>Папа может</v>
          </cell>
          <cell r="H554" t="str">
            <v>ОМПК(Г)</v>
          </cell>
          <cell r="I554" t="str">
            <v>ТУ 10.13.14-130-00425283-2017</v>
          </cell>
          <cell r="J554" t="str">
            <v>Мясной продукт. Изделие колбасное вареное категории В.</v>
          </cell>
          <cell r="K554" t="str">
            <v>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554">
            <v>9</v>
          </cell>
          <cell r="M554">
            <v>13</v>
          </cell>
          <cell r="N554">
            <v>5</v>
          </cell>
          <cell r="O554" t="str">
            <v>173/719</v>
          </cell>
          <cell r="P554" t="str">
            <v>0…+6</v>
          </cell>
          <cell r="Q554">
            <v>45</v>
          </cell>
        </row>
        <row r="555">
          <cell r="B555">
            <v>1001022246959</v>
          </cell>
          <cell r="C555" t="str">
            <v>СОЧНЫЙ ГРИЛЬ ПМ сос п/о мгс 1.5*4_А</v>
          </cell>
          <cell r="D555" t="str">
            <v>КГ</v>
          </cell>
          <cell r="E555" t="str">
            <v>Колбасные изделия</v>
          </cell>
          <cell r="F555" t="str">
            <v>Сосиски</v>
          </cell>
          <cell r="G555" t="str">
            <v>Папа может</v>
          </cell>
          <cell r="H555" t="str">
            <v>ОМПК(Г)</v>
          </cell>
          <cell r="I555" t="str">
            <v>ТУ 10.13.14-130-00425283-2017</v>
          </cell>
          <cell r="J555" t="str">
            <v>Мясной продукт. Изделие колбасное вареное категории В.</v>
          </cell>
          <cell r="K555" t="str">
            <v>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555">
            <v>9</v>
          </cell>
          <cell r="M555">
            <v>13</v>
          </cell>
          <cell r="N555">
            <v>5</v>
          </cell>
          <cell r="O555" t="str">
            <v>173/719</v>
          </cell>
          <cell r="P555" t="str">
            <v>0…+6</v>
          </cell>
          <cell r="Q555">
            <v>45</v>
          </cell>
        </row>
        <row r="556">
          <cell r="B556">
            <v>1001022246661</v>
          </cell>
          <cell r="C556" t="str">
            <v>СОЧНЫЙ ГРИЛЬ ПМ сос п/о мгс 1.5*4_Маяк</v>
          </cell>
          <cell r="D556" t="str">
            <v>КГ</v>
          </cell>
          <cell r="E556" t="str">
            <v>Колбасные изделия</v>
          </cell>
          <cell r="F556" t="str">
            <v>Сосиски</v>
          </cell>
          <cell r="G556" t="str">
            <v>Папа может</v>
          </cell>
          <cell r="H556" t="str">
            <v>ОМПК(Г)</v>
          </cell>
          <cell r="I556" t="str">
            <v>ТУ 10.13.14-130-00425283-2017</v>
          </cell>
          <cell r="J556" t="str">
            <v>Мясной продукт. Изделие колбасное вареное категории В.</v>
          </cell>
          <cell r="K556" t="str">
            <v>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556">
            <v>9</v>
          </cell>
          <cell r="M556">
            <v>13</v>
          </cell>
          <cell r="N556">
            <v>5</v>
          </cell>
          <cell r="O556" t="str">
            <v>173/719</v>
          </cell>
          <cell r="P556" t="str">
            <v>0…+6</v>
          </cell>
          <cell r="Q556">
            <v>45</v>
          </cell>
        </row>
        <row r="557">
          <cell r="B557">
            <v>1001027417643</v>
          </cell>
          <cell r="C557" t="str">
            <v>СОЧНЫЙ ГРИЛЬ ПМ сос п/о мгс 0.8кг 5шт.</v>
          </cell>
          <cell r="D557" t="str">
            <v>ШТ</v>
          </cell>
          <cell r="E557" t="str">
            <v>Колбасные изделия</v>
          </cell>
          <cell r="F557" t="str">
            <v>Сосиски</v>
          </cell>
          <cell r="G557" t="str">
            <v>Папа может</v>
          </cell>
          <cell r="H557" t="str">
            <v>ОМПК(Г)</v>
          </cell>
          <cell r="I557" t="str">
            <v>ТУ 10.13.14-130-00425283-2017</v>
          </cell>
          <cell r="J557" t="str">
            <v>Мясной продукт. Изделие колбасное вареное категории В.</v>
          </cell>
          <cell r="K557" t="str">
            <v>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557">
            <v>9</v>
          </cell>
          <cell r="M557">
            <v>13</v>
          </cell>
          <cell r="N557">
            <v>5</v>
          </cell>
          <cell r="O557" t="str">
            <v>173/719</v>
          </cell>
          <cell r="P557" t="str">
            <v>0…+6</v>
          </cell>
          <cell r="Q557">
            <v>45</v>
          </cell>
        </row>
        <row r="558">
          <cell r="B558">
            <v>1001026797319</v>
          </cell>
          <cell r="C558" t="str">
            <v>СУПЕР КОПЧЕНЫЕ ПМ сос ц/о мгс 0.41кг 8шт</v>
          </cell>
          <cell r="D558" t="str">
            <v>ШТ</v>
          </cell>
          <cell r="E558" t="str">
            <v>Колбасные изделия</v>
          </cell>
          <cell r="F558" t="str">
            <v>Сосиски</v>
          </cell>
          <cell r="G558" t="str">
            <v>Папа может</v>
          </cell>
          <cell r="H558" t="str">
            <v>ОМПК(Г)</v>
          </cell>
          <cell r="I558" t="str">
            <v>ТУ 10.13.14-130-00425283-2017</v>
          </cell>
          <cell r="J558" t="str">
            <v>Мясной продукт. Изделие колбасное вареное категории В.</v>
          </cell>
          <cell r="K558" t="str">
            <v>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558">
            <v>9</v>
          </cell>
          <cell r="M558">
            <v>13</v>
          </cell>
          <cell r="N558">
            <v>5</v>
          </cell>
          <cell r="O558" t="str">
            <v>173/719</v>
          </cell>
          <cell r="P558" t="str">
            <v>0…+6</v>
          </cell>
          <cell r="Q558">
            <v>45</v>
          </cell>
        </row>
        <row r="559">
          <cell r="B559">
            <v>1001025886987</v>
          </cell>
          <cell r="C559" t="str">
            <v>СУПЕР СЫТНЫЕ ПМ сос п/о мгс 0.6кг 8шт.</v>
          </cell>
          <cell r="D559" t="str">
            <v>ШТ</v>
          </cell>
          <cell r="E559" t="str">
            <v>Колбасные изделия</v>
          </cell>
          <cell r="F559" t="str">
            <v>Сосиски</v>
          </cell>
          <cell r="G559" t="str">
            <v>Папа может</v>
          </cell>
          <cell r="H559" t="str">
            <v>ОМПК(Г)</v>
          </cell>
          <cell r="I559" t="str">
            <v>ТУ 10.13.14-150-00425283-2018</v>
          </cell>
          <cell r="J559" t="str">
            <v>Изделие колбасное вареное из мяса кур охлажденное.</v>
          </cell>
          <cell r="K559" t="str">
            <v>мясо куриное механической обвалки,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молоко сухое обезжиренное, сливки сухие, регуляторы кислотности (пирофосфаты, трифосфаты, цитраты натрия), загустители (каррагинан, конжак, ксантановая камедь, альгинат натрия, гуаровая камедь, модифицированный крахмал, камедь целлюлозы), сахара, экстракты пряностей, антиокислители (аскорбиновая кислота, лимонная кислота, изоаскорбат натрия), усилитель вкуса и аромата (глутамат натрия), ароматизаторы, краситель (кармины)</v>
          </cell>
          <cell r="L559">
            <v>8</v>
          </cell>
          <cell r="M559">
            <v>10</v>
          </cell>
          <cell r="N559">
            <v>5</v>
          </cell>
          <cell r="O559" t="str">
            <v>142/591</v>
          </cell>
          <cell r="P559" t="str">
            <v>0…+6</v>
          </cell>
          <cell r="Q559">
            <v>45</v>
          </cell>
        </row>
        <row r="560">
          <cell r="B560">
            <v>1001026617662</v>
          </cell>
          <cell r="C560" t="str">
            <v>ТОМ ЯМ ПМ сос п/о мгс 0.264кг 6шт.</v>
          </cell>
          <cell r="D560" t="str">
            <v>ШТ</v>
          </cell>
          <cell r="E560" t="str">
            <v>Колбасные изделия</v>
          </cell>
          <cell r="F560" t="str">
            <v>Сосиски</v>
          </cell>
          <cell r="G560" t="str">
            <v>Папа может</v>
          </cell>
          <cell r="H560" t="str">
            <v>ОМПК(Г)</v>
          </cell>
          <cell r="I560" t="str">
            <v>ТУ 10.13.14-150-00425283-2018</v>
          </cell>
          <cell r="J560" t="str">
            <v>Изделие колбасное вареное из мяса кур охлажденное.</v>
          </cell>
          <cell r="K560" t="str">
            <v>мясо куриное механической обвалки, вода питьевая, свинина, стабилизатор белковый (вода питьевая, шкурка свиная, говядина), сыворотка молочная сухая,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сахара, соль, специи и экстракты специй, пряности, дрожжевой экстракт, соус соевый (соевые бобы, соль), белок животный (говяжий), желатин пищевой, антиокислители (аскорбиновая кислота, лимонная кислота, экстракт розмарина), усилители вкуса и аромата (глутамат натрия 1-замещенный, 5-гуанилат натрия 2-замещенный), ароматизаторы, красители (кармины, сахарный колер I простой)</v>
          </cell>
          <cell r="L560">
            <v>10</v>
          </cell>
          <cell r="M560">
            <v>11</v>
          </cell>
          <cell r="N560">
            <v>2</v>
          </cell>
          <cell r="O560" t="str">
            <v>136/564</v>
          </cell>
          <cell r="P560" t="str">
            <v>0…+6</v>
          </cell>
          <cell r="Q560">
            <v>45</v>
          </cell>
        </row>
        <row r="561">
          <cell r="B561">
            <v>1001025887494</v>
          </cell>
          <cell r="C561" t="str">
            <v>СУПЕР СЫТНЫЕ ПМ сос п/о мгс 1.5*6</v>
          </cell>
          <cell r="D561" t="str">
            <v>КГ</v>
          </cell>
          <cell r="E561" t="str">
            <v>Колбасные изделия</v>
          </cell>
          <cell r="F561" t="str">
            <v>Сосиски</v>
          </cell>
          <cell r="G561" t="str">
            <v>Папа может</v>
          </cell>
          <cell r="H561" t="str">
            <v>ОМПК(Г)</v>
          </cell>
          <cell r="I561" t="str">
            <v>ТУ 10.13.14-150-00425283-2018</v>
          </cell>
          <cell r="J561" t="str">
            <v>Изделие колбасное вареное из мяса кур охлажденное.</v>
          </cell>
          <cell r="K561" t="str">
            <v>мясо куриное механической обвалки,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молоко сухое обезжиренное, сливки сухие, регуляторы кислотности (пирофосфаты, трифосфаты, цитраты натрия), загустители (каррагинан, конжак, ксантановая камедь, альгинат натрия, гуаровая камедь, модифицированный крахмал, камедь целлюлозы), сахара, экстракты пряностей, антиокислители (аскорбиновая кислота, лимонная кислота, изоаскорбат натрия), усилитель вкуса и аромата (глутамат натрия), ароматизаторы, краситель (кармины)</v>
          </cell>
          <cell r="L561">
            <v>8</v>
          </cell>
          <cell r="M561">
            <v>10</v>
          </cell>
          <cell r="N561">
            <v>5</v>
          </cell>
          <cell r="O561" t="str">
            <v>142/591</v>
          </cell>
          <cell r="P561" t="str">
            <v>0…+6</v>
          </cell>
          <cell r="Q561">
            <v>45</v>
          </cell>
        </row>
        <row r="562">
          <cell r="B562">
            <v>1001025887661</v>
          </cell>
          <cell r="C562" t="str">
            <v>СУПЕР СЫТНЫЕ ПМ сос п/о мгс 0.84кг 5шт.</v>
          </cell>
          <cell r="D562" t="str">
            <v>ШТ</v>
          </cell>
          <cell r="E562" t="str">
            <v>Колбасные изделия</v>
          </cell>
          <cell r="F562" t="str">
            <v>Сосиски</v>
          </cell>
          <cell r="G562" t="str">
            <v>Папа может</v>
          </cell>
          <cell r="H562" t="str">
            <v>ОМПК(Г)</v>
          </cell>
          <cell r="I562" t="str">
            <v>ТУ 10.13.14-150-00425283-2018</v>
          </cell>
          <cell r="J562" t="str">
            <v>Изделие колбасное вареное из мяса кур охлажденное.</v>
          </cell>
          <cell r="K562" t="str">
            <v>мясо куриное механической обвалки,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молоко сухое обезжиренное, сливки сухие, регуляторы кислотности (пирофосфаты, трифосфаты, цитраты натрия), загустители (каррагинан, конжак, ксантановая камедь, альгинат натрия, гуаровая камедь, модифицированный крахмал, камедь целлюлозы), сахара, экстракты пряностей, антиокислители (аскорбиновая кислота, лимонная кислота, изоаскорбат натрия), усилитель вкуса и аромата (глутамат натрия), ароматизаторы, краситель (кармины)</v>
          </cell>
          <cell r="L562">
            <v>8</v>
          </cell>
          <cell r="M562">
            <v>10</v>
          </cell>
          <cell r="N562">
            <v>5</v>
          </cell>
          <cell r="O562" t="str">
            <v>142/591</v>
          </cell>
          <cell r="P562" t="str">
            <v>0…+6</v>
          </cell>
          <cell r="Q562">
            <v>45</v>
          </cell>
        </row>
        <row r="563">
          <cell r="B563">
            <v>1001022557121</v>
          </cell>
          <cell r="C563" t="str">
            <v>ФИЛЕЙНЫЕ ПМ сос ц/о в/у 1/270 8шт.</v>
          </cell>
          <cell r="D563" t="str">
            <v>ШТ</v>
          </cell>
          <cell r="E563" t="str">
            <v>Колбасные изделия</v>
          </cell>
          <cell r="F563" t="str">
            <v>Сосиски</v>
          </cell>
          <cell r="G563" t="str">
            <v>Папа может</v>
          </cell>
          <cell r="H563" t="str">
            <v xml:space="preserve">ОМПК(Г)
</v>
          </cell>
          <cell r="I563" t="str">
            <v>ТУ 10.13.14-150-00425283-2026</v>
          </cell>
          <cell r="J563" t="str">
            <v>Изделие колбасное вареное из мяса кур охлажденное.</v>
          </cell>
          <cell r="K563" t="str">
            <v>филе грудок куриных, мясо цыпленка-бройлера механической обвалки, говядина, стабилизатор белковый (кожа куриная, вода питьевая), вода питьевая,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альгинат натрия, гуаровая камедь, модифицированный крахмал), перец черный, мускатный орех, перец чили, сахара, антиокислители (лимонная кислота, аскорбиновая кислота), усилитель вкуса и аромата (глутамат натрия 1-замещенный), ароматизаторы, краситель (кармины)</v>
          </cell>
          <cell r="L563">
            <v>11</v>
          </cell>
          <cell r="M563">
            <v>12</v>
          </cell>
          <cell r="N563">
            <v>4</v>
          </cell>
          <cell r="O563" t="str">
            <v>168/699</v>
          </cell>
          <cell r="P563" t="str">
            <v>0…+6</v>
          </cell>
          <cell r="Q563">
            <v>45</v>
          </cell>
        </row>
        <row r="564">
          <cell r="B564">
            <v>1001022557257</v>
          </cell>
          <cell r="C564" t="str">
            <v>ФИЛЕЙНЫЕ ПМ сос ц/о мгс 0.33кг 8шт.</v>
          </cell>
          <cell r="D564" t="str">
            <v>ШТ</v>
          </cell>
          <cell r="E564" t="str">
            <v>Колбасные изделия</v>
          </cell>
          <cell r="F564" t="str">
            <v>Сосиски</v>
          </cell>
          <cell r="G564" t="str">
            <v>Папа может</v>
          </cell>
          <cell r="H564" t="str">
            <v>ОМПК(Г)</v>
          </cell>
          <cell r="I564" t="str">
            <v>ТУ 10.13.14-150-00425283-2018</v>
          </cell>
          <cell r="J564" t="str">
            <v>Изделие колбасное вареное из мяса кур охлажденное.</v>
          </cell>
          <cell r="K564" t="str">
            <v>филе грудок куриных, мясо куриное механической обвалки, стабилизатор белковый (кожа куриная, вода питьевая, говядина), вода питьевая, крахмал картофельный, смесь посолочно-нитритная (соль, фиксатор окраски  (нитрит натрия)), соль, регуляторы кислотности (пирофосфаты, трифосфаты), стабилизатор (полифосфат), загустители (альгинат натрия, каррагинан, гуаровая камедь), специи, сахара, антиокислители (аскорбиновая кислота, изоаскорбат натрия), усилитель вкуса и аромата (глутамат натрия), ароматизаторы, краситель (кармины)</v>
          </cell>
          <cell r="L564">
            <v>12</v>
          </cell>
          <cell r="M564">
            <v>14</v>
          </cell>
          <cell r="N564">
            <v>1</v>
          </cell>
          <cell r="O564" t="str">
            <v>178/739</v>
          </cell>
          <cell r="P564" t="str">
            <v>0…+6</v>
          </cell>
          <cell r="Q564">
            <v>45</v>
          </cell>
        </row>
        <row r="565">
          <cell r="B565">
            <v>1001022556837</v>
          </cell>
          <cell r="C565" t="str">
            <v>ФИЛЕЙНЫЕ Папа Может сос ц/о мгс 0.4кг</v>
          </cell>
          <cell r="D565" t="str">
            <v>ШТ</v>
          </cell>
          <cell r="E565" t="str">
            <v>Колбасные изделия</v>
          </cell>
          <cell r="F565" t="str">
            <v>Сосиски</v>
          </cell>
          <cell r="G565" t="str">
            <v>Папа может</v>
          </cell>
          <cell r="H565" t="str">
            <v xml:space="preserve">ОМПК(Г)
</v>
          </cell>
          <cell r="I565" t="str">
            <v>ТУ 10.13.14-150-00425283-2018</v>
          </cell>
          <cell r="J565" t="str">
            <v>Изделие колбасное вареное из мяса кур охлажденное.</v>
          </cell>
          <cell r="K565" t="str">
            <v>филе грудок куриных, мясо куриное механической обвалки, стабилизатор белковый (кожа куриная, вода питьевая, говядина), вода питьевая, крахмал картофельный, смесь посолочно-нитритная (соль, фиксатор окраски (нитрит натрия)), соль, регуляторы кислотности (пирофосфаты, трифосфаты), стабилизатор (полифосфаты), загустители (альгинат натрия, каррагинан, гуаровая камедь), специи, сахара, антиокислители (аскорбиновая кислота, изоаскорбат натрия), усилитель вкуса и аромата (глутамат натрия), ароматизаторы, краситель (кармины)</v>
          </cell>
          <cell r="L565">
            <v>12</v>
          </cell>
          <cell r="M565">
            <v>14</v>
          </cell>
          <cell r="N565">
            <v>1</v>
          </cell>
          <cell r="O565" t="str">
            <v>178/739</v>
          </cell>
          <cell r="P565" t="str">
            <v>0…+6</v>
          </cell>
          <cell r="Q565">
            <v>45</v>
          </cell>
        </row>
        <row r="566">
          <cell r="B566">
            <v>1001027067385</v>
          </cell>
          <cell r="C566" t="str">
            <v>ЧИКЕН КАРРИ Папа может сос п/о мгс 1/330</v>
          </cell>
          <cell r="D566" t="str">
            <v>ШТ</v>
          </cell>
          <cell r="E566" t="str">
            <v>Колбасные изделия</v>
          </cell>
          <cell r="F566" t="str">
            <v>Сосиски</v>
          </cell>
          <cell r="G566" t="str">
            <v>Папа может</v>
          </cell>
          <cell r="H566" t="str">
            <v>ОМПК(Г)</v>
          </cell>
          <cell r="I566" t="str">
            <v>ТУ 10.13.14-150-00425283-2018</v>
          </cell>
          <cell r="J566" t="str">
            <v>Изделие колбасное вареное из мяса кур охлажденное.</v>
          </cell>
          <cell r="K566" t="str">
            <v>мясо куриное механической обвалки, свинина, вода питьевая, стабилизатор белковый (вода питьевая, шкурка свиная, говядина), куркума, кориандр молотый, перец красный молотый, перец черный молотый, горчица порошок, пажитник, кумин молотый, экстракт сельдерея, лук репчатый сушеный молотый, чеснок сушеный молотый, желатин пищевой,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глюконо-дельта-лактон), стабилизатор (полифосфат), загустители (альгинат натрия, каррагинан, гуаровая камедь, камедь целлюлозы, модифицированный крахмал), сахара, соль, антиокилсители (аскорбиновая кислота, изоаскорбат натрия, аскорбат натрия), усилитель вкуса и аромата (глутамат натрия 1-замещенный), ароматизаторы, краситель (кармины)</v>
          </cell>
          <cell r="L566">
            <v>10</v>
          </cell>
          <cell r="M566">
            <v>12</v>
          </cell>
          <cell r="N566">
            <v>3</v>
          </cell>
          <cell r="O566" t="str">
            <v>160/665</v>
          </cell>
          <cell r="P566" t="str">
            <v>0…+6</v>
          </cell>
          <cell r="Q566">
            <v>45</v>
          </cell>
        </row>
        <row r="567">
          <cell r="B567">
            <v>1001027577542</v>
          </cell>
          <cell r="C567" t="str">
            <v>СОЧНЫЕ С СЫРОМ ПМ сос ц/о мгс 0.3кг 6шт.</v>
          </cell>
          <cell r="D567" t="str">
            <v>ШТ</v>
          </cell>
          <cell r="E567" t="str">
            <v>Колбасные изделия</v>
          </cell>
          <cell r="F567" t="str">
            <v>Сосиски</v>
          </cell>
          <cell r="G567" t="str">
            <v>Папа может</v>
          </cell>
          <cell r="H567" t="str">
            <v xml:space="preserve">ОМПК(О)
</v>
          </cell>
          <cell r="I567" t="str">
            <v>ТУ 10.13.14-150-00425283-2026</v>
          </cell>
          <cell r="J567" t="str">
            <v>Изделие колбасное вареное из мяса кур охлажденное.</v>
          </cell>
          <cell r="K567" t="str">
            <v>мясо куриное механической обвалки, свинина, вода питьевая, стабилизатор белковый (вода питьевая, шкурка свиная), продукт плавленый с сыром (вода питьевая, масло растительное рафинированное дезодорированное (в т.ч. гидрогенезированное, переэтерефицированное, подсолнечное и/или рапсовое), крахмал картофельный, молоко сухое обезжиренное, сыр (молоко пастеризованное, бактериальная закваска мезофильных молочнокислых микроорганизмов, молокосвертывающий ферментный препарат микробного происхождения), соль, регуляторы кислотности (цитраты натрия, пирофосфаты, карбонаты натрия, молочная кислота, янтарная кислота), стабилизаторы (полифосфаты, крахмал модифицированный), ароматизатор, красители (каротины, сахарный колер)),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загустители (конжак, ксантановая камедь, альгинат натрия, каррагинан, гуаровая камедь, камедь целлюлозы, модифицированный крахмал), специи, чеснок сушеный молотый, сахара, антиокислители (изоаскорбат натрия, лимонная кислота аскорбиновая кислота), усилитель вкуса и аромата (глутамат натрия), ароматизаторы, краситель (кармины)</v>
          </cell>
          <cell r="L567">
            <v>12</v>
          </cell>
          <cell r="M567">
            <v>13</v>
          </cell>
          <cell r="N567">
            <v>4</v>
          </cell>
          <cell r="O567" t="str">
            <v>181/753</v>
          </cell>
          <cell r="P567" t="str">
            <v>0…+6</v>
          </cell>
          <cell r="Q567">
            <v>45</v>
          </cell>
        </row>
        <row r="568">
          <cell r="B568">
            <v>1001025176475</v>
          </cell>
          <cell r="C568" t="str">
            <v>С СЫРОМ Папа может сос ц/о мгс 0.4кг 6шт</v>
          </cell>
          <cell r="D568" t="str">
            <v>ШТ</v>
          </cell>
          <cell r="E568" t="str">
            <v>Колбасные изделия</v>
          </cell>
          <cell r="F568" t="str">
            <v>Сосиски</v>
          </cell>
          <cell r="G568" t="str">
            <v>Папа может</v>
          </cell>
          <cell r="H568" t="str">
            <v xml:space="preserve">ОМПК(Г)
</v>
          </cell>
          <cell r="I568" t="str">
            <v>ТУ 10.13.14-150-00425283-2018</v>
          </cell>
          <cell r="J568" t="str">
            <v>Изделие колбасное вареное из мяса кур охлажденное.</v>
          </cell>
          <cell r="K568" t="str">
            <v>мясо цыпленка-бройлера бескостное, мясо цыпленка-бройлера механической обвалки, свинина, стабилизатор белковый (вода питьевая, шкурка свиная), вода питьевая, сыр плавленый (сыр, масло сливочное, творог, вода питьевая, молоко сухое обезжиренное, сыворотка молочная сухая, эмульгаторы (полифосфаты, фосфаты натрия), стабилизатор (фосфат кальция), загустители (гуаровая камедь, камедь рожкового дерева), консервант (сорбат калия)), регуляторы кислотности (пирофосфаты, трифосфаты, цитраты натрия),загустители (альгинат натрия, каррагинан, ксантановая камедь, гуаровая камедь, модифицированный крахмал), чеснок сушеный молотый, перец черный, мускатный орех, чили,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568">
            <v>10</v>
          </cell>
          <cell r="M568">
            <v>18</v>
          </cell>
          <cell r="N568">
            <v>4</v>
          </cell>
          <cell r="O568" t="str">
            <v>222/921</v>
          </cell>
          <cell r="P568" t="str">
            <v>0…+6</v>
          </cell>
          <cell r="Q568">
            <v>45</v>
          </cell>
        </row>
        <row r="569">
          <cell r="B569">
            <v>1001025177297</v>
          </cell>
          <cell r="C569" t="str">
            <v>С СЫРОМ ПМ сос ц/о мгс 0.4кг 6шт_Лента</v>
          </cell>
          <cell r="D569" t="str">
            <v>ШТ</v>
          </cell>
          <cell r="E569" t="str">
            <v>Колбасные изделия</v>
          </cell>
          <cell r="F569" t="str">
            <v>Сосиски</v>
          </cell>
          <cell r="G569" t="str">
            <v>Папа может</v>
          </cell>
          <cell r="H569" t="str">
            <v xml:space="preserve">ОМПК(Г)
</v>
          </cell>
          <cell r="I569" t="str">
            <v>ТУ 10.13.14-150-00425283-2018</v>
          </cell>
          <cell r="J569" t="str">
            <v>Изделие колбасное вареное из мяса кур охлажденное.</v>
          </cell>
          <cell r="K569" t="str">
            <v>мясо цыпленка-бройлера бескостное, мясо цыпленка-бройлера механической обвалки, свинина, стабилизатор белковый (вода питьевая, шкурка свиная), вода питьевая, сыр плавленый (сыр, масло сливочное, творог, вода питьевая, молоко сухое обезжиренное, сыворотка молочная сухая, эмульгаторы (полифосфаты, фосфаты натрия), стабилизатор (фосфат кальция), загустители (гуаровая камедь, камедь рожкового дерева), консервант (сорбат калия)), регуляторы кислотности (пирофосфаты, трифосфаты, цитраты натрия),загустители (альгинат натрия, каррагинан, ксантановая камедь, гуаровая камедь, модифицированный крахмал), чеснок сушеный молотый, перец черный, мускатный орех, чили,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569">
            <v>10</v>
          </cell>
          <cell r="M569">
            <v>18</v>
          </cell>
          <cell r="N569">
            <v>4</v>
          </cell>
          <cell r="O569" t="str">
            <v>222/921</v>
          </cell>
          <cell r="P569" t="str">
            <v>0…+6</v>
          </cell>
          <cell r="Q569">
            <v>45</v>
          </cell>
        </row>
        <row r="570">
          <cell r="B570">
            <v>1001025177563</v>
          </cell>
          <cell r="C570" t="str">
            <v>С СЫРОМ ПМ сос ц/о мгс 0.3кг 12шт.</v>
          </cell>
          <cell r="D570" t="str">
            <v>ШТ</v>
          </cell>
          <cell r="E570" t="str">
            <v>Колбасные изделия</v>
          </cell>
          <cell r="F570" t="str">
            <v>Сосиски</v>
          </cell>
          <cell r="G570" t="str">
            <v>Папа может</v>
          </cell>
          <cell r="H570" t="str">
            <v xml:space="preserve">ОМПК(Г)
</v>
          </cell>
          <cell r="I570" t="str">
            <v>ТУ 10.13.14-150-00425283-2018</v>
          </cell>
          <cell r="J570" t="str">
            <v>Изделие колбасное вареное из мяса кур охлажденное.</v>
          </cell>
          <cell r="K570" t="str">
            <v>мясо цыпленка-бройлера бескостное, мясо цыпленка-бройлера механической обвалки, свинина, стабилизатор белковый (вода питьевая, шкурка свиная), вода питьевая, сыр плавленый (сыр, масло сливочное, творог, вода питьевая, молоко сухое обезжиренное, сыворотка молочная сухая, эмульгаторы (полифосфаты, фосфаты натрия), стабилизатор (фосфат кальция), загустители (гуаровая камедь, камедь рожкового дерева), консервант (сорбат калия)), регуляторы кислотности (пирофосфаты, трифосфаты, цитраты натрия),загустители (альгинат натрия, каррагинан, ксантановая камедь, гуаровая камедь, модифицированный крахмал), чеснок сушеный молотый, перец черный, мускатный орех, чили,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570">
            <v>10</v>
          </cell>
          <cell r="M570">
            <v>18</v>
          </cell>
          <cell r="N570">
            <v>4</v>
          </cell>
          <cell r="O570" t="str">
            <v>222/921</v>
          </cell>
          <cell r="P570" t="str">
            <v>0…+6</v>
          </cell>
          <cell r="Q570">
            <v>45</v>
          </cell>
        </row>
        <row r="571">
          <cell r="B571">
            <v>1001022556708</v>
          </cell>
          <cell r="C571" t="str">
            <v>ИЗ ФИЛЕ КУРИНОЙ ГРУДКИ сос ц/о мгс 0.4кг</v>
          </cell>
          <cell r="D571" t="str">
            <v>ШТ</v>
          </cell>
          <cell r="E571" t="str">
            <v>Колбасные изделия</v>
          </cell>
          <cell r="F571" t="str">
            <v>Сосиски</v>
          </cell>
          <cell r="G571" t="str">
            <v>Папа может</v>
          </cell>
          <cell r="H571" t="str">
            <v xml:space="preserve">ОМПК(Г)
</v>
          </cell>
          <cell r="I571" t="str">
            <v>ТУ 10.13.14-150-00425283-2018</v>
          </cell>
          <cell r="J571" t="str">
            <v>Изделие колбасное вареное из мяса кур охлажденное 1 сорта.</v>
          </cell>
          <cell r="K571" t="str">
            <v>филе грудок куриных, мясо куриное механической обвалки, белковый стабилизатор (куриный), говядина, вода, крахмал картофельный, смесь посолочно-нитритная (соль, фиксатор окраски нитрит натрия), соль, регуляторы кислотности: пирофосфаты, ацетаты натрия; стабилизаторы: альгинат натрия, каррагинан, камедь (рожкового дерева, гуаровая); пряности, ароматизаторы, антиокислитель изоаскорбат натрия, усилитель вкуса и аромата глутамат натрия, сахар, краситель кармины</v>
          </cell>
          <cell r="L571">
            <v>10</v>
          </cell>
          <cell r="M571">
            <v>13</v>
          </cell>
          <cell r="N571">
            <v>3</v>
          </cell>
          <cell r="O571" t="str">
            <v>169/702</v>
          </cell>
          <cell r="P571" t="str">
            <v>0…+6</v>
          </cell>
          <cell r="Q571">
            <v>45</v>
          </cell>
        </row>
        <row r="572">
          <cell r="B572">
            <v>1001023857296</v>
          </cell>
          <cell r="C572" t="str">
            <v>С ГОВЯДИНОЙ ПМ сос п/о мгс 0.8кг_Kvalita</v>
          </cell>
          <cell r="D572" t="str">
            <v>ШТ</v>
          </cell>
          <cell r="E572" t="str">
            <v>Колбасные изделия</v>
          </cell>
          <cell r="F572" t="str">
            <v>Сосиски</v>
          </cell>
          <cell r="G572" t="str">
            <v>Папа может</v>
          </cell>
          <cell r="H572" t="str">
            <v>ОМПК(Г)</v>
          </cell>
          <cell r="I572" t="str">
            <v>ТУ 10.13.14-130-00425283-2017</v>
          </cell>
          <cell r="J572" t="str">
            <v>Мясосодержащий продукт. Изделие колбасное вареное категории В.</v>
          </cell>
          <cell r="K572" t="str">
            <v>говядина, мясо куриное механической обвалки, вода питьевая, филе грудок куриных, стабилизатор белковый (вода питьевая, кожа куриная), крахмалы (картофельный, кукурузный), смесь посолочно-нитритная (соль, фиксатор окраски (нитрит натрия)), соль, регуляторы кислотности (трифосфаты, пирофосфаты, цитраты натрия), стабилизатор (альгинат натрия), экстракты пряностей, антиокислитель (аскорбиновая кислота), усилитель вкуса и аромата (глутамат натрия), декстроза, ароматизаторы, краситель (кармины)</v>
          </cell>
          <cell r="L572">
            <v>7</v>
          </cell>
          <cell r="M572">
            <v>10</v>
          </cell>
          <cell r="N572">
            <v>3</v>
          </cell>
          <cell r="O572" t="str">
            <v>130/540</v>
          </cell>
          <cell r="P572" t="str">
            <v>0…+6</v>
          </cell>
          <cell r="Q572">
            <v>50</v>
          </cell>
        </row>
        <row r="573">
          <cell r="B573">
            <v>1001023857578</v>
          </cell>
          <cell r="C573" t="str">
            <v>С ГОВЯД.ПМ сос п/о мгс 0.8кг_309к_Kvalit</v>
          </cell>
          <cell r="D573" t="str">
            <v>ШТ</v>
          </cell>
          <cell r="E573" t="str">
            <v>Колбасные изделия</v>
          </cell>
          <cell r="F573" t="str">
            <v>Сосиски</v>
          </cell>
          <cell r="G573" t="str">
            <v>Папа может</v>
          </cell>
          <cell r="H573" t="str">
            <v>ОМПК(Г)</v>
          </cell>
          <cell r="I573" t="str">
            <v>ТУ 10.13.14-130-00425283-2017</v>
          </cell>
          <cell r="J573" t="str">
            <v>Мясосодержащий продукт. Изделие колбасное вареное категории В.</v>
          </cell>
          <cell r="K573" t="str">
            <v>говядина, мясо куриное механической обвалки, вода питьевая, филе грудок куриных, стабилизатор белковый (вода питьевая, кожа куриная), крахмалы (картофельный, кукурузный), смесь посолочно-нитритная (соль, фиксатор окраски (нитрит натрия)), соль, регуляторы кислотности (трифосфаты, пирофосфаты, цитраты натрия), стабилизатор (альгинат натрия), экстракты пряностей, антиокислитель (аскорбиновая кислота), усилитель вкуса и аромата (глутамат натрия), декстроза, ароматизаторы, краситель (кармины)</v>
          </cell>
          <cell r="L573">
            <v>7</v>
          </cell>
          <cell r="M573">
            <v>10</v>
          </cell>
          <cell r="N573">
            <v>3</v>
          </cell>
          <cell r="O573" t="str">
            <v>130/540</v>
          </cell>
          <cell r="P573" t="str">
            <v>0…+6</v>
          </cell>
          <cell r="Q573">
            <v>50</v>
          </cell>
        </row>
        <row r="574">
          <cell r="B574">
            <v>1001023857405</v>
          </cell>
          <cell r="C574" t="str">
            <v>С ГОВЯДИНОЙ ASLAM сос п/о мгс 0.41кг</v>
          </cell>
          <cell r="D574" t="str">
            <v>ШТ</v>
          </cell>
          <cell r="E574" t="str">
            <v>Колбасные изделия</v>
          </cell>
          <cell r="F574" t="str">
            <v>Сосиски</v>
          </cell>
          <cell r="G574" t="str">
            <v>ASLAM</v>
          </cell>
          <cell r="H574" t="str">
            <v>ООО Казанские деликатесы</v>
          </cell>
          <cell r="I574" t="str">
            <v>ТУ 10.13.14-175-00425283-2025</v>
          </cell>
          <cell r="J574" t="str">
            <v>Изделие колбасное вареное из мяса кур охлажденное.</v>
          </cell>
          <cell r="K574" t="str">
            <v>мясо куриное механической обвалки, филе грудок куриных, говядина, стабилизатор белковый (вода питьевая, кожа куриная, говядина),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антиокислители (аскорбиновая кислота, лимонная кислота), усилитель вкуса и аромата (глутамат натрия), ароматизаторы, экстракт гардении красной</v>
          </cell>
          <cell r="L574">
            <v>12</v>
          </cell>
          <cell r="M574">
            <v>10</v>
          </cell>
          <cell r="N574">
            <v>2</v>
          </cell>
          <cell r="O574" t="str">
            <v>146/608</v>
          </cell>
          <cell r="P574" t="str">
            <v>0…+6</v>
          </cell>
          <cell r="Q574">
            <v>45</v>
          </cell>
        </row>
        <row r="575">
          <cell r="B575">
            <v>1001023857407</v>
          </cell>
          <cell r="C575" t="str">
            <v>С ГОВЯДИНОЙ ASLAM сос п/о мгс 1.025*6</v>
          </cell>
          <cell r="D575" t="str">
            <v>ШТ</v>
          </cell>
          <cell r="E575" t="str">
            <v>Колбасные изделия</v>
          </cell>
          <cell r="F575" t="str">
            <v>Сосиски</v>
          </cell>
          <cell r="G575" t="str">
            <v>ASLAM</v>
          </cell>
          <cell r="H575" t="str">
            <v>ООО Казанские деликатесы</v>
          </cell>
          <cell r="I575" t="str">
            <v>ТУ 10.13.14-175-00425283-2025</v>
          </cell>
          <cell r="J575" t="str">
            <v>Изделие колбасное вареное из мяса кур охлажденное.</v>
          </cell>
          <cell r="K575" t="str">
            <v>мясо куриное механической обвалки, филе грудок куриных, говядина, стабилизатор белковый (вода питьевая, кожа куриная, говядина),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антиокислители (аскорбиновая кислота, лимонная кислота), усилитель вкуса и аромата (глутамат натрия), ароматизаторы, экстракт гардении красной</v>
          </cell>
          <cell r="L575">
            <v>12</v>
          </cell>
          <cell r="M575">
            <v>10</v>
          </cell>
          <cell r="N575">
            <v>2</v>
          </cell>
          <cell r="O575" t="str">
            <v>146/608</v>
          </cell>
          <cell r="P575" t="str">
            <v>0…+6</v>
          </cell>
          <cell r="Q575">
            <v>45</v>
          </cell>
        </row>
        <row r="576">
          <cell r="B576">
            <v>1001023857476</v>
          </cell>
          <cell r="C576" t="str">
            <v>С ГОВЯДИНОЙ ПМ сос п/о мгс 0.4 кг 10шт.</v>
          </cell>
          <cell r="D576" t="str">
            <v>ШТ</v>
          </cell>
          <cell r="E576" t="str">
            <v>Колбасные изделия</v>
          </cell>
          <cell r="F576" t="str">
            <v>Сосиски</v>
          </cell>
          <cell r="G576" t="str">
            <v>Папа может</v>
          </cell>
          <cell r="H576" t="str">
            <v>ОМПК(Г)</v>
          </cell>
          <cell r="I576" t="str">
            <v>ТУ 10.13.14-180-00425283-2025</v>
          </cell>
          <cell r="J576" t="str">
            <v>Мясосодержащий продукт. Изделие колбасное вареное категории В.</v>
          </cell>
          <cell r="K576" t="str">
            <v>говядина, мясо куриное механической обвалки, вода питьевая, стабилизатор белковый (кожа куриная, вода питьевая, говядина), филе грудок куриных, крахмал кукурузный,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загустители (каррагинан, ксантановая камедь, конжак, альгинат натрия, гуаровая камедь, модифицированный крахмал, камедь целлюлозы), антиокислители (аскорбиновая кислота, лимонная кислота), ароматизаторы, краситель (кармины)</v>
          </cell>
          <cell r="L576">
            <v>10</v>
          </cell>
          <cell r="M576">
            <v>13</v>
          </cell>
          <cell r="N576">
            <v>1</v>
          </cell>
          <cell r="O576" t="str">
            <v>161/668</v>
          </cell>
          <cell r="P576" t="str">
            <v>0…+6</v>
          </cell>
          <cell r="Q576">
            <v>50</v>
          </cell>
        </row>
        <row r="577">
          <cell r="B577">
            <v>1001023857631</v>
          </cell>
          <cell r="C577" t="str">
            <v>С ГОВЯДИНОЙ ПМ сос п/о мгс 0.25кг 8шт.</v>
          </cell>
          <cell r="D577" t="str">
            <v>ШТ</v>
          </cell>
          <cell r="E577" t="str">
            <v>Колбасные изделия</v>
          </cell>
          <cell r="F577" t="str">
            <v>Сосиски</v>
          </cell>
          <cell r="G577" t="str">
            <v>Папа может</v>
          </cell>
          <cell r="H577" t="str">
            <v>ОМПК(Г)</v>
          </cell>
          <cell r="I577" t="str">
            <v>ТУ 10.13.14-180-00425283-2025</v>
          </cell>
          <cell r="J577" t="str">
            <v>Мясосодержащий продукт. Изделие колбасное вареное категории В.</v>
          </cell>
          <cell r="K577" t="str">
            <v>говядина, мясо куриное механической обвалки, вода питьевая, стабилизатор белковый (кожа куриная, вода питьевая, говядина), филе грудок куриных, крахмал кукурузный,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загустители (каррагинан, ксантановая камедь, конжак, альгинат натрия, гуаровая камедь, модифицированный крахмал, камедь целлюлозы), антиокислители (аскорбиновая кислота, лимонная кислота), ароматизаторы, краситель (кармины)</v>
          </cell>
          <cell r="L577">
            <v>10</v>
          </cell>
          <cell r="M577">
            <v>13</v>
          </cell>
          <cell r="N577">
            <v>1</v>
          </cell>
          <cell r="O577" t="str">
            <v>161/668</v>
          </cell>
          <cell r="P577" t="str">
            <v>0…+6</v>
          </cell>
          <cell r="Q577">
            <v>50</v>
          </cell>
        </row>
        <row r="578">
          <cell r="B578">
            <v>1001025027040</v>
          </cell>
          <cell r="C578" t="str">
            <v>С ИНДЕЙКОЙ ПМ сос ц/о в/у 1/270 8шт.</v>
          </cell>
          <cell r="D578" t="str">
            <v>ШТ</v>
          </cell>
          <cell r="E578" t="str">
            <v>Колбасные изделия</v>
          </cell>
          <cell r="F578" t="str">
            <v>Сосиски</v>
          </cell>
          <cell r="G578" t="str">
            <v>Папа может</v>
          </cell>
          <cell r="H578" t="str">
            <v xml:space="preserve">ОМПК(Г)
</v>
          </cell>
          <cell r="I578" t="str">
            <v>ТУ 10.13.14-150-00425283-2026</v>
          </cell>
          <cell r="J578" t="str">
            <v>Изделие колбасное вареное из мяса кур охлажденное.</v>
          </cell>
          <cell r="K578" t="str">
            <v>мясо птицы механической обвалки (куриное, индейки), стабилизатор белковый (вода питьевая, говядина, кожа куриная), вода питьевая, филе грудок куриных, крахмал кукурузный,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модифицированный крахмал, каррагинан, гуаровая камедь, камедь целлюлозы, конжак, ксантановая камедь), сахара, специи, антиокислители (изоаскорбат натрия, аскорбиновая кислота, лимонная кислота), усилитель вкуса и аромата (глутамат натрия), ароматизаторы, краситель (кармины)</v>
          </cell>
          <cell r="L578">
            <v>11</v>
          </cell>
          <cell r="M578">
            <v>12</v>
          </cell>
          <cell r="N578">
            <v>4</v>
          </cell>
          <cell r="O578" t="str">
            <v>168/699</v>
          </cell>
          <cell r="P578" t="str">
            <v>0…+6</v>
          </cell>
          <cell r="Q578">
            <v>45</v>
          </cell>
        </row>
        <row r="579">
          <cell r="B579">
            <v>1001025027658</v>
          </cell>
          <cell r="C579" t="str">
            <v>С ИНДЕЙКОЙ ПМ сос ц/о мгс 0.33кг 8шт.</v>
          </cell>
          <cell r="D579" t="str">
            <v>ШТ</v>
          </cell>
          <cell r="E579" t="str">
            <v>Колбасные изделия</v>
          </cell>
          <cell r="F579" t="str">
            <v>Сосиски</v>
          </cell>
          <cell r="G579" t="str">
            <v>Папа может</v>
          </cell>
          <cell r="H579" t="str">
            <v xml:space="preserve">ОМПК(Г)
</v>
          </cell>
          <cell r="I579" t="str">
            <v>ТУ 10.13.14-150-00425283-2018</v>
          </cell>
          <cell r="J579" t="str">
            <v>Изделие колбасное вареное из мяса кур охлажденное.</v>
          </cell>
          <cell r="K579" t="str">
            <v>мясо птицы механической обвалки (куриное, индейки), стабилизатор белковый (вода питьевая, говядина, кожа куриная), вода питьевая, филе грудок куриных, крахмал кукурузный,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модифицированный крахмал, каррагинан, гуаровая камедь, камедь целлюлозы, конжак, ксантановая камедь), сахара, специи, антиокислители (изоаскорбат натрия, аскорбиновая кислота, лимонная кислота), усилитель вкуса и аромата (глутамат натрия), ароматизаторы, краситель (кармины)</v>
          </cell>
          <cell r="L579">
            <v>11</v>
          </cell>
          <cell r="M579">
            <v>12</v>
          </cell>
          <cell r="N579">
            <v>4</v>
          </cell>
          <cell r="O579" t="str">
            <v>168/699</v>
          </cell>
          <cell r="P579" t="str">
            <v>0…+6</v>
          </cell>
          <cell r="Q579">
            <v>45</v>
          </cell>
        </row>
        <row r="580">
          <cell r="B580">
            <v>1001022656853</v>
          </cell>
          <cell r="C580" t="str">
            <v>МОЛОЧНЫЕ ПРЕМИУМ ПМ сос п/о мгс 1*6_50с</v>
          </cell>
          <cell r="D580" t="str">
            <v>КГ</v>
          </cell>
          <cell r="E580" t="str">
            <v>Колбасные изделия</v>
          </cell>
          <cell r="F580" t="str">
            <v>Сосиски</v>
          </cell>
          <cell r="G580" t="str">
            <v>Папа может</v>
          </cell>
          <cell r="H580" t="str">
            <v>ОМПК(Г)</v>
          </cell>
          <cell r="I580" t="str">
            <v>ТУ 10.13.14-180-00425283-2025</v>
          </cell>
          <cell r="J580" t="str">
            <v>Мясосодержащий продукт. Изделие колбасное вареное категории В.</v>
          </cell>
          <cell r="K580"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580">
            <v>10</v>
          </cell>
          <cell r="M580">
            <v>12</v>
          </cell>
          <cell r="N580">
            <v>3</v>
          </cell>
          <cell r="O580" t="str">
            <v>160/665</v>
          </cell>
          <cell r="P580" t="str">
            <v>0…+6</v>
          </cell>
          <cell r="Q580">
            <v>50</v>
          </cell>
        </row>
        <row r="581">
          <cell r="B581">
            <v>1001022657075</v>
          </cell>
          <cell r="C581" t="str">
            <v>МОЛОЧ.ПРЕМИУМ ПМ сос п/о мгс 1.5*4_О_50с</v>
          </cell>
          <cell r="D581" t="str">
            <v>КГ</v>
          </cell>
          <cell r="E581" t="str">
            <v>Колбасные изделия</v>
          </cell>
          <cell r="F581" t="str">
            <v>Сосиски</v>
          </cell>
          <cell r="G581" t="str">
            <v>Папа может</v>
          </cell>
          <cell r="H581" t="str">
            <v>ОМПК(Г)</v>
          </cell>
          <cell r="I581" t="str">
            <v>ТУ 10.13.14-180-00425283-2025</v>
          </cell>
          <cell r="J581" t="str">
            <v>Мясосодержащий продукт. Изделие колбасное вареное категории В.</v>
          </cell>
          <cell r="K581"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581">
            <v>10</v>
          </cell>
          <cell r="M581">
            <v>12</v>
          </cell>
          <cell r="N581">
            <v>3</v>
          </cell>
          <cell r="O581" t="str">
            <v>160/665</v>
          </cell>
          <cell r="P581" t="str">
            <v>0…+6</v>
          </cell>
          <cell r="Q581">
            <v>50</v>
          </cell>
        </row>
        <row r="582">
          <cell r="B582">
            <v>1001022657076</v>
          </cell>
          <cell r="C582" t="str">
            <v>МОЛОЧ.ПРЕМИУМ ПМ сос п/о мгс 1.5*4_50с</v>
          </cell>
          <cell r="D582" t="str">
            <v>КГ</v>
          </cell>
          <cell r="E582" t="str">
            <v>Колбасные изделия</v>
          </cell>
          <cell r="F582" t="str">
            <v>Сосиски</v>
          </cell>
          <cell r="G582" t="str">
            <v>Папа может</v>
          </cell>
          <cell r="H582" t="str">
            <v>ОМПК(Г)</v>
          </cell>
          <cell r="I582" t="str">
            <v>ТУ 10.13.14-180-00425283-2025</v>
          </cell>
          <cell r="J582" t="str">
            <v>Мясосодержащий продукт. Изделие колбасное вареное категории В.</v>
          </cell>
          <cell r="K582"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582">
            <v>10</v>
          </cell>
          <cell r="M582">
            <v>12</v>
          </cell>
          <cell r="N582">
            <v>3</v>
          </cell>
          <cell r="O582" t="str">
            <v>160/665</v>
          </cell>
          <cell r="P582" t="str">
            <v>0…+6</v>
          </cell>
          <cell r="Q582">
            <v>50</v>
          </cell>
        </row>
        <row r="583">
          <cell r="B583">
            <v>1001020967079</v>
          </cell>
          <cell r="C583" t="str">
            <v>МОЛОЧ.ОРИГИН.сос п/о мгс 1*6_Kvalita_50с</v>
          </cell>
          <cell r="D583" t="str">
            <v>КГ</v>
          </cell>
          <cell r="E583" t="str">
            <v>Колбасные изделия</v>
          </cell>
          <cell r="F583" t="str">
            <v>Сосиски</v>
          </cell>
          <cell r="G583" t="str">
            <v>Папа может</v>
          </cell>
          <cell r="H583" t="str">
            <v>ОМПК(Г)</v>
          </cell>
          <cell r="I583" t="str">
            <v>ТУ 10.13.14-130-00425283-2017</v>
          </cell>
          <cell r="J583" t="str">
            <v>Мясосодержащий продукт. Изделие колбасное вареное категории В.</v>
          </cell>
          <cell r="K583" t="str">
            <v>свинина, мясо цыпленка-бройлера механической обвалки, говядина, вода, белковый стабилизатор (шкурка свиная, вода), сыворотка сухая молочная, молоко сухое обезжиренное, масло растительное, смесь посолочно-нитритная (соль, фиксатор окраски нитрит натрия), соль, сливки сухие, регуляторы кислотности: пирофосфаты, ацетаты натрия; стабилизаторы: альгинат натрия, каррагинан из водорослей EUCHEMA, гуаровая камедь; натуральные пряности, антиокислитель изоаскорбат натрия, усилитель вкуса и аромата глутамат натрия, сахар, краситель кармины</v>
          </cell>
          <cell r="L583">
            <v>10</v>
          </cell>
          <cell r="M583">
            <v>19</v>
          </cell>
          <cell r="O583" t="str">
            <v>211/873</v>
          </cell>
          <cell r="P583" t="str">
            <v>0…+6</v>
          </cell>
          <cell r="Q583">
            <v>50</v>
          </cell>
        </row>
        <row r="584">
          <cell r="B584">
            <v>1001023696765</v>
          </cell>
          <cell r="C584" t="str">
            <v>РУБЛЕНЫЕ сос ц/о мгс 0.36кг 6шт.</v>
          </cell>
          <cell r="D584" t="str">
            <v>ШТ</v>
          </cell>
          <cell r="E584" t="str">
            <v>Колбасные изделия</v>
          </cell>
          <cell r="F584" t="str">
            <v>Сосиски</v>
          </cell>
          <cell r="G584" t="str">
            <v>Останкино</v>
          </cell>
          <cell r="H584" t="str">
            <v>ОМПК(О)</v>
          </cell>
          <cell r="I584" t="str">
            <v>ТУ 10.13.14-180-00425283-2025</v>
          </cell>
          <cell r="J584" t="str">
            <v>Мясной продукт. Изделие колбасное вареное категории Б.</v>
          </cell>
          <cell r="K584" t="str">
            <v>свинина,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чеснок сушеный молотый, пряности, сахара, антиокислители (лимонная кислота, аскорбиновая кислота, изоаскорбат натрия, аскорбат натрия), усилитель вкуса и аромата (глутамат натрия 1-замещенный), ароматизатор, краситель (кармины)</v>
          </cell>
          <cell r="L584">
            <v>14</v>
          </cell>
          <cell r="M584">
            <v>15</v>
          </cell>
          <cell r="N584">
            <v>3</v>
          </cell>
          <cell r="O584" t="str">
            <v>203/844</v>
          </cell>
          <cell r="P584" t="str">
            <v>0…+6</v>
          </cell>
          <cell r="Q584">
            <v>45</v>
          </cell>
        </row>
        <row r="585">
          <cell r="B585">
            <v>1001023697520</v>
          </cell>
          <cell r="C585" t="str">
            <v>РУБЛЕНЫЕ сос ц/о в/у 0.36кг 8шт.</v>
          </cell>
          <cell r="D585" t="str">
            <v>ШТ</v>
          </cell>
          <cell r="E585" t="str">
            <v>Колбасные изделия</v>
          </cell>
          <cell r="F585" t="str">
            <v>Сосиски</v>
          </cell>
          <cell r="G585" t="str">
            <v>Останкино</v>
          </cell>
          <cell r="H585" t="str">
            <v>ОМПК(Г)</v>
          </cell>
          <cell r="I585" t="str">
            <v>ТУ 10.13.14-180-00425283-2025</v>
          </cell>
          <cell r="J585" t="str">
            <v>Мясной продукт. Изделие колбасное вареное категории Б.</v>
          </cell>
          <cell r="K585" t="str">
            <v>свинина,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чеснок сушеный молотый, пряности, сахара, антиокислители (лимонная кислота, аскорбиновая кислота, изоаскорбат натрия, аскорбат натрия), усилитель вкуса и аромата (глутамат натрия 1-замещенный), ароматизатор, краситель (кармины)</v>
          </cell>
          <cell r="L585">
            <v>14</v>
          </cell>
          <cell r="M585">
            <v>15</v>
          </cell>
          <cell r="N585">
            <v>3</v>
          </cell>
          <cell r="O585" t="str">
            <v>203/844</v>
          </cell>
          <cell r="P585" t="str">
            <v>0…+6</v>
          </cell>
          <cell r="Q585">
            <v>45</v>
          </cell>
        </row>
        <row r="586">
          <cell r="B586">
            <v>1001023696996</v>
          </cell>
          <cell r="C586" t="str">
            <v>РУБЛЕНЫЕ сос ц/о мгс 0.72кг 4шт.</v>
          </cell>
          <cell r="D586" t="str">
            <v>ШТ</v>
          </cell>
          <cell r="E586" t="str">
            <v>Колбасные изделия</v>
          </cell>
          <cell r="F586" t="str">
            <v>Сосиски</v>
          </cell>
          <cell r="G586" t="str">
            <v>Останкино</v>
          </cell>
          <cell r="H586" t="str">
            <v>ОМПК(О)</v>
          </cell>
          <cell r="I586" t="str">
            <v>ТУ 10.13.14-180-00425283-2025</v>
          </cell>
          <cell r="J586" t="str">
            <v>Мясной продукт. Изделие колбасное вареное категории Б.</v>
          </cell>
          <cell r="K586" t="str">
            <v>свинина,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чеснок сушеный молотый, пряности, сахара, антиокислители (лимонная кислота, аскорбиновая кислота, изоаскорбат натрия, аскорбат натрия), усилитель вкуса и аромата (глутамат натрия 1-замещенный), ароматизатор, краситель (кармины)</v>
          </cell>
          <cell r="L586">
            <v>14</v>
          </cell>
          <cell r="M586">
            <v>15</v>
          </cell>
          <cell r="N586">
            <v>3</v>
          </cell>
          <cell r="O586" t="str">
            <v>203/844</v>
          </cell>
          <cell r="P586" t="str">
            <v>0…+6</v>
          </cell>
          <cell r="Q586">
            <v>45</v>
          </cell>
        </row>
        <row r="587">
          <cell r="B587">
            <v>1001023696767</v>
          </cell>
          <cell r="C587" t="str">
            <v>РУБЛЕНЫЕ сос ц/о мгс 1*4</v>
          </cell>
          <cell r="D587" t="str">
            <v>КГ</v>
          </cell>
          <cell r="E587" t="str">
            <v>Колбасные изделия</v>
          </cell>
          <cell r="F587" t="str">
            <v>Сосиски</v>
          </cell>
          <cell r="G587" t="str">
            <v>Останкино</v>
          </cell>
          <cell r="H587" t="str">
            <v>ОМПК(О)</v>
          </cell>
          <cell r="I587" t="str">
            <v>ТУ 10.13.14-180-00425283-2025</v>
          </cell>
          <cell r="J587" t="str">
            <v>Мясной продукт. Изделие колбасное вареное категории Б.</v>
          </cell>
          <cell r="K587" t="str">
            <v>свинина,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чеснок сушеный молотый, пряности, сахара, антиокислители (лимонная кислота, аскорбиновая кислота, изоаскорбат натрия, аскорбат натрия), усилитель вкуса и аромата (глутамат натрия 1-замещенный), ароматизатор, краситель (кармины)</v>
          </cell>
          <cell r="L587">
            <v>14</v>
          </cell>
          <cell r="M587">
            <v>15</v>
          </cell>
          <cell r="N587">
            <v>3</v>
          </cell>
          <cell r="O587" t="str">
            <v>203/844</v>
          </cell>
          <cell r="P587" t="str">
            <v>0…+6</v>
          </cell>
          <cell r="Q587">
            <v>45</v>
          </cell>
        </row>
        <row r="588">
          <cell r="B588">
            <v>1001023697595</v>
          </cell>
          <cell r="C588" t="str">
            <v>РУБЛЕНЫЕ Останкино сос ц/о мгс 1*4</v>
          </cell>
          <cell r="D588" t="str">
            <v>КГ</v>
          </cell>
          <cell r="E588" t="str">
            <v>Колбасные изделия</v>
          </cell>
          <cell r="F588" t="str">
            <v>Сосиски</v>
          </cell>
          <cell r="G588" t="str">
            <v>Останкино</v>
          </cell>
          <cell r="H588" t="str">
            <v>ОМПК(О)</v>
          </cell>
          <cell r="I588" t="str">
            <v>ТУ 10.13.14-180-00425283-2025</v>
          </cell>
          <cell r="J588" t="str">
            <v>Мясной продукт. Изделие колбасное вареное категории Б.</v>
          </cell>
          <cell r="K588" t="str">
            <v>свинина,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чеснок сушеный молотый, пряности, сахара, антиокислители (лимонная кислота, аскорбиновая кислота, изоаскорбат натрия, аскорбат натрия), усилитель вкуса и аромата (глутамат натрия 1-замещенный), ароматизатор, краситель (кармины)</v>
          </cell>
          <cell r="L588">
            <v>14</v>
          </cell>
          <cell r="M588">
            <v>15</v>
          </cell>
          <cell r="N588">
            <v>3</v>
          </cell>
          <cell r="O588" t="str">
            <v>203/844</v>
          </cell>
          <cell r="P588" t="str">
            <v>0…+6</v>
          </cell>
          <cell r="Q588">
            <v>45</v>
          </cell>
        </row>
        <row r="589">
          <cell r="B589">
            <v>1001020846764</v>
          </cell>
          <cell r="C589" t="str">
            <v>СЛИВОЧНЫЕ сос ц/о мгс 1*4</v>
          </cell>
          <cell r="D589" t="str">
            <v>КГ</v>
          </cell>
          <cell r="E589" t="str">
            <v>Колбасные изделия</v>
          </cell>
          <cell r="F589" t="str">
            <v>Сосиски</v>
          </cell>
          <cell r="G589" t="str">
            <v>Останкино</v>
          </cell>
          <cell r="H589" t="str">
            <v>ОМПК(Г)</v>
          </cell>
          <cell r="I589" t="str">
            <v>ТУ 10.13.14-180-00425283-2025</v>
          </cell>
          <cell r="J589" t="str">
            <v>Мясной продукт. Изделие колбасное вареное категории Б.</v>
          </cell>
          <cell r="K589" t="str">
            <v>свинина, вода питьевая, стабилизатор белковый (вода питьевая, шкурка свиная), говядина, сыворотка молочная сухая, молоко сухое обезжиренное, смесь посолочно-нитритная (соль, фиксатор окраски (нитрит натрия)), сливки сухие, соль, сахар, регуляторы кислотности (пирофосфаты, трифосфаты, цитраты натрия), стабилизатор (полифосфаты), специи,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589">
            <v>12</v>
          </cell>
          <cell r="M589">
            <v>10</v>
          </cell>
          <cell r="N589">
            <v>4</v>
          </cell>
          <cell r="O589" t="str">
            <v>154/642</v>
          </cell>
          <cell r="P589" t="str">
            <v>0…+6</v>
          </cell>
          <cell r="Q589">
            <v>45</v>
          </cell>
        </row>
        <row r="590">
          <cell r="B590">
            <v>1001020846762</v>
          </cell>
          <cell r="C590" t="str">
            <v>СЛИВОЧНЫЕ сос ц/о мгс 0.41кг 8шт.</v>
          </cell>
          <cell r="D590" t="str">
            <v>ШТ</v>
          </cell>
          <cell r="E590" t="str">
            <v>Колбасные изделия</v>
          </cell>
          <cell r="F590" t="str">
            <v>Сосиски</v>
          </cell>
          <cell r="G590" t="str">
            <v>Останкино</v>
          </cell>
          <cell r="H590" t="str">
            <v>ОМПК(Г)</v>
          </cell>
          <cell r="I590" t="str">
            <v>ТУ 10.13.14-180-00425283-2025</v>
          </cell>
          <cell r="J590" t="str">
            <v>Мясной продукт. Изделие колбасное вареное категории Б.</v>
          </cell>
          <cell r="K590" t="str">
            <v>свинина, вода питьевая, стабилизатор белковый (вода питьевая, шкурка свиная), говядина, сыворотка молочная сухая, молоко сухое обезжиренное, смесь посолочно-нитритная (соль, фиксатор окраски (нитрит натрия)), сливки сухие, соль, сахар, регуляторы кислотности (пирофосфаты, трифосфаты, цитраты натрия), стабилизатор (полифосфаты), специи,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590">
            <v>12</v>
          </cell>
          <cell r="M590">
            <v>10</v>
          </cell>
          <cell r="N590">
            <v>4</v>
          </cell>
          <cell r="O590" t="str">
            <v>154/642</v>
          </cell>
          <cell r="P590" t="str">
            <v>0…+6</v>
          </cell>
          <cell r="Q590">
            <v>45</v>
          </cell>
        </row>
        <row r="591">
          <cell r="B591">
            <v>1001024976530</v>
          </cell>
          <cell r="C591" t="str">
            <v>МОЛОЧНЫЕ КЛАССИЧЕСКИЕ сос п/о мгс 0.8кг</v>
          </cell>
          <cell r="D591" t="str">
            <v>ШТ</v>
          </cell>
          <cell r="E591" t="str">
            <v>Колбасные изделия</v>
          </cell>
          <cell r="F591" t="str">
            <v>Сосиски</v>
          </cell>
          <cell r="G591" t="str">
            <v>Папа может</v>
          </cell>
          <cell r="H591" t="str">
            <v>ОМПК(О)
ОМПК(Г)</v>
          </cell>
          <cell r="I591" t="str">
            <v>ТУ 10.13.14-150-00425283-2026</v>
          </cell>
          <cell r="J591" t="str">
            <v>Изделие колбасное вареное из мяса кур охлажденное.</v>
          </cell>
          <cell r="K591" t="str">
            <v>филе грудок куриных, мясо куриное механической обвалки, свинина, белковый стабилизатор (вода, шкурка свиная), вода, крахмал картофельный, сыворотка молочная сухая, смесь посолочно-нитритная (соль, фиксатор окраски нитрит натрия), соль, регуляторы кислотности: пирофосфаты, ацетаты натрия; стабилизаторы: альгинат натрия, каррагинан из водорослей EUCHEMA, камеди (рожкового дерева, гуаровая); натуральные пряности, сахар, антиокислитель изоаскорбат натрия, усилитель вкуса и аромата глутамат натрия, ароматизаторы, краситель кармины</v>
          </cell>
          <cell r="L591">
            <v>7</v>
          </cell>
          <cell r="M591">
            <v>16</v>
          </cell>
          <cell r="N591">
            <v>4</v>
          </cell>
          <cell r="O591" t="str">
            <v>188/779</v>
          </cell>
          <cell r="P591" t="str">
            <v>0…+6</v>
          </cell>
          <cell r="Q591">
            <v>45</v>
          </cell>
        </row>
        <row r="592">
          <cell r="B592">
            <v>1001024977674</v>
          </cell>
          <cell r="C592" t="str">
            <v>МОЛОЧНЫЕ КЛАССИЧ. сос п/о мгс 0.8кг 6шт.</v>
          </cell>
          <cell r="D592" t="str">
            <v>ШТ</v>
          </cell>
          <cell r="E592" t="str">
            <v>Колбасные изделия</v>
          </cell>
          <cell r="F592" t="str">
            <v>Сосиски</v>
          </cell>
          <cell r="G592" t="str">
            <v>Папа может</v>
          </cell>
          <cell r="H592" t="str">
            <v>ОМПК(О)
ОМПК(Г)</v>
          </cell>
          <cell r="I592" t="str">
            <v>ТУ 10.13.14-150-00425283-2018</v>
          </cell>
          <cell r="J592" t="str">
            <v>Изделие колбасное вареное из мяса кур охлажденное.</v>
          </cell>
          <cell r="K592" t="str">
            <v>филе грудок куриных, мясо куриное механической обвалки, свинина, белковый стабилизатор (вода, шкурка свиная), вода, крахмал картофельный, сыворотка молочная сухая, смесь посолочно-нитритная (соль, фиксатор окраски нитрит натрия), соль, регуляторы кислотности: пирофосфаты, ацетаты натрия; стабилизаторы: альгинат натрия, каррагинан из водорослей EUCHEMA, камеди (рожкового дерева, гуаровая); натуральные пряности, сахар, антиокислитель изоаскорбат натрия, усилитель вкуса и аромата глутамат натрия, ароматизаторы, краситель кармины</v>
          </cell>
          <cell r="L592">
            <v>7</v>
          </cell>
          <cell r="M592">
            <v>16</v>
          </cell>
          <cell r="N592">
            <v>4</v>
          </cell>
          <cell r="O592" t="str">
            <v>188/779</v>
          </cell>
          <cell r="P592" t="str">
            <v>0…+6</v>
          </cell>
          <cell r="Q592">
            <v>45</v>
          </cell>
        </row>
        <row r="593">
          <cell r="B593">
            <v>1001024976616</v>
          </cell>
          <cell r="C593" t="str">
            <v>МОЛОЧНЫЕ КЛАССИЧЕСКИЕ сос п/о в/у 0.3кг</v>
          </cell>
          <cell r="D593" t="str">
            <v>ШТ</v>
          </cell>
          <cell r="E593" t="str">
            <v>Колбасные изделия</v>
          </cell>
          <cell r="F593" t="str">
            <v>Сосиски</v>
          </cell>
          <cell r="G593" t="str">
            <v>Папа может</v>
          </cell>
          <cell r="H593" t="str">
            <v>ОМПК(Г)</v>
          </cell>
          <cell r="I593" t="str">
            <v>ТУ 10.13.14-150-00425283-2026</v>
          </cell>
          <cell r="J593" t="str">
            <v>Изделие колбасное вареное из мяса кур охлажденное.</v>
          </cell>
          <cell r="K593" t="str">
            <v>филе грудок куриных, мясо куриное механической обвалки, свинина, стабилизатор белковый (вода питьевая, шкурка свиная), вода питьевая,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модифицированный крахмал, камедь целлюлозы), специи, экстракты специй, сахара, антиокислители (аскорбиновая кислота, лимонная кислота), усилитель вкуса и аромата (глутамат натрия), ароматизаторы, красители (кармины, экстракт паприки)</v>
          </cell>
          <cell r="L593">
            <v>9</v>
          </cell>
          <cell r="M593">
            <v>15</v>
          </cell>
          <cell r="N593">
            <v>3</v>
          </cell>
          <cell r="O593" t="str">
            <v>183/759</v>
          </cell>
          <cell r="P593" t="str">
            <v>0…+6</v>
          </cell>
          <cell r="Q593">
            <v>45</v>
          </cell>
        </row>
        <row r="594">
          <cell r="B594">
            <v>1001024976829</v>
          </cell>
          <cell r="C594" t="str">
            <v>МОЛОЧНЫЕ КЛАССИЧЕСКИЕ сос п/о мгс 2*4</v>
          </cell>
          <cell r="D594" t="str">
            <v>КГ</v>
          </cell>
          <cell r="E594" t="str">
            <v>Колбасные изделия</v>
          </cell>
          <cell r="F594" t="str">
            <v>Сосиски</v>
          </cell>
          <cell r="G594" t="str">
            <v>Папа может</v>
          </cell>
          <cell r="H594" t="str">
            <v>ОМПК(Г)</v>
          </cell>
          <cell r="I594" t="str">
            <v>ТУ 10.13.14-150-00425283-2018</v>
          </cell>
          <cell r="J594" t="str">
            <v>Изделие колбасное вареное из мяса кур охлажденное.</v>
          </cell>
          <cell r="K594" t="str">
            <v>филе грудок куриных, мясо куриное механической обвалки, свинина, белковый стабилизатор (вода, шкурка свиная), вода, крахмал картофельный, сыворотка молочная сухая, смесь посолочно-нитритная (соль, фиксатор окраски нитрит натрия), соль, регуляторы кислотности: пирофосфаты, ацетаты натрия; стабилизаторы: альгинат натрия, каррагинан из водорослей EUCHEMA, камеди (рожкового дерева, гуаровая); натуральные пряности, сахар, антиокислитель изоаскорбат натрия, усилитель вкуса и аромата глутамат натрия, ароматизаторы, краситель кармины</v>
          </cell>
          <cell r="L594">
            <v>7</v>
          </cell>
          <cell r="M594">
            <v>16</v>
          </cell>
          <cell r="N594">
            <v>4</v>
          </cell>
          <cell r="O594" t="str">
            <v>188/779</v>
          </cell>
          <cell r="P594" t="str">
            <v>0…+6</v>
          </cell>
          <cell r="Q594">
            <v>45</v>
          </cell>
        </row>
        <row r="595">
          <cell r="B595">
            <v>1001020836973</v>
          </cell>
          <cell r="C595" t="str">
            <v>МОЛОЧНЫЕ ГОСТ ПМ сос п/о мгс 0.3кг_55с</v>
          </cell>
          <cell r="D595" t="str">
            <v>ШТ</v>
          </cell>
          <cell r="E595" t="str">
            <v>Колбасные изделия</v>
          </cell>
          <cell r="F595" t="str">
            <v>Сосиски</v>
          </cell>
          <cell r="G595" t="str">
            <v>Папа может</v>
          </cell>
          <cell r="H595" t="str">
            <v>ОМПК(Г)</v>
          </cell>
          <cell r="I595" t="str">
            <v>ГОСТ 23670-2019</v>
          </cell>
          <cell r="J595" t="str">
            <v>Мясной продукт. Изделие колбасное вареное категории Б.</v>
          </cell>
          <cell r="K595" t="str">
            <v>свинина, говядина, вода питьевая, меланж яичный сухой, молоко коровье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 натрия), специи (перец черный молотый, орех мускатный), сахар, антиокислитель (аскорбиновая кислота), усилитель вкуса и аромата (глутамат натрия)</v>
          </cell>
          <cell r="L595">
            <v>11</v>
          </cell>
          <cell r="M595">
            <v>28</v>
          </cell>
          <cell r="N595">
            <v>0</v>
          </cell>
          <cell r="O595" t="str">
            <v>296/1239</v>
          </cell>
          <cell r="P595" t="str">
            <v>0…+6</v>
          </cell>
          <cell r="Q595">
            <v>55</v>
          </cell>
        </row>
        <row r="596">
          <cell r="B596">
            <v>1001020836761</v>
          </cell>
          <cell r="C596" t="str">
            <v>МОЛОЧНЫЕ ГОСТ сос ц/о мгс 1*4</v>
          </cell>
          <cell r="D596" t="str">
            <v>КГ</v>
          </cell>
          <cell r="E596" t="str">
            <v>Колбасные изделия</v>
          </cell>
          <cell r="F596" t="str">
            <v>Сосиски</v>
          </cell>
          <cell r="G596" t="str">
            <v>Останкино</v>
          </cell>
          <cell r="H596" t="str">
            <v>ОМПК(Г)</v>
          </cell>
          <cell r="I596" t="str">
            <v>ГОСТ 23670-2019</v>
          </cell>
          <cell r="J596" t="str">
            <v>Мясной продукт. Изделие колбасное вареное категории Б.</v>
          </cell>
          <cell r="K596" t="str">
            <v>свинина, говядина, вода, молоко сухое обезжиренное, смесь посолочно-нитритная (соль, фиксатор окраски нитрит натрия), соль, сухой яичный меланж, регуляторы кислотности: пирофосфаты, трифосфаты, ацетаты натрия, цитраты натрия; специи, сахар,  стабилизатор полифосфаты, антиокислитель изоаскорбат натрия, усилитель вкуса и аромата глутамат натрия</v>
          </cell>
          <cell r="L596">
            <v>11</v>
          </cell>
          <cell r="M596">
            <v>28</v>
          </cell>
          <cell r="O596" t="str">
            <v>296/1239</v>
          </cell>
          <cell r="P596" t="str">
            <v>0…+6</v>
          </cell>
          <cell r="Q596">
            <v>30</v>
          </cell>
        </row>
        <row r="597">
          <cell r="B597">
            <v>1001026407680</v>
          </cell>
          <cell r="C597" t="str">
            <v>МОЛОЧНЫЕ ГОСТ сос ц/о мгс 1*4_Лента</v>
          </cell>
          <cell r="D597" t="str">
            <v>КГ</v>
          </cell>
          <cell r="E597" t="str">
            <v>Колбасные изделия</v>
          </cell>
          <cell r="F597" t="str">
            <v>Сосиски</v>
          </cell>
          <cell r="G597" t="str">
            <v>Останкино</v>
          </cell>
          <cell r="H597" t="str">
            <v>ОМПК(Г)</v>
          </cell>
          <cell r="I597" t="str">
            <v>ГОСТ 23670-2019</v>
          </cell>
          <cell r="J597" t="str">
            <v>Мясной продукт. Изделие колбасное вареное категории Б.</v>
          </cell>
          <cell r="K597" t="str">
            <v>свинина, говядина, вода, молоко сухое обезжиренное, смесь посолочно-нитритная (соль, фиксатор окраски нитрит натрия), соль, сухой яичный меланж, регуляторы кислотности: пирофосфаты, трифосфаты, ацетаты натрия, цитраты натрия; специи, сахар,  стабилизатор полифосфаты, антиокислитель изоаскорбат натрия, усилитель вкуса и аромата глутамат натрия</v>
          </cell>
          <cell r="L597">
            <v>11</v>
          </cell>
          <cell r="M597">
            <v>28</v>
          </cell>
          <cell r="O597" t="str">
            <v>296/1239</v>
          </cell>
          <cell r="P597" t="str">
            <v>0…+6</v>
          </cell>
          <cell r="Q597">
            <v>30</v>
          </cell>
        </row>
        <row r="598">
          <cell r="B598">
            <v>1001020836759</v>
          </cell>
          <cell r="C598" t="str">
            <v>МОЛОЧНЫЕ ГОСТ сос ц/о мгс 0.4кг 7шт.</v>
          </cell>
          <cell r="D598" t="str">
            <v>ШТ</v>
          </cell>
          <cell r="E598" t="str">
            <v>Колбасные изделия</v>
          </cell>
          <cell r="F598" t="str">
            <v>Сосиски</v>
          </cell>
          <cell r="G598" t="str">
            <v>Останкино</v>
          </cell>
          <cell r="H598" t="str">
            <v>ОМПК(Г)</v>
          </cell>
          <cell r="I598" t="str">
            <v>ГОСТ 23670-2019</v>
          </cell>
          <cell r="J598" t="str">
            <v>Мясной продукт. Изделие колбасное вареное категории Б.</v>
          </cell>
          <cell r="K598" t="str">
            <v>свинина, говядина, вода питьевая, меланж яичный сухой, молоко коровье сухое обезжиренное, соль,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специи, сахар, антиокислитель (изоаскорбат натрия), усилитель вкуса и аромата (глутамат натрия), ароматизаторы, краситель (кармины)</v>
          </cell>
          <cell r="L598">
            <v>11</v>
          </cell>
          <cell r="M598">
            <v>28</v>
          </cell>
          <cell r="N598">
            <v>0</v>
          </cell>
          <cell r="O598" t="str">
            <v>296/1239</v>
          </cell>
          <cell r="P598" t="str">
            <v>0…+6</v>
          </cell>
          <cell r="Q598">
            <v>30</v>
          </cell>
        </row>
        <row r="599">
          <cell r="B599">
            <v>1001020837061</v>
          </cell>
          <cell r="C599" t="str">
            <v>МОЛОЧНЫЕ сос ц/о мгс 0.5кг Х5/СТМ Вернер</v>
          </cell>
          <cell r="D599" t="str">
            <v>ШТ</v>
          </cell>
          <cell r="E599" t="str">
            <v>Колбасные изделия</v>
          </cell>
          <cell r="F599" t="str">
            <v>Сосиски</v>
          </cell>
          <cell r="G599" t="str">
            <v>СТМ</v>
          </cell>
          <cell r="H599" t="str">
            <v>ОМПК(Г)</v>
          </cell>
          <cell r="I599" t="str">
            <v>ГОСТ 23670-2019</v>
          </cell>
          <cell r="J599" t="str">
            <v>Мясной продукт. Изделие колбасное вареное категории Б.</v>
          </cell>
          <cell r="K599" t="str">
            <v>cвинина, вода, говядина, молоко сухое обезжиренное, соль, смесь посолочно-нитритная (соль, фиксатор окраски Е250), сухой яичный меланж, пряности и экстракты пряностей, стабилизаторы: Е450, Е452, регуляторы кислотности: 262, Е330, Е331, усилитель вкуса и аромата Е621, антиокислитель Е300</v>
          </cell>
          <cell r="L599">
            <v>11</v>
          </cell>
          <cell r="M599">
            <v>28</v>
          </cell>
          <cell r="O599" t="str">
            <v>296/1239</v>
          </cell>
          <cell r="P599" t="str">
            <v>0…+6</v>
          </cell>
          <cell r="Q599">
            <v>35</v>
          </cell>
        </row>
        <row r="600">
          <cell r="B600">
            <v>1001026407172</v>
          </cell>
          <cell r="C600" t="str">
            <v>МОЛОЧН.ГОСТ сос п/о мгс 0.6кг_Табыш/СТМ</v>
          </cell>
          <cell r="D600" t="str">
            <v>ШТ</v>
          </cell>
          <cell r="E600" t="str">
            <v>Колбасные изделия</v>
          </cell>
          <cell r="F600" t="str">
            <v>Сосиски</v>
          </cell>
          <cell r="G600" t="str">
            <v>СТМ</v>
          </cell>
          <cell r="H600" t="str">
            <v>ОМПК(Г)</v>
          </cell>
          <cell r="I600" t="str">
            <v>ГОСТ 23670-2019</v>
          </cell>
          <cell r="J600" t="str">
            <v>Мясной продукт. Изделие колбасное вареное категории Б.</v>
          </cell>
          <cell r="K600" t="str">
            <v>свинина, говядина, вода питьевая, меланж яичный сухой, молоко коровье сухое обезжиренное, смесь посолочно-нитритная (соль, фиксатор окраски (натрит натрия)), регуляторы кислотности (пирофосфаты, трифосфаты, ацетаты натрия, цитраты натрия), пряности, сахар, антиокислитель (аскорбиновая кислота), усилитель вкуса и аромата (глутамат натрия)</v>
          </cell>
          <cell r="L600">
            <v>11</v>
          </cell>
          <cell r="M600">
            <v>28</v>
          </cell>
          <cell r="O600" t="str">
            <v>296/1239</v>
          </cell>
          <cell r="P600" t="str">
            <v>0…+6</v>
          </cell>
          <cell r="Q600">
            <v>45</v>
          </cell>
        </row>
        <row r="601">
          <cell r="B601">
            <v>1001020836250</v>
          </cell>
          <cell r="C601" t="str">
            <v>МОЛОЧНЫЕ Коровино сос п/о мгс 1.5*6_М</v>
          </cell>
          <cell r="D601" t="str">
            <v>КГ</v>
          </cell>
          <cell r="E601" t="str">
            <v>Колбасные изделия</v>
          </cell>
          <cell r="F601" t="str">
            <v>Сосиски</v>
          </cell>
          <cell r="G601" t="str">
            <v>Коровино</v>
          </cell>
          <cell r="H601" t="str">
            <v>ОМПК(Г)</v>
          </cell>
          <cell r="I601" t="str">
            <v>ТУ 10.13.14-130-00425283-2017</v>
          </cell>
          <cell r="J601" t="str">
            <v>Мясной продукт. Изделие колбасное вареное категории Б.</v>
          </cell>
          <cell r="K601" t="str">
            <v>свинина, 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загустители: альгинат натрия, каррагинан, гуаровая камедь, дикрахмаладипат ацетилированный, дикрахмалфосфат ацетилированный, карбоксиметилцеллюлоза; уплотнитель сульфат кальция, регуляторы кислотности: пирофосфаты, трифосфаты, ацетаты натрия,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v>
          </cell>
          <cell r="L601">
            <v>8</v>
          </cell>
          <cell r="M601">
            <v>12</v>
          </cell>
          <cell r="N601">
            <v>5</v>
          </cell>
          <cell r="O601" t="str">
            <v>160/665</v>
          </cell>
          <cell r="P601" t="str">
            <v>0…+6</v>
          </cell>
          <cell r="Q601">
            <v>45</v>
          </cell>
        </row>
        <row r="602">
          <cell r="B602">
            <v>1001020837575</v>
          </cell>
          <cell r="C602" t="str">
            <v>МОЛОЧНЫЕ Кор сос п/о мгс 1.5*6_М_308к</v>
          </cell>
          <cell r="D602" t="str">
            <v>КГ</v>
          </cell>
          <cell r="E602" t="str">
            <v>Колбасные изделия</v>
          </cell>
          <cell r="F602" t="str">
            <v>Сосиски</v>
          </cell>
          <cell r="G602" t="str">
            <v>Коровино</v>
          </cell>
          <cell r="H602" t="str">
            <v>ОМПК(Г)</v>
          </cell>
          <cell r="I602" t="str">
            <v>ТУ 10.13.14-130-00425283-2017</v>
          </cell>
          <cell r="J602" t="str">
            <v>Мясной продукт. Изделие колбасное вареное категории Б.</v>
          </cell>
          <cell r="K602" t="str">
            <v>свинина, 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загустители: альгинат натрия, каррагинан, гуаровая камедь, дикрахмаладипат ацетилированный, дикрахмалфосфат ацетилированный, карбоксиметилцеллюлоза; уплотнитель сульфат кальция, регуляторы кислотности: пирофосфаты, трифосфаты, ацетаты натрия,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v>
          </cell>
          <cell r="L602">
            <v>8</v>
          </cell>
          <cell r="M602">
            <v>12</v>
          </cell>
          <cell r="N602">
            <v>5</v>
          </cell>
          <cell r="O602" t="str">
            <v>160/665</v>
          </cell>
          <cell r="P602" t="str">
            <v>0…+6</v>
          </cell>
          <cell r="Q602">
            <v>45</v>
          </cell>
        </row>
        <row r="603">
          <cell r="B603">
            <v>1001020836234</v>
          </cell>
          <cell r="C603" t="str">
            <v>МОЛОЧНЫЕ Коровино сос п/о мгс 1.5*6_Ц</v>
          </cell>
          <cell r="D603" t="str">
            <v>КГ</v>
          </cell>
          <cell r="E603" t="str">
            <v>Колбасные изделия</v>
          </cell>
          <cell r="F603" t="str">
            <v>Сосиски</v>
          </cell>
          <cell r="G603" t="str">
            <v>Коровино</v>
          </cell>
          <cell r="H603" t="str">
            <v>ОМПК(Г)</v>
          </cell>
          <cell r="I603" t="str">
            <v>ТУ 10.13.14-130-00425283-2017</v>
          </cell>
          <cell r="J603" t="str">
            <v>Мясной продукт. Изделие колбасное вареное категории Б.</v>
          </cell>
          <cell r="K603" t="str">
            <v>свинина, 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загустители: альгинат натрия, каррагинан, гуаровая камедь, дикрахмаладипат ацетилированный, дикрахмалфосфат ацетилированный, карбоксиметилцеллюлоза; уплотнитель сульфат кальция, регуляторы кислотности: пирофосфаты, трифосфаты, ацетаты натрия,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v>
          </cell>
          <cell r="L603">
            <v>8</v>
          </cell>
          <cell r="M603">
            <v>12</v>
          </cell>
          <cell r="N603">
            <v>5</v>
          </cell>
          <cell r="O603" t="str">
            <v>160/665</v>
          </cell>
          <cell r="P603" t="str">
            <v>0…+6</v>
          </cell>
          <cell r="Q603">
            <v>45</v>
          </cell>
        </row>
        <row r="604">
          <cell r="B604">
            <v>1001020837573</v>
          </cell>
          <cell r="C604" t="str">
            <v>МОЛОЧНЫЕ Кор сос п/о мгс 1.5*6_Ц_308к</v>
          </cell>
          <cell r="D604" t="str">
            <v>КГ</v>
          </cell>
          <cell r="E604" t="str">
            <v>Колбасные изделия</v>
          </cell>
          <cell r="F604" t="str">
            <v>Сосиски</v>
          </cell>
          <cell r="G604" t="str">
            <v>Коровино</v>
          </cell>
          <cell r="H604" t="str">
            <v>ОМПК(Г)</v>
          </cell>
          <cell r="I604" t="str">
            <v>ТУ 10.13.14-130-00425283-2017</v>
          </cell>
          <cell r="J604" t="str">
            <v>Мясной продукт. Изделие колбасное вареное категории Б.</v>
          </cell>
          <cell r="K604" t="str">
            <v>свинина, 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загустители: альгинат натрия, каррагинан, гуаровая камедь, дикрахмаладипат ацетилированный, дикрахмалфосфат ацетилированный, карбоксиметилцеллюлоза; уплотнитель сульфат кальция, регуляторы кислотности: пирофосфаты, трифосфаты, ацетаты натрия,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v>
          </cell>
          <cell r="L604">
            <v>8</v>
          </cell>
          <cell r="M604">
            <v>12</v>
          </cell>
          <cell r="N604">
            <v>5</v>
          </cell>
          <cell r="O604" t="str">
            <v>160/665</v>
          </cell>
          <cell r="P604" t="str">
            <v>0…+6</v>
          </cell>
          <cell r="Q604">
            <v>45</v>
          </cell>
        </row>
        <row r="605">
          <cell r="B605">
            <v>1001020836709</v>
          </cell>
          <cell r="C605" t="str">
            <v>МОЛОЧНЫЕ Коровино сос п/о мгс 1.5*6_ЮСЗ</v>
          </cell>
          <cell r="D605" t="str">
            <v>КГ</v>
          </cell>
          <cell r="E605" t="str">
            <v>Колбасные изделия</v>
          </cell>
          <cell r="F605" t="str">
            <v>Сосиски</v>
          </cell>
          <cell r="G605" t="str">
            <v>Коровино</v>
          </cell>
          <cell r="H605" t="str">
            <v>ОМПК(Г)</v>
          </cell>
          <cell r="I605" t="str">
            <v>ТУ 10.13.14-130-00425283-2017</v>
          </cell>
          <cell r="J605" t="str">
            <v>Мясной продукт. Изделие колбасное вареное категории Б.</v>
          </cell>
          <cell r="K605" t="str">
            <v>свинина, 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загустители: альгинат натрия, каррагинан, гуаровая камедь, дикрахмаладипат ацетилированный, дикрахмалфосфат ацетилированный, карбоксиметилцеллюлоза; уплотнитель сульфат кальция, регуляторы кислотности: пирофосфаты, трифосфаты, ацетаты натрия,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v>
          </cell>
          <cell r="L605">
            <v>8</v>
          </cell>
          <cell r="M605">
            <v>12</v>
          </cell>
          <cell r="N605">
            <v>5</v>
          </cell>
          <cell r="O605" t="str">
            <v>160/665</v>
          </cell>
          <cell r="P605" t="str">
            <v>0…+6</v>
          </cell>
          <cell r="Q605">
            <v>45</v>
          </cell>
        </row>
        <row r="606">
          <cell r="B606">
            <v>1001020837570</v>
          </cell>
          <cell r="C606" t="str">
            <v>МОЛОЧНЫЕ Кор сос п/о мгс 1.5*6_ЮСЗ_308к</v>
          </cell>
          <cell r="D606" t="str">
            <v>КГ</v>
          </cell>
          <cell r="E606" t="str">
            <v>Колбасные изделия</v>
          </cell>
          <cell r="F606" t="str">
            <v>Сосиски</v>
          </cell>
          <cell r="G606" t="str">
            <v>Коровино</v>
          </cell>
          <cell r="H606" t="str">
            <v>ОМПК(Г)</v>
          </cell>
          <cell r="I606" t="str">
            <v>ТУ 10.13.14-130-00425283-2017</v>
          </cell>
          <cell r="J606" t="str">
            <v>Мясной продукт. Изделие колбасное вареное категории Б.</v>
          </cell>
          <cell r="K606" t="str">
            <v>свинина, 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загустители: альгинат натрия, каррагинан, гуаровая камедь, дикрахмаладипат ацетилированный, дикрахмалфосфат ацетилированный, карбоксиметилцеллюлоза; уплотнитель сульфат кальция, регуляторы кислотности: пирофосфаты, трифосфаты, ацетаты натрия,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v>
          </cell>
          <cell r="L606">
            <v>8</v>
          </cell>
          <cell r="M606">
            <v>12</v>
          </cell>
          <cell r="N606">
            <v>5</v>
          </cell>
          <cell r="O606" t="str">
            <v>160/665</v>
          </cell>
          <cell r="P606" t="str">
            <v>0…+6</v>
          </cell>
          <cell r="Q606">
            <v>45</v>
          </cell>
        </row>
        <row r="607">
          <cell r="B607">
            <v>1001022246738</v>
          </cell>
          <cell r="C607" t="str">
            <v>КОПЧЕНЫЕ ПМ сос п/о мгс 1.2*6</v>
          </cell>
          <cell r="D607" t="str">
            <v>КГ</v>
          </cell>
          <cell r="E607" t="str">
            <v>Колбасные изделия</v>
          </cell>
          <cell r="F607" t="str">
            <v>Сосиски</v>
          </cell>
          <cell r="G607" t="str">
            <v>Папа может</v>
          </cell>
          <cell r="H607" t="str">
            <v>ОМПК(Г)</v>
          </cell>
          <cell r="I607" t="str">
            <v>ТУ 10.13.14-180-00425283-2025</v>
          </cell>
          <cell r="J607" t="str">
            <v>Мясной продукт. Изделие колбасное вареное категории В.</v>
          </cell>
          <cell r="K607" t="str">
            <v>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607">
            <v>9</v>
          </cell>
          <cell r="M607">
            <v>13</v>
          </cell>
          <cell r="N607">
            <v>5</v>
          </cell>
          <cell r="O607" t="str">
            <v>173/719</v>
          </cell>
          <cell r="P607" t="str">
            <v>0…+6</v>
          </cell>
          <cell r="Q607">
            <v>45</v>
          </cell>
        </row>
        <row r="608">
          <cell r="B608">
            <v>1001022247576</v>
          </cell>
          <cell r="C608" t="str">
            <v>КОПЧЕНЫЕ ПМ сос п/о мгс 1.2*6_301к</v>
          </cell>
          <cell r="D608" t="str">
            <v>КГ</v>
          </cell>
          <cell r="E608" t="str">
            <v>Колбасные изделия</v>
          </cell>
          <cell r="F608" t="str">
            <v>Сосиски</v>
          </cell>
          <cell r="G608" t="str">
            <v>Папа может</v>
          </cell>
          <cell r="H608" t="str">
            <v>ОМПК(Г)</v>
          </cell>
          <cell r="I608" t="str">
            <v>ТУ 10.13.14-180-00425283-2025</v>
          </cell>
          <cell r="J608" t="str">
            <v>Мясной продукт. Изделие колбасное вареное категории В.</v>
          </cell>
          <cell r="K608" t="str">
            <v>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608">
            <v>9</v>
          </cell>
          <cell r="M608">
            <v>13</v>
          </cell>
          <cell r="N608">
            <v>5</v>
          </cell>
          <cell r="O608" t="str">
            <v>173/719</v>
          </cell>
          <cell r="P608" t="str">
            <v>0…+6</v>
          </cell>
          <cell r="Q608">
            <v>45</v>
          </cell>
        </row>
        <row r="609">
          <cell r="B609">
            <v>1001022246739</v>
          </cell>
          <cell r="C609" t="str">
            <v>КЛАССИЧЕСКИЕ ПМ сос п/о мгс_Kvalita</v>
          </cell>
          <cell r="D609" t="str">
            <v>КГ</v>
          </cell>
          <cell r="E609" t="str">
            <v>Колбасные изделия</v>
          </cell>
          <cell r="F609" t="str">
            <v>Сосиски</v>
          </cell>
          <cell r="G609" t="str">
            <v>Папа может</v>
          </cell>
          <cell r="H609" t="str">
            <v>ОМПК(Г)</v>
          </cell>
          <cell r="I609" t="str">
            <v>ТУ 10.13.14-130-00425283-2017</v>
          </cell>
          <cell r="J609" t="str">
            <v>Мясной продукт. Изделие колбасное вареное категории В.</v>
          </cell>
          <cell r="K609" t="str">
            <v>свинина, мясо цыпленка-бройлера механической обвалки, вода, белковый стабилизатор (шкурка свиная, вода), крахмал картофельный, сыворотка сухая молочная, масло растительное, смесь посолочно-нитритная (соль, фиксатор окраски нитрит натрия), соль, стабилизаторы: альгинат натрия, каррагинан из водорослей EUCHEMA, ксантановая камедь, гуаровая камедь, камедь целлюлозы, полифосфаты; регуляторы кислотности: пирофосфаты, трифосфаты, ацетаты натрия, цитраты натрия; сахара, животный белок говяжий, специи и экстракты специй, усилитель вкуса и аромата глутамат натрия, антиокислитель аскорбиновая кислота, ароматизаторы, краситель кармины</v>
          </cell>
          <cell r="L609">
            <v>10</v>
          </cell>
          <cell r="M609">
            <v>15</v>
          </cell>
          <cell r="N609">
            <v>3</v>
          </cell>
          <cell r="O609" t="str">
            <v>187/776</v>
          </cell>
          <cell r="P609" t="str">
            <v>0…+6</v>
          </cell>
          <cell r="Q609">
            <v>45</v>
          </cell>
        </row>
        <row r="610">
          <cell r="B610">
            <v>1001022247581</v>
          </cell>
          <cell r="C610" t="str">
            <v>КЛАССИЧЕСКИЕ ПМ сос п/о мгс_309к_Kvalita</v>
          </cell>
          <cell r="D610" t="str">
            <v>КГ</v>
          </cell>
          <cell r="E610" t="str">
            <v>Колбасные изделия</v>
          </cell>
          <cell r="F610" t="str">
            <v>Сосиски</v>
          </cell>
          <cell r="G610" t="str">
            <v>Папа может</v>
          </cell>
          <cell r="H610" t="str">
            <v>ОМПК(Г)</v>
          </cell>
          <cell r="I610" t="str">
            <v>ТУ 10.13.14-130-00425283-2017</v>
          </cell>
          <cell r="J610" t="str">
            <v>Мясной продукт. Изделие колбасное вареное категории В.</v>
          </cell>
          <cell r="K610" t="str">
            <v>свинина, мясо цыпленка-бройлера механической обвалки, вода, белковый стабилизатор (шкурка свиная, вода), крахмал картофельный, сыворотка сухая молочная, масло растительное, смесь посолочно-нитритная (соль, фиксатор окраски нитрит натрия), соль, стабилизаторы: альгинат натрия, каррагинан из водорослей EUCHEMA, ксантановая камедь, гуаровая камедь, камедь целлюлозы, полифосфаты; регуляторы кислотности: пирофосфаты, трифосфаты, ацетаты натрия, цитраты натрия; сахара, животный белок говяжий, специи и экстракты специй, усилитель вкуса и аромата глутамат натрия, антиокислитель аскорбиновая кислота, ароматизаторы, краситель кармины</v>
          </cell>
          <cell r="L610">
            <v>10</v>
          </cell>
          <cell r="M610">
            <v>15</v>
          </cell>
          <cell r="N610">
            <v>3</v>
          </cell>
          <cell r="O610" t="str">
            <v>187/776</v>
          </cell>
          <cell r="P610" t="str">
            <v>0…+6</v>
          </cell>
          <cell r="Q610">
            <v>45</v>
          </cell>
        </row>
        <row r="611">
          <cell r="B611">
            <v>1001020846710</v>
          </cell>
          <cell r="C611" t="str">
            <v>СЛИВОЧНЫЕ Коровино сос п/о мгс 0.8кг</v>
          </cell>
          <cell r="D611" t="str">
            <v>ШТ</v>
          </cell>
          <cell r="E611" t="str">
            <v>Колбасные изделия</v>
          </cell>
          <cell r="F611" t="str">
            <v>Сосиски</v>
          </cell>
          <cell r="G611" t="str">
            <v>Коровино</v>
          </cell>
          <cell r="H611" t="str">
            <v>ОМПК(Г)</v>
          </cell>
          <cell r="I611" t="str">
            <v>ТУ 10.13.14-130-00425283-2017</v>
          </cell>
          <cell r="J611" t="str">
            <v>Мясной продукт. Изделие колбасное вареное категории Б.</v>
          </cell>
          <cell r="K611" t="str">
            <v>свинина, 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загустители: альгинат натрия, каррагинан, гуаровая камедь, дикрахмаладипат ацетилированный, дикрахмалфосфат ацетилированный, карбоксиметилцеллюлоза; уплотнитель сульфат кальция, регуляторы кислотности: пирофосфаты, трифосфаты, ацетаты натрия,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v>
          </cell>
          <cell r="L611">
            <v>8</v>
          </cell>
          <cell r="M611">
            <v>12</v>
          </cell>
          <cell r="N611">
            <v>5</v>
          </cell>
          <cell r="O611" t="str">
            <v>160/665</v>
          </cell>
          <cell r="P611" t="str">
            <v>0…+6</v>
          </cell>
          <cell r="Q611">
            <v>60</v>
          </cell>
        </row>
        <row r="612">
          <cell r="B612">
            <v>1001020847566</v>
          </cell>
          <cell r="C612" t="str">
            <v>СЛИВОЧНЫЕ Коровино сос п/о мгс 0.8кг 6шт</v>
          </cell>
          <cell r="D612" t="str">
            <v>ШТ</v>
          </cell>
          <cell r="E612" t="str">
            <v>Колбасные изделия</v>
          </cell>
          <cell r="F612" t="str">
            <v>Сосиски</v>
          </cell>
          <cell r="G612" t="str">
            <v>Коровино</v>
          </cell>
          <cell r="H612" t="str">
            <v>ОМПК(Г)</v>
          </cell>
          <cell r="I612" t="str">
            <v>ТУ 10.13.14-130-00425283-2017</v>
          </cell>
          <cell r="J612" t="str">
            <v>Мясной продукт. Изделие колбасное вареное категории Б.</v>
          </cell>
          <cell r="K612" t="str">
            <v>свинина, 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загустители: альгинат натрия, каррагинан, гуаровая камедь, дикрахмаладипат ацетилированный, дикрахмалфосфат ацетилированный, карбоксиметилцеллюлоза; уплотнитель сульфат кальция, регуляторы кислотности: пирофосфаты, трифосфаты, ацетаты натрия,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v>
          </cell>
          <cell r="L612">
            <v>8</v>
          </cell>
          <cell r="M612">
            <v>12</v>
          </cell>
          <cell r="N612">
            <v>5</v>
          </cell>
          <cell r="O612" t="str">
            <v>160/665</v>
          </cell>
          <cell r="P612" t="str">
            <v>0…+6</v>
          </cell>
          <cell r="Q612">
            <v>60</v>
          </cell>
        </row>
        <row r="613">
          <cell r="B613">
            <v>1001022467083</v>
          </cell>
          <cell r="C613" t="str">
            <v>СЛИВОЧНЫЕ ПМ сос п/о мгс 1.5*4_А_50с</v>
          </cell>
          <cell r="D613" t="str">
            <v>КГ</v>
          </cell>
          <cell r="E613" t="str">
            <v>Колбасные изделия</v>
          </cell>
          <cell r="F613" t="str">
            <v>Сосиски</v>
          </cell>
          <cell r="G613" t="str">
            <v>Папа может</v>
          </cell>
          <cell r="H613" t="str">
            <v>ОМПК(Г)</v>
          </cell>
          <cell r="I613" t="str">
            <v>ТУ 10.13.14-180-00425283-2025</v>
          </cell>
          <cell r="J613" t="str">
            <v>Мясосодержащий продукт. Изделие колбасное вареное категории В.</v>
          </cell>
          <cell r="K613"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613">
            <v>10</v>
          </cell>
          <cell r="M613">
            <v>12</v>
          </cell>
          <cell r="N613">
            <v>3</v>
          </cell>
          <cell r="O613" t="str">
            <v>160/665</v>
          </cell>
          <cell r="P613" t="str">
            <v>0…+6</v>
          </cell>
          <cell r="Q613">
            <v>50</v>
          </cell>
        </row>
        <row r="614">
          <cell r="B614">
            <v>1001022467084</v>
          </cell>
          <cell r="C614" t="str">
            <v>СЛИВОЧНЫЕ ПМ сос п/о мгс 1.5*4_М_50с</v>
          </cell>
          <cell r="D614" t="str">
            <v>КГ</v>
          </cell>
          <cell r="E614" t="str">
            <v>Колбасные изделия</v>
          </cell>
          <cell r="F614" t="str">
            <v>Сосиски</v>
          </cell>
          <cell r="G614" t="str">
            <v>Папа может</v>
          </cell>
          <cell r="H614" t="str">
            <v>ОМПК(Г)</v>
          </cell>
          <cell r="I614" t="str">
            <v>ТУ 10.13.14-180-00425283-2025</v>
          </cell>
          <cell r="J614" t="str">
            <v>Мясосодержащий продукт. Изделие колбасное вареное категории В.</v>
          </cell>
          <cell r="K614"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614">
            <v>10</v>
          </cell>
          <cell r="M614">
            <v>12</v>
          </cell>
          <cell r="N614">
            <v>3</v>
          </cell>
          <cell r="O614" t="str">
            <v>160/665</v>
          </cell>
          <cell r="P614" t="str">
            <v>0…+6</v>
          </cell>
          <cell r="Q614">
            <v>50</v>
          </cell>
        </row>
        <row r="615">
          <cell r="B615">
            <v>1001022467617</v>
          </cell>
          <cell r="C615" t="str">
            <v>СЛИВОЧНЫЕ ПМ сос п/о мгс 1.5*4_Маяк</v>
          </cell>
          <cell r="D615" t="str">
            <v>КГ</v>
          </cell>
          <cell r="E615" t="str">
            <v>Колбасные изделия</v>
          </cell>
          <cell r="F615" t="str">
            <v>Сосиски</v>
          </cell>
          <cell r="G615" t="str">
            <v>Папа может</v>
          </cell>
          <cell r="H615" t="str">
            <v>ОМПК(Г)</v>
          </cell>
          <cell r="I615" t="str">
            <v>ТУ 10.13.14-180-00425283-2025</v>
          </cell>
          <cell r="J615" t="str">
            <v>Мясосодержащий продукт. Изделие колбасное вареное категории В.</v>
          </cell>
          <cell r="K615"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615">
            <v>10</v>
          </cell>
          <cell r="M615">
            <v>12</v>
          </cell>
          <cell r="N615">
            <v>3</v>
          </cell>
          <cell r="O615" t="str">
            <v>160/665</v>
          </cell>
          <cell r="P615" t="str">
            <v>0…+6</v>
          </cell>
          <cell r="Q615">
            <v>50</v>
          </cell>
        </row>
        <row r="616">
          <cell r="B616">
            <v>1001022467081</v>
          </cell>
          <cell r="C616" t="str">
            <v>СЛИВОЧНЫЕ ПМ сос п/о мгс 1.5*4_О_50с</v>
          </cell>
          <cell r="D616" t="str">
            <v>КГ</v>
          </cell>
          <cell r="E616" t="str">
            <v>Колбасные изделия</v>
          </cell>
          <cell r="F616" t="str">
            <v>Сосиски</v>
          </cell>
          <cell r="G616" t="str">
            <v>Папа может</v>
          </cell>
          <cell r="H616" t="str">
            <v>ОМПК(Г)</v>
          </cell>
          <cell r="I616" t="str">
            <v>ТУ 10.13.14-180-00425283-2025</v>
          </cell>
          <cell r="J616" t="str">
            <v>Мясосодержащий продукт. Изделие колбасное вареное категории В.</v>
          </cell>
          <cell r="K616"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616">
            <v>10</v>
          </cell>
          <cell r="M616">
            <v>12</v>
          </cell>
          <cell r="N616">
            <v>3</v>
          </cell>
          <cell r="O616" t="str">
            <v>160/665</v>
          </cell>
          <cell r="P616" t="str">
            <v>0…+6</v>
          </cell>
          <cell r="Q616">
            <v>50</v>
          </cell>
        </row>
        <row r="617">
          <cell r="B617">
            <v>1001022556254</v>
          </cell>
          <cell r="C617" t="str">
            <v>ФИЛЕЙНЫЕ Папа может сос ц/о мгс 1.5*2</v>
          </cell>
          <cell r="D617" t="str">
            <v>КГ</v>
          </cell>
          <cell r="E617" t="str">
            <v>Колбасные изделия</v>
          </cell>
          <cell r="F617" t="str">
            <v>Сосиски</v>
          </cell>
          <cell r="G617" t="str">
            <v>Папа может</v>
          </cell>
          <cell r="H617" t="str">
            <v>ОМПК(Г)</v>
          </cell>
          <cell r="I617" t="str">
            <v>ТУ 10.13.14-150-00425283-2018</v>
          </cell>
          <cell r="J617" t="str">
            <v>Изделие колбасное вареное из мяса кур охлажденное.</v>
          </cell>
          <cell r="K617" t="str">
            <v>филе грудок куриных, мясо куриное механической обвалки, стабилизатор белковый (кожа куриная, вода питьевая, говядина), вода питьевая, крахмал картофельный, смесь посолочно-нитритная (соль, фиксатор окраски (нитрит натрия)), соль, регуляторы кислотности (пирофосфаты, трифосфаты), стабилизатор (полифосфаты), загустители (альгинат натрия, каррагинан, гуаровая камедь), специи, сахара, антиокислители (аскорбиновая кислота, изоаскорбат натрия), усилитель вкуса и аромата (глутамат натрия), ароматизаторы, краситель (кармины)</v>
          </cell>
          <cell r="L617">
            <v>12</v>
          </cell>
          <cell r="M617">
            <v>14</v>
          </cell>
          <cell r="N617">
            <v>1</v>
          </cell>
          <cell r="O617" t="str">
            <v>178/739</v>
          </cell>
          <cell r="P617" t="str">
            <v>0…+6</v>
          </cell>
          <cell r="Q617">
            <v>45</v>
          </cell>
        </row>
        <row r="618">
          <cell r="B618">
            <v>1001022557086</v>
          </cell>
          <cell r="C618" t="str">
            <v>ФИЛЕЙНЫЕ Папа может сос ц/о мгс 1.5*2_М</v>
          </cell>
          <cell r="D618" t="str">
            <v>КГ</v>
          </cell>
          <cell r="E618" t="str">
            <v>Колбасные изделия</v>
          </cell>
          <cell r="F618" t="str">
            <v>Сосиски</v>
          </cell>
          <cell r="G618" t="str">
            <v>Папа может</v>
          </cell>
          <cell r="H618" t="str">
            <v>ОМПК(Г)</v>
          </cell>
          <cell r="I618" t="str">
            <v>ТУ 10.13.14-150-00425283-2018</v>
          </cell>
          <cell r="J618" t="str">
            <v>Изделие колбасное вареное из мяса кур охлажденное.</v>
          </cell>
          <cell r="K618" t="str">
            <v>филе грудок куриных, мясо куриное механической обвалки, стабилизатор белковый (кожа куриная, вода питьевая, говядина), вода питьевая, крахмал картофельный, смесь посолочно-нитритная (соль, фиксатор окраски (нитрит натрия)), соль, регуляторы кислотности (пирофосфаты, трифосфаты), стабилизатор (полифосфаты), загустители (альгинат натрия, каррагинан, гуаровая камедь), специи, сахара, антиокислители (аскорбиновая кислота, изоаскорбат натрия), усилитель вкуса и аромата (глутамат натрия), ароматизаторы, краситель (кармины)</v>
          </cell>
          <cell r="L618">
            <v>12</v>
          </cell>
          <cell r="M618">
            <v>14</v>
          </cell>
          <cell r="N618">
            <v>1</v>
          </cell>
          <cell r="O618" t="str">
            <v>178/739</v>
          </cell>
          <cell r="P618" t="str">
            <v>0…+6</v>
          </cell>
          <cell r="Q618">
            <v>45</v>
          </cell>
        </row>
        <row r="619">
          <cell r="B619">
            <v>1001022467276</v>
          </cell>
          <cell r="C619" t="str">
            <v>СЛИВОЧНЫЕ ПМ сос п/о мгс 0.3кг 7шт.</v>
          </cell>
          <cell r="D619" t="str">
            <v>ШТ</v>
          </cell>
          <cell r="E619" t="str">
            <v>Колбасные изделия</v>
          </cell>
          <cell r="F619" t="str">
            <v>Сосиски</v>
          </cell>
          <cell r="G619" t="str">
            <v>Папа может</v>
          </cell>
          <cell r="H619" t="str">
            <v>ОМПК(Г)</v>
          </cell>
          <cell r="I619" t="str">
            <v>ТУ 10.13.14-180-00425283-2025</v>
          </cell>
          <cell r="J619" t="str">
            <v>Мясосодержащий продукт. Изделие колбасное вареное категории В.</v>
          </cell>
          <cell r="K619"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619">
            <v>10</v>
          </cell>
          <cell r="M619">
            <v>12</v>
          </cell>
          <cell r="N619">
            <v>3</v>
          </cell>
          <cell r="O619" t="str">
            <v>160/665</v>
          </cell>
          <cell r="P619" t="str">
            <v>0…+6</v>
          </cell>
          <cell r="Q619">
            <v>50</v>
          </cell>
        </row>
        <row r="620">
          <cell r="B620">
            <v>1001022467080</v>
          </cell>
          <cell r="C620" t="str">
            <v>СЛИВОЧНЫЕ ПМ сос п/о мгс 0.41кг 10шт_50с</v>
          </cell>
          <cell r="D620" t="str">
            <v>ШТ</v>
          </cell>
          <cell r="E620" t="str">
            <v>Колбасные изделия</v>
          </cell>
          <cell r="F620" t="str">
            <v>Сосиски</v>
          </cell>
          <cell r="G620" t="str">
            <v>Папа может</v>
          </cell>
          <cell r="H620" t="str">
            <v>ОМПК(Г)</v>
          </cell>
          <cell r="I620" t="str">
            <v>ТУ 10.13.14-180-00425283-2025</v>
          </cell>
          <cell r="J620" t="str">
            <v>Мясосодержащий продукт. Изделие колбасное вареное категории В.</v>
          </cell>
          <cell r="K620"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620">
            <v>10</v>
          </cell>
          <cell r="M620">
            <v>12</v>
          </cell>
          <cell r="N620">
            <v>3</v>
          </cell>
          <cell r="O620" t="str">
            <v>160/665</v>
          </cell>
          <cell r="P620" t="str">
            <v>0…+6</v>
          </cell>
          <cell r="Q620">
            <v>50</v>
          </cell>
        </row>
        <row r="621">
          <cell r="B621">
            <v>1001025076503</v>
          </cell>
          <cell r="C621" t="str">
            <v>ФИРМЕННЫЕ ПМ сос п/о мгс 0.45кг 16шт.</v>
          </cell>
          <cell r="D621" t="str">
            <v>ШТ</v>
          </cell>
          <cell r="E621" t="str">
            <v>Колбасные изделия</v>
          </cell>
          <cell r="F621" t="str">
            <v>Сосиски</v>
          </cell>
          <cell r="G621" t="str">
            <v>Папа может</v>
          </cell>
          <cell r="H621" t="str">
            <v>ОМПК(Г)</v>
          </cell>
          <cell r="I621" t="str">
            <v>ТУ 10.13.14-180-00425283-2025</v>
          </cell>
          <cell r="J621" t="str">
            <v>Мясной продукт. Изделие колбасное вареное категории В.</v>
          </cell>
          <cell r="K621"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21">
            <v>10</v>
          </cell>
          <cell r="M621">
            <v>13</v>
          </cell>
          <cell r="N621">
            <v>5</v>
          </cell>
          <cell r="O621" t="str">
            <v>177/736</v>
          </cell>
          <cell r="P621" t="str">
            <v>0…+6</v>
          </cell>
          <cell r="Q621">
            <v>45</v>
          </cell>
        </row>
        <row r="622">
          <cell r="B622">
            <v>1001022373717</v>
          </cell>
          <cell r="C622" t="str">
            <v>СОЧНЫЕ ПМ сос п/о мгс 1*6_50с</v>
          </cell>
          <cell r="D622" t="str">
            <v>КГ</v>
          </cell>
          <cell r="E622" t="str">
            <v>Колбасные изделия</v>
          </cell>
          <cell r="F622" t="str">
            <v>Сосиски</v>
          </cell>
          <cell r="G622" t="str">
            <v>Папа может</v>
          </cell>
          <cell r="H622" t="str">
            <v>ОМПК(Г)
ОМПК(О)</v>
          </cell>
          <cell r="I622" t="str">
            <v>ТУ 10.13.14-180-00425283-2025</v>
          </cell>
          <cell r="J622" t="str">
            <v>Мясной продукт. Изделие колбасное вареное категории В.</v>
          </cell>
          <cell r="K622"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22">
            <v>10</v>
          </cell>
          <cell r="M622">
            <v>13</v>
          </cell>
          <cell r="N622">
            <v>5</v>
          </cell>
          <cell r="O622" t="str">
            <v>177/736</v>
          </cell>
          <cell r="P622" t="str">
            <v>0…+6</v>
          </cell>
          <cell r="Q622">
            <v>50</v>
          </cell>
        </row>
        <row r="623">
          <cell r="B623">
            <v>1001022375063</v>
          </cell>
          <cell r="C623" t="str">
            <v>СОЧНЫЕ ПМ сос п/о мгс 1*6_СНГ</v>
          </cell>
          <cell r="D623" t="str">
            <v>КГ</v>
          </cell>
          <cell r="E623" t="str">
            <v>Колбасные изделия</v>
          </cell>
          <cell r="F623" t="str">
            <v>Сосиски</v>
          </cell>
          <cell r="G623" t="str">
            <v>Папа может</v>
          </cell>
          <cell r="H623" t="str">
            <v>ОМПК(Г)
ОМПК(О)</v>
          </cell>
          <cell r="I623" t="str">
            <v>ТУ 10.13.14-180-00425283-2025</v>
          </cell>
          <cell r="J623" t="str">
            <v>Мясной продукт. Изделие колбасное вареное категории В.</v>
          </cell>
          <cell r="K623"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23">
            <v>10</v>
          </cell>
          <cell r="M623">
            <v>13</v>
          </cell>
          <cell r="N623">
            <v>5</v>
          </cell>
          <cell r="O623" t="str">
            <v>177/736</v>
          </cell>
          <cell r="P623" t="str">
            <v>0…+6</v>
          </cell>
          <cell r="Q623">
            <v>50</v>
          </cell>
        </row>
        <row r="624">
          <cell r="B624">
            <v>1001022377675</v>
          </cell>
          <cell r="C624" t="str">
            <v>СОЧНЫЕ ПМ сос п/о мгс 1*6_Лента</v>
          </cell>
          <cell r="D624" t="str">
            <v>КГ</v>
          </cell>
          <cell r="E624" t="str">
            <v>Колбасные изделия</v>
          </cell>
          <cell r="F624" t="str">
            <v>Сосиски</v>
          </cell>
          <cell r="G624" t="str">
            <v>Папа может</v>
          </cell>
          <cell r="H624" t="str">
            <v>ОМПК(О)</v>
          </cell>
          <cell r="I624" t="str">
            <v>ТУ 10.13.14-180-00425283-2025</v>
          </cell>
          <cell r="J624" t="str">
            <v>Мясной продукт. Изделие колбасное вареное категории В.</v>
          </cell>
          <cell r="K624"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24">
            <v>10</v>
          </cell>
          <cell r="M624">
            <v>13</v>
          </cell>
          <cell r="N624">
            <v>5</v>
          </cell>
          <cell r="O624" t="str">
            <v>177/736</v>
          </cell>
          <cell r="P624" t="str">
            <v>0…+6</v>
          </cell>
          <cell r="Q624">
            <v>50</v>
          </cell>
        </row>
        <row r="625">
          <cell r="B625">
            <v>1001022377071</v>
          </cell>
          <cell r="C625" t="str">
            <v>СОЧНЫЕ ПМ сос п/о мгс 1.5*4_50с</v>
          </cell>
          <cell r="D625" t="str">
            <v>КГ</v>
          </cell>
          <cell r="E625" t="str">
            <v>Колбасные изделия</v>
          </cell>
          <cell r="F625" t="str">
            <v>Сосиски</v>
          </cell>
          <cell r="G625" t="str">
            <v>Папа может</v>
          </cell>
          <cell r="H625" t="str">
            <v>ОМПК(Г)
ОМПК(О)</v>
          </cell>
          <cell r="I625" t="str">
            <v>ТУ 10.13.14-180-00425283-2025</v>
          </cell>
          <cell r="J625" t="str">
            <v>Мясной продукт. Изделие колбасное вареное категории В.</v>
          </cell>
          <cell r="K625"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25">
            <v>10</v>
          </cell>
          <cell r="M625">
            <v>13</v>
          </cell>
          <cell r="N625">
            <v>5</v>
          </cell>
          <cell r="O625" t="str">
            <v>177/736</v>
          </cell>
          <cell r="P625" t="str">
            <v>0…+6</v>
          </cell>
          <cell r="Q625">
            <v>50</v>
          </cell>
        </row>
        <row r="626">
          <cell r="B626">
            <v>1001022377070</v>
          </cell>
          <cell r="C626" t="str">
            <v>СОЧНЫЕ ПМ сос п/о мгс 1.5*4_А_50с</v>
          </cell>
          <cell r="D626" t="str">
            <v>КГ</v>
          </cell>
          <cell r="E626" t="str">
            <v>Колбасные изделия</v>
          </cell>
          <cell r="F626" t="str">
            <v>Сосиски</v>
          </cell>
          <cell r="G626" t="str">
            <v>Папа может</v>
          </cell>
          <cell r="H626" t="str">
            <v>ОМПК(Г)
ОМПК(О)</v>
          </cell>
          <cell r="I626" t="str">
            <v>ТУ 10.13.14-180-00425283-2025</v>
          </cell>
          <cell r="J626" t="str">
            <v>Мясной продукт. Изделие колбасное вареное категории В.</v>
          </cell>
          <cell r="K626"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26">
            <v>10</v>
          </cell>
          <cell r="M626">
            <v>13</v>
          </cell>
          <cell r="N626">
            <v>5</v>
          </cell>
          <cell r="O626" t="str">
            <v>177/736</v>
          </cell>
          <cell r="P626" t="str">
            <v>0…+6</v>
          </cell>
          <cell r="Q626">
            <v>50</v>
          </cell>
        </row>
        <row r="627">
          <cell r="B627">
            <v>1001022377068</v>
          </cell>
          <cell r="C627" t="str">
            <v>СОЧНЫЕ ПМ сос п/о мгс 1.5*4_О_50с</v>
          </cell>
          <cell r="D627" t="str">
            <v>КГ</v>
          </cell>
          <cell r="E627" t="str">
            <v>Колбасные изделия</v>
          </cell>
          <cell r="F627" t="str">
            <v>Сосиски</v>
          </cell>
          <cell r="G627" t="str">
            <v>Папа может</v>
          </cell>
          <cell r="H627" t="str">
            <v>ОМПК(Г)</v>
          </cell>
          <cell r="I627" t="str">
            <v>ТУ 10.13.14-180-00425283-2025</v>
          </cell>
          <cell r="J627" t="str">
            <v>Мясной продукт. Изделие колбасное вареное категории В.</v>
          </cell>
          <cell r="K627"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27">
            <v>10</v>
          </cell>
          <cell r="M627">
            <v>13</v>
          </cell>
          <cell r="N627">
            <v>5</v>
          </cell>
          <cell r="O627" t="str">
            <v>177/736</v>
          </cell>
          <cell r="P627" t="str">
            <v>0…+6</v>
          </cell>
          <cell r="Q627">
            <v>50</v>
          </cell>
        </row>
        <row r="628">
          <cell r="B628">
            <v>1001021007521</v>
          </cell>
          <cell r="C628" t="str">
            <v>КЛАССИКА ПМ сос п/о мгс 0.5кг 10шт.</v>
          </cell>
          <cell r="D628" t="str">
            <v>ШТ</v>
          </cell>
          <cell r="E628" t="str">
            <v>Колбасные изделия</v>
          </cell>
          <cell r="F628" t="str">
            <v>Сосиски</v>
          </cell>
          <cell r="G628" t="str">
            <v>Папа может</v>
          </cell>
          <cell r="H628" t="str">
            <v>ОМПК(Г)</v>
          </cell>
          <cell r="I628" t="str">
            <v>ТУ 10.13.14-180-00425283-2025</v>
          </cell>
          <cell r="J628" t="str">
            <v>Мясной продукт. Изделие колбасное вареное категории В.</v>
          </cell>
          <cell r="K628"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28">
            <v>10</v>
          </cell>
          <cell r="M628">
            <v>13</v>
          </cell>
          <cell r="N628">
            <v>5</v>
          </cell>
          <cell r="O628" t="str">
            <v>177/736</v>
          </cell>
          <cell r="P628" t="str">
            <v>0…+6</v>
          </cell>
          <cell r="Q628">
            <v>45</v>
          </cell>
        </row>
        <row r="629">
          <cell r="B629">
            <v>1001022377560</v>
          </cell>
          <cell r="C629" t="str">
            <v>СОЧНЫЕ ПМ сос п/о мгс 0.5кг 8шт_50с</v>
          </cell>
          <cell r="D629" t="str">
            <v>ШТ</v>
          </cell>
          <cell r="E629" t="str">
            <v>Колбасные изделия</v>
          </cell>
          <cell r="F629" t="str">
            <v>Сосиски</v>
          </cell>
          <cell r="G629" t="str">
            <v>Папа может</v>
          </cell>
          <cell r="H629" t="str">
            <v>ОМПК(Г)</v>
          </cell>
          <cell r="I629" t="str">
            <v>ТУ 10.13.14-180-00425283-2025</v>
          </cell>
          <cell r="J629" t="str">
            <v>Мясной продукт. Изделие колбасное вареное категории В.</v>
          </cell>
          <cell r="K629"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29">
            <v>10</v>
          </cell>
          <cell r="M629">
            <v>13</v>
          </cell>
          <cell r="N629">
            <v>5</v>
          </cell>
          <cell r="O629" t="str">
            <v>177/736</v>
          </cell>
          <cell r="P629" t="str">
            <v>0…+6</v>
          </cell>
          <cell r="Q629">
            <v>50</v>
          </cell>
        </row>
        <row r="630">
          <cell r="B630">
            <v>1001022377064</v>
          </cell>
          <cell r="C630" t="str">
            <v>СОЧНЫЕ ПМ сос п/о в/у 1/350 8шт_50с</v>
          </cell>
          <cell r="D630" t="str">
            <v>ШТ</v>
          </cell>
          <cell r="E630" t="str">
            <v>Колбасные изделия</v>
          </cell>
          <cell r="F630" t="str">
            <v>Сосиски</v>
          </cell>
          <cell r="G630" t="str">
            <v>Папа может</v>
          </cell>
          <cell r="H630" t="str">
            <v xml:space="preserve">ОМПК(Г)
</v>
          </cell>
          <cell r="I630" t="str">
            <v>ТУ 10.13.14-180-00425283-2025</v>
          </cell>
          <cell r="J630" t="str">
            <v>Мясной продукт. Изделие колбасное вареное категории В.</v>
          </cell>
          <cell r="K630"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30">
            <v>10</v>
          </cell>
          <cell r="M630">
            <v>13</v>
          </cell>
          <cell r="N630">
            <v>5</v>
          </cell>
          <cell r="O630" t="str">
            <v>177/736</v>
          </cell>
          <cell r="P630" t="str">
            <v>0…+6</v>
          </cell>
          <cell r="Q630">
            <v>50</v>
          </cell>
        </row>
        <row r="631">
          <cell r="B631">
            <v>1001022725819</v>
          </cell>
          <cell r="C631" t="str">
            <v>МЯСНЫЕ Папа может сос п/о в/у 0.4кг_45с</v>
          </cell>
          <cell r="D631" t="str">
            <v>ШТ</v>
          </cell>
          <cell r="E631" t="str">
            <v>Колбасные изделия</v>
          </cell>
          <cell r="F631" t="str">
            <v>Сосиски</v>
          </cell>
          <cell r="G631" t="str">
            <v>Папа может</v>
          </cell>
          <cell r="H631" t="str">
            <v>ОМПК(Г)</v>
          </cell>
          <cell r="I631" t="str">
            <v>ТУ 10.13.14-180-00425283-2025</v>
          </cell>
          <cell r="J631" t="str">
            <v>Мясной продукт. Изделие колбасное вареное категории В.</v>
          </cell>
          <cell r="K631" t="str">
            <v>свинина, мясо цыпленка-бройлера механической обвалки, стабилизатор белковый (шкурка свиная, вода питьевая), вода питьевая,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гуаровая камедь, ксантановая камедь, модифицированный крахмал), перец черный, перец белый, чеснок сушеный молотый, лук репчатый,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631">
            <v>10</v>
          </cell>
          <cell r="M631">
            <v>13</v>
          </cell>
          <cell r="N631">
            <v>5</v>
          </cell>
          <cell r="O631" t="str">
            <v>177/736</v>
          </cell>
          <cell r="P631" t="str">
            <v>0…+6</v>
          </cell>
          <cell r="Q631">
            <v>45</v>
          </cell>
        </row>
        <row r="632">
          <cell r="B632">
            <v>1001022726947</v>
          </cell>
          <cell r="C632" t="str">
            <v>МЯСНЫЕ Папа может сос п/о в/у 0.64кг 6шт</v>
          </cell>
          <cell r="D632" t="str">
            <v>ШТ</v>
          </cell>
          <cell r="E632" t="str">
            <v>Колбасные изделия</v>
          </cell>
          <cell r="F632" t="str">
            <v>Сосиски</v>
          </cell>
          <cell r="G632" t="str">
            <v>Папа может</v>
          </cell>
          <cell r="H632" t="str">
            <v>ОМПК(Г)</v>
          </cell>
          <cell r="I632" t="str">
            <v>ТУ 10.13.14-180-00425283-2025</v>
          </cell>
          <cell r="J632" t="str">
            <v>Мясной продукт. Изделие колбасное вареное категории В.</v>
          </cell>
          <cell r="K632" t="str">
            <v>свинина, мясо цыпленка-бройлера механической обвалки, стабилизатор белковый (шкурка свиная, вода питьевая), вода питьевая,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гуаровая камедь, ксантановая камедь, модифицированный крахмал), перец черный, перец белый, чеснок сушеный молотый, лук репчатый,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632">
            <v>10</v>
          </cell>
          <cell r="M632">
            <v>13</v>
          </cell>
          <cell r="N632">
            <v>5</v>
          </cell>
          <cell r="O632" t="str">
            <v>177/736</v>
          </cell>
          <cell r="P632" t="str">
            <v>0…+6</v>
          </cell>
          <cell r="Q632">
            <v>45</v>
          </cell>
        </row>
        <row r="633">
          <cell r="B633">
            <v>1001025507255</v>
          </cell>
          <cell r="C633" t="str">
            <v>МЯСНЫЕ С ГОВЯД.ПМ сос п/о мгс 0.4кг 6шт.</v>
          </cell>
          <cell r="D633" t="str">
            <v>ШТ</v>
          </cell>
          <cell r="E633" t="str">
            <v>Колбасные изделия</v>
          </cell>
          <cell r="F633" t="str">
            <v>Сосиски</v>
          </cell>
          <cell r="G633" t="str">
            <v>Папа может</v>
          </cell>
          <cell r="H633" t="str">
            <v>ОМПК(Г)</v>
          </cell>
          <cell r="I633" t="str">
            <v>ТУ 10.13.14-180-00425283-2025</v>
          </cell>
          <cell r="J633" t="str">
            <v>Мясной продукт. Изделие колбасное вареное категории В.</v>
          </cell>
          <cell r="K633" t="str">
            <v>говядина, мясо куриное механической обвалки, вода питьевая, филе грудок куриных, стабилизатор белковый (вода питьевая, кожа куриная), крахмал кукурузный,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загустители (каррагинан, ксантановая камедь, конжак, альгинат натрия, гуаровая камедь, модифицированный крахмал, камедь целлюлозы), антиокислители (аскорбиновая кислота, лимонная кислота), ароматизаторы, краситель (кармины)</v>
          </cell>
          <cell r="L633">
            <v>10</v>
          </cell>
          <cell r="M633">
            <v>12</v>
          </cell>
          <cell r="N633">
            <v>4</v>
          </cell>
          <cell r="O633" t="str">
            <v>164/682</v>
          </cell>
          <cell r="P633" t="str">
            <v>0…+6</v>
          </cell>
          <cell r="Q633">
            <v>50</v>
          </cell>
        </row>
        <row r="634">
          <cell r="B634">
            <v>1001025507078</v>
          </cell>
          <cell r="C634" t="str">
            <v>МЯСНЫЕ С ГОВЯД.ПМ сос п/о мгс 0.6кг_50с</v>
          </cell>
          <cell r="D634" t="str">
            <v>ШТ</v>
          </cell>
          <cell r="E634" t="str">
            <v>Колбасные изделия</v>
          </cell>
          <cell r="F634" t="str">
            <v>Сосиски</v>
          </cell>
          <cell r="G634" t="str">
            <v>Папа может</v>
          </cell>
          <cell r="H634" t="str">
            <v>ОМПК(Г)</v>
          </cell>
          <cell r="I634" t="str">
            <v>ТУ 10.13.14-130-00425283-2017</v>
          </cell>
          <cell r="J634" t="str">
            <v>Мясной продукт. Изделие колбасное вареное категории В.</v>
          </cell>
          <cell r="K634" t="str">
            <v>говядина, мясо куриное механической обвалки, вода питьевая, филе грудок куриных, стабилизатор белковый (вода питьевая, кожа куриная), крахмалы (картофельный, кукурузный), смесь посолочно-нитритная (соль, фиксатор окраски (нитрит натрия)), соль, регуляторы кислотности (трифосфаты, пирофосфаты, цитраты натрия), стабилизатор (альгинат натрия), экстракты пряностей, антиокислитель (аскорбиновая кислота), усилитель вкуса и аромата (глутамат натрия), декстроза, ароматизаторы, краситель (кармины)</v>
          </cell>
          <cell r="L634">
            <v>7</v>
          </cell>
          <cell r="M634">
            <v>10</v>
          </cell>
          <cell r="N634">
            <v>3</v>
          </cell>
          <cell r="O634" t="str">
            <v>130/540</v>
          </cell>
          <cell r="P634" t="str">
            <v>0…+6</v>
          </cell>
          <cell r="Q634">
            <v>50</v>
          </cell>
        </row>
        <row r="635">
          <cell r="B635">
            <v>1001021966602</v>
          </cell>
          <cell r="C635" t="str">
            <v>БАВАРСКИЕ ПМ сос ц/о мгс 0.35кг 8шт.</v>
          </cell>
          <cell r="D635" t="str">
            <v>ШТ</v>
          </cell>
          <cell r="E635" t="str">
            <v>Колбасные изделия</v>
          </cell>
          <cell r="F635" t="str">
            <v>Сосиски</v>
          </cell>
          <cell r="G635" t="str">
            <v>Папа может</v>
          </cell>
          <cell r="H635" t="str">
            <v>ОМПК(Г)</v>
          </cell>
          <cell r="I635" t="str">
            <v>ТУ 10.13.14-150-00425283-2018</v>
          </cell>
          <cell r="J635" t="str">
            <v>Изделие колбасное вареное из мяса кур охлажденное.</v>
          </cell>
          <cell r="K635" t="str">
            <v>мясо цыпленка-бройлера механической обвалки, белковый стабилизатор (свиной и говяжий), вода, свинина, сыворотка молочная сухая, крахмал картофельный, смесь посолочно-нитритная (соль, фиксатор окраски нитрит натрия), соль, сахар, регуляторы кислотности: ацетаты и цитраты натрия, пирофосфаты, трифосфаты; загустители: альгинат натрия, каррагинан, гуаровая камедь, карбоксиметилцеллюлоза, Е1422, Е1414; стабилизаторы полифосфаты, антиокислитель аскорбиновая кислота, пряности и экстракты пряностей, чеснок свежий, усилитель вкуса и аромата глутамат натрия,  ароматизаторы, краситель кармины</v>
          </cell>
          <cell r="L635">
            <v>8</v>
          </cell>
          <cell r="M635">
            <v>18</v>
          </cell>
          <cell r="N635">
            <v>3</v>
          </cell>
          <cell r="O635" t="str">
            <v>206/853</v>
          </cell>
          <cell r="P635" t="str">
            <v>0…+6</v>
          </cell>
          <cell r="Q635">
            <v>45</v>
          </cell>
        </row>
        <row r="636">
          <cell r="B636">
            <v>1001025367108</v>
          </cell>
          <cell r="C636" t="str">
            <v>ДОМАШНИЕ СО СЛИВК.ПМ сос п/о мгс 0.41кг</v>
          </cell>
          <cell r="D636" t="str">
            <v>ШТ</v>
          </cell>
          <cell r="E636" t="str">
            <v>Колбасные изделия</v>
          </cell>
          <cell r="F636" t="str">
            <v>Сосиски</v>
          </cell>
          <cell r="G636" t="str">
            <v>Папа может</v>
          </cell>
          <cell r="H636" t="str">
            <v>ОМПК(Г)</v>
          </cell>
          <cell r="I636" t="str">
            <v>ТУ 10.13.14-180-00425283-2025</v>
          </cell>
          <cell r="J636" t="str">
            <v>Мясной продукт. Изделие колбасное вареное категории В.</v>
          </cell>
          <cell r="K636" t="str">
            <v>свинина, мясо куриное механической обвалки, стабилизатор белковый (вода питьевая, шкурка свиная, говядина), вода питьевая, сливки сухие,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36">
            <v>10</v>
          </cell>
          <cell r="M636">
            <v>13</v>
          </cell>
          <cell r="N636">
            <v>5</v>
          </cell>
          <cell r="O636" t="str">
            <v>177/736</v>
          </cell>
          <cell r="P636" t="str">
            <v>0…+6</v>
          </cell>
          <cell r="Q636">
            <v>45</v>
          </cell>
        </row>
        <row r="637">
          <cell r="B637">
            <v>1001022657073</v>
          </cell>
          <cell r="C637" t="str">
            <v>МОЛОЧ.ПРЕМИУМ ПМ сос п/о в/у 1/350_50с</v>
          </cell>
          <cell r="D637" t="str">
            <v>ШТ</v>
          </cell>
          <cell r="E637" t="str">
            <v>Колбасные изделия</v>
          </cell>
          <cell r="F637" t="str">
            <v>Сосиски</v>
          </cell>
          <cell r="G637" t="str">
            <v>Папа может</v>
          </cell>
          <cell r="H637" t="str">
            <v>ОМПК(Г)</v>
          </cell>
          <cell r="I637" t="str">
            <v>ТУ 10.13.14-180-00425283-2025</v>
          </cell>
          <cell r="J637" t="str">
            <v>Мясосодержащий продукт. Изделие колбасное вареное категории В.</v>
          </cell>
          <cell r="K637" t="str">
            <v>свинина, филе грудок куриных, мясо цыпленка-бройлера механической обвалки, стабилизатор белковый (шкурка свиная, вода питьевая), говядина, вода питьевая, молоко сухое,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альгинат натрия, гуаровая камедь, модифицированный крахмал), перец черный, мускатный орех, чили, сахара, антиокислители (лимонная кислота, аскорбиновая кислота), усилитель вкуса и аромата (глутамат натрия 1-замещенный), ароматизаторы, краситель (кармины)</v>
          </cell>
          <cell r="L637">
            <v>10</v>
          </cell>
          <cell r="M637">
            <v>12</v>
          </cell>
          <cell r="N637">
            <v>4</v>
          </cell>
          <cell r="O637" t="str">
            <v>164/682</v>
          </cell>
          <cell r="P637" t="str">
            <v>0…+6</v>
          </cell>
          <cell r="Q637">
            <v>50</v>
          </cell>
        </row>
        <row r="638">
          <cell r="B638">
            <v>1001022377066</v>
          </cell>
          <cell r="C638" t="str">
            <v>СОЧНЫЕ ПМ сос п/о мгс 0.41кг 10шт_50с</v>
          </cell>
          <cell r="D638" t="str">
            <v>ШТ</v>
          </cell>
          <cell r="E638" t="str">
            <v>Колбасные изделия</v>
          </cell>
          <cell r="F638" t="str">
            <v>Сосиски</v>
          </cell>
          <cell r="G638" t="str">
            <v>Папа может</v>
          </cell>
          <cell r="H638" t="str">
            <v xml:space="preserve">ОМПК(Г)
</v>
          </cell>
          <cell r="I638" t="str">
            <v>ТУ 10.13.14-180-00425283-2025</v>
          </cell>
          <cell r="J638" t="str">
            <v>Мясной продукт. Изделие колбасное вареное категории В.</v>
          </cell>
          <cell r="K638"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38">
            <v>10</v>
          </cell>
          <cell r="M638">
            <v>13</v>
          </cell>
          <cell r="N638">
            <v>5</v>
          </cell>
          <cell r="O638" t="str">
            <v>177/736</v>
          </cell>
          <cell r="P638" t="str">
            <v>0…+6</v>
          </cell>
          <cell r="Q638">
            <v>50</v>
          </cell>
        </row>
        <row r="639">
          <cell r="B639">
            <v>1001022377067</v>
          </cell>
          <cell r="C639" t="str">
            <v>СОЧНЫЕ ПМ сос п/о мгс 0.41кг_СНГ_50с</v>
          </cell>
          <cell r="D639" t="str">
            <v>ШТ</v>
          </cell>
          <cell r="E639" t="str">
            <v>Колбасные изделия</v>
          </cell>
          <cell r="F639" t="str">
            <v>Сосиски</v>
          </cell>
          <cell r="G639" t="str">
            <v>Папа может</v>
          </cell>
          <cell r="H639" t="str">
            <v xml:space="preserve">ОМПК(Г)
</v>
          </cell>
          <cell r="I639" t="str">
            <v>ТУ 10.13.14-130-00425283-2017</v>
          </cell>
          <cell r="J639" t="str">
            <v>Мясной продукт. Изделие колбасное вареное категории В.</v>
          </cell>
          <cell r="K639" t="str">
            <v>свинина, мясо куриное механической обвалки, вода питьевая, стабилизатор белковый (вода питьевая, шкурка свиная, говядина), сыворотка молочная сухая, молоко сухое обезжиренное, крахмалы (картофельный, кукурузный), смесь посолочно-нитритная (соль, фиксатор окраски (нитрит натрия)), соль, регуляторы кислотности (цитраты натрия, трифосфаты, пирофосфаты), загустители (каррагинан, конжак, ксантановая камедь, альгинат натрия, гуаровая камедь, камедь целлюлозы), экстракты пряностей, сахара, белок животный (говяжий), антиокислители (лимонная кислота, аскорбиновая кислота), усилитель вкуса и аромата (глутамат натрия), ароматизаторы, краситель (кармины)</v>
          </cell>
          <cell r="L639">
            <v>11</v>
          </cell>
          <cell r="M639">
            <v>13</v>
          </cell>
          <cell r="N639">
            <v>2</v>
          </cell>
          <cell r="O639" t="str">
            <v>169/702</v>
          </cell>
          <cell r="P639" t="str">
            <v>0…+6</v>
          </cell>
          <cell r="Q639">
            <v>50</v>
          </cell>
        </row>
        <row r="640">
          <cell r="B640">
            <v>1001020836724</v>
          </cell>
          <cell r="C640" t="str">
            <v>МОЛОЧНЫЕ ПМ сос п/о мгс 0.41кг 10шт.</v>
          </cell>
          <cell r="D640" t="str">
            <v>ШТ</v>
          </cell>
          <cell r="E640" t="str">
            <v>Колбасные изделия</v>
          </cell>
          <cell r="F640" t="str">
            <v>Сосиски</v>
          </cell>
          <cell r="G640" t="str">
            <v>Папа может</v>
          </cell>
          <cell r="H640" t="str">
            <v xml:space="preserve">ОМПК(Г)
</v>
          </cell>
          <cell r="I640" t="str">
            <v>ТУ 10.13.14-180-00425283-2025</v>
          </cell>
          <cell r="J640" t="str">
            <v>Мясной продукт. Изделие колбасное вареное категории В.</v>
          </cell>
          <cell r="K640"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40">
            <v>10</v>
          </cell>
          <cell r="M640">
            <v>13</v>
          </cell>
          <cell r="N640">
            <v>5</v>
          </cell>
          <cell r="O640" t="str">
            <v>177/736</v>
          </cell>
          <cell r="P640" t="str">
            <v>0…+6</v>
          </cell>
          <cell r="Q640">
            <v>45</v>
          </cell>
        </row>
        <row r="641">
          <cell r="B641">
            <v>1001020837151</v>
          </cell>
          <cell r="C641" t="str">
            <v>МОЛОЧНЫЕ ПМ сос п/о мгс 0.41кг 10шт_СНГ</v>
          </cell>
          <cell r="D641" t="str">
            <v>ШТ</v>
          </cell>
          <cell r="E641" t="str">
            <v>Колбасные изделия</v>
          </cell>
          <cell r="F641" t="str">
            <v>Сосиски</v>
          </cell>
          <cell r="G641" t="str">
            <v>Папа может</v>
          </cell>
          <cell r="H641" t="str">
            <v xml:space="preserve">ОМПК(Г)
</v>
          </cell>
          <cell r="I641" t="str">
            <v>ТУ 10.13.14-180-00425283-2025</v>
          </cell>
          <cell r="J641" t="str">
            <v>Мясной продукт. Изделие колбасное вареное категории В.</v>
          </cell>
          <cell r="K641"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41">
            <v>10</v>
          </cell>
          <cell r="M641">
            <v>13</v>
          </cell>
          <cell r="N641">
            <v>5</v>
          </cell>
          <cell r="O641" t="str">
            <v>177/736</v>
          </cell>
          <cell r="P641" t="str">
            <v>0…+6</v>
          </cell>
          <cell r="Q641">
            <v>45</v>
          </cell>
        </row>
        <row r="642">
          <cell r="B642">
            <v>1001020837408</v>
          </cell>
          <cell r="C642" t="str">
            <v>МОЛОЧНЫЕ ASLAM сос п/о мгс 0.41кг 10шт.</v>
          </cell>
          <cell r="D642" t="str">
            <v>ШТ</v>
          </cell>
          <cell r="E642" t="str">
            <v>Колбасные изделия</v>
          </cell>
          <cell r="F642" t="str">
            <v>Сосиски</v>
          </cell>
          <cell r="G642" t="str">
            <v>ASLAM</v>
          </cell>
          <cell r="H642" t="str">
            <v>ООО Казанские деликатесы</v>
          </cell>
          <cell r="I642" t="str">
            <v>ТУ 10.13.14-175-00425283-2025</v>
          </cell>
          <cell r="J642" t="str">
            <v>Изделие колбасное вареное из мяса кур охлажденное.</v>
          </cell>
          <cell r="K642" t="str">
            <v>мясо куриное механической обвалки, филе грудок куриных, стабилизатор белковый (вода питьевая, кожа куриная, говядина), вода питьевая, говядина,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антиокислители (лимонная кислота, аскорбиновая кислота), усилитель вкуса и аромата (глутамат натрия), ароматизаторы, экстракт монаскуса, краситель (понсо 4R)</v>
          </cell>
          <cell r="L642">
            <v>12</v>
          </cell>
          <cell r="M642">
            <v>13</v>
          </cell>
          <cell r="N642">
            <v>3</v>
          </cell>
          <cell r="O642" t="str">
            <v>177/736</v>
          </cell>
          <cell r="P642" t="str">
            <v>0…+6</v>
          </cell>
          <cell r="Q642">
            <v>45</v>
          </cell>
        </row>
        <row r="643">
          <cell r="B643">
            <v>1001020837410</v>
          </cell>
          <cell r="C643" t="str">
            <v>МОЛОЧНЫЕ ASLAM сос п/о мгс 1.025кг 6шт.</v>
          </cell>
          <cell r="D643" t="str">
            <v>ШТ</v>
          </cell>
          <cell r="E643" t="str">
            <v>Колбасные изделия</v>
          </cell>
          <cell r="F643" t="str">
            <v>Сосиски</v>
          </cell>
          <cell r="G643" t="str">
            <v>ASLAM</v>
          </cell>
          <cell r="H643" t="str">
            <v>ООО Казанские деликатесы</v>
          </cell>
          <cell r="I643" t="str">
            <v>ТУ 10.13.14-175-00425283-2025</v>
          </cell>
          <cell r="J643" t="str">
            <v>Изделие колбасное вареное из мяса кур охлажденное.</v>
          </cell>
          <cell r="K643" t="str">
            <v>мясо куриное механической обвалки, филе грудок куриных, стабилизатор белковый (вода питьевая, кожа куриная, говядина), вода питьевая, говядина,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антиокислители (лимонная кислота, аскорбиновая кислота), усилитель вкуса и аромата (глутамат натрия), ароматизаторы, экстракт монаскуса, краситель (понсо 4R)</v>
          </cell>
          <cell r="L643">
            <v>12</v>
          </cell>
          <cell r="M643">
            <v>13</v>
          </cell>
          <cell r="N643">
            <v>3</v>
          </cell>
          <cell r="O643" t="str">
            <v>177/736</v>
          </cell>
          <cell r="P643" t="str">
            <v>0…+6</v>
          </cell>
          <cell r="Q643">
            <v>45</v>
          </cell>
        </row>
        <row r="644">
          <cell r="B644">
            <v>1001025167044</v>
          </cell>
          <cell r="C644" t="str">
            <v>ХОТ-ДОГ Папа может сос б/о в/у 1/320 8шт</v>
          </cell>
          <cell r="D644" t="str">
            <v>ШТ</v>
          </cell>
          <cell r="E644" t="str">
            <v>Колбасные изделия</v>
          </cell>
          <cell r="F644" t="str">
            <v>Сосиски</v>
          </cell>
          <cell r="G644" t="str">
            <v>Папа может</v>
          </cell>
          <cell r="H644" t="str">
            <v>ОМПК(О)</v>
          </cell>
          <cell r="I644" t="str">
            <v>ТУ 10.13.14-150-00425283-2026</v>
          </cell>
          <cell r="J644" t="str">
            <v>Изделие колбасное вареное из мяса кур охлажденное.</v>
          </cell>
          <cell r="K644" t="str">
            <v>филе грудок куриных, вода, мясо куриное механической обвалки, белковый стабилизатор (вода, шкурка свиная), свинина,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глюконо-дельта-лактон; загустители: альгинат натрия, каррагинан, гуаровая камедь, камедь целлюлозы; стабилизатор полифосфаты, пряности, сахара, антиокислители: изоаскорбат натрия, лимонная кислота; усилитель вкуса и аромата глутамат натрия, ароматизаторы, краситель кармины</v>
          </cell>
          <cell r="L644">
            <v>7</v>
          </cell>
          <cell r="M644">
            <v>16</v>
          </cell>
          <cell r="N644">
            <v>3</v>
          </cell>
          <cell r="O644" t="str">
            <v>184/762</v>
          </cell>
          <cell r="P644" t="str">
            <v>0…+6</v>
          </cell>
          <cell r="Q644">
            <v>45</v>
          </cell>
        </row>
        <row r="645">
          <cell r="B645">
            <v>1003171433209</v>
          </cell>
          <cell r="C645" t="str">
            <v>ГУЛЯШ СВИНОЙ мгс 0.4кг 4шт.охл_Х5(СТМ)</v>
          </cell>
          <cell r="D645" t="str">
            <v>ШТ</v>
          </cell>
          <cell r="E645" t="str">
            <v>Мясо охл</v>
          </cell>
          <cell r="F645" t="str">
            <v>ОПФ Нарезные</v>
          </cell>
          <cell r="G645" t="str">
            <v>СТМ</v>
          </cell>
          <cell r="H645" t="str">
            <v>ОМПК (Г)</v>
          </cell>
          <cell r="I645" t="str">
            <v>ТУ 10.13.14-151-00425283-2018</v>
          </cell>
          <cell r="J645" t="str">
            <v>Полуфабрикат охлажденный из свинины мелкокусковой бескостный мясной категории А.</v>
          </cell>
          <cell r="K645" t="str">
            <v>свинина</v>
          </cell>
          <cell r="L645">
            <v>19</v>
          </cell>
          <cell r="M645">
            <v>8</v>
          </cell>
          <cell r="O645" t="str">
            <v>148/619</v>
          </cell>
          <cell r="P645" t="str">
            <v>0…+4</v>
          </cell>
          <cell r="Q645">
            <v>12</v>
          </cell>
        </row>
        <row r="646">
          <cell r="B646">
            <v>1003171436318</v>
          </cell>
          <cell r="C646" t="str">
            <v>ГУЛЯШ СВИНОЙ мгс 0.4кг 4шт.охл</v>
          </cell>
          <cell r="D646" t="str">
            <v>ШТ</v>
          </cell>
          <cell r="E646" t="str">
            <v>Мясо охл</v>
          </cell>
          <cell r="F646" t="str">
            <v>ОПФ Нарезные</v>
          </cell>
          <cell r="G646" t="str">
            <v>Останкино</v>
          </cell>
          <cell r="H646" t="str">
            <v>ОМПК (Г)</v>
          </cell>
          <cell r="I646" t="str">
            <v>ТУ 10.13.14-151-00425283-2025</v>
          </cell>
          <cell r="J646" t="str">
            <v>Мясной полуфабрикат мелкокусковой бескостный охлажденный из свинины категории А.</v>
          </cell>
          <cell r="K646" t="str">
            <v>свинина</v>
          </cell>
          <cell r="L646">
            <v>19</v>
          </cell>
          <cell r="M646">
            <v>8</v>
          </cell>
          <cell r="N646">
            <v>0</v>
          </cell>
          <cell r="O646" t="str">
            <v>148/619</v>
          </cell>
          <cell r="P646" t="str">
            <v>0…+4</v>
          </cell>
          <cell r="Q646">
            <v>12</v>
          </cell>
        </row>
        <row r="647">
          <cell r="B647">
            <v>1003173305387</v>
          </cell>
          <cell r="C647" t="str">
            <v>НАБОР ДЛЯ СУПА мгс 0.4кг 4шт.охл_Х5(СТМ)</v>
          </cell>
          <cell r="D647" t="str">
            <v>ШТ</v>
          </cell>
          <cell r="E647" t="str">
            <v>Мясо охл</v>
          </cell>
          <cell r="F647" t="str">
            <v>ОПФ Нарезные</v>
          </cell>
          <cell r="G647" t="str">
            <v>СТМ</v>
          </cell>
          <cell r="H647" t="str">
            <v>ОМПК (Г)</v>
          </cell>
          <cell r="I647" t="str">
            <v>ТУ 10.13.14-151-00425283-2018</v>
          </cell>
          <cell r="J647" t="str">
            <v>Полуфабрикат охлажденный из свинины мелкокусковой мясокостный категории Б.</v>
          </cell>
          <cell r="K647" t="str">
            <v>свинина на кости</v>
          </cell>
          <cell r="L647">
            <v>13</v>
          </cell>
          <cell r="M647">
            <v>33</v>
          </cell>
          <cell r="O647" t="str">
            <v>349/1442</v>
          </cell>
          <cell r="P647" t="str">
            <v>0…+4</v>
          </cell>
          <cell r="Q647">
            <v>9</v>
          </cell>
        </row>
        <row r="648">
          <cell r="B648">
            <v>1003173575589</v>
          </cell>
          <cell r="C648" t="str">
            <v xml:space="preserve">СОЧНЫЙ СТЕЙК В МАРИНАДЕ мгс 0.4кг охл. </v>
          </cell>
          <cell r="D648" t="str">
            <v>ШТ</v>
          </cell>
          <cell r="E648" t="str">
            <v>Мясо охл</v>
          </cell>
          <cell r="F648" t="str">
            <v>ОПФ Шашлыки Маринады</v>
          </cell>
          <cell r="G648" t="str">
            <v>Останкино</v>
          </cell>
          <cell r="H648" t="str">
            <v>ОМПК (Г)</v>
          </cell>
          <cell r="I648" t="str">
            <v>ТУ 10.13.14-151-00425283-2025</v>
          </cell>
          <cell r="J648" t="str">
            <v>Полуфабрикат охлажденный из свинины мелкокусковой бескостный мясной категории А.</v>
          </cell>
          <cell r="K648" t="str">
            <v>свинина, соль, мальтодекстрин, экстракт дрожжей, экстракты пряностей, овощи сушеные, регуляторы кислотности: молочная кислота, лактат кальция; загустители: дикрахмаладипат ацетилированный, гуаровая камедь; ароматизаторы</v>
          </cell>
          <cell r="L648">
            <v>20</v>
          </cell>
          <cell r="M648">
            <v>5</v>
          </cell>
          <cell r="O648" t="str">
            <v>125/525</v>
          </cell>
          <cell r="P648" t="str">
            <v>0…+4</v>
          </cell>
          <cell r="Q648">
            <v>12</v>
          </cell>
        </row>
        <row r="649">
          <cell r="B649">
            <v>1003173075592</v>
          </cell>
          <cell r="C649" t="str">
            <v>СТЕЙК СВ.НА КОСТОЧКЕ мгс 0.4кг охл_Х5</v>
          </cell>
          <cell r="D649" t="str">
            <v>ШТ</v>
          </cell>
          <cell r="E649" t="str">
            <v>Мясо охл</v>
          </cell>
          <cell r="F649" t="str">
            <v>ОПФ Нарезные</v>
          </cell>
          <cell r="G649" t="str">
            <v>СТМ</v>
          </cell>
          <cell r="H649" t="str">
            <v>ОМПК (Г)</v>
          </cell>
          <cell r="I649" t="str">
            <v>ТУ 10.13.14-151-00425283-2018</v>
          </cell>
          <cell r="J649" t="str">
            <v>Полуфабрикат охлажденный из свинины мелкокусковой мясокостный категории Б.</v>
          </cell>
          <cell r="K649" t="str">
            <v>свинина на кости</v>
          </cell>
          <cell r="L649">
            <v>18</v>
          </cell>
          <cell r="M649">
            <v>17</v>
          </cell>
          <cell r="O649" t="str">
            <v>225/940</v>
          </cell>
          <cell r="P649" t="str">
            <v>0…+4</v>
          </cell>
          <cell r="Q649">
            <v>12</v>
          </cell>
        </row>
        <row r="650">
          <cell r="B650">
            <v>1003323077312</v>
          </cell>
          <cell r="C650" t="str">
            <v>СТЕЙК СВ.НА КОСТ.мгс 0.4кг охл_Х5/СТМ ХК</v>
          </cell>
          <cell r="D650" t="str">
            <v>ШТ</v>
          </cell>
          <cell r="E650" t="str">
            <v>Мясо охл</v>
          </cell>
          <cell r="F650" t="str">
            <v>ОПФ Нарезные</v>
          </cell>
          <cell r="G650" t="str">
            <v>СТМ</v>
          </cell>
          <cell r="H650" t="str">
            <v>ОМПК (Г)</v>
          </cell>
          <cell r="I650" t="str">
            <v>ТУ 10.13.14-151-00425283-2018</v>
          </cell>
          <cell r="J650" t="str">
            <v>Полуфабрикат охлажденный из свинины мелкокусковой мясокостный категории Б.</v>
          </cell>
          <cell r="K650" t="str">
            <v>свинина на кости</v>
          </cell>
          <cell r="L650">
            <v>18</v>
          </cell>
          <cell r="M650">
            <v>17</v>
          </cell>
          <cell r="O650" t="str">
            <v>225/940</v>
          </cell>
          <cell r="P650" t="str">
            <v>0…+4</v>
          </cell>
          <cell r="Q650">
            <v>12</v>
          </cell>
        </row>
        <row r="651">
          <cell r="B651">
            <v>1003326787534</v>
          </cell>
          <cell r="C651" t="str">
            <v>СТЕЙК СВ.НА КОСТ. мгс 0.4кг охл_Т/СТМ</v>
          </cell>
          <cell r="D651" t="str">
            <v>ШТ</v>
          </cell>
          <cell r="E651" t="str">
            <v>Мясо охл</v>
          </cell>
          <cell r="F651" t="str">
            <v>ОПФ Нарезные</v>
          </cell>
          <cell r="G651" t="str">
            <v>СТМ</v>
          </cell>
          <cell r="H651" t="str">
            <v>ОМПК (Г)</v>
          </cell>
          <cell r="I651" t="str">
            <v>ТУ 10.13.14-151-00425283-2025</v>
          </cell>
          <cell r="J651" t="str">
            <v>Мясной полуфабрикат мясокостный мелкокусковой охлажденный из свинины категории Б.</v>
          </cell>
          <cell r="K651" t="str">
            <v>свинина на кости</v>
          </cell>
          <cell r="L651">
            <v>18</v>
          </cell>
          <cell r="M651">
            <v>17</v>
          </cell>
          <cell r="N651">
            <v>0</v>
          </cell>
          <cell r="O651" t="str">
            <v>225/940</v>
          </cell>
          <cell r="P651" t="str">
            <v>0…+4</v>
          </cell>
          <cell r="Q651">
            <v>12</v>
          </cell>
        </row>
        <row r="652">
          <cell r="B652">
            <v>1003323077350</v>
          </cell>
          <cell r="C652" t="str">
            <v>СТЕЙК СВ.НА КОСТОЧКЕ мгс 0.4кг 4шт. охл.</v>
          </cell>
          <cell r="D652" t="str">
            <v>ШТ</v>
          </cell>
          <cell r="E652" t="str">
            <v>Мясо охл</v>
          </cell>
          <cell r="F652" t="str">
            <v>ОПФ Нарезные</v>
          </cell>
          <cell r="G652" t="str">
            <v>Останкино</v>
          </cell>
          <cell r="H652" t="str">
            <v>ОМПК (Г)</v>
          </cell>
          <cell r="I652" t="str">
            <v>ТУ 10.13.14-151-00425283-2018</v>
          </cell>
          <cell r="J652" t="str">
            <v>Мясной полуфабрикат мясокостный мелкокусковой охлажденный из свинины категории Б.</v>
          </cell>
          <cell r="K652" t="str">
            <v>свинина на кости</v>
          </cell>
          <cell r="L652">
            <v>16</v>
          </cell>
          <cell r="M652">
            <v>21</v>
          </cell>
          <cell r="O652" t="str">
            <v>253/1049</v>
          </cell>
          <cell r="P652" t="str">
            <v>0…+4</v>
          </cell>
          <cell r="Q652">
            <v>12</v>
          </cell>
        </row>
        <row r="653">
          <cell r="B653">
            <v>1003171736432</v>
          </cell>
          <cell r="C653" t="str">
            <v>ШЕЙКА СВИНАЯ мгс 0.4кг охл_Х5/СТМ_12с</v>
          </cell>
          <cell r="D653" t="str">
            <v>ШТ</v>
          </cell>
          <cell r="E653" t="str">
            <v>Мясо охл</v>
          </cell>
          <cell r="F653" t="str">
            <v>ОПФ Нарезные</v>
          </cell>
          <cell r="G653" t="str">
            <v>СТМ</v>
          </cell>
          <cell r="H653" t="str">
            <v>ОМПК (Г)</v>
          </cell>
          <cell r="I653" t="str">
            <v>ТУ 10.13.14-151-00425283-2018</v>
          </cell>
          <cell r="J653" t="str">
            <v>Полуфабрикат охлажденный из свинины мелкокусковой бескостный мясной категории А.</v>
          </cell>
          <cell r="K653" t="str">
            <v>свинина</v>
          </cell>
          <cell r="L653">
            <v>16</v>
          </cell>
          <cell r="M653">
            <v>18</v>
          </cell>
          <cell r="O653" t="str">
            <v>226/938</v>
          </cell>
          <cell r="P653" t="str">
            <v>0…+4</v>
          </cell>
          <cell r="Q653">
            <v>12</v>
          </cell>
        </row>
        <row r="654">
          <cell r="B654">
            <v>1003321737310</v>
          </cell>
          <cell r="C654" t="str">
            <v>ШЕЙКА СВИНАЯ мгс 0.4кг охл_Х5/СТМ ХК</v>
          </cell>
          <cell r="D654" t="str">
            <v>ШТ</v>
          </cell>
          <cell r="E654" t="str">
            <v>Мясо охл</v>
          </cell>
          <cell r="F654" t="str">
            <v>ОПФ Нарезные</v>
          </cell>
          <cell r="G654" t="str">
            <v>СТМ</v>
          </cell>
          <cell r="H654" t="str">
            <v>ОМПК (Г)</v>
          </cell>
          <cell r="I654" t="str">
            <v>ТУ 10.13.14-151-00425283-2018</v>
          </cell>
          <cell r="J654" t="str">
            <v>Полуфабрикат охлажденный из свинины мелкокусковой бескостный мясной категории А.</v>
          </cell>
          <cell r="K654" t="str">
            <v>свинина</v>
          </cell>
          <cell r="L654">
            <v>16</v>
          </cell>
          <cell r="M654">
            <v>18</v>
          </cell>
          <cell r="O654" t="str">
            <v>226/938</v>
          </cell>
          <cell r="P654" t="str">
            <v>0…+4</v>
          </cell>
          <cell r="Q654">
            <v>12</v>
          </cell>
        </row>
        <row r="655">
          <cell r="B655">
            <v>1003321737396</v>
          </cell>
          <cell r="C655" t="str">
            <v>СТЕЙК ИЗ ШЕИ СВИНОЙ мгс 0.4кг охл_Т/СТМ</v>
          </cell>
          <cell r="D655" t="str">
            <v>ШТ</v>
          </cell>
          <cell r="E655" t="str">
            <v>Мясо охл</v>
          </cell>
          <cell r="F655" t="str">
            <v>ОПФ Нарезные</v>
          </cell>
          <cell r="G655" t="str">
            <v>СТМ</v>
          </cell>
          <cell r="H655" t="str">
            <v>ОМПК (Г)</v>
          </cell>
          <cell r="I655" t="str">
            <v>ТУ 10.13.14-151-00425283-2025</v>
          </cell>
          <cell r="J655" t="str">
            <v>Мясной полуфабрикат бескостный мелкокусковой охлажденный из свинины категории А.</v>
          </cell>
          <cell r="K655" t="str">
            <v>свинина</v>
          </cell>
          <cell r="L655">
            <v>16</v>
          </cell>
          <cell r="M655">
            <v>18</v>
          </cell>
          <cell r="O655" t="str">
            <v>226/938</v>
          </cell>
          <cell r="P655" t="str">
            <v>0…+4</v>
          </cell>
          <cell r="Q655">
            <v>12</v>
          </cell>
        </row>
        <row r="656">
          <cell r="B656">
            <v>1003171735722</v>
          </cell>
          <cell r="C656" t="str">
            <v>ШЕЙКА СВИНАЯ мгс 0.4кг 4шт.охл.</v>
          </cell>
          <cell r="D656" t="str">
            <v>ШТ</v>
          </cell>
          <cell r="E656" t="str">
            <v>Мясо охл</v>
          </cell>
          <cell r="F656" t="str">
            <v>ОПФ Нарезные</v>
          </cell>
          <cell r="G656" t="str">
            <v>Останкино</v>
          </cell>
          <cell r="H656" t="str">
            <v>ОМПК (Г)</v>
          </cell>
          <cell r="I656" t="str">
            <v>ТУ 10.13.14-151-00425283-2025</v>
          </cell>
          <cell r="J656" t="str">
            <v>Мясной полуфабрикат бескостный мелкокусковой охлажденный из свинины категории А.</v>
          </cell>
          <cell r="K656" t="str">
            <v>свинина</v>
          </cell>
          <cell r="L656">
            <v>17</v>
          </cell>
          <cell r="M656">
            <v>16</v>
          </cell>
          <cell r="N656">
            <v>0</v>
          </cell>
          <cell r="O656" t="str">
            <v>212/881</v>
          </cell>
          <cell r="P656" t="str">
            <v>0…+4</v>
          </cell>
          <cell r="Q656">
            <v>12</v>
          </cell>
        </row>
        <row r="657">
          <cell r="B657">
            <v>1003171746431</v>
          </cell>
          <cell r="C657" t="str">
            <v>ШНИЦЕЛЬ СВИНОЙ мгс 0.4кг охл_Х5/СТМ_12с</v>
          </cell>
          <cell r="D657" t="str">
            <v>ШТ</v>
          </cell>
          <cell r="E657" t="str">
            <v>Мясо охл</v>
          </cell>
          <cell r="F657" t="str">
            <v>ОПФ Нарезные</v>
          </cell>
          <cell r="G657" t="str">
            <v>СТМ</v>
          </cell>
          <cell r="H657" t="str">
            <v>ОМПК (Г)</v>
          </cell>
          <cell r="I657" t="str">
            <v>ТУ 10.13.14-151-00425283-2018</v>
          </cell>
          <cell r="J657" t="str">
            <v>Полуфабрикат охлажденный из свинины мелкокусковой бескостный мясной категории А.</v>
          </cell>
          <cell r="K657" t="str">
            <v>свинина</v>
          </cell>
          <cell r="L657">
            <v>20</v>
          </cell>
          <cell r="M657">
            <v>5</v>
          </cell>
          <cell r="O657" t="str">
            <v>125/525</v>
          </cell>
          <cell r="P657" t="str">
            <v>0…+4</v>
          </cell>
          <cell r="Q657">
            <v>12</v>
          </cell>
        </row>
        <row r="658">
          <cell r="B658">
            <v>1003171746417</v>
          </cell>
          <cell r="C658" t="str">
            <v>ШНИЦЕЛЬ СВИНОЙ мгс 0.4кг охл_Х5/СТМ Верн</v>
          </cell>
          <cell r="D658" t="str">
            <v>ШТ</v>
          </cell>
          <cell r="E658" t="str">
            <v>Мясо охл</v>
          </cell>
          <cell r="F658" t="str">
            <v>ОПФ Нарезные</v>
          </cell>
          <cell r="G658" t="str">
            <v>СТМ</v>
          </cell>
          <cell r="H658" t="str">
            <v>ОМПК (Г)</v>
          </cell>
          <cell r="I658" t="str">
            <v>ТУ 10.13.14-151-00425283-2025</v>
          </cell>
          <cell r="J658" t="str">
            <v>Мясной полуфабрикат бескостный мелкокусковой охлажденный из свинины категории А.</v>
          </cell>
          <cell r="K658" t="str">
            <v>свинина</v>
          </cell>
          <cell r="L658">
            <v>20</v>
          </cell>
          <cell r="M658">
            <v>5</v>
          </cell>
          <cell r="O658" t="str">
            <v>125/525</v>
          </cell>
          <cell r="P658" t="str">
            <v>0…+4</v>
          </cell>
          <cell r="Q658">
            <v>14</v>
          </cell>
        </row>
        <row r="659">
          <cell r="B659">
            <v>1003321747311</v>
          </cell>
          <cell r="C659" t="str">
            <v>ШНИЦЕЛЬ СВИНОЙ мгс 0.4кг охл_Х5/СТМ ХК</v>
          </cell>
          <cell r="D659" t="str">
            <v>ШТ</v>
          </cell>
          <cell r="E659" t="str">
            <v>Мясо охл</v>
          </cell>
          <cell r="F659" t="str">
            <v>ОПФ Нарезные</v>
          </cell>
          <cell r="G659" t="str">
            <v>СТМ</v>
          </cell>
          <cell r="H659" t="str">
            <v>ОМПК (Г)</v>
          </cell>
          <cell r="I659" t="str">
            <v>ТУ 10.13.14-151-00425283-2018</v>
          </cell>
          <cell r="J659" t="str">
            <v>Полуфабрикат охлажденный из свинины мелкокусковой бескостный мясной категории А.</v>
          </cell>
          <cell r="K659" t="str">
            <v>свинина</v>
          </cell>
          <cell r="L659">
            <v>20</v>
          </cell>
          <cell r="M659">
            <v>5</v>
          </cell>
          <cell r="O659" t="str">
            <v>125/525</v>
          </cell>
          <cell r="P659" t="str">
            <v>0…+4</v>
          </cell>
          <cell r="Q659">
            <v>12</v>
          </cell>
        </row>
        <row r="660">
          <cell r="B660">
            <v>1003321747351</v>
          </cell>
          <cell r="C660" t="str">
            <v>ШНИЦЕЛЬ СВИНОЙ мгс 0.4кг 4шт. охл.</v>
          </cell>
          <cell r="D660" t="str">
            <v>ШТ</v>
          </cell>
          <cell r="E660" t="str">
            <v>Мясо охл</v>
          </cell>
          <cell r="F660" t="str">
            <v>ОПФ Нарезные</v>
          </cell>
          <cell r="G660" t="str">
            <v>Останкино</v>
          </cell>
          <cell r="H660" t="str">
            <v>ОМПК (Г)</v>
          </cell>
          <cell r="I660" t="str">
            <v>ТУ 10.13.14-151-00425283-2025</v>
          </cell>
          <cell r="J660" t="str">
            <v>Мясной полуфабрикат бескостный мелкокусковой охлажденный из свинины категории А.</v>
          </cell>
          <cell r="K660" t="str">
            <v>свинина</v>
          </cell>
          <cell r="L660">
            <v>20</v>
          </cell>
          <cell r="M660">
            <v>5</v>
          </cell>
          <cell r="O660" t="str">
            <v>125/525</v>
          </cell>
          <cell r="P660" t="str">
            <v>0…+4</v>
          </cell>
          <cell r="Q660">
            <v>12</v>
          </cell>
        </row>
        <row r="661">
          <cell r="B661">
            <v>1003171755435</v>
          </cell>
          <cell r="C661" t="str">
            <v>ЭСКАЛОП СВИНОЙ мгс 0.4кг 4шт.охл.</v>
          </cell>
          <cell r="D661" t="str">
            <v>ШТ</v>
          </cell>
          <cell r="E661" t="str">
            <v>Мясо охл</v>
          </cell>
          <cell r="F661" t="str">
            <v>ОПФ Нарезные</v>
          </cell>
          <cell r="G661" t="str">
            <v>Останкино</v>
          </cell>
          <cell r="H661" t="str">
            <v>ОМПК (Г)</v>
          </cell>
          <cell r="I661" t="str">
            <v>ТУ 10.13.14-151-00425283-2025</v>
          </cell>
          <cell r="J661" t="str">
            <v>Мясной полуфабрикат мелкокусковой бескостный охлажденный из свинины категории А.</v>
          </cell>
          <cell r="K661" t="str">
            <v>свинина</v>
          </cell>
          <cell r="L661">
            <v>21</v>
          </cell>
          <cell r="M661">
            <v>7</v>
          </cell>
          <cell r="O661" t="str">
            <v>147/616</v>
          </cell>
          <cell r="P661" t="str">
            <v>0…+4</v>
          </cell>
          <cell r="Q661">
            <v>12</v>
          </cell>
        </row>
        <row r="662">
          <cell r="B662">
            <v>1003321756897</v>
          </cell>
          <cell r="C662" t="str">
            <v>ЭСКАЛОП СВИНОЙ мгс 0.4кг охл_Х5/СТМ ХК</v>
          </cell>
          <cell r="D662" t="str">
            <v>ШТ</v>
          </cell>
          <cell r="E662" t="str">
            <v>Мясо охл</v>
          </cell>
          <cell r="F662" t="str">
            <v>ОПФ Нарезные</v>
          </cell>
          <cell r="G662" t="str">
            <v>СТМ</v>
          </cell>
          <cell r="H662" t="str">
            <v>ОМПК (Г)</v>
          </cell>
          <cell r="I662" t="str">
            <v>ТУ 10.13.14-151-00425283-2018</v>
          </cell>
          <cell r="J662" t="str">
            <v>Полуфабрикат охлажденный из свинины мелкокусковой бескостный мясной категории А.</v>
          </cell>
          <cell r="K662" t="str">
            <v>свинина</v>
          </cell>
          <cell r="L662">
            <v>21</v>
          </cell>
          <cell r="M662">
            <v>7</v>
          </cell>
          <cell r="O662" t="str">
            <v>147/616</v>
          </cell>
          <cell r="P662" t="str">
            <v>0…+4</v>
          </cell>
          <cell r="Q662">
            <v>12</v>
          </cell>
        </row>
        <row r="663">
          <cell r="B663">
            <v>1003355906997</v>
          </cell>
          <cell r="C663" t="str">
            <v>КОЛБАСКИ ПО-ФИНСКИ мгс 0.29кг 4шт.охл.</v>
          </cell>
          <cell r="D663" t="str">
            <v>ШТ</v>
          </cell>
          <cell r="E663" t="str">
            <v>Мясо охл</v>
          </cell>
          <cell r="F663" t="str">
            <v>ОПФ Шашлыки Маринады</v>
          </cell>
          <cell r="G663" t="str">
            <v>Останкино</v>
          </cell>
          <cell r="H663" t="str">
            <v>ОМПК (Г)</v>
          </cell>
          <cell r="I663" t="str">
            <v>ТУ 10.13.14-152-00425283-2018</v>
          </cell>
          <cell r="J663" t="str">
            <v>Полуфабрикат мясной рубленый охлажденный категории Б.</v>
          </cell>
          <cell r="K663" t="str">
            <v>свинина (в т.ч.диафрагма), вода, животный белок говяжий, соль, сухой уксус, регуляторы кислотности: цитраты натрия, трифосфаты; стабилизатор полифосфаты, пряности (в т.ч. петрушка), сахара, горчица, усилитель вкуса и аромата глутамат натрия, антиокислители: аскорбиновая кислота, экстракты розмарина; ароматизаторы, маринад: лук маринованный (вода, соль), сахар, усилитель вкуса и аромата Е621, экстракт дрожжей, пряности (орегано, перец красный чили, куркума), чеснок сушеный, загустители: Е1414, Е415; овощи сушеные, экстракт чеснока, соль, цедра лимона сушеная, регулятор кислотности Е330, экстракт сельдерея, масло растительное (оливковое)</v>
          </cell>
          <cell r="L663">
            <v>13</v>
          </cell>
          <cell r="M663">
            <v>16</v>
          </cell>
          <cell r="O663" t="str">
            <v>196/813</v>
          </cell>
          <cell r="P663" t="str">
            <v>0…+4</v>
          </cell>
          <cell r="Q663">
            <v>12</v>
          </cell>
        </row>
        <row r="664">
          <cell r="B664">
            <v>1003171625567</v>
          </cell>
          <cell r="C664" t="str">
            <v>РУЛЬКА СВИНАЯ в/у охл_Х5</v>
          </cell>
          <cell r="D664" t="str">
            <v>КГ</v>
          </cell>
          <cell r="E664" t="str">
            <v>Мясо охл</v>
          </cell>
          <cell r="F664" t="str">
            <v>ОПФ Кусковые</v>
          </cell>
          <cell r="G664" t="str">
            <v>Останкино</v>
          </cell>
          <cell r="H664" t="str">
            <v>ОМПК (Г)</v>
          </cell>
          <cell r="I664" t="str">
            <v>ТУ 10.13.14-151-00425283-2018</v>
          </cell>
          <cell r="J664" t="str">
            <v>Полуфабрикат охлажденный из свинины крупнокусковой мясокостный категории Б.</v>
          </cell>
          <cell r="K664" t="str">
            <v>свинина на кости</v>
          </cell>
          <cell r="L664">
            <v>20</v>
          </cell>
          <cell r="M664">
            <v>15</v>
          </cell>
          <cell r="O664" t="str">
            <v>215/895</v>
          </cell>
          <cell r="P664" t="str">
            <v>0…+4</v>
          </cell>
          <cell r="Q664">
            <v>17</v>
          </cell>
        </row>
        <row r="665">
          <cell r="B665">
            <v>1003171504725</v>
          </cell>
          <cell r="C665" t="str">
            <v>КУПАТЫ НЮРНБЕРГСКИЕ мгс 0.4кг 6шт.охл.</v>
          </cell>
          <cell r="D665" t="str">
            <v>ШТ</v>
          </cell>
          <cell r="E665" t="str">
            <v>Мясо охл</v>
          </cell>
          <cell r="F665" t="str">
            <v>ОПФ Купаты Чевапчичи</v>
          </cell>
          <cell r="G665" t="str">
            <v>Останкино</v>
          </cell>
          <cell r="H665" t="str">
            <v>ОМПК (Г)</v>
          </cell>
          <cell r="I665" t="str">
            <v>ТУ 10.13.14-151-00425283-2025</v>
          </cell>
          <cell r="J665" t="str">
            <v>Мясной полуфабрикат рубленый формованный охлажденный категории Б.</v>
          </cell>
          <cell r="K665" t="str">
            <v>свинина, загуститель (альгинат натрия), уплотнитель (хлорид кальция), вода питьевая, соль, регулятор кислотности (молочная кислота), стабилизатор (гуаровая камедь), пряности, уксус сухой, сахар, усилитель вкуса и аромата (глутамат натрия), ароматизаторы</v>
          </cell>
          <cell r="L665">
            <v>16</v>
          </cell>
          <cell r="M665">
            <v>22</v>
          </cell>
          <cell r="N665">
            <v>1</v>
          </cell>
          <cell r="O665" t="str">
            <v>266/1103</v>
          </cell>
          <cell r="P665" t="str">
            <v>0…+4</v>
          </cell>
          <cell r="Q665">
            <v>17</v>
          </cell>
        </row>
        <row r="666">
          <cell r="B666">
            <v>1003171506849</v>
          </cell>
          <cell r="C666" t="str">
            <v>КУПАТЫ НЮРНБЕРГСКИЕ мгс 0.4кг охл_ФМ/СТМ</v>
          </cell>
          <cell r="D666" t="str">
            <v>ШТ</v>
          </cell>
          <cell r="E666" t="str">
            <v>Мясо охл</v>
          </cell>
          <cell r="F666" t="str">
            <v>ОПФ Купаты Чевапчичи</v>
          </cell>
          <cell r="G666" t="str">
            <v>СТМ</v>
          </cell>
          <cell r="H666" t="str">
            <v>ОМПК (Г)</v>
          </cell>
          <cell r="I666" t="str">
            <v>ТУ 10.13.14-152-00425283-2018</v>
          </cell>
          <cell r="J666" t="str">
            <v>Полуфабрикат мясной рубленый охлажденный категории Б.</v>
          </cell>
          <cell r="K666" t="str">
            <v>свинина, вода питьевая, соль, пряности, сахар, регулятор кислотности молочная кислота, усилитель вкуса и аромата глутамат натрия 1-замещенный, загуститель гуаровая камедь, ароматизаторы, сухой уксус, антиокислитель экстракт розмарина</v>
          </cell>
          <cell r="L666">
            <v>15</v>
          </cell>
          <cell r="M666">
            <v>20</v>
          </cell>
          <cell r="O666" t="str">
            <v>240/995</v>
          </cell>
          <cell r="P666" t="str">
            <v>0…+4</v>
          </cell>
          <cell r="Q666">
            <v>12</v>
          </cell>
        </row>
        <row r="667">
          <cell r="B667">
            <v>1003174565855</v>
          </cell>
          <cell r="C667" t="str">
            <v>КОРЕЕЧКА ПО-ФИНСКИ мгс охл.</v>
          </cell>
          <cell r="D667" t="str">
            <v>КГ</v>
          </cell>
          <cell r="E667" t="str">
            <v>Мясо охл</v>
          </cell>
          <cell r="F667" t="str">
            <v>ОПФ Шашлыки Маринады</v>
          </cell>
          <cell r="G667" t="str">
            <v>Останкино</v>
          </cell>
          <cell r="H667" t="str">
            <v>ОМПК (Г)</v>
          </cell>
          <cell r="I667" t="str">
            <v>ТУ 10.13.14-151-00425283-2018</v>
          </cell>
          <cell r="J667" t="str">
            <v>Полуфабрикат охлажденный из свинины крупнокусковой бескостный мясной категории А.</v>
          </cell>
          <cell r="K667" t="str">
            <v>свинина, комплексные пищевые добавки (регуляторы кислотности: пирофосфат натрия, цитрат натрия, карбонат натрия, молочная кислота, лактат кальция; стабилизаторы: камеди (гуаровая,  ксантановая), каррагинан, Е1442; сахар, пряности и экстракты пряностей, соль,  растительное масло,  экстракт дрожжей, ароматизаторы)</v>
          </cell>
          <cell r="L667">
            <v>15</v>
          </cell>
          <cell r="M667">
            <v>14</v>
          </cell>
          <cell r="O667" t="str">
            <v>186/773</v>
          </cell>
          <cell r="P667" t="str">
            <v>0…+4</v>
          </cell>
          <cell r="Q667">
            <v>12</v>
          </cell>
        </row>
        <row r="668">
          <cell r="B668">
            <v>1003174565921</v>
          </cell>
          <cell r="C668" t="str">
            <v>КОРЕЕЧКА ПО-ФИНСКИ мгс охл_Л</v>
          </cell>
          <cell r="D668" t="str">
            <v>КГ</v>
          </cell>
          <cell r="E668" t="str">
            <v>Мясо охл</v>
          </cell>
          <cell r="F668" t="str">
            <v>ОПФ Шашлыки Маринады</v>
          </cell>
          <cell r="G668" t="str">
            <v>Останкино</v>
          </cell>
          <cell r="H668" t="str">
            <v>ОМПК (Г)</v>
          </cell>
          <cell r="I668" t="str">
            <v>ТУ 10.13.14-151-00425283-2018</v>
          </cell>
          <cell r="J668" t="str">
            <v>Полуфабрикат охлажденный из свинины крупнокусковой бескостный мясной категории А.</v>
          </cell>
          <cell r="K668" t="str">
            <v>свинина, комплексные пищевые добавки (регуляторы кислотности: пирофосфат натрия, цитрат натрия, карбонат натрия, молочная кислота, лактат кальция; стабилизаторы: камеди (гуаровая,  ксантановая), каррагинан, Е1442; сахар, пряности и экстракты пряностей, соль,  растительное масло,  экстракт дрожжей, ароматизаторы)</v>
          </cell>
          <cell r="L668">
            <v>15</v>
          </cell>
          <cell r="M668">
            <v>14</v>
          </cell>
          <cell r="O668" t="str">
            <v>186/773</v>
          </cell>
          <cell r="P668" t="str">
            <v>0…+4</v>
          </cell>
          <cell r="Q668">
            <v>12</v>
          </cell>
        </row>
        <row r="669">
          <cell r="B669">
            <v>1003175086171</v>
          </cell>
          <cell r="C669" t="str">
            <v>МЕДАЛЬОНЫ ИЗ СВ.ВЫРЕЗ.В МАРИНАДЕ мгс охл</v>
          </cell>
          <cell r="D669" t="str">
            <v>КГ</v>
          </cell>
          <cell r="E669" t="str">
            <v>Мясо охл</v>
          </cell>
          <cell r="F669" t="str">
            <v>ОПФ Шашлыки Маринады</v>
          </cell>
          <cell r="G669" t="str">
            <v>Останкино</v>
          </cell>
          <cell r="H669" t="str">
            <v>ОМПК (Г)</v>
          </cell>
          <cell r="I669" t="str">
            <v>ТУ 10.13.14-151-00425283-2025</v>
          </cell>
          <cell r="J669" t="str">
            <v>Мясной полуфабрикат бескостный мелкокусковой маринованный охлажденный из свинины категории А.</v>
          </cell>
          <cell r="K669" t="str">
            <v>свинина, лук репчатый свежий, вода питьевая, сахар, пряности, экстракты пряностей, овощи сушеные (чеснок, томаты, паприка, перец красный, лук, перец черный, орегано), масло подсолнечное рафинированное дезодорированное, соль, уксус пищевой, крахмал картофельный, загуститель (ксантановая камедь), антиокислитель (лимонная кислота), усилитель вкуса и аромата (глутамат натрия), ароматизаторы</v>
          </cell>
          <cell r="L669">
            <v>20</v>
          </cell>
          <cell r="M669">
            <v>5</v>
          </cell>
          <cell r="N669">
            <v>1</v>
          </cell>
          <cell r="O669" t="str">
            <v>129/542</v>
          </cell>
          <cell r="P669" t="str">
            <v>0…+4</v>
          </cell>
          <cell r="Q669">
            <v>12</v>
          </cell>
        </row>
        <row r="670">
          <cell r="B670">
            <v>1003175086230</v>
          </cell>
          <cell r="C670" t="str">
            <v>МЕДАЛЬОНЫ ИЗ СВ.ВЫР.В МАРИНАДЕ мгс охл М</v>
          </cell>
          <cell r="D670" t="str">
            <v>КГ</v>
          </cell>
          <cell r="E670" t="str">
            <v>Мясо охл</v>
          </cell>
          <cell r="F670" t="str">
            <v>ОПФ Шашлыки Маринады</v>
          </cell>
          <cell r="G670" t="str">
            <v>Останкино</v>
          </cell>
          <cell r="H670" t="str">
            <v>ОМПК (Г)</v>
          </cell>
          <cell r="I670" t="str">
            <v>ТУ 10.13.14-151-00425283-2025</v>
          </cell>
          <cell r="J670" t="str">
            <v>Мясной полуфабрикат бескостный мелкокусковой маринованный охлажденный из свинины категории А.</v>
          </cell>
          <cell r="K670" t="str">
            <v>свинина, лук репчатый свежий, вода питьевая, сахар, пряности, экстракты пряностей, овощи сушеные (чеснок, томаты, паприка, перец красный, лук, перец черный, орегано), масло подсолнечное рафинированное дезодорированное, соль, уксус пищевой, крахмал картофельный, загуститель (ксантановая камедь), антиокислитель (лимонная кислота), усилитель вкуса и аромата (глутамат натрия), ароматизаторы</v>
          </cell>
          <cell r="L670">
            <v>20</v>
          </cell>
          <cell r="M670">
            <v>5</v>
          </cell>
          <cell r="N670">
            <v>1</v>
          </cell>
          <cell r="O670" t="str">
            <v>129/542</v>
          </cell>
          <cell r="P670" t="str">
            <v>0…+4</v>
          </cell>
          <cell r="Q670">
            <v>12</v>
          </cell>
        </row>
        <row r="671">
          <cell r="B671">
            <v>1003175136198</v>
          </cell>
          <cell r="C671" t="str">
            <v>ОКОРОК РОЖДЕСТВЕНСКИЙ мгс охл.</v>
          </cell>
          <cell r="D671" t="str">
            <v>КГ</v>
          </cell>
          <cell r="E671" t="str">
            <v>Мясо охл</v>
          </cell>
          <cell r="F671" t="str">
            <v>ОПФ Шашлыки Маринады</v>
          </cell>
          <cell r="G671" t="str">
            <v>Останкино</v>
          </cell>
          <cell r="H671" t="str">
            <v>ОМПК (Г)</v>
          </cell>
          <cell r="I671" t="str">
            <v>ТУ 10.13.14-151-00425283-2018</v>
          </cell>
          <cell r="J671" t="str">
            <v>Полуфабрикат охлажденный из свинины крупнокусковой бескостный мясной категории Б.</v>
          </cell>
          <cell r="K671" t="str">
            <v>свинина, вода, регуляторы кислотности: пирофосфаты, цитраты натрия, карбонаты натрия; загустители: дикрахмалфосфат ацетилированный, ксантановая камедь, каррагинан; стабилизатор полифосфаты; овощи сушеные (чеснок, паприка), экстракт дрожжей, сахар, мальтодекстрин, вишня сушеная, соль, специи и экстракты специй (перец красный, перец душистый, гвоздика, паприка), экстракт свеклы, порошок лимона, ароматизатор</v>
          </cell>
          <cell r="L671">
            <v>15</v>
          </cell>
          <cell r="M671">
            <v>14</v>
          </cell>
          <cell r="O671" t="str">
            <v>186/773</v>
          </cell>
          <cell r="P671" t="str">
            <v>0…+4</v>
          </cell>
          <cell r="Q671">
            <v>12</v>
          </cell>
        </row>
        <row r="672">
          <cell r="B672">
            <v>1003173544959</v>
          </cell>
          <cell r="C672" t="str">
            <v>СВИНИНА ПРАЗДНИЧНАЯ мгс охл.</v>
          </cell>
          <cell r="D672" t="str">
            <v>КГ</v>
          </cell>
          <cell r="E672" t="str">
            <v>Мясо охл</v>
          </cell>
          <cell r="F672" t="str">
            <v>ОПФ Шашлыки Маринады</v>
          </cell>
          <cell r="G672" t="str">
            <v>Останкино</v>
          </cell>
          <cell r="H672" t="str">
            <v>ОМПК (Г)</v>
          </cell>
          <cell r="I672" t="str">
            <v>ТУ 10.13.14-151-00425283-2018</v>
          </cell>
          <cell r="J672" t="str">
            <v>Полуфабрикат охлажденный из свинины крупнокусковой бескостный мясной категории А.</v>
          </cell>
          <cell r="K672" t="str">
            <v>свинина, вода, комплексные пищевые добавки (специи и экстракты специй, брусника, чеснок, ароматизатор, регуляторы кислотности: пирофосфаты, цитраты натрия, карбонаты натрия, лимонная кислота; усилитель вкуса и аромата Е621, глюкозный сироп, крахмал картофельный, загустители: Е407, ксантановая камедь); соль</v>
          </cell>
          <cell r="L672">
            <v>17</v>
          </cell>
          <cell r="M672">
            <v>11</v>
          </cell>
          <cell r="O672" t="str">
            <v>167/696</v>
          </cell>
          <cell r="P672" t="str">
            <v>0…+4</v>
          </cell>
          <cell r="Q672">
            <v>12</v>
          </cell>
        </row>
        <row r="673">
          <cell r="B673">
            <v>1003173546199</v>
          </cell>
          <cell r="C673" t="str">
            <v>СВИНИНА ПРАЗДНИЧНАЯ мгс охл_А</v>
          </cell>
          <cell r="D673" t="str">
            <v>КГ</v>
          </cell>
          <cell r="E673" t="str">
            <v>Мясо охл</v>
          </cell>
          <cell r="F673" t="str">
            <v>ОПФ Шашлыки Маринады</v>
          </cell>
          <cell r="G673" t="str">
            <v>Останкино</v>
          </cell>
          <cell r="H673" t="str">
            <v>ОМПК (Г)</v>
          </cell>
          <cell r="I673" t="str">
            <v>ТУ 10.13.14-151-00425283-2018</v>
          </cell>
          <cell r="J673" t="str">
            <v>Полуфабрикат охлажденный из свинины крупнокусковой бескостный мясной категории А.</v>
          </cell>
          <cell r="K673" t="str">
            <v>свинина, вода, комплексные пищевые добавки (специи и экстракты специй, брусника, чеснок, ароматизатор, регуляторы кислотности: пирофосфаты, цитраты натрия, карбонаты натрия, лимонная кислота; усилитель вкуса и аромата Е621, глюкозный сироп, крахмал картофельный, загустители: Е407, ксантановая камедь); соль</v>
          </cell>
          <cell r="L673">
            <v>17</v>
          </cell>
          <cell r="M673">
            <v>11</v>
          </cell>
          <cell r="O673" t="str">
            <v>167/696</v>
          </cell>
          <cell r="P673" t="str">
            <v>0…+4</v>
          </cell>
          <cell r="Q673">
            <v>12</v>
          </cell>
        </row>
        <row r="674">
          <cell r="B674">
            <v>1003173545857</v>
          </cell>
          <cell r="C674" t="str">
            <v>СВИНИНА ПРАЗДНИЧНАЯ мгс охл_ФМ</v>
          </cell>
          <cell r="D674" t="str">
            <v>КГ</v>
          </cell>
          <cell r="E674" t="str">
            <v>Мясо охл</v>
          </cell>
          <cell r="F674" t="str">
            <v>ОПФ Шашлыки Маринады</v>
          </cell>
          <cell r="G674" t="str">
            <v>Останкино</v>
          </cell>
          <cell r="H674" t="str">
            <v>ОМПК (Г)</v>
          </cell>
          <cell r="I674" t="str">
            <v>ТУ 10.13.14-151-00425283-2018</v>
          </cell>
          <cell r="J674" t="str">
            <v>Полуфабрикат охлажденный из свинины крупнокусковой бескостный мясной категории А.</v>
          </cell>
          <cell r="K674" t="str">
            <v>свинина, вода, комплексные пищевые добавки (специи и экстракты специй, брусника, чеснок, ароматизатор, регуляторы кислотности: пирофосфаты, цитраты натрия, карбонаты натрия, лимонная кислота; усилитель вкуса и аромата Е621, глюкозный сироп, крахмал картофельный, загустители: Е407, ксантановая камедь); соль</v>
          </cell>
          <cell r="L674">
            <v>17</v>
          </cell>
          <cell r="M674">
            <v>11</v>
          </cell>
          <cell r="O674" t="str">
            <v>167/696</v>
          </cell>
          <cell r="P674" t="str">
            <v>0…+4</v>
          </cell>
          <cell r="Q674">
            <v>12</v>
          </cell>
        </row>
        <row r="675">
          <cell r="B675">
            <v>1003171725665</v>
          </cell>
          <cell r="C675" t="str">
            <v>ШАШЛЫК С БАЗИЛИКОМ мгс охл.</v>
          </cell>
          <cell r="D675" t="str">
            <v>КГ</v>
          </cell>
          <cell r="E675" t="str">
            <v>Мясо охл</v>
          </cell>
          <cell r="F675" t="str">
            <v>ОПФ Шашлыки Маринады</v>
          </cell>
          <cell r="G675" t="str">
            <v>Останкино</v>
          </cell>
          <cell r="H675" t="str">
            <v>ОМПК (Г)</v>
          </cell>
          <cell r="I675" t="str">
            <v>ТУ 10.13.14-151-00425283-2018</v>
          </cell>
          <cell r="J675" t="str">
            <v>Полуфабрикат охлажденный из свинины мелкокусковой бескостный мясной категории А.</v>
          </cell>
          <cell r="K675" t="str">
            <v>свинина, вода питьевая, масло растительное рафинированное дезодорированное, лук маринованный (лук репчатый свежий, вода питьевая, соль, регулятор кислотности (лимонная кислота)), лимон свежий, соль, уксус сухой, антиокислитель (экстракт розмарина), перец черный молотый, базилик сушеный</v>
          </cell>
          <cell r="L675">
            <v>16</v>
          </cell>
          <cell r="M675">
            <v>13</v>
          </cell>
          <cell r="O675" t="str">
            <v>181/753</v>
          </cell>
          <cell r="P675" t="str">
            <v>0…+4</v>
          </cell>
          <cell r="Q675">
            <v>12</v>
          </cell>
        </row>
        <row r="676">
          <cell r="B676">
            <v>1003171726514</v>
          </cell>
          <cell r="C676" t="str">
            <v>ШАШЛЫК С БАЗИЛИКОМ мгс охл_Ашан</v>
          </cell>
          <cell r="D676" t="str">
            <v>КГ</v>
          </cell>
          <cell r="E676" t="str">
            <v>Мясо охл</v>
          </cell>
          <cell r="F676" t="str">
            <v>ОПФ Шашлыки Маринады</v>
          </cell>
          <cell r="G676" t="str">
            <v>Останкино</v>
          </cell>
          <cell r="H676" t="str">
            <v>ОМПК (Г)</v>
          </cell>
          <cell r="I676" t="str">
            <v>ТУ 10.13.14-151-00425283-2018</v>
          </cell>
          <cell r="J676" t="str">
            <v>Полуфабрикат охлажденный из свинины мелкокусковой бескостный мясной категории А.</v>
          </cell>
          <cell r="K676" t="str">
            <v>свинина, вода питьевая, масло растительное рафинированное дезодорированное, лук маринованный (лук репчатый свежий, вода питьевая, соль, регулятор кислотности (лимонная кислота)), лимон свежий, соль, уксус сухой, антиокислитель (экстракт розмарина), перец черный молотый, базилик сушеный</v>
          </cell>
          <cell r="L676">
            <v>16</v>
          </cell>
          <cell r="M676">
            <v>13</v>
          </cell>
          <cell r="O676" t="str">
            <v>181/753</v>
          </cell>
          <cell r="P676" t="str">
            <v>0…+4</v>
          </cell>
          <cell r="Q676">
            <v>12</v>
          </cell>
        </row>
        <row r="677">
          <cell r="B677">
            <v>1003171735534</v>
          </cell>
          <cell r="C677" t="str">
            <v>ШЕЙКА СВИНАЯ В БРУСН.МАРИНАДЕ мгс охл_М</v>
          </cell>
          <cell r="D677" t="str">
            <v>КГ</v>
          </cell>
          <cell r="E677" t="str">
            <v>Мясо охл</v>
          </cell>
          <cell r="F677" t="str">
            <v>ОПФ Шашлыки Маринады</v>
          </cell>
          <cell r="G677" t="str">
            <v>Останкино</v>
          </cell>
          <cell r="H677" t="str">
            <v>ОМПК (Г)</v>
          </cell>
          <cell r="I677" t="str">
            <v>ТУ 10.13.14-151-00425283-2018</v>
          </cell>
          <cell r="J677" t="str">
            <v>Полуфабрикат охлажденный из свинины крупнокусковой бескостный мясной категории Б.</v>
          </cell>
          <cell r="K677" t="str">
            <v>свинина, вода, соль, пряности и специи молотые (можжевельник, паприка, гвоздика), брусника, чеснок, сахар, регуляторы кислотности: пирофосфаты, цитраты натрия, карбонаты натрия, лимонная кислота; усилитель вкуса и аромата Е621, дрожжевой экстракт, загустители: дикрахмаладипат ацетилированный, ксантановая камедь, каррагинан; стабилизатор полифосфаты, уксус сухой, антиокислитель экстракты розмарина, ароматизаторы</v>
          </cell>
          <cell r="L677">
            <v>15</v>
          </cell>
          <cell r="M677">
            <v>18</v>
          </cell>
          <cell r="O677" t="str">
            <v>222/921</v>
          </cell>
          <cell r="P677" t="str">
            <v>0…+4</v>
          </cell>
          <cell r="Q677">
            <v>12</v>
          </cell>
        </row>
        <row r="678">
          <cell r="B678">
            <v>1003171524720</v>
          </cell>
          <cell r="C678" t="str">
            <v>КУПАТЫ АССОРТИ мгс охл.</v>
          </cell>
          <cell r="D678" t="str">
            <v>КГ</v>
          </cell>
          <cell r="E678" t="str">
            <v>Мясо охл</v>
          </cell>
          <cell r="F678" t="str">
            <v>ОПФ Купаты Чевапчичи</v>
          </cell>
          <cell r="G678" t="str">
            <v>Останкино</v>
          </cell>
          <cell r="H678" t="str">
            <v>ОМПК (Г)</v>
          </cell>
          <cell r="I678" t="str">
            <v>ТУ 10.13.14-151-00425283-2025</v>
          </cell>
          <cell r="J678" t="str">
            <v>Мясной полуфабрикат рубленый формованный охлажденный категории В.</v>
          </cell>
          <cell r="K678" t="str">
            <v xml:space="preserve">Состав: 1) Купаты Мясные для жарки и гриля: 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 кислотности (трифосфаты),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антиокислитель (аскорбиновая кислота), усилитель вкуса и аромата (глутамат натрия), ароматизаторы (в т.ч. молоко). 2) Купаты Нюрнбергские: свинина, загуститель (альгинат натрия), уплотнитель (хлорид кальция), вода питьевая, соль, регулятор кислотности (молочная кислота), стабилизатор (гуаровая камедь), пряности, уксус сухой, сахар, усилитель вкуса и аромата (глутамат натрия), ароматизаторы. 3) Колбаски-гриль Мясной микс с говядиной: свинина, говядина, вода питьевая, белок животный (говяжий), загуститель (альгинат натрия), уплотнитель (хлорид кальция), соль, регуляторы кислотности (пирофосфаты, трифосфаты), пряности, экстракты пряностей, сахар, уксус сухой, антиокислитель (аскорбиновая кислота), усилитель вкуса и аромата (глутамат натрия). </v>
          </cell>
          <cell r="L678" t="str">
            <v xml:space="preserve">1) 14
2) 16
3) 14  </v>
          </cell>
          <cell r="M678" t="str">
            <v>1) 25
2) 22
3) 20</v>
          </cell>
          <cell r="N678" t="str">
            <v>1) 1
2) 1
3) 1</v>
          </cell>
          <cell r="O678" t="str">
            <v>1) 285/1180
2) 266/1103
3) 240/995</v>
          </cell>
          <cell r="P678" t="str">
            <v>0…+4</v>
          </cell>
          <cell r="Q678">
            <v>17</v>
          </cell>
        </row>
        <row r="679">
          <cell r="B679">
            <v>1003171526516</v>
          </cell>
          <cell r="C679" t="str">
            <v>КУПАТЫ АССОРТИ мгс охл_Ашан</v>
          </cell>
          <cell r="D679" t="str">
            <v>КГ</v>
          </cell>
          <cell r="E679" t="str">
            <v>Мясо охл</v>
          </cell>
          <cell r="F679" t="str">
            <v>ОПФ Купаты Чевапчичи</v>
          </cell>
          <cell r="G679" t="str">
            <v>Останкино</v>
          </cell>
          <cell r="H679" t="str">
            <v>ОМПК (Г)</v>
          </cell>
          <cell r="I679" t="str">
            <v>ТУ 10.13.14-151-00425283-2025</v>
          </cell>
          <cell r="J679" t="str">
            <v>Мясной полуфабрикат рубленый формованный охлажденный категории В.</v>
          </cell>
          <cell r="K679" t="str">
            <v xml:space="preserve">Состав: 1) Купаты Мясные для жарки и гриля: 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 кислотности (трифосфаты),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антиокислитель (аскорбиновая кислота), усилитель вкуса и аромата (глутамат натрия), ароматизаторы (в т.ч. молоко). 2) Купаты Нюрнбергские: свинина, загуститель (альгинат натрия), уплотнитель (хлорид кальция), вода питьевая, соль, регулятор кислотности (молочная кислота), стабилизатор (гуаровая камедь), пряности, уксус сухой, сахар, усилитель вкуса и аромата (глутамат натрия), ароматизаторы. 3) Колбаски-гриль Мясной микс с говядиной: свинина, говядина, вода питьевая, белок животный (говяжий), загуститель (альгинат натрия), уплотнитель (хлорид кальция), соль, регуляторы кислотности (пирофосфаты, трифосфаты), пряности, экстракты пряностей, сахар, уксус сухой, антиокислитель (аскорбиновая кислота), усилитель вкуса и аромата (глутамат натрия). </v>
          </cell>
          <cell r="L679" t="str">
            <v xml:space="preserve">1) 14
2) 16
3) 14  </v>
          </cell>
          <cell r="M679" t="str">
            <v>1) 25
2) 22
3) 20</v>
          </cell>
          <cell r="N679" t="str">
            <v>1) 1
2) 1
3) 1</v>
          </cell>
          <cell r="O679" t="str">
            <v>1) 285/1180
2) 266/1103
3) 240/995</v>
          </cell>
          <cell r="P679" t="str">
            <v>0…+4</v>
          </cell>
          <cell r="Q679">
            <v>17</v>
          </cell>
        </row>
        <row r="680">
          <cell r="B680">
            <v>1003171524721</v>
          </cell>
          <cell r="C680" t="str">
            <v>КУПАТЫ АССОРТИ мгс охл_Л</v>
          </cell>
          <cell r="D680" t="str">
            <v>КГ</v>
          </cell>
          <cell r="E680" t="str">
            <v>Мясо охл</v>
          </cell>
          <cell r="F680" t="str">
            <v>ОПФ Купаты Чевапчичи</v>
          </cell>
          <cell r="G680" t="str">
            <v>Останкино</v>
          </cell>
          <cell r="H680" t="str">
            <v>ОМПК (Г)</v>
          </cell>
          <cell r="I680" t="str">
            <v>ТУ 10.13.14-151-00425283-2025</v>
          </cell>
          <cell r="J680" t="str">
            <v>Мясной полуфабрикат рубленый формованный охлажденный категории В.</v>
          </cell>
          <cell r="K680" t="str">
            <v xml:space="preserve">Состав: 1) Купаты Мясные для жарки и гриля: 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 кислотности (трифосфаты),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антиокислитель (аскорбиновая кислота), усилитель вкуса и аромата (глутамат натрия), ароматизаторы (в т.ч. молоко). 2) Купаты Нюрнбергские: свинина, загуститель (альгинат натрия), уплотнитель (хлорид кальция), вода питьевая, соль, регулятор кислотности (молочная кислота), стабилизатор (гуаровая камедь), пряности, уксус сухой, сахар, усилитель вкуса и аромата (глутамат натрия), ароматизаторы. 3) Колбаски-гриль Мясной микс с говядиной: свинина, говядина, вода питьевая, белок животный (говяжий), загуститель (альгинат натрия), уплотнитель (хлорид кальция), соль, регуляторы кислотности (пирофосфаты, трифосфаты), пряности, экстракты пряностей, сахар, уксус сухой, антиокислитель (аскорбиновая кислота), усилитель вкуса и аромата (глутамат натрия). </v>
          </cell>
          <cell r="L680" t="str">
            <v xml:space="preserve">1) 14
2) 16
3) 14  </v>
          </cell>
          <cell r="M680" t="str">
            <v>1) 25
2) 22
3) 20</v>
          </cell>
          <cell r="N680" t="str">
            <v>1) 1
2) 1
3) 1</v>
          </cell>
          <cell r="O680" t="str">
            <v>1) 285/1180
2) 266/1103
3) 240/995</v>
          </cell>
          <cell r="P680" t="str">
            <v>0…+4</v>
          </cell>
          <cell r="Q680">
            <v>17</v>
          </cell>
        </row>
        <row r="681">
          <cell r="B681">
            <v>1003171526167</v>
          </cell>
          <cell r="C681" t="str">
            <v>КУПАТЫ АССОРТИ мгс охл_Х5</v>
          </cell>
          <cell r="D681" t="str">
            <v>КГ</v>
          </cell>
          <cell r="E681" t="str">
            <v>Мясо охл</v>
          </cell>
          <cell r="F681" t="str">
            <v>ОПФ Купаты Чевапчичи</v>
          </cell>
          <cell r="G681" t="str">
            <v>Останкино</v>
          </cell>
          <cell r="H681" t="str">
            <v>ОМПК (Г)</v>
          </cell>
          <cell r="I681" t="str">
            <v>ТУ 10.13.14-151-00425283-2025</v>
          </cell>
          <cell r="J681" t="str">
            <v>Мясной полуфабрикат рубленый формованный охлажденный категории В.</v>
          </cell>
          <cell r="K681" t="str">
            <v xml:space="preserve">Состав: 1) Купаты Мясные для жарки и гриля: 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 кислотности (трифосфаты),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антиокислитель (аскорбиновая кислота), усилитель вкуса и аромата (глутамат натрия), ароматизаторы (в т.ч. молоко). 2) Купаты Нюрнбергские: свинина, загуститель (альгинат натрия), уплотнитель (хлорид кальция), вода питьевая, соль, регулятор кислотности (молочная кислота), стабилизатор (гуаровая камедь), пряности, уксус сухой, сахар, усилитель вкуса и аромата (глутамат натрия), ароматизаторы. 3) Колбаски-гриль Мясной микс с говядиной: свинина, говядина, вода питьевая, белок животный (говяжий), загуститель (альгинат натрия), уплотнитель (хлорид кальция), соль, регуляторы кислотности (пирофосфаты, трифосфаты), пряности, экстракты пряностей, сахар, уксус сухой, антиокислитель (аскорбиновая кислота), усилитель вкуса и аромата (глутамат натрия). </v>
          </cell>
          <cell r="L681" t="str">
            <v xml:space="preserve">1) 14
2) 16
3) 14  </v>
          </cell>
          <cell r="M681" t="str">
            <v>1) 25
2) 22
3) 20</v>
          </cell>
          <cell r="N681" t="str">
            <v>1) 1
2) 1
3) 1</v>
          </cell>
          <cell r="O681" t="str">
            <v>1) 285/1180
2) 266/1103
3) 240/995</v>
          </cell>
          <cell r="P681" t="str">
            <v>0…+4</v>
          </cell>
          <cell r="Q681">
            <v>17</v>
          </cell>
        </row>
        <row r="682">
          <cell r="B682">
            <v>1003171674866</v>
          </cell>
          <cell r="C682" t="str">
            <v>ФАРШ ГОВЯЖИЙ мгс 0.4кг 4шт.охл.</v>
          </cell>
          <cell r="D682" t="str">
            <v>ШТ</v>
          </cell>
          <cell r="E682" t="str">
            <v>Мясо охл</v>
          </cell>
          <cell r="F682" t="str">
            <v>ОПФ Фарши</v>
          </cell>
          <cell r="G682" t="str">
            <v>Останкино</v>
          </cell>
          <cell r="H682" t="str">
            <v>ОМПК (Г)</v>
          </cell>
          <cell r="I682" t="str">
            <v>ТУ 10.13.14-151-00425283-2025</v>
          </cell>
          <cell r="J682" t="str">
            <v>Мясной полуфабрикат рубленый охлажденный категории Б.</v>
          </cell>
          <cell r="K682" t="str">
            <v>говядина, вода питьевая, белок животный (говяжий), регуляторы кислотности (ацетаты натрия, цитраты натрия), мальтодекстрин, антиокислители (аскорбиновая кислота, L-, лимонная кислота), экстракт свеклы, ароматизатор</v>
          </cell>
          <cell r="L682">
            <v>12</v>
          </cell>
          <cell r="M682">
            <v>17</v>
          </cell>
          <cell r="N682">
            <v>0</v>
          </cell>
          <cell r="O682" t="str">
            <v>201/833</v>
          </cell>
          <cell r="P682" t="str">
            <v>0…+4</v>
          </cell>
          <cell r="Q682">
            <v>14</v>
          </cell>
        </row>
        <row r="683">
          <cell r="B683">
            <v>1003171674867</v>
          </cell>
          <cell r="C683" t="str">
            <v>ФАРШ ГОВЯЖИЙ мгс 0.4кг 4шт.охл_Х5(СТМ)</v>
          </cell>
          <cell r="D683" t="str">
            <v>ШТ</v>
          </cell>
          <cell r="E683" t="str">
            <v>Мясо охл</v>
          </cell>
          <cell r="F683" t="str">
            <v>ОПФ Фарши</v>
          </cell>
          <cell r="G683" t="str">
            <v>СТМ</v>
          </cell>
          <cell r="H683" t="str">
            <v>ОМПК (Г)</v>
          </cell>
          <cell r="I683" t="str">
            <v>ТУ 10.13.14-151-00425283-2018</v>
          </cell>
          <cell r="J683" t="str">
            <v>Полуфабрикат мясной рубленый охлажденный категории Б.</v>
          </cell>
          <cell r="K683" t="str">
            <v>рецептура 2. Говядина, вода, животный белок, регуляторы кислотности: ацетаты натрия, цитраты натрия; антиокислители: аскорбиновая кислота, лимонная кислота; сок красной свеклы, ароматизатор</v>
          </cell>
          <cell r="L683">
            <v>12</v>
          </cell>
          <cell r="M683">
            <v>17</v>
          </cell>
          <cell r="O683" t="str">
            <v>201/833</v>
          </cell>
          <cell r="P683" t="str">
            <v>0…+4</v>
          </cell>
          <cell r="Q683">
            <v>12</v>
          </cell>
        </row>
        <row r="684">
          <cell r="B684">
            <v>1003174005466</v>
          </cell>
          <cell r="C684" t="str">
            <v>ФАРШ ДЛЯ КОТЛЕТ мгс 0.4кг 4шт.охл.</v>
          </cell>
          <cell r="D684" t="str">
            <v>ШТ</v>
          </cell>
          <cell r="E684" t="str">
            <v>Мясо охл</v>
          </cell>
          <cell r="F684" t="str">
            <v>ОПФ Фарши</v>
          </cell>
          <cell r="G684" t="str">
            <v>Останкино</v>
          </cell>
          <cell r="H684" t="str">
            <v>ОМПК (Г)</v>
          </cell>
          <cell r="I684" t="str">
            <v>ТУ 10.13.14-151-00425283-2025</v>
          </cell>
          <cell r="J684" t="str">
            <v>Мясной полуфабрикат рубленый охлажденный категории Б.</v>
          </cell>
          <cell r="K684" t="str">
            <v>свинина (в т.ч. субпродукт мясной обработанный (диафрагма)), белок животный (говяжий), говядина, регулятор кислотности (цитраты натрия), антиокислители (аскорбиновая кислота, лимонная кислота, экстракты розмарина), краситель (бетанин)</v>
          </cell>
          <cell r="L684">
            <v>11</v>
          </cell>
          <cell r="M684">
            <v>21</v>
          </cell>
          <cell r="N684">
            <v>0</v>
          </cell>
          <cell r="O684" t="str">
            <v>233/964</v>
          </cell>
          <cell r="P684" t="str">
            <v>0…+4</v>
          </cell>
          <cell r="Q684">
            <v>14</v>
          </cell>
        </row>
        <row r="685">
          <cell r="B685">
            <v>1003171685765</v>
          </cell>
          <cell r="C685" t="str">
            <v>ФАРШ ДОМАШНИЙ мгс 0.4кг 4шт.охл.</v>
          </cell>
          <cell r="D685" t="str">
            <v>ШТ</v>
          </cell>
          <cell r="E685" t="str">
            <v>Мясо охл</v>
          </cell>
          <cell r="F685" t="str">
            <v>ОПФ Фарши</v>
          </cell>
          <cell r="G685" t="str">
            <v>Останкино</v>
          </cell>
          <cell r="H685" t="str">
            <v>ОМПК (Г)</v>
          </cell>
          <cell r="I685" t="str">
            <v>ТУ 10.13.14-151-00425283-2025</v>
          </cell>
          <cell r="J685" t="str">
            <v>Полуфабрикат мясной рубленый охлажденный категории Б.</v>
          </cell>
          <cell r="K685" t="str">
            <v>свинина, говядина, вода питьевая, белок животный (говяжий), регулятор кислотности (цитраты натрия), антиокислители (лимонная кислота, экстракты розмарина), краситель (бетанин)</v>
          </cell>
          <cell r="L685">
            <v>13</v>
          </cell>
          <cell r="M685">
            <v>21</v>
          </cell>
          <cell r="N685">
            <v>0</v>
          </cell>
          <cell r="O685" t="str">
            <v>241/998</v>
          </cell>
          <cell r="P685" t="str">
            <v>0…+4</v>
          </cell>
          <cell r="Q685">
            <v>14</v>
          </cell>
        </row>
        <row r="686">
          <cell r="B686">
            <v>1003171685333</v>
          </cell>
          <cell r="C686" t="str">
            <v>ФАРШ ДОМАШНИЙ мгс 0.4кг 4шт.охл_Т</v>
          </cell>
          <cell r="D686" t="str">
            <v>ШТ</v>
          </cell>
          <cell r="E686" t="str">
            <v>Мясо охл</v>
          </cell>
          <cell r="F686" t="str">
            <v>ОПФ Фарши</v>
          </cell>
          <cell r="G686" t="str">
            <v>Останкино</v>
          </cell>
          <cell r="H686" t="str">
            <v>ОМПК (Г)</v>
          </cell>
          <cell r="I686" t="str">
            <v>ТУ 10.13.14-151-00425283-2025</v>
          </cell>
          <cell r="J686" t="str">
            <v>Полуфабрикат мясной рубленый охлажденный категории Б.</v>
          </cell>
          <cell r="K686" t="str">
            <v>свинина, говядина, вода питьевая, белок животный (говяжий), регулятор кислотности (цитраты натрия), антиокислители (лимонная кислота, экстракты розмарина), краситель (бетанин)</v>
          </cell>
          <cell r="L686">
            <v>13</v>
          </cell>
          <cell r="M686">
            <v>21</v>
          </cell>
          <cell r="N686">
            <v>0</v>
          </cell>
          <cell r="O686" t="str">
            <v>241/998</v>
          </cell>
          <cell r="P686" t="str">
            <v>0…+4</v>
          </cell>
          <cell r="Q686">
            <v>14</v>
          </cell>
        </row>
        <row r="687">
          <cell r="B687">
            <v>1003171684871</v>
          </cell>
          <cell r="C687" t="str">
            <v>ФАРШ ДОМАШНИЙ мгс 0.4кг 4шт.охл_Х5(СТМ)</v>
          </cell>
          <cell r="D687" t="str">
            <v>ШТ</v>
          </cell>
          <cell r="E687" t="str">
            <v>Мясо охл</v>
          </cell>
          <cell r="F687" t="str">
            <v>ОПФ Фарши</v>
          </cell>
          <cell r="G687" t="str">
            <v>СТМ</v>
          </cell>
          <cell r="H687" t="str">
            <v>ОМПК (Г)</v>
          </cell>
          <cell r="I687" t="str">
            <v>ТУ 10.13.14-151-00425283-2018</v>
          </cell>
          <cell r="J687" t="str">
            <v>Полуфабрикат мясной рубленый охлажденный категории Б.</v>
          </cell>
          <cell r="K687" t="str">
            <v>рецептура 2. Свинина, говядина, вода, животный белок, регуляторы кислотности: ацетаты натрия и цитраты натрия; антиокислители: аскорбиновая кислота, лимонная кислота; сок красной свеклы, ароматизатор</v>
          </cell>
          <cell r="L687">
            <v>13</v>
          </cell>
          <cell r="M687">
            <v>25</v>
          </cell>
          <cell r="O687" t="str">
            <v>277/1146</v>
          </cell>
          <cell r="P687" t="str">
            <v>0…+4</v>
          </cell>
          <cell r="Q687">
            <v>12</v>
          </cell>
        </row>
        <row r="688">
          <cell r="B688">
            <v>1003171684874</v>
          </cell>
          <cell r="C688" t="str">
            <v>ФАРШ ДОМАШНИЙ мгс 1кг 4шт.охл.</v>
          </cell>
          <cell r="D688" t="str">
            <v>ШТ</v>
          </cell>
          <cell r="E688" t="str">
            <v>Мясо охл</v>
          </cell>
          <cell r="F688" t="str">
            <v>ОПФ Фарши</v>
          </cell>
          <cell r="G688" t="str">
            <v>Останкино</v>
          </cell>
          <cell r="H688" t="str">
            <v>ОМПК (Г)</v>
          </cell>
          <cell r="I688" t="str">
            <v>ТУ 10.13.14-151-00425283-2025</v>
          </cell>
          <cell r="J688" t="str">
            <v>Полуфабрикат мясной рубленый охлажденный категории Б.</v>
          </cell>
          <cell r="K688" t="str">
            <v>свинина, говядина, вода питьевая, белок животный (говяжий), регулятор кислотности (цитраты натрия), антиокислители (лимонная кислота, экстракты розмарина), краситель (бетанин)</v>
          </cell>
          <cell r="L688">
            <v>13</v>
          </cell>
          <cell r="M688">
            <v>21</v>
          </cell>
          <cell r="N688">
            <v>0</v>
          </cell>
          <cell r="O688" t="str">
            <v>241/998</v>
          </cell>
          <cell r="P688" t="str">
            <v>0…+4</v>
          </cell>
          <cell r="Q688">
            <v>14</v>
          </cell>
        </row>
        <row r="689">
          <cell r="B689">
            <v>1003173995633</v>
          </cell>
          <cell r="C689" t="str">
            <v>ФАРШ КЛАССИЧЕСКИЙ мгс 0.4кг 4шт.охл.</v>
          </cell>
          <cell r="D689" t="str">
            <v>ШТ</v>
          </cell>
          <cell r="E689" t="str">
            <v>Мясо охл</v>
          </cell>
          <cell r="F689" t="str">
            <v>ОПФ Фарши</v>
          </cell>
          <cell r="G689" t="str">
            <v>Останкино</v>
          </cell>
          <cell r="H689" t="str">
            <v>ОМПК (Г)</v>
          </cell>
          <cell r="I689" t="str">
            <v>ТУ 10.13.14-151-00425283-2025</v>
          </cell>
          <cell r="J689" t="str">
            <v>Мясной полуфабрикат рубленый охлажденный категории Б.</v>
          </cell>
          <cell r="K689" t="str">
            <v>свинина (в т.ч. субпродукт мясной обработанный (диафрагма)), белок животный (говяжий), говядина, регуляторы кислотности (ацетаты натрия, цитраты натрия), сок красной свеклы, антиокислители (аскорбиновая кислота, лимонная кислота, экстракты розмарина)</v>
          </cell>
          <cell r="L689">
            <v>11</v>
          </cell>
          <cell r="M689">
            <v>21</v>
          </cell>
          <cell r="N689">
            <v>0</v>
          </cell>
          <cell r="O689" t="str">
            <v>233/964</v>
          </cell>
          <cell r="P689" t="str">
            <v>0…+4</v>
          </cell>
          <cell r="Q689">
            <v>14</v>
          </cell>
        </row>
        <row r="690">
          <cell r="B690">
            <v>1003173996552</v>
          </cell>
          <cell r="C690" t="str">
            <v>ФАРШ КЛАССИЧЕСКИЙ мгс 0.7кг 4шт.охл.</v>
          </cell>
          <cell r="D690" t="str">
            <v>ШТ</v>
          </cell>
          <cell r="E690" t="str">
            <v>Мясо охл</v>
          </cell>
          <cell r="F690" t="str">
            <v>ОПФ Фарши</v>
          </cell>
          <cell r="G690" t="str">
            <v>Останкино</v>
          </cell>
          <cell r="H690" t="str">
            <v>ОМПК (Г)</v>
          </cell>
          <cell r="I690" t="str">
            <v>ТУ 10.13.14-151-00425283-2025</v>
          </cell>
          <cell r="J690" t="str">
            <v>Мясной полуфабрикат рубленый охлажденный категории Б.</v>
          </cell>
          <cell r="K690" t="str">
            <v>свинина (в т.ч. субпродукт мясной обработанный (диафрагма)), белок животный (говяжий), говядина, регуляторы кислотности (ацетаты натрия, цитраты натрия), сок красной свеклы, антиокислители (аскорбиновая кислота, лимонная кислота, экстракты розмарина)</v>
          </cell>
          <cell r="L690">
            <v>11</v>
          </cell>
          <cell r="M690">
            <v>21</v>
          </cell>
          <cell r="N690">
            <v>0</v>
          </cell>
          <cell r="O690" t="str">
            <v>233/964</v>
          </cell>
          <cell r="P690" t="str">
            <v>0…+4</v>
          </cell>
          <cell r="Q690">
            <v>14</v>
          </cell>
        </row>
        <row r="691">
          <cell r="B691">
            <v>1003173995465</v>
          </cell>
          <cell r="C691" t="str">
            <v>ФАРШ ПО-ДОМАШНЕМУ мгс 0.4кг 4шт.охл.</v>
          </cell>
          <cell r="D691" t="str">
            <v>ШТ</v>
          </cell>
          <cell r="E691" t="str">
            <v>Мясо охл</v>
          </cell>
          <cell r="F691" t="str">
            <v>ОПФ Фарши</v>
          </cell>
          <cell r="G691" t="str">
            <v>Останкино</v>
          </cell>
          <cell r="H691" t="str">
            <v>ОМПК (Г)</v>
          </cell>
          <cell r="I691" t="str">
            <v>ТУ 10.13.14-151-00425283-2025</v>
          </cell>
          <cell r="J691" t="str">
            <v>Мясной полуфабрикат рубленый охлажденный категории Б.</v>
          </cell>
          <cell r="K691" t="str">
            <v>свинина (в т.ч. субпродукт мясной обработанный (диафрагма)), белок животный (говяжий), говядина, регулятор кислотности (цитраты натрия), антиокислители (аскорбиновая кислота, лимонная кислота, экстракты розмарина), краситель бетанин</v>
          </cell>
          <cell r="L691">
            <v>11</v>
          </cell>
          <cell r="M691">
            <v>21</v>
          </cell>
          <cell r="N691">
            <v>0</v>
          </cell>
          <cell r="O691" t="str">
            <v>233/964</v>
          </cell>
          <cell r="P691" t="str">
            <v>0…+4</v>
          </cell>
          <cell r="Q691">
            <v>14</v>
          </cell>
        </row>
        <row r="692">
          <cell r="B692">
            <v>1003343997270</v>
          </cell>
          <cell r="C692" t="str">
            <v>ФАРШ ПО-ДОМАШНЕМУ мгс 0.4кг 4шт.охл_Т</v>
          </cell>
          <cell r="D692" t="str">
            <v>ШТ</v>
          </cell>
          <cell r="E692" t="str">
            <v>Мясо охл</v>
          </cell>
          <cell r="F692" t="str">
            <v>ОПФ Фарши</v>
          </cell>
          <cell r="G692" t="str">
            <v>Останкино</v>
          </cell>
          <cell r="H692" t="str">
            <v>ОМПК (Г)</v>
          </cell>
          <cell r="I692" t="str">
            <v>ТУ 10.13.14-151-00425283-2025</v>
          </cell>
          <cell r="J692" t="str">
            <v>Мясной полуфабрикат рубленый охлажденный категории Б.</v>
          </cell>
          <cell r="K692" t="str">
            <v>свинина (в т.ч. субпродукт мясной обработанный (диафрагма)), белок животный (говяжий), говядина, регулятор кислотности (цитраты натрия), антиокислители (аскорбиновая кислота, лимонная кислота, экстракты розмарина), краситель бетанин</v>
          </cell>
          <cell r="L692">
            <v>11</v>
          </cell>
          <cell r="M692">
            <v>21</v>
          </cell>
          <cell r="N692">
            <v>0</v>
          </cell>
          <cell r="O692" t="str">
            <v>233/964</v>
          </cell>
          <cell r="P692" t="str">
            <v>0…+4</v>
          </cell>
          <cell r="Q692">
            <v>14</v>
          </cell>
        </row>
        <row r="693">
          <cell r="B693">
            <v>1003341706938</v>
          </cell>
          <cell r="C693" t="str">
            <v>ФАРШ ИЗ СВИНИНЫ СМОЛЕНСКИЙ мгс 0.3кг охл</v>
          </cell>
          <cell r="D693" t="str">
            <v>ШТ</v>
          </cell>
          <cell r="E693" t="str">
            <v>Мясо охл</v>
          </cell>
          <cell r="F693" t="str">
            <v>ОПФ Фарши</v>
          </cell>
          <cell r="G693" t="str">
            <v>Останкино</v>
          </cell>
          <cell r="H693" t="str">
            <v>ОМПК (Г)</v>
          </cell>
          <cell r="I693" t="str">
            <v>ТУ 10.13.14-151-00425283-2018</v>
          </cell>
          <cell r="J693" t="str">
            <v>Полуфабрикат мясной рубленый охлажденный категории В.</v>
          </cell>
          <cell r="K693" t="str">
            <v>свинина (в т.ч.диафрагма), вода, белок животный говяжий, регуляторы кислотности: трифосфаты, цитраты натрия, ацетаты натрия; антиокислители: аскорбиновая кислота, экстракты розмарина</v>
          </cell>
          <cell r="L693">
            <v>11</v>
          </cell>
          <cell r="M693">
            <v>20</v>
          </cell>
          <cell r="O693" t="str">
            <v>219/907</v>
          </cell>
          <cell r="P693" t="str">
            <v>0…+4</v>
          </cell>
          <cell r="Q693">
            <v>12</v>
          </cell>
        </row>
        <row r="694">
          <cell r="B694">
            <v>1003341707274</v>
          </cell>
          <cell r="C694" t="str">
            <v>ФАРШ ИЗ СВИНИНЫ СМОЛ.мгс 0.3 охл_Т</v>
          </cell>
          <cell r="D694" t="str">
            <v>ШТ</v>
          </cell>
          <cell r="E694" t="str">
            <v>Мясо охл</v>
          </cell>
          <cell r="F694" t="str">
            <v>ОПФ Фарши</v>
          </cell>
          <cell r="G694" t="str">
            <v>Папа может</v>
          </cell>
          <cell r="H694" t="str">
            <v>ОМПК (Г)</v>
          </cell>
          <cell r="I694" t="str">
            <v>ТУ 10.13.14-151-00425283-2025</v>
          </cell>
          <cell r="J694" t="str">
            <v>Мясной полуфабрикат рубленый охлажденный категории В.</v>
          </cell>
          <cell r="K694" t="str">
            <v>свинина (в т.ч.диафрагма), вода, белок животный говяжий, регуляторы кислотности: трифосфаты, цитраты натрия, ацетаты натрия; антиокислители: аскорбиновая кислота, экстракты розмарина</v>
          </cell>
          <cell r="L694">
            <v>11</v>
          </cell>
          <cell r="M694">
            <v>20</v>
          </cell>
          <cell r="O694" t="str">
            <v>219/907</v>
          </cell>
          <cell r="P694" t="str">
            <v>0…+4</v>
          </cell>
          <cell r="Q694">
            <v>14</v>
          </cell>
        </row>
        <row r="695">
          <cell r="B695">
            <v>1003171706433</v>
          </cell>
          <cell r="C695" t="str">
            <v>ФАРШ СВИНОЙ мгс 0.4кг 4шт.охл_Х5/СТМ_12с</v>
          </cell>
          <cell r="D695" t="str">
            <v>ШТ</v>
          </cell>
          <cell r="E695" t="str">
            <v>Мясо охл</v>
          </cell>
          <cell r="F695" t="str">
            <v>ОПФ Фарши</v>
          </cell>
          <cell r="G695" t="str">
            <v>СТМ</v>
          </cell>
          <cell r="H695" t="str">
            <v>ОМПК (Г)</v>
          </cell>
          <cell r="I695" t="str">
            <v>ТУ 10.13.14-151-00425283-2018</v>
          </cell>
          <cell r="J695" t="str">
            <v>Полуфабрикат мясной рубленый охлажденный категории Б.</v>
          </cell>
          <cell r="K695" t="str">
            <v>свинина, вода, животный белок, регуляторы кислотности: ацетаты натрия, цитраты натрия; антиокислитель аскорбиновая кислота (L-), ароматизатор</v>
          </cell>
          <cell r="L695">
            <v>13</v>
          </cell>
          <cell r="M695">
            <v>20</v>
          </cell>
          <cell r="O695" t="str">
            <v>224/927</v>
          </cell>
          <cell r="P695" t="str">
            <v>0…+4</v>
          </cell>
          <cell r="Q695">
            <v>12</v>
          </cell>
        </row>
        <row r="696">
          <cell r="B696">
            <v>1003171706261</v>
          </cell>
          <cell r="C696" t="str">
            <v>ФАРШ СВИНОЙ мгс 0.3кг охл_Х5/СТМ Гастр-м</v>
          </cell>
          <cell r="D696" t="str">
            <v>ШТ</v>
          </cell>
          <cell r="E696" t="str">
            <v>Мясо охл</v>
          </cell>
          <cell r="F696" t="str">
            <v>ОПФ Фарши</v>
          </cell>
          <cell r="G696" t="str">
            <v>СТМ</v>
          </cell>
          <cell r="H696" t="str">
            <v>ОМПК (Г)</v>
          </cell>
          <cell r="I696" t="str">
            <v>ТУ 10.13.14-151-00425283-2018</v>
          </cell>
          <cell r="J696" t="str">
            <v>Полуфабрикат мясной рубленый охлажденный категории В.</v>
          </cell>
          <cell r="K696" t="str">
            <v>свинина (в т.ч. диафрагма), животный белок свиной, вода, регуляторы кислотности: ацетаты натрия, цитраты натрия; антиокислитель аскорбиновая кислота, ароматизатор</v>
          </cell>
          <cell r="L696">
            <v>12</v>
          </cell>
          <cell r="M696">
            <v>19</v>
          </cell>
          <cell r="O696" t="str">
            <v>219/907</v>
          </cell>
          <cell r="P696" t="str">
            <v>0…+4</v>
          </cell>
          <cell r="Q696">
            <v>12</v>
          </cell>
        </row>
        <row r="697">
          <cell r="B697">
            <v>1003171706735</v>
          </cell>
          <cell r="C697" t="str">
            <v>ФАРШ СВИНОЙ мгс 0.7кг 4шт.охл.</v>
          </cell>
          <cell r="D697" t="str">
            <v>ШТ</v>
          </cell>
          <cell r="E697" t="str">
            <v>Мясо охл</v>
          </cell>
          <cell r="F697" t="str">
            <v>ОПФ Фарши</v>
          </cell>
          <cell r="G697" t="str">
            <v>Останкино</v>
          </cell>
          <cell r="H697" t="str">
            <v>ОМПК (Г)</v>
          </cell>
          <cell r="I697" t="str">
            <v>ТУ 10.13.14-151-00425283-2018</v>
          </cell>
          <cell r="J697" t="str">
            <v>Полуфабрикат мясной рубленый охлажденный категории В.</v>
          </cell>
          <cell r="K697" t="str">
            <v>свинина (в т.ч.диафрагма), вода, белок животный говяжий, регуляторы кислотности: трифосфаты, цитраты натрия, ацетаты натрия; антиокислители: аскорбиновая кислота, экстракты розмарина</v>
          </cell>
          <cell r="L697">
            <v>11</v>
          </cell>
          <cell r="M697">
            <v>20</v>
          </cell>
          <cell r="O697" t="str">
            <v>224/927</v>
          </cell>
          <cell r="P697" t="str">
            <v>0…+4</v>
          </cell>
          <cell r="Q697">
            <v>12</v>
          </cell>
        </row>
        <row r="698">
          <cell r="B698">
            <v>1003341707606</v>
          </cell>
          <cell r="C698" t="str">
            <v>ФАРШ СВИНОЙ Папа может мгс 0.7кг 4шт.охл</v>
          </cell>
          <cell r="D698" t="str">
            <v>ШТ</v>
          </cell>
          <cell r="E698" t="str">
            <v>Мясо охл</v>
          </cell>
          <cell r="F698" t="str">
            <v>ОПФ Фарши</v>
          </cell>
          <cell r="G698" t="str">
            <v>Папа может</v>
          </cell>
          <cell r="H698" t="str">
            <v>ОМПК (Г)</v>
          </cell>
          <cell r="I698" t="str">
            <v>ТУ 10.13.14-151-00425283-2025</v>
          </cell>
          <cell r="J698" t="str">
            <v>Мясной полуфабрикат рубленый охлажденный категории В.</v>
          </cell>
          <cell r="K698" t="str">
            <v>свинина (в т.ч. субпродукт мясной обработанный (диафрагма)), вода питьевая, белок животный (говяжий), регуляторы кислотности (трифосфаты, цитраты натрия), антиокислители (аскорбиновая кислота, экстракты розмарина)</v>
          </cell>
          <cell r="L698">
            <v>11</v>
          </cell>
          <cell r="M698">
            <v>20</v>
          </cell>
          <cell r="N698">
            <v>0</v>
          </cell>
          <cell r="O698" t="str">
            <v>224/927</v>
          </cell>
          <cell r="P698" t="str">
            <v>0…+4</v>
          </cell>
          <cell r="Q698">
            <v>14</v>
          </cell>
        </row>
        <row r="699">
          <cell r="B699">
            <v>1003173284780</v>
          </cell>
          <cell r="C699" t="str">
            <v>ЧЕВАПЧИЧИ СЕРБСКИЕ мгс 0.3кг 4шт.охл.</v>
          </cell>
          <cell r="D699" t="str">
            <v>ШТ</v>
          </cell>
          <cell r="E699" t="str">
            <v>Мясо охл</v>
          </cell>
          <cell r="F699" t="str">
            <v>ОПФ Купаты Чевапчичи</v>
          </cell>
          <cell r="G699" t="str">
            <v>Останкино</v>
          </cell>
          <cell r="H699" t="str">
            <v>ОМПК (Г)</v>
          </cell>
          <cell r="I699" t="str">
            <v>ТУ 10.13.14-151-00425283-2025</v>
          </cell>
          <cell r="J699" t="str">
            <v>Мясной полуфабрикатрубленый формованный охлажденный категории Б.</v>
          </cell>
          <cell r="K699" t="str">
            <v>свинина, вода питьевая, говядина, белок животный (говяжий), лук белый сушеный, соль, пряности (в т.ч. сельдерей), экстракты пряностей, сахар, антиокислитель (лимонная кислота), усилитель вкуса и аромата (глутамат натрия), ароматизатор, уксус сухой, красители (кармины, бетанин)</v>
          </cell>
          <cell r="L699">
            <v>13</v>
          </cell>
          <cell r="M699">
            <v>15</v>
          </cell>
          <cell r="N699">
            <v>1</v>
          </cell>
          <cell r="O699" t="str">
            <v>191/793</v>
          </cell>
          <cell r="P699" t="str">
            <v>0…+4</v>
          </cell>
          <cell r="Q699">
            <v>12</v>
          </cell>
        </row>
        <row r="700">
          <cell r="B700">
            <v>1003337187454</v>
          </cell>
          <cell r="C700" t="str">
            <v>КУПАТЫ БАРБЕКЮ ПМ мгс 1/320 4шт. охл.</v>
          </cell>
          <cell r="D700" t="str">
            <v>ШТ</v>
          </cell>
          <cell r="E700" t="str">
            <v>Мясо охл</v>
          </cell>
          <cell r="F700" t="str">
            <v>ОПФ Купаты Чевапчичи</v>
          </cell>
          <cell r="G700" t="str">
            <v>Папа может</v>
          </cell>
          <cell r="H700" t="str">
            <v>ОМПК (Г)</v>
          </cell>
          <cell r="I700" t="str">
            <v>ТУ 10.13.14-151-00425283-2025</v>
          </cell>
          <cell r="J700" t="str">
            <v>Мясной полуфабрикат рубленый формованный охлажденный категории Б.</v>
          </cell>
          <cell r="K700" t="str">
            <v>свинина, вода питьевая, соль, белок животный (говяжий), загустители (альгинат натрия, гуаровая камедь, ксантановая камедь), уплотнитель (хлорид кальция), овощи сушеные, пряности, экстракты пряностей, сахар, уксус сухой столовый, усилитель вкуса и аромата (глутамат натрия), антиокислители (экстракты розмарина, лимонная кислота)</v>
          </cell>
          <cell r="L700">
            <v>14</v>
          </cell>
          <cell r="M700">
            <v>23</v>
          </cell>
          <cell r="N700">
            <v>1</v>
          </cell>
          <cell r="O700" t="str">
            <v>267/1106</v>
          </cell>
          <cell r="P700" t="str">
            <v>0…+4</v>
          </cell>
          <cell r="Q700">
            <v>17</v>
          </cell>
        </row>
        <row r="701">
          <cell r="B701">
            <v>1003337197455</v>
          </cell>
          <cell r="C701" t="str">
            <v>КУПАТЫ БАЛКАНСКИЕ ПМ мгс 1/320 4шт. охл.</v>
          </cell>
          <cell r="D701" t="str">
            <v>ШТ</v>
          </cell>
          <cell r="E701" t="str">
            <v>Мясо охл</v>
          </cell>
          <cell r="F701" t="str">
            <v>ОПФ Купаты Чевапчичи</v>
          </cell>
          <cell r="G701" t="str">
            <v>Папа может</v>
          </cell>
          <cell r="H701" t="str">
            <v>ОМПК (Г)</v>
          </cell>
          <cell r="I701" t="str">
            <v>ТУ 10.13.14-151-00425283-2025</v>
          </cell>
          <cell r="J701" t="str">
            <v>Мясной полуфабрикат рубленый формованный охлажденный категории Б.</v>
          </cell>
          <cell r="K701" t="str">
            <v>свинина, вода питьевая, соль, белок животный (говяжий), загустители (альгинат натрия, ксантановая камедь, гуаровая камедь), уплотнитель (хлорид кальция), овощи сушеные, пряности, экстракты пряностей, уксус сухой столовый, усилитель вкуса и аромата (глутамат натрия), крахмал картофельный, антиокислители (экстракты розмарина, лимонная кислота)</v>
          </cell>
          <cell r="L701">
            <v>14</v>
          </cell>
          <cell r="M701">
            <v>24</v>
          </cell>
          <cell r="N701">
            <v>1</v>
          </cell>
          <cell r="O701" t="str">
            <v>276/1143</v>
          </cell>
          <cell r="P701" t="str">
            <v>0…+4</v>
          </cell>
          <cell r="Q701">
            <v>17</v>
          </cell>
        </row>
        <row r="702">
          <cell r="B702">
            <v>1003337167453</v>
          </cell>
          <cell r="C702" t="str">
            <v>КУПАТЫ ГРУЗИНСК.Останкино мгс 0.4кг охл.</v>
          </cell>
          <cell r="D702" t="str">
            <v>ШТ</v>
          </cell>
          <cell r="E702" t="str">
            <v>Мясо охл</v>
          </cell>
          <cell r="F702" t="str">
            <v>ОПФ Купаты Чевапчичи</v>
          </cell>
          <cell r="G702" t="str">
            <v>Останкино</v>
          </cell>
          <cell r="H702" t="str">
            <v>ОМПК (Г)</v>
          </cell>
          <cell r="I702" t="str">
            <v>ТУ 10.13.14-151-00425283-2025</v>
          </cell>
          <cell r="J702" t="str">
            <v>Мясной полуфабрикат рубленый формованный охлажденный категории Б.</v>
          </cell>
          <cell r="K702" t="str">
            <v>свинина, вода питьевая, соль, белок животный (говяжий), стабилизаторы (альгинат натрия, ксантановая камедь, гуаровая камедь), уплотнитель (хлорид кальция), овощи сушеные (чеснок, лук, томаты, петрушка), пряности (перец красный молотый, пажитник молотый, паприка, кумин, майоран сушеный), экстракты пряностей (перец красный, чеснок, паприка), регулятор кислотности (лимонная кислота), уксус сухой столовый, антиокислитель (экстракты розмарина), крахмал картофельный, усилитель вкуса и аромата (глутамат натрия)</v>
          </cell>
          <cell r="L702">
            <v>14</v>
          </cell>
          <cell r="M702">
            <v>24</v>
          </cell>
          <cell r="N702">
            <v>1</v>
          </cell>
          <cell r="O702" t="str">
            <v>276/1143</v>
          </cell>
          <cell r="P702" t="str">
            <v>0…+4</v>
          </cell>
          <cell r="Q702">
            <v>17</v>
          </cell>
        </row>
        <row r="703">
          <cell r="B703">
            <v>1003337157452</v>
          </cell>
          <cell r="C703" t="str">
            <v>КУПАТЫ ИТАЛ.С ТОМАТ.И ТРАВ.мгс 0.4кг охл</v>
          </cell>
          <cell r="D703" t="str">
            <v>ШТ</v>
          </cell>
          <cell r="E703" t="str">
            <v>Мясо охл</v>
          </cell>
          <cell r="F703" t="str">
            <v>ОПФ Купаты Чевапчичи</v>
          </cell>
          <cell r="G703" t="str">
            <v>Останкино</v>
          </cell>
          <cell r="H703" t="str">
            <v>ОМПК (Г)</v>
          </cell>
          <cell r="I703" t="str">
            <v>ТУ 10.13.14-151-00425283-2025</v>
          </cell>
          <cell r="J703" t="str">
            <v>Мясной полуфабрикат рубленый формованный охлажденный категории Б.</v>
          </cell>
          <cell r="K703" t="str">
            <v>свинина, вода питьевая, соль, белок животный (говяжий), загустители (альгинат натрия, ксантановая камедь), уплотнитель (хлорид кальция), овощи сушеные (томаты, лук), пряности (пажитник, кориандр, майоран, петрушка, укроп), экстракты пряностей (перец красный), сахар, уксус сухой столовый, регулятор кислотности (лимонная кислота), стабилизатор (гуаровая камедь), антиокислитель (экстракты розмарина), усилитель вкуса и аромата (глутамат натрия)</v>
          </cell>
          <cell r="L703">
            <v>14</v>
          </cell>
          <cell r="M703">
            <v>23</v>
          </cell>
          <cell r="N703">
            <v>1</v>
          </cell>
          <cell r="O703" t="str">
            <v>267/1106</v>
          </cell>
          <cell r="P703" t="str">
            <v>0…+4</v>
          </cell>
          <cell r="Q703">
            <v>17</v>
          </cell>
        </row>
        <row r="704">
          <cell r="B704">
            <v>1003337207451</v>
          </cell>
          <cell r="C704" t="str">
            <v>КУПАТЫ КЛАССИЧЕСКИЕ ПМ мгс 1/320 4шт.охл</v>
          </cell>
          <cell r="D704" t="str">
            <v>ШТ</v>
          </cell>
          <cell r="E704" t="str">
            <v>Мясо охл</v>
          </cell>
          <cell r="F704" t="str">
            <v>ОПФ Купаты Чевапчичи</v>
          </cell>
          <cell r="G704" t="str">
            <v>Папа может</v>
          </cell>
          <cell r="H704" t="str">
            <v>ОМПК (Г)</v>
          </cell>
          <cell r="I704" t="str">
            <v>ТУ 10.13.14-151-00425283-2025</v>
          </cell>
          <cell r="J704" t="str">
            <v>Мясной полуфабрикат рубленый формованный охлажденный категории В.</v>
          </cell>
          <cell r="K704" t="str">
            <v>свинина, говядина, вода питьевая, белок животный (говяжий), загуститель (альгинат натрия), уплотнитель (хлорид кальция), лук репчатый сушеный, соль, пряности, экстракты пряностей (в т.ч. сельдерей), уксус сухой столовый, усилитель вкуса и аромата (глутамат натрия), антиокислители (экстракты розмарина, лимонная кислота), ароматизатор, масло подсолнечное рафинированное дезодорированное, сахар, красители (кармины, бетанин)</v>
          </cell>
          <cell r="L704">
            <v>11</v>
          </cell>
          <cell r="M704">
            <v>16</v>
          </cell>
          <cell r="N704">
            <v>1</v>
          </cell>
          <cell r="O704" t="str">
            <v>192/796</v>
          </cell>
          <cell r="P704" t="str">
            <v>0…+4</v>
          </cell>
          <cell r="Q704">
            <v>17</v>
          </cell>
        </row>
        <row r="705">
          <cell r="B705">
            <v>1003174105584</v>
          </cell>
          <cell r="C705" t="str">
            <v>КУП.МЯСНЫЕ  Д/ЖАР.И ГРИЛЯ мгс 1/320 охл.</v>
          </cell>
          <cell r="D705" t="str">
            <v>ШТ</v>
          </cell>
          <cell r="E705" t="str">
            <v>Мясо охл</v>
          </cell>
          <cell r="F705" t="str">
            <v>ОПФ Купаты Чевапчичи</v>
          </cell>
          <cell r="G705" t="str">
            <v>Останкино</v>
          </cell>
          <cell r="H705" t="str">
            <v>ОМПК (Г)</v>
          </cell>
          <cell r="I705" t="str">
            <v>ТУ 10.13.14-151-00425283-2025</v>
          </cell>
          <cell r="J705" t="str">
            <v>Мясной полуфабрикат рубленый формованный охлажденный категории Б.</v>
          </cell>
          <cell r="K705" t="str">
            <v>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регуляторы кислотности (трифосфаты, цитраты натрия),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антиокислитель (аскорбиновая кислота), усилитель вкуса и аромата (глутамат натрия), ароматизаторы (в т.ч. молоко)</v>
          </cell>
          <cell r="L705">
            <v>13</v>
          </cell>
          <cell r="M705">
            <v>24</v>
          </cell>
          <cell r="N705">
            <v>1</v>
          </cell>
          <cell r="O705" t="str">
            <v>272/1126</v>
          </cell>
          <cell r="P705" t="str">
            <v>0…+4</v>
          </cell>
          <cell r="Q705">
            <v>17</v>
          </cell>
        </row>
        <row r="706">
          <cell r="B706">
            <v>1003334107265</v>
          </cell>
          <cell r="C706" t="str">
            <v>КУП.МЯСН.Д/ЖАР.И ГРИЛЯ мгс 1/400 охл/AN</v>
          </cell>
          <cell r="D706" t="str">
            <v>ШТ</v>
          </cell>
          <cell r="E706" t="str">
            <v>Мясо охл</v>
          </cell>
          <cell r="F706" t="str">
            <v>ОПФ Купаты Чевапчичи</v>
          </cell>
          <cell r="G706" t="str">
            <v>Останкино</v>
          </cell>
          <cell r="H706" t="str">
            <v>ОМПК (Г)</v>
          </cell>
          <cell r="I706" t="str">
            <v>ТУ 10.13.14-151-00425283-2025</v>
          </cell>
          <cell r="J706" t="str">
            <v>Мясной полуфабрикат рубленый формованный охлажденный категории Б.</v>
          </cell>
          <cell r="K706" t="str">
            <v>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регуляторы кислотности (цитраты, трифосфаты натрия),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антиокислитель (аскорбиновая кислота), усилитель вкуса и аромата (глутамат натрия), ароматизаторы (в т.ч. молоко)</v>
          </cell>
          <cell r="L706">
            <v>13</v>
          </cell>
          <cell r="M706">
            <v>24</v>
          </cell>
          <cell r="N706">
            <v>1</v>
          </cell>
          <cell r="O706" t="str">
            <v>272/1126</v>
          </cell>
          <cell r="P706" t="str">
            <v>0…+4</v>
          </cell>
          <cell r="Q706">
            <v>17</v>
          </cell>
        </row>
        <row r="707">
          <cell r="B707">
            <v>1003337177450</v>
          </cell>
          <cell r="C707" t="str">
            <v>КУПАТЫ ЭКСТРА Останкино мгс 0.4кг охл.</v>
          </cell>
          <cell r="D707" t="str">
            <v>ШТ</v>
          </cell>
          <cell r="E707" t="str">
            <v>Мясо охл</v>
          </cell>
          <cell r="F707" t="str">
            <v>ОПФ Купаты Чевапчичи</v>
          </cell>
          <cell r="G707" t="str">
            <v>Останкино</v>
          </cell>
          <cell r="H707" t="str">
            <v>ОМПК (Г)</v>
          </cell>
          <cell r="I707" t="str">
            <v>ТУ 10.13.14-151-00425283-2025</v>
          </cell>
          <cell r="J707" t="str">
            <v>Мясной полуфабрикат рубленый формованный охлажденный категории В.</v>
          </cell>
          <cell r="K707" t="str">
            <v>свинина, говядина, вода питьевая, белок животный (говяжий), загуститель (альгинат натрия), уплотнитель (хлорид кальция), лук репчатый сушеный, соль, регулятор кислотности (лимонная кислота), пряности и экстракты пряностей (сельдерей, перец черный молотый, орегано, кумин молотый, чеснок сушеный молотый, перец красный сладкий молотый), уксус сухой столовый, антиокислитель (экстракт розмарина), усилитель вкуса и аромата (глутамат натрия), сахар, ароматизатор, красители (кармины, бетанин)</v>
          </cell>
          <cell r="L707">
            <v>11</v>
          </cell>
          <cell r="M707">
            <v>16</v>
          </cell>
          <cell r="N707">
            <v>1</v>
          </cell>
          <cell r="O707" t="str">
            <v>192/796</v>
          </cell>
          <cell r="P707" t="str">
            <v>0…+4</v>
          </cell>
          <cell r="Q707">
            <v>17</v>
          </cell>
        </row>
        <row r="708">
          <cell r="B708">
            <v>1003173556851</v>
          </cell>
          <cell r="C708" t="str">
            <v>КОЛБАСКИ ДЛЯ ГРИЛЯ мгс 0.32кг 4шт.охл.</v>
          </cell>
          <cell r="D708" t="str">
            <v>ШТ</v>
          </cell>
          <cell r="E708" t="str">
            <v>Мясо охл</v>
          </cell>
          <cell r="F708" t="str">
            <v>ОПФ Купаты Чевапчичи</v>
          </cell>
          <cell r="G708" t="str">
            <v>Останкино</v>
          </cell>
          <cell r="H708" t="str">
            <v>ОМПК (Г)</v>
          </cell>
          <cell r="I708" t="str">
            <v>ТУ 10.13.14-152-00425283-2018</v>
          </cell>
          <cell r="J708" t="str">
            <v>Полуфабрикат мясной рубленый охлажденный категории Б.</v>
          </cell>
          <cell r="K708" t="str">
            <v>свинина, вода, соль, пряности, сахар, регулятор кислотности молочная кислота, усилитель вкуса и аромата глутамат натрия, загуститель гуаровая камедь, ароматизаторы, сухой уксус, антиокислитель экстракт розмарина</v>
          </cell>
          <cell r="L708">
            <v>15</v>
          </cell>
          <cell r="M708">
            <v>20</v>
          </cell>
          <cell r="O708" t="str">
            <v>240/995</v>
          </cell>
          <cell r="P708" t="str">
            <v>0…+4</v>
          </cell>
          <cell r="Q708">
            <v>14</v>
          </cell>
        </row>
        <row r="709">
          <cell r="B709">
            <v>1003173616884</v>
          </cell>
          <cell r="C709" t="str">
            <v>КОЛБАСКИ ДЛЯ ЖАРКИ мгс 0.4кг 4шт.охл.</v>
          </cell>
          <cell r="D709" t="str">
            <v>ШТ</v>
          </cell>
          <cell r="E709" t="str">
            <v>Мясо охл</v>
          </cell>
          <cell r="F709" t="str">
            <v>ОПФ Купаты Чевапчичи</v>
          </cell>
          <cell r="G709" t="str">
            <v>Коровино</v>
          </cell>
          <cell r="H709" t="str">
            <v>ОМПК (Г)</v>
          </cell>
          <cell r="I709" t="str">
            <v>ТУ 10.13.14-152-00425283-2018</v>
          </cell>
          <cell r="J709" t="str">
            <v>Полуфабрикат мясной рубленый охлажденный категории Б.</v>
          </cell>
          <cell r="K709" t="str">
            <v>свинина (в т.ч.диафрагма), вода, животный белок говяжий, соль, сухой уксус, регуляторы кислотности: цитраты натрия, трифосфаты; стабилизатор полифосфаты, пряности, сахар, горчица, усилитель вкуса и аромата глутамат натрия, антиокислители: аскорбиновая кислота,  экстракт розмарина; ароматизаторы</v>
          </cell>
          <cell r="L709">
            <v>15</v>
          </cell>
          <cell r="M709">
            <v>20</v>
          </cell>
          <cell r="O709" t="str">
            <v>240/995</v>
          </cell>
          <cell r="P709" t="str">
            <v>0…+4</v>
          </cell>
          <cell r="Q709">
            <v>12</v>
          </cell>
        </row>
        <row r="710">
          <cell r="B710">
            <v>1003172906850</v>
          </cell>
          <cell r="C710" t="str">
            <v>КУПАТЫ СОЧНЫЕ мгс 0.4кг охл_ФМ/СТМ</v>
          </cell>
          <cell r="D710" t="str">
            <v>ШТ</v>
          </cell>
          <cell r="E710" t="str">
            <v>Мясо охл</v>
          </cell>
          <cell r="F710" t="str">
            <v>ОПФ Купаты Чевапчичи</v>
          </cell>
          <cell r="G710" t="str">
            <v>СТМ</v>
          </cell>
          <cell r="H710" t="str">
            <v>ОМПК (Г)</v>
          </cell>
          <cell r="I710" t="str">
            <v>ТУ 10.13.14-152-00425283-2018</v>
          </cell>
          <cell r="J710" t="str">
            <v>Полуфабрикат мясной рубленый охлажденный категории В.</v>
          </cell>
          <cell r="K710" t="str">
            <v>свинина (в т.ч. диафрагма), вода питьевая, лук сушеный, соль, растительная клетчатка (содержит глютен), уксус столовый, регуляторы кислотности: трифосфаты, цитраты натрия; натуральные овощи, экстракт дрожжей, пряности и экстракты пряностей, сироп глюкозный, ароматизаторы, усилитель вкуса и аромата глутамат натрия 1-замещенный, антиокислитель экстракты розмарина</v>
          </cell>
          <cell r="L710">
            <v>10</v>
          </cell>
          <cell r="M710">
            <v>30</v>
          </cell>
          <cell r="O710" t="str">
            <v>310/1280</v>
          </cell>
          <cell r="P710" t="str">
            <v>0…+4</v>
          </cell>
          <cell r="Q710">
            <v>12</v>
          </cell>
        </row>
        <row r="711">
          <cell r="B711">
            <v>1003174025305</v>
          </cell>
          <cell r="C711" t="str">
            <v>КУПАТЫ ФИРМЕННЫЕ мгс 0.4*4 охл_Х5/СТМ</v>
          </cell>
          <cell r="D711" t="str">
            <v>ШТ</v>
          </cell>
          <cell r="E711" t="str">
            <v>Мясо охл</v>
          </cell>
          <cell r="F711" t="str">
            <v>ОПФ Купаты Чевапчичи</v>
          </cell>
          <cell r="G711" t="str">
            <v>СТМ</v>
          </cell>
          <cell r="H711" t="str">
            <v>ОМПК (Г)</v>
          </cell>
          <cell r="I711" t="str">
            <v>ТУ 10.13.14-151-00425283-2025</v>
          </cell>
          <cell r="J711" t="str">
            <v>Полуфабрикат мясной рубленый формованный охлажденный категории Б.</v>
          </cell>
          <cell r="K711" t="str">
            <v>свинина, белок животный (говяжий), вода питьевая, загуститель (альгинат натрия), уплотнитель (хлорид кальция), соль, пряности (перец черный молотый, перец белый молотый, петрушка сушеная, майоран, базилик сушеный, зира), сахар, горчица, уксус сухой, антиокислитель (экстракт розмарина), усилитель вкуса и аромата (глутамат натрия), ароматизаторы ( в т.ч. молоко)</v>
          </cell>
          <cell r="L711">
            <v>13</v>
          </cell>
          <cell r="M711">
            <v>23</v>
          </cell>
          <cell r="N711">
            <v>1</v>
          </cell>
          <cell r="O711" t="str">
            <v>263/1089</v>
          </cell>
          <cell r="P711" t="str">
            <v>0…+4</v>
          </cell>
          <cell r="Q711">
            <v>15</v>
          </cell>
        </row>
        <row r="712">
          <cell r="B712">
            <v>1003171355439</v>
          </cell>
          <cell r="C712" t="str">
            <v>ВЫРЕЗКА СВИНАЯ кр/к в/у охл.</v>
          </cell>
          <cell r="D712" t="str">
            <v>КГ</v>
          </cell>
          <cell r="E712" t="str">
            <v>Мясо охл</v>
          </cell>
          <cell r="F712" t="str">
            <v>ОПФ Кусковые</v>
          </cell>
          <cell r="G712" t="str">
            <v>Останкино</v>
          </cell>
          <cell r="H712" t="str">
            <v>ОМПК (Г)</v>
          </cell>
          <cell r="I712" t="str">
            <v>ТУ 10.13.14-151-00425283-2025</v>
          </cell>
          <cell r="J712" t="str">
            <v>Мясной полуфабрикат крупнокусковой бескостный охлажденный из свинины категории А</v>
          </cell>
          <cell r="K712" t="str">
            <v>свинина</v>
          </cell>
          <cell r="L712">
            <v>21</v>
          </cell>
          <cell r="M712">
            <v>5</v>
          </cell>
          <cell r="N712">
            <v>0</v>
          </cell>
          <cell r="O712" t="str">
            <v>129/542</v>
          </cell>
          <cell r="P712" t="str">
            <v>0…+4</v>
          </cell>
          <cell r="Q712">
            <v>21</v>
          </cell>
        </row>
        <row r="713">
          <cell r="B713">
            <v>1003171355350</v>
          </cell>
          <cell r="C713" t="str">
            <v>ВЫРЕЗКА СВИНАЯ кр/к в/у (1*2) охл_М</v>
          </cell>
          <cell r="D713" t="str">
            <v>КГ</v>
          </cell>
          <cell r="E713" t="str">
            <v>Мясо охл</v>
          </cell>
          <cell r="F713" t="str">
            <v>ОПФ Кусковые</v>
          </cell>
          <cell r="G713" t="str">
            <v>Останкино</v>
          </cell>
          <cell r="H713" t="str">
            <v>ОМПК (Г)</v>
          </cell>
          <cell r="I713" t="str">
            <v>ТУ 10.13.14-151-00425283-2025</v>
          </cell>
          <cell r="J713" t="str">
            <v>Мясной полуфабрикат крупнокусковой бескостный охлажденный из свинины категории А</v>
          </cell>
          <cell r="K713" t="str">
            <v>свинина</v>
          </cell>
          <cell r="L713">
            <v>21</v>
          </cell>
          <cell r="M713">
            <v>5</v>
          </cell>
          <cell r="N713">
            <v>0</v>
          </cell>
          <cell r="O713" t="str">
            <v>129/542</v>
          </cell>
          <cell r="P713" t="str">
            <v>0…+4</v>
          </cell>
          <cell r="Q713">
            <v>21</v>
          </cell>
        </row>
        <row r="714">
          <cell r="B714">
            <v>1003171356416</v>
          </cell>
          <cell r="C714" t="str">
            <v>ВЫРЕЗКА СВИНАЯ кр/к в/у охл_Л</v>
          </cell>
          <cell r="D714" t="str">
            <v>КГ</v>
          </cell>
          <cell r="E714" t="str">
            <v>Мясо охл</v>
          </cell>
          <cell r="F714" t="str">
            <v>ОПФ Кусковые</v>
          </cell>
          <cell r="G714" t="str">
            <v>Останкино</v>
          </cell>
          <cell r="H714" t="str">
            <v>ОМПК (Г)</v>
          </cell>
          <cell r="I714" t="str">
            <v>ТУ 10.13.14-151-00425283-2025</v>
          </cell>
          <cell r="J714" t="str">
            <v>Мясной полуфабрикат крупнокусковой бескостный охлажденный из свинины категории А</v>
          </cell>
          <cell r="K714" t="str">
            <v>свинина</v>
          </cell>
          <cell r="L714">
            <v>21</v>
          </cell>
          <cell r="M714">
            <v>5</v>
          </cell>
          <cell r="N714">
            <v>0</v>
          </cell>
          <cell r="O714" t="str">
            <v>129/542</v>
          </cell>
          <cell r="P714" t="str">
            <v>0…+4</v>
          </cell>
          <cell r="Q714">
            <v>21</v>
          </cell>
        </row>
        <row r="715">
          <cell r="B715">
            <v>1003171355348</v>
          </cell>
          <cell r="C715" t="str">
            <v>ВЫРЕЗКА СВИНАЯ кр/к в/у (1*2) охл_Т</v>
          </cell>
          <cell r="D715" t="str">
            <v>КГ</v>
          </cell>
          <cell r="E715" t="str">
            <v>Мясо охл</v>
          </cell>
          <cell r="F715" t="str">
            <v>ОПФ Кусковые</v>
          </cell>
          <cell r="G715" t="str">
            <v>Останкино</v>
          </cell>
          <cell r="H715" t="str">
            <v>ОМПК (Г)</v>
          </cell>
          <cell r="I715" t="str">
            <v>ТУ 10.13.14-151-00425283-2025</v>
          </cell>
          <cell r="J715" t="str">
            <v>Мясной полуфабрикат крупнокусковой бескостный охлажденный из свинины категории А</v>
          </cell>
          <cell r="K715" t="str">
            <v>свинина</v>
          </cell>
          <cell r="L715">
            <v>21</v>
          </cell>
          <cell r="M715">
            <v>5</v>
          </cell>
          <cell r="N715">
            <v>0</v>
          </cell>
          <cell r="O715" t="str">
            <v>129/542</v>
          </cell>
          <cell r="P715" t="str">
            <v>0…+4</v>
          </cell>
          <cell r="Q715">
            <v>21</v>
          </cell>
        </row>
        <row r="716">
          <cell r="B716">
            <v>1003171415358</v>
          </cell>
          <cell r="C716" t="str">
            <v>ГРУДИНКА СВИНАЯ б/к кр/к в/у охл.</v>
          </cell>
          <cell r="D716" t="str">
            <v>КГ</v>
          </cell>
          <cell r="E716" t="str">
            <v>Мясо охл</v>
          </cell>
          <cell r="F716" t="str">
            <v>ОПФ Кусковые</v>
          </cell>
          <cell r="G716" t="str">
            <v>Останкино</v>
          </cell>
          <cell r="H716" t="str">
            <v>ОМПК (Г)</v>
          </cell>
          <cell r="I716" t="str">
            <v>ТУ 10.13.14-151-00425283-2025</v>
          </cell>
          <cell r="J716" t="str">
            <v>Мясной полуфабрикат крупнокусковой бескостный охлажденный из свинины категории Б</v>
          </cell>
          <cell r="K716" t="str">
            <v>свинина</v>
          </cell>
          <cell r="L716">
            <v>14</v>
          </cell>
          <cell r="M716">
            <v>35</v>
          </cell>
          <cell r="N716">
            <v>0</v>
          </cell>
          <cell r="O716" t="str">
            <v>371/1533</v>
          </cell>
          <cell r="P716" t="str">
            <v>0…+4</v>
          </cell>
          <cell r="Q716">
            <v>21</v>
          </cell>
        </row>
        <row r="717">
          <cell r="B717">
            <v>1003171415750</v>
          </cell>
          <cell r="C717" t="str">
            <v>ГРУДИНКА СВИНАЯ б/к кр/к в/у охл_Л</v>
          </cell>
          <cell r="D717" t="str">
            <v>КГ</v>
          </cell>
          <cell r="E717" t="str">
            <v>Мясо охл</v>
          </cell>
          <cell r="F717" t="str">
            <v>ОПФ Кусковые</v>
          </cell>
          <cell r="G717" t="str">
            <v>Останкино</v>
          </cell>
          <cell r="H717" t="str">
            <v>ОМПК (Г)</v>
          </cell>
          <cell r="I717" t="str">
            <v>ТУ 10.13.14-151-00425283-2025</v>
          </cell>
          <cell r="J717" t="str">
            <v>Мясной полуфабрикат крупнокусковой бескостный охлажденный из свинины категории Б</v>
          </cell>
          <cell r="K717" t="str">
            <v>свинина</v>
          </cell>
          <cell r="L717">
            <v>14</v>
          </cell>
          <cell r="M717">
            <v>35</v>
          </cell>
          <cell r="N717">
            <v>0</v>
          </cell>
          <cell r="O717" t="str">
            <v>371/1533</v>
          </cell>
          <cell r="P717" t="str">
            <v>0…+4</v>
          </cell>
          <cell r="Q717">
            <v>21</v>
          </cell>
        </row>
        <row r="718">
          <cell r="B718">
            <v>1003171415357</v>
          </cell>
          <cell r="C718" t="str">
            <v>ГРУДИНКА СВИНАЯ б/к кр/к в/у охл_Окей</v>
          </cell>
          <cell r="D718" t="str">
            <v>КГ</v>
          </cell>
          <cell r="E718" t="str">
            <v>Мясо охл</v>
          </cell>
          <cell r="F718" t="str">
            <v>ОПФ Кусковые</v>
          </cell>
          <cell r="G718" t="str">
            <v>Останкино</v>
          </cell>
          <cell r="H718" t="str">
            <v>ОМПК (Г)</v>
          </cell>
          <cell r="I718" t="str">
            <v>ТУ 10.13.14-151-00425283-2025</v>
          </cell>
          <cell r="J718" t="str">
            <v>Мясной полуфабрикат крупнокусковой бескостный охлажденный из свинины категории Б</v>
          </cell>
          <cell r="K718" t="str">
            <v>свинина</v>
          </cell>
          <cell r="L718">
            <v>14</v>
          </cell>
          <cell r="M718">
            <v>35</v>
          </cell>
          <cell r="N718">
            <v>0</v>
          </cell>
          <cell r="O718" t="str">
            <v>371/1533</v>
          </cell>
          <cell r="P718" t="str">
            <v>0…+4</v>
          </cell>
          <cell r="Q718">
            <v>21</v>
          </cell>
        </row>
        <row r="719">
          <cell r="B719">
            <v>1003171416183</v>
          </cell>
          <cell r="C719" t="str">
            <v>ГРУДИНКА СВИНАЯ б/к кр/к в/у охл_Ашан</v>
          </cell>
          <cell r="D719" t="str">
            <v>КГ</v>
          </cell>
          <cell r="E719" t="str">
            <v>Мясо охл</v>
          </cell>
          <cell r="F719" t="str">
            <v>ОПФ Кусковые</v>
          </cell>
          <cell r="G719" t="str">
            <v>Останкино</v>
          </cell>
          <cell r="H719" t="str">
            <v>ОМПК (Г)</v>
          </cell>
          <cell r="I719" t="str">
            <v>ТУ 10.13.14-151-00425283-2025</v>
          </cell>
          <cell r="J719" t="str">
            <v>Мясной полуфабрикат крупнокусковой бескостный охлажденный из свинины категории Б</v>
          </cell>
          <cell r="K719" t="str">
            <v>свинина</v>
          </cell>
          <cell r="L719">
            <v>14</v>
          </cell>
          <cell r="M719">
            <v>35</v>
          </cell>
          <cell r="N719">
            <v>0</v>
          </cell>
          <cell r="O719" t="str">
            <v>371/1533</v>
          </cell>
          <cell r="P719" t="str">
            <v>0…+4</v>
          </cell>
          <cell r="Q719">
            <v>21</v>
          </cell>
        </row>
        <row r="720">
          <cell r="B720">
            <v>1003171416553</v>
          </cell>
          <cell r="C720" t="str">
            <v>ГРУДИНКА СВИНАЯ б/к кр/к в/у охл_Х5</v>
          </cell>
          <cell r="D720" t="str">
            <v>КГ</v>
          </cell>
          <cell r="E720" t="str">
            <v>Мясо охл</v>
          </cell>
          <cell r="F720" t="str">
            <v>ОПФ Кусковые</v>
          </cell>
          <cell r="G720" t="str">
            <v>Останкино</v>
          </cell>
          <cell r="H720" t="str">
            <v>ОМПК (Г)</v>
          </cell>
          <cell r="I720" t="str">
            <v>ТУ 10.13.14-151-00425283-2025</v>
          </cell>
          <cell r="J720" t="str">
            <v>Мясной полуфабрикат крупнокусковой бескостный охлажденный из свинины категории Б</v>
          </cell>
          <cell r="K720" t="str">
            <v>свинина</v>
          </cell>
          <cell r="L720">
            <v>14</v>
          </cell>
          <cell r="M720">
            <v>35</v>
          </cell>
          <cell r="N720">
            <v>0</v>
          </cell>
          <cell r="O720" t="str">
            <v>371/1533</v>
          </cell>
          <cell r="P720" t="str">
            <v>0…+4</v>
          </cell>
          <cell r="Q720">
            <v>21</v>
          </cell>
        </row>
        <row r="721">
          <cell r="B721">
            <v>1003171455365</v>
          </cell>
          <cell r="C721" t="str">
            <v>КАРБОНАД СВИНОЙ кр/к в/у TF охл_Лента</v>
          </cell>
          <cell r="D721" t="str">
            <v>КГ</v>
          </cell>
          <cell r="E721" t="str">
            <v>Мясо охл</v>
          </cell>
          <cell r="F721" t="str">
            <v>ОПФ Кусковые</v>
          </cell>
          <cell r="G721" t="str">
            <v>Останкино</v>
          </cell>
          <cell r="H721" t="str">
            <v>ОМПК (Г)</v>
          </cell>
          <cell r="I721" t="str">
            <v>ТУ 10.13.14-151-00425283-2025</v>
          </cell>
          <cell r="J721" t="str">
            <v>Мясной полуфабрикат крупнокусковой бескостный охлажденный из свинины категории А</v>
          </cell>
          <cell r="K721" t="str">
            <v>свинина</v>
          </cell>
          <cell r="L721">
            <v>19</v>
          </cell>
          <cell r="M721">
            <v>12</v>
          </cell>
          <cell r="N721">
            <v>0</v>
          </cell>
          <cell r="O721" t="str">
            <v>184/767</v>
          </cell>
          <cell r="P721" t="str">
            <v>0…+4</v>
          </cell>
          <cell r="Q721">
            <v>21</v>
          </cell>
        </row>
        <row r="722">
          <cell r="B722">
            <v>1003171456184</v>
          </cell>
          <cell r="C722" t="str">
            <v>КАРБОНАД СВИНОЙ кр/к в/у TF охл_Т</v>
          </cell>
          <cell r="D722" t="str">
            <v>КГ</v>
          </cell>
          <cell r="E722" t="str">
            <v>Мясо охл</v>
          </cell>
          <cell r="F722" t="str">
            <v>ОПФ Кусковые</v>
          </cell>
          <cell r="G722" t="str">
            <v>Останкино</v>
          </cell>
          <cell r="H722" t="str">
            <v>ОМПК (Г)</v>
          </cell>
          <cell r="I722" t="str">
            <v>ТУ 10.13.14-151-00425283-2025</v>
          </cell>
          <cell r="J722" t="str">
            <v>Мясной полуфабрикат крупнокусковой бескостный охлажденный из свинины категории А</v>
          </cell>
          <cell r="K722" t="str">
            <v>свинина</v>
          </cell>
          <cell r="L722">
            <v>19</v>
          </cell>
          <cell r="M722">
            <v>12</v>
          </cell>
          <cell r="N722">
            <v>0</v>
          </cell>
          <cell r="O722" t="str">
            <v>184/767</v>
          </cell>
          <cell r="P722" t="str">
            <v>0…+4</v>
          </cell>
          <cell r="Q722">
            <v>21</v>
          </cell>
        </row>
        <row r="723">
          <cell r="B723">
            <v>1003171456496</v>
          </cell>
          <cell r="C723" t="str">
            <v>КАРБОНАД СВИНОЙ кр/к в/у TF охл_М</v>
          </cell>
          <cell r="D723" t="str">
            <v>КГ</v>
          </cell>
          <cell r="E723" t="str">
            <v>Мясо охл</v>
          </cell>
          <cell r="F723" t="str">
            <v>ОПФ Кусковые</v>
          </cell>
          <cell r="G723" t="str">
            <v>Останкино</v>
          </cell>
          <cell r="H723" t="str">
            <v>ОМПК (Г)</v>
          </cell>
          <cell r="I723" t="str">
            <v>ТУ 10.13.14-151-00425283-2025</v>
          </cell>
          <cell r="J723" t="str">
            <v>Мясной полуфабрикат крупнокусковой бескостный охлажденный из свинины категории А</v>
          </cell>
          <cell r="K723" t="str">
            <v>свинина</v>
          </cell>
          <cell r="L723">
            <v>19</v>
          </cell>
          <cell r="M723">
            <v>12</v>
          </cell>
          <cell r="N723">
            <v>0</v>
          </cell>
          <cell r="O723" t="str">
            <v>184/767</v>
          </cell>
          <cell r="P723" t="str">
            <v>0…+4</v>
          </cell>
          <cell r="Q723">
            <v>21</v>
          </cell>
        </row>
        <row r="724">
          <cell r="B724">
            <v>1003311457532</v>
          </cell>
          <cell r="C724" t="str">
            <v>КАРБОНАД СВИНОЙ кр/к в/у охл._В1</v>
          </cell>
          <cell r="D724" t="str">
            <v>КГ</v>
          </cell>
          <cell r="E724" t="str">
            <v>Мясо охл</v>
          </cell>
          <cell r="F724" t="str">
            <v>ОПФ Кусковые</v>
          </cell>
          <cell r="G724" t="str">
            <v>СТМ</v>
          </cell>
          <cell r="H724" t="str">
            <v>ОМПК (Г)</v>
          </cell>
          <cell r="I724" t="str">
            <v>ТУ 10.13.14-151-00425283-2025</v>
          </cell>
          <cell r="J724" t="str">
            <v>Мясной полуфабрикат крупнокусковой бескостный охлажденный из свинины категории А</v>
          </cell>
          <cell r="K724" t="str">
            <v>свинина</v>
          </cell>
          <cell r="L724">
            <v>19</v>
          </cell>
          <cell r="M724">
            <v>12</v>
          </cell>
          <cell r="N724">
            <v>0</v>
          </cell>
          <cell r="O724" t="str">
            <v>184/767</v>
          </cell>
          <cell r="P724" t="str">
            <v>0…+4</v>
          </cell>
          <cell r="Q724">
            <v>21</v>
          </cell>
        </row>
        <row r="725">
          <cell r="B725">
            <v>1003171595406</v>
          </cell>
          <cell r="C725" t="str">
            <v>РЕБРЫШКИ СВИНЫЕ мгс охл_Х5</v>
          </cell>
          <cell r="D725" t="str">
            <v>КГ</v>
          </cell>
          <cell r="E725" t="str">
            <v>Мясо охл</v>
          </cell>
          <cell r="F725" t="str">
            <v>ОПФ Нарезные</v>
          </cell>
          <cell r="G725" t="str">
            <v>Останкино</v>
          </cell>
          <cell r="H725" t="str">
            <v>ОМПК (Г)</v>
          </cell>
          <cell r="I725" t="str">
            <v>ТУ 10.13.14-151-00425283-2018</v>
          </cell>
          <cell r="J725" t="str">
            <v>Мясной полуфабрикат мясокостный мелкокусковой охлажденный из свинины категории Б.</v>
          </cell>
          <cell r="K725" t="str">
            <v>свинина на кости</v>
          </cell>
          <cell r="L725">
            <v>17</v>
          </cell>
          <cell r="M725">
            <v>19</v>
          </cell>
          <cell r="N725">
            <v>0</v>
          </cell>
          <cell r="O725" t="str">
            <v>239/992</v>
          </cell>
          <cell r="P725" t="str">
            <v>0…+4</v>
          </cell>
          <cell r="Q725">
            <v>8</v>
          </cell>
        </row>
        <row r="726">
          <cell r="B726">
            <v>1003321596895</v>
          </cell>
          <cell r="C726" t="str">
            <v>РЕБРЫШКИ СВИНЫЕ мгс охл_Х5/СТМ ХК</v>
          </cell>
          <cell r="D726" t="str">
            <v>КГ</v>
          </cell>
          <cell r="E726" t="str">
            <v>Мясо охл</v>
          </cell>
          <cell r="F726" t="str">
            <v>ОПФ Нарезные</v>
          </cell>
          <cell r="G726" t="str">
            <v>СТМ</v>
          </cell>
          <cell r="H726" t="str">
            <v>ОМПК (Г)</v>
          </cell>
          <cell r="I726" t="str">
            <v>ТУ 10.13.14-151-00425283-2018</v>
          </cell>
          <cell r="J726" t="str">
            <v>Полуфабрикат охлажденный из свинины мелкокусковой мясокостный категории Б.</v>
          </cell>
          <cell r="K726" t="str">
            <v>свинина на кости</v>
          </cell>
          <cell r="L726">
            <v>13</v>
          </cell>
          <cell r="M726">
            <v>31</v>
          </cell>
          <cell r="O726" t="str">
            <v>331/1368</v>
          </cell>
          <cell r="P726" t="str">
            <v>0…+4</v>
          </cell>
          <cell r="Q726">
            <v>8</v>
          </cell>
        </row>
        <row r="727">
          <cell r="B727">
            <v>1003171625408</v>
          </cell>
          <cell r="C727" t="str">
            <v>РУЛЬКА СВИНАЯ в/у охл.</v>
          </cell>
          <cell r="D727" t="str">
            <v>КГ</v>
          </cell>
          <cell r="E727" t="str">
            <v>Мясо охл</v>
          </cell>
          <cell r="F727" t="str">
            <v>ОПФ Кусковые</v>
          </cell>
          <cell r="G727" t="str">
            <v>Останкино</v>
          </cell>
          <cell r="H727" t="str">
            <v>ОМПК (Г)</v>
          </cell>
          <cell r="I727" t="str">
            <v>ТУ 10.13.14-151-00425283-2018</v>
          </cell>
          <cell r="J727" t="str">
            <v>Полуфабрикат охлажденный из свинины крупнокусковой мясокостный категории Б.</v>
          </cell>
          <cell r="K727" t="str">
            <v>свинина на кости</v>
          </cell>
          <cell r="L727">
            <v>20</v>
          </cell>
          <cell r="M727">
            <v>15</v>
          </cell>
          <cell r="O727" t="str">
            <v>215/895</v>
          </cell>
          <cell r="P727" t="str">
            <v>0…+4</v>
          </cell>
          <cell r="Q727">
            <v>17</v>
          </cell>
        </row>
        <row r="728">
          <cell r="B728">
            <v>1003171626419</v>
          </cell>
          <cell r="C728" t="str">
            <v>РУЛЬКА СВИНАЯ в/у охл_Ашан</v>
          </cell>
          <cell r="D728" t="str">
            <v>КГ</v>
          </cell>
          <cell r="E728" t="str">
            <v>Мясо охл</v>
          </cell>
          <cell r="F728" t="str">
            <v>ОПФ Кусковые</v>
          </cell>
          <cell r="G728" t="str">
            <v>Останкино</v>
          </cell>
          <cell r="H728" t="str">
            <v>ОМПК (Г)</v>
          </cell>
          <cell r="I728" t="str">
            <v>ТУ 10.13.14-151-00425283-2018</v>
          </cell>
          <cell r="J728" t="str">
            <v>Полуфабрикат охлажденный из свинины крупнокусковой мясокостный категории Б.</v>
          </cell>
          <cell r="K728" t="str">
            <v>свинина на кости</v>
          </cell>
          <cell r="L728">
            <v>20</v>
          </cell>
          <cell r="M728">
            <v>15</v>
          </cell>
          <cell r="O728" t="str">
            <v>215/895</v>
          </cell>
          <cell r="P728" t="str">
            <v>0…+4</v>
          </cell>
          <cell r="Q728">
            <v>17</v>
          </cell>
        </row>
        <row r="729">
          <cell r="B729">
            <v>1003171625751</v>
          </cell>
          <cell r="C729" t="str">
            <v>РУЛЬКА СВИНАЯ в/у охл_Окей</v>
          </cell>
          <cell r="D729" t="str">
            <v>КГ</v>
          </cell>
          <cell r="E729" t="str">
            <v>Мясо охл</v>
          </cell>
          <cell r="F729" t="str">
            <v>ОПФ Кусковые</v>
          </cell>
          <cell r="G729" t="str">
            <v>Останкино</v>
          </cell>
          <cell r="H729" t="str">
            <v>ОМПК (Г)</v>
          </cell>
          <cell r="I729" t="str">
            <v>ТУ 10.13.14-151-00425283-2018</v>
          </cell>
          <cell r="J729" t="str">
            <v>Полуфабрикат охлажденный из свинины крупнокусковой мясокостный категории Б.</v>
          </cell>
          <cell r="K729" t="str">
            <v>свинина на кости</v>
          </cell>
          <cell r="L729">
            <v>20</v>
          </cell>
          <cell r="M729">
            <v>15</v>
          </cell>
          <cell r="O729" t="str">
            <v>215/895</v>
          </cell>
          <cell r="P729" t="str">
            <v>0…+4</v>
          </cell>
          <cell r="Q729">
            <v>17</v>
          </cell>
        </row>
        <row r="730">
          <cell r="B730">
            <v>1003171735429</v>
          </cell>
          <cell r="C730" t="str">
            <v>ШЕЙКА СВИНАЯ(нарезка) мгс охл.</v>
          </cell>
          <cell r="D730" t="str">
            <v>КГ</v>
          </cell>
          <cell r="E730" t="str">
            <v>Мясо охл</v>
          </cell>
          <cell r="F730" t="str">
            <v>ОПФ Нарезные</v>
          </cell>
          <cell r="G730" t="str">
            <v>Останкино</v>
          </cell>
          <cell r="H730" t="str">
            <v>ОМПК (Г)</v>
          </cell>
          <cell r="I730" t="str">
            <v>ТУ 10.13.14-151-00425283-2025</v>
          </cell>
          <cell r="J730" t="str">
            <v>Мясной полуфабрикат бескостный мелкокусковой охлажденный из свинины категории А.</v>
          </cell>
          <cell r="K730" t="str">
            <v>свинина</v>
          </cell>
          <cell r="L730">
            <v>17</v>
          </cell>
          <cell r="M730">
            <v>16</v>
          </cell>
          <cell r="N730">
            <v>0</v>
          </cell>
          <cell r="O730" t="str">
            <v>212/881</v>
          </cell>
          <cell r="P730" t="str">
            <v>0…+4</v>
          </cell>
          <cell r="Q730">
            <v>12</v>
          </cell>
        </row>
        <row r="731">
          <cell r="B731">
            <v>1003171736185</v>
          </cell>
          <cell r="C731" t="str">
            <v>ШЕЙКА СВИНАЯ кр/к в/у TF охл_Т</v>
          </cell>
          <cell r="D731" t="str">
            <v>КГ</v>
          </cell>
          <cell r="E731" t="str">
            <v>Мясо охл</v>
          </cell>
          <cell r="F731" t="str">
            <v>ОПФ Кусковые</v>
          </cell>
          <cell r="G731" t="str">
            <v>Останкино</v>
          </cell>
          <cell r="H731" t="str">
            <v>ОМПК (Г)</v>
          </cell>
          <cell r="I731" t="str">
            <v>ТУ 10.13.14-151-00425283-2025</v>
          </cell>
          <cell r="J731" t="str">
            <v>Мясной полуфабрикат бескостный крупнокусковой охлажденный из свинины категории А.</v>
          </cell>
          <cell r="K731" t="str">
            <v>свинина</v>
          </cell>
          <cell r="L731">
            <v>16</v>
          </cell>
          <cell r="M731">
            <v>18</v>
          </cell>
          <cell r="N731">
            <v>0</v>
          </cell>
          <cell r="O731" t="str">
            <v>226/938</v>
          </cell>
          <cell r="P731" t="str">
            <v>0…+4</v>
          </cell>
          <cell r="Q731">
            <v>21</v>
          </cell>
        </row>
        <row r="732">
          <cell r="B732">
            <v>1003171736497</v>
          </cell>
          <cell r="C732" t="str">
            <v>ШЕЙКА СВИНАЯ кр/к в/у TF охл_М</v>
          </cell>
          <cell r="D732" t="str">
            <v>КГ</v>
          </cell>
          <cell r="E732" t="str">
            <v>Мясо охл</v>
          </cell>
          <cell r="F732" t="str">
            <v>ОПФ Кусковые</v>
          </cell>
          <cell r="G732" t="str">
            <v>Останкино</v>
          </cell>
          <cell r="H732" t="str">
            <v>ОМПК (Г)</v>
          </cell>
          <cell r="I732" t="str">
            <v>ТУ 10.13.14-151-00425283-2025</v>
          </cell>
          <cell r="J732" t="str">
            <v>Мясной полуфабрикат бескостный крупнокусковой охлажденный из свинины категории А.</v>
          </cell>
          <cell r="K732" t="str">
            <v>свинина</v>
          </cell>
          <cell r="L732">
            <v>16</v>
          </cell>
          <cell r="M732">
            <v>18</v>
          </cell>
          <cell r="N732">
            <v>0</v>
          </cell>
          <cell r="O732" t="str">
            <v>226/938</v>
          </cell>
          <cell r="P732" t="str">
            <v>0…+4</v>
          </cell>
          <cell r="Q732">
            <v>21</v>
          </cell>
        </row>
        <row r="733">
          <cell r="B733">
            <v>1003171736526</v>
          </cell>
          <cell r="C733" t="str">
            <v>ШЕЙКА СВИНАЯ кр/к в/у TF охл_Х5</v>
          </cell>
          <cell r="D733" t="str">
            <v>КГ</v>
          </cell>
          <cell r="E733" t="str">
            <v>Мясо охл</v>
          </cell>
          <cell r="F733" t="str">
            <v>ОПФ Кусковые</v>
          </cell>
          <cell r="G733" t="str">
            <v>Останкино</v>
          </cell>
          <cell r="H733" t="str">
            <v>ОМПК (Г)</v>
          </cell>
          <cell r="I733" t="str">
            <v>ТУ 10.13.14-151-00425283-2025</v>
          </cell>
          <cell r="J733" t="str">
            <v>Мясной полуфабрикат бескостный крупнокусковой охлажденный из свинины категории А.</v>
          </cell>
          <cell r="K733" t="str">
            <v>свинина</v>
          </cell>
          <cell r="L733">
            <v>16</v>
          </cell>
          <cell r="M733">
            <v>18</v>
          </cell>
          <cell r="N733">
            <v>0</v>
          </cell>
          <cell r="O733" t="str">
            <v>226/938</v>
          </cell>
          <cell r="P733" t="str">
            <v>0…+4</v>
          </cell>
          <cell r="Q733">
            <v>21</v>
          </cell>
        </row>
        <row r="734">
          <cell r="B734">
            <v>1003171735426</v>
          </cell>
          <cell r="C734" t="str">
            <v>ШЕЙКА СВИНАЯ кр/к в/у TF охл_Л</v>
          </cell>
          <cell r="D734" t="str">
            <v>КГ</v>
          </cell>
          <cell r="E734" t="str">
            <v>Мясо охл</v>
          </cell>
          <cell r="F734" t="str">
            <v>ОПФ Кусковые</v>
          </cell>
          <cell r="G734" t="str">
            <v>Останкино</v>
          </cell>
          <cell r="H734" t="str">
            <v>ОМПК (Г)</v>
          </cell>
          <cell r="I734" t="str">
            <v>ТУ 10.13.14-151-00425283-2025</v>
          </cell>
          <cell r="J734" t="str">
            <v>Мясной полуфабрикат бескостный крупнокусковой охлажденный из свинины категории А.</v>
          </cell>
          <cell r="K734" t="str">
            <v>свинина</v>
          </cell>
          <cell r="L734">
            <v>16</v>
          </cell>
          <cell r="M734">
            <v>18</v>
          </cell>
          <cell r="N734">
            <v>0</v>
          </cell>
          <cell r="O734" t="str">
            <v>226/938</v>
          </cell>
          <cell r="P734" t="str">
            <v>0…+4</v>
          </cell>
          <cell r="Q734">
            <v>21</v>
          </cell>
        </row>
        <row r="735">
          <cell r="B735">
            <v>1003311736896</v>
          </cell>
          <cell r="C735" t="str">
            <v>ШЕЙКА СВИНАЯ кр/к в/у охл_Х5/СТМ ХК</v>
          </cell>
          <cell r="D735" t="str">
            <v>КГ</v>
          </cell>
          <cell r="E735" t="str">
            <v>Мясо охл</v>
          </cell>
          <cell r="F735" t="str">
            <v>ОПФ Кусковые</v>
          </cell>
          <cell r="G735" t="str">
            <v>СТМ</v>
          </cell>
          <cell r="H735" t="str">
            <v>ОМПК (Г)</v>
          </cell>
          <cell r="I735" t="str">
            <v>ТУ 10.13.14-151-00425283-2018</v>
          </cell>
          <cell r="J735" t="str">
            <v>Полуфабрикат охлажденный из свинины крупнокусковой бескостный мясной категории А.</v>
          </cell>
          <cell r="K735" t="str">
            <v>свинина</v>
          </cell>
          <cell r="L735">
            <v>16</v>
          </cell>
          <cell r="M735">
            <v>18</v>
          </cell>
          <cell r="N735">
            <v>0</v>
          </cell>
          <cell r="O735" t="str">
            <v>226/938</v>
          </cell>
          <cell r="P735" t="str">
            <v>0…+4</v>
          </cell>
          <cell r="Q735">
            <v>15</v>
          </cell>
        </row>
        <row r="736">
          <cell r="B736">
            <v>1003311737533</v>
          </cell>
          <cell r="C736" t="str">
            <v>ШЕЙКА СВИНАЯ кр/к в/у охл._В1</v>
          </cell>
          <cell r="D736" t="str">
            <v>КГ</v>
          </cell>
          <cell r="E736" t="str">
            <v>Мясо охл</v>
          </cell>
          <cell r="F736" t="str">
            <v>ОПФ Кусковые</v>
          </cell>
          <cell r="G736" t="str">
            <v>СТМ</v>
          </cell>
          <cell r="H736" t="str">
            <v>ОМПК (Г)</v>
          </cell>
          <cell r="I736" t="str">
            <v>ТУ 10.13.14-151-00425283-2025</v>
          </cell>
          <cell r="J736" t="str">
            <v>Мясной полуфабрикат бескостный крупнокусковой охлажденный из свинины категории А.</v>
          </cell>
          <cell r="K736" t="str">
            <v>свинина</v>
          </cell>
          <cell r="L736">
            <v>16</v>
          </cell>
          <cell r="M736">
            <v>18</v>
          </cell>
          <cell r="N736">
            <v>0</v>
          </cell>
          <cell r="O736" t="str">
            <v>226/938</v>
          </cell>
          <cell r="P736" t="str">
            <v>0…+4</v>
          </cell>
          <cell r="Q736">
            <v>21</v>
          </cell>
        </row>
        <row r="737">
          <cell r="B737">
            <v>1003171395354</v>
          </cell>
          <cell r="C737" t="str">
            <v>ГОЛЯШКА СВИНАЯ в/у охл.</v>
          </cell>
          <cell r="D737" t="str">
            <v>КГ</v>
          </cell>
          <cell r="E737" t="str">
            <v>Мясо охл</v>
          </cell>
          <cell r="F737" t="str">
            <v>ОПФ Кусковые</v>
          </cell>
          <cell r="G737" t="str">
            <v>Останкино</v>
          </cell>
          <cell r="H737" t="str">
            <v>ОМПК (Г)</v>
          </cell>
          <cell r="I737" t="str">
            <v>ТУ 10.13.14-151-00425283-2025</v>
          </cell>
          <cell r="J737" t="str">
            <v>Мясной полуфабрикат крупнокусковой мясокостный охлажденный из свинины категории А</v>
          </cell>
          <cell r="K737" t="str">
            <v>свинина на кости</v>
          </cell>
          <cell r="L737">
            <v>18</v>
          </cell>
          <cell r="M737">
            <v>18</v>
          </cell>
          <cell r="N737">
            <v>0</v>
          </cell>
          <cell r="O737" t="str">
            <v>234/972</v>
          </cell>
          <cell r="P737" t="str">
            <v>0…+4</v>
          </cell>
          <cell r="Q737">
            <v>17</v>
          </cell>
        </row>
        <row r="738">
          <cell r="B738">
            <v>1003171455367</v>
          </cell>
          <cell r="C738" t="str">
            <v>КАРБОНАД СВИНОЙ кр/к в/у охл.</v>
          </cell>
          <cell r="D738" t="str">
            <v>КГ</v>
          </cell>
          <cell r="E738" t="str">
            <v>Мясо охл</v>
          </cell>
          <cell r="F738" t="str">
            <v>ОПФ Кусковые</v>
          </cell>
          <cell r="G738" t="str">
            <v>Останкино</v>
          </cell>
          <cell r="H738" t="str">
            <v>ОМПК (Г)</v>
          </cell>
          <cell r="I738" t="str">
            <v>ТУ 10.13.14-151-00425283-2025</v>
          </cell>
          <cell r="J738" t="str">
            <v>Мясной полуфабрикат крупнокусковой бескостный охлажденный из свинины категории А</v>
          </cell>
          <cell r="K738" t="str">
            <v>свинина</v>
          </cell>
          <cell r="L738">
            <v>19</v>
          </cell>
          <cell r="M738">
            <v>12</v>
          </cell>
          <cell r="N738">
            <v>0</v>
          </cell>
          <cell r="O738" t="str">
            <v>184/767</v>
          </cell>
          <cell r="P738" t="str">
            <v>0…+4</v>
          </cell>
          <cell r="Q738">
            <v>21</v>
          </cell>
        </row>
        <row r="739">
          <cell r="B739">
            <v>1003171455366</v>
          </cell>
          <cell r="C739" t="str">
            <v>КАРБОНАД СВИНОЙ кр/к в/у охл_М</v>
          </cell>
          <cell r="D739" t="str">
            <v>КГ</v>
          </cell>
          <cell r="E739" t="str">
            <v>Мясо охл</v>
          </cell>
          <cell r="F739" t="str">
            <v>ОПФ Кусковые</v>
          </cell>
          <cell r="G739" t="str">
            <v>Останкино</v>
          </cell>
          <cell r="H739" t="str">
            <v>ОМПК (Г)</v>
          </cell>
          <cell r="I739" t="str">
            <v>ТУ 10.13.14-151-00425283-2025</v>
          </cell>
          <cell r="J739" t="str">
            <v>Мясной полуфабрикат крупнокусковой бескостный охлажденный из свинины категории А</v>
          </cell>
          <cell r="K739" t="str">
            <v>свинина</v>
          </cell>
          <cell r="L739">
            <v>19</v>
          </cell>
          <cell r="M739">
            <v>12</v>
          </cell>
          <cell r="N739">
            <v>0</v>
          </cell>
          <cell r="O739" t="str">
            <v>184/767</v>
          </cell>
          <cell r="P739" t="str">
            <v>0…+4</v>
          </cell>
          <cell r="Q739">
            <v>21</v>
          </cell>
        </row>
        <row r="740">
          <cell r="B740">
            <v>1003171465371</v>
          </cell>
          <cell r="C740" t="str">
            <v>КОРЕЙКА СВИНАЯ б/к кр/к в/у охл.</v>
          </cell>
          <cell r="D740" t="str">
            <v>КГ</v>
          </cell>
          <cell r="E740" t="str">
            <v>Мясо охл</v>
          </cell>
          <cell r="F740" t="str">
            <v>ОПФ Кусковые</v>
          </cell>
          <cell r="G740" t="str">
            <v>Останкино</v>
          </cell>
          <cell r="H740" t="str">
            <v>ОМПК (Г)</v>
          </cell>
          <cell r="I740" t="str">
            <v>ТУ 10.13.14-151-00425283-2025</v>
          </cell>
          <cell r="J740" t="str">
            <v>Мясной полуфабрикат крупнокусковой бескостный охлажденный из свинины категории А</v>
          </cell>
          <cell r="K740" t="str">
            <v>свинина</v>
          </cell>
          <cell r="L740">
            <v>20</v>
          </cell>
          <cell r="M740">
            <v>12</v>
          </cell>
          <cell r="N740">
            <v>0</v>
          </cell>
          <cell r="O740" t="str">
            <v>188/784</v>
          </cell>
          <cell r="P740" t="str">
            <v>0…+4</v>
          </cell>
          <cell r="Q740">
            <v>21</v>
          </cell>
        </row>
        <row r="741">
          <cell r="B741">
            <v>1003171465370</v>
          </cell>
          <cell r="C741" t="str">
            <v>КОРЕЙКА СВИНАЯ б/к кр/к в/у охл_Л</v>
          </cell>
          <cell r="D741" t="str">
            <v>КГ</v>
          </cell>
          <cell r="E741" t="str">
            <v>Мясо охл</v>
          </cell>
          <cell r="F741" t="str">
            <v>ОПФ Кусковые</v>
          </cell>
          <cell r="G741" t="str">
            <v>Останкино</v>
          </cell>
          <cell r="H741" t="str">
            <v>ОМПК (Г)</v>
          </cell>
          <cell r="I741" t="str">
            <v>ТУ 10.13.14-151-00425283-2025</v>
          </cell>
          <cell r="J741" t="str">
            <v>Мясной полуфабрикат крупнокусковой бескостный охлажденный из свинины категории А</v>
          </cell>
          <cell r="K741" t="str">
            <v>свинина</v>
          </cell>
          <cell r="L741">
            <v>20</v>
          </cell>
          <cell r="M741">
            <v>12</v>
          </cell>
          <cell r="N741">
            <v>0</v>
          </cell>
          <cell r="O741" t="str">
            <v>188/784</v>
          </cell>
          <cell r="P741" t="str">
            <v>0…+4</v>
          </cell>
          <cell r="Q741">
            <v>21</v>
          </cell>
        </row>
        <row r="742">
          <cell r="B742">
            <v>1003311467558</v>
          </cell>
          <cell r="C742" t="str">
            <v>КОРЕЙКА СВИНАЯ кр/к в/у охл_П</v>
          </cell>
          <cell r="D742" t="str">
            <v>КГ</v>
          </cell>
          <cell r="E742" t="str">
            <v>Мясо охл</v>
          </cell>
          <cell r="F742" t="str">
            <v>ОПФ Кусковые</v>
          </cell>
          <cell r="G742" t="str">
            <v>Останкино</v>
          </cell>
          <cell r="H742" t="str">
            <v>ОМПК (Г)</v>
          </cell>
          <cell r="I742" t="str">
            <v>ТУ 10.13.14-151-00425283-2025</v>
          </cell>
          <cell r="J742" t="str">
            <v>Мясной полуфабрикат крупнокусковой бескостный охлажденный из свинины категории А</v>
          </cell>
          <cell r="K742" t="str">
            <v>свинина</v>
          </cell>
          <cell r="L742">
            <v>20</v>
          </cell>
          <cell r="M742">
            <v>12</v>
          </cell>
          <cell r="N742">
            <v>0</v>
          </cell>
          <cell r="O742" t="str">
            <v>188/784</v>
          </cell>
          <cell r="P742" t="str">
            <v>0…+4</v>
          </cell>
          <cell r="Q742">
            <v>21</v>
          </cell>
        </row>
        <row r="743">
          <cell r="B743">
            <v>1003171465373</v>
          </cell>
          <cell r="C743" t="str">
            <v>КОРЕЙКА СВИНАЯ кр/к м/к в/у охл.</v>
          </cell>
          <cell r="D743" t="str">
            <v>КГ</v>
          </cell>
          <cell r="E743" t="str">
            <v>Мясо охл</v>
          </cell>
          <cell r="F743" t="str">
            <v>ОПФ Кусковые</v>
          </cell>
          <cell r="G743" t="str">
            <v>Останкино</v>
          </cell>
          <cell r="H743" t="str">
            <v>ОМПК (Г)</v>
          </cell>
          <cell r="I743" t="str">
            <v>ТУ 10.13.14-151-00425283-2025</v>
          </cell>
          <cell r="J743" t="str">
            <v>Мясной полуфабрикат крупнокусковой мясокостный охлажденный из свинины категории А</v>
          </cell>
          <cell r="K743" t="str">
            <v>свинина на кости</v>
          </cell>
          <cell r="L743">
            <v>20</v>
          </cell>
          <cell r="M743">
            <v>17</v>
          </cell>
          <cell r="N743">
            <v>0</v>
          </cell>
          <cell r="O743" t="str">
            <v>233/969</v>
          </cell>
          <cell r="P743" t="str">
            <v>0…+4</v>
          </cell>
          <cell r="Q743">
            <v>17</v>
          </cell>
        </row>
        <row r="744">
          <cell r="B744">
            <v>1003171465374</v>
          </cell>
          <cell r="C744" t="str">
            <v>КОРЕЙКА СВИНАЯ кр/к м/к в/у охл_М</v>
          </cell>
          <cell r="D744" t="str">
            <v>КГ</v>
          </cell>
          <cell r="E744" t="str">
            <v>Мясо охл</v>
          </cell>
          <cell r="F744" t="str">
            <v>ОПФ Кусковые</v>
          </cell>
          <cell r="G744" t="str">
            <v>Останкино</v>
          </cell>
          <cell r="H744" t="str">
            <v>ОМПК (Г)</v>
          </cell>
          <cell r="I744" t="str">
            <v>ТУ 10.13.14-151-00425283-2025</v>
          </cell>
          <cell r="J744" t="str">
            <v>Мясной полуфабрикат крупнокусковой мясокостный охлажденный из свинины категории А</v>
          </cell>
          <cell r="K744" t="str">
            <v>свинина на кости</v>
          </cell>
          <cell r="L744">
            <v>20</v>
          </cell>
          <cell r="M744">
            <v>17</v>
          </cell>
          <cell r="N744">
            <v>0</v>
          </cell>
          <cell r="O744" t="str">
            <v>233/969</v>
          </cell>
          <cell r="P744" t="str">
            <v>0…+4</v>
          </cell>
          <cell r="Q744">
            <v>17</v>
          </cell>
        </row>
        <row r="745">
          <cell r="B745">
            <v>1003311467550</v>
          </cell>
          <cell r="C745" t="str">
            <v>КОРЕЙКА СВИНАЯ кр/к м/к в/у охл_П</v>
          </cell>
          <cell r="D745" t="str">
            <v>КГ</v>
          </cell>
          <cell r="E745" t="str">
            <v>Мясо охл</v>
          </cell>
          <cell r="F745" t="str">
            <v>ОПФ Кусковые</v>
          </cell>
          <cell r="G745" t="str">
            <v>Останкино</v>
          </cell>
          <cell r="H745" t="str">
            <v>ОМПК (Г)</v>
          </cell>
          <cell r="I745" t="str">
            <v>ТУ 10.13.14-151-00425283-2025</v>
          </cell>
          <cell r="J745" t="str">
            <v>Мясной полуфабрикат крупнокусковой мясокостный охлажденный из свинины категории А</v>
          </cell>
          <cell r="K745" t="str">
            <v>свинина на кости</v>
          </cell>
          <cell r="L745">
            <v>20</v>
          </cell>
          <cell r="M745">
            <v>17</v>
          </cell>
          <cell r="N745">
            <v>0</v>
          </cell>
          <cell r="O745" t="str">
            <v>233/969</v>
          </cell>
          <cell r="P745" t="str">
            <v>0…+4</v>
          </cell>
          <cell r="Q745">
            <v>17</v>
          </cell>
        </row>
        <row r="746">
          <cell r="B746">
            <v>1003171765392</v>
          </cell>
          <cell r="C746" t="str">
            <v>ОКОРОК СВИНОЙ кр/к б/к в/у охл.</v>
          </cell>
          <cell r="D746" t="str">
            <v>КГ</v>
          </cell>
          <cell r="E746" t="str">
            <v>Мясо охл</v>
          </cell>
          <cell r="F746" t="str">
            <v>ОПФ Кусковые</v>
          </cell>
          <cell r="G746" t="str">
            <v>Останкино</v>
          </cell>
          <cell r="H746" t="str">
            <v>ОМПК (Г)</v>
          </cell>
          <cell r="I746" t="str">
            <v>ТУ 10.13.14-151-00425283-2025</v>
          </cell>
          <cell r="J746" t="str">
            <v>Мясной полуфабрикат крупнокусковой бескостный охлажденный из свинины категории А</v>
          </cell>
          <cell r="K746" t="str">
            <v>свинина</v>
          </cell>
          <cell r="L746">
            <v>19</v>
          </cell>
          <cell r="M746">
            <v>9</v>
          </cell>
          <cell r="N746">
            <v>0</v>
          </cell>
          <cell r="O746" t="str">
            <v>157/656</v>
          </cell>
          <cell r="P746" t="str">
            <v>0…+4</v>
          </cell>
          <cell r="Q746">
            <v>21</v>
          </cell>
        </row>
        <row r="747">
          <cell r="B747">
            <v>1003171595402</v>
          </cell>
          <cell r="C747" t="str">
            <v>РЕБРЫШКИ БАРБЕКЮ кр/к в/у охл.</v>
          </cell>
          <cell r="D747" t="str">
            <v>КГ</v>
          </cell>
          <cell r="E747" t="str">
            <v>Мясо охл</v>
          </cell>
          <cell r="F747" t="str">
            <v>ОПФ Кусковые</v>
          </cell>
          <cell r="G747" t="str">
            <v>Останкино</v>
          </cell>
          <cell r="H747" t="str">
            <v>ОМПК (Г)</v>
          </cell>
          <cell r="I747" t="str">
            <v>ТУ 10.13.14-151-00425283-2025</v>
          </cell>
          <cell r="J747" t="str">
            <v>Мясной полуфабрикат крупнокусковой мясокостный охлажденный из свинины категории Б</v>
          </cell>
          <cell r="K747" t="str">
            <v>свинина на кости</v>
          </cell>
          <cell r="L747">
            <v>16</v>
          </cell>
          <cell r="M747">
            <v>20</v>
          </cell>
          <cell r="N747">
            <v>0</v>
          </cell>
          <cell r="O747" t="str">
            <v>244/1012</v>
          </cell>
          <cell r="P747" t="str">
            <v>0…+4</v>
          </cell>
          <cell r="Q747">
            <v>17</v>
          </cell>
        </row>
        <row r="748">
          <cell r="B748">
            <v>1003171595753</v>
          </cell>
          <cell r="C748" t="str">
            <v>РЕБРЫШКИ БАРБЕКЮ кр/к в/у охл_Х5</v>
          </cell>
          <cell r="D748" t="str">
            <v>КГ</v>
          </cell>
          <cell r="E748" t="str">
            <v>Мясо охл</v>
          </cell>
          <cell r="F748" t="str">
            <v>ОПФ Кусковые</v>
          </cell>
          <cell r="G748" t="str">
            <v>Останкино</v>
          </cell>
          <cell r="H748" t="str">
            <v>ОМПК (Г)</v>
          </cell>
          <cell r="I748" t="str">
            <v>ТУ 10.13.14-151-00425283-2025</v>
          </cell>
          <cell r="J748" t="str">
            <v>Мясной полуфабрикат крупнокусковой мясокостный охлажденный из свинины категории Б</v>
          </cell>
          <cell r="K748" t="str">
            <v>свинина на кости</v>
          </cell>
          <cell r="L748">
            <v>16</v>
          </cell>
          <cell r="M748">
            <v>20</v>
          </cell>
          <cell r="N748">
            <v>0</v>
          </cell>
          <cell r="O748" t="str">
            <v>244/1012</v>
          </cell>
          <cell r="P748" t="str">
            <v>0…+4</v>
          </cell>
          <cell r="Q748">
            <v>17</v>
          </cell>
        </row>
        <row r="749">
          <cell r="B749">
            <v>1003171596740</v>
          </cell>
          <cell r="C749" t="str">
            <v>РЕБРЫШКИ БАРБЕКЮ кр/к в/у охл_Ашан</v>
          </cell>
          <cell r="D749" t="str">
            <v>КГ</v>
          </cell>
          <cell r="E749" t="str">
            <v>Мясо охл</v>
          </cell>
          <cell r="F749" t="str">
            <v>ОПФ Кусковые</v>
          </cell>
          <cell r="G749" t="str">
            <v>Останкино</v>
          </cell>
          <cell r="H749" t="str">
            <v>ОМПК (Г)</v>
          </cell>
          <cell r="I749" t="str">
            <v>ТУ 10.13.14-151-00425283-2025</v>
          </cell>
          <cell r="J749" t="str">
            <v>Мясной полуфабрикат крупнокусковой мясокостный охлажденный из свинины категории Б</v>
          </cell>
          <cell r="K749" t="str">
            <v>свинина на кости</v>
          </cell>
          <cell r="L749">
            <v>16</v>
          </cell>
          <cell r="M749">
            <v>20</v>
          </cell>
          <cell r="N749">
            <v>0</v>
          </cell>
          <cell r="O749" t="str">
            <v>244/1012</v>
          </cell>
          <cell r="P749" t="str">
            <v>0…+4</v>
          </cell>
          <cell r="Q749">
            <v>17</v>
          </cell>
        </row>
        <row r="750">
          <cell r="B750">
            <v>1003311597559</v>
          </cell>
          <cell r="C750" t="str">
            <v>РЕБРЫШКИ БАРБЕКЮ кр/к в/у охл_Р</v>
          </cell>
          <cell r="D750" t="str">
            <v>КГ</v>
          </cell>
          <cell r="E750" t="str">
            <v>Мясо охл</v>
          </cell>
          <cell r="F750" t="str">
            <v>ОПФ Кусковые</v>
          </cell>
          <cell r="G750" t="str">
            <v>Останкино</v>
          </cell>
          <cell r="H750" t="str">
            <v>ОМПК (Г)</v>
          </cell>
          <cell r="I750" t="str">
            <v>ТУ 10.13.14-151-00425283-2025</v>
          </cell>
          <cell r="J750" t="str">
            <v>Мясной полуфабрикат крупнокусковой мясокостный охлажденный из свинины категории Б</v>
          </cell>
          <cell r="K750" t="str">
            <v>свинина на кости</v>
          </cell>
          <cell r="L750">
            <v>16</v>
          </cell>
          <cell r="M750">
            <v>20</v>
          </cell>
          <cell r="N750">
            <v>0</v>
          </cell>
          <cell r="O750" t="str">
            <v>244/1012</v>
          </cell>
          <cell r="P750" t="str">
            <v>0…+4</v>
          </cell>
          <cell r="Q750">
            <v>17</v>
          </cell>
        </row>
        <row r="751">
          <cell r="B751">
            <v>1003171595407</v>
          </cell>
          <cell r="C751" t="str">
            <v>РЕБРЫШКИ СВИНЫЕ мл/к в/у охл.</v>
          </cell>
          <cell r="D751" t="str">
            <v>КГ</v>
          </cell>
          <cell r="E751" t="str">
            <v>Мясо охл</v>
          </cell>
          <cell r="F751" t="str">
            <v>ОПФ Кусковые</v>
          </cell>
          <cell r="G751" t="str">
            <v>Останкино</v>
          </cell>
          <cell r="H751" t="str">
            <v>ОМПК (Г)</v>
          </cell>
          <cell r="I751" t="str">
            <v>ТУ 10.13.14-151-00425283-2025</v>
          </cell>
          <cell r="J751" t="str">
            <v>Мясной полуфабрикат мелкокусковой мясокостный охлажденный из свинины категории Б</v>
          </cell>
          <cell r="K751" t="str">
            <v>свинина на кости</v>
          </cell>
          <cell r="L751">
            <v>13</v>
          </cell>
          <cell r="M751">
            <v>31</v>
          </cell>
          <cell r="N751">
            <v>0</v>
          </cell>
          <cell r="O751" t="str">
            <v>331/1368</v>
          </cell>
          <cell r="P751" t="str">
            <v>0…+4</v>
          </cell>
          <cell r="Q751">
            <v>17</v>
          </cell>
        </row>
        <row r="752">
          <cell r="B752">
            <v>1003171595404</v>
          </cell>
          <cell r="C752" t="str">
            <v>РЕБРЫШКИ СВИНЫЕ кр/к в/у охл_Лента</v>
          </cell>
          <cell r="D752" t="str">
            <v>КГ</v>
          </cell>
          <cell r="E752" t="str">
            <v>Мясо охл</v>
          </cell>
          <cell r="F752" t="str">
            <v>ОПФ Кусковые</v>
          </cell>
          <cell r="G752" t="str">
            <v>Останкино</v>
          </cell>
          <cell r="H752" t="str">
            <v>ОМПК (Г)</v>
          </cell>
          <cell r="I752" t="str">
            <v>ТУ 10.13.14-151-00425283-2025</v>
          </cell>
          <cell r="J752" t="str">
            <v>Мясной полуфабрикат крупнокусковой мясокостный охлажденный из свинины категории Б</v>
          </cell>
          <cell r="K752" t="str">
            <v>свинина на кости</v>
          </cell>
          <cell r="L752">
            <v>13</v>
          </cell>
          <cell r="M752">
            <v>31</v>
          </cell>
          <cell r="N752">
            <v>0</v>
          </cell>
          <cell r="O752" t="str">
            <v>331/1368</v>
          </cell>
          <cell r="P752" t="str">
            <v>0…+4</v>
          </cell>
          <cell r="Q752">
            <v>17</v>
          </cell>
        </row>
        <row r="753">
          <cell r="B753">
            <v>1003171595405</v>
          </cell>
          <cell r="C753" t="str">
            <v>РЕБРЫШКИ СВИНЫЕ кр/к в/у охл_М</v>
          </cell>
          <cell r="D753" t="str">
            <v>КГ</v>
          </cell>
          <cell r="E753" t="str">
            <v>Мясо охл</v>
          </cell>
          <cell r="F753" t="str">
            <v>ОПФ Кусковые</v>
          </cell>
          <cell r="G753" t="str">
            <v>Останкино</v>
          </cell>
          <cell r="H753" t="str">
            <v>ОМПК (Г)</v>
          </cell>
          <cell r="I753" t="str">
            <v>ТУ 10.13.14-151-00425283-2025</v>
          </cell>
          <cell r="J753" t="str">
            <v>Мясной полуфабрикат крупнокусковой мясокостный охлажденный из свинины категории Б</v>
          </cell>
          <cell r="K753" t="str">
            <v>свинина на кости</v>
          </cell>
          <cell r="L753">
            <v>13</v>
          </cell>
          <cell r="M753">
            <v>31</v>
          </cell>
          <cell r="N753">
            <v>0</v>
          </cell>
          <cell r="O753" t="str">
            <v>331/1368</v>
          </cell>
          <cell r="P753" t="str">
            <v>0…+4</v>
          </cell>
          <cell r="Q753">
            <v>17</v>
          </cell>
        </row>
        <row r="754">
          <cell r="B754">
            <v>1003171735425</v>
          </cell>
          <cell r="C754" t="str">
            <v>ШЕЙКА СВИНАЯ кр/к в/у охл.</v>
          </cell>
          <cell r="D754" t="str">
            <v>КГ</v>
          </cell>
          <cell r="E754" t="str">
            <v>Мясо охл</v>
          </cell>
          <cell r="F754" t="str">
            <v>ОПФ Кусковые</v>
          </cell>
          <cell r="G754" t="str">
            <v>Останкино</v>
          </cell>
          <cell r="H754" t="str">
            <v>ОМПК (Г)</v>
          </cell>
          <cell r="I754" t="str">
            <v>ТУ 10.13.14-151-00425283-2025</v>
          </cell>
          <cell r="J754" t="str">
            <v>Мясной полуфабрикат бескостный крупнокусковой охлажденный из свинины категории А.</v>
          </cell>
          <cell r="K754" t="str">
            <v>свинина</v>
          </cell>
          <cell r="L754">
            <v>16</v>
          </cell>
          <cell r="M754">
            <v>18</v>
          </cell>
          <cell r="N754">
            <v>0</v>
          </cell>
          <cell r="O754" t="str">
            <v>226/938</v>
          </cell>
          <cell r="P754" t="str">
            <v>0…+4</v>
          </cell>
          <cell r="Q754">
            <v>21</v>
          </cell>
        </row>
        <row r="755">
          <cell r="B755">
            <v>1003171735423</v>
          </cell>
          <cell r="C755" t="str">
            <v>ШЕЙКА СВИНАЯ кр/к в/у охл_Л</v>
          </cell>
          <cell r="D755" t="str">
            <v>КГ</v>
          </cell>
          <cell r="E755" t="str">
            <v>Мясо охл</v>
          </cell>
          <cell r="F755" t="str">
            <v>ОПФ Кусковые</v>
          </cell>
          <cell r="G755" t="str">
            <v>Останкино</v>
          </cell>
          <cell r="H755" t="str">
            <v>ОМПК (Г)</v>
          </cell>
          <cell r="I755" t="str">
            <v>ТУ 10.13.14-151-00425283-2025</v>
          </cell>
          <cell r="J755" t="str">
            <v>Мясной полуфабрикат бескостный крупнокусковой охлажденный из свинины категории А.</v>
          </cell>
          <cell r="K755" t="str">
            <v>свинина</v>
          </cell>
          <cell r="L755">
            <v>16</v>
          </cell>
          <cell r="M755">
            <v>18</v>
          </cell>
          <cell r="N755">
            <v>0</v>
          </cell>
          <cell r="O755" t="str">
            <v>226/938</v>
          </cell>
          <cell r="P755" t="str">
            <v>0…+4</v>
          </cell>
          <cell r="Q755">
            <v>21</v>
          </cell>
        </row>
        <row r="756">
          <cell r="B756">
            <v>1003311737041</v>
          </cell>
          <cell r="C756" t="str">
            <v>ШЕЙКА СВИНАЯ кр/к в/у охл_Л</v>
          </cell>
          <cell r="D756" t="str">
            <v>КГ</v>
          </cell>
          <cell r="E756" t="str">
            <v>Мясо охл</v>
          </cell>
          <cell r="F756" t="str">
            <v>ОПФ Кусковые</v>
          </cell>
          <cell r="G756" t="str">
            <v>Останкино</v>
          </cell>
          <cell r="H756" t="str">
            <v>ОМПК (Г)</v>
          </cell>
          <cell r="I756" t="str">
            <v>ТУ 10.13.14-151-00425283-2025</v>
          </cell>
          <cell r="J756" t="str">
            <v>Мясной полуфабрикат бескостный крупнокусковой охлажденный из свинины категории А.</v>
          </cell>
          <cell r="K756" t="str">
            <v>свинина</v>
          </cell>
          <cell r="L756">
            <v>16</v>
          </cell>
          <cell r="M756">
            <v>18</v>
          </cell>
          <cell r="N756">
            <v>0</v>
          </cell>
          <cell r="O756" t="str">
            <v>226/938</v>
          </cell>
          <cell r="P756" t="str">
            <v>0…+4</v>
          </cell>
          <cell r="Q756">
            <v>21</v>
          </cell>
        </row>
        <row r="757">
          <cell r="B757">
            <v>1003171735424</v>
          </cell>
          <cell r="C757" t="str">
            <v>ШЕЙКА СВИНАЯ кр/к в/у охл_М</v>
          </cell>
          <cell r="D757" t="str">
            <v>КГ</v>
          </cell>
          <cell r="E757" t="str">
            <v>Мясо охл</v>
          </cell>
          <cell r="F757" t="str">
            <v>ОПФ Кусковые</v>
          </cell>
          <cell r="G757" t="str">
            <v>Останкино</v>
          </cell>
          <cell r="H757" t="str">
            <v>ОМПК (Г)</v>
          </cell>
          <cell r="I757" t="str">
            <v>ТУ 10.13.14-151-00425283-2025</v>
          </cell>
          <cell r="J757" t="str">
            <v>Мясной полуфабрикат бескостный крупнокусковой охлажденный из свинины категории А.</v>
          </cell>
          <cell r="K757" t="str">
            <v>свинина</v>
          </cell>
          <cell r="L757">
            <v>16</v>
          </cell>
          <cell r="M757">
            <v>18</v>
          </cell>
          <cell r="N757">
            <v>0</v>
          </cell>
          <cell r="O757" t="str">
            <v>226/938</v>
          </cell>
          <cell r="P757" t="str">
            <v>0…+4</v>
          </cell>
          <cell r="Q757">
            <v>21</v>
          </cell>
        </row>
        <row r="758">
          <cell r="B758">
            <v>1003311737551</v>
          </cell>
          <cell r="C758" t="str">
            <v>ШЕЙКА СВИНАЯ кр/к в/у охл_П</v>
          </cell>
          <cell r="D758" t="str">
            <v>КГ</v>
          </cell>
          <cell r="E758" t="str">
            <v>Мясо охл</v>
          </cell>
          <cell r="F758" t="str">
            <v>ОПФ Кусковые</v>
          </cell>
          <cell r="G758" t="str">
            <v>Останкино</v>
          </cell>
          <cell r="H758" t="str">
            <v>ОМПК (Г)</v>
          </cell>
          <cell r="I758" t="str">
            <v>ТУ 10.13.14-151-00425283-2025</v>
          </cell>
          <cell r="J758" t="str">
            <v>Мясной полуфабрикат бескостный крупнокусковой охлажденный из свинины категории А.</v>
          </cell>
          <cell r="K758" t="str">
            <v>свинина</v>
          </cell>
          <cell r="L758">
            <v>16</v>
          </cell>
          <cell r="M758">
            <v>18</v>
          </cell>
          <cell r="N758">
            <v>0</v>
          </cell>
          <cell r="O758" t="str">
            <v>226/938</v>
          </cell>
          <cell r="P758" t="str">
            <v>0…+4</v>
          </cell>
          <cell r="Q758">
            <v>21</v>
          </cell>
        </row>
        <row r="759">
          <cell r="B759">
            <v>1003162215418</v>
          </cell>
          <cell r="C759" t="str">
            <v>ШАШЛЫК ИЗ СВИНИНЫ охл.</v>
          </cell>
          <cell r="D759" t="str">
            <v>КГ</v>
          </cell>
          <cell r="E759" t="str">
            <v>Мясо охл</v>
          </cell>
          <cell r="F759" t="str">
            <v>ОПФ Шашлыки Маринады</v>
          </cell>
          <cell r="G759" t="str">
            <v>Останкино</v>
          </cell>
          <cell r="H759" t="str">
            <v>ОМПК(О)</v>
          </cell>
          <cell r="I759" t="str">
            <v>ТУ 10.13.14-151-00425283-2025</v>
          </cell>
          <cell r="J759" t="str">
            <v>Полуфабрикат мясной бескостный мелкокусковой охлажденный маринованный категории Б.</v>
          </cell>
          <cell r="K759" t="str">
            <v>свинина, маринад (вода питьевая, соль, стабилизатор (пирофосфаты), загустители (каррагинан из водорослей EUCHEMA, ксантановая камедь), уксус сухой, антиокислители (изоаскорбат натрия, экстракт розмарина), сахара), лук репчатый свежий, перец черный молотый, ароматизатор</v>
          </cell>
          <cell r="L759">
            <v>12</v>
          </cell>
          <cell r="M759">
            <v>10</v>
          </cell>
          <cell r="N759">
            <v>1</v>
          </cell>
          <cell r="O759" t="str">
            <v>165/685</v>
          </cell>
          <cell r="P759" t="str">
            <v>+2…+6</v>
          </cell>
          <cell r="Q759">
            <v>12</v>
          </cell>
        </row>
        <row r="760">
          <cell r="B760">
            <v>1003352217273</v>
          </cell>
          <cell r="C760" t="str">
            <v>ШАШЛЫК ИЗ СВИНИНЫ охл_Гагарин</v>
          </cell>
          <cell r="D760" t="str">
            <v>КГ</v>
          </cell>
          <cell r="E760" t="str">
            <v>Мясо охл</v>
          </cell>
          <cell r="F760" t="str">
            <v>ОПФ Шашлыки Маринады</v>
          </cell>
          <cell r="G760" t="str">
            <v>Останкино</v>
          </cell>
          <cell r="H760" t="str">
            <v>ОМПК (Г)</v>
          </cell>
          <cell r="I760" t="str">
            <v>ТУ 10.13.14-151-00425283-2025</v>
          </cell>
          <cell r="J760" t="str">
            <v>Полуфабрикат мясной бескостный мелкокусковой охлажденный маринованный категории Б.</v>
          </cell>
          <cell r="K760" t="str">
            <v>свинина, маринад (вода питьевая, соль, стабилизатор (пирофосфаты), загустители (каррагинан из водорослей EUCHEMA, ксантановая камедь), уксус сухой, антиокислители (изоаскорбат натрия, экстракт розмарина), сахара), лук репчатый свежий, перец черный молотый, ароматизатор</v>
          </cell>
          <cell r="L760">
            <v>12</v>
          </cell>
          <cell r="M760">
            <v>10</v>
          </cell>
          <cell r="N760">
            <v>1</v>
          </cell>
          <cell r="O760" t="str">
            <v>142/591</v>
          </cell>
          <cell r="P760" t="str">
            <v>+2…+6</v>
          </cell>
          <cell r="Q760">
            <v>12</v>
          </cell>
        </row>
        <row r="761">
          <cell r="B761">
            <v>1003162216515</v>
          </cell>
          <cell r="C761" t="str">
            <v>ШАШЛЫК ИЗ СВИНИНЫ охл_Ашан</v>
          </cell>
          <cell r="D761" t="str">
            <v>КГ</v>
          </cell>
          <cell r="E761" t="str">
            <v>Мясо охл</v>
          </cell>
          <cell r="F761" t="str">
            <v>ОПФ Шашлыки Маринады</v>
          </cell>
          <cell r="G761" t="str">
            <v>Останкино</v>
          </cell>
          <cell r="H761" t="str">
            <v>ОМПК(О)</v>
          </cell>
          <cell r="I761" t="str">
            <v>ТУ 10.13.14-151-00425283-2025</v>
          </cell>
          <cell r="J761" t="str">
            <v>Полуфабрикат мясной бескостный мелкокусковой охлажденный маринованный категории Б.</v>
          </cell>
          <cell r="K761" t="str">
            <v>свинина, маринад (вода питьевая, соль, стабилизатор (пирофосфаты), загустители (каррагинан из водорослей EUCHEMA, ксантановая камедь), уксус сухой, антиокислители (изоаскорбат натрия, экстракт розмарина), сахара), лук репчатый свежий, перец черный молотый, ароматизатор</v>
          </cell>
          <cell r="L761">
            <v>12</v>
          </cell>
          <cell r="M761">
            <v>10</v>
          </cell>
          <cell r="N761">
            <v>1</v>
          </cell>
          <cell r="O761" t="str">
            <v>142/591</v>
          </cell>
          <cell r="P761" t="str">
            <v>+2…+6</v>
          </cell>
          <cell r="Q761">
            <v>12</v>
          </cell>
        </row>
        <row r="762">
          <cell r="B762">
            <v>1003162215467</v>
          </cell>
          <cell r="C762" t="str">
            <v>ШАШЛЫК ИЗ СВИНИНЫ охл_Метро</v>
          </cell>
          <cell r="D762" t="str">
            <v>КГ</v>
          </cell>
          <cell r="E762" t="str">
            <v>Мясо охл</v>
          </cell>
          <cell r="F762" t="str">
            <v>ОПФ Шашлыки Маринады</v>
          </cell>
          <cell r="G762" t="str">
            <v>Останкино</v>
          </cell>
          <cell r="H762" t="str">
            <v>ОМПК (Г)</v>
          </cell>
          <cell r="I762" t="str">
            <v>ТУ 10.13.14-151-00425283-2025</v>
          </cell>
          <cell r="J762" t="str">
            <v>Полуфабрикат мясной бескостный мелкокусковой охлажденный маринованный категории Б.</v>
          </cell>
          <cell r="K762" t="str">
            <v>свинина, маринад (вода питьевая, соль, стабилизатор (пирофосфаты), загустители (каррагинан из водорослей EUCHEMA, ксантановая камедь), уксус сухой, антиокислители (изоаскорбат натрия, экстракт розмарина), сахара), лук репчатый свежий, перец черный молотый, ароматизатор</v>
          </cell>
          <cell r="L762">
            <v>12</v>
          </cell>
          <cell r="M762">
            <v>10</v>
          </cell>
          <cell r="N762">
            <v>1</v>
          </cell>
          <cell r="O762" t="str">
            <v>142/591</v>
          </cell>
          <cell r="P762" t="str">
            <v>+2…+6</v>
          </cell>
          <cell r="Q762">
            <v>12</v>
          </cell>
        </row>
        <row r="763">
          <cell r="B763">
            <v>1003162215468</v>
          </cell>
          <cell r="C763" t="str">
            <v>ШАШЛЫК ИЗ СВИНИНЫ охл_Лента</v>
          </cell>
          <cell r="D763" t="str">
            <v>КГ</v>
          </cell>
          <cell r="E763" t="str">
            <v>Мясо охл</v>
          </cell>
          <cell r="F763" t="str">
            <v>ОПФ Шашлыки Маринады</v>
          </cell>
          <cell r="G763" t="str">
            <v>Останкино</v>
          </cell>
          <cell r="H763" t="str">
            <v>ОМПК(О)</v>
          </cell>
          <cell r="I763" t="str">
            <v>ТУ 10.13.14-151-00425283-2025</v>
          </cell>
          <cell r="J763" t="str">
            <v>Полуфабрикат мясной бескостный мелкокусковой охлажденный маринованный категории Б.</v>
          </cell>
          <cell r="K763" t="str">
            <v>свинина, маринад (вода питьевая, соль, стабилизатор (пирофосфаты), загустители (каррагинан из водорослей EUCHEMA, ксантановая камедь), уксус сухой, антиокислители (изоаскорбат натрия, экстракт розмарина), сахара), лук репчатый свежий, перец черный молотый, ароматизатор</v>
          </cell>
          <cell r="L763">
            <v>12</v>
          </cell>
          <cell r="M763">
            <v>10</v>
          </cell>
          <cell r="N763">
            <v>1</v>
          </cell>
          <cell r="O763" t="str">
            <v>142/591</v>
          </cell>
          <cell r="P763" t="str">
            <v>+2…+6</v>
          </cell>
          <cell r="Q763">
            <v>12</v>
          </cell>
        </row>
        <row r="764">
          <cell r="B764">
            <v>1003162215469</v>
          </cell>
          <cell r="C764" t="str">
            <v>ШАШЛЫК ИЗ СВИНИНЫ охл_Глобус</v>
          </cell>
          <cell r="D764" t="str">
            <v>КГ</v>
          </cell>
          <cell r="E764" t="str">
            <v>Мясо охл</v>
          </cell>
          <cell r="F764" t="str">
            <v>ОПФ Шашлыки Маринады</v>
          </cell>
          <cell r="G764" t="str">
            <v>Останкино</v>
          </cell>
          <cell r="H764" t="str">
            <v>ОМПК(О)</v>
          </cell>
          <cell r="I764" t="str">
            <v>ТУ 10.13.14-151-00425283-2025</v>
          </cell>
          <cell r="J764" t="str">
            <v>Полуфабрикат мясной бескостный мелкокусковой охлажденный маринованный категории Б.</v>
          </cell>
          <cell r="K764" t="str">
            <v>свинина, маринад (вода питьевая, соль, стабилизатор (пирофосфаты), загустители (каррагинан из водорослей EUCHEMA, ксантановая камедь), уксус сухой, антиокислители (изоаскорбат натрия, экстракт розмарина), сахара), лук репчатый свежий, перец черный молотый, ароматизатор</v>
          </cell>
          <cell r="L764">
            <v>12</v>
          </cell>
          <cell r="M764">
            <v>10</v>
          </cell>
          <cell r="N764">
            <v>1</v>
          </cell>
          <cell r="O764" t="str">
            <v>142/591</v>
          </cell>
          <cell r="P764" t="str">
            <v>+2…+6</v>
          </cell>
          <cell r="Q764">
            <v>12</v>
          </cell>
        </row>
        <row r="765">
          <cell r="B765">
            <v>1003171356409</v>
          </cell>
          <cell r="C765" t="str">
            <v>ВЫРЕЗКА СВИНАЯ кр/к в/у (1*2) охл.</v>
          </cell>
          <cell r="D765" t="str">
            <v>КГ</v>
          </cell>
          <cell r="E765" t="str">
            <v>Мясо охл</v>
          </cell>
          <cell r="F765" t="str">
            <v>ОПФ Кусковые</v>
          </cell>
          <cell r="G765" t="str">
            <v>Останкино</v>
          </cell>
          <cell r="H765" t="str">
            <v>ОМПК (Г)</v>
          </cell>
          <cell r="I765" t="str">
            <v>ТУ 10.13.14-151-00425283-2025</v>
          </cell>
          <cell r="J765" t="str">
            <v>Мясной полуфабрикат крупнокусковой бескостный охлажденный из свинины категории А</v>
          </cell>
          <cell r="K765" t="str">
            <v>свинина</v>
          </cell>
          <cell r="L765">
            <v>21</v>
          </cell>
          <cell r="M765">
            <v>5</v>
          </cell>
          <cell r="N765">
            <v>0</v>
          </cell>
          <cell r="O765" t="str">
            <v>129/542</v>
          </cell>
          <cell r="P765" t="str">
            <v>0…+4</v>
          </cell>
          <cell r="Q765">
            <v>21</v>
          </cell>
        </row>
        <row r="766">
          <cell r="B766">
            <v>1003311357531</v>
          </cell>
          <cell r="C766" t="str">
            <v>ВЫРЕЗКА СВИНАЯ кр/к в/у (1*2) охл._В1</v>
          </cell>
          <cell r="D766" t="str">
            <v>КГ</v>
          </cell>
          <cell r="E766" t="str">
            <v>Мясо охл</v>
          </cell>
          <cell r="F766" t="str">
            <v>ОПФ Кусковые</v>
          </cell>
          <cell r="G766" t="str">
            <v>Останкино</v>
          </cell>
          <cell r="H766" t="str">
            <v>ОМПК (Г)</v>
          </cell>
          <cell r="I766" t="str">
            <v>ТУ 10.13.14-151-00425283-2025</v>
          </cell>
          <cell r="J766" t="str">
            <v>Мясной полуфабрикат крупнокусковой бескостный охлажденный из свинины категории А</v>
          </cell>
          <cell r="K766" t="str">
            <v>свинина</v>
          </cell>
          <cell r="L766">
            <v>21</v>
          </cell>
          <cell r="M766">
            <v>5</v>
          </cell>
          <cell r="N766">
            <v>0</v>
          </cell>
          <cell r="O766" t="str">
            <v>129/542</v>
          </cell>
          <cell r="P766" t="str">
            <v>0…+4</v>
          </cell>
          <cell r="Q766">
            <v>21</v>
          </cell>
        </row>
        <row r="767">
          <cell r="B767">
            <v>1003311357552</v>
          </cell>
          <cell r="C767" t="str">
            <v>ВЫРЕЗКА СВИНАЯ кр/к в/у(1*2) охл_П</v>
          </cell>
          <cell r="D767" t="str">
            <v>КГ</v>
          </cell>
          <cell r="E767" t="str">
            <v>Мясо охл</v>
          </cell>
          <cell r="F767" t="str">
            <v>ОПФ Кусковые</v>
          </cell>
          <cell r="G767" t="str">
            <v>Останкино</v>
          </cell>
          <cell r="H767" t="str">
            <v>ОМПК (Г)</v>
          </cell>
          <cell r="I767" t="str">
            <v>ТУ 10.13.14-151-00425283-2025</v>
          </cell>
          <cell r="J767" t="str">
            <v>Мясной полуфабрикат крупнокусковой бескостный охлажденный из свинины категории А</v>
          </cell>
          <cell r="K767" t="str">
            <v>свинина</v>
          </cell>
          <cell r="L767">
            <v>21</v>
          </cell>
          <cell r="M767">
            <v>5</v>
          </cell>
          <cell r="N767">
            <v>0</v>
          </cell>
          <cell r="O767" t="str">
            <v>129/542</v>
          </cell>
          <cell r="P767" t="str">
            <v>0…+4</v>
          </cell>
          <cell r="Q767">
            <v>21</v>
          </cell>
        </row>
        <row r="768">
          <cell r="B768">
            <v>1003311356893</v>
          </cell>
          <cell r="C768" t="str">
            <v>ВЫРЕЗКА СВ.кр/к в/у (1*2) охл_Х5/СТМ ХК</v>
          </cell>
          <cell r="D768" t="str">
            <v>КГ</v>
          </cell>
          <cell r="E768" t="str">
            <v>Мясо охл</v>
          </cell>
          <cell r="F768" t="str">
            <v>ОПФ Кусковые</v>
          </cell>
          <cell r="G768" t="str">
            <v>СТМ</v>
          </cell>
          <cell r="H768" t="str">
            <v>ОМПК (Г)</v>
          </cell>
          <cell r="I768" t="str">
            <v>ТУ 10.13.14-151-00425283-2018</v>
          </cell>
          <cell r="J768" t="str">
            <v>Полуфабрикат охлажденный из свинины мелкокусковой бескостный мясной категории А.</v>
          </cell>
          <cell r="K768" t="str">
            <v>свинина</v>
          </cell>
          <cell r="L768">
            <v>21</v>
          </cell>
          <cell r="M768">
            <v>5</v>
          </cell>
          <cell r="O768" t="str">
            <v>129/542</v>
          </cell>
          <cell r="P768" t="str">
            <v>0…+4</v>
          </cell>
          <cell r="Q768">
            <v>21</v>
          </cell>
        </row>
        <row r="769">
          <cell r="B769">
            <v>1003311356894</v>
          </cell>
          <cell r="C769" t="str">
            <v>ВЫРЕЗКА СВИНАЯ кр/к в/у (1*2) охл_Л</v>
          </cell>
          <cell r="D769" t="str">
            <v>КГ</v>
          </cell>
          <cell r="E769" t="str">
            <v>Мясо охл</v>
          </cell>
          <cell r="F769" t="str">
            <v>ОПФ Кусковые</v>
          </cell>
          <cell r="G769" t="str">
            <v>Останкино</v>
          </cell>
          <cell r="H769" t="str">
            <v>ОМПК (Г)</v>
          </cell>
          <cell r="I769" t="str">
            <v>ТУ 10.13.14-151-00425283-2025</v>
          </cell>
          <cell r="J769" t="str">
            <v>Мясной полуфабрикат крупнокусковой бескостный охлажденный из свинины категории А</v>
          </cell>
          <cell r="K769" t="str">
            <v>свинина</v>
          </cell>
          <cell r="L769">
            <v>21</v>
          </cell>
          <cell r="M769">
            <v>5</v>
          </cell>
          <cell r="N769">
            <v>0</v>
          </cell>
          <cell r="O769" t="str">
            <v>129/542</v>
          </cell>
          <cell r="P769" t="str">
            <v>0…+4</v>
          </cell>
          <cell r="Q769">
            <v>21</v>
          </cell>
        </row>
        <row r="770">
          <cell r="B770">
            <v>1002131146209</v>
          </cell>
          <cell r="C770" t="str">
            <v>БЛИНЧ.С КУРИНЫМ МЯСОМ пл.1/350 зам.</v>
          </cell>
          <cell r="D770" t="str">
            <v>ШТ</v>
          </cell>
          <cell r="E770" t="str">
            <v>Полуфабрикаты зам</v>
          </cell>
          <cell r="F770" t="str">
            <v>Блины</v>
          </cell>
          <cell r="G770" t="str">
            <v>Останкино</v>
          </cell>
          <cell r="H770" t="str">
            <v>ОМПК(О)</v>
          </cell>
          <cell r="I770" t="str">
            <v xml:space="preserve">ТУ 10.72.19-162-00425283-2023 </v>
          </cell>
          <cell r="J770" t="str">
            <v>Хлебобулочное изделие. Полуфабрикат высокой степени готовности. Блинчики быстрозамороженные.</v>
          </cell>
          <cell r="K770" t="str">
            <v>Тесто для блинов: мука пшеничная в/с, вода, молоко сухое обезжиренное, сахар, масло растительное, сухой яичный меланж, соль, разрыхлитель гидрокарбонат натрия. Начинка: филе грудок куриных, вода, соевый белок, масло растительное, белковый стабилизатор куриный, лук жареный, комплексные пищевые добавки (загуститель Е466, крахмал картофельный, специи и экстракты специй, мальтодекстрин, усилитель вкуса и аромата Е621, декстроза, ароматизатор); соль, животный белок говяжий.</v>
          </cell>
          <cell r="L770">
            <v>9</v>
          </cell>
          <cell r="M770">
            <v>5</v>
          </cell>
          <cell r="N770">
            <v>30</v>
          </cell>
          <cell r="O770" t="str">
            <v>201/848</v>
          </cell>
          <cell r="P770" t="str">
            <v>-18</v>
          </cell>
          <cell r="Q770">
            <v>120</v>
          </cell>
        </row>
        <row r="771">
          <cell r="B771">
            <v>1002131156168</v>
          </cell>
          <cell r="C771" t="str">
            <v>БЛИНЧ.С МЯСОМ пл.1/350 зам.</v>
          </cell>
          <cell r="D771" t="str">
            <v>ШТ</v>
          </cell>
          <cell r="E771" t="str">
            <v>Полуфабрикаты зам</v>
          </cell>
          <cell r="F771" t="str">
            <v>Блины</v>
          </cell>
          <cell r="G771" t="str">
            <v>Останкино</v>
          </cell>
          <cell r="H771" t="str">
            <v>ОМПК(О)</v>
          </cell>
          <cell r="I771" t="str">
            <v xml:space="preserve">ТУ 10.72.19-162-00425283-2023 </v>
          </cell>
          <cell r="J771" t="str">
            <v>Хлебобулочное изделие. Полуфабрикат высокой степени готовности. Блинчики быстрозамороженные.</v>
          </cell>
          <cell r="K771" t="str">
            <v xml:space="preserve">Тесто для блинов: мука пшеничная в/с, вода, молоко сухое обезжиренное, сахар, масло растительное, сухой яичный меланж, соль, разрыхлитель гидрокарбонат натрия. Начинка: свинина, говядина, вода, соевый белок, соль, лук жареный, мука пшеничная, масло пальмовое, животный белок говяжий, петрушка, укроп, растительная клетчатка, специи, ароматизаторы, усилитель вкуса и аромата глутамат натрия, перец черный. </v>
          </cell>
          <cell r="L771">
            <v>8</v>
          </cell>
          <cell r="M771">
            <v>11</v>
          </cell>
          <cell r="N771">
            <v>33</v>
          </cell>
          <cell r="O771" t="str">
            <v>263/1104</v>
          </cell>
          <cell r="P771" t="str">
            <v>-18</v>
          </cell>
          <cell r="Q771">
            <v>120</v>
          </cell>
        </row>
        <row r="772">
          <cell r="B772">
            <v>1002131157359</v>
          </cell>
          <cell r="C772" t="str">
            <v>БЛИНЧ.КРУГЛЫЕ С МЯСОМ ПМ 1/180 зам.</v>
          </cell>
          <cell r="D772" t="str">
            <v>ШТ</v>
          </cell>
          <cell r="E772" t="str">
            <v>Полуфабрикаты зам</v>
          </cell>
          <cell r="F772" t="str">
            <v>Блины</v>
          </cell>
          <cell r="G772" t="str">
            <v>Папа может</v>
          </cell>
          <cell r="H772" t="str">
            <v>ОМПК(О)</v>
          </cell>
          <cell r="I772" t="str">
            <v xml:space="preserve">ТУ 10.72.19-162-00425283-2023 </v>
          </cell>
          <cell r="J772" t="str">
            <v>Хлебобулочное изделие. Полуфабрикат высокой степени готовности. Блинчики круглые быстрозамороженные.</v>
          </cell>
          <cell r="K772" t="str">
            <v xml:space="preserve">Тесто для блинов: мука пшеничная в/с, вода питьевая, масло подсолнечное рафинированное дезодорированное, меланж яичный сухой, сахар, сыворотка молочная сухая, соль, разрыхлитель (гидрокарбонат натрия), регулятор кислотности (лимонная кислота). Начинка: свинина, вода питьевая, лук сушеный жареный (лук репчатый, вода питьевая, мука пшеничная, масло подсолнечное рафинированное дезодорированное, соль), соль, специи (в т.ч. перец черный молотый), сахар, усилитель вкуса и аромата (глутамат натрия), ароматизаторы. </v>
          </cell>
          <cell r="L772">
            <v>8</v>
          </cell>
          <cell r="M772">
            <v>10</v>
          </cell>
          <cell r="N772">
            <v>21</v>
          </cell>
          <cell r="O772" t="str">
            <v>206/863</v>
          </cell>
          <cell r="P772" t="str">
            <v>-18</v>
          </cell>
          <cell r="Q772">
            <v>120</v>
          </cell>
        </row>
        <row r="773">
          <cell r="B773">
            <v>1002131157445</v>
          </cell>
          <cell r="C773" t="str">
            <v>БЛИНЧ.КРУГЛЫЕ С МЯСОМ ПМ 1/180 зам. 12шт</v>
          </cell>
          <cell r="D773" t="str">
            <v>ШТ</v>
          </cell>
          <cell r="E773" t="str">
            <v>Полуфабрикаты зам</v>
          </cell>
          <cell r="F773" t="str">
            <v>Блины</v>
          </cell>
          <cell r="G773" t="str">
            <v>Папа может</v>
          </cell>
          <cell r="H773" t="str">
            <v>ОМПК(О)</v>
          </cell>
          <cell r="I773" t="str">
            <v xml:space="preserve">ТУ 10.72.19-162-00425283-2023 </v>
          </cell>
          <cell r="J773" t="str">
            <v>Хлебобулочное изделие. Полуфабрикат высокой степени готовности. Блинчики круглые быстрозамороженные.</v>
          </cell>
          <cell r="K773" t="str">
            <v xml:space="preserve">Тесто для блинов: мука пшеничная в/с, вода питьевая, масло подсолнечное рафинированное дезодорированное, меланж яичный сухой, сахар, сыворотка молочная сухая, соль, разрыхлитель (гидрокарбонат натрия), регулятор кислотности (лимонная кислота). Начинка: свинина, вода питьевая, лук сушеный жареный (лук репчатый, вода питьевая, мука пшеничная, масло подсолнечное рафинированное дезодорированное, соль), соль, специи (в т.ч. перец черный молотый), сахар, усилитель вкуса и аромата (глутамат натрия), ароматизаторы. </v>
          </cell>
          <cell r="L773">
            <v>8</v>
          </cell>
          <cell r="M773">
            <v>10</v>
          </cell>
          <cell r="N773">
            <v>21</v>
          </cell>
          <cell r="O773" t="str">
            <v>206/863</v>
          </cell>
          <cell r="P773" t="str">
            <v>-18</v>
          </cell>
          <cell r="Q773">
            <v>120</v>
          </cell>
        </row>
        <row r="774">
          <cell r="B774">
            <v>1002131157530</v>
          </cell>
          <cell r="C774" t="str">
            <v>БЛИНЧ.КРУГЛЫЕ С МЯСОМ ПМ 1/300 зам.</v>
          </cell>
          <cell r="D774" t="str">
            <v>ШТ</v>
          </cell>
          <cell r="E774" t="str">
            <v>Полуфабрикаты зам</v>
          </cell>
          <cell r="F774" t="str">
            <v>Блины</v>
          </cell>
          <cell r="G774" t="str">
            <v>Папа может</v>
          </cell>
          <cell r="H774" t="str">
            <v>ОМПК(О)</v>
          </cell>
          <cell r="I774" t="str">
            <v xml:space="preserve">ТУ 10.72.19-162-00425283-2023 </v>
          </cell>
          <cell r="J774" t="str">
            <v>Хлебобулочное изделие. Полуфабрикат высокой степени готовности. Блинчики круглые быстрозамороженные.</v>
          </cell>
          <cell r="K774" t="str">
            <v xml:space="preserve">Тесто для блинов: мука пшеничная в/с, вода питьевая, масло подсолнечное рафинированное дезодорированное, меланж яичный сухой, сахар, сыворотка молочная сухая, соль, разрыхлитель (гидрокарбонат натрия), регулятор кислотности (лимонная кислота). Начинка: свинина, вода питьевая, лук сушеный жареный (лук репчатый, вода питьевая, мука пшеничная, масло подсолнечное рафинированное дезодорированное, соль), соль, специи (в т.ч. перец черный молотый), сахар, усилитель вкуса и аромата (глутамат натрия), ароматизаторы. </v>
          </cell>
          <cell r="L774">
            <v>8</v>
          </cell>
          <cell r="M774">
            <v>10</v>
          </cell>
          <cell r="N774">
            <v>21</v>
          </cell>
          <cell r="O774" t="str">
            <v>206/863</v>
          </cell>
          <cell r="P774" t="str">
            <v>-18</v>
          </cell>
          <cell r="Q774">
            <v>120</v>
          </cell>
        </row>
        <row r="775">
          <cell r="B775">
            <v>1002131166149</v>
          </cell>
          <cell r="C775" t="str">
            <v>БЛИНЧ.КРУГЛЫЕ С ПЕЧЕНЬЮ ПМ 1/300 зам.</v>
          </cell>
          <cell r="D775" t="str">
            <v>ШТ</v>
          </cell>
          <cell r="E775" t="str">
            <v>Полуфабрикаты зам</v>
          </cell>
          <cell r="F775" t="str">
            <v>Блины</v>
          </cell>
          <cell r="G775" t="str">
            <v>Папа может</v>
          </cell>
          <cell r="H775" t="str">
            <v>ОМПК(О)</v>
          </cell>
          <cell r="I775" t="str">
            <v xml:space="preserve">ТУ 10.72.19-162-00425283-2023 </v>
          </cell>
          <cell r="J775" t="str">
            <v>Хлебобулочное изделие. Полуфабрикат высокой степени готовности. Блинчики круглые быстрозамороженные.</v>
          </cell>
          <cell r="K775" t="str">
            <v>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печень свиная, вода, свинина, лук жареный (лук репчатый, вода, мука пшеничная, масло растительное, соль), соевый белок, глюкоза, морковь сушеная, растительная клетчатка, соль, молоко сухое обезжиренное, специи, ароматизаторы, усилитель вкуса и аромата глутамат натрия.</v>
          </cell>
          <cell r="L775">
            <v>12</v>
          </cell>
          <cell r="M775">
            <v>9</v>
          </cell>
          <cell r="N775">
            <v>33</v>
          </cell>
          <cell r="O775" t="str">
            <v>261/1028</v>
          </cell>
          <cell r="P775" t="str">
            <v>-18</v>
          </cell>
          <cell r="Q775">
            <v>120</v>
          </cell>
        </row>
        <row r="776">
          <cell r="B776">
            <v>1002131187358</v>
          </cell>
          <cell r="C776" t="str">
            <v>БЛИНЧ.КРУГЛЫЕ С ТВОРОГОМ ПМ 1/180 зам.</v>
          </cell>
          <cell r="D776" t="str">
            <v>ШТ</v>
          </cell>
          <cell r="E776" t="str">
            <v>Полуфабрикаты зам</v>
          </cell>
          <cell r="F776" t="str">
            <v>Блины</v>
          </cell>
          <cell r="G776" t="str">
            <v>Папа может</v>
          </cell>
          <cell r="H776" t="str">
            <v>ОМПК(О)</v>
          </cell>
          <cell r="I776" t="str">
            <v xml:space="preserve">ТУ 10.72.19-162-00425283-2023 </v>
          </cell>
          <cell r="J776" t="str">
            <v>Хлебобулочное изделие. Полуфабрикат высокой степени готовности. Блинчики круглые быстрозамороженные.</v>
          </cell>
          <cell r="K776" t="str">
            <v xml:space="preserve">Состав: Тесто для блинов: мука пшеничная в/с, вода питьевая, масло подсолнечное рафинированное дезодорированное, сахар, меланж яичный сухой, сыворотка молочная сухая, соль, разрыхлитель (гидрокарбонат натрия), антиокислитель (лимонная кислота). Начинка: творог (молоко цельное, молоко обезжиренное, закваска, ферментный препарат животного происхождения (сычужный фермент)), вода питьевая, сахара, крупа манная, сыворотка молочная сухая, загуститель (модифицированный крахмал), соль, ванилин, ароматизаторы. </v>
          </cell>
          <cell r="L776">
            <v>5</v>
          </cell>
          <cell r="M776">
            <v>7</v>
          </cell>
          <cell r="N776">
            <v>24</v>
          </cell>
          <cell r="O776" t="str">
            <v>179/752</v>
          </cell>
          <cell r="P776" t="str">
            <v>-18</v>
          </cell>
          <cell r="Q776">
            <v>120</v>
          </cell>
        </row>
        <row r="777">
          <cell r="B777">
            <v>1002131187446</v>
          </cell>
          <cell r="C777" t="str">
            <v>БЛИНЧ.КРУГ. С ТВОРОГОМ ПМ 1/180 зам 12шт</v>
          </cell>
          <cell r="D777" t="str">
            <v>ШТ</v>
          </cell>
          <cell r="E777" t="str">
            <v>Полуфабрикаты зам</v>
          </cell>
          <cell r="F777" t="str">
            <v>Блины</v>
          </cell>
          <cell r="G777" t="str">
            <v>Папа может</v>
          </cell>
          <cell r="H777" t="str">
            <v>ОМПК(О)</v>
          </cell>
          <cell r="I777" t="str">
            <v xml:space="preserve">ТУ 10.72.19-162-00425283-2023 </v>
          </cell>
          <cell r="J777" t="str">
            <v>Хлебобулочное изделие. Полуфабрикат высокой степени готовности. Блинчики круглые быстрозамороженные.</v>
          </cell>
          <cell r="K777" t="str">
            <v xml:space="preserve">Состав: Тесто для блинов: мука пшеничная в/с, вода питьевая, масло подсолнечное рафинированное дезодорированное, сахар, меланж яичный сухой, сыворотка молочная сухая, соль, разрыхлитель (гидрокарбонат натрия), антиокислитель (лимонная кислота). Начинка: творог (молоко цельное, молоко обезжиренное, закваска, ферментный препарат животного происхождения (сычужный фермент)), вода питьевая, сахара, крупа манная, сыворотка молочная сухая, загуститель (модифицированный крахмал), соль, ванилин, ароматизаторы. </v>
          </cell>
          <cell r="L777">
            <v>5</v>
          </cell>
          <cell r="M777">
            <v>7</v>
          </cell>
          <cell r="N777">
            <v>24</v>
          </cell>
          <cell r="O777" t="str">
            <v>179/752</v>
          </cell>
          <cell r="P777" t="str">
            <v>-18</v>
          </cell>
          <cell r="Q777">
            <v>120</v>
          </cell>
        </row>
        <row r="778">
          <cell r="B778">
            <v>1002131186202</v>
          </cell>
          <cell r="C778" t="str">
            <v>БЛИНЧ.КРУГЛЫЕ С ТВОРОГОМ ПМ 1/300 зам.</v>
          </cell>
          <cell r="D778" t="str">
            <v>ШТ</v>
          </cell>
          <cell r="E778" t="str">
            <v>Полуфабрикаты зам</v>
          </cell>
          <cell r="F778" t="str">
            <v>Блины</v>
          </cell>
          <cell r="G778" t="str">
            <v>Папа может</v>
          </cell>
          <cell r="H778" t="str">
            <v>ОМПК(О)</v>
          </cell>
          <cell r="I778" t="str">
            <v xml:space="preserve">ТУ 10.72.19-162-00425283-2023 </v>
          </cell>
          <cell r="J778" t="str">
            <v>Хлебобулочное изделие. Полуфабрикат высокой степени готовности. Блинчики круглые быстрозамороженные.</v>
          </cell>
          <cell r="K778" t="str">
            <v>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творог (цельное молоко, обезжиренное молоко, закваска, ферментный препарат животного происхождения - сычужный фермент), вода, сахара, крупа манная, сыворотка молочная сухая, загустители: дикрахмаладипат ацетилированный, дикрахмалфосфат ацетилированный; соль, ванилин, ароматизаторы.</v>
          </cell>
          <cell r="L778">
            <v>10</v>
          </cell>
          <cell r="M778">
            <v>6</v>
          </cell>
          <cell r="N778">
            <v>35</v>
          </cell>
          <cell r="O778" t="str">
            <v>234/987</v>
          </cell>
          <cell r="P778" t="str">
            <v>-18</v>
          </cell>
          <cell r="Q778">
            <v>120</v>
          </cell>
        </row>
        <row r="779">
          <cell r="B779">
            <v>1002133377357</v>
          </cell>
          <cell r="C779" t="str">
            <v>БЛИНЧ.КРУГЛЫЕ С ВЕТЧ.И СЫР.ПМ 1/180 зам.</v>
          </cell>
          <cell r="D779" t="str">
            <v>ШТ</v>
          </cell>
          <cell r="E779" t="str">
            <v>Полуфабрикаты зам</v>
          </cell>
          <cell r="F779" t="str">
            <v>Блины</v>
          </cell>
          <cell r="G779" t="str">
            <v>Папа может</v>
          </cell>
          <cell r="H779" t="str">
            <v>ОМПК(О)</v>
          </cell>
          <cell r="I779" t="str">
            <v xml:space="preserve">ТУ 10.72.19-162-00425283-2023 </v>
          </cell>
          <cell r="J779" t="str">
            <v>Хлебобулочное изделие. Полуфабрикат высокой степени готовности. Блинчики круглые быстрозамороженные.</v>
          </cell>
          <cell r="K779" t="str">
            <v xml:space="preserve">Состав: Тесто: мука пшеничная в/с, вода питьевая, масло подсолнечное рафинированное дезодорированное, сахар, меланж яичный сухой, сыворотка молочная сухая, соль, разрыхлитель (гидрокарбонат натрия), антиокислитель (лимонная кислота). Начинка: ветчина (свинина, вода питьевая, белковый стабилизатор (шкурка свиная, вода питьевая), крахмал картофельный, смесь посолочно-нитритная (соль, фиксатор окраски (нитрит натрия)), белок животный (говяжий), соль, сахар, загустители (модифицированный крахмал, каррагинан из водорослей EUCHEMA, ксантановая камедь), белок соевый, регуляторы кислотности (трифосфаты, ацетаты натрия, цитраты натрия), стабилизаторы (пирофосфаты, полифосфаты), усилитель вкуса и аромата (глутамат натрия), антиокислитель (аскорбат натрия), горчица, ароматизаторы, краситель (кармины)), вода питьевая, сыр плавленый колбасный копченый (вода питьевая, сыр, масло сливочное, молоко сухое обезжиренное, крахмал кукурузный, сыворотка молочная сухая, регулятор кислотности (трифосфат), стабилизатор (пирофосфат), соль, эмульгатор (цитраты калия), регулятор кислотности (лимонная кислота), консервант (сорбат калия), стабилизатор (модифицированный крахмал), белок молочный, загуститель (ксантановая камедь), перец черный молотый, ароматизатор, краситель (каротины). </v>
          </cell>
          <cell r="L779">
            <v>5</v>
          </cell>
          <cell r="M779">
            <v>8</v>
          </cell>
          <cell r="N779">
            <v>31</v>
          </cell>
          <cell r="O779" t="str">
            <v>216/908</v>
          </cell>
          <cell r="P779" t="str">
            <v>-18</v>
          </cell>
          <cell r="Q779">
            <v>120</v>
          </cell>
        </row>
        <row r="780">
          <cell r="B780">
            <v>1002133377447</v>
          </cell>
          <cell r="C780" t="str">
            <v>БЛИНЧ.КРУГ. С ВЕТЧ.И СЫР.ПМ 1/180 зам.12</v>
          </cell>
          <cell r="D780" t="str">
            <v>ШТ</v>
          </cell>
          <cell r="E780" t="str">
            <v>Полуфабрикаты зам</v>
          </cell>
          <cell r="F780" t="str">
            <v>Блины</v>
          </cell>
          <cell r="G780" t="str">
            <v>Папа может</v>
          </cell>
          <cell r="H780" t="str">
            <v>ОМПК(О)</v>
          </cell>
          <cell r="I780" t="str">
            <v xml:space="preserve">ТУ 10.72.19-162-00425283-2023 </v>
          </cell>
          <cell r="J780" t="str">
            <v>Хлебобулочное изделие. Полуфабрикат высокой степени готовности. Блинчики круглые быстрозамороженные.</v>
          </cell>
          <cell r="K780" t="str">
            <v xml:space="preserve">Состав: Тесто: мука пшеничная в/с, вода питьевая, масло подсолнечное рафинированное дезодорированное, сахар, меланж яичный сухой, сыворотка молочная сухая, соль, разрыхлитель (гидрокарбонат натрия), антиокислитель (лимонная кислота). Начинка: ветчина (свинина, вода питьевая, белковый стабилизатор (шкурка свиная, вода питьевая), крахмал картофельный, смесь посолочно-нитритная (соль, фиксатор окраски (нитрит натрия)), белок животный (говяжий), соль, сахар, загустители (модифицированный крахмал, каррагинан из водорослей EUCHEMA, ксантановая камедь), белок соевый, регуляторы кислотности (трифосфаты, ацетаты натрия, цитраты натрия), стабилизаторы (пирофосфаты, полифосфаты), усилитель вкуса и аромата (глутамат натрия), антиокислитель (аскорбат натрия), горчица, ароматизаторы, краситель (кармины)), вода питьевая, сыр плавленый колбасный копченый (вода питьевая, сыр, масло сливочное, молоко сухое обезжиренное, крахмал кукурузный, сыворотка молочная сухая, регулятор кислотности (трифосфат), стабилизатор (пирофосфат), соль, эмульгатор (цитраты калия), регулятор кислотности (лимонная кислота), консервант (сорбат калия), стабилизатор (модифицированный крахмал), белок молочный, загуститель (ксантановая камедь), перец черный молотый, ароматизатор, краситель (каротины). </v>
          </cell>
          <cell r="L780">
            <v>5</v>
          </cell>
          <cell r="M780">
            <v>8</v>
          </cell>
          <cell r="N780">
            <v>31</v>
          </cell>
          <cell r="O780" t="str">
            <v>216/908</v>
          </cell>
          <cell r="P780" t="str">
            <v>-18</v>
          </cell>
          <cell r="Q780">
            <v>120</v>
          </cell>
        </row>
        <row r="781">
          <cell r="B781">
            <v>1002133376148</v>
          </cell>
          <cell r="C781" t="str">
            <v>БЛИНЧ.КРУГЛЫЕ С ВЕТЧ.И СЫР.ПМ 1/300 зам.</v>
          </cell>
          <cell r="D781" t="str">
            <v>ШТ</v>
          </cell>
          <cell r="E781" t="str">
            <v>Полуфабрикаты зам</v>
          </cell>
          <cell r="F781" t="str">
            <v>Блины</v>
          </cell>
          <cell r="G781" t="str">
            <v>Папа может</v>
          </cell>
          <cell r="H781" t="str">
            <v>ОМПК(О)</v>
          </cell>
          <cell r="I781" t="str">
            <v xml:space="preserve">ТУ 10.72.19-162-00425283-2023 </v>
          </cell>
          <cell r="J781" t="str">
            <v>Хлебобулочное изделие. Полуфабрикат высокой степени готовности. Блинчики круглые быстрозамороженные.</v>
          </cell>
          <cell r="K781" t="str">
            <v>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ветчина (свинина, вода, белковый стабилизатор (шкурка свиная, вода), крахмал картофельный, смесь посолочно-нитритная (соль, фиксатор окраски нитрит натрия), животный белок говяжий, соль, сахар, загустители: дикрахмалфосфат оксипропилированный, каррагинан из водорослей EUCHEMA, ксантановая камедь; соевый белок, регуляторы кислотности: трифосфаты, ацетаты натрия, цитраты натрия; стабилизаторы: пирофосфаты и полифосфаты, усилитель вкуса и аромата глутамат натрия, антиокислитель аскорбат натрия, горчица, ароматизаторы, краситель кармины), вода, сыр (вода, сыр, масло сливочное, молоко сухое обезжиренное, крахмал кукурузный, сухая молочная сыворотка, регулятор кислотности трифосфат, стабилизатор пирофосфат, соль, эмульгатор цитраты калия, регулятор кислотности лимонная кислота, консервант сорбат калия), стабилизатор дикрахмалфосфат ацетилированный, молочный белок, загуститель ксантановая камедь, перец черный молотый, ароматизатор, краситель каротины.</v>
          </cell>
          <cell r="L781">
            <v>8</v>
          </cell>
          <cell r="M781">
            <v>6</v>
          </cell>
          <cell r="N781">
            <v>31</v>
          </cell>
          <cell r="O781" t="str">
            <v>210/885</v>
          </cell>
          <cell r="P781" t="str">
            <v>-18</v>
          </cell>
          <cell r="Q781">
            <v>120</v>
          </cell>
        </row>
        <row r="782">
          <cell r="B782">
            <v>1002134275579</v>
          </cell>
          <cell r="C782" t="str">
            <v>БЛИНЧ.КРУГЛЫЕ С САД.ЯБЛОК.1/420 зам_ПОСТ</v>
          </cell>
          <cell r="D782" t="str">
            <v>ШТ</v>
          </cell>
          <cell r="E782" t="str">
            <v>Полуфабрикаты зам</v>
          </cell>
          <cell r="F782" t="str">
            <v>Блины</v>
          </cell>
          <cell r="G782" t="str">
            <v>Останкино</v>
          </cell>
          <cell r="H782" t="str">
            <v>ОМПК(О)</v>
          </cell>
          <cell r="I782" t="str">
            <v xml:space="preserve">ТУ 10.72.19-162-00425283-2023 </v>
          </cell>
          <cell r="J782" t="str">
            <v>Хлебобулочное изделие. Полуфабрикат высокой степени готовности: блинчики круглые быстрозамороженные.</v>
          </cell>
          <cell r="K782" t="str">
            <v>Тесто для блинов: мука пшеничная в/с, вода, масло растительное, сахар, соль, дрожжи хлебопекарные, эмульгаторы: Е471, Е481; клетчатка пшеничная, антиокислители: лимонная кислота, пиросульфит натрия; экстракт куркумы. Начинка: яблоки, сахар, вода, загуститель Е1442, регулятор кислотности лимонная кислота, ароматизаторы.</v>
          </cell>
          <cell r="L782">
            <v>3</v>
          </cell>
          <cell r="M782">
            <v>8</v>
          </cell>
          <cell r="N782">
            <v>33</v>
          </cell>
          <cell r="O782" t="str">
            <v>216/908</v>
          </cell>
          <cell r="P782" t="str">
            <v>-18</v>
          </cell>
          <cell r="Q782">
            <v>120</v>
          </cell>
        </row>
        <row r="783">
          <cell r="B783">
            <v>1002134615897</v>
          </cell>
          <cell r="C783" t="str">
            <v>БЛИНЧ.КРУГЛЫЕ С ГРУШЕЙ пл.1/420 зам.</v>
          </cell>
          <cell r="D783" t="str">
            <v>ШТ</v>
          </cell>
          <cell r="E783" t="str">
            <v>Полуфабрикаты зам</v>
          </cell>
          <cell r="F783" t="str">
            <v>Блины</v>
          </cell>
          <cell r="G783" t="str">
            <v>Останкино</v>
          </cell>
          <cell r="H783" t="str">
            <v>ОМПК(О)</v>
          </cell>
          <cell r="I783" t="str">
            <v xml:space="preserve">ТУ 10.72.19-162-00425283-2023 </v>
          </cell>
          <cell r="J783" t="str">
            <v>Хлебобулочное изделие. Полуфабрикат высокой степени готовности: блинчики круглые быстрозамороженные.</v>
          </cell>
          <cell r="K783" t="str">
            <v>Тесто для блинов: мука пшеничная в/с, вода, масло растительное, сахар, соль, комплексная пищевая добавка (разрыхлители: гидрокарбонат натрия, пирофосфаты, глюконо-дельта-лактон; эмульгаторы: Е471, Е481; клетчатка пшеничная, антиокислители: лимонная кислота, пиросульфит натрия, экстракт куркумы). Начинка: груша, сахар, вода, загуститель Е1442, регулятор кислотности лимонная кислота, ароматизаторы.</v>
          </cell>
          <cell r="L783">
            <v>3</v>
          </cell>
          <cell r="M783">
            <v>8</v>
          </cell>
          <cell r="N783">
            <v>34</v>
          </cell>
          <cell r="O783" t="str">
            <v>220/925</v>
          </cell>
          <cell r="P783" t="str">
            <v>-18</v>
          </cell>
          <cell r="Q783">
            <v>120</v>
          </cell>
        </row>
        <row r="784">
          <cell r="B784">
            <v>1002134617109</v>
          </cell>
          <cell r="C784" t="str">
            <v>БЛИНЧ.КРУГЛЫЕ С ГРУШЕЙ 1/300 12шт.зам.</v>
          </cell>
          <cell r="D784" t="str">
            <v>ШТ</v>
          </cell>
          <cell r="E784" t="str">
            <v>Полуфабрикаты зам</v>
          </cell>
          <cell r="F784" t="str">
            <v>Блины</v>
          </cell>
          <cell r="G784" t="str">
            <v>Папа может</v>
          </cell>
          <cell r="H784" t="str">
            <v>ОМПК(О)</v>
          </cell>
          <cell r="I784" t="str">
            <v xml:space="preserve">ТУ 10.72.19-162-00425283-2023 </v>
          </cell>
          <cell r="J784" t="str">
            <v>Хлебобулочное изделие. Полуфабрикат высокой степени готовности: блинчики круглые быстрозамороженные.</v>
          </cell>
          <cell r="K784" t="str">
            <v>Тесто для блинов: мука пшеничная в/с, вода питьевая, масло подсолнечное рафинированное дезодорированное, сахар, порошок яичный, сыворотка молочная сухая, соль, разрыхлитель (гидрокарбонат натрия), антиокислитель (лимонная кислота). Начинка: груша, сахар, вода питьевая, загуститель (модифицированный крахмал), ароматизатор натуральный.</v>
          </cell>
          <cell r="L784">
            <v>3</v>
          </cell>
          <cell r="M784">
            <v>8</v>
          </cell>
          <cell r="N784">
            <v>33</v>
          </cell>
          <cell r="O784" t="str">
            <v>216/908</v>
          </cell>
          <cell r="P784" t="str">
            <v>-18</v>
          </cell>
          <cell r="Q784">
            <v>120</v>
          </cell>
        </row>
        <row r="785">
          <cell r="B785">
            <v>1002134276819</v>
          </cell>
          <cell r="C785" t="str">
            <v>БЛИНЧ.КРУГЛЫЕ С САД.ЯБЛОК.пл.1/300 зам.</v>
          </cell>
          <cell r="D785" t="str">
            <v>ШТ</v>
          </cell>
          <cell r="E785" t="str">
            <v>Полуфабрикаты зам</v>
          </cell>
          <cell r="F785" t="str">
            <v>Блины</v>
          </cell>
          <cell r="G785" t="str">
            <v>Останкино</v>
          </cell>
          <cell r="H785" t="str">
            <v>ОМПК(О)</v>
          </cell>
          <cell r="I785" t="str">
            <v xml:space="preserve">ТУ 10.72.19-162-00425283-2023 </v>
          </cell>
          <cell r="J785" t="str">
            <v>Хлебобулочное изделие. Полуфабрикат высокой степени готовности. Блинчики круглые быстрозамороженные.</v>
          </cell>
          <cell r="K785" t="str">
            <v>Тесто для блинов: мука пшеничная в/с, вода, масло растительное, сахар, соль, дрожжи хлебопекарные, эмульгаторы: Е471, Е481; клетчатка пшеничная, антиокислители: лимонная кислота, пиросульфит натрия; экстракт куркумы. Начинка: яблоки, сахар, вода, загуститель Е1442, регулятор кислотности лимонная кислота, ароматизаторы.</v>
          </cell>
          <cell r="L785">
            <v>3</v>
          </cell>
          <cell r="M785">
            <v>8</v>
          </cell>
          <cell r="N785">
            <v>33</v>
          </cell>
          <cell r="O785" t="str">
            <v>216/908</v>
          </cell>
          <cell r="P785" t="str">
            <v>-18</v>
          </cell>
          <cell r="Q785">
            <v>120</v>
          </cell>
        </row>
        <row r="786">
          <cell r="B786">
            <v>1002131154731</v>
          </cell>
          <cell r="C786" t="str">
            <v>БЛИНЧ.С МЯСОМ 5кг зам._120с</v>
          </cell>
          <cell r="D786" t="str">
            <v>ШТ</v>
          </cell>
          <cell r="E786" t="str">
            <v>Полуфабрикаты зам</v>
          </cell>
          <cell r="F786" t="str">
            <v>Блины</v>
          </cell>
          <cell r="G786" t="str">
            <v>Останкино</v>
          </cell>
          <cell r="H786" t="str">
            <v>ОМПК(О)</v>
          </cell>
          <cell r="I786" t="str">
            <v xml:space="preserve">ТУ 10.72.19-162-00425283-2023 </v>
          </cell>
          <cell r="J786" t="str">
            <v>Хлебобулочное изделие. Полуфабрикат высокой степени готовности: блинчики быстрозамороженные.</v>
          </cell>
          <cell r="K786" t="str">
            <v>Тесто для блинов: мука пшеничная в/с, вода, молоко сухое обезжиренное, сахар, масло растительное, сухой яичный меланж, соль, разрыхлитель гидрокарбонат натрия. Начинка: свинина, говядина, вода, соевый белок, соль, лук жареный, мука пшеничная, масло растительное, животный белок говяжий, петрушка, укроп, растительная клетчатка, специи, ароматизаторы, усилитель вкуса и аромата глутамат натрия, перец черный.</v>
          </cell>
          <cell r="L786">
            <v>8</v>
          </cell>
          <cell r="M786">
            <v>11</v>
          </cell>
          <cell r="N786">
            <v>33</v>
          </cell>
          <cell r="O786" t="str">
            <v>263/1104</v>
          </cell>
          <cell r="P786" t="str">
            <v>-18</v>
          </cell>
          <cell r="Q786">
            <v>120</v>
          </cell>
        </row>
        <row r="787">
          <cell r="B787">
            <v>1002131155754</v>
          </cell>
          <cell r="C787" t="str">
            <v>БЛИНЧ.КРУГЛЫЕ С МЯСОМ 4.5кг зам_ФМ</v>
          </cell>
          <cell r="D787" t="str">
            <v>КГ</v>
          </cell>
          <cell r="E787" t="str">
            <v>Полуфабрикаты зам</v>
          </cell>
          <cell r="F787" t="str">
            <v>Блины</v>
          </cell>
          <cell r="G787" t="str">
            <v>Останкино</v>
          </cell>
          <cell r="H787" t="str">
            <v>ОМПК(О)</v>
          </cell>
          <cell r="I787" t="str">
            <v xml:space="preserve">ТУ 10.72.19-162-00425283-2023 </v>
          </cell>
          <cell r="J787" t="str">
            <v>Хлебобулочное изделие. Полуфабрикат высокой степени готовности: блинчики круглые быстрозамороженные.</v>
          </cell>
          <cell r="K787" t="str">
            <v>Тесто для блинов: мука пшеничная в/с, вода, масло растительное, сахар, сухой яичный меланж, сыворотка молочная сухая, соль, разрыхлитель гидрокарбонат натрия, регулятор кислотности лимонная кислота. Начинка: свинина, говядина, вода, соевый белок, лук жареный, масло растительное, мука пшеничная, соль, специи, ароматизаторы, усилитель вкуса и аромата глутамат натрия, перец черный.</v>
          </cell>
          <cell r="L787">
            <v>8</v>
          </cell>
          <cell r="M787">
            <v>11</v>
          </cell>
          <cell r="N787">
            <v>33</v>
          </cell>
          <cell r="O787" t="str">
            <v>270/1130</v>
          </cell>
          <cell r="P787" t="str">
            <v>-18</v>
          </cell>
          <cell r="Q787">
            <v>120</v>
          </cell>
        </row>
        <row r="788">
          <cell r="B788">
            <v>1002131185755</v>
          </cell>
          <cell r="C788" t="str">
            <v>БЛИНЧ.КРУГЛЫЕ С ТВОРОГОМ 4.5кг зам_ФМ</v>
          </cell>
          <cell r="D788" t="str">
            <v>КГ</v>
          </cell>
          <cell r="E788" t="str">
            <v>Полуфабрикаты зам</v>
          </cell>
          <cell r="F788" t="str">
            <v>Блины</v>
          </cell>
          <cell r="G788" t="str">
            <v>Останкино</v>
          </cell>
          <cell r="H788" t="str">
            <v>ОМПК(О)</v>
          </cell>
          <cell r="I788" t="str">
            <v xml:space="preserve">ТУ 10.72.19-162-00425283-2023 </v>
          </cell>
          <cell r="J788" t="str">
            <v>Хлебобулочное изделие. Полуфабрикат высокой степени готовности. Блинчики круглые быстрозамороженные.</v>
          </cell>
          <cell r="K788" t="str">
            <v>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творог (молоко нормализованное, закваска), вода, сахар, комплексные пищевые добавки (загустители: дикрахмаладипат ацетилированный, дикрахмалфосфат ацетилированный, сыворотка молочная сухая, ароматизаторы); манная крупа, соль, ванилин.</v>
          </cell>
          <cell r="L788">
            <v>6</v>
          </cell>
          <cell r="M788">
            <v>10</v>
          </cell>
          <cell r="N788">
            <v>30</v>
          </cell>
          <cell r="O788" t="str">
            <v>234/982</v>
          </cell>
          <cell r="P788" t="str">
            <v>-18</v>
          </cell>
          <cell r="Q788">
            <v>120</v>
          </cell>
        </row>
        <row r="789">
          <cell r="B789">
            <v>1002171554809</v>
          </cell>
          <cell r="C789" t="str">
            <v>НОГИ СВИНЫЕ упак.зам.</v>
          </cell>
          <cell r="D789" t="str">
            <v>КГ</v>
          </cell>
          <cell r="E789" t="str">
            <v>Полуфабрикаты зам</v>
          </cell>
          <cell r="F789" t="str">
            <v>ЗПФ Кусковые</v>
          </cell>
          <cell r="G789" t="str">
            <v>Останкино</v>
          </cell>
          <cell r="H789" t="str">
            <v>ОМПК (Г)</v>
          </cell>
          <cell r="I789" t="str">
            <v>ГОСТ 32244-2013</v>
          </cell>
          <cell r="J789" t="str">
            <v>Субпродукт свиной замороженный шерстный.</v>
          </cell>
          <cell r="K789" t="str">
            <v>ноги свиные</v>
          </cell>
          <cell r="L789">
            <v>25</v>
          </cell>
          <cell r="M789">
            <v>7</v>
          </cell>
          <cell r="O789" t="str">
            <v>163/684</v>
          </cell>
          <cell r="P789" t="str">
            <v>-18</v>
          </cell>
          <cell r="Q789">
            <v>365</v>
          </cell>
        </row>
        <row r="790">
          <cell r="B790">
            <v>1002172146099</v>
          </cell>
          <cell r="C790" t="str">
            <v>ПЕЧЕНЬ СВИНАЯ упак.зам.</v>
          </cell>
          <cell r="D790" t="str">
            <v>КГ</v>
          </cell>
          <cell r="E790" t="str">
            <v>Полуфабрикаты зам</v>
          </cell>
          <cell r="F790" t="str">
            <v>ЗПФ Кусковые</v>
          </cell>
          <cell r="G790" t="str">
            <v>Останкино</v>
          </cell>
          <cell r="H790" t="str">
            <v>ОМПК (Г)</v>
          </cell>
          <cell r="I790" t="str">
            <v>ГОСТ 32244-2013</v>
          </cell>
          <cell r="J790" t="str">
            <v>Субпродукт свиной замороженный мякотный.</v>
          </cell>
          <cell r="K790" t="str">
            <v xml:space="preserve"> печень свиная</v>
          </cell>
          <cell r="L790">
            <v>18</v>
          </cell>
          <cell r="M790">
            <v>4</v>
          </cell>
          <cell r="O790" t="str">
            <v>108/454</v>
          </cell>
          <cell r="P790" t="str">
            <v>-18</v>
          </cell>
          <cell r="Q790">
            <v>365</v>
          </cell>
        </row>
        <row r="791">
          <cell r="B791">
            <v>1002172146162</v>
          </cell>
          <cell r="C791" t="str">
            <v>ПЕЧЕНЬ СВИНАЯ упак.зам_Ашан</v>
          </cell>
          <cell r="D791" t="str">
            <v>КГ</v>
          </cell>
          <cell r="E791" t="str">
            <v>Полуфабрикаты зам</v>
          </cell>
          <cell r="F791" t="str">
            <v>ЗПФ Кусковые</v>
          </cell>
          <cell r="G791" t="str">
            <v>Останкино</v>
          </cell>
          <cell r="H791" t="str">
            <v>ОМПК (Г)</v>
          </cell>
          <cell r="I791" t="str">
            <v>ГОСТ 32244-2013</v>
          </cell>
          <cell r="J791" t="str">
            <v>Субпродукт свиной замороженный мякотный.</v>
          </cell>
          <cell r="K791" t="str">
            <v xml:space="preserve"> печень свиная</v>
          </cell>
          <cell r="L791">
            <v>18</v>
          </cell>
          <cell r="M791">
            <v>4</v>
          </cell>
          <cell r="O791" t="str">
            <v>108/454</v>
          </cell>
          <cell r="P791" t="str">
            <v>-18</v>
          </cell>
          <cell r="Q791">
            <v>365</v>
          </cell>
        </row>
        <row r="792">
          <cell r="B792">
            <v>1002174986100</v>
          </cell>
          <cell r="C792" t="str">
            <v>СЕРДЦЕ СВИНОЕ упак.зам.</v>
          </cell>
          <cell r="D792" t="str">
            <v>КГ</v>
          </cell>
          <cell r="E792" t="str">
            <v>Полуфабрикаты зам</v>
          </cell>
          <cell r="F792" t="str">
            <v>ЗПФ Кусковые</v>
          </cell>
          <cell r="G792" t="str">
            <v>Останкино</v>
          </cell>
          <cell r="H792" t="str">
            <v>ОМПК (Г)</v>
          </cell>
          <cell r="I792" t="str">
            <v>ГОСТ 32244-2013</v>
          </cell>
          <cell r="J792" t="str">
            <v>Субпродукт свиной замороженный мякотный.</v>
          </cell>
          <cell r="K792" t="str">
            <v>сердце свиное</v>
          </cell>
          <cell r="L792">
            <v>16</v>
          </cell>
          <cell r="M792">
            <v>4</v>
          </cell>
          <cell r="O792" t="str">
            <v>100/420</v>
          </cell>
          <cell r="P792" t="str">
            <v>-18</v>
          </cell>
          <cell r="Q792">
            <v>365</v>
          </cell>
        </row>
        <row r="793">
          <cell r="B793">
            <v>1002174996101</v>
          </cell>
          <cell r="C793" t="str">
            <v>ХВОСТЫ СВИНЫЕ упак.зам.</v>
          </cell>
          <cell r="D793" t="str">
            <v>КГ</v>
          </cell>
          <cell r="E793" t="str">
            <v>Полуфабрикаты зам</v>
          </cell>
          <cell r="F793" t="str">
            <v>ЗПФ Кусковые</v>
          </cell>
          <cell r="G793" t="str">
            <v>Останкино</v>
          </cell>
          <cell r="H793" t="str">
            <v>ОМПК (Г)</v>
          </cell>
          <cell r="I793" t="str">
            <v>ГОСТ 32244-2013</v>
          </cell>
          <cell r="J793" t="str">
            <v>Субпродукт свиной замороженный шерстный.</v>
          </cell>
          <cell r="K793" t="str">
            <v>хвосты свиные</v>
          </cell>
          <cell r="L793">
            <v>16</v>
          </cell>
          <cell r="M793">
            <v>40</v>
          </cell>
          <cell r="O793" t="str">
            <v>424/1752</v>
          </cell>
          <cell r="P793" t="str">
            <v>-18</v>
          </cell>
          <cell r="Q793">
            <v>365</v>
          </cell>
        </row>
        <row r="794">
          <cell r="B794">
            <v>1002365006581</v>
          </cell>
          <cell r="C794" t="str">
            <v>ЯЗЫК СВИНОЙ упак.зам.</v>
          </cell>
          <cell r="D794" t="str">
            <v>КГ</v>
          </cell>
          <cell r="E794" t="str">
            <v>Полуфабрикаты зам</v>
          </cell>
          <cell r="F794" t="str">
            <v>ЗПФ Кусковые</v>
          </cell>
          <cell r="G794" t="str">
            <v>Останкино</v>
          </cell>
          <cell r="H794" t="str">
            <v>ОМПК (Г)</v>
          </cell>
          <cell r="I794" t="str">
            <v>ГОСТ 32244-2013</v>
          </cell>
          <cell r="J794" t="str">
            <v>Субпродукт свиной замороженный мякотный.</v>
          </cell>
          <cell r="K794" t="str">
            <v>язык свиной</v>
          </cell>
          <cell r="L794">
            <v>16</v>
          </cell>
          <cell r="M794">
            <v>16</v>
          </cell>
          <cell r="O794" t="str">
            <v>208/864</v>
          </cell>
          <cell r="P794" t="str">
            <v>-18</v>
          </cell>
          <cell r="Q794">
            <v>365</v>
          </cell>
        </row>
        <row r="795">
          <cell r="B795">
            <v>1002365006598</v>
          </cell>
          <cell r="C795" t="str">
            <v>ЯЗЫК СВИНОЙ упак.зам_Ашан</v>
          </cell>
          <cell r="D795" t="str">
            <v>КГ</v>
          </cell>
          <cell r="E795" t="str">
            <v>Полуфабрикаты зам</v>
          </cell>
          <cell r="F795" t="str">
            <v>ЗПФ Кусковые</v>
          </cell>
          <cell r="G795" t="str">
            <v>Останкино</v>
          </cell>
          <cell r="H795" t="str">
            <v>ОМПК (Г)</v>
          </cell>
          <cell r="I795" t="str">
            <v>ГОСТ 32244-2013</v>
          </cell>
          <cell r="J795" t="str">
            <v>Субпродукт свиной замороженный мякотный.</v>
          </cell>
          <cell r="K795" t="str">
            <v>язык свиной</v>
          </cell>
          <cell r="L795">
            <v>16</v>
          </cell>
          <cell r="M795">
            <v>16</v>
          </cell>
          <cell r="O795" t="str">
            <v>208/864</v>
          </cell>
          <cell r="P795" t="str">
            <v>-18</v>
          </cell>
          <cell r="Q795">
            <v>365</v>
          </cell>
        </row>
        <row r="796">
          <cell r="B796">
            <v>1002365007561</v>
          </cell>
          <cell r="C796" t="str">
            <v>ЯЗЫК СВИНОЙ зам. в/у_Лента</v>
          </cell>
          <cell r="D796" t="str">
            <v>КГ</v>
          </cell>
          <cell r="E796" t="str">
            <v>Полуфабрикаты зам</v>
          </cell>
          <cell r="F796" t="str">
            <v>ЗПФ Кусковые</v>
          </cell>
          <cell r="G796" t="str">
            <v>Останкино</v>
          </cell>
          <cell r="H796" t="str">
            <v>ОМПК (Г)</v>
          </cell>
          <cell r="I796" t="str">
            <v>ГОСТ 32244-2013</v>
          </cell>
          <cell r="J796" t="str">
            <v>Субпродукт свиной замороженный мякотный.</v>
          </cell>
          <cell r="K796" t="str">
            <v>язык свиной</v>
          </cell>
          <cell r="L796">
            <v>16</v>
          </cell>
          <cell r="M796">
            <v>16</v>
          </cell>
          <cell r="N796">
            <v>0</v>
          </cell>
          <cell r="O796" t="str">
            <v>208/864</v>
          </cell>
          <cell r="P796" t="str">
            <v>-18</v>
          </cell>
          <cell r="Q796">
            <v>180</v>
          </cell>
        </row>
        <row r="797">
          <cell r="B797">
            <v>1002365007043</v>
          </cell>
          <cell r="C797" t="str">
            <v>ЯЗЫК СВИНОЙ (в блоках) зам.</v>
          </cell>
          <cell r="D797" t="str">
            <v>КГ</v>
          </cell>
          <cell r="E797" t="str">
            <v>Полуфабрикаты зам</v>
          </cell>
          <cell r="F797" t="str">
            <v>ЗПФ Кусковые</v>
          </cell>
          <cell r="G797" t="str">
            <v>Останкино</v>
          </cell>
          <cell r="H797" t="str">
            <v>ОМПК (Г)</v>
          </cell>
          <cell r="I797" t="str">
            <v>ГОСТ 32244-2013</v>
          </cell>
          <cell r="J797" t="str">
            <v>Субпродукт свиной замороженный мякотный.</v>
          </cell>
          <cell r="K797" t="str">
            <v>язык свиной</v>
          </cell>
          <cell r="L797">
            <v>16</v>
          </cell>
          <cell r="M797">
            <v>16</v>
          </cell>
          <cell r="O797" t="str">
            <v>208/864</v>
          </cell>
          <cell r="P797" t="str">
            <v>-18</v>
          </cell>
          <cell r="Q797">
            <v>365</v>
          </cell>
        </row>
        <row r="798">
          <cell r="B798">
            <v>1002162166019</v>
          </cell>
          <cell r="C798" t="str">
            <v>РЕБРЫШКИ ОБЫКНОВЕННЫЕ 1кг 12шт.зам_120с</v>
          </cell>
          <cell r="D798" t="str">
            <v>ШТ</v>
          </cell>
          <cell r="E798" t="str">
            <v>Полуфабрикаты зам</v>
          </cell>
          <cell r="F798" t="str">
            <v>ЗПФ Кусковые</v>
          </cell>
          <cell r="G798" t="str">
            <v>Останкино</v>
          </cell>
          <cell r="H798" t="str">
            <v>ОМПК(О)</v>
          </cell>
          <cell r="I798" t="str">
            <v>ТУ 10.13.14-151-00425283-2025</v>
          </cell>
          <cell r="J798" t="str">
            <v>Мясной полуфабрикат из свинины мясокостный крупнокусковой замороженный категории Б</v>
          </cell>
          <cell r="K798" t="str">
            <v>свинина на кости</v>
          </cell>
          <cell r="L798">
            <v>16</v>
          </cell>
          <cell r="M798">
            <v>21</v>
          </cell>
          <cell r="N798">
            <v>0</v>
          </cell>
          <cell r="O798" t="str">
            <v>253/1049</v>
          </cell>
          <cell r="P798" t="str">
            <v>-18</v>
          </cell>
          <cell r="Q798">
            <v>120</v>
          </cell>
        </row>
        <row r="799">
          <cell r="B799">
            <v>1002162156004</v>
          </cell>
          <cell r="C799" t="str">
            <v>РАГУ СВИНОЕ 1кг 8шт.зам_120с</v>
          </cell>
          <cell r="D799" t="str">
            <v>ШТ</v>
          </cell>
          <cell r="E799" t="str">
            <v>Полуфабрикаты зам</v>
          </cell>
          <cell r="F799" t="str">
            <v>ЗПФ Кусковые</v>
          </cell>
          <cell r="G799" t="str">
            <v>Останкино</v>
          </cell>
          <cell r="H799" t="str">
            <v>ОМПК(О)</v>
          </cell>
          <cell r="I799" t="str">
            <v>ТУ 10.13.14-151-00425283-2025</v>
          </cell>
          <cell r="J799" t="str">
            <v>Мясной полуфабрикат из свинины мясокостный мелкокусковой замороженный категории В.</v>
          </cell>
          <cell r="K799" t="str">
            <v>свинина на кости</v>
          </cell>
          <cell r="L799">
            <v>15</v>
          </cell>
          <cell r="M799">
            <v>21</v>
          </cell>
          <cell r="N799">
            <v>0</v>
          </cell>
          <cell r="O799" t="str">
            <v>249/1032</v>
          </cell>
          <cell r="P799" t="str">
            <v>-18</v>
          </cell>
          <cell r="Q799">
            <v>120</v>
          </cell>
        </row>
        <row r="800">
          <cell r="B800">
            <v>1002171586745</v>
          </cell>
          <cell r="C800" t="str">
            <v>РАГУ СВИНОЕ (в пластах) зам.</v>
          </cell>
          <cell r="D800" t="str">
            <v>КГ</v>
          </cell>
          <cell r="E800" t="str">
            <v>Полуфабрикаты зам</v>
          </cell>
          <cell r="F800" t="str">
            <v>ЗПФ Кусковые</v>
          </cell>
          <cell r="G800" t="str">
            <v>Останкино</v>
          </cell>
          <cell r="H800" t="str">
            <v>ОМПК(О)</v>
          </cell>
          <cell r="I800" t="str">
            <v>ТУ 10.13.14-151-00425283-2018</v>
          </cell>
          <cell r="J800" t="str">
            <v>Полуфабрикат из свинины замороженный мясокостный мелкокусковой категории В.</v>
          </cell>
          <cell r="K800" t="str">
            <v>свинина на кости</v>
          </cell>
          <cell r="L800">
            <v>15</v>
          </cell>
          <cell r="M800">
            <v>21</v>
          </cell>
          <cell r="O800" t="str">
            <v>249/1032</v>
          </cell>
          <cell r="P800" t="str">
            <v>-18</v>
          </cell>
          <cell r="Q800">
            <v>90</v>
          </cell>
        </row>
        <row r="801">
          <cell r="B801">
            <v>1002162216872</v>
          </cell>
          <cell r="C801" t="str">
            <v>ШАШЛЫК ИЗ СВИНИНЫ зам.</v>
          </cell>
          <cell r="D801" t="str">
            <v>КГ</v>
          </cell>
          <cell r="E801" t="str">
            <v>Полуфабрикаты зам</v>
          </cell>
          <cell r="F801" t="str">
            <v>ОПФ Шашлыки Маринады</v>
          </cell>
          <cell r="G801" t="str">
            <v>Останкино</v>
          </cell>
          <cell r="H801" t="str">
            <v>ОМПК(О)</v>
          </cell>
          <cell r="I801" t="str">
            <v>ТУ 10.13.14-151-00425283-2025</v>
          </cell>
          <cell r="J801" t="str">
            <v>Полуфабрикат мясной бескостный мелкокусковой охлажденный маринованный категории Б.</v>
          </cell>
          <cell r="K801" t="str">
            <v>свинина, маринад (вода питьевая, соль, стабилизатор (пирофосфаты), загустители (каррагинан из водорослей EUCHEMA, ксантановая камедь), уксус сухой, антиокислители (изоаскорбат натрия, экстракт розмарина), сахара), лук репчатый свежий, перец черный молотый, ароматизатор</v>
          </cell>
          <cell r="L801">
            <v>12</v>
          </cell>
          <cell r="M801">
            <v>10</v>
          </cell>
          <cell r="N801">
            <v>1</v>
          </cell>
          <cell r="O801" t="str">
            <v>142/591</v>
          </cell>
          <cell r="P801" t="str">
            <v>-18</v>
          </cell>
          <cell r="Q801">
            <v>90</v>
          </cell>
        </row>
        <row r="802">
          <cell r="B802">
            <v>1002162094933</v>
          </cell>
          <cell r="C802" t="str">
            <v>НОГИ СВИНЫЕ ПЕРЕДНИЕ зам.</v>
          </cell>
          <cell r="D802" t="str">
            <v>ШТ</v>
          </cell>
          <cell r="E802" t="str">
            <v>Полуфабрикаты зам</v>
          </cell>
          <cell r="F802" t="str">
            <v>ЗПФ Кусковые</v>
          </cell>
          <cell r="G802" t="str">
            <v>Останкино</v>
          </cell>
          <cell r="H802" t="str">
            <v>ОМПК (О)
ОМПК (Г)</v>
          </cell>
          <cell r="I802" t="str">
            <v>ГОСТ 32244-2013</v>
          </cell>
          <cell r="J802" t="str">
            <v>Субпродукт свиной замороженный шерстный.</v>
          </cell>
          <cell r="K802" t="str">
            <v>ноги свиные передние</v>
          </cell>
          <cell r="L802">
            <v>25</v>
          </cell>
          <cell r="M802">
            <v>7</v>
          </cell>
          <cell r="O802" t="str">
            <v>163/682</v>
          </cell>
          <cell r="P802" t="str">
            <v>-18</v>
          </cell>
          <cell r="Q802">
            <v>365</v>
          </cell>
        </row>
        <row r="803">
          <cell r="B803">
            <v>1002162094934</v>
          </cell>
          <cell r="C803" t="str">
            <v>НОГИ СВИНЫЕ ЗАДНИЕ зам.</v>
          </cell>
          <cell r="D803" t="str">
            <v>ШТ</v>
          </cell>
          <cell r="E803" t="str">
            <v>Полуфабрикаты зам</v>
          </cell>
          <cell r="F803" t="str">
            <v>ЗПФ Кусковые</v>
          </cell>
          <cell r="G803" t="str">
            <v>Останкино</v>
          </cell>
          <cell r="H803" t="str">
            <v>ОМПК (О)
ОМПК (Г)</v>
          </cell>
          <cell r="I803" t="str">
            <v>ГОСТ 32244-2013</v>
          </cell>
          <cell r="J803" t="str">
            <v>Субпродукт свиной замороженный шерстный.</v>
          </cell>
          <cell r="K803" t="str">
            <v>ноги свиные задние</v>
          </cell>
          <cell r="L803">
            <v>25</v>
          </cell>
          <cell r="M803">
            <v>7</v>
          </cell>
          <cell r="O803" t="str">
            <v>163/682</v>
          </cell>
          <cell r="P803" t="str">
            <v>-18</v>
          </cell>
          <cell r="Q803">
            <v>365</v>
          </cell>
        </row>
        <row r="804">
          <cell r="B804">
            <v>1002163474935</v>
          </cell>
          <cell r="C804" t="str">
            <v>УШИ СВИНЫЕ зам.</v>
          </cell>
          <cell r="D804" t="str">
            <v>ШТ</v>
          </cell>
          <cell r="E804" t="str">
            <v>Полуфабрикаты зам</v>
          </cell>
          <cell r="F804" t="str">
            <v>ЗПФ Кусковые</v>
          </cell>
          <cell r="G804" t="str">
            <v>Останкино</v>
          </cell>
          <cell r="H804" t="str">
            <v>ОМПК (О)
ОМПК (Г)</v>
          </cell>
          <cell r="I804" t="str">
            <v>ГОСТ 32244-2013</v>
          </cell>
          <cell r="J804" t="str">
            <v>Субпродукт свиной замороженный шерстный.</v>
          </cell>
          <cell r="K804" t="str">
            <v>уши свиные</v>
          </cell>
          <cell r="L804">
            <v>20</v>
          </cell>
          <cell r="M804">
            <v>23</v>
          </cell>
          <cell r="O804" t="str">
            <v>116/486</v>
          </cell>
          <cell r="P804" t="str">
            <v>-18</v>
          </cell>
          <cell r="Q804">
            <v>365</v>
          </cell>
        </row>
        <row r="805">
          <cell r="B805">
            <v>1002116517224</v>
          </cell>
          <cell r="C805" t="str">
            <v>МЯСНЫЕ ПРЕМИУМ пельм кор.0.4кг зам.</v>
          </cell>
          <cell r="D805" t="str">
            <v>ШТ</v>
          </cell>
          <cell r="E805" t="str">
            <v>Полуфабрикаты зам</v>
          </cell>
          <cell r="F805" t="str">
            <v>Пельмени Вареники</v>
          </cell>
          <cell r="G805" t="str">
            <v>Останкино</v>
          </cell>
          <cell r="H805" t="str">
            <v>ОМПК(О)</v>
          </cell>
          <cell r="I805" t="str">
            <v>ТУ 10.13.14-147-00425283-2018</v>
          </cell>
          <cell r="J805" t="str">
            <v>Полуфабрикат в тесте с мясной начинкой замороженный категории Б.</v>
          </cell>
          <cell r="K805" t="str">
            <v xml:space="preserve">Фарш: свинина, говядина, вода питьевая, лук репчатый свежий, соль, регуляторы кислотности (пирофосфаты, трифосфаты, цитраты натрия), молоко сухое цельное, чеснок сушеный, лук сушеный, перец черный молотый, перец белый молотый, экстракты пряностей, сахара, антиокислители (аскорбиновая кислота, экстракты розмарина), усилитель вкуса и аромата (глутамат натрия), ароматизаторы. Тесто: мука пшеничная в/с, вода питьевая, масло растительное рафинированное дезодорированное, соль, разрыхлитель (карбонат натрия). </v>
          </cell>
          <cell r="L805">
            <v>9</v>
          </cell>
          <cell r="M805">
            <v>9</v>
          </cell>
          <cell r="N805">
            <v>28</v>
          </cell>
          <cell r="O805" t="str">
            <v>229/962</v>
          </cell>
          <cell r="P805" t="str">
            <v>-18</v>
          </cell>
          <cell r="Q805">
            <v>180</v>
          </cell>
        </row>
        <row r="806">
          <cell r="B806">
            <v>1002112606580</v>
          </cell>
          <cell r="C806" t="str">
            <v>ОСТАНКИНСКИЕ пельм пл. 0.9кг зам_NEW</v>
          </cell>
          <cell r="D806" t="str">
            <v>ШТ</v>
          </cell>
          <cell r="E806" t="str">
            <v>Полуфабрикаты зам</v>
          </cell>
          <cell r="F806" t="str">
            <v>Пельмени Вареники</v>
          </cell>
          <cell r="G806" t="str">
            <v>Останкино</v>
          </cell>
          <cell r="H806" t="str">
            <v>ОМПК(О)</v>
          </cell>
          <cell r="I806" t="str">
            <v>ТУ 10.13.14-147-00425283-2018</v>
          </cell>
          <cell r="J806" t="str">
            <v>Полуфабрикат в тесте с мясной начинкой замороженный категории В.</v>
          </cell>
          <cell r="K806" t="str">
            <v>рецептура 1. Фарш: свинина, вода, лук свежий, соевый белок, говядина, соль, комплексные пищевые добавки (специи, глюкоза, ароматизаторы, усилитель вкуса и аромата Е621, регулятор кислотности трифосфат, стабилизатор пирофосфат, антиокислители: аскорбат натрия, Е300, экстракт розмарина). Тесто: мука пшеничная в/с, вода, сухой яичный меланж, соль, комплексная пищевая добавка: улучшитель муки (эмульгаторы: пирофосфаты, полифосфаты, фосфаты натрия; антиокислители: Е300, лимонная кислота).</v>
          </cell>
          <cell r="L806">
            <v>10</v>
          </cell>
          <cell r="M806">
            <v>8</v>
          </cell>
          <cell r="N806">
            <v>31</v>
          </cell>
          <cell r="O806" t="str">
            <v>236/993</v>
          </cell>
          <cell r="P806" t="str">
            <v>-18</v>
          </cell>
          <cell r="Q806">
            <v>180</v>
          </cell>
        </row>
        <row r="807">
          <cell r="B807">
            <v>1002112607085</v>
          </cell>
          <cell r="C807" t="str">
            <v>ОСТАНКИНСКИЕ пельм пл. 0.7кг 10шт.зам.</v>
          </cell>
          <cell r="D807" t="str">
            <v>ШТ</v>
          </cell>
          <cell r="E807" t="str">
            <v>Полуфабрикаты зам</v>
          </cell>
          <cell r="F807" t="str">
            <v>Пельмени Вареники</v>
          </cell>
          <cell r="G807" t="str">
            <v>Останкино</v>
          </cell>
          <cell r="H807" t="str">
            <v>ОМПК(О)</v>
          </cell>
          <cell r="I807" t="str">
            <v>ТУ 10.13.14-147-00425283-2018</v>
          </cell>
          <cell r="J807" t="str">
            <v>Мясной полуфабрикат в тесте категории В замороженный.</v>
          </cell>
          <cell r="K807" t="str">
            <v xml:space="preserve">Тесто: мука пшеничная в/с, вода питьевая, масло подсолнечное рафинированное дезодорированное, соль, регулятор кислотности (карбонат натрия), сахар. Начинка: свинина, лук репчатый свежий, стабилизатор белковый (говядина, вода питьевая), вода питьевая, белок соевый, соль, регуляторы кислотности (пирофосфаты, трифосфаты, цитраты натрия), специи, сахар, белок животный (говяжий), антиокислители (аскорбиновая кислота, экстракты розмарина), усилитель вкуса и аромата (глутамат натрия 1-замещенный), ароматизаторы. </v>
          </cell>
          <cell r="L807">
            <v>9</v>
          </cell>
          <cell r="M807">
            <v>8</v>
          </cell>
          <cell r="N807">
            <v>30</v>
          </cell>
          <cell r="O807" t="str">
            <v>228/959</v>
          </cell>
          <cell r="P807" t="str">
            <v>-18</v>
          </cell>
          <cell r="Q807">
            <v>180</v>
          </cell>
        </row>
        <row r="808">
          <cell r="B808">
            <v>1002112606824</v>
          </cell>
          <cell r="C808" t="str">
            <v>ОСТАНКИНСКИЕ пельм кор.0.5кг зам_NEW</v>
          </cell>
          <cell r="D808" t="str">
            <v>ШТ</v>
          </cell>
          <cell r="E808" t="str">
            <v>Полуфабрикаты зам</v>
          </cell>
          <cell r="F808" t="str">
            <v>Пельмени Вареники</v>
          </cell>
          <cell r="G808" t="str">
            <v>Останкино</v>
          </cell>
          <cell r="H808" t="str">
            <v>ОМПК(О)</v>
          </cell>
          <cell r="I808" t="str">
            <v>ТУ 10.13.14-147-00425283-2018</v>
          </cell>
          <cell r="J808" t="str">
            <v>Полуфабрикат в тесте с мясной начинкой замороженный категории В.</v>
          </cell>
          <cell r="K808" t="str">
            <v xml:space="preserve">Тесто: мука пшеничная в/с, вода питьевая, масло подсолнечное рафинированное дезодорированное, соль, регулятор кислотности (карбонат натрия), сахар. Начинка: свинина, лук репчатый свежий, стабилизатор белковый (говядина, вода питьевая), вода питьевая, белок соевый, соль, регуляторы кислотности (пирофосфаты, трифосфаты, цитраты натрия), специи, сахар, белок животный (говяжий), антиокислители (аскорбиновая кислота, экстракты розмарина), усилитель вкуса и аромата (глутамат натрия 1-замещенный), ароматизаторы. </v>
          </cell>
          <cell r="L808">
            <v>9</v>
          </cell>
          <cell r="M808">
            <v>8</v>
          </cell>
          <cell r="N808">
            <v>30</v>
          </cell>
          <cell r="O808" t="str">
            <v>228/959</v>
          </cell>
          <cell r="P808" t="str">
            <v>-18</v>
          </cell>
          <cell r="Q808">
            <v>180</v>
          </cell>
        </row>
        <row r="809">
          <cell r="B809">
            <v>1002112606613</v>
          </cell>
          <cell r="C809" t="str">
            <v>ОСТАНКИНСКИЕ пельм кор.0.4кг зам.</v>
          </cell>
          <cell r="D809" t="str">
            <v>ШТ</v>
          </cell>
          <cell r="E809" t="str">
            <v>Полуфабрикаты зам</v>
          </cell>
          <cell r="F809" t="str">
            <v>Пельмени Вареники</v>
          </cell>
          <cell r="G809" t="str">
            <v>Останкино</v>
          </cell>
          <cell r="H809" t="str">
            <v>ОМПК(О)</v>
          </cell>
          <cell r="I809" t="str">
            <v>ТУ 10.13.14-147-00425283-2018</v>
          </cell>
          <cell r="J809" t="str">
            <v>Полуфабрикат в тесте с мясной начинкой замороженный категории В.</v>
          </cell>
          <cell r="K809" t="str">
            <v xml:space="preserve">Тесто: мука пшеничная в/с, вода питьевая, масло подсолнечное рафинированное дезодорированное, соль, регулятор кислотности (карбонат натрия), сахар. Начинка: свинина, лук репчатый свежий, стабилизатор белковый (говядина, вода питьевая), вода питьевая, белок соевый, соль, регуляторы кислотности (пирофосфаты, трифосфаты, цитраты натрия), специи, сахар, белок животный (говяжий), антиокислители (аскорбиновая кислота, экстракты розмарина), усилитель вкуса и аромата (глутамат натрия 1-замещенный), ароматизаторы. </v>
          </cell>
          <cell r="L809">
            <v>9</v>
          </cell>
          <cell r="M809">
            <v>8</v>
          </cell>
          <cell r="N809">
            <v>30</v>
          </cell>
          <cell r="O809" t="str">
            <v>228/959</v>
          </cell>
          <cell r="P809" t="str">
            <v>-18</v>
          </cell>
          <cell r="Q809">
            <v>180</v>
          </cell>
        </row>
        <row r="810">
          <cell r="B810">
            <v>1002115747462</v>
          </cell>
          <cell r="C810" t="str">
            <v>ФИРМЕННЫЕ пельм пл. 0.4кг зам.</v>
          </cell>
          <cell r="D810" t="str">
            <v>ШТ</v>
          </cell>
          <cell r="E810" t="str">
            <v>Полуфабрикаты зам</v>
          </cell>
          <cell r="F810" t="str">
            <v>Пельмени Вареники</v>
          </cell>
          <cell r="G810" t="str">
            <v>Папа может</v>
          </cell>
          <cell r="H810" t="str">
            <v>ОМПК(О)</v>
          </cell>
          <cell r="I810" t="str">
            <v>ТУ 10.13.14-147-00425283-2018</v>
          </cell>
          <cell r="J810" t="str">
            <v>Полуфабрикат в тесте с мясной начинкой замороженный категории Б.</v>
          </cell>
          <cell r="K810" t="str">
            <v xml:space="preserve">Тесто: мука пшеничная в/с, вода питьевая, масло растительное рафинированное дезодорированное, соль, разрыхлитель (карбонат натрия). Начинка: свинина, говядина, вода питьевая, лук репчатый свежий, соль, регуляторы кислотности (пирофосфаты, трифосфаты, цитраты натрия), молоко сухое цельное, чеснок сушеный, лук сушеный, перец черный молотый, перец белый молотый, экстракты пряностей, сахара, антиокислители (аскорбиновая кислота, экстракты розмарина), усилитель вкуса и аромата (глутамат натрия 1-замещеннный), ароматизаторы. </v>
          </cell>
          <cell r="L810">
            <v>9</v>
          </cell>
          <cell r="M810">
            <v>9</v>
          </cell>
          <cell r="N810">
            <v>28</v>
          </cell>
          <cell r="O810" t="str">
            <v>229/962</v>
          </cell>
          <cell r="P810" t="str">
            <v>-18</v>
          </cell>
          <cell r="Q810">
            <v>180</v>
          </cell>
        </row>
        <row r="811">
          <cell r="B811">
            <v>1002116917365</v>
          </cell>
          <cell r="C811" t="str">
            <v>СОЧНАЯ ПОРЦИЯ ПМ пельм.пл.0.25кг зам.</v>
          </cell>
          <cell r="D811" t="str">
            <v>ШТ</v>
          </cell>
          <cell r="E811" t="str">
            <v>Полуфабрикаты зам</v>
          </cell>
          <cell r="F811" t="str">
            <v>Пельмени Вареники</v>
          </cell>
          <cell r="G811" t="str">
            <v>Папа может</v>
          </cell>
          <cell r="H811" t="str">
            <v>ОМПК(О)</v>
          </cell>
          <cell r="I811" t="str">
            <v>ТУ 10.13.14-147-00425283-2018</v>
          </cell>
          <cell r="J811" t="str">
            <v>Мясной полуфабрикат в тесте категории В замороженный.</v>
          </cell>
          <cell r="K811" t="str">
            <v xml:space="preserve">Тесто: мука пшеничная в/с, вода питьевая, масло подсолнечное рафинированное дезодорированное, соль, регулятор кислотности (карбонат натрия), сахар. Начинка: свинина, лук репчатый свежий, стабилизатор белковый (говядина, вода питьевая), вода питьевая, белок соевый, соль, регуляторы кислотности (пирофосфаты, трифосфаты, цитраты натрия), специи, сахар, белок животный (говяжий), антиокислители (аскорбиновая кислота, экстракты розмарина), усилитель вкуса и аромата (глутамат натрия), ароматизаторы. </v>
          </cell>
          <cell r="L811">
            <v>9</v>
          </cell>
          <cell r="M811">
            <v>8</v>
          </cell>
          <cell r="N811">
            <v>30</v>
          </cell>
          <cell r="O811" t="str">
            <v>228/959</v>
          </cell>
          <cell r="P811" t="str">
            <v>-18</v>
          </cell>
          <cell r="Q811">
            <v>180</v>
          </cell>
        </row>
        <row r="812">
          <cell r="B812">
            <v>1002112857212</v>
          </cell>
          <cell r="C812" t="str">
            <v>СОЧНЫЕ Папа Может пельм пл.0.42кг зам.</v>
          </cell>
          <cell r="D812" t="str">
            <v>ШТ</v>
          </cell>
          <cell r="E812" t="str">
            <v>Полуфабрикаты зам</v>
          </cell>
          <cell r="F812" t="str">
            <v>Пельмени Вареники</v>
          </cell>
          <cell r="G812" t="str">
            <v>Папа может</v>
          </cell>
          <cell r="H812" t="str">
            <v>ОМПК(О)</v>
          </cell>
          <cell r="I812" t="str">
            <v>ТУ 10.13.14-170-00425283-2024</v>
          </cell>
          <cell r="J812" t="str">
            <v>Полуфабрикат из мяса кур рубленый в тестовой оболочке замороженный.</v>
          </cell>
          <cell r="K812" t="str">
            <v>Тесто: мука пшеничная в/с, вода питьевая, меланж яичный сухой, соль, эмульгаторы (фосфаты натрия, пирофосфаты, полифосфаты), антиокислители (лимонная кислота, аскорбиновая кислота). Фарш: мясо куриное механической обвалки, стабилизаторы белковые (говяжий, свиной), белок соевый, лук свежий репчатый, соль, регуляторы кислотности (цитраты натрия, гидрокарбонат натрия), белок яичный, экстракт дрожжей, пряности и экстракты пряностей (горчица, перец черный, перец чили, чеснок), сахара, усилитель вкуса и аромата (глутамат натрия), антиокислители (аскорбиновая кислота, экстракты розмарина, лимонная кислота), ароматизаторы (в т.ч.сливки).</v>
          </cell>
          <cell r="L812">
            <v>16</v>
          </cell>
          <cell r="M812">
            <v>7</v>
          </cell>
          <cell r="N812">
            <v>32</v>
          </cell>
          <cell r="O812" t="str">
            <v>255/1075</v>
          </cell>
          <cell r="P812" t="str">
            <v>-18</v>
          </cell>
          <cell r="Q812">
            <v>180</v>
          </cell>
        </row>
        <row r="813">
          <cell r="B813">
            <v>1002112857214</v>
          </cell>
          <cell r="C813" t="str">
            <v>СОЧНЫЕ Папа Может пельм пл.0.7кг зам.</v>
          </cell>
          <cell r="D813" t="str">
            <v>ШТ</v>
          </cell>
          <cell r="E813" t="str">
            <v>Полуфабрикаты зам</v>
          </cell>
          <cell r="F813" t="str">
            <v>Пельмени Вареники</v>
          </cell>
          <cell r="G813" t="str">
            <v>Папа может</v>
          </cell>
          <cell r="H813" t="str">
            <v>ОМПК(О)</v>
          </cell>
          <cell r="I813" t="str">
            <v>ТУ 10.13.14-170-00425283-2024</v>
          </cell>
          <cell r="J813" t="str">
            <v>Полуфабрикат из мяса кур рубленый в тестовой оболочке замороженный.</v>
          </cell>
          <cell r="K813" t="str">
            <v xml:space="preserve">Тесто: мука пшеничная в/с, вода питьевая, масло растительное рафинированное дезодорированное, соль, разрыхлитель (карбонаты натрия). Фарш: мясо куриное механической обвалки, стабилизатор белковый (вода питьевая, говядина, свинина) белок соевый, лук свежий репчатый, соль, регуляторы кислотности (пирофосфаты, трифосфаты, цитраты натрия), загустители (модифицированный крахмал, гуаровая камедь), белок яичный, экстракт дрожжей, горчица молотая, перец черный молотый, чеснок сушеный молотый, сахара, антиокислители (аскорбиновая кислота, экстракты розмарина, лимонная кислота), усилитель вкуса и аромата (глутамат натрия), ароматизаторы. </v>
          </cell>
          <cell r="L813">
            <v>9</v>
          </cell>
          <cell r="M813">
            <v>7</v>
          </cell>
          <cell r="N813">
            <v>29</v>
          </cell>
          <cell r="O813" t="str">
            <v>215/905</v>
          </cell>
          <cell r="P813" t="str">
            <v>-18</v>
          </cell>
          <cell r="Q813">
            <v>180</v>
          </cell>
        </row>
        <row r="814">
          <cell r="B814">
            <v>1002112857375</v>
          </cell>
          <cell r="C814" t="str">
            <v>СОЧНЫЕ Папа Может пельм 4кг зам.</v>
          </cell>
          <cell r="D814" t="str">
            <v>КГ</v>
          </cell>
          <cell r="E814" t="str">
            <v>Полуфабрикаты зам</v>
          </cell>
          <cell r="F814" t="str">
            <v>Пельмени Вареники</v>
          </cell>
          <cell r="G814" t="str">
            <v>Папа может</v>
          </cell>
          <cell r="H814" t="str">
            <v>ОМПК(О)</v>
          </cell>
          <cell r="I814" t="str">
            <v>ТУ 10.13.14-170-00425283-2024</v>
          </cell>
          <cell r="J814" t="str">
            <v>Полуфабрикат из мяса кур рубленый в тестовой оболочке замороженный.</v>
          </cell>
          <cell r="K814" t="str">
            <v xml:space="preserve">Тесто: мука пшеничная в/с, вода питьевая, масло растительное рафинированное дезодорированное, соль, разрыхлитель (карбонаты натрия). Фарш: мясо куриное механической обвалки, стабилизатор белковый (вода питьевая, говядина, свинина) белок соевый, лук свежий репчатый, соль, регуляторы кислотности (пирофосфаты, трифосфаты, цитраты натрия), загустители (модифицированный крахмал, гуаровая камедь), белок яичный, экстракт дрожжей, горчица молотая, перец черный молотый, чеснок сушеный молотый, сахара, антиокислители (аскорбиновая кислота, экстракты розмарина, лимонная кислота), усилитель вкуса и аромата (глутамат натрия), ароматизаторы. </v>
          </cell>
          <cell r="L814">
            <v>9</v>
          </cell>
          <cell r="M814">
            <v>7</v>
          </cell>
          <cell r="N814">
            <v>29</v>
          </cell>
          <cell r="O814" t="str">
            <v>215/905</v>
          </cell>
          <cell r="P814" t="str">
            <v>-18</v>
          </cell>
          <cell r="Q814">
            <v>180</v>
          </cell>
        </row>
        <row r="815">
          <cell r="B815">
            <v>1002116437217</v>
          </cell>
          <cell r="C815" t="str">
            <v>СОЧНЫЕ СО СЛ.МАСЛ.ПМ пельм пл.0.42кг зам</v>
          </cell>
          <cell r="D815" t="str">
            <v>ШТ</v>
          </cell>
          <cell r="E815" t="str">
            <v>Полуфабрикаты зам</v>
          </cell>
          <cell r="F815" t="str">
            <v>Пельмени Вареники</v>
          </cell>
          <cell r="G815" t="str">
            <v>Папа может</v>
          </cell>
          <cell r="H815" t="str">
            <v>ОМПК(О)</v>
          </cell>
          <cell r="I815" t="str">
            <v>ТУ 10.13.14-170-00425283-2024</v>
          </cell>
          <cell r="J815" t="str">
            <v>Полуфабрикат из мяса кур рубленый в тестовой оболочке замороженный.</v>
          </cell>
          <cell r="K815" t="str">
            <v>Тесто: мука пшеничная в/с, вода питьевая, масло растительное рафинированное дезодорированное, соль, разрыхлитель (карбонат натрия). Фарш: мясо куриное механической обвалки, стабилизатор белковый (вода питьевая, свинина, говядина), белок соевый, лук репчатый свежий, спред растительно-сливочный (масло сливочное, заменитель молочного жира (масла растительные рафинированные дезодорированные: подсолнечное, пальмовое, оливковое), молоко обезжиренное, эмульгатор (моно- и диглицериды жирных кислот), консервант (сорбиновая кислота)), соль, стабилизаторы (пирофосфаты, альгинат натрия), клетчатка пшеничная, пряности, перец черный молотый, перец белый молотый, базилик сушеный, кориандр молотый, чеснок сушеный, укроп сушеный, паприка, сахара, усилитель вкуса и аромата (глутамат натрия), экстракт дрожжей, антиокислитель (аскорбиновая кислота), ароматизаторы.</v>
          </cell>
          <cell r="L815">
            <v>10</v>
          </cell>
          <cell r="M815">
            <v>5</v>
          </cell>
          <cell r="N815">
            <v>30</v>
          </cell>
          <cell r="O815" t="str">
            <v>205/867</v>
          </cell>
          <cell r="P815" t="str">
            <v>-18</v>
          </cell>
          <cell r="Q815">
            <v>180</v>
          </cell>
        </row>
        <row r="816">
          <cell r="B816">
            <v>1002116437216</v>
          </cell>
          <cell r="C816" t="str">
            <v>СОЧНЫЕ СО СЛ.МАСЛ.ПМ пельм пл.0.7кг зам.</v>
          </cell>
          <cell r="D816" t="str">
            <v>ШТ</v>
          </cell>
          <cell r="E816" t="str">
            <v>Полуфабрикаты зам</v>
          </cell>
          <cell r="F816" t="str">
            <v>Пельмени Вареники</v>
          </cell>
          <cell r="G816" t="str">
            <v>Папа может</v>
          </cell>
          <cell r="H816" t="str">
            <v>ОМПК(О)</v>
          </cell>
          <cell r="I816" t="str">
            <v>ТУ 10.13.14-170-00425283-2024</v>
          </cell>
          <cell r="J816" t="str">
            <v>Полуфабрикат из мяса кур рубленый в тестовой оболочке замороженный.</v>
          </cell>
          <cell r="K816" t="str">
            <v>Тесто: мука пшеничная в/с, вода питьевая, масло растительное рафинированное дезодорированное, соль, разрыхлитель (карбонат натрия). Фарш: мясо куриное механической обвалки, стабилизатор белковый (вода питьевая, свинина, говядина), белок соевый, лук репчатый свежий, спред растительно-сливочный (масло сливочное, заменитель молочного жира (масла растительные рафинированные дезодорированные: подсолнечное, пальмовое, оливковое), молоко обезжиренное, эмульгатор (моно- и диглицериды жирных кислот), консервант (сорбиновая кислота)), соль, стабилизаторы (пирофосфаты, альгинат натрия), клетчатка пшеничная, пряности, перец черный молотый, перец белый молотый, базилик сушеный, кориандр молотый, чеснок сушеный, укроп сушеный, паприка, сахара, усилитель вкуса и аромата (глутамат натрия), экстракт дрожжей, антиокислитель (аскорбиновая кислота), ароматизаторы.</v>
          </cell>
          <cell r="L816">
            <v>10</v>
          </cell>
          <cell r="M816">
            <v>5</v>
          </cell>
          <cell r="N816">
            <v>30</v>
          </cell>
          <cell r="O816" t="str">
            <v>205/867</v>
          </cell>
          <cell r="P816" t="str">
            <v>-18</v>
          </cell>
          <cell r="Q816">
            <v>180</v>
          </cell>
        </row>
        <row r="817">
          <cell r="B817">
            <v>1002115806906</v>
          </cell>
          <cell r="C817" t="str">
            <v>СЫТНЫЕ ПМ пельм пл.0.7кг 10шт.зам.</v>
          </cell>
          <cell r="D817" t="str">
            <v>ШТ</v>
          </cell>
          <cell r="E817" t="str">
            <v>Полуфабрикаты зам</v>
          </cell>
          <cell r="F817" t="str">
            <v>Пельмени Вареники</v>
          </cell>
          <cell r="G817" t="str">
            <v>Папа может</v>
          </cell>
          <cell r="H817" t="str">
            <v>ОМПК(О)</v>
          </cell>
          <cell r="I817" t="str">
            <v>ТУ 10.13.14-170-00425283-2024</v>
          </cell>
          <cell r="J817" t="str">
            <v>Полуфабрикат из мяса кур рубленый в тестовой оболочке замороженный.</v>
          </cell>
          <cell r="K817" t="str">
            <v>Фарш: мясо куриное механической обвалки, мука соевая, белковые стабилизаторы говяжий и свиной, лук свежий, соль, регуляторы кислотности: цитраты натрия, гидрокарбонат натрия; белок яичный, экстракт дрожжей, пряности и экстракты пряностей (горчица, перец черный, перец чили, чеснок), сахара, усилитель вкуса и аромата Е621, антиокислители: аскорбиновая кислота, экстракты розмарина, лимонная кислота; ароматизаторы (в т.ч.сливки). Тесто: мука пшеничная в/с, вода, сухой яичный меланж, соль, эмульгаторы: фосфаты натрия, пирофосфаты, полифосфаты; антиокислители: лимонная кислота, аскорбиновая кислота.</v>
          </cell>
          <cell r="L817">
            <v>16</v>
          </cell>
          <cell r="M817">
            <v>7</v>
          </cell>
          <cell r="N817">
            <v>32</v>
          </cell>
          <cell r="O817" t="str">
            <v>255/1075</v>
          </cell>
          <cell r="P817" t="str">
            <v>-18</v>
          </cell>
          <cell r="Q817">
            <v>180</v>
          </cell>
        </row>
        <row r="818">
          <cell r="B818">
            <v>1002151787049</v>
          </cell>
          <cell r="C818" t="str">
            <v>С КАРТОФ.И ГРИБ.вареники пл.0.42кг зам.</v>
          </cell>
          <cell r="D818" t="str">
            <v>ШТ</v>
          </cell>
          <cell r="E818" t="str">
            <v>Полуфабрикаты зам</v>
          </cell>
          <cell r="F818" t="str">
            <v>Пельмени Вареники</v>
          </cell>
          <cell r="G818" t="str">
            <v>Папа может</v>
          </cell>
          <cell r="H818" t="str">
            <v>ОМПК(О)</v>
          </cell>
          <cell r="I818" t="str">
            <v>ТУ 9166-106-00425283-03</v>
          </cell>
          <cell r="J818" t="str">
            <v>Полуфабрикат замороженый в тесте.</v>
          </cell>
          <cell r="K818" t="str">
            <v>Тесто: мука пшеничная в/с, вода, соевый белок, соль, стабилизаторы: фосфаты натрия, пирофосфаты, полифосфаты; антиокислители: лимонная кислота, аскорбиновая кислота. Начинка: картофельное пюре (картофель отварной, картофельные хлопья, вода), грибы (шампиньоны сушеные), масло растительное, лук жареный, соль, регулятор кислотности цитраты натрия, усилитель вкуса и аромата Е621, экстракт черного перца, ароматизаторы (в т.ч. сливочного масла), консервант сорбат калия.</v>
          </cell>
          <cell r="L818">
            <v>5</v>
          </cell>
          <cell r="M818">
            <v>2</v>
          </cell>
          <cell r="N818">
            <v>27</v>
          </cell>
          <cell r="O818" t="str">
            <v>226/958</v>
          </cell>
          <cell r="P818" t="str">
            <v>-18</v>
          </cell>
          <cell r="Q818">
            <v>120</v>
          </cell>
        </row>
        <row r="819">
          <cell r="B819">
            <v>1002361457051</v>
          </cell>
          <cell r="C819" t="str">
            <v>КАРБОНАД СВИНОЙ кр/к в/у зам.</v>
          </cell>
          <cell r="D819" t="str">
            <v>КГ</v>
          </cell>
          <cell r="E819" t="str">
            <v>Полуфабрикаты зам</v>
          </cell>
          <cell r="F819" t="str">
            <v>ЗПФ Кусковые</v>
          </cell>
          <cell r="G819" t="str">
            <v>Останкино</v>
          </cell>
          <cell r="H819" t="str">
            <v>ОМПК (Г)</v>
          </cell>
          <cell r="I819" t="str">
            <v>ТУ 10.13.14-151-00425283-2025</v>
          </cell>
          <cell r="J819" t="str">
            <v>Мясной полуфабрикат бескостный крупнокусковой замороженный из свинины категории А.</v>
          </cell>
          <cell r="K819" t="str">
            <v>свинина</v>
          </cell>
          <cell r="L819">
            <v>19</v>
          </cell>
          <cell r="M819">
            <v>12</v>
          </cell>
          <cell r="O819" t="str">
            <v>184/767</v>
          </cell>
          <cell r="P819" t="str">
            <v>-18</v>
          </cell>
          <cell r="Q819">
            <v>365</v>
          </cell>
        </row>
        <row r="820">
          <cell r="B820">
            <v>1002182025351</v>
          </cell>
          <cell r="C820" t="str">
            <v>ВЫРЕЗКА СВИНАЯ кр/к зам.</v>
          </cell>
          <cell r="D820" t="str">
            <v>КГ</v>
          </cell>
          <cell r="E820" t="str">
            <v>Полуфабрикаты зам</v>
          </cell>
          <cell r="F820" t="str">
            <v>ЗПФ Кусковые</v>
          </cell>
          <cell r="G820" t="str">
            <v>Останкино</v>
          </cell>
          <cell r="H820" t="str">
            <v>ОМПК(О)</v>
          </cell>
          <cell r="I820" t="str">
            <v>ТУ 10.13.14-151-00425283-2025</v>
          </cell>
          <cell r="J820" t="str">
            <v>Мясной полуфабрикат бескостный крупнокусковой замороженный из свинины категории А.</v>
          </cell>
          <cell r="K820" t="str">
            <v>свинина</v>
          </cell>
          <cell r="L820">
            <v>21</v>
          </cell>
          <cell r="M820">
            <v>5</v>
          </cell>
          <cell r="N820">
            <v>0</v>
          </cell>
          <cell r="O820" t="str">
            <v>129/542</v>
          </cell>
          <cell r="P820" t="str">
            <v>-18</v>
          </cell>
          <cell r="Q820">
            <v>365</v>
          </cell>
        </row>
        <row r="821">
          <cell r="B821">
            <v>1002182135431</v>
          </cell>
          <cell r="C821" t="str">
            <v>ШЕЙНАЯ ЧАСТЬ СВИНАЯ кр/к зам.</v>
          </cell>
          <cell r="D821" t="str">
            <v>КГ</v>
          </cell>
          <cell r="E821" t="str">
            <v>Полуфабрикаты зам</v>
          </cell>
          <cell r="F821" t="str">
            <v>ЗПФ Кусковые</v>
          </cell>
          <cell r="G821" t="str">
            <v>Останкино</v>
          </cell>
          <cell r="H821" t="str">
            <v>ОМПК(О)</v>
          </cell>
          <cell r="I821" t="str">
            <v>ТУ 10.13.14-151-00425283-2025</v>
          </cell>
          <cell r="J821" t="str">
            <v>Мясной полуфабрикат бескостный крупнокусковой замороженный из свинины категории А.</v>
          </cell>
          <cell r="K821" t="str">
            <v>свинина</v>
          </cell>
          <cell r="L821">
            <v>14</v>
          </cell>
          <cell r="M821">
            <v>35</v>
          </cell>
          <cell r="O821" t="str">
            <v>380/1590</v>
          </cell>
          <cell r="P821" t="str">
            <v>-18</v>
          </cell>
          <cell r="Q821">
            <v>365</v>
          </cell>
        </row>
      </sheetData>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499"/>
  <sheetViews>
    <sheetView tabSelected="1" zoomScale="85" workbookViewId="0">
      <pane xSplit="2" ySplit="5" topLeftCell="C6" activePane="bottomRight" state="frozen"/>
      <selection pane="topRight"/>
      <selection pane="bottomLeft"/>
      <selection pane="bottomRight" activeCell="AH10" sqref="AH10"/>
    </sheetView>
  </sheetViews>
  <sheetFormatPr defaultRowHeight="15" x14ac:dyDescent="0.25"/>
  <cols>
    <col min="1" max="1" width="60" customWidth="1"/>
    <col min="2" max="2" width="3" customWidth="1"/>
    <col min="3" max="4" width="6" customWidth="1"/>
    <col min="5" max="6" width="7" customWidth="1"/>
    <col min="7" max="7" width="5" style="5" customWidth="1"/>
    <col min="8" max="8" width="6.85546875" customWidth="1"/>
    <col min="9" max="9" width="9.7109375" customWidth="1"/>
    <col min="10" max="10" width="1" customWidth="1"/>
    <col min="11" max="12" width="7" customWidth="1"/>
    <col min="13" max="14" width="0.140625" customWidth="1"/>
    <col min="15" max="20" width="7" customWidth="1"/>
    <col min="21" max="21" width="7" style="37" customWidth="1"/>
    <col min="22" max="23" width="5" customWidth="1"/>
    <col min="24" max="33" width="6" customWidth="1"/>
    <col min="34" max="34" width="47.140625" customWidth="1"/>
    <col min="35" max="36" width="7" customWidth="1"/>
    <col min="37" max="51" width="3" customWidth="1"/>
  </cols>
  <sheetData>
    <row r="1" spans="1:51" x14ac:dyDescent="0.25">
      <c r="A1" s="13"/>
      <c r="B1" s="13"/>
      <c r="C1" s="13"/>
      <c r="D1" s="13"/>
      <c r="E1" s="13"/>
      <c r="F1" s="13"/>
      <c r="G1" s="6"/>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f>AJ2-AJ5</f>
        <v>8</v>
      </c>
      <c r="AK1" s="13"/>
      <c r="AL1" s="13"/>
      <c r="AM1" s="13"/>
      <c r="AN1" s="13"/>
      <c r="AO1" s="13"/>
      <c r="AP1" s="13"/>
      <c r="AQ1" s="13"/>
      <c r="AR1" s="13"/>
      <c r="AS1" s="13"/>
      <c r="AT1" s="13"/>
      <c r="AU1" s="13"/>
      <c r="AV1" s="13"/>
      <c r="AW1" s="13"/>
      <c r="AX1" s="13"/>
      <c r="AY1" s="13"/>
    </row>
    <row r="2" spans="1:51" x14ac:dyDescent="0.25">
      <c r="A2" s="13"/>
      <c r="B2" s="13"/>
      <c r="C2" s="13"/>
      <c r="D2" s="13"/>
      <c r="E2" s="13"/>
      <c r="F2" s="13"/>
      <c r="G2" s="6"/>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v>650</v>
      </c>
      <c r="AK2" s="13"/>
      <c r="AL2" s="13"/>
      <c r="AM2" s="13"/>
      <c r="AN2" s="13"/>
      <c r="AO2" s="13"/>
      <c r="AP2" s="13"/>
      <c r="AQ2" s="13"/>
      <c r="AR2" s="13"/>
      <c r="AS2" s="13"/>
      <c r="AT2" s="13"/>
      <c r="AU2" s="13"/>
      <c r="AV2" s="13"/>
      <c r="AW2" s="13"/>
      <c r="AX2" s="13"/>
      <c r="AY2" s="13"/>
    </row>
    <row r="3" spans="1:51" x14ac:dyDescent="0.25">
      <c r="A3" s="1" t="s">
        <v>0</v>
      </c>
      <c r="B3" s="1" t="s">
        <v>1</v>
      </c>
      <c r="C3" s="1" t="s">
        <v>2</v>
      </c>
      <c r="D3" s="1" t="s">
        <v>3</v>
      </c>
      <c r="E3" s="1" t="s">
        <v>4</v>
      </c>
      <c r="F3" s="1" t="s">
        <v>5</v>
      </c>
      <c r="G3" s="7" t="s">
        <v>6</v>
      </c>
      <c r="H3" s="1" t="s">
        <v>7</v>
      </c>
      <c r="I3" s="1" t="s">
        <v>8</v>
      </c>
      <c r="J3" s="1" t="s">
        <v>9</v>
      </c>
      <c r="K3" s="1" t="s">
        <v>10</v>
      </c>
      <c r="L3" s="1" t="s">
        <v>11</v>
      </c>
      <c r="M3" s="1" t="s">
        <v>12</v>
      </c>
      <c r="N3" s="1" t="s">
        <v>13</v>
      </c>
      <c r="O3" s="1" t="s">
        <v>14</v>
      </c>
      <c r="P3" s="1" t="s">
        <v>14</v>
      </c>
      <c r="Q3" s="1" t="s">
        <v>15</v>
      </c>
      <c r="R3" s="2" t="s">
        <v>16</v>
      </c>
      <c r="S3" s="2" t="s">
        <v>192</v>
      </c>
      <c r="T3" s="2" t="s">
        <v>192</v>
      </c>
      <c r="U3" s="2" t="s">
        <v>194</v>
      </c>
      <c r="V3" s="1" t="s">
        <v>17</v>
      </c>
      <c r="W3" s="1" t="s">
        <v>18</v>
      </c>
      <c r="X3" s="1" t="s">
        <v>19</v>
      </c>
      <c r="Y3" s="1" t="s">
        <v>19</v>
      </c>
      <c r="Z3" s="1" t="s">
        <v>19</v>
      </c>
      <c r="AA3" s="1" t="s">
        <v>19</v>
      </c>
      <c r="AB3" s="1" t="s">
        <v>19</v>
      </c>
      <c r="AC3" s="1" t="s">
        <v>19</v>
      </c>
      <c r="AD3" s="1" t="s">
        <v>19</v>
      </c>
      <c r="AE3" s="1" t="s">
        <v>19</v>
      </c>
      <c r="AF3" s="1" t="s">
        <v>19</v>
      </c>
      <c r="AG3" s="1" t="s">
        <v>19</v>
      </c>
      <c r="AH3" s="1" t="s">
        <v>20</v>
      </c>
      <c r="AI3" s="1" t="s">
        <v>21</v>
      </c>
      <c r="AJ3" s="1" t="s">
        <v>21</v>
      </c>
      <c r="AK3" s="13"/>
      <c r="AL3" s="13"/>
      <c r="AM3" s="13"/>
      <c r="AN3" s="13"/>
      <c r="AO3" s="13"/>
      <c r="AP3" s="13"/>
      <c r="AQ3" s="13"/>
      <c r="AR3" s="13"/>
      <c r="AS3" s="13"/>
      <c r="AT3" s="13"/>
      <c r="AU3" s="13"/>
      <c r="AV3" s="13"/>
      <c r="AW3" s="13"/>
      <c r="AX3" s="13"/>
      <c r="AY3" s="13"/>
    </row>
    <row r="4" spans="1:51" x14ac:dyDescent="0.25">
      <c r="A4" s="13"/>
      <c r="B4" s="13"/>
      <c r="C4" s="13"/>
      <c r="D4" s="13"/>
      <c r="E4" s="13"/>
      <c r="F4" s="13"/>
      <c r="G4" s="6"/>
      <c r="H4" s="13"/>
      <c r="I4" s="13"/>
      <c r="J4" s="13"/>
      <c r="K4" s="13"/>
      <c r="L4" s="13"/>
      <c r="M4" s="13"/>
      <c r="N4" s="13"/>
      <c r="O4" s="13" t="s">
        <v>22</v>
      </c>
      <c r="P4" s="13" t="s">
        <v>23</v>
      </c>
      <c r="Q4" s="13" t="s">
        <v>24</v>
      </c>
      <c r="R4" s="13"/>
      <c r="S4" s="13" t="s">
        <v>193</v>
      </c>
      <c r="T4" s="13" t="s">
        <v>195</v>
      </c>
      <c r="U4" s="13"/>
      <c r="V4" s="13"/>
      <c r="W4" s="13"/>
      <c r="X4" s="13" t="s">
        <v>25</v>
      </c>
      <c r="Y4" s="13" t="s">
        <v>26</v>
      </c>
      <c r="Z4" s="13" t="s">
        <v>27</v>
      </c>
      <c r="AA4" s="13" t="s">
        <v>28</v>
      </c>
      <c r="AB4" s="13" t="s">
        <v>29</v>
      </c>
      <c r="AC4" s="13" t="s">
        <v>30</v>
      </c>
      <c r="AD4" s="13" t="s">
        <v>31</v>
      </c>
      <c r="AE4" s="13" t="s">
        <v>32</v>
      </c>
      <c r="AF4" s="13" t="s">
        <v>33</v>
      </c>
      <c r="AG4" s="13" t="s">
        <v>34</v>
      </c>
      <c r="AH4" s="13"/>
      <c r="AI4" s="13" t="s">
        <v>193</v>
      </c>
      <c r="AJ4" s="13" t="s">
        <v>195</v>
      </c>
      <c r="AK4" s="13"/>
      <c r="AL4" s="13"/>
      <c r="AM4" s="13"/>
      <c r="AN4" s="13"/>
      <c r="AO4" s="13"/>
      <c r="AP4" s="13"/>
      <c r="AQ4" s="13"/>
      <c r="AR4" s="13"/>
      <c r="AS4" s="13"/>
      <c r="AT4" s="13"/>
      <c r="AU4" s="13"/>
      <c r="AV4" s="13"/>
      <c r="AW4" s="13"/>
      <c r="AX4" s="13"/>
      <c r="AY4" s="13"/>
    </row>
    <row r="5" spans="1:51" x14ac:dyDescent="0.25">
      <c r="A5" s="13"/>
      <c r="B5" s="13"/>
      <c r="C5" s="13"/>
      <c r="D5" s="13"/>
      <c r="E5" s="3">
        <f>SUM(E6:E499)</f>
        <v>9697.0520000000015</v>
      </c>
      <c r="F5" s="3">
        <f>SUM(F6:F499)</f>
        <v>3749.9109999999996</v>
      </c>
      <c r="G5" s="6"/>
      <c r="H5" s="13"/>
      <c r="I5" s="13"/>
      <c r="J5" s="13"/>
      <c r="K5" s="3">
        <f t="shared" ref="K5:U5" si="0">SUM(K6:K499)</f>
        <v>25150.565999999999</v>
      </c>
      <c r="L5" s="3">
        <f t="shared" si="0"/>
        <v>-15453.513999999999</v>
      </c>
      <c r="M5" s="3">
        <f t="shared" si="0"/>
        <v>0</v>
      </c>
      <c r="N5" s="3">
        <f t="shared" si="0"/>
        <v>0</v>
      </c>
      <c r="O5" s="3">
        <f t="shared" si="0"/>
        <v>18892</v>
      </c>
      <c r="P5" s="3">
        <f t="shared" si="0"/>
        <v>20052</v>
      </c>
      <c r="Q5" s="3">
        <f t="shared" si="0"/>
        <v>2006.4104000000002</v>
      </c>
      <c r="R5" s="3">
        <f t="shared" si="0"/>
        <v>9829.9297999999999</v>
      </c>
      <c r="S5" s="3">
        <f t="shared" si="0"/>
        <v>14855</v>
      </c>
      <c r="T5" s="3">
        <f t="shared" ref="T5" si="1">SUM(T6:T499)</f>
        <v>1000</v>
      </c>
      <c r="U5" s="3">
        <f t="shared" si="0"/>
        <v>15585</v>
      </c>
      <c r="V5" s="13"/>
      <c r="W5" s="13"/>
      <c r="X5" s="3">
        <f t="shared" ref="X5:AG5" si="2">SUM(X6:X499)</f>
        <v>3945.1628000000014</v>
      </c>
      <c r="Y5" s="3">
        <f t="shared" si="2"/>
        <v>3703.6237999999994</v>
      </c>
      <c r="Z5" s="3">
        <f t="shared" si="2"/>
        <v>2207.5886</v>
      </c>
      <c r="AA5" s="3">
        <f t="shared" si="2"/>
        <v>2571.0086000000006</v>
      </c>
      <c r="AB5" s="3">
        <f t="shared" si="2"/>
        <v>3209.5596000000005</v>
      </c>
      <c r="AC5" s="3">
        <f t="shared" si="2"/>
        <v>2940.3353999999999</v>
      </c>
      <c r="AD5" s="3">
        <f t="shared" si="2"/>
        <v>2144.2981999999997</v>
      </c>
      <c r="AE5" s="3">
        <f t="shared" si="2"/>
        <v>2239.9688000000006</v>
      </c>
      <c r="AF5" s="3">
        <f t="shared" si="2"/>
        <v>2158.7930000000001</v>
      </c>
      <c r="AG5" s="3">
        <f t="shared" si="2"/>
        <v>2298.7524000000003</v>
      </c>
      <c r="AH5" s="13"/>
      <c r="AI5" s="3">
        <f>SUM(AI6:AI499)</f>
        <v>7893.4299999999976</v>
      </c>
      <c r="AJ5" s="3">
        <f>SUM(AJ6:AJ499)</f>
        <v>642</v>
      </c>
      <c r="AK5" s="13"/>
      <c r="AL5" s="13"/>
      <c r="AM5" s="13"/>
      <c r="AN5" s="13"/>
      <c r="AO5" s="13"/>
      <c r="AP5" s="13"/>
      <c r="AQ5" s="13"/>
      <c r="AR5" s="13"/>
      <c r="AS5" s="13"/>
      <c r="AT5" s="13"/>
      <c r="AU5" s="13"/>
      <c r="AV5" s="13"/>
      <c r="AW5" s="13"/>
      <c r="AX5" s="13"/>
      <c r="AY5" s="13"/>
    </row>
    <row r="6" spans="1:51" x14ac:dyDescent="0.25">
      <c r="A6" s="33" t="s">
        <v>35</v>
      </c>
      <c r="B6" s="30" t="s">
        <v>36</v>
      </c>
      <c r="C6" s="30">
        <v>28.201000000000001</v>
      </c>
      <c r="D6" s="30"/>
      <c r="E6" s="30">
        <v>1.696</v>
      </c>
      <c r="F6" s="30">
        <v>26.504999999999999</v>
      </c>
      <c r="G6" s="31">
        <v>1</v>
      </c>
      <c r="H6" s="30">
        <v>120</v>
      </c>
      <c r="I6" s="30" t="s">
        <v>41</v>
      </c>
      <c r="J6" s="30"/>
      <c r="K6" s="30">
        <v>1.5</v>
      </c>
      <c r="L6" s="30">
        <f t="shared" ref="L6:L37" si="3">E6-K6</f>
        <v>0.19599999999999995</v>
      </c>
      <c r="M6" s="30"/>
      <c r="N6" s="30"/>
      <c r="O6" s="30">
        <v>0</v>
      </c>
      <c r="P6" s="30">
        <v>0</v>
      </c>
      <c r="Q6" s="30">
        <f t="shared" ref="Q6:Q37" si="4">E6/5</f>
        <v>0.3392</v>
      </c>
      <c r="R6" s="32"/>
      <c r="S6" s="4">
        <f>ROUND(R6,0)</f>
        <v>0</v>
      </c>
      <c r="T6" s="4"/>
      <c r="U6" s="36">
        <f>VLOOKUP(A6,[1]Sheet!$A:$S,19,0)</f>
        <v>0</v>
      </c>
      <c r="V6" s="13">
        <f>(F6+O6+P6+S6)/Q6</f>
        <v>78.13974056603773</v>
      </c>
      <c r="W6" s="30">
        <f t="shared" ref="W6:W37" si="5">(F6+O6+P6)/Q6</f>
        <v>78.13974056603773</v>
      </c>
      <c r="X6" s="30">
        <v>3.1198000000000001</v>
      </c>
      <c r="Y6" s="30">
        <v>0</v>
      </c>
      <c r="Z6" s="30">
        <v>0</v>
      </c>
      <c r="AA6" s="30">
        <v>0</v>
      </c>
      <c r="AB6" s="30">
        <v>0</v>
      </c>
      <c r="AC6" s="30">
        <v>0</v>
      </c>
      <c r="AD6" s="30">
        <v>0</v>
      </c>
      <c r="AE6" s="30">
        <v>0</v>
      </c>
      <c r="AF6" s="30">
        <v>0</v>
      </c>
      <c r="AG6" s="30">
        <v>0</v>
      </c>
      <c r="AH6" s="12" t="s">
        <v>188</v>
      </c>
      <c r="AI6" s="13">
        <f>G6*S6</f>
        <v>0</v>
      </c>
      <c r="AJ6" s="13">
        <f>G6*T6</f>
        <v>0</v>
      </c>
      <c r="AK6" s="13"/>
      <c r="AL6" s="13"/>
      <c r="AM6" s="13"/>
      <c r="AN6" s="13"/>
      <c r="AO6" s="13"/>
      <c r="AP6" s="13"/>
      <c r="AQ6" s="13"/>
      <c r="AR6" s="13"/>
      <c r="AS6" s="13"/>
      <c r="AT6" s="13"/>
      <c r="AU6" s="13"/>
      <c r="AV6" s="13"/>
      <c r="AW6" s="13"/>
      <c r="AX6" s="13"/>
      <c r="AY6" s="13"/>
    </row>
    <row r="7" spans="1:51" x14ac:dyDescent="0.25">
      <c r="A7" s="13" t="s">
        <v>39</v>
      </c>
      <c r="B7" s="13" t="s">
        <v>40</v>
      </c>
      <c r="C7" s="13">
        <v>160</v>
      </c>
      <c r="D7" s="13">
        <v>1</v>
      </c>
      <c r="E7" s="13">
        <v>133</v>
      </c>
      <c r="F7" s="13">
        <v>25</v>
      </c>
      <c r="G7" s="6">
        <v>0.4</v>
      </c>
      <c r="H7" s="13">
        <v>60</v>
      </c>
      <c r="I7" s="13" t="s">
        <v>41</v>
      </c>
      <c r="J7" s="13"/>
      <c r="K7" s="13">
        <v>383</v>
      </c>
      <c r="L7" s="13">
        <f t="shared" si="3"/>
        <v>-250</v>
      </c>
      <c r="M7" s="13"/>
      <c r="N7" s="13"/>
      <c r="O7" s="13">
        <v>556</v>
      </c>
      <c r="P7" s="13">
        <v>247</v>
      </c>
      <c r="Q7" s="13">
        <f t="shared" si="4"/>
        <v>26.6</v>
      </c>
      <c r="R7" s="4">
        <v>50</v>
      </c>
      <c r="S7" s="4">
        <v>70</v>
      </c>
      <c r="T7" s="4"/>
      <c r="U7" s="36">
        <f>VLOOKUP(A7,[1]Sheet!$A:$S,19,0)</f>
        <v>120</v>
      </c>
      <c r="V7" s="13">
        <f>(F7+O7+P7+S7)/Q7</f>
        <v>33.7593984962406</v>
      </c>
      <c r="W7" s="13">
        <f t="shared" si="5"/>
        <v>31.127819548872179</v>
      </c>
      <c r="X7" s="13">
        <v>68.8</v>
      </c>
      <c r="Y7" s="13">
        <v>75.599999999999994</v>
      </c>
      <c r="Z7" s="13">
        <v>35.4</v>
      </c>
      <c r="AA7" s="13">
        <v>54.2</v>
      </c>
      <c r="AB7" s="13">
        <v>62.6</v>
      </c>
      <c r="AC7" s="13">
        <v>55.6</v>
      </c>
      <c r="AD7" s="13">
        <v>41.2</v>
      </c>
      <c r="AE7" s="13">
        <v>33.6</v>
      </c>
      <c r="AF7" s="13">
        <v>46.6</v>
      </c>
      <c r="AG7" s="13">
        <v>37.799999999999997</v>
      </c>
      <c r="AH7" s="13"/>
      <c r="AI7" s="13">
        <f>G7*S7</f>
        <v>28</v>
      </c>
      <c r="AJ7" s="13">
        <f t="shared" ref="AJ7:AJ70" si="6">G7*T7</f>
        <v>0</v>
      </c>
      <c r="AK7" s="13"/>
      <c r="AL7" s="13"/>
      <c r="AM7" s="13"/>
      <c r="AN7" s="13"/>
      <c r="AO7" s="13"/>
      <c r="AP7" s="13"/>
      <c r="AQ7" s="13"/>
      <c r="AR7" s="13"/>
      <c r="AS7" s="13"/>
      <c r="AT7" s="13"/>
      <c r="AU7" s="13"/>
      <c r="AV7" s="13"/>
      <c r="AW7" s="13"/>
      <c r="AX7" s="13"/>
      <c r="AY7" s="13"/>
    </row>
    <row r="8" spans="1:51" x14ac:dyDescent="0.25">
      <c r="A8" s="13" t="s">
        <v>42</v>
      </c>
      <c r="B8" s="13" t="s">
        <v>36</v>
      </c>
      <c r="C8" s="13">
        <v>20.172000000000001</v>
      </c>
      <c r="D8" s="13">
        <v>2.996</v>
      </c>
      <c r="E8" s="13">
        <v>17.111000000000001</v>
      </c>
      <c r="F8" s="13">
        <v>3.0609999999999999</v>
      </c>
      <c r="G8" s="6">
        <v>1</v>
      </c>
      <c r="H8" s="13">
        <v>120</v>
      </c>
      <c r="I8" s="13" t="s">
        <v>41</v>
      </c>
      <c r="J8" s="13"/>
      <c r="K8" s="13">
        <v>44.085999999999999</v>
      </c>
      <c r="L8" s="13">
        <f t="shared" si="3"/>
        <v>-26.974999999999998</v>
      </c>
      <c r="M8" s="13"/>
      <c r="N8" s="13"/>
      <c r="O8" s="13">
        <v>10</v>
      </c>
      <c r="P8" s="13">
        <v>32</v>
      </c>
      <c r="Q8" s="13">
        <f t="shared" si="4"/>
        <v>3.4222000000000001</v>
      </c>
      <c r="R8" s="4">
        <f t="shared" ref="R8:R15" si="7">16*Q8-P8-O8-F8</f>
        <v>9.6942000000000021</v>
      </c>
      <c r="S8" s="4">
        <v>30</v>
      </c>
      <c r="T8" s="4"/>
      <c r="U8" s="36">
        <f>VLOOKUP(A8,[1]Sheet!$A:$S,19,0)</f>
        <v>50</v>
      </c>
      <c r="V8" s="13">
        <f t="shared" ref="V8:V71" si="8">(F8+O8+P8+S8)/Q8</f>
        <v>21.93355151656829</v>
      </c>
      <c r="W8" s="13">
        <f t="shared" si="5"/>
        <v>13.167260826369002</v>
      </c>
      <c r="X8" s="13">
        <v>5.2168000000000001</v>
      </c>
      <c r="Y8" s="13">
        <v>4.2012</v>
      </c>
      <c r="Z8" s="13">
        <v>3.2757999999999998</v>
      </c>
      <c r="AA8" s="13">
        <v>0.29959999999999998</v>
      </c>
      <c r="AB8" s="13">
        <v>0.99220000000000008</v>
      </c>
      <c r="AC8" s="13">
        <v>4.3465999999999996</v>
      </c>
      <c r="AD8" s="13">
        <v>1.4268000000000001</v>
      </c>
      <c r="AE8" s="13">
        <v>4.1590000000000007</v>
      </c>
      <c r="AF8" s="13">
        <v>4.5156000000000001</v>
      </c>
      <c r="AG8" s="13">
        <v>3.8104</v>
      </c>
      <c r="AH8" s="13" t="s">
        <v>43</v>
      </c>
      <c r="AI8" s="13">
        <f t="shared" ref="AI8:AI71" si="9">G8*S8</f>
        <v>30</v>
      </c>
      <c r="AJ8" s="13">
        <f t="shared" si="6"/>
        <v>0</v>
      </c>
      <c r="AK8" s="13"/>
      <c r="AL8" s="13"/>
      <c r="AM8" s="13"/>
      <c r="AN8" s="13"/>
      <c r="AO8" s="13"/>
      <c r="AP8" s="13"/>
      <c r="AQ8" s="13"/>
      <c r="AR8" s="13"/>
      <c r="AS8" s="13"/>
      <c r="AT8" s="13"/>
      <c r="AU8" s="13"/>
      <c r="AV8" s="13"/>
      <c r="AW8" s="13"/>
      <c r="AX8" s="13"/>
      <c r="AY8" s="13"/>
    </row>
    <row r="9" spans="1:51" x14ac:dyDescent="0.25">
      <c r="A9" s="13" t="s">
        <v>44</v>
      </c>
      <c r="B9" s="13" t="s">
        <v>40</v>
      </c>
      <c r="C9" s="13">
        <v>110</v>
      </c>
      <c r="D9" s="13">
        <v>1</v>
      </c>
      <c r="E9" s="13">
        <v>116</v>
      </c>
      <c r="F9" s="13">
        <v>-6</v>
      </c>
      <c r="G9" s="6">
        <v>0.25</v>
      </c>
      <c r="H9" s="13">
        <v>120</v>
      </c>
      <c r="I9" s="13" t="s">
        <v>41</v>
      </c>
      <c r="J9" s="13"/>
      <c r="K9" s="13">
        <v>496</v>
      </c>
      <c r="L9" s="13">
        <f t="shared" si="3"/>
        <v>-380</v>
      </c>
      <c r="M9" s="13"/>
      <c r="N9" s="13"/>
      <c r="O9" s="13">
        <v>384</v>
      </c>
      <c r="P9" s="13">
        <v>582</v>
      </c>
      <c r="Q9" s="13">
        <f t="shared" si="4"/>
        <v>23.2</v>
      </c>
      <c r="R9" s="4">
        <v>50</v>
      </c>
      <c r="S9" s="4">
        <v>70</v>
      </c>
      <c r="T9" s="4"/>
      <c r="U9" s="36">
        <f>VLOOKUP(A9,[1]Sheet!$A:$S,19,0)</f>
        <v>100</v>
      </c>
      <c r="V9" s="13">
        <f t="shared" si="8"/>
        <v>44.396551724137936</v>
      </c>
      <c r="W9" s="13">
        <f t="shared" si="5"/>
        <v>41.379310344827587</v>
      </c>
      <c r="X9" s="13">
        <v>97.8</v>
      </c>
      <c r="Y9" s="13">
        <v>70</v>
      </c>
      <c r="Z9" s="13">
        <v>29.8</v>
      </c>
      <c r="AA9" s="13">
        <v>37.4</v>
      </c>
      <c r="AB9" s="13">
        <v>61.4</v>
      </c>
      <c r="AC9" s="13">
        <v>31.4</v>
      </c>
      <c r="AD9" s="13">
        <v>25</v>
      </c>
      <c r="AE9" s="13">
        <v>35.799999999999997</v>
      </c>
      <c r="AF9" s="13">
        <v>25.4</v>
      </c>
      <c r="AG9" s="13">
        <v>25</v>
      </c>
      <c r="AH9" s="13" t="s">
        <v>43</v>
      </c>
      <c r="AI9" s="13">
        <f t="shared" si="9"/>
        <v>17.5</v>
      </c>
      <c r="AJ9" s="13">
        <f t="shared" si="6"/>
        <v>0</v>
      </c>
      <c r="AK9" s="13"/>
      <c r="AL9" s="13"/>
      <c r="AM9" s="13"/>
      <c r="AN9" s="13"/>
      <c r="AO9" s="13"/>
      <c r="AP9" s="13"/>
      <c r="AQ9" s="13"/>
      <c r="AR9" s="13"/>
      <c r="AS9" s="13"/>
      <c r="AT9" s="13"/>
      <c r="AU9" s="13"/>
      <c r="AV9" s="13"/>
      <c r="AW9" s="13"/>
      <c r="AX9" s="13"/>
      <c r="AY9" s="13"/>
    </row>
    <row r="10" spans="1:51" x14ac:dyDescent="0.25">
      <c r="A10" s="13" t="s">
        <v>45</v>
      </c>
      <c r="B10" s="13" t="s">
        <v>36</v>
      </c>
      <c r="C10" s="13">
        <v>545.79300000000001</v>
      </c>
      <c r="D10" s="13">
        <v>13.599</v>
      </c>
      <c r="E10" s="13">
        <v>288.76100000000002</v>
      </c>
      <c r="F10" s="13">
        <v>251.50200000000001</v>
      </c>
      <c r="G10" s="6">
        <v>1</v>
      </c>
      <c r="H10" s="13">
        <v>60</v>
      </c>
      <c r="I10" s="13" t="s">
        <v>41</v>
      </c>
      <c r="J10" s="13"/>
      <c r="K10" s="13">
        <v>358.22500000000002</v>
      </c>
      <c r="L10" s="13">
        <f t="shared" si="3"/>
        <v>-69.463999999999999</v>
      </c>
      <c r="M10" s="13"/>
      <c r="N10" s="13"/>
      <c r="O10" s="13">
        <v>230</v>
      </c>
      <c r="P10" s="13">
        <v>0</v>
      </c>
      <c r="Q10" s="13">
        <f t="shared" si="4"/>
        <v>57.752200000000002</v>
      </c>
      <c r="R10" s="4">
        <f t="shared" si="7"/>
        <v>442.53320000000002</v>
      </c>
      <c r="S10" s="4">
        <f t="shared" ref="S10" si="10">U10</f>
        <v>650</v>
      </c>
      <c r="T10" s="4">
        <v>50</v>
      </c>
      <c r="U10" s="36">
        <f>VLOOKUP(A10,[1]Sheet!$A:$S,19,0)</f>
        <v>650</v>
      </c>
      <c r="V10" s="13">
        <f>(F10+O10+P10+S10+T10)/Q10</f>
        <v>20.458129733585906</v>
      </c>
      <c r="W10" s="13">
        <f t="shared" si="5"/>
        <v>8.337379355245341</v>
      </c>
      <c r="X10" s="13">
        <v>47.667999999999999</v>
      </c>
      <c r="Y10" s="13">
        <v>71.5244</v>
      </c>
      <c r="Z10" s="13">
        <v>59.996400000000008</v>
      </c>
      <c r="AA10" s="13">
        <v>49.260599999999997</v>
      </c>
      <c r="AB10" s="13">
        <v>56.257199999999997</v>
      </c>
      <c r="AC10" s="13">
        <v>69.917000000000002</v>
      </c>
      <c r="AD10" s="13">
        <v>42.271000000000001</v>
      </c>
      <c r="AE10" s="13">
        <v>39.854199999999999</v>
      </c>
      <c r="AF10" s="13">
        <v>46.833399999999997</v>
      </c>
      <c r="AG10" s="13">
        <v>41.058800000000012</v>
      </c>
      <c r="AH10" s="13"/>
      <c r="AI10" s="13">
        <f t="shared" si="9"/>
        <v>650</v>
      </c>
      <c r="AJ10" s="13">
        <f t="shared" si="6"/>
        <v>50</v>
      </c>
      <c r="AK10" s="13"/>
      <c r="AL10" s="13"/>
      <c r="AM10" s="13"/>
      <c r="AN10" s="13"/>
      <c r="AO10" s="13"/>
      <c r="AP10" s="13"/>
      <c r="AQ10" s="13"/>
      <c r="AR10" s="13"/>
      <c r="AS10" s="13"/>
      <c r="AT10" s="13"/>
      <c r="AU10" s="13"/>
      <c r="AV10" s="13"/>
      <c r="AW10" s="13"/>
      <c r="AX10" s="13"/>
      <c r="AY10" s="13"/>
    </row>
    <row r="11" spans="1:51" x14ac:dyDescent="0.25">
      <c r="A11" s="13" t="s">
        <v>46</v>
      </c>
      <c r="B11" s="13" t="s">
        <v>36</v>
      </c>
      <c r="C11" s="13">
        <v>121.441</v>
      </c>
      <c r="D11" s="13"/>
      <c r="E11" s="13">
        <v>21.088000000000001</v>
      </c>
      <c r="F11" s="13">
        <v>100.35299999999999</v>
      </c>
      <c r="G11" s="6">
        <v>1</v>
      </c>
      <c r="H11" s="13">
        <v>120</v>
      </c>
      <c r="I11" s="13" t="s">
        <v>41</v>
      </c>
      <c r="J11" s="13"/>
      <c r="K11" s="13">
        <v>49.7</v>
      </c>
      <c r="L11" s="13">
        <f t="shared" si="3"/>
        <v>-28.612000000000002</v>
      </c>
      <c r="M11" s="13"/>
      <c r="N11" s="13"/>
      <c r="O11" s="13">
        <v>0</v>
      </c>
      <c r="P11" s="13">
        <v>26</v>
      </c>
      <c r="Q11" s="13">
        <f t="shared" si="4"/>
        <v>4.2176</v>
      </c>
      <c r="R11" s="4"/>
      <c r="S11" s="4">
        <f t="shared" ref="S11:S71" si="11">ROUND(R11,0)</f>
        <v>0</v>
      </c>
      <c r="T11" s="4"/>
      <c r="U11" s="36">
        <f>VLOOKUP(A11,[1]Sheet!$A:$S,19,0)</f>
        <v>0</v>
      </c>
      <c r="V11" s="13">
        <f t="shared" si="8"/>
        <v>29.958507207890744</v>
      </c>
      <c r="W11" s="13">
        <f t="shared" si="5"/>
        <v>29.958507207890744</v>
      </c>
      <c r="X11" s="13">
        <v>10.532</v>
      </c>
      <c r="Y11" s="13">
        <v>6.9102000000000006</v>
      </c>
      <c r="Z11" s="13">
        <v>4.5746000000000002</v>
      </c>
      <c r="AA11" s="13">
        <v>8.6004000000000005</v>
      </c>
      <c r="AB11" s="13">
        <v>5.0928000000000004</v>
      </c>
      <c r="AC11" s="13">
        <v>2.7075999999999998</v>
      </c>
      <c r="AD11" s="13">
        <v>4.4042000000000003</v>
      </c>
      <c r="AE11" s="13">
        <v>2.8081999999999998</v>
      </c>
      <c r="AF11" s="13">
        <v>3.0775999999999999</v>
      </c>
      <c r="AG11" s="13">
        <v>3.7627999999999999</v>
      </c>
      <c r="AH11" s="15" t="s">
        <v>166</v>
      </c>
      <c r="AI11" s="13">
        <f t="shared" si="9"/>
        <v>0</v>
      </c>
      <c r="AJ11" s="13">
        <f t="shared" si="6"/>
        <v>0</v>
      </c>
      <c r="AK11" s="13"/>
      <c r="AL11" s="13"/>
      <c r="AM11" s="13"/>
      <c r="AN11" s="13"/>
      <c r="AO11" s="13"/>
      <c r="AP11" s="13"/>
      <c r="AQ11" s="13"/>
      <c r="AR11" s="13"/>
      <c r="AS11" s="13"/>
      <c r="AT11" s="13"/>
      <c r="AU11" s="13"/>
      <c r="AV11" s="13"/>
      <c r="AW11" s="13"/>
      <c r="AX11" s="13"/>
      <c r="AY11" s="13"/>
    </row>
    <row r="12" spans="1:51" x14ac:dyDescent="0.25">
      <c r="A12" s="13" t="s">
        <v>47</v>
      </c>
      <c r="B12" s="13" t="s">
        <v>36</v>
      </c>
      <c r="C12" s="13">
        <v>71.962000000000003</v>
      </c>
      <c r="D12" s="13">
        <v>10.816000000000001</v>
      </c>
      <c r="E12" s="13">
        <v>43.210999999999999</v>
      </c>
      <c r="F12" s="13">
        <v>27.39</v>
      </c>
      <c r="G12" s="6">
        <v>1</v>
      </c>
      <c r="H12" s="13">
        <v>60</v>
      </c>
      <c r="I12" s="13" t="s">
        <v>41</v>
      </c>
      <c r="J12" s="13"/>
      <c r="K12" s="13">
        <v>54</v>
      </c>
      <c r="L12" s="13">
        <f t="shared" si="3"/>
        <v>-10.789000000000001</v>
      </c>
      <c r="M12" s="13"/>
      <c r="N12" s="13"/>
      <c r="O12" s="13">
        <v>0</v>
      </c>
      <c r="P12" s="13">
        <v>4</v>
      </c>
      <c r="Q12" s="13">
        <f t="shared" si="4"/>
        <v>8.642199999999999</v>
      </c>
      <c r="R12" s="4">
        <f>12*Q12-P12-O12-F12</f>
        <v>72.316399999999987</v>
      </c>
      <c r="S12" s="4">
        <v>120</v>
      </c>
      <c r="T12" s="4"/>
      <c r="U12" s="36">
        <f>VLOOKUP(A12,[1]Sheet!$A:$S,19,0)</f>
        <v>150</v>
      </c>
      <c r="V12" s="13">
        <f t="shared" si="8"/>
        <v>17.517530258498994</v>
      </c>
      <c r="W12" s="13">
        <f t="shared" si="5"/>
        <v>3.6321769919696378</v>
      </c>
      <c r="X12" s="13">
        <v>5.4014000000000006</v>
      </c>
      <c r="Y12" s="13">
        <v>2.4533999999999998</v>
      </c>
      <c r="Z12" s="13">
        <v>4.0156000000000001</v>
      </c>
      <c r="AA12" s="13">
        <v>8.7403999999999993</v>
      </c>
      <c r="AB12" s="13">
        <v>3.5335999999999999</v>
      </c>
      <c r="AC12" s="13">
        <v>3.8138000000000001</v>
      </c>
      <c r="AD12" s="13">
        <v>0.81980000000000008</v>
      </c>
      <c r="AE12" s="13">
        <v>1.0762</v>
      </c>
      <c r="AF12" s="13">
        <v>3.2698</v>
      </c>
      <c r="AG12" s="13">
        <v>7.4385999999999992</v>
      </c>
      <c r="AH12" s="13"/>
      <c r="AI12" s="13">
        <f t="shared" si="9"/>
        <v>120</v>
      </c>
      <c r="AJ12" s="13">
        <f t="shared" si="6"/>
        <v>0</v>
      </c>
      <c r="AK12" s="13"/>
      <c r="AL12" s="13"/>
      <c r="AM12" s="13"/>
      <c r="AN12" s="13"/>
      <c r="AO12" s="13"/>
      <c r="AP12" s="13"/>
      <c r="AQ12" s="13"/>
      <c r="AR12" s="13"/>
      <c r="AS12" s="13"/>
      <c r="AT12" s="13"/>
      <c r="AU12" s="13"/>
      <c r="AV12" s="13"/>
      <c r="AW12" s="13"/>
      <c r="AX12" s="13"/>
      <c r="AY12" s="13"/>
    </row>
    <row r="13" spans="1:51" x14ac:dyDescent="0.25">
      <c r="A13" s="13" t="s">
        <v>48</v>
      </c>
      <c r="B13" s="13" t="s">
        <v>36</v>
      </c>
      <c r="C13" s="13">
        <v>407.05700000000002</v>
      </c>
      <c r="D13" s="13">
        <v>9.5960000000000001</v>
      </c>
      <c r="E13" s="13">
        <v>300.024</v>
      </c>
      <c r="F13" s="13">
        <v>101.26</v>
      </c>
      <c r="G13" s="6">
        <v>1</v>
      </c>
      <c r="H13" s="13">
        <v>60</v>
      </c>
      <c r="I13" s="13" t="s">
        <v>41</v>
      </c>
      <c r="J13" s="13"/>
      <c r="K13" s="13">
        <v>337.71800000000002</v>
      </c>
      <c r="L13" s="13">
        <f t="shared" si="3"/>
        <v>-37.694000000000017</v>
      </c>
      <c r="M13" s="13"/>
      <c r="N13" s="13"/>
      <c r="O13" s="13">
        <v>197</v>
      </c>
      <c r="P13" s="13">
        <v>231</v>
      </c>
      <c r="Q13" s="13">
        <f t="shared" si="4"/>
        <v>60.004800000000003</v>
      </c>
      <c r="R13" s="4">
        <f t="shared" si="7"/>
        <v>430.81680000000006</v>
      </c>
      <c r="S13" s="4">
        <f t="shared" ref="S13" si="12">U13</f>
        <v>600</v>
      </c>
      <c r="T13" s="4"/>
      <c r="U13" s="36">
        <f>VLOOKUP(A13,[1]Sheet!$A:$S,19,0)</f>
        <v>600</v>
      </c>
      <c r="V13" s="13">
        <f>(F13+O13+P13+S13+T13)/Q13</f>
        <v>18.819494440444764</v>
      </c>
      <c r="W13" s="13">
        <f t="shared" si="5"/>
        <v>8.8202943764498833</v>
      </c>
      <c r="X13" s="13">
        <v>59.633799999999987</v>
      </c>
      <c r="Y13" s="13">
        <v>64.598800000000011</v>
      </c>
      <c r="Z13" s="13">
        <v>47.507800000000003</v>
      </c>
      <c r="AA13" s="13">
        <v>63.072600000000001</v>
      </c>
      <c r="AB13" s="13">
        <v>49.145600000000002</v>
      </c>
      <c r="AC13" s="13">
        <v>63.110400000000013</v>
      </c>
      <c r="AD13" s="13">
        <v>35.663600000000002</v>
      </c>
      <c r="AE13" s="13">
        <v>33.933800000000012</v>
      </c>
      <c r="AF13" s="13">
        <v>49.622399999999999</v>
      </c>
      <c r="AG13" s="13">
        <v>48.169400000000003</v>
      </c>
      <c r="AH13" s="13"/>
      <c r="AI13" s="13">
        <f t="shared" si="9"/>
        <v>600</v>
      </c>
      <c r="AJ13" s="13">
        <f t="shared" si="6"/>
        <v>0</v>
      </c>
      <c r="AK13" s="13"/>
      <c r="AL13" s="13"/>
      <c r="AM13" s="13"/>
      <c r="AN13" s="13"/>
      <c r="AO13" s="13"/>
      <c r="AP13" s="13"/>
      <c r="AQ13" s="13"/>
      <c r="AR13" s="13"/>
      <c r="AS13" s="13"/>
      <c r="AT13" s="13"/>
      <c r="AU13" s="13"/>
      <c r="AV13" s="13"/>
      <c r="AW13" s="13"/>
      <c r="AX13" s="13"/>
      <c r="AY13" s="13"/>
    </row>
    <row r="14" spans="1:51" x14ac:dyDescent="0.25">
      <c r="A14" s="13" t="s">
        <v>49</v>
      </c>
      <c r="B14" s="13" t="s">
        <v>40</v>
      </c>
      <c r="C14" s="13">
        <v>191</v>
      </c>
      <c r="D14" s="13">
        <v>8</v>
      </c>
      <c r="E14" s="13">
        <v>153</v>
      </c>
      <c r="F14" s="13">
        <v>38</v>
      </c>
      <c r="G14" s="6">
        <v>0.25</v>
      </c>
      <c r="H14" s="13">
        <v>120</v>
      </c>
      <c r="I14" s="13" t="s">
        <v>41</v>
      </c>
      <c r="J14" s="13"/>
      <c r="K14" s="13">
        <v>304</v>
      </c>
      <c r="L14" s="13">
        <f t="shared" si="3"/>
        <v>-151</v>
      </c>
      <c r="M14" s="13"/>
      <c r="N14" s="13"/>
      <c r="O14" s="13">
        <v>326</v>
      </c>
      <c r="P14" s="13">
        <v>398</v>
      </c>
      <c r="Q14" s="13">
        <f t="shared" si="4"/>
        <v>30.6</v>
      </c>
      <c r="R14" s="4"/>
      <c r="S14" s="4">
        <f t="shared" si="11"/>
        <v>0</v>
      </c>
      <c r="T14" s="4"/>
      <c r="U14" s="36">
        <f>VLOOKUP(A14,[1]Sheet!$A:$S,19,0)</f>
        <v>0</v>
      </c>
      <c r="V14" s="13">
        <f t="shared" si="8"/>
        <v>24.901960784313726</v>
      </c>
      <c r="W14" s="13">
        <f t="shared" si="5"/>
        <v>24.901960784313726</v>
      </c>
      <c r="X14" s="13">
        <v>70.400000000000006</v>
      </c>
      <c r="Y14" s="13">
        <v>62</v>
      </c>
      <c r="Z14" s="13">
        <v>37</v>
      </c>
      <c r="AA14" s="13">
        <v>33</v>
      </c>
      <c r="AB14" s="13">
        <v>47.4</v>
      </c>
      <c r="AC14" s="13">
        <v>53.6</v>
      </c>
      <c r="AD14" s="13">
        <v>24.2</v>
      </c>
      <c r="AE14" s="13">
        <v>21.4</v>
      </c>
      <c r="AF14" s="13">
        <v>43.8</v>
      </c>
      <c r="AG14" s="13">
        <v>21.4</v>
      </c>
      <c r="AH14" s="13" t="s">
        <v>43</v>
      </c>
      <c r="AI14" s="13">
        <f t="shared" si="9"/>
        <v>0</v>
      </c>
      <c r="AJ14" s="13">
        <f t="shared" si="6"/>
        <v>0</v>
      </c>
      <c r="AK14" s="13"/>
      <c r="AL14" s="13"/>
      <c r="AM14" s="13"/>
      <c r="AN14" s="13"/>
      <c r="AO14" s="13"/>
      <c r="AP14" s="13"/>
      <c r="AQ14" s="13"/>
      <c r="AR14" s="13"/>
      <c r="AS14" s="13"/>
      <c r="AT14" s="13"/>
      <c r="AU14" s="13"/>
      <c r="AV14" s="13"/>
      <c r="AW14" s="13"/>
      <c r="AX14" s="13"/>
      <c r="AY14" s="13"/>
    </row>
    <row r="15" spans="1:51" x14ac:dyDescent="0.25">
      <c r="A15" s="13" t="s">
        <v>50</v>
      </c>
      <c r="B15" s="13" t="s">
        <v>36</v>
      </c>
      <c r="C15" s="13">
        <v>198.03800000000001</v>
      </c>
      <c r="D15" s="13">
        <v>1.35</v>
      </c>
      <c r="E15" s="13">
        <v>70.305999999999997</v>
      </c>
      <c r="F15" s="13">
        <v>125.03400000000001</v>
      </c>
      <c r="G15" s="6">
        <v>1</v>
      </c>
      <c r="H15" s="13">
        <v>60</v>
      </c>
      <c r="I15" s="13" t="s">
        <v>41</v>
      </c>
      <c r="J15" s="13"/>
      <c r="K15" s="13">
        <v>148.80000000000001</v>
      </c>
      <c r="L15" s="13">
        <f t="shared" si="3"/>
        <v>-78.494000000000014</v>
      </c>
      <c r="M15" s="13"/>
      <c r="N15" s="13"/>
      <c r="O15" s="13">
        <v>0</v>
      </c>
      <c r="P15" s="13">
        <v>75</v>
      </c>
      <c r="Q15" s="13">
        <f t="shared" si="4"/>
        <v>14.061199999999999</v>
      </c>
      <c r="R15" s="4">
        <f t="shared" si="7"/>
        <v>24.945199999999986</v>
      </c>
      <c r="S15" s="4">
        <f t="shared" ref="S15:S17" si="13">U15</f>
        <v>50</v>
      </c>
      <c r="T15" s="4"/>
      <c r="U15" s="36">
        <f>VLOOKUP(A15,[1]Sheet!$A:$S,19,0)</f>
        <v>50</v>
      </c>
      <c r="V15" s="13">
        <f t="shared" si="8"/>
        <v>17.781839387818962</v>
      </c>
      <c r="W15" s="13">
        <f t="shared" si="5"/>
        <v>14.225955110516884</v>
      </c>
      <c r="X15" s="13">
        <v>19.492999999999999</v>
      </c>
      <c r="Y15" s="13">
        <v>0.47199999999999998</v>
      </c>
      <c r="Z15" s="13">
        <v>8.4016000000000002</v>
      </c>
      <c r="AA15" s="13">
        <v>26.634799999999998</v>
      </c>
      <c r="AB15" s="13">
        <v>14.544</v>
      </c>
      <c r="AC15" s="13">
        <v>9.7308000000000003</v>
      </c>
      <c r="AD15" s="13">
        <v>0.81180000000000008</v>
      </c>
      <c r="AE15" s="13">
        <v>3.512</v>
      </c>
      <c r="AF15" s="13">
        <v>11.567</v>
      </c>
      <c r="AG15" s="13">
        <v>18.520600000000002</v>
      </c>
      <c r="AH15" s="13"/>
      <c r="AI15" s="13">
        <f t="shared" si="9"/>
        <v>50</v>
      </c>
      <c r="AJ15" s="13">
        <f t="shared" si="6"/>
        <v>0</v>
      </c>
      <c r="AK15" s="13"/>
      <c r="AL15" s="13"/>
      <c r="AM15" s="13"/>
      <c r="AN15" s="13"/>
      <c r="AO15" s="13"/>
      <c r="AP15" s="13"/>
      <c r="AQ15" s="13"/>
      <c r="AR15" s="13"/>
      <c r="AS15" s="13"/>
      <c r="AT15" s="13"/>
      <c r="AU15" s="13"/>
      <c r="AV15" s="13"/>
      <c r="AW15" s="13"/>
      <c r="AX15" s="13"/>
      <c r="AY15" s="13"/>
    </row>
    <row r="16" spans="1:51" x14ac:dyDescent="0.25">
      <c r="A16" s="13" t="s">
        <v>51</v>
      </c>
      <c r="B16" s="13" t="s">
        <v>40</v>
      </c>
      <c r="C16" s="13">
        <v>114</v>
      </c>
      <c r="D16" s="13">
        <v>2</v>
      </c>
      <c r="E16" s="13">
        <v>98</v>
      </c>
      <c r="F16" s="13">
        <v>19</v>
      </c>
      <c r="G16" s="6">
        <v>0.25</v>
      </c>
      <c r="H16" s="13">
        <v>120</v>
      </c>
      <c r="I16" s="13" t="s">
        <v>41</v>
      </c>
      <c r="J16" s="13"/>
      <c r="K16" s="13">
        <v>494</v>
      </c>
      <c r="L16" s="13">
        <f t="shared" si="3"/>
        <v>-396</v>
      </c>
      <c r="M16" s="13"/>
      <c r="N16" s="13"/>
      <c r="O16" s="13">
        <v>380</v>
      </c>
      <c r="P16" s="13">
        <v>698</v>
      </c>
      <c r="Q16" s="13">
        <f t="shared" si="4"/>
        <v>19.600000000000001</v>
      </c>
      <c r="R16" s="4"/>
      <c r="S16" s="4">
        <v>20</v>
      </c>
      <c r="T16" s="4"/>
      <c r="U16" s="36">
        <f>VLOOKUP(A16,[1]Sheet!$A:$S,19,0)</f>
        <v>50</v>
      </c>
      <c r="V16" s="13">
        <f t="shared" si="8"/>
        <v>56.989795918367342</v>
      </c>
      <c r="W16" s="13">
        <f t="shared" si="5"/>
        <v>55.969387755102034</v>
      </c>
      <c r="X16" s="13">
        <v>119.2</v>
      </c>
      <c r="Y16" s="13">
        <v>76</v>
      </c>
      <c r="Z16" s="13">
        <v>40.200000000000003</v>
      </c>
      <c r="AA16" s="13">
        <v>40.4</v>
      </c>
      <c r="AB16" s="13">
        <v>55.8</v>
      </c>
      <c r="AC16" s="13">
        <v>48.2</v>
      </c>
      <c r="AD16" s="13">
        <v>24.2</v>
      </c>
      <c r="AE16" s="13">
        <v>25.2</v>
      </c>
      <c r="AF16" s="13">
        <v>30.4</v>
      </c>
      <c r="AG16" s="13">
        <v>24.4</v>
      </c>
      <c r="AH16" s="13" t="s">
        <v>43</v>
      </c>
      <c r="AI16" s="13">
        <f t="shared" si="9"/>
        <v>5</v>
      </c>
      <c r="AJ16" s="13">
        <f t="shared" si="6"/>
        <v>0</v>
      </c>
      <c r="AK16" s="13"/>
      <c r="AL16" s="13"/>
      <c r="AM16" s="13"/>
      <c r="AN16" s="13"/>
      <c r="AO16" s="13"/>
      <c r="AP16" s="13"/>
      <c r="AQ16" s="13"/>
      <c r="AR16" s="13"/>
      <c r="AS16" s="13"/>
      <c r="AT16" s="13"/>
      <c r="AU16" s="13"/>
      <c r="AV16" s="13"/>
      <c r="AW16" s="13"/>
      <c r="AX16" s="13"/>
      <c r="AY16" s="13"/>
    </row>
    <row r="17" spans="1:51" x14ac:dyDescent="0.25">
      <c r="A17" s="13" t="s">
        <v>52</v>
      </c>
      <c r="B17" s="13" t="s">
        <v>40</v>
      </c>
      <c r="C17" s="13">
        <v>36</v>
      </c>
      <c r="D17" s="13"/>
      <c r="E17" s="13">
        <v>37</v>
      </c>
      <c r="F17" s="13">
        <v>-3</v>
      </c>
      <c r="G17" s="6">
        <v>0.4</v>
      </c>
      <c r="H17" s="13">
        <v>60</v>
      </c>
      <c r="I17" s="13" t="s">
        <v>41</v>
      </c>
      <c r="J17" s="13"/>
      <c r="K17" s="13">
        <v>304</v>
      </c>
      <c r="L17" s="13">
        <f t="shared" si="3"/>
        <v>-267</v>
      </c>
      <c r="M17" s="13"/>
      <c r="N17" s="13"/>
      <c r="O17" s="13">
        <v>318</v>
      </c>
      <c r="P17" s="13">
        <v>259</v>
      </c>
      <c r="Q17" s="13">
        <f t="shared" si="4"/>
        <v>7.4</v>
      </c>
      <c r="R17" s="4">
        <v>100</v>
      </c>
      <c r="S17" s="4">
        <f t="shared" si="13"/>
        <v>200</v>
      </c>
      <c r="T17" s="4"/>
      <c r="U17" s="36">
        <f>VLOOKUP(A17,[1]Sheet!$A:$S,19,0)</f>
        <v>200</v>
      </c>
      <c r="V17" s="13">
        <f t="shared" si="8"/>
        <v>104.5945945945946</v>
      </c>
      <c r="W17" s="13">
        <f t="shared" si="5"/>
        <v>77.567567567567565</v>
      </c>
      <c r="X17" s="13">
        <v>43.8</v>
      </c>
      <c r="Y17" s="13">
        <v>40</v>
      </c>
      <c r="Z17" s="13">
        <v>24.6</v>
      </c>
      <c r="AA17" s="13">
        <v>22.8</v>
      </c>
      <c r="AB17" s="13">
        <v>36.799999999999997</v>
      </c>
      <c r="AC17" s="13">
        <v>37</v>
      </c>
      <c r="AD17" s="13">
        <v>34.799999999999997</v>
      </c>
      <c r="AE17" s="13">
        <v>26.6</v>
      </c>
      <c r="AF17" s="13">
        <v>22.8</v>
      </c>
      <c r="AG17" s="13">
        <v>21.8</v>
      </c>
      <c r="AH17" s="13"/>
      <c r="AI17" s="13">
        <f t="shared" si="9"/>
        <v>80</v>
      </c>
      <c r="AJ17" s="13">
        <f t="shared" si="6"/>
        <v>0</v>
      </c>
      <c r="AK17" s="13"/>
      <c r="AL17" s="13"/>
      <c r="AM17" s="13"/>
      <c r="AN17" s="13"/>
      <c r="AO17" s="13"/>
      <c r="AP17" s="13"/>
      <c r="AQ17" s="13"/>
      <c r="AR17" s="13"/>
      <c r="AS17" s="13"/>
      <c r="AT17" s="13"/>
      <c r="AU17" s="13"/>
      <c r="AV17" s="13"/>
      <c r="AW17" s="13"/>
      <c r="AX17" s="13"/>
      <c r="AY17" s="13"/>
    </row>
    <row r="18" spans="1:51" x14ac:dyDescent="0.25">
      <c r="A18" s="13" t="s">
        <v>53</v>
      </c>
      <c r="B18" s="13" t="s">
        <v>36</v>
      </c>
      <c r="C18" s="13">
        <v>70.058000000000007</v>
      </c>
      <c r="D18" s="13">
        <v>4.2489999999999997</v>
      </c>
      <c r="E18" s="13">
        <v>60.176000000000002</v>
      </c>
      <c r="F18" s="13">
        <v>8.1630000000000003</v>
      </c>
      <c r="G18" s="6">
        <v>1</v>
      </c>
      <c r="H18" s="13">
        <v>45</v>
      </c>
      <c r="I18" s="13" t="s">
        <v>41</v>
      </c>
      <c r="J18" s="13"/>
      <c r="K18" s="13">
        <v>183.352</v>
      </c>
      <c r="L18" s="13">
        <f t="shared" si="3"/>
        <v>-123.176</v>
      </c>
      <c r="M18" s="13"/>
      <c r="N18" s="13"/>
      <c r="O18" s="13">
        <v>248</v>
      </c>
      <c r="P18" s="13">
        <v>251</v>
      </c>
      <c r="Q18" s="13">
        <f t="shared" si="4"/>
        <v>12.0352</v>
      </c>
      <c r="R18" s="4">
        <v>50</v>
      </c>
      <c r="S18" s="4">
        <v>120</v>
      </c>
      <c r="T18" s="4"/>
      <c r="U18" s="36">
        <f>VLOOKUP(A18,[1]Sheet!$A:$S,19,0)</f>
        <v>165</v>
      </c>
      <c r="V18" s="13">
        <f t="shared" si="8"/>
        <v>52.11072520606222</v>
      </c>
      <c r="W18" s="13">
        <f t="shared" si="5"/>
        <v>42.139972746609949</v>
      </c>
      <c r="X18" s="13">
        <v>43.809600000000003</v>
      </c>
      <c r="Y18" s="13">
        <v>38.122</v>
      </c>
      <c r="Z18" s="13">
        <v>31.1738</v>
      </c>
      <c r="AA18" s="13">
        <v>36.706800000000001</v>
      </c>
      <c r="AB18" s="13">
        <v>45.036999999999999</v>
      </c>
      <c r="AC18" s="13">
        <v>38.583599999999997</v>
      </c>
      <c r="AD18" s="13">
        <v>38.170400000000001</v>
      </c>
      <c r="AE18" s="13">
        <v>32.511000000000003</v>
      </c>
      <c r="AF18" s="13">
        <v>43.4754</v>
      </c>
      <c r="AG18" s="13">
        <v>43.322000000000003</v>
      </c>
      <c r="AH18" s="13"/>
      <c r="AI18" s="13">
        <f t="shared" si="9"/>
        <v>120</v>
      </c>
      <c r="AJ18" s="13">
        <f t="shared" si="6"/>
        <v>0</v>
      </c>
      <c r="AK18" s="13"/>
      <c r="AL18" s="13"/>
      <c r="AM18" s="13"/>
      <c r="AN18" s="13"/>
      <c r="AO18" s="13"/>
      <c r="AP18" s="13"/>
      <c r="AQ18" s="13"/>
      <c r="AR18" s="13"/>
      <c r="AS18" s="13"/>
      <c r="AT18" s="13"/>
      <c r="AU18" s="13"/>
      <c r="AV18" s="13"/>
      <c r="AW18" s="13"/>
      <c r="AX18" s="13"/>
      <c r="AY18" s="13"/>
    </row>
    <row r="19" spans="1:51" x14ac:dyDescent="0.25">
      <c r="A19" s="13" t="s">
        <v>54</v>
      </c>
      <c r="B19" s="13" t="s">
        <v>36</v>
      </c>
      <c r="C19" s="13">
        <v>38.15</v>
      </c>
      <c r="D19" s="13">
        <v>2.9580000000000002</v>
      </c>
      <c r="E19" s="13">
        <v>20.553000000000001</v>
      </c>
      <c r="F19" s="13">
        <v>17.097999999999999</v>
      </c>
      <c r="G19" s="6">
        <v>1</v>
      </c>
      <c r="H19" s="13">
        <v>120</v>
      </c>
      <c r="I19" s="13" t="s">
        <v>41</v>
      </c>
      <c r="J19" s="13"/>
      <c r="K19" s="13">
        <v>39</v>
      </c>
      <c r="L19" s="13">
        <f t="shared" si="3"/>
        <v>-18.446999999999999</v>
      </c>
      <c r="M19" s="13"/>
      <c r="N19" s="13"/>
      <c r="O19" s="13">
        <v>0</v>
      </c>
      <c r="P19" s="13">
        <v>62</v>
      </c>
      <c r="Q19" s="13">
        <f t="shared" si="4"/>
        <v>4.1105999999999998</v>
      </c>
      <c r="R19" s="4">
        <v>10</v>
      </c>
      <c r="S19" s="4">
        <f t="shared" si="11"/>
        <v>10</v>
      </c>
      <c r="T19" s="4"/>
      <c r="U19" s="36">
        <f>VLOOKUP(A19,[1]Sheet!$A:$S,19,0)</f>
        <v>0</v>
      </c>
      <c r="V19" s="13">
        <f t="shared" si="8"/>
        <v>21.675181238748603</v>
      </c>
      <c r="W19" s="13">
        <f t="shared" si="5"/>
        <v>19.242446358195885</v>
      </c>
      <c r="X19" s="13">
        <v>11.1694</v>
      </c>
      <c r="Y19" s="13">
        <v>5.2294</v>
      </c>
      <c r="Z19" s="13">
        <v>2.7151999999999998</v>
      </c>
      <c r="AA19" s="13">
        <v>5.2648000000000001</v>
      </c>
      <c r="AB19" s="13">
        <v>4.2115999999999998</v>
      </c>
      <c r="AC19" s="13">
        <v>3.5571999999999999</v>
      </c>
      <c r="AD19" s="13">
        <v>3.2544</v>
      </c>
      <c r="AE19" s="13">
        <v>1.6692</v>
      </c>
      <c r="AF19" s="13">
        <v>3.0581999999999998</v>
      </c>
      <c r="AG19" s="13">
        <v>1.0933999999999999</v>
      </c>
      <c r="AH19" s="13" t="s">
        <v>43</v>
      </c>
      <c r="AI19" s="13">
        <f t="shared" si="9"/>
        <v>10</v>
      </c>
      <c r="AJ19" s="13">
        <f t="shared" si="6"/>
        <v>0</v>
      </c>
      <c r="AK19" s="13"/>
      <c r="AL19" s="13"/>
      <c r="AM19" s="13"/>
      <c r="AN19" s="13"/>
      <c r="AO19" s="13"/>
      <c r="AP19" s="13"/>
      <c r="AQ19" s="13"/>
      <c r="AR19" s="13"/>
      <c r="AS19" s="13"/>
      <c r="AT19" s="13"/>
      <c r="AU19" s="13"/>
      <c r="AV19" s="13"/>
      <c r="AW19" s="13"/>
      <c r="AX19" s="13"/>
      <c r="AY19" s="13"/>
    </row>
    <row r="20" spans="1:51" x14ac:dyDescent="0.25">
      <c r="A20" s="13" t="s">
        <v>55</v>
      </c>
      <c r="B20" s="13" t="s">
        <v>40</v>
      </c>
      <c r="C20" s="13">
        <v>32</v>
      </c>
      <c r="D20" s="13"/>
      <c r="E20" s="13"/>
      <c r="F20" s="13">
        <v>32</v>
      </c>
      <c r="G20" s="6">
        <v>0.4</v>
      </c>
      <c r="H20" s="13">
        <v>45</v>
      </c>
      <c r="I20" s="13" t="s">
        <v>41</v>
      </c>
      <c r="J20" s="13"/>
      <c r="K20" s="13">
        <v>256</v>
      </c>
      <c r="L20" s="13">
        <f t="shared" si="3"/>
        <v>-256</v>
      </c>
      <c r="M20" s="13"/>
      <c r="N20" s="13"/>
      <c r="O20" s="13">
        <v>0</v>
      </c>
      <c r="P20" s="13">
        <v>0</v>
      </c>
      <c r="Q20" s="13">
        <f t="shared" si="4"/>
        <v>0</v>
      </c>
      <c r="R20" s="4"/>
      <c r="S20" s="4">
        <v>100</v>
      </c>
      <c r="T20" s="4"/>
      <c r="U20" s="36">
        <f>VLOOKUP(A20,[1]Sheet!$A:$S,19,0)</f>
        <v>200</v>
      </c>
      <c r="V20" s="13" t="e">
        <f t="shared" si="8"/>
        <v>#DIV/0!</v>
      </c>
      <c r="W20" s="13" t="e">
        <f t="shared" si="5"/>
        <v>#DIV/0!</v>
      </c>
      <c r="X20" s="13">
        <v>0</v>
      </c>
      <c r="Y20" s="13">
        <v>-1.2</v>
      </c>
      <c r="Z20" s="13">
        <v>-0.2</v>
      </c>
      <c r="AA20" s="13">
        <v>-3.8</v>
      </c>
      <c r="AB20" s="13">
        <v>-0.2</v>
      </c>
      <c r="AC20" s="13">
        <v>5</v>
      </c>
      <c r="AD20" s="13">
        <v>9.6</v>
      </c>
      <c r="AE20" s="13">
        <v>3.8</v>
      </c>
      <c r="AF20" s="13">
        <v>22.2</v>
      </c>
      <c r="AG20" s="13">
        <v>17.399999999999999</v>
      </c>
      <c r="AH20" s="11" t="s">
        <v>167</v>
      </c>
      <c r="AI20" s="13">
        <f t="shared" si="9"/>
        <v>40</v>
      </c>
      <c r="AJ20" s="13">
        <f t="shared" si="6"/>
        <v>0</v>
      </c>
      <c r="AK20" s="13"/>
      <c r="AL20" s="13"/>
      <c r="AM20" s="13"/>
      <c r="AN20" s="13"/>
      <c r="AO20" s="13"/>
      <c r="AP20" s="13"/>
      <c r="AQ20" s="13"/>
      <c r="AR20" s="13"/>
      <c r="AS20" s="13"/>
      <c r="AT20" s="13"/>
      <c r="AU20" s="13"/>
      <c r="AV20" s="13"/>
      <c r="AW20" s="13"/>
      <c r="AX20" s="13"/>
      <c r="AY20" s="13"/>
    </row>
    <row r="21" spans="1:51" x14ac:dyDescent="0.25">
      <c r="A21" s="13" t="s">
        <v>56</v>
      </c>
      <c r="B21" s="13" t="s">
        <v>36</v>
      </c>
      <c r="C21" s="13">
        <v>116.47199999999999</v>
      </c>
      <c r="D21" s="13">
        <v>13.55</v>
      </c>
      <c r="E21" s="13">
        <v>121.63200000000001</v>
      </c>
      <c r="F21" s="13">
        <v>-7.1150000000000002</v>
      </c>
      <c r="G21" s="6">
        <v>1</v>
      </c>
      <c r="H21" s="13">
        <v>60</v>
      </c>
      <c r="I21" s="13" t="s">
        <v>41</v>
      </c>
      <c r="J21" s="13"/>
      <c r="K21" s="13">
        <v>181.804</v>
      </c>
      <c r="L21" s="13">
        <f t="shared" si="3"/>
        <v>-60.171999999999997</v>
      </c>
      <c r="M21" s="13"/>
      <c r="N21" s="13"/>
      <c r="O21" s="13">
        <v>177</v>
      </c>
      <c r="P21" s="13">
        <v>239</v>
      </c>
      <c r="Q21" s="13">
        <f t="shared" si="4"/>
        <v>24.3264</v>
      </c>
      <c r="R21" s="4">
        <v>50</v>
      </c>
      <c r="S21" s="4">
        <v>100</v>
      </c>
      <c r="T21" s="4"/>
      <c r="U21" s="36">
        <f>VLOOKUP(A21,[1]Sheet!$A:$S,19,0)</f>
        <v>250</v>
      </c>
      <c r="V21" s="13">
        <f t="shared" si="8"/>
        <v>20.919042686135228</v>
      </c>
      <c r="W21" s="13">
        <f t="shared" si="5"/>
        <v>16.808282359905288</v>
      </c>
      <c r="X21" s="13">
        <v>38.0486</v>
      </c>
      <c r="Y21" s="13">
        <v>34.205199999999998</v>
      </c>
      <c r="Z21" s="13">
        <v>22.615200000000002</v>
      </c>
      <c r="AA21" s="13">
        <v>32.779600000000002</v>
      </c>
      <c r="AB21" s="13">
        <v>30.880400000000002</v>
      </c>
      <c r="AC21" s="13">
        <v>43.971800000000002</v>
      </c>
      <c r="AD21" s="13">
        <v>24.540600000000001</v>
      </c>
      <c r="AE21" s="13">
        <v>24.433</v>
      </c>
      <c r="AF21" s="13">
        <v>26.175999999999998</v>
      </c>
      <c r="AG21" s="13">
        <v>27.4224</v>
      </c>
      <c r="AH21" s="13"/>
      <c r="AI21" s="13">
        <f t="shared" si="9"/>
        <v>100</v>
      </c>
      <c r="AJ21" s="13">
        <f t="shared" si="6"/>
        <v>0</v>
      </c>
      <c r="AK21" s="13"/>
      <c r="AL21" s="13"/>
      <c r="AM21" s="13"/>
      <c r="AN21" s="13"/>
      <c r="AO21" s="13"/>
      <c r="AP21" s="13"/>
      <c r="AQ21" s="13"/>
      <c r="AR21" s="13"/>
      <c r="AS21" s="13"/>
      <c r="AT21" s="13"/>
      <c r="AU21" s="13"/>
      <c r="AV21" s="13"/>
      <c r="AW21" s="13"/>
      <c r="AX21" s="13"/>
      <c r="AY21" s="13"/>
    </row>
    <row r="22" spans="1:51" x14ac:dyDescent="0.25">
      <c r="A22" s="13" t="s">
        <v>57</v>
      </c>
      <c r="B22" s="13" t="s">
        <v>40</v>
      </c>
      <c r="C22" s="13">
        <v>376</v>
      </c>
      <c r="D22" s="13">
        <v>6</v>
      </c>
      <c r="E22" s="13">
        <v>358</v>
      </c>
      <c r="F22" s="13">
        <v>20</v>
      </c>
      <c r="G22" s="6">
        <v>0.22</v>
      </c>
      <c r="H22" s="13">
        <v>120</v>
      </c>
      <c r="I22" s="13" t="s">
        <v>41</v>
      </c>
      <c r="J22" s="13"/>
      <c r="K22" s="13">
        <v>714</v>
      </c>
      <c r="L22" s="13">
        <f t="shared" si="3"/>
        <v>-356</v>
      </c>
      <c r="M22" s="13"/>
      <c r="N22" s="13"/>
      <c r="O22" s="13">
        <v>439</v>
      </c>
      <c r="P22" s="13">
        <v>788</v>
      </c>
      <c r="Q22" s="13">
        <f t="shared" si="4"/>
        <v>71.599999999999994</v>
      </c>
      <c r="R22" s="4">
        <v>200</v>
      </c>
      <c r="S22" s="4">
        <v>250</v>
      </c>
      <c r="T22" s="4"/>
      <c r="U22" s="36">
        <f>VLOOKUP(A22,[1]Sheet!$A:$S,19,0)</f>
        <v>300</v>
      </c>
      <c r="V22" s="13">
        <f t="shared" si="8"/>
        <v>20.907821229050281</v>
      </c>
      <c r="W22" s="13">
        <f t="shared" si="5"/>
        <v>17.416201117318437</v>
      </c>
      <c r="X22" s="13">
        <v>133.6</v>
      </c>
      <c r="Y22" s="13">
        <v>105.8</v>
      </c>
      <c r="Z22" s="13">
        <v>63.4</v>
      </c>
      <c r="AA22" s="13">
        <v>72.2</v>
      </c>
      <c r="AB22" s="13">
        <v>83.4</v>
      </c>
      <c r="AC22" s="13">
        <v>44.2</v>
      </c>
      <c r="AD22" s="13">
        <v>39.6</v>
      </c>
      <c r="AE22" s="13">
        <v>29.2</v>
      </c>
      <c r="AF22" s="13">
        <v>39</v>
      </c>
      <c r="AG22" s="13">
        <v>36.200000000000003</v>
      </c>
      <c r="AH22" s="13" t="s">
        <v>43</v>
      </c>
      <c r="AI22" s="13">
        <f t="shared" si="9"/>
        <v>55</v>
      </c>
      <c r="AJ22" s="13">
        <f t="shared" si="6"/>
        <v>0</v>
      </c>
      <c r="AK22" s="13"/>
      <c r="AL22" s="13"/>
      <c r="AM22" s="13"/>
      <c r="AN22" s="13"/>
      <c r="AO22" s="13"/>
      <c r="AP22" s="13"/>
      <c r="AQ22" s="13"/>
      <c r="AR22" s="13"/>
      <c r="AS22" s="13"/>
      <c r="AT22" s="13"/>
      <c r="AU22" s="13"/>
      <c r="AV22" s="13"/>
      <c r="AW22" s="13"/>
      <c r="AX22" s="13"/>
      <c r="AY22" s="13"/>
    </row>
    <row r="23" spans="1:51" x14ac:dyDescent="0.25">
      <c r="A23" s="13" t="s">
        <v>58</v>
      </c>
      <c r="B23" s="13" t="s">
        <v>36</v>
      </c>
      <c r="C23" s="13">
        <v>1.1160000000000001</v>
      </c>
      <c r="D23" s="13"/>
      <c r="E23" s="13"/>
      <c r="F23" s="13">
        <v>1.1160000000000001</v>
      </c>
      <c r="G23" s="6">
        <v>1</v>
      </c>
      <c r="H23" s="13">
        <v>40</v>
      </c>
      <c r="I23" s="13" t="s">
        <v>41</v>
      </c>
      <c r="J23" s="13"/>
      <c r="K23" s="13">
        <v>24</v>
      </c>
      <c r="L23" s="13">
        <f t="shared" si="3"/>
        <v>-24</v>
      </c>
      <c r="M23" s="13"/>
      <c r="N23" s="13"/>
      <c r="O23" s="13">
        <v>20</v>
      </c>
      <c r="P23" s="13">
        <v>10</v>
      </c>
      <c r="Q23" s="13">
        <f t="shared" si="4"/>
        <v>0</v>
      </c>
      <c r="R23" s="4">
        <v>10</v>
      </c>
      <c r="S23" s="4">
        <v>20</v>
      </c>
      <c r="T23" s="4"/>
      <c r="U23" s="36">
        <f>VLOOKUP(A23,[1]Sheet!$A:$S,19,0)</f>
        <v>50</v>
      </c>
      <c r="V23" s="13" t="e">
        <f t="shared" si="8"/>
        <v>#DIV/0!</v>
      </c>
      <c r="W23" s="13" t="e">
        <f t="shared" si="5"/>
        <v>#DIV/0!</v>
      </c>
      <c r="X23" s="13">
        <v>-0.17599999999999999</v>
      </c>
      <c r="Y23" s="13">
        <v>-0.27</v>
      </c>
      <c r="Z23" s="13">
        <v>1.016</v>
      </c>
      <c r="AA23" s="13">
        <v>0.62519999999999998</v>
      </c>
      <c r="AB23" s="13">
        <v>3.5935999999999999</v>
      </c>
      <c r="AC23" s="13">
        <v>9.9719999999999995</v>
      </c>
      <c r="AD23" s="13">
        <v>8.8043999999999993</v>
      </c>
      <c r="AE23" s="13">
        <v>4.5223999999999993</v>
      </c>
      <c r="AF23" s="13">
        <v>2.25</v>
      </c>
      <c r="AG23" s="13">
        <v>2.5367999999999999</v>
      </c>
      <c r="AH23" s="13" t="s">
        <v>59</v>
      </c>
      <c r="AI23" s="13">
        <f t="shared" si="9"/>
        <v>20</v>
      </c>
      <c r="AJ23" s="13">
        <f t="shared" si="6"/>
        <v>0</v>
      </c>
      <c r="AK23" s="13"/>
      <c r="AL23" s="13"/>
      <c r="AM23" s="13"/>
      <c r="AN23" s="13"/>
      <c r="AO23" s="13"/>
      <c r="AP23" s="13"/>
      <c r="AQ23" s="13"/>
      <c r="AR23" s="13"/>
      <c r="AS23" s="13"/>
      <c r="AT23" s="13"/>
      <c r="AU23" s="13"/>
      <c r="AV23" s="13"/>
      <c r="AW23" s="13"/>
      <c r="AX23" s="13"/>
      <c r="AY23" s="13"/>
    </row>
    <row r="24" spans="1:51" x14ac:dyDescent="0.25">
      <c r="A24" s="8" t="s">
        <v>60</v>
      </c>
      <c r="B24" s="8" t="s">
        <v>36</v>
      </c>
      <c r="C24" s="8">
        <v>39.21</v>
      </c>
      <c r="D24" s="8"/>
      <c r="E24" s="8"/>
      <c r="F24" s="8">
        <v>39.21</v>
      </c>
      <c r="G24" s="9">
        <v>0</v>
      </c>
      <c r="H24" s="8"/>
      <c r="I24" s="8" t="s">
        <v>37</v>
      </c>
      <c r="J24" s="8"/>
      <c r="K24" s="8"/>
      <c r="L24" s="8">
        <f t="shared" si="3"/>
        <v>0</v>
      </c>
      <c r="M24" s="8"/>
      <c r="N24" s="8"/>
      <c r="O24" s="8">
        <v>0</v>
      </c>
      <c r="P24" s="8">
        <v>0</v>
      </c>
      <c r="Q24" s="8">
        <f t="shared" si="4"/>
        <v>0</v>
      </c>
      <c r="R24" s="10"/>
      <c r="S24" s="4">
        <f t="shared" si="11"/>
        <v>0</v>
      </c>
      <c r="T24" s="4"/>
      <c r="U24" s="36">
        <f>VLOOKUP(A24,[1]Sheet!$A:$S,19,0)</f>
        <v>0</v>
      </c>
      <c r="V24" s="13" t="e">
        <f t="shared" si="8"/>
        <v>#DIV/0!</v>
      </c>
      <c r="W24" s="8" t="e">
        <f t="shared" si="5"/>
        <v>#DIV/0!</v>
      </c>
      <c r="X24" s="8">
        <v>2.4140000000000001</v>
      </c>
      <c r="Y24" s="8">
        <v>3.625</v>
      </c>
      <c r="Z24" s="8">
        <v>0</v>
      </c>
      <c r="AA24" s="8">
        <v>5.444</v>
      </c>
      <c r="AB24" s="8">
        <v>0</v>
      </c>
      <c r="AC24" s="8">
        <v>0</v>
      </c>
      <c r="AD24" s="8">
        <v>0</v>
      </c>
      <c r="AE24" s="8">
        <v>0</v>
      </c>
      <c r="AF24" s="8">
        <v>0</v>
      </c>
      <c r="AG24" s="8">
        <v>0</v>
      </c>
      <c r="AH24" s="12" t="s">
        <v>38</v>
      </c>
      <c r="AI24" s="13">
        <f t="shared" si="9"/>
        <v>0</v>
      </c>
      <c r="AJ24" s="13">
        <f t="shared" si="6"/>
        <v>0</v>
      </c>
      <c r="AK24" s="13"/>
      <c r="AL24" s="13"/>
      <c r="AM24" s="13"/>
      <c r="AN24" s="13"/>
      <c r="AO24" s="13"/>
      <c r="AP24" s="13"/>
      <c r="AQ24" s="13"/>
      <c r="AR24" s="13"/>
      <c r="AS24" s="13"/>
      <c r="AT24" s="13"/>
      <c r="AU24" s="13"/>
      <c r="AV24" s="13"/>
      <c r="AW24" s="13"/>
      <c r="AX24" s="13"/>
      <c r="AY24" s="13"/>
    </row>
    <row r="25" spans="1:51" x14ac:dyDescent="0.25">
      <c r="A25" s="13" t="s">
        <v>61</v>
      </c>
      <c r="B25" s="13" t="s">
        <v>36</v>
      </c>
      <c r="C25" s="13">
        <v>4.0119999999999996</v>
      </c>
      <c r="D25" s="13">
        <v>1.3360000000000001</v>
      </c>
      <c r="E25" s="13">
        <v>1.2130000000000001</v>
      </c>
      <c r="F25" s="13">
        <v>6.7000000000000004E-2</v>
      </c>
      <c r="G25" s="6">
        <v>1</v>
      </c>
      <c r="H25" s="13">
        <v>60</v>
      </c>
      <c r="I25" s="13" t="s">
        <v>41</v>
      </c>
      <c r="J25" s="13"/>
      <c r="K25" s="13">
        <v>105.4</v>
      </c>
      <c r="L25" s="13">
        <f t="shared" si="3"/>
        <v>-104.18700000000001</v>
      </c>
      <c r="M25" s="13"/>
      <c r="N25" s="13"/>
      <c r="O25" s="13">
        <v>127</v>
      </c>
      <c r="P25" s="13">
        <v>11</v>
      </c>
      <c r="Q25" s="13">
        <f t="shared" si="4"/>
        <v>0.24260000000000001</v>
      </c>
      <c r="R25" s="4">
        <v>60</v>
      </c>
      <c r="S25" s="4">
        <v>80</v>
      </c>
      <c r="T25" s="4"/>
      <c r="U25" s="36">
        <f>VLOOKUP(A25,[1]Sheet!$A:$S,19,0)</f>
        <v>100</v>
      </c>
      <c r="V25" s="13">
        <f t="shared" si="8"/>
        <v>898.87469084913437</v>
      </c>
      <c r="W25" s="13">
        <f t="shared" si="5"/>
        <v>569.11376751854903</v>
      </c>
      <c r="X25" s="13">
        <v>10.1114</v>
      </c>
      <c r="Y25" s="13">
        <v>16.404199999999999</v>
      </c>
      <c r="Z25" s="13">
        <v>2.4239999999999999</v>
      </c>
      <c r="AA25" s="13">
        <v>13.7454</v>
      </c>
      <c r="AB25" s="13">
        <v>15.651999999999999</v>
      </c>
      <c r="AC25" s="13">
        <v>11.1342</v>
      </c>
      <c r="AD25" s="13">
        <v>14.042400000000001</v>
      </c>
      <c r="AE25" s="13">
        <v>14.0364</v>
      </c>
      <c r="AF25" s="13">
        <v>10.058</v>
      </c>
      <c r="AG25" s="13">
        <v>11.2278</v>
      </c>
      <c r="AH25" s="13"/>
      <c r="AI25" s="13">
        <f t="shared" si="9"/>
        <v>80</v>
      </c>
      <c r="AJ25" s="13">
        <f t="shared" si="6"/>
        <v>0</v>
      </c>
      <c r="AK25" s="13"/>
      <c r="AL25" s="13"/>
      <c r="AM25" s="13"/>
      <c r="AN25" s="13"/>
      <c r="AO25" s="13"/>
      <c r="AP25" s="13"/>
      <c r="AQ25" s="13"/>
      <c r="AR25" s="13"/>
      <c r="AS25" s="13"/>
      <c r="AT25" s="13"/>
      <c r="AU25" s="13"/>
      <c r="AV25" s="13"/>
      <c r="AW25" s="13"/>
      <c r="AX25" s="13"/>
      <c r="AY25" s="13"/>
    </row>
    <row r="26" spans="1:51" x14ac:dyDescent="0.25">
      <c r="A26" s="13" t="s">
        <v>62</v>
      </c>
      <c r="B26" s="13" t="s">
        <v>40</v>
      </c>
      <c r="C26" s="13">
        <v>221</v>
      </c>
      <c r="D26" s="13">
        <v>12</v>
      </c>
      <c r="E26" s="13">
        <v>177</v>
      </c>
      <c r="F26" s="13">
        <v>55</v>
      </c>
      <c r="G26" s="6">
        <v>0.09</v>
      </c>
      <c r="H26" s="13">
        <v>60</v>
      </c>
      <c r="I26" s="13" t="s">
        <v>41</v>
      </c>
      <c r="J26" s="13"/>
      <c r="K26" s="13">
        <v>270</v>
      </c>
      <c r="L26" s="13">
        <f t="shared" si="3"/>
        <v>-93</v>
      </c>
      <c r="M26" s="13"/>
      <c r="N26" s="13"/>
      <c r="O26" s="13">
        <v>85</v>
      </c>
      <c r="P26" s="13">
        <v>280</v>
      </c>
      <c r="Q26" s="13">
        <f t="shared" si="4"/>
        <v>35.4</v>
      </c>
      <c r="R26" s="4">
        <f t="shared" ref="R26" si="14">16*Q26-P26-O26-F26</f>
        <v>146.39999999999998</v>
      </c>
      <c r="S26" s="4">
        <f t="shared" ref="S26" si="15">U26</f>
        <v>200</v>
      </c>
      <c r="T26" s="4"/>
      <c r="U26" s="36">
        <f>VLOOKUP(A26,[1]Sheet!$A:$S,19,0)</f>
        <v>200</v>
      </c>
      <c r="V26" s="13">
        <f t="shared" si="8"/>
        <v>17.514124293785311</v>
      </c>
      <c r="W26" s="13">
        <f t="shared" si="5"/>
        <v>11.864406779661017</v>
      </c>
      <c r="X26" s="13">
        <v>48.8</v>
      </c>
      <c r="Y26" s="13">
        <v>39.6</v>
      </c>
      <c r="Z26" s="13">
        <v>38.799999999999997</v>
      </c>
      <c r="AA26" s="13">
        <v>13.2</v>
      </c>
      <c r="AB26" s="13">
        <v>47.8</v>
      </c>
      <c r="AC26" s="13">
        <v>38.799999999999997</v>
      </c>
      <c r="AD26" s="13">
        <v>20</v>
      </c>
      <c r="AE26" s="13">
        <v>34.4</v>
      </c>
      <c r="AF26" s="13">
        <v>30.6</v>
      </c>
      <c r="AG26" s="13">
        <v>34.4</v>
      </c>
      <c r="AH26" s="13"/>
      <c r="AI26" s="13">
        <f t="shared" si="9"/>
        <v>18</v>
      </c>
      <c r="AJ26" s="13">
        <f t="shared" si="6"/>
        <v>0</v>
      </c>
      <c r="AK26" s="13"/>
      <c r="AL26" s="13"/>
      <c r="AM26" s="13"/>
      <c r="AN26" s="13"/>
      <c r="AO26" s="13"/>
      <c r="AP26" s="13"/>
      <c r="AQ26" s="13"/>
      <c r="AR26" s="13"/>
      <c r="AS26" s="13"/>
      <c r="AT26" s="13"/>
      <c r="AU26" s="13"/>
      <c r="AV26" s="13"/>
      <c r="AW26" s="13"/>
      <c r="AX26" s="13"/>
      <c r="AY26" s="13"/>
    </row>
    <row r="27" spans="1:51" x14ac:dyDescent="0.25">
      <c r="A27" s="8" t="s">
        <v>63</v>
      </c>
      <c r="B27" s="8" t="s">
        <v>40</v>
      </c>
      <c r="C27" s="8">
        <v>70</v>
      </c>
      <c r="D27" s="8"/>
      <c r="E27" s="8"/>
      <c r="F27" s="8">
        <v>70</v>
      </c>
      <c r="G27" s="9">
        <v>0</v>
      </c>
      <c r="H27" s="8"/>
      <c r="I27" s="8" t="s">
        <v>37</v>
      </c>
      <c r="J27" s="8"/>
      <c r="K27" s="8"/>
      <c r="L27" s="8">
        <f t="shared" si="3"/>
        <v>0</v>
      </c>
      <c r="M27" s="8"/>
      <c r="N27" s="8"/>
      <c r="O27" s="8">
        <v>0</v>
      </c>
      <c r="P27" s="8">
        <v>0</v>
      </c>
      <c r="Q27" s="8">
        <f t="shared" si="4"/>
        <v>0</v>
      </c>
      <c r="R27" s="10"/>
      <c r="S27" s="4">
        <f t="shared" si="11"/>
        <v>0</v>
      </c>
      <c r="T27" s="4"/>
      <c r="U27" s="36">
        <f>VLOOKUP(A27,[1]Sheet!$A:$S,19,0)</f>
        <v>0</v>
      </c>
      <c r="V27" s="13" t="e">
        <f t="shared" si="8"/>
        <v>#DIV/0!</v>
      </c>
      <c r="W27" s="8" t="e">
        <f t="shared" si="5"/>
        <v>#DIV/0!</v>
      </c>
      <c r="X27" s="8">
        <v>0</v>
      </c>
      <c r="Y27" s="8">
        <v>6</v>
      </c>
      <c r="Z27" s="8">
        <v>0</v>
      </c>
      <c r="AA27" s="8">
        <v>4.2</v>
      </c>
      <c r="AB27" s="8">
        <v>0</v>
      </c>
      <c r="AC27" s="8">
        <v>0</v>
      </c>
      <c r="AD27" s="8">
        <v>0</v>
      </c>
      <c r="AE27" s="8">
        <v>0</v>
      </c>
      <c r="AF27" s="8">
        <v>0</v>
      </c>
      <c r="AG27" s="8">
        <v>0</v>
      </c>
      <c r="AH27" s="12" t="s">
        <v>38</v>
      </c>
      <c r="AI27" s="13">
        <f t="shared" si="9"/>
        <v>0</v>
      </c>
      <c r="AJ27" s="13">
        <f t="shared" si="6"/>
        <v>0</v>
      </c>
      <c r="AK27" s="13"/>
      <c r="AL27" s="13"/>
      <c r="AM27" s="13"/>
      <c r="AN27" s="13"/>
      <c r="AO27" s="13"/>
      <c r="AP27" s="13"/>
      <c r="AQ27" s="13"/>
      <c r="AR27" s="13"/>
      <c r="AS27" s="13"/>
      <c r="AT27" s="13"/>
      <c r="AU27" s="13"/>
      <c r="AV27" s="13"/>
      <c r="AW27" s="13"/>
      <c r="AX27" s="13"/>
      <c r="AY27" s="13"/>
    </row>
    <row r="28" spans="1:51" x14ac:dyDescent="0.25">
      <c r="A28" s="13" t="s">
        <v>64</v>
      </c>
      <c r="B28" s="13" t="s">
        <v>40</v>
      </c>
      <c r="C28" s="13">
        <v>12</v>
      </c>
      <c r="D28" s="13">
        <v>3</v>
      </c>
      <c r="E28" s="13">
        <v>4</v>
      </c>
      <c r="F28" s="13">
        <v>3</v>
      </c>
      <c r="G28" s="6">
        <v>0.09</v>
      </c>
      <c r="H28" s="13">
        <v>45</v>
      </c>
      <c r="I28" s="13" t="s">
        <v>41</v>
      </c>
      <c r="J28" s="13"/>
      <c r="K28" s="13">
        <v>78</v>
      </c>
      <c r="L28" s="13">
        <f t="shared" si="3"/>
        <v>-74</v>
      </c>
      <c r="M28" s="13"/>
      <c r="N28" s="13"/>
      <c r="O28" s="13">
        <v>118</v>
      </c>
      <c r="P28" s="13">
        <v>0</v>
      </c>
      <c r="Q28" s="13">
        <f t="shared" si="4"/>
        <v>0.8</v>
      </c>
      <c r="R28" s="4">
        <v>60</v>
      </c>
      <c r="S28" s="4">
        <v>80</v>
      </c>
      <c r="T28" s="4"/>
      <c r="U28" s="36">
        <f>VLOOKUP(A28,[1]Sheet!$A:$S,19,0)</f>
        <v>100</v>
      </c>
      <c r="V28" s="13">
        <f t="shared" si="8"/>
        <v>251.25</v>
      </c>
      <c r="W28" s="13">
        <f t="shared" si="5"/>
        <v>151.25</v>
      </c>
      <c r="X28" s="13">
        <v>1.8</v>
      </c>
      <c r="Y28" s="13">
        <v>14.2</v>
      </c>
      <c r="Z28" s="13">
        <v>7.2</v>
      </c>
      <c r="AA28" s="13">
        <v>6.2</v>
      </c>
      <c r="AB28" s="13">
        <v>11</v>
      </c>
      <c r="AC28" s="13">
        <v>14.8</v>
      </c>
      <c r="AD28" s="13">
        <v>8.1999999999999993</v>
      </c>
      <c r="AE28" s="13">
        <v>11</v>
      </c>
      <c r="AF28" s="13">
        <v>22</v>
      </c>
      <c r="AG28" s="13">
        <v>18.8</v>
      </c>
      <c r="AH28" s="13"/>
      <c r="AI28" s="13">
        <f t="shared" si="9"/>
        <v>7.1999999999999993</v>
      </c>
      <c r="AJ28" s="13">
        <f t="shared" si="6"/>
        <v>0</v>
      </c>
      <c r="AK28" s="13"/>
      <c r="AL28" s="13"/>
      <c r="AM28" s="13"/>
      <c r="AN28" s="13"/>
      <c r="AO28" s="13"/>
      <c r="AP28" s="13"/>
      <c r="AQ28" s="13"/>
      <c r="AR28" s="13"/>
      <c r="AS28" s="13"/>
      <c r="AT28" s="13"/>
      <c r="AU28" s="13"/>
      <c r="AV28" s="13"/>
      <c r="AW28" s="13"/>
      <c r="AX28" s="13"/>
      <c r="AY28" s="13"/>
    </row>
    <row r="29" spans="1:51" x14ac:dyDescent="0.25">
      <c r="A29" s="13" t="s">
        <v>65</v>
      </c>
      <c r="B29" s="13" t="s">
        <v>40</v>
      </c>
      <c r="C29" s="13">
        <v>80</v>
      </c>
      <c r="D29" s="13"/>
      <c r="E29" s="13"/>
      <c r="F29" s="13">
        <v>80</v>
      </c>
      <c r="G29" s="6">
        <v>0.15</v>
      </c>
      <c r="H29" s="13">
        <v>45</v>
      </c>
      <c r="I29" s="13" t="s">
        <v>41</v>
      </c>
      <c r="J29" s="13"/>
      <c r="K29" s="13">
        <v>101</v>
      </c>
      <c r="L29" s="13">
        <f t="shared" si="3"/>
        <v>-101</v>
      </c>
      <c r="M29" s="13"/>
      <c r="N29" s="13"/>
      <c r="O29" s="13">
        <v>32</v>
      </c>
      <c r="P29" s="13">
        <v>0</v>
      </c>
      <c r="Q29" s="13">
        <f t="shared" si="4"/>
        <v>0</v>
      </c>
      <c r="R29" s="4"/>
      <c r="S29" s="4">
        <f t="shared" si="11"/>
        <v>0</v>
      </c>
      <c r="T29" s="4"/>
      <c r="U29" s="36">
        <f>VLOOKUP(A29,[1]Sheet!$A:$S,19,0)</f>
        <v>0</v>
      </c>
      <c r="V29" s="13" t="e">
        <f t="shared" si="8"/>
        <v>#DIV/0!</v>
      </c>
      <c r="W29" s="13" t="e">
        <f t="shared" si="5"/>
        <v>#DIV/0!</v>
      </c>
      <c r="X29" s="13">
        <v>0</v>
      </c>
      <c r="Y29" s="13">
        <v>8</v>
      </c>
      <c r="Z29" s="13">
        <v>2</v>
      </c>
      <c r="AA29" s="13">
        <v>1.8</v>
      </c>
      <c r="AB29" s="13">
        <v>2.2000000000000002</v>
      </c>
      <c r="AC29" s="13">
        <v>6</v>
      </c>
      <c r="AD29" s="13">
        <v>8.8000000000000007</v>
      </c>
      <c r="AE29" s="13">
        <v>7</v>
      </c>
      <c r="AF29" s="13">
        <v>9.8000000000000007</v>
      </c>
      <c r="AG29" s="13">
        <v>17.399999999999999</v>
      </c>
      <c r="AH29" s="12" t="s">
        <v>66</v>
      </c>
      <c r="AI29" s="13">
        <f t="shared" si="9"/>
        <v>0</v>
      </c>
      <c r="AJ29" s="13">
        <f t="shared" si="6"/>
        <v>0</v>
      </c>
      <c r="AK29" s="13"/>
      <c r="AL29" s="13"/>
      <c r="AM29" s="13"/>
      <c r="AN29" s="13"/>
      <c r="AO29" s="13"/>
      <c r="AP29" s="13"/>
      <c r="AQ29" s="13"/>
      <c r="AR29" s="13"/>
      <c r="AS29" s="13"/>
      <c r="AT29" s="13"/>
      <c r="AU29" s="13"/>
      <c r="AV29" s="13"/>
      <c r="AW29" s="13"/>
      <c r="AX29" s="13"/>
      <c r="AY29" s="13"/>
    </row>
    <row r="30" spans="1:51" x14ac:dyDescent="0.25">
      <c r="A30" s="13" t="s">
        <v>67</v>
      </c>
      <c r="B30" s="13" t="s">
        <v>36</v>
      </c>
      <c r="C30" s="13">
        <v>193.65199999999999</v>
      </c>
      <c r="D30" s="13">
        <v>3.2160000000000002</v>
      </c>
      <c r="E30" s="13">
        <v>278.80200000000002</v>
      </c>
      <c r="F30" s="13">
        <v>-107.374</v>
      </c>
      <c r="G30" s="6">
        <v>1</v>
      </c>
      <c r="H30" s="13">
        <v>45</v>
      </c>
      <c r="I30" s="13" t="s">
        <v>41</v>
      </c>
      <c r="J30" s="13"/>
      <c r="K30" s="13">
        <v>685.81600000000003</v>
      </c>
      <c r="L30" s="13">
        <f t="shared" si="3"/>
        <v>-407.01400000000001</v>
      </c>
      <c r="M30" s="13"/>
      <c r="N30" s="13"/>
      <c r="O30" s="13">
        <v>836</v>
      </c>
      <c r="P30" s="13">
        <v>307</v>
      </c>
      <c r="Q30" s="13">
        <f t="shared" si="4"/>
        <v>55.760400000000004</v>
      </c>
      <c r="R30" s="4">
        <v>300</v>
      </c>
      <c r="S30" s="4">
        <v>450</v>
      </c>
      <c r="T30" s="4">
        <v>100</v>
      </c>
      <c r="U30" s="36">
        <f>VLOOKUP(A30,[1]Sheet!$A:$S,19,0)</f>
        <v>600</v>
      </c>
      <c r="V30" s="13">
        <f>(F30+O30+P30+S30+T30)/Q30</f>
        <v>28.436417242344028</v>
      </c>
      <c r="W30" s="13">
        <f t="shared" si="5"/>
        <v>18.57278642190515</v>
      </c>
      <c r="X30" s="13">
        <v>95.490800000000007</v>
      </c>
      <c r="Y30" s="13">
        <v>113.20059999999999</v>
      </c>
      <c r="Z30" s="13">
        <v>18.4908</v>
      </c>
      <c r="AA30" s="13">
        <v>75.172600000000003</v>
      </c>
      <c r="AB30" s="13">
        <v>78.514399999999995</v>
      </c>
      <c r="AC30" s="13">
        <v>67.384799999999998</v>
      </c>
      <c r="AD30" s="13">
        <v>59.207000000000008</v>
      </c>
      <c r="AE30" s="13">
        <v>31.207000000000001</v>
      </c>
      <c r="AF30" s="13">
        <v>62.066000000000003</v>
      </c>
      <c r="AG30" s="13">
        <v>56.630200000000002</v>
      </c>
      <c r="AH30" s="13"/>
      <c r="AI30" s="13">
        <f t="shared" si="9"/>
        <v>450</v>
      </c>
      <c r="AJ30" s="13">
        <f t="shared" si="6"/>
        <v>100</v>
      </c>
      <c r="AK30" s="13"/>
      <c r="AL30" s="13"/>
      <c r="AM30" s="13"/>
      <c r="AN30" s="13"/>
      <c r="AO30" s="13"/>
      <c r="AP30" s="13"/>
      <c r="AQ30" s="13"/>
      <c r="AR30" s="13"/>
      <c r="AS30" s="13"/>
      <c r="AT30" s="13"/>
      <c r="AU30" s="13"/>
      <c r="AV30" s="13"/>
      <c r="AW30" s="13"/>
      <c r="AX30" s="13"/>
      <c r="AY30" s="13"/>
    </row>
    <row r="31" spans="1:51" x14ac:dyDescent="0.25">
      <c r="A31" s="13" t="s">
        <v>68</v>
      </c>
      <c r="B31" s="13" t="s">
        <v>40</v>
      </c>
      <c r="C31" s="13">
        <v>17</v>
      </c>
      <c r="D31" s="13"/>
      <c r="E31" s="13">
        <v>17</v>
      </c>
      <c r="F31" s="13"/>
      <c r="G31" s="6">
        <v>0.4</v>
      </c>
      <c r="H31" s="13">
        <v>60</v>
      </c>
      <c r="I31" s="13" t="s">
        <v>41</v>
      </c>
      <c r="J31" s="13"/>
      <c r="K31" s="13">
        <v>116</v>
      </c>
      <c r="L31" s="13">
        <f t="shared" si="3"/>
        <v>-99</v>
      </c>
      <c r="M31" s="13"/>
      <c r="N31" s="13"/>
      <c r="O31" s="13">
        <v>202</v>
      </c>
      <c r="P31" s="13">
        <v>117</v>
      </c>
      <c r="Q31" s="13">
        <f t="shared" si="4"/>
        <v>3.4</v>
      </c>
      <c r="R31" s="4"/>
      <c r="S31" s="4">
        <v>20</v>
      </c>
      <c r="T31" s="4"/>
      <c r="U31" s="36">
        <f>VLOOKUP(A31,[1]Sheet!$A:$S,19,0)</f>
        <v>50</v>
      </c>
      <c r="V31" s="13">
        <f t="shared" si="8"/>
        <v>99.705882352941174</v>
      </c>
      <c r="W31" s="13">
        <f t="shared" si="5"/>
        <v>93.82352941176471</v>
      </c>
      <c r="X31" s="13">
        <v>24</v>
      </c>
      <c r="Y31" s="13">
        <v>24</v>
      </c>
      <c r="Z31" s="13">
        <v>7.4</v>
      </c>
      <c r="AA31" s="13">
        <v>16</v>
      </c>
      <c r="AB31" s="13">
        <v>24.8</v>
      </c>
      <c r="AC31" s="13">
        <v>16.600000000000001</v>
      </c>
      <c r="AD31" s="13">
        <v>16.600000000000001</v>
      </c>
      <c r="AE31" s="13">
        <v>14.2</v>
      </c>
      <c r="AF31" s="13">
        <v>22.4</v>
      </c>
      <c r="AG31" s="13">
        <v>17.8</v>
      </c>
      <c r="AH31" s="13"/>
      <c r="AI31" s="13">
        <f t="shared" si="9"/>
        <v>8</v>
      </c>
      <c r="AJ31" s="13">
        <f t="shared" si="6"/>
        <v>0</v>
      </c>
      <c r="AK31" s="13"/>
      <c r="AL31" s="13"/>
      <c r="AM31" s="13"/>
      <c r="AN31" s="13"/>
      <c r="AO31" s="13"/>
      <c r="AP31" s="13"/>
      <c r="AQ31" s="13"/>
      <c r="AR31" s="13"/>
      <c r="AS31" s="13"/>
      <c r="AT31" s="13"/>
      <c r="AU31" s="13"/>
      <c r="AV31" s="13"/>
      <c r="AW31" s="13"/>
      <c r="AX31" s="13"/>
      <c r="AY31" s="13"/>
    </row>
    <row r="32" spans="1:51" x14ac:dyDescent="0.25">
      <c r="A32" s="13" t="s">
        <v>69</v>
      </c>
      <c r="B32" s="13" t="s">
        <v>40</v>
      </c>
      <c r="C32" s="13">
        <v>418</v>
      </c>
      <c r="D32" s="13">
        <v>17</v>
      </c>
      <c r="E32" s="13">
        <v>393</v>
      </c>
      <c r="F32" s="13">
        <v>25</v>
      </c>
      <c r="G32" s="6">
        <v>0.4</v>
      </c>
      <c r="H32" s="13">
        <v>60</v>
      </c>
      <c r="I32" s="13" t="s">
        <v>41</v>
      </c>
      <c r="J32" s="13"/>
      <c r="K32" s="13">
        <v>659</v>
      </c>
      <c r="L32" s="13">
        <f t="shared" si="3"/>
        <v>-266</v>
      </c>
      <c r="M32" s="13"/>
      <c r="N32" s="13"/>
      <c r="O32" s="13">
        <v>646</v>
      </c>
      <c r="P32" s="13">
        <v>717</v>
      </c>
      <c r="Q32" s="13">
        <f t="shared" si="4"/>
        <v>78.599999999999994</v>
      </c>
      <c r="R32" s="4">
        <v>200</v>
      </c>
      <c r="S32" s="4">
        <v>350</v>
      </c>
      <c r="T32" s="4"/>
      <c r="U32" s="36">
        <f>VLOOKUP(A32,[1]Sheet!$A:$S,19,0)</f>
        <v>500</v>
      </c>
      <c r="V32" s="13">
        <f>(F32+O32+P32+S32+T32)/Q32</f>
        <v>22.111959287531807</v>
      </c>
      <c r="W32" s="13">
        <f t="shared" si="5"/>
        <v>17.659033078880409</v>
      </c>
      <c r="X32" s="13">
        <v>127.2</v>
      </c>
      <c r="Y32" s="13">
        <v>120</v>
      </c>
      <c r="Z32" s="13">
        <v>82.4</v>
      </c>
      <c r="AA32" s="13">
        <v>83.8</v>
      </c>
      <c r="AB32" s="13">
        <v>120.6</v>
      </c>
      <c r="AC32" s="13">
        <v>106.6</v>
      </c>
      <c r="AD32" s="13">
        <v>74.8</v>
      </c>
      <c r="AE32" s="13">
        <v>84</v>
      </c>
      <c r="AF32" s="13">
        <v>80</v>
      </c>
      <c r="AG32" s="13">
        <v>95.8</v>
      </c>
      <c r="AH32" s="13"/>
      <c r="AI32" s="13">
        <f t="shared" si="9"/>
        <v>140</v>
      </c>
      <c r="AJ32" s="13">
        <f t="shared" si="6"/>
        <v>0</v>
      </c>
      <c r="AK32" s="13"/>
      <c r="AL32" s="13"/>
      <c r="AM32" s="13"/>
      <c r="AN32" s="13"/>
      <c r="AO32" s="13"/>
      <c r="AP32" s="13"/>
      <c r="AQ32" s="13"/>
      <c r="AR32" s="13"/>
      <c r="AS32" s="13"/>
      <c r="AT32" s="13"/>
      <c r="AU32" s="13"/>
      <c r="AV32" s="13"/>
      <c r="AW32" s="13"/>
      <c r="AX32" s="13"/>
      <c r="AY32" s="13"/>
    </row>
    <row r="33" spans="1:51" x14ac:dyDescent="0.25">
      <c r="A33" s="8" t="s">
        <v>70</v>
      </c>
      <c r="B33" s="8" t="s">
        <v>40</v>
      </c>
      <c r="C33" s="8">
        <v>-1</v>
      </c>
      <c r="D33" s="8"/>
      <c r="E33" s="8"/>
      <c r="F33" s="14">
        <v>-1</v>
      </c>
      <c r="G33" s="9">
        <v>0</v>
      </c>
      <c r="H33" s="8"/>
      <c r="I33" s="8" t="s">
        <v>37</v>
      </c>
      <c r="J33" s="8" t="s">
        <v>71</v>
      </c>
      <c r="K33" s="8"/>
      <c r="L33" s="8">
        <f t="shared" si="3"/>
        <v>0</v>
      </c>
      <c r="M33" s="8"/>
      <c r="N33" s="8"/>
      <c r="O33" s="8">
        <v>0</v>
      </c>
      <c r="P33" s="8">
        <v>0</v>
      </c>
      <c r="Q33" s="8">
        <f t="shared" si="4"/>
        <v>0</v>
      </c>
      <c r="R33" s="10"/>
      <c r="S33" s="4">
        <f t="shared" si="11"/>
        <v>0</v>
      </c>
      <c r="T33" s="4"/>
      <c r="U33" s="36">
        <f>VLOOKUP(A33,[1]Sheet!$A:$S,19,0)</f>
        <v>0</v>
      </c>
      <c r="V33" s="13" t="e">
        <f t="shared" si="8"/>
        <v>#DIV/0!</v>
      </c>
      <c r="W33" s="8" t="e">
        <f t="shared" si="5"/>
        <v>#DIV/0!</v>
      </c>
      <c r="X33" s="8">
        <v>0</v>
      </c>
      <c r="Y33" s="8">
        <v>0</v>
      </c>
      <c r="Z33" s="8">
        <v>0</v>
      </c>
      <c r="AA33" s="8">
        <v>0</v>
      </c>
      <c r="AB33" s="8">
        <v>0</v>
      </c>
      <c r="AC33" s="8">
        <v>0</v>
      </c>
      <c r="AD33" s="8">
        <v>0</v>
      </c>
      <c r="AE33" s="8">
        <v>0</v>
      </c>
      <c r="AF33" s="8">
        <v>0</v>
      </c>
      <c r="AG33" s="8">
        <v>0</v>
      </c>
      <c r="AH33" s="8"/>
      <c r="AI33" s="13">
        <f t="shared" si="9"/>
        <v>0</v>
      </c>
      <c r="AJ33" s="13">
        <f t="shared" si="6"/>
        <v>0</v>
      </c>
      <c r="AK33" s="13"/>
      <c r="AL33" s="13"/>
      <c r="AM33" s="13"/>
      <c r="AN33" s="13"/>
      <c r="AO33" s="13"/>
      <c r="AP33" s="13"/>
      <c r="AQ33" s="13"/>
      <c r="AR33" s="13"/>
      <c r="AS33" s="13"/>
      <c r="AT33" s="13"/>
      <c r="AU33" s="13"/>
      <c r="AV33" s="13"/>
      <c r="AW33" s="13"/>
      <c r="AX33" s="13"/>
      <c r="AY33" s="13"/>
    </row>
    <row r="34" spans="1:51" x14ac:dyDescent="0.25">
      <c r="A34" s="13" t="s">
        <v>72</v>
      </c>
      <c r="B34" s="13" t="s">
        <v>40</v>
      </c>
      <c r="C34" s="13">
        <v>319</v>
      </c>
      <c r="D34" s="13">
        <v>7</v>
      </c>
      <c r="E34" s="13">
        <v>310</v>
      </c>
      <c r="F34" s="13">
        <v>9</v>
      </c>
      <c r="G34" s="6">
        <v>0.4</v>
      </c>
      <c r="H34" s="13">
        <v>60</v>
      </c>
      <c r="I34" s="13" t="s">
        <v>41</v>
      </c>
      <c r="J34" s="13"/>
      <c r="K34" s="13">
        <v>662</v>
      </c>
      <c r="L34" s="13">
        <f t="shared" si="3"/>
        <v>-352</v>
      </c>
      <c r="M34" s="13"/>
      <c r="N34" s="13"/>
      <c r="O34" s="13">
        <v>643</v>
      </c>
      <c r="P34" s="13">
        <v>505</v>
      </c>
      <c r="Q34" s="13">
        <f t="shared" si="4"/>
        <v>62</v>
      </c>
      <c r="R34" s="4">
        <v>150</v>
      </c>
      <c r="S34" s="4">
        <v>250</v>
      </c>
      <c r="T34" s="4"/>
      <c r="U34" s="36">
        <f>VLOOKUP(A34,[1]Sheet!$A:$S,19,0)</f>
        <v>400</v>
      </c>
      <c r="V34" s="13">
        <f>(F34+O34+P34+S34+T34)/Q34</f>
        <v>22.693548387096776</v>
      </c>
      <c r="W34" s="13">
        <f t="shared" si="5"/>
        <v>18.661290322580644</v>
      </c>
      <c r="X34" s="13">
        <v>104.8</v>
      </c>
      <c r="Y34" s="13">
        <v>105.6</v>
      </c>
      <c r="Z34" s="13">
        <v>60</v>
      </c>
      <c r="AA34" s="13">
        <v>94.2</v>
      </c>
      <c r="AB34" s="13">
        <v>83.8</v>
      </c>
      <c r="AC34" s="13">
        <v>105</v>
      </c>
      <c r="AD34" s="13">
        <v>61.8</v>
      </c>
      <c r="AE34" s="13">
        <v>65.400000000000006</v>
      </c>
      <c r="AF34" s="13">
        <v>87.2</v>
      </c>
      <c r="AG34" s="13">
        <v>56.2</v>
      </c>
      <c r="AH34" s="13"/>
      <c r="AI34" s="13">
        <f t="shared" si="9"/>
        <v>100</v>
      </c>
      <c r="AJ34" s="13">
        <f t="shared" si="6"/>
        <v>0</v>
      </c>
      <c r="AK34" s="13"/>
      <c r="AL34" s="13"/>
      <c r="AM34" s="13"/>
      <c r="AN34" s="13"/>
      <c r="AO34" s="13"/>
      <c r="AP34" s="13"/>
      <c r="AQ34" s="13"/>
      <c r="AR34" s="13"/>
      <c r="AS34" s="13"/>
      <c r="AT34" s="13"/>
      <c r="AU34" s="13"/>
      <c r="AV34" s="13"/>
      <c r="AW34" s="13"/>
      <c r="AX34" s="13"/>
      <c r="AY34" s="13"/>
    </row>
    <row r="35" spans="1:51" x14ac:dyDescent="0.25">
      <c r="A35" s="29" t="s">
        <v>73</v>
      </c>
      <c r="B35" s="8" t="s">
        <v>40</v>
      </c>
      <c r="C35" s="8">
        <v>177</v>
      </c>
      <c r="D35" s="8">
        <v>1</v>
      </c>
      <c r="E35" s="8">
        <v>29</v>
      </c>
      <c r="F35" s="8">
        <v>148</v>
      </c>
      <c r="G35" s="9">
        <v>0</v>
      </c>
      <c r="H35" s="8">
        <v>45</v>
      </c>
      <c r="I35" s="8" t="s">
        <v>172</v>
      </c>
      <c r="J35" s="8"/>
      <c r="K35" s="8">
        <v>34</v>
      </c>
      <c r="L35" s="8">
        <f t="shared" si="3"/>
        <v>-5</v>
      </c>
      <c r="M35" s="8"/>
      <c r="N35" s="8"/>
      <c r="O35" s="8">
        <v>0</v>
      </c>
      <c r="P35" s="8">
        <v>0</v>
      </c>
      <c r="Q35" s="8">
        <f t="shared" si="4"/>
        <v>5.8</v>
      </c>
      <c r="R35" s="10"/>
      <c r="S35" s="4">
        <f t="shared" si="11"/>
        <v>0</v>
      </c>
      <c r="T35" s="4"/>
      <c r="U35" s="36">
        <f>VLOOKUP(A35,[1]Sheet!$A:$S,19,0)</f>
        <v>0</v>
      </c>
      <c r="V35" s="13">
        <f t="shared" si="8"/>
        <v>25.517241379310345</v>
      </c>
      <c r="W35" s="8">
        <f t="shared" si="5"/>
        <v>25.517241379310345</v>
      </c>
      <c r="X35" s="8">
        <v>3.8</v>
      </c>
      <c r="Y35" s="8">
        <v>0</v>
      </c>
      <c r="Z35" s="8">
        <v>0.4</v>
      </c>
      <c r="AA35" s="8">
        <v>0</v>
      </c>
      <c r="AB35" s="8">
        <v>0</v>
      </c>
      <c r="AC35" s="8">
        <v>0</v>
      </c>
      <c r="AD35" s="8">
        <v>0</v>
      </c>
      <c r="AE35" s="8">
        <v>0</v>
      </c>
      <c r="AF35" s="8">
        <v>0</v>
      </c>
      <c r="AG35" s="8">
        <v>0</v>
      </c>
      <c r="AH35" s="12" t="s">
        <v>74</v>
      </c>
      <c r="AI35" s="13">
        <f t="shared" si="9"/>
        <v>0</v>
      </c>
      <c r="AJ35" s="13">
        <f t="shared" si="6"/>
        <v>0</v>
      </c>
      <c r="AK35" s="13"/>
      <c r="AL35" s="13"/>
      <c r="AM35" s="13"/>
      <c r="AN35" s="13"/>
      <c r="AO35" s="13"/>
      <c r="AP35" s="13"/>
      <c r="AQ35" s="13"/>
      <c r="AR35" s="13"/>
      <c r="AS35" s="13"/>
      <c r="AT35" s="13"/>
      <c r="AU35" s="13"/>
      <c r="AV35" s="13"/>
      <c r="AW35" s="13"/>
      <c r="AX35" s="13"/>
      <c r="AY35" s="13"/>
    </row>
    <row r="36" spans="1:51" x14ac:dyDescent="0.25">
      <c r="A36" s="8" t="s">
        <v>75</v>
      </c>
      <c r="B36" s="8" t="s">
        <v>40</v>
      </c>
      <c r="C36" s="8">
        <v>2</v>
      </c>
      <c r="D36" s="8"/>
      <c r="E36" s="8"/>
      <c r="F36" s="14">
        <v>2</v>
      </c>
      <c r="G36" s="9">
        <v>0</v>
      </c>
      <c r="H36" s="8">
        <v>60</v>
      </c>
      <c r="I36" s="8" t="s">
        <v>37</v>
      </c>
      <c r="J36" s="8" t="s">
        <v>76</v>
      </c>
      <c r="K36" s="8"/>
      <c r="L36" s="8">
        <f t="shared" si="3"/>
        <v>0</v>
      </c>
      <c r="M36" s="8"/>
      <c r="N36" s="8"/>
      <c r="O36" s="8">
        <v>0</v>
      </c>
      <c r="P36" s="8">
        <v>0</v>
      </c>
      <c r="Q36" s="8">
        <f t="shared" si="4"/>
        <v>0</v>
      </c>
      <c r="R36" s="10"/>
      <c r="S36" s="4">
        <f t="shared" si="11"/>
        <v>0</v>
      </c>
      <c r="T36" s="4"/>
      <c r="U36" s="36">
        <f>VLOOKUP(A36,[1]Sheet!$A:$S,19,0)</f>
        <v>0</v>
      </c>
      <c r="V36" s="13" t="e">
        <f t="shared" si="8"/>
        <v>#DIV/0!</v>
      </c>
      <c r="W36" s="8" t="e">
        <f t="shared" si="5"/>
        <v>#DIV/0!</v>
      </c>
      <c r="X36" s="8">
        <v>0</v>
      </c>
      <c r="Y36" s="8">
        <v>0</v>
      </c>
      <c r="Z36" s="8">
        <v>0</v>
      </c>
      <c r="AA36" s="8">
        <v>0</v>
      </c>
      <c r="AB36" s="8">
        <v>0.2</v>
      </c>
      <c r="AC36" s="8">
        <v>-0.4</v>
      </c>
      <c r="AD36" s="8">
        <v>20.6</v>
      </c>
      <c r="AE36" s="8">
        <v>34</v>
      </c>
      <c r="AF36" s="8">
        <v>49</v>
      </c>
      <c r="AG36" s="8">
        <v>32</v>
      </c>
      <c r="AH36" s="8" t="s">
        <v>77</v>
      </c>
      <c r="AI36" s="13">
        <f t="shared" si="9"/>
        <v>0</v>
      </c>
      <c r="AJ36" s="13">
        <f t="shared" si="6"/>
        <v>0</v>
      </c>
      <c r="AK36" s="13"/>
      <c r="AL36" s="13"/>
      <c r="AM36" s="13"/>
      <c r="AN36" s="13"/>
      <c r="AO36" s="13"/>
      <c r="AP36" s="13"/>
      <c r="AQ36" s="13"/>
      <c r="AR36" s="13"/>
      <c r="AS36" s="13"/>
      <c r="AT36" s="13"/>
      <c r="AU36" s="13"/>
      <c r="AV36" s="13"/>
      <c r="AW36" s="13"/>
      <c r="AX36" s="13"/>
      <c r="AY36" s="13"/>
    </row>
    <row r="37" spans="1:51" x14ac:dyDescent="0.25">
      <c r="A37" s="8" t="s">
        <v>78</v>
      </c>
      <c r="B37" s="8" t="s">
        <v>40</v>
      </c>
      <c r="C37" s="8">
        <v>-15</v>
      </c>
      <c r="D37" s="8"/>
      <c r="E37" s="8"/>
      <c r="F37" s="14">
        <v>-15</v>
      </c>
      <c r="G37" s="9">
        <v>0</v>
      </c>
      <c r="H37" s="8">
        <v>60</v>
      </c>
      <c r="I37" s="8" t="s">
        <v>37</v>
      </c>
      <c r="J37" s="8" t="s">
        <v>79</v>
      </c>
      <c r="K37" s="8"/>
      <c r="L37" s="8">
        <f t="shared" si="3"/>
        <v>0</v>
      </c>
      <c r="M37" s="8"/>
      <c r="N37" s="8"/>
      <c r="O37" s="8">
        <v>0</v>
      </c>
      <c r="P37" s="8">
        <v>0</v>
      </c>
      <c r="Q37" s="8">
        <f t="shared" si="4"/>
        <v>0</v>
      </c>
      <c r="R37" s="10"/>
      <c r="S37" s="4">
        <f t="shared" si="11"/>
        <v>0</v>
      </c>
      <c r="T37" s="4"/>
      <c r="U37" s="36">
        <f>VLOOKUP(A37,[1]Sheet!$A:$S,19,0)</f>
        <v>0</v>
      </c>
      <c r="V37" s="13" t="e">
        <f t="shared" si="8"/>
        <v>#DIV/0!</v>
      </c>
      <c r="W37" s="8" t="e">
        <f t="shared" si="5"/>
        <v>#DIV/0!</v>
      </c>
      <c r="X37" s="8">
        <v>0</v>
      </c>
      <c r="Y37" s="8">
        <v>3</v>
      </c>
      <c r="Z37" s="8">
        <v>0.2</v>
      </c>
      <c r="AA37" s="8">
        <v>-0.2</v>
      </c>
      <c r="AB37" s="8">
        <v>17</v>
      </c>
      <c r="AC37" s="8">
        <v>24.6</v>
      </c>
      <c r="AD37" s="8">
        <v>36.6</v>
      </c>
      <c r="AE37" s="8">
        <v>34.4</v>
      </c>
      <c r="AF37" s="8">
        <v>33.799999999999997</v>
      </c>
      <c r="AG37" s="8">
        <v>37.799999999999997</v>
      </c>
      <c r="AH37" s="8" t="s">
        <v>80</v>
      </c>
      <c r="AI37" s="13">
        <f t="shared" si="9"/>
        <v>0</v>
      </c>
      <c r="AJ37" s="13">
        <f t="shared" si="6"/>
        <v>0</v>
      </c>
      <c r="AK37" s="13"/>
      <c r="AL37" s="13"/>
      <c r="AM37" s="13"/>
      <c r="AN37" s="13"/>
      <c r="AO37" s="13"/>
      <c r="AP37" s="13"/>
      <c r="AQ37" s="13"/>
      <c r="AR37" s="13"/>
      <c r="AS37" s="13"/>
      <c r="AT37" s="13"/>
      <c r="AU37" s="13"/>
      <c r="AV37" s="13"/>
      <c r="AW37" s="13"/>
      <c r="AX37" s="13"/>
      <c r="AY37" s="13"/>
    </row>
    <row r="38" spans="1:51" x14ac:dyDescent="0.25">
      <c r="A38" s="8" t="s">
        <v>81</v>
      </c>
      <c r="B38" s="8" t="s">
        <v>36</v>
      </c>
      <c r="C38" s="8">
        <v>13.468999999999999</v>
      </c>
      <c r="D38" s="8"/>
      <c r="E38" s="8">
        <v>13.468999999999999</v>
      </c>
      <c r="F38" s="8"/>
      <c r="G38" s="9">
        <v>0</v>
      </c>
      <c r="H38" s="8">
        <v>45</v>
      </c>
      <c r="I38" s="8" t="s">
        <v>37</v>
      </c>
      <c r="J38" s="8"/>
      <c r="K38" s="8">
        <v>164.5</v>
      </c>
      <c r="L38" s="8">
        <f t="shared" ref="L38:L69" si="16">E38-K38</f>
        <v>-151.03100000000001</v>
      </c>
      <c r="M38" s="8"/>
      <c r="N38" s="8"/>
      <c r="O38" s="8">
        <v>0</v>
      </c>
      <c r="P38" s="8">
        <v>0</v>
      </c>
      <c r="Q38" s="8">
        <f t="shared" ref="Q38:Q69" si="17">E38/5</f>
        <v>2.6938</v>
      </c>
      <c r="R38" s="10"/>
      <c r="S38" s="4">
        <f t="shared" si="11"/>
        <v>0</v>
      </c>
      <c r="T38" s="4"/>
      <c r="U38" s="36">
        <f>VLOOKUP(A38,[1]Sheet!$A:$S,19,0)</f>
        <v>0</v>
      </c>
      <c r="V38" s="13">
        <f t="shared" si="8"/>
        <v>0</v>
      </c>
      <c r="W38" s="8">
        <f t="shared" ref="W38:W69" si="18">(F38+O38+P38)/Q38</f>
        <v>0</v>
      </c>
      <c r="X38" s="8">
        <v>9.0944000000000003</v>
      </c>
      <c r="Y38" s="8">
        <v>3.9171999999999998</v>
      </c>
      <c r="Z38" s="8">
        <v>0</v>
      </c>
      <c r="AA38" s="8">
        <v>11.114000000000001</v>
      </c>
      <c r="AB38" s="8">
        <v>13.551</v>
      </c>
      <c r="AC38" s="8">
        <v>8.1720000000000006</v>
      </c>
      <c r="AD38" s="8">
        <v>2.6469999999999998</v>
      </c>
      <c r="AE38" s="8">
        <v>0</v>
      </c>
      <c r="AF38" s="8">
        <v>1.4330000000000001</v>
      </c>
      <c r="AG38" s="8">
        <v>7.9530000000000003</v>
      </c>
      <c r="AH38" s="8"/>
      <c r="AI38" s="13">
        <f t="shared" si="9"/>
        <v>0</v>
      </c>
      <c r="AJ38" s="13">
        <f t="shared" si="6"/>
        <v>0</v>
      </c>
      <c r="AK38" s="13"/>
      <c r="AL38" s="13"/>
      <c r="AM38" s="13"/>
      <c r="AN38" s="13"/>
      <c r="AO38" s="13"/>
      <c r="AP38" s="13"/>
      <c r="AQ38" s="13"/>
      <c r="AR38" s="13"/>
      <c r="AS38" s="13"/>
      <c r="AT38" s="13"/>
      <c r="AU38" s="13"/>
      <c r="AV38" s="13"/>
      <c r="AW38" s="13"/>
      <c r="AX38" s="13"/>
      <c r="AY38" s="13"/>
    </row>
    <row r="39" spans="1:51" x14ac:dyDescent="0.25">
      <c r="A39" s="13" t="s">
        <v>82</v>
      </c>
      <c r="B39" s="13" t="s">
        <v>40</v>
      </c>
      <c r="C39" s="13">
        <v>103</v>
      </c>
      <c r="D39" s="13">
        <v>11</v>
      </c>
      <c r="E39" s="13">
        <v>82</v>
      </c>
      <c r="F39" s="13">
        <v>11</v>
      </c>
      <c r="G39" s="6">
        <v>0.3</v>
      </c>
      <c r="H39" s="13">
        <v>45</v>
      </c>
      <c r="I39" s="13" t="s">
        <v>41</v>
      </c>
      <c r="J39" s="13"/>
      <c r="K39" s="13">
        <v>220</v>
      </c>
      <c r="L39" s="13">
        <f t="shared" si="16"/>
        <v>-138</v>
      </c>
      <c r="M39" s="13"/>
      <c r="N39" s="13"/>
      <c r="O39" s="13">
        <v>63</v>
      </c>
      <c r="P39" s="13">
        <v>144</v>
      </c>
      <c r="Q39" s="13">
        <f t="shared" si="17"/>
        <v>16.399999999999999</v>
      </c>
      <c r="R39" s="4">
        <f t="shared" ref="R39:R49" si="19">16*Q39-P39-O39-F39</f>
        <v>44.399999999999977</v>
      </c>
      <c r="S39" s="4">
        <f>U39</f>
        <v>100</v>
      </c>
      <c r="T39" s="4"/>
      <c r="U39" s="36">
        <f>VLOOKUP(A39,[1]Sheet!$A:$S,19,0)</f>
        <v>100</v>
      </c>
      <c r="V39" s="13">
        <f t="shared" si="8"/>
        <v>19.390243902439025</v>
      </c>
      <c r="W39" s="13">
        <f t="shared" si="18"/>
        <v>13.29268292682927</v>
      </c>
      <c r="X39" s="13">
        <v>26</v>
      </c>
      <c r="Y39" s="13">
        <v>22.4</v>
      </c>
      <c r="Z39" s="13">
        <v>25.8</v>
      </c>
      <c r="AA39" s="13">
        <v>11.4</v>
      </c>
      <c r="AB39" s="13">
        <v>21.2</v>
      </c>
      <c r="AC39" s="13">
        <v>45.2</v>
      </c>
      <c r="AD39" s="13">
        <v>22.6</v>
      </c>
      <c r="AE39" s="13">
        <v>12.4</v>
      </c>
      <c r="AF39" s="13">
        <v>1.4</v>
      </c>
      <c r="AG39" s="13">
        <v>37.6</v>
      </c>
      <c r="AH39" s="13"/>
      <c r="AI39" s="13">
        <f t="shared" si="9"/>
        <v>30</v>
      </c>
      <c r="AJ39" s="13">
        <f t="shared" si="6"/>
        <v>0</v>
      </c>
      <c r="AK39" s="13"/>
      <c r="AL39" s="13"/>
      <c r="AM39" s="13"/>
      <c r="AN39" s="13"/>
      <c r="AO39" s="13"/>
      <c r="AP39" s="13"/>
      <c r="AQ39" s="13"/>
      <c r="AR39" s="13"/>
      <c r="AS39" s="13"/>
      <c r="AT39" s="13"/>
      <c r="AU39" s="13"/>
      <c r="AV39" s="13"/>
      <c r="AW39" s="13"/>
      <c r="AX39" s="13"/>
      <c r="AY39" s="13"/>
    </row>
    <row r="40" spans="1:51" x14ac:dyDescent="0.25">
      <c r="A40" s="13" t="s">
        <v>83</v>
      </c>
      <c r="B40" s="13" t="s">
        <v>36</v>
      </c>
      <c r="C40" s="13">
        <v>671.73699999999997</v>
      </c>
      <c r="D40" s="13">
        <v>7.758</v>
      </c>
      <c r="E40" s="13">
        <v>231.53100000000001</v>
      </c>
      <c r="F40" s="13">
        <v>439.31599999999997</v>
      </c>
      <c r="G40" s="6">
        <v>1</v>
      </c>
      <c r="H40" s="13">
        <v>60</v>
      </c>
      <c r="I40" s="13" t="s">
        <v>41</v>
      </c>
      <c r="J40" s="13"/>
      <c r="K40" s="13">
        <v>267</v>
      </c>
      <c r="L40" s="13">
        <f t="shared" si="16"/>
        <v>-35.468999999999994</v>
      </c>
      <c r="M40" s="13"/>
      <c r="N40" s="13"/>
      <c r="O40" s="13">
        <v>0</v>
      </c>
      <c r="P40" s="13">
        <v>0</v>
      </c>
      <c r="Q40" s="13">
        <f t="shared" si="17"/>
        <v>46.306200000000004</v>
      </c>
      <c r="R40" s="4">
        <f t="shared" si="19"/>
        <v>301.58320000000009</v>
      </c>
      <c r="S40" s="4">
        <f t="shared" si="11"/>
        <v>302</v>
      </c>
      <c r="T40" s="4">
        <v>200</v>
      </c>
      <c r="U40" s="36">
        <f>VLOOKUP(A40,[1]Sheet!$A:$S,19,0)</f>
        <v>0</v>
      </c>
      <c r="V40" s="13">
        <f>(F40+O40+P40+S40+T40)/Q40</f>
        <v>20.328077017764357</v>
      </c>
      <c r="W40" s="13">
        <f t="shared" si="18"/>
        <v>9.4871960990104984</v>
      </c>
      <c r="X40" s="13">
        <v>46.882800000000003</v>
      </c>
      <c r="Y40" s="13">
        <v>45.837400000000002</v>
      </c>
      <c r="Z40" s="13">
        <v>32.807000000000002</v>
      </c>
      <c r="AA40" s="13">
        <v>36.681600000000003</v>
      </c>
      <c r="AB40" s="13">
        <v>46.652000000000001</v>
      </c>
      <c r="AC40" s="13">
        <v>53.252200000000002</v>
      </c>
      <c r="AD40" s="13">
        <v>15.216799999999999</v>
      </c>
      <c r="AE40" s="13">
        <v>15.7242</v>
      </c>
      <c r="AF40" s="13">
        <v>31.8386</v>
      </c>
      <c r="AG40" s="13">
        <v>20.409600000000001</v>
      </c>
      <c r="AH40" s="13"/>
      <c r="AI40" s="13">
        <f t="shared" si="9"/>
        <v>302</v>
      </c>
      <c r="AJ40" s="13">
        <f t="shared" si="6"/>
        <v>200</v>
      </c>
      <c r="AK40" s="13"/>
      <c r="AL40" s="13"/>
      <c r="AM40" s="13"/>
      <c r="AN40" s="13"/>
      <c r="AO40" s="13"/>
      <c r="AP40" s="13"/>
      <c r="AQ40" s="13"/>
      <c r="AR40" s="13"/>
      <c r="AS40" s="13"/>
      <c r="AT40" s="13"/>
      <c r="AU40" s="13"/>
      <c r="AV40" s="13"/>
      <c r="AW40" s="13"/>
      <c r="AX40" s="13"/>
      <c r="AY40" s="13"/>
    </row>
    <row r="41" spans="1:51" x14ac:dyDescent="0.25">
      <c r="A41" s="13" t="s">
        <v>84</v>
      </c>
      <c r="B41" s="13" t="s">
        <v>36</v>
      </c>
      <c r="C41" s="13">
        <v>89.322999999999993</v>
      </c>
      <c r="D41" s="13">
        <v>4.1429999999999998</v>
      </c>
      <c r="E41" s="13">
        <v>87.512</v>
      </c>
      <c r="F41" s="13">
        <v>1.8109999999999999</v>
      </c>
      <c r="G41" s="6">
        <v>1</v>
      </c>
      <c r="H41" s="13">
        <v>45</v>
      </c>
      <c r="I41" s="13" t="s">
        <v>41</v>
      </c>
      <c r="J41" s="13"/>
      <c r="K41" s="13">
        <v>101.158</v>
      </c>
      <c r="L41" s="13">
        <f t="shared" si="16"/>
        <v>-13.646000000000001</v>
      </c>
      <c r="M41" s="13"/>
      <c r="N41" s="13"/>
      <c r="O41" s="13">
        <v>108</v>
      </c>
      <c r="P41" s="13">
        <v>0</v>
      </c>
      <c r="Q41" s="13">
        <f t="shared" si="17"/>
        <v>17.502400000000002</v>
      </c>
      <c r="R41" s="4">
        <f>14*Q41-P41-O41-F41</f>
        <v>135.22260000000003</v>
      </c>
      <c r="S41" s="4">
        <f t="shared" si="11"/>
        <v>135</v>
      </c>
      <c r="T41" s="4"/>
      <c r="U41" s="36">
        <f>VLOOKUP(A41,[1]Sheet!$A:$S,19,0)</f>
        <v>0</v>
      </c>
      <c r="V41" s="13">
        <f t="shared" si="8"/>
        <v>13.987281744217935</v>
      </c>
      <c r="W41" s="13">
        <f t="shared" si="18"/>
        <v>6.2740538440442455</v>
      </c>
      <c r="X41" s="13">
        <v>10.848800000000001</v>
      </c>
      <c r="Y41" s="13">
        <v>17.9328</v>
      </c>
      <c r="Z41" s="13">
        <v>15.6494</v>
      </c>
      <c r="AA41" s="13">
        <v>12.670999999999999</v>
      </c>
      <c r="AB41" s="13">
        <v>16.613800000000001</v>
      </c>
      <c r="AC41" s="13">
        <v>17.702400000000001</v>
      </c>
      <c r="AD41" s="13">
        <v>10.339600000000001</v>
      </c>
      <c r="AE41" s="13">
        <v>13.245200000000001</v>
      </c>
      <c r="AF41" s="13">
        <v>13.090400000000001</v>
      </c>
      <c r="AG41" s="13">
        <v>11.298400000000001</v>
      </c>
      <c r="AH41" s="13"/>
      <c r="AI41" s="13">
        <f t="shared" si="9"/>
        <v>135</v>
      </c>
      <c r="AJ41" s="13">
        <f t="shared" si="6"/>
        <v>0</v>
      </c>
      <c r="AK41" s="13"/>
      <c r="AL41" s="13"/>
      <c r="AM41" s="13"/>
      <c r="AN41" s="13"/>
      <c r="AO41" s="13"/>
      <c r="AP41" s="13"/>
      <c r="AQ41" s="13"/>
      <c r="AR41" s="13"/>
      <c r="AS41" s="13"/>
      <c r="AT41" s="13"/>
      <c r="AU41" s="13"/>
      <c r="AV41" s="13"/>
      <c r="AW41" s="13"/>
      <c r="AX41" s="13"/>
      <c r="AY41" s="13"/>
    </row>
    <row r="42" spans="1:51" x14ac:dyDescent="0.25">
      <c r="A42" s="13" t="s">
        <v>85</v>
      </c>
      <c r="B42" s="13" t="s">
        <v>36</v>
      </c>
      <c r="C42" s="13">
        <v>25.908999999999999</v>
      </c>
      <c r="D42" s="13">
        <v>4.7069999999999999</v>
      </c>
      <c r="E42" s="13">
        <v>14.058999999999999</v>
      </c>
      <c r="F42" s="13">
        <v>8.1460000000000008</v>
      </c>
      <c r="G42" s="6">
        <v>1</v>
      </c>
      <c r="H42" s="13">
        <v>45</v>
      </c>
      <c r="I42" s="13" t="s">
        <v>41</v>
      </c>
      <c r="J42" s="13"/>
      <c r="K42" s="13">
        <v>130.19999999999999</v>
      </c>
      <c r="L42" s="13">
        <f t="shared" si="16"/>
        <v>-116.14099999999999</v>
      </c>
      <c r="M42" s="13"/>
      <c r="N42" s="13"/>
      <c r="O42" s="13">
        <v>108</v>
      </c>
      <c r="P42" s="13">
        <v>158</v>
      </c>
      <c r="Q42" s="13">
        <f t="shared" si="17"/>
        <v>2.8117999999999999</v>
      </c>
      <c r="R42" s="4">
        <v>40</v>
      </c>
      <c r="S42" s="4">
        <v>70</v>
      </c>
      <c r="T42" s="4"/>
      <c r="U42" s="36">
        <f>VLOOKUP(A42,[1]Sheet!$A:$S,19,0)</f>
        <v>100</v>
      </c>
      <c r="V42" s="13">
        <f t="shared" si="8"/>
        <v>122.39348460061171</v>
      </c>
      <c r="W42" s="13">
        <f t="shared" si="18"/>
        <v>97.498399601678656</v>
      </c>
      <c r="X42" s="13">
        <v>24.3322</v>
      </c>
      <c r="Y42" s="13">
        <v>18.131399999999999</v>
      </c>
      <c r="Z42" s="13">
        <v>12.0776</v>
      </c>
      <c r="AA42" s="13">
        <v>13.896599999999999</v>
      </c>
      <c r="AB42" s="13">
        <v>19.759399999999999</v>
      </c>
      <c r="AC42" s="13">
        <v>14.8596</v>
      </c>
      <c r="AD42" s="13">
        <v>11.2278</v>
      </c>
      <c r="AE42" s="13">
        <v>8.8872</v>
      </c>
      <c r="AF42" s="13">
        <v>4.9942000000000002</v>
      </c>
      <c r="AG42" s="13">
        <v>14.587400000000001</v>
      </c>
      <c r="AH42" s="13"/>
      <c r="AI42" s="13">
        <f t="shared" si="9"/>
        <v>70</v>
      </c>
      <c r="AJ42" s="13">
        <f t="shared" si="6"/>
        <v>0</v>
      </c>
      <c r="AK42" s="13"/>
      <c r="AL42" s="13"/>
      <c r="AM42" s="13"/>
      <c r="AN42" s="13"/>
      <c r="AO42" s="13"/>
      <c r="AP42" s="13"/>
      <c r="AQ42" s="13"/>
      <c r="AR42" s="13"/>
      <c r="AS42" s="13"/>
      <c r="AT42" s="13"/>
      <c r="AU42" s="13"/>
      <c r="AV42" s="13"/>
      <c r="AW42" s="13"/>
      <c r="AX42" s="13"/>
      <c r="AY42" s="13"/>
    </row>
    <row r="43" spans="1:51" x14ac:dyDescent="0.25">
      <c r="A43" s="13" t="s">
        <v>86</v>
      </c>
      <c r="B43" s="13" t="s">
        <v>36</v>
      </c>
      <c r="C43" s="13">
        <v>38.338000000000001</v>
      </c>
      <c r="D43" s="13">
        <v>1.044</v>
      </c>
      <c r="E43" s="13">
        <v>30.838999999999999</v>
      </c>
      <c r="F43" s="13">
        <v>3.0230000000000001</v>
      </c>
      <c r="G43" s="6">
        <v>1</v>
      </c>
      <c r="H43" s="13">
        <v>45</v>
      </c>
      <c r="I43" s="13" t="s">
        <v>41</v>
      </c>
      <c r="J43" s="13"/>
      <c r="K43" s="13">
        <v>85</v>
      </c>
      <c r="L43" s="13">
        <f t="shared" si="16"/>
        <v>-54.161000000000001</v>
      </c>
      <c r="M43" s="13"/>
      <c r="N43" s="13"/>
      <c r="O43" s="13">
        <v>119</v>
      </c>
      <c r="P43" s="13">
        <v>0</v>
      </c>
      <c r="Q43" s="13">
        <f t="shared" si="17"/>
        <v>6.1677999999999997</v>
      </c>
      <c r="R43" s="4">
        <v>40</v>
      </c>
      <c r="S43" s="4">
        <v>60</v>
      </c>
      <c r="T43" s="4"/>
      <c r="U43" s="36">
        <f>VLOOKUP(A43,[1]Sheet!$A:$S,19,0)</f>
        <v>70</v>
      </c>
      <c r="V43" s="13">
        <f t="shared" si="8"/>
        <v>29.511819449398491</v>
      </c>
      <c r="W43" s="13">
        <f t="shared" si="18"/>
        <v>19.783877557638057</v>
      </c>
      <c r="X43" s="13">
        <v>9.9160000000000004</v>
      </c>
      <c r="Y43" s="13">
        <v>15.056800000000001</v>
      </c>
      <c r="Z43" s="13">
        <v>10.8932</v>
      </c>
      <c r="AA43" s="13">
        <v>5.9122000000000003</v>
      </c>
      <c r="AB43" s="13">
        <v>11.0404</v>
      </c>
      <c r="AC43" s="13">
        <v>17.397600000000001</v>
      </c>
      <c r="AD43" s="13">
        <v>6.0191999999999997</v>
      </c>
      <c r="AE43" s="13">
        <v>11.008599999999999</v>
      </c>
      <c r="AF43" s="13">
        <v>8.0839999999999996</v>
      </c>
      <c r="AG43" s="13">
        <v>12.8954</v>
      </c>
      <c r="AH43" s="13"/>
      <c r="AI43" s="13">
        <f t="shared" si="9"/>
        <v>60</v>
      </c>
      <c r="AJ43" s="13">
        <f t="shared" si="6"/>
        <v>0</v>
      </c>
      <c r="AK43" s="13"/>
      <c r="AL43" s="13"/>
      <c r="AM43" s="13"/>
      <c r="AN43" s="13"/>
      <c r="AO43" s="13"/>
      <c r="AP43" s="13"/>
      <c r="AQ43" s="13"/>
      <c r="AR43" s="13"/>
      <c r="AS43" s="13"/>
      <c r="AT43" s="13"/>
      <c r="AU43" s="13"/>
      <c r="AV43" s="13"/>
      <c r="AW43" s="13"/>
      <c r="AX43" s="13"/>
      <c r="AY43" s="13"/>
    </row>
    <row r="44" spans="1:51" x14ac:dyDescent="0.25">
      <c r="A44" s="13" t="s">
        <v>87</v>
      </c>
      <c r="B44" s="13" t="s">
        <v>40</v>
      </c>
      <c r="C44" s="13">
        <v>5</v>
      </c>
      <c r="D44" s="13">
        <v>11</v>
      </c>
      <c r="E44" s="13">
        <v>8</v>
      </c>
      <c r="F44" s="13">
        <v>5</v>
      </c>
      <c r="G44" s="6">
        <v>0.3</v>
      </c>
      <c r="H44" s="13">
        <v>45</v>
      </c>
      <c r="I44" s="13" t="s">
        <v>41</v>
      </c>
      <c r="J44" s="13"/>
      <c r="K44" s="13">
        <v>477</v>
      </c>
      <c r="L44" s="13">
        <f t="shared" si="16"/>
        <v>-469</v>
      </c>
      <c r="M44" s="13"/>
      <c r="N44" s="13"/>
      <c r="O44" s="13">
        <v>683</v>
      </c>
      <c r="P44" s="13">
        <v>43</v>
      </c>
      <c r="Q44" s="13">
        <f t="shared" si="17"/>
        <v>1.6</v>
      </c>
      <c r="R44" s="4">
        <v>200</v>
      </c>
      <c r="S44" s="4">
        <v>300</v>
      </c>
      <c r="T44" s="4"/>
      <c r="U44" s="36">
        <f>VLOOKUP(A44,[1]Sheet!$A:$S,19,0)</f>
        <v>400</v>
      </c>
      <c r="V44" s="13">
        <f t="shared" si="8"/>
        <v>644.375</v>
      </c>
      <c r="W44" s="13">
        <f t="shared" si="18"/>
        <v>456.875</v>
      </c>
      <c r="X44" s="13">
        <v>52.2</v>
      </c>
      <c r="Y44" s="13">
        <v>85.8</v>
      </c>
      <c r="Z44" s="13">
        <v>35.799999999999997</v>
      </c>
      <c r="AA44" s="13">
        <v>58.4</v>
      </c>
      <c r="AB44" s="13">
        <v>64.8</v>
      </c>
      <c r="AC44" s="13">
        <v>52.8</v>
      </c>
      <c r="AD44" s="13">
        <v>58.8</v>
      </c>
      <c r="AE44" s="13">
        <v>86.4</v>
      </c>
      <c r="AF44" s="13">
        <v>56.2</v>
      </c>
      <c r="AG44" s="13">
        <v>68.400000000000006</v>
      </c>
      <c r="AH44" s="13"/>
      <c r="AI44" s="13">
        <f t="shared" si="9"/>
        <v>90</v>
      </c>
      <c r="AJ44" s="13">
        <f t="shared" si="6"/>
        <v>0</v>
      </c>
      <c r="AK44" s="13"/>
      <c r="AL44" s="13"/>
      <c r="AM44" s="13"/>
      <c r="AN44" s="13"/>
      <c r="AO44" s="13"/>
      <c r="AP44" s="13"/>
      <c r="AQ44" s="13"/>
      <c r="AR44" s="13"/>
      <c r="AS44" s="13"/>
      <c r="AT44" s="13"/>
      <c r="AU44" s="13"/>
      <c r="AV44" s="13"/>
      <c r="AW44" s="13"/>
      <c r="AX44" s="13"/>
      <c r="AY44" s="13"/>
    </row>
    <row r="45" spans="1:51" x14ac:dyDescent="0.25">
      <c r="A45" s="13" t="s">
        <v>88</v>
      </c>
      <c r="B45" s="13" t="s">
        <v>36</v>
      </c>
      <c r="C45" s="13"/>
      <c r="D45" s="13"/>
      <c r="E45" s="13"/>
      <c r="F45" s="13"/>
      <c r="G45" s="6">
        <v>1</v>
      </c>
      <c r="H45" s="13"/>
      <c r="I45" s="13" t="s">
        <v>41</v>
      </c>
      <c r="J45" s="13"/>
      <c r="K45" s="13">
        <v>23</v>
      </c>
      <c r="L45" s="13">
        <f t="shared" si="16"/>
        <v>-23</v>
      </c>
      <c r="M45" s="13"/>
      <c r="N45" s="13"/>
      <c r="O45" s="13">
        <v>50</v>
      </c>
      <c r="P45" s="13">
        <v>0</v>
      </c>
      <c r="Q45" s="13">
        <f t="shared" si="17"/>
        <v>0</v>
      </c>
      <c r="R45" s="4"/>
      <c r="S45" s="4">
        <v>50</v>
      </c>
      <c r="T45" s="4"/>
      <c r="U45" s="36">
        <f>VLOOKUP(A45,[1]Sheet!$A:$S,19,0)</f>
        <v>100</v>
      </c>
      <c r="V45" s="13" t="e">
        <f t="shared" si="8"/>
        <v>#DIV/0!</v>
      </c>
      <c r="W45" s="13" t="e">
        <f t="shared" si="18"/>
        <v>#DIV/0!</v>
      </c>
      <c r="X45" s="13">
        <v>0</v>
      </c>
      <c r="Y45" s="13">
        <v>0</v>
      </c>
      <c r="Z45" s="13">
        <v>0</v>
      </c>
      <c r="AA45" s="13">
        <v>0</v>
      </c>
      <c r="AB45" s="13">
        <v>0</v>
      </c>
      <c r="AC45" s="13">
        <v>0</v>
      </c>
      <c r="AD45" s="13">
        <v>0</v>
      </c>
      <c r="AE45" s="13">
        <v>0</v>
      </c>
      <c r="AF45" s="13">
        <v>0</v>
      </c>
      <c r="AG45" s="13">
        <v>0</v>
      </c>
      <c r="AH45" s="13" t="s">
        <v>89</v>
      </c>
      <c r="AI45" s="13">
        <f t="shared" si="9"/>
        <v>50</v>
      </c>
      <c r="AJ45" s="13">
        <f t="shared" si="6"/>
        <v>0</v>
      </c>
      <c r="AK45" s="13"/>
      <c r="AL45" s="13"/>
      <c r="AM45" s="13"/>
      <c r="AN45" s="13"/>
      <c r="AO45" s="13"/>
      <c r="AP45" s="13"/>
      <c r="AQ45" s="13"/>
      <c r="AR45" s="13"/>
      <c r="AS45" s="13"/>
      <c r="AT45" s="13"/>
      <c r="AU45" s="13"/>
      <c r="AV45" s="13"/>
      <c r="AW45" s="13"/>
      <c r="AX45" s="13"/>
      <c r="AY45" s="13"/>
    </row>
    <row r="46" spans="1:51" x14ac:dyDescent="0.25">
      <c r="A46" s="13" t="s">
        <v>90</v>
      </c>
      <c r="B46" s="13" t="s">
        <v>36</v>
      </c>
      <c r="C46" s="13">
        <v>129.113</v>
      </c>
      <c r="D46" s="13">
        <v>1.5409999999999999</v>
      </c>
      <c r="E46" s="13">
        <v>40.585000000000001</v>
      </c>
      <c r="F46" s="13">
        <v>86.986999999999995</v>
      </c>
      <c r="G46" s="6">
        <v>1</v>
      </c>
      <c r="H46" s="13">
        <v>45</v>
      </c>
      <c r="I46" s="13" t="s">
        <v>41</v>
      </c>
      <c r="J46" s="13"/>
      <c r="K46" s="13">
        <v>127</v>
      </c>
      <c r="L46" s="13">
        <f t="shared" si="16"/>
        <v>-86.414999999999992</v>
      </c>
      <c r="M46" s="13"/>
      <c r="N46" s="13"/>
      <c r="O46" s="13">
        <v>0</v>
      </c>
      <c r="P46" s="13">
        <v>107</v>
      </c>
      <c r="Q46" s="13">
        <f t="shared" si="17"/>
        <v>8.1170000000000009</v>
      </c>
      <c r="R46" s="4"/>
      <c r="S46" s="4">
        <f t="shared" si="11"/>
        <v>0</v>
      </c>
      <c r="T46" s="4"/>
      <c r="U46" s="36">
        <f>VLOOKUP(A46,[1]Sheet!$A:$S,19,0)</f>
        <v>0</v>
      </c>
      <c r="V46" s="13">
        <f t="shared" si="8"/>
        <v>23.898854256498701</v>
      </c>
      <c r="W46" s="13">
        <f t="shared" si="18"/>
        <v>23.898854256498701</v>
      </c>
      <c r="X46" s="13">
        <v>16.876200000000001</v>
      </c>
      <c r="Y46" s="13">
        <v>10.6318</v>
      </c>
      <c r="Z46" s="13">
        <v>4.3406000000000002</v>
      </c>
      <c r="AA46" s="13">
        <v>15.939</v>
      </c>
      <c r="AB46" s="13">
        <v>6.1928000000000001</v>
      </c>
      <c r="AC46" s="13">
        <v>6.7195999999999998</v>
      </c>
      <c r="AD46" s="13">
        <v>2.1467999999999998</v>
      </c>
      <c r="AE46" s="13">
        <v>2.1526000000000001</v>
      </c>
      <c r="AF46" s="13">
        <v>2.4722</v>
      </c>
      <c r="AG46" s="13">
        <v>1.8528</v>
      </c>
      <c r="AH46" s="13"/>
      <c r="AI46" s="13">
        <f t="shared" si="9"/>
        <v>0</v>
      </c>
      <c r="AJ46" s="13">
        <f t="shared" si="6"/>
        <v>0</v>
      </c>
      <c r="AK46" s="13"/>
      <c r="AL46" s="13"/>
      <c r="AM46" s="13"/>
      <c r="AN46" s="13"/>
      <c r="AO46" s="13"/>
      <c r="AP46" s="13"/>
      <c r="AQ46" s="13"/>
      <c r="AR46" s="13"/>
      <c r="AS46" s="13"/>
      <c r="AT46" s="13"/>
      <c r="AU46" s="13"/>
      <c r="AV46" s="13"/>
      <c r="AW46" s="13"/>
      <c r="AX46" s="13"/>
      <c r="AY46" s="13"/>
    </row>
    <row r="47" spans="1:51" x14ac:dyDescent="0.25">
      <c r="A47" s="13" t="s">
        <v>91</v>
      </c>
      <c r="B47" s="13" t="s">
        <v>40</v>
      </c>
      <c r="C47" s="13">
        <v>370</v>
      </c>
      <c r="D47" s="13">
        <v>5</v>
      </c>
      <c r="E47" s="13">
        <v>413</v>
      </c>
      <c r="F47" s="13">
        <v>-46</v>
      </c>
      <c r="G47" s="6">
        <v>0.35</v>
      </c>
      <c r="H47" s="13">
        <v>45</v>
      </c>
      <c r="I47" s="13" t="s">
        <v>41</v>
      </c>
      <c r="J47" s="13"/>
      <c r="K47" s="13">
        <v>896</v>
      </c>
      <c r="L47" s="13">
        <f t="shared" si="16"/>
        <v>-483</v>
      </c>
      <c r="M47" s="13"/>
      <c r="N47" s="13"/>
      <c r="O47" s="13">
        <v>1031</v>
      </c>
      <c r="P47" s="13">
        <v>819</v>
      </c>
      <c r="Q47" s="13">
        <f t="shared" si="17"/>
        <v>82.6</v>
      </c>
      <c r="R47" s="4">
        <v>300</v>
      </c>
      <c r="S47" s="4">
        <v>400</v>
      </c>
      <c r="T47" s="4"/>
      <c r="U47" s="36">
        <f>VLOOKUP(A47,[1]Sheet!$A:$S,19,0)</f>
        <v>500</v>
      </c>
      <c r="V47" s="13">
        <f t="shared" si="8"/>
        <v>26.682808716707022</v>
      </c>
      <c r="W47" s="13">
        <f t="shared" si="18"/>
        <v>21.840193704600487</v>
      </c>
      <c r="X47" s="13">
        <v>158.6</v>
      </c>
      <c r="Y47" s="13">
        <v>169.2</v>
      </c>
      <c r="Z47" s="13">
        <v>109.4</v>
      </c>
      <c r="AA47" s="13">
        <v>94.4</v>
      </c>
      <c r="AB47" s="13">
        <v>139</v>
      </c>
      <c r="AC47" s="13">
        <v>135.4</v>
      </c>
      <c r="AD47" s="13">
        <v>91.2</v>
      </c>
      <c r="AE47" s="13">
        <v>124.2</v>
      </c>
      <c r="AF47" s="13">
        <v>106.4</v>
      </c>
      <c r="AG47" s="13">
        <v>105.4</v>
      </c>
      <c r="AH47" s="13"/>
      <c r="AI47" s="13">
        <f t="shared" si="9"/>
        <v>140</v>
      </c>
      <c r="AJ47" s="13">
        <f t="shared" si="6"/>
        <v>0</v>
      </c>
      <c r="AK47" s="13"/>
      <c r="AL47" s="13"/>
      <c r="AM47" s="13"/>
      <c r="AN47" s="13"/>
      <c r="AO47" s="13"/>
      <c r="AP47" s="13"/>
      <c r="AQ47" s="13"/>
      <c r="AR47" s="13"/>
      <c r="AS47" s="13"/>
      <c r="AT47" s="13"/>
      <c r="AU47" s="13"/>
      <c r="AV47" s="13"/>
      <c r="AW47" s="13"/>
      <c r="AX47" s="13"/>
      <c r="AY47" s="13"/>
    </row>
    <row r="48" spans="1:51" x14ac:dyDescent="0.25">
      <c r="A48" s="13" t="s">
        <v>92</v>
      </c>
      <c r="B48" s="13" t="s">
        <v>40</v>
      </c>
      <c r="C48" s="13">
        <v>11</v>
      </c>
      <c r="D48" s="13">
        <v>3</v>
      </c>
      <c r="E48" s="13">
        <v>-13</v>
      </c>
      <c r="F48" s="13">
        <v>11</v>
      </c>
      <c r="G48" s="6">
        <v>0.41</v>
      </c>
      <c r="H48" s="13">
        <v>45</v>
      </c>
      <c r="I48" s="13" t="s">
        <v>41</v>
      </c>
      <c r="J48" s="13"/>
      <c r="K48" s="13">
        <v>336</v>
      </c>
      <c r="L48" s="13">
        <f t="shared" si="16"/>
        <v>-349</v>
      </c>
      <c r="M48" s="13"/>
      <c r="N48" s="13"/>
      <c r="O48" s="13">
        <v>322</v>
      </c>
      <c r="P48" s="13">
        <v>150</v>
      </c>
      <c r="Q48" s="13">
        <f t="shared" si="17"/>
        <v>-2.6</v>
      </c>
      <c r="R48" s="4"/>
      <c r="S48" s="4"/>
      <c r="T48" s="4"/>
      <c r="U48" s="36">
        <f>VLOOKUP(A48,[1]Sheet!$A:$S,19,0)</f>
        <v>300</v>
      </c>
      <c r="V48" s="13">
        <f t="shared" si="8"/>
        <v>-185.76923076923077</v>
      </c>
      <c r="W48" s="13">
        <f t="shared" si="18"/>
        <v>-185.76923076923077</v>
      </c>
      <c r="X48" s="13">
        <v>-2.8</v>
      </c>
      <c r="Y48" s="13">
        <v>46.8</v>
      </c>
      <c r="Z48" s="13">
        <v>39</v>
      </c>
      <c r="AA48" s="13">
        <v>41</v>
      </c>
      <c r="AB48" s="13">
        <v>31</v>
      </c>
      <c r="AC48" s="13">
        <v>61.6</v>
      </c>
      <c r="AD48" s="13">
        <v>47</v>
      </c>
      <c r="AE48" s="13">
        <v>55.4</v>
      </c>
      <c r="AF48" s="13">
        <v>47.6</v>
      </c>
      <c r="AG48" s="13">
        <v>73.2</v>
      </c>
      <c r="AH48" s="11" t="s">
        <v>168</v>
      </c>
      <c r="AI48" s="13">
        <f t="shared" si="9"/>
        <v>0</v>
      </c>
      <c r="AJ48" s="13">
        <f t="shared" si="6"/>
        <v>0</v>
      </c>
      <c r="AK48" s="13"/>
      <c r="AL48" s="13"/>
      <c r="AM48" s="13"/>
      <c r="AN48" s="13"/>
      <c r="AO48" s="13"/>
      <c r="AP48" s="13"/>
      <c r="AQ48" s="13"/>
      <c r="AR48" s="13"/>
      <c r="AS48" s="13"/>
      <c r="AT48" s="13"/>
      <c r="AU48" s="13"/>
      <c r="AV48" s="13"/>
      <c r="AW48" s="13"/>
      <c r="AX48" s="13"/>
      <c r="AY48" s="13"/>
    </row>
    <row r="49" spans="1:51" x14ac:dyDescent="0.25">
      <c r="A49" s="13" t="s">
        <v>93</v>
      </c>
      <c r="B49" s="13" t="s">
        <v>40</v>
      </c>
      <c r="C49" s="13">
        <v>293</v>
      </c>
      <c r="D49" s="13">
        <v>13</v>
      </c>
      <c r="E49" s="13">
        <v>262</v>
      </c>
      <c r="F49" s="13">
        <v>34</v>
      </c>
      <c r="G49" s="6">
        <v>0.41</v>
      </c>
      <c r="H49" s="13">
        <v>45</v>
      </c>
      <c r="I49" s="13" t="s">
        <v>41</v>
      </c>
      <c r="J49" s="13"/>
      <c r="K49" s="13">
        <v>447</v>
      </c>
      <c r="L49" s="13">
        <f t="shared" si="16"/>
        <v>-185</v>
      </c>
      <c r="M49" s="13"/>
      <c r="N49" s="13"/>
      <c r="O49" s="13">
        <v>364</v>
      </c>
      <c r="P49" s="13">
        <v>0</v>
      </c>
      <c r="Q49" s="13">
        <f t="shared" si="17"/>
        <v>52.4</v>
      </c>
      <c r="R49" s="4">
        <f t="shared" si="19"/>
        <v>440.4</v>
      </c>
      <c r="S49" s="4">
        <f t="shared" si="11"/>
        <v>440</v>
      </c>
      <c r="T49" s="4">
        <v>200</v>
      </c>
      <c r="U49" s="36">
        <f>VLOOKUP(A49,[1]Sheet!$A:$S,19,0)</f>
        <v>0</v>
      </c>
      <c r="V49" s="13">
        <f>(F49+O49+P49+S49+T49)/Q49</f>
        <v>19.809160305343511</v>
      </c>
      <c r="W49" s="13">
        <f t="shared" si="18"/>
        <v>7.5954198473282446</v>
      </c>
      <c r="X49" s="13">
        <v>16.600000000000001</v>
      </c>
      <c r="Y49" s="13">
        <v>57.6</v>
      </c>
      <c r="Z49" s="13">
        <v>35.6</v>
      </c>
      <c r="AA49" s="13">
        <v>12.4</v>
      </c>
      <c r="AB49" s="13">
        <v>28</v>
      </c>
      <c r="AC49" s="13">
        <v>35</v>
      </c>
      <c r="AD49" s="13">
        <v>20.2</v>
      </c>
      <c r="AE49" s="13">
        <v>21.2</v>
      </c>
      <c r="AF49" s="13">
        <v>21.2</v>
      </c>
      <c r="AG49" s="13">
        <v>22.8</v>
      </c>
      <c r="AH49" s="13"/>
      <c r="AI49" s="13">
        <f t="shared" si="9"/>
        <v>180.39999999999998</v>
      </c>
      <c r="AJ49" s="13">
        <f t="shared" si="6"/>
        <v>82</v>
      </c>
      <c r="AK49" s="13"/>
      <c r="AL49" s="13"/>
      <c r="AM49" s="13"/>
      <c r="AN49" s="13"/>
      <c r="AO49" s="13"/>
      <c r="AP49" s="13"/>
      <c r="AQ49" s="13"/>
      <c r="AR49" s="13"/>
      <c r="AS49" s="13"/>
      <c r="AT49" s="13"/>
      <c r="AU49" s="13"/>
      <c r="AV49" s="13"/>
      <c r="AW49" s="13"/>
      <c r="AX49" s="13"/>
      <c r="AY49" s="13"/>
    </row>
    <row r="50" spans="1:51" x14ac:dyDescent="0.25">
      <c r="A50" s="8" t="s">
        <v>94</v>
      </c>
      <c r="B50" s="8" t="s">
        <v>36</v>
      </c>
      <c r="C50" s="8">
        <v>16.449000000000002</v>
      </c>
      <c r="D50" s="8"/>
      <c r="E50" s="8"/>
      <c r="F50" s="8">
        <v>16.449000000000002</v>
      </c>
      <c r="G50" s="9">
        <v>0</v>
      </c>
      <c r="H50" s="8">
        <v>30</v>
      </c>
      <c r="I50" s="8" t="s">
        <v>37</v>
      </c>
      <c r="J50" s="8"/>
      <c r="K50" s="8"/>
      <c r="L50" s="8">
        <f t="shared" si="16"/>
        <v>0</v>
      </c>
      <c r="M50" s="8"/>
      <c r="N50" s="8"/>
      <c r="O50" s="8">
        <v>0</v>
      </c>
      <c r="P50" s="8">
        <v>0</v>
      </c>
      <c r="Q50" s="8">
        <f t="shared" si="17"/>
        <v>0</v>
      </c>
      <c r="R50" s="10"/>
      <c r="S50" s="4">
        <f t="shared" si="11"/>
        <v>0</v>
      </c>
      <c r="T50" s="4"/>
      <c r="U50" s="36">
        <f>VLOOKUP(A50,[1]Sheet!$A:$S,19,0)</f>
        <v>0</v>
      </c>
      <c r="V50" s="13" t="e">
        <f t="shared" si="8"/>
        <v>#DIV/0!</v>
      </c>
      <c r="W50" s="8" t="e">
        <f t="shared" si="18"/>
        <v>#DIV/0!</v>
      </c>
      <c r="X50" s="8">
        <v>0</v>
      </c>
      <c r="Y50" s="8">
        <v>0</v>
      </c>
      <c r="Z50" s="8">
        <v>0</v>
      </c>
      <c r="AA50" s="8">
        <v>0</v>
      </c>
      <c r="AB50" s="8">
        <v>0</v>
      </c>
      <c r="AC50" s="8">
        <v>0</v>
      </c>
      <c r="AD50" s="8">
        <v>0</v>
      </c>
      <c r="AE50" s="8">
        <v>0</v>
      </c>
      <c r="AF50" s="8">
        <v>0</v>
      </c>
      <c r="AG50" s="8">
        <v>0</v>
      </c>
      <c r="AH50" s="12" t="s">
        <v>66</v>
      </c>
      <c r="AI50" s="13">
        <f t="shared" si="9"/>
        <v>0</v>
      </c>
      <c r="AJ50" s="13">
        <f t="shared" si="6"/>
        <v>0</v>
      </c>
      <c r="AK50" s="13"/>
      <c r="AL50" s="13"/>
      <c r="AM50" s="13"/>
      <c r="AN50" s="13"/>
      <c r="AO50" s="13"/>
      <c r="AP50" s="13"/>
      <c r="AQ50" s="13"/>
      <c r="AR50" s="13"/>
      <c r="AS50" s="13"/>
      <c r="AT50" s="13"/>
      <c r="AU50" s="13"/>
      <c r="AV50" s="13"/>
      <c r="AW50" s="13"/>
      <c r="AX50" s="13"/>
      <c r="AY50" s="13"/>
    </row>
    <row r="51" spans="1:51" x14ac:dyDescent="0.25">
      <c r="A51" s="13" t="s">
        <v>95</v>
      </c>
      <c r="B51" s="13" t="s">
        <v>40</v>
      </c>
      <c r="C51" s="13">
        <v>2</v>
      </c>
      <c r="D51" s="13"/>
      <c r="E51" s="13">
        <v>1</v>
      </c>
      <c r="F51" s="13">
        <v>1</v>
      </c>
      <c r="G51" s="6">
        <v>0.36</v>
      </c>
      <c r="H51" s="13">
        <v>45</v>
      </c>
      <c r="I51" s="13" t="s">
        <v>41</v>
      </c>
      <c r="J51" s="13"/>
      <c r="K51" s="13">
        <v>112</v>
      </c>
      <c r="L51" s="13">
        <f t="shared" si="16"/>
        <v>-111</v>
      </c>
      <c r="M51" s="13"/>
      <c r="N51" s="13"/>
      <c r="O51" s="13">
        <v>30</v>
      </c>
      <c r="P51" s="13">
        <v>43</v>
      </c>
      <c r="Q51" s="13">
        <f t="shared" si="17"/>
        <v>0.2</v>
      </c>
      <c r="R51" s="4">
        <v>30</v>
      </c>
      <c r="S51" s="4">
        <v>50</v>
      </c>
      <c r="T51" s="4"/>
      <c r="U51" s="36">
        <f>VLOOKUP(A51,[1]Sheet!$A:$S,19,0)</f>
        <v>60</v>
      </c>
      <c r="V51" s="13">
        <f t="shared" si="8"/>
        <v>620</v>
      </c>
      <c r="W51" s="13">
        <f t="shared" si="18"/>
        <v>370</v>
      </c>
      <c r="X51" s="13">
        <v>6.8</v>
      </c>
      <c r="Y51" s="13">
        <v>0</v>
      </c>
      <c r="Z51" s="13">
        <v>0</v>
      </c>
      <c r="AA51" s="13">
        <v>-0.4</v>
      </c>
      <c r="AB51" s="13">
        <v>0</v>
      </c>
      <c r="AC51" s="13">
        <v>-0.8</v>
      </c>
      <c r="AD51" s="13">
        <v>-1.4</v>
      </c>
      <c r="AE51" s="13">
        <v>-0.6</v>
      </c>
      <c r="AF51" s="13">
        <v>-1</v>
      </c>
      <c r="AG51" s="13">
        <v>-0.6</v>
      </c>
      <c r="AH51" s="13" t="s">
        <v>96</v>
      </c>
      <c r="AI51" s="13">
        <f t="shared" si="9"/>
        <v>18</v>
      </c>
      <c r="AJ51" s="13">
        <f t="shared" si="6"/>
        <v>0</v>
      </c>
      <c r="AK51" s="13"/>
      <c r="AL51" s="13"/>
      <c r="AM51" s="13"/>
      <c r="AN51" s="13"/>
      <c r="AO51" s="13"/>
      <c r="AP51" s="13"/>
      <c r="AQ51" s="13"/>
      <c r="AR51" s="13"/>
      <c r="AS51" s="13"/>
      <c r="AT51" s="13"/>
      <c r="AU51" s="13"/>
      <c r="AV51" s="13"/>
      <c r="AW51" s="13"/>
      <c r="AX51" s="13"/>
      <c r="AY51" s="13"/>
    </row>
    <row r="52" spans="1:51" x14ac:dyDescent="0.25">
      <c r="A52" s="13" t="s">
        <v>97</v>
      </c>
      <c r="B52" s="13" t="s">
        <v>40</v>
      </c>
      <c r="C52" s="13">
        <v>86</v>
      </c>
      <c r="D52" s="13"/>
      <c r="E52" s="13">
        <v>88</v>
      </c>
      <c r="F52" s="13">
        <v>-2</v>
      </c>
      <c r="G52" s="6">
        <v>0.33</v>
      </c>
      <c r="H52" s="13">
        <v>45</v>
      </c>
      <c r="I52" s="13" t="s">
        <v>41</v>
      </c>
      <c r="J52" s="13"/>
      <c r="K52" s="13">
        <v>144</v>
      </c>
      <c r="L52" s="13">
        <f t="shared" si="16"/>
        <v>-56</v>
      </c>
      <c r="M52" s="13"/>
      <c r="N52" s="13"/>
      <c r="O52" s="13">
        <v>168</v>
      </c>
      <c r="P52" s="13">
        <v>0</v>
      </c>
      <c r="Q52" s="13">
        <f t="shared" si="17"/>
        <v>17.600000000000001</v>
      </c>
      <c r="R52" s="4">
        <f t="shared" ref="R52" si="20">16*Q52-P52-O52-F52</f>
        <v>115.60000000000002</v>
      </c>
      <c r="S52" s="4">
        <f t="shared" si="11"/>
        <v>116</v>
      </c>
      <c r="T52" s="4"/>
      <c r="U52" s="36">
        <f>VLOOKUP(A52,[1]Sheet!$A:$S,19,0)</f>
        <v>0</v>
      </c>
      <c r="V52" s="13">
        <f t="shared" si="8"/>
        <v>16.02272727272727</v>
      </c>
      <c r="W52" s="13">
        <f t="shared" si="18"/>
        <v>9.4318181818181817</v>
      </c>
      <c r="X52" s="13">
        <v>5.2</v>
      </c>
      <c r="Y52" s="13">
        <v>20.2</v>
      </c>
      <c r="Z52" s="13">
        <v>12.8</v>
      </c>
      <c r="AA52" s="13">
        <v>2.2000000000000002</v>
      </c>
      <c r="AB52" s="13">
        <v>11.4</v>
      </c>
      <c r="AC52" s="13">
        <v>17</v>
      </c>
      <c r="AD52" s="13">
        <v>0</v>
      </c>
      <c r="AE52" s="13">
        <v>15.8</v>
      </c>
      <c r="AF52" s="13">
        <v>7.8</v>
      </c>
      <c r="AG52" s="13">
        <v>4.2</v>
      </c>
      <c r="AH52" s="13" t="s">
        <v>98</v>
      </c>
      <c r="AI52" s="13">
        <f t="shared" si="9"/>
        <v>38.28</v>
      </c>
      <c r="AJ52" s="13">
        <f t="shared" si="6"/>
        <v>0</v>
      </c>
      <c r="AK52" s="13"/>
      <c r="AL52" s="13"/>
      <c r="AM52" s="13"/>
      <c r="AN52" s="13"/>
      <c r="AO52" s="13"/>
      <c r="AP52" s="13"/>
      <c r="AQ52" s="13"/>
      <c r="AR52" s="13"/>
      <c r="AS52" s="13"/>
      <c r="AT52" s="13"/>
      <c r="AU52" s="13"/>
      <c r="AV52" s="13"/>
      <c r="AW52" s="13"/>
      <c r="AX52" s="13"/>
      <c r="AY52" s="13"/>
    </row>
    <row r="53" spans="1:51" x14ac:dyDescent="0.25">
      <c r="A53" s="13" t="s">
        <v>99</v>
      </c>
      <c r="B53" s="13" t="s">
        <v>40</v>
      </c>
      <c r="C53" s="13">
        <v>54</v>
      </c>
      <c r="D53" s="13"/>
      <c r="E53" s="13">
        <v>45</v>
      </c>
      <c r="F53" s="13">
        <v>8</v>
      </c>
      <c r="G53" s="6">
        <v>0.4</v>
      </c>
      <c r="H53" s="13">
        <v>60</v>
      </c>
      <c r="I53" s="13" t="s">
        <v>41</v>
      </c>
      <c r="J53" s="13"/>
      <c r="K53" s="13">
        <v>256</v>
      </c>
      <c r="L53" s="13">
        <f t="shared" si="16"/>
        <v>-211</v>
      </c>
      <c r="M53" s="13"/>
      <c r="N53" s="13"/>
      <c r="O53" s="13">
        <v>295</v>
      </c>
      <c r="P53" s="13">
        <v>183</v>
      </c>
      <c r="Q53" s="13">
        <f t="shared" si="17"/>
        <v>9</v>
      </c>
      <c r="R53" s="4">
        <v>50</v>
      </c>
      <c r="S53" s="4">
        <f t="shared" si="11"/>
        <v>50</v>
      </c>
      <c r="T53" s="4"/>
      <c r="U53" s="36">
        <f>VLOOKUP(A53,[1]Sheet!$A:$S,19,0)</f>
        <v>0</v>
      </c>
      <c r="V53" s="13">
        <f t="shared" si="8"/>
        <v>59.555555555555557</v>
      </c>
      <c r="W53" s="13">
        <f t="shared" si="18"/>
        <v>54</v>
      </c>
      <c r="X53" s="13">
        <v>38</v>
      </c>
      <c r="Y53" s="13">
        <v>38.4</v>
      </c>
      <c r="Z53" s="13">
        <v>27</v>
      </c>
      <c r="AA53" s="13">
        <v>20.8</v>
      </c>
      <c r="AB53" s="13">
        <v>30.2</v>
      </c>
      <c r="AC53" s="13">
        <v>34.6</v>
      </c>
      <c r="AD53" s="13">
        <v>33.799999999999997</v>
      </c>
      <c r="AE53" s="13">
        <v>24.2</v>
      </c>
      <c r="AF53" s="13">
        <v>14.6</v>
      </c>
      <c r="AG53" s="13">
        <v>28</v>
      </c>
      <c r="AH53" s="13"/>
      <c r="AI53" s="13">
        <f t="shared" si="9"/>
        <v>20</v>
      </c>
      <c r="AJ53" s="13">
        <f t="shared" si="6"/>
        <v>0</v>
      </c>
      <c r="AK53" s="13"/>
      <c r="AL53" s="13"/>
      <c r="AM53" s="13"/>
      <c r="AN53" s="13"/>
      <c r="AO53" s="13"/>
      <c r="AP53" s="13"/>
      <c r="AQ53" s="13"/>
      <c r="AR53" s="13"/>
      <c r="AS53" s="13"/>
      <c r="AT53" s="13"/>
      <c r="AU53" s="13"/>
      <c r="AV53" s="13"/>
      <c r="AW53" s="13"/>
      <c r="AX53" s="13"/>
      <c r="AY53" s="13"/>
    </row>
    <row r="54" spans="1:51" x14ac:dyDescent="0.25">
      <c r="A54" s="13" t="s">
        <v>100</v>
      </c>
      <c r="B54" s="13" t="s">
        <v>40</v>
      </c>
      <c r="C54" s="13">
        <v>1</v>
      </c>
      <c r="D54" s="13"/>
      <c r="E54" s="13">
        <v>-2</v>
      </c>
      <c r="F54" s="13">
        <v>1</v>
      </c>
      <c r="G54" s="6">
        <v>0.33</v>
      </c>
      <c r="H54" s="13">
        <v>45</v>
      </c>
      <c r="I54" s="13" t="s">
        <v>41</v>
      </c>
      <c r="J54" s="13"/>
      <c r="K54" s="13">
        <v>6</v>
      </c>
      <c r="L54" s="13">
        <f t="shared" si="16"/>
        <v>-8</v>
      </c>
      <c r="M54" s="13"/>
      <c r="N54" s="13"/>
      <c r="O54" s="13">
        <v>20</v>
      </c>
      <c r="P54" s="13">
        <v>16</v>
      </c>
      <c r="Q54" s="13">
        <f t="shared" si="17"/>
        <v>-0.4</v>
      </c>
      <c r="R54" s="4"/>
      <c r="S54" s="4">
        <f t="shared" si="11"/>
        <v>0</v>
      </c>
      <c r="T54" s="4"/>
      <c r="U54" s="36">
        <f>VLOOKUP(A54,[1]Sheet!$A:$S,19,0)</f>
        <v>0</v>
      </c>
      <c r="V54" s="13">
        <f t="shared" si="8"/>
        <v>-92.5</v>
      </c>
      <c r="W54" s="13">
        <f t="shared" si="18"/>
        <v>-92.5</v>
      </c>
      <c r="X54" s="13">
        <v>0</v>
      </c>
      <c r="Y54" s="13">
        <v>-0.6</v>
      </c>
      <c r="Z54" s="13">
        <v>0</v>
      </c>
      <c r="AA54" s="13">
        <v>0.8</v>
      </c>
      <c r="AB54" s="13">
        <v>1.4</v>
      </c>
      <c r="AC54" s="13">
        <v>3.2</v>
      </c>
      <c r="AD54" s="13">
        <v>2.6</v>
      </c>
      <c r="AE54" s="13">
        <v>0.8</v>
      </c>
      <c r="AF54" s="13">
        <v>2.6</v>
      </c>
      <c r="AG54" s="13">
        <v>2</v>
      </c>
      <c r="AH54" s="13" t="s">
        <v>101</v>
      </c>
      <c r="AI54" s="13">
        <f t="shared" si="9"/>
        <v>0</v>
      </c>
      <c r="AJ54" s="13">
        <f t="shared" si="6"/>
        <v>0</v>
      </c>
      <c r="AK54" s="13"/>
      <c r="AL54" s="13"/>
      <c r="AM54" s="13"/>
      <c r="AN54" s="13"/>
      <c r="AO54" s="13"/>
      <c r="AP54" s="13"/>
      <c r="AQ54" s="13"/>
      <c r="AR54" s="13"/>
      <c r="AS54" s="13"/>
      <c r="AT54" s="13"/>
      <c r="AU54" s="13"/>
      <c r="AV54" s="13"/>
      <c r="AW54" s="13"/>
      <c r="AX54" s="13"/>
      <c r="AY54" s="13"/>
    </row>
    <row r="55" spans="1:51" x14ac:dyDescent="0.25">
      <c r="A55" s="13" t="s">
        <v>102</v>
      </c>
      <c r="B55" s="13" t="s">
        <v>36</v>
      </c>
      <c r="C55" s="13">
        <v>165.26</v>
      </c>
      <c r="D55" s="13">
        <v>8.3279999999999994</v>
      </c>
      <c r="E55" s="13">
        <v>150.227</v>
      </c>
      <c r="F55" s="13">
        <v>8.7390000000000008</v>
      </c>
      <c r="G55" s="6">
        <v>1</v>
      </c>
      <c r="H55" s="13">
        <v>45</v>
      </c>
      <c r="I55" s="13" t="s">
        <v>41</v>
      </c>
      <c r="J55" s="13"/>
      <c r="K55" s="13">
        <v>286.55900000000003</v>
      </c>
      <c r="L55" s="13">
        <f t="shared" si="16"/>
        <v>-136.33200000000002</v>
      </c>
      <c r="M55" s="13"/>
      <c r="N55" s="13"/>
      <c r="O55" s="13">
        <v>305</v>
      </c>
      <c r="P55" s="13">
        <v>385</v>
      </c>
      <c r="Q55" s="13">
        <f t="shared" si="17"/>
        <v>30.045400000000001</v>
      </c>
      <c r="R55" s="4">
        <v>250</v>
      </c>
      <c r="S55" s="4">
        <v>300</v>
      </c>
      <c r="T55" s="4"/>
      <c r="U55" s="36">
        <f>VLOOKUP(A55,[1]Sheet!$A:$S,19,0)</f>
        <v>350</v>
      </c>
      <c r="V55" s="13">
        <f>(F55+O55+P55+S55+T55)/Q55</f>
        <v>33.240995293788735</v>
      </c>
      <c r="W55" s="13">
        <f t="shared" si="18"/>
        <v>23.256105759949943</v>
      </c>
      <c r="X55" s="13">
        <v>65.753799999999998</v>
      </c>
      <c r="Y55" s="13">
        <v>61.433399999999992</v>
      </c>
      <c r="Z55" s="13">
        <v>54.076999999999998</v>
      </c>
      <c r="AA55" s="13">
        <v>13.7126</v>
      </c>
      <c r="AB55" s="13">
        <v>63.340599999999988</v>
      </c>
      <c r="AC55" s="13">
        <v>57.431199999999997</v>
      </c>
      <c r="AD55" s="13">
        <v>38.247</v>
      </c>
      <c r="AE55" s="13">
        <v>48.421199999999999</v>
      </c>
      <c r="AF55" s="13">
        <v>35.937800000000003</v>
      </c>
      <c r="AG55" s="13">
        <v>37.403599999999997</v>
      </c>
      <c r="AH55" s="13"/>
      <c r="AI55" s="13">
        <f t="shared" si="9"/>
        <v>300</v>
      </c>
      <c r="AJ55" s="13">
        <f t="shared" si="6"/>
        <v>0</v>
      </c>
      <c r="AK55" s="13"/>
      <c r="AL55" s="13"/>
      <c r="AM55" s="13"/>
      <c r="AN55" s="13"/>
      <c r="AO55" s="13"/>
      <c r="AP55" s="13"/>
      <c r="AQ55" s="13"/>
      <c r="AR55" s="13"/>
      <c r="AS55" s="13"/>
      <c r="AT55" s="13"/>
      <c r="AU55" s="13"/>
      <c r="AV55" s="13"/>
      <c r="AW55" s="13"/>
      <c r="AX55" s="13"/>
      <c r="AY55" s="13"/>
    </row>
    <row r="56" spans="1:51" x14ac:dyDescent="0.25">
      <c r="A56" s="13" t="s">
        <v>103</v>
      </c>
      <c r="B56" s="13" t="s">
        <v>40</v>
      </c>
      <c r="C56" s="13">
        <v>114</v>
      </c>
      <c r="D56" s="13"/>
      <c r="E56" s="13">
        <v>-1</v>
      </c>
      <c r="F56" s="13">
        <v>114</v>
      </c>
      <c r="G56" s="6">
        <v>0.4</v>
      </c>
      <c r="H56" s="13">
        <v>45</v>
      </c>
      <c r="I56" s="13" t="s">
        <v>41</v>
      </c>
      <c r="J56" s="13"/>
      <c r="K56" s="13">
        <v>70</v>
      </c>
      <c r="L56" s="13">
        <f t="shared" si="16"/>
        <v>-71</v>
      </c>
      <c r="M56" s="13"/>
      <c r="N56" s="13"/>
      <c r="O56" s="13">
        <v>0</v>
      </c>
      <c r="P56" s="13">
        <v>0</v>
      </c>
      <c r="Q56" s="13">
        <f t="shared" si="17"/>
        <v>-0.2</v>
      </c>
      <c r="R56" s="4"/>
      <c r="S56" s="4"/>
      <c r="T56" s="4"/>
      <c r="U56" s="36">
        <f>VLOOKUP(A56,[1]Sheet!$A:$S,19,0)</f>
        <v>100</v>
      </c>
      <c r="V56" s="13">
        <f t="shared" si="8"/>
        <v>-570</v>
      </c>
      <c r="W56" s="13">
        <f t="shared" si="18"/>
        <v>-570</v>
      </c>
      <c r="X56" s="13">
        <v>-2.6</v>
      </c>
      <c r="Y56" s="13">
        <v>0</v>
      </c>
      <c r="Z56" s="13">
        <v>-0.4</v>
      </c>
      <c r="AA56" s="13">
        <v>-0.2</v>
      </c>
      <c r="AB56" s="13">
        <v>-2.4</v>
      </c>
      <c r="AC56" s="13">
        <v>-3.4</v>
      </c>
      <c r="AD56" s="13">
        <v>1</v>
      </c>
      <c r="AE56" s="13">
        <v>-1.6</v>
      </c>
      <c r="AF56" s="13">
        <v>10.4</v>
      </c>
      <c r="AG56" s="13">
        <v>15.8</v>
      </c>
      <c r="AH56" s="12" t="s">
        <v>66</v>
      </c>
      <c r="AI56" s="13">
        <f t="shared" si="9"/>
        <v>0</v>
      </c>
      <c r="AJ56" s="13">
        <f t="shared" si="6"/>
        <v>0</v>
      </c>
      <c r="AK56" s="13"/>
      <c r="AL56" s="13"/>
      <c r="AM56" s="13"/>
      <c r="AN56" s="13"/>
      <c r="AO56" s="13"/>
      <c r="AP56" s="13"/>
      <c r="AQ56" s="13"/>
      <c r="AR56" s="13"/>
      <c r="AS56" s="13"/>
      <c r="AT56" s="13"/>
      <c r="AU56" s="13"/>
      <c r="AV56" s="13"/>
      <c r="AW56" s="13"/>
      <c r="AX56" s="13"/>
      <c r="AY56" s="13"/>
    </row>
    <row r="57" spans="1:51" x14ac:dyDescent="0.25">
      <c r="A57" s="8" t="s">
        <v>104</v>
      </c>
      <c r="B57" s="8" t="s">
        <v>36</v>
      </c>
      <c r="C57" s="8"/>
      <c r="D57" s="8"/>
      <c r="E57" s="8"/>
      <c r="F57" s="8"/>
      <c r="G57" s="9">
        <v>0</v>
      </c>
      <c r="H57" s="8"/>
      <c r="I57" s="8" t="s">
        <v>41</v>
      </c>
      <c r="J57" s="8"/>
      <c r="K57" s="8">
        <v>12</v>
      </c>
      <c r="L57" s="8">
        <f t="shared" si="16"/>
        <v>-12</v>
      </c>
      <c r="M57" s="8"/>
      <c r="N57" s="8"/>
      <c r="O57" s="8">
        <v>0</v>
      </c>
      <c r="P57" s="8">
        <v>0</v>
      </c>
      <c r="Q57" s="8">
        <f t="shared" si="17"/>
        <v>0</v>
      </c>
      <c r="R57" s="10"/>
      <c r="S57" s="4">
        <f t="shared" si="11"/>
        <v>0</v>
      </c>
      <c r="T57" s="4"/>
      <c r="U57" s="36">
        <f>VLOOKUP(A57,[1]Sheet!$A:$S,19,0)</f>
        <v>0</v>
      </c>
      <c r="V57" s="13" t="e">
        <f t="shared" si="8"/>
        <v>#DIV/0!</v>
      </c>
      <c r="W57" s="8" t="e">
        <f t="shared" si="18"/>
        <v>#DIV/0!</v>
      </c>
      <c r="X57" s="8">
        <v>0</v>
      </c>
      <c r="Y57" s="8">
        <v>0</v>
      </c>
      <c r="Z57" s="8">
        <v>0</v>
      </c>
      <c r="AA57" s="8">
        <v>0</v>
      </c>
      <c r="AB57" s="8">
        <v>0</v>
      </c>
      <c r="AC57" s="8">
        <v>0</v>
      </c>
      <c r="AD57" s="8">
        <v>0</v>
      </c>
      <c r="AE57" s="8">
        <v>0</v>
      </c>
      <c r="AF57" s="8">
        <v>0</v>
      </c>
      <c r="AG57" s="8">
        <v>0</v>
      </c>
      <c r="AH57" s="8" t="s">
        <v>105</v>
      </c>
      <c r="AI57" s="13">
        <f t="shared" si="9"/>
        <v>0</v>
      </c>
      <c r="AJ57" s="13">
        <f t="shared" si="6"/>
        <v>0</v>
      </c>
      <c r="AK57" s="13"/>
      <c r="AL57" s="13"/>
      <c r="AM57" s="13"/>
      <c r="AN57" s="13"/>
      <c r="AO57" s="13"/>
      <c r="AP57" s="13"/>
      <c r="AQ57" s="13"/>
      <c r="AR57" s="13"/>
      <c r="AS57" s="13"/>
      <c r="AT57" s="13"/>
      <c r="AU57" s="13"/>
      <c r="AV57" s="13"/>
      <c r="AW57" s="13"/>
      <c r="AX57" s="13"/>
      <c r="AY57" s="13"/>
    </row>
    <row r="58" spans="1:51" x14ac:dyDescent="0.25">
      <c r="A58" s="13" t="s">
        <v>106</v>
      </c>
      <c r="B58" s="13" t="s">
        <v>36</v>
      </c>
      <c r="C58" s="13">
        <v>43.298000000000002</v>
      </c>
      <c r="D58" s="13">
        <v>0.13300000000000001</v>
      </c>
      <c r="E58" s="13">
        <v>39.158000000000001</v>
      </c>
      <c r="F58" s="13">
        <v>4.1399999999999997</v>
      </c>
      <c r="G58" s="6">
        <v>1</v>
      </c>
      <c r="H58" s="13">
        <v>60</v>
      </c>
      <c r="I58" s="13" t="s">
        <v>41</v>
      </c>
      <c r="J58" s="13"/>
      <c r="K58" s="13">
        <v>109.5</v>
      </c>
      <c r="L58" s="13">
        <f t="shared" si="16"/>
        <v>-70.341999999999999</v>
      </c>
      <c r="M58" s="13"/>
      <c r="N58" s="13"/>
      <c r="O58" s="13">
        <v>73</v>
      </c>
      <c r="P58" s="13">
        <v>23</v>
      </c>
      <c r="Q58" s="13">
        <f t="shared" si="17"/>
        <v>7.8315999999999999</v>
      </c>
      <c r="R58" s="4">
        <f t="shared" ref="R58:R59" si="21">16*Q58-P58-O58-F58</f>
        <v>25.165599999999998</v>
      </c>
      <c r="S58" s="4">
        <v>70</v>
      </c>
      <c r="T58" s="4"/>
      <c r="U58" s="36">
        <f>VLOOKUP(A58,[1]Sheet!$A:$S,19,0)</f>
        <v>100</v>
      </c>
      <c r="V58" s="13">
        <f t="shared" si="8"/>
        <v>21.724807191378517</v>
      </c>
      <c r="W58" s="13">
        <f t="shared" si="18"/>
        <v>12.786659175647378</v>
      </c>
      <c r="X58" s="13">
        <v>9.9421999999999997</v>
      </c>
      <c r="Y58" s="13">
        <v>12.0648</v>
      </c>
      <c r="Z58" s="13">
        <v>5.1560000000000006</v>
      </c>
      <c r="AA58" s="13">
        <v>7.8439999999999994</v>
      </c>
      <c r="AB58" s="13">
        <v>4.2359999999999998</v>
      </c>
      <c r="AC58" s="13">
        <v>5.14</v>
      </c>
      <c r="AD58" s="13">
        <v>2.649</v>
      </c>
      <c r="AE58" s="13">
        <v>1.7909999999999999</v>
      </c>
      <c r="AF58" s="13">
        <v>1.9</v>
      </c>
      <c r="AG58" s="13">
        <v>1.615</v>
      </c>
      <c r="AH58" s="13"/>
      <c r="AI58" s="13">
        <f t="shared" si="9"/>
        <v>70</v>
      </c>
      <c r="AJ58" s="13">
        <f t="shared" si="6"/>
        <v>0</v>
      </c>
      <c r="AK58" s="13"/>
      <c r="AL58" s="13"/>
      <c r="AM58" s="13"/>
      <c r="AN58" s="13"/>
      <c r="AO58" s="13"/>
      <c r="AP58" s="13"/>
      <c r="AQ58" s="13"/>
      <c r="AR58" s="13"/>
      <c r="AS58" s="13"/>
      <c r="AT58" s="13"/>
      <c r="AU58" s="13"/>
      <c r="AV58" s="13"/>
      <c r="AW58" s="13"/>
      <c r="AX58" s="13"/>
      <c r="AY58" s="13"/>
    </row>
    <row r="59" spans="1:51" x14ac:dyDescent="0.25">
      <c r="A59" s="8" t="s">
        <v>107</v>
      </c>
      <c r="B59" s="8" t="s">
        <v>40</v>
      </c>
      <c r="C59" s="8">
        <v>62</v>
      </c>
      <c r="D59" s="8">
        <v>1</v>
      </c>
      <c r="E59" s="8">
        <v>29</v>
      </c>
      <c r="F59" s="8">
        <v>28</v>
      </c>
      <c r="G59" s="9">
        <v>0</v>
      </c>
      <c r="H59" s="8">
        <v>45</v>
      </c>
      <c r="I59" s="8" t="s">
        <v>172</v>
      </c>
      <c r="J59" s="8"/>
      <c r="K59" s="8">
        <v>38</v>
      </c>
      <c r="L59" s="8">
        <f t="shared" si="16"/>
        <v>-9</v>
      </c>
      <c r="M59" s="8"/>
      <c r="N59" s="8"/>
      <c r="O59" s="8">
        <v>0</v>
      </c>
      <c r="P59" s="8">
        <v>53</v>
      </c>
      <c r="Q59" s="8">
        <f t="shared" si="17"/>
        <v>5.8</v>
      </c>
      <c r="R59" s="10">
        <f t="shared" si="21"/>
        <v>11.799999999999997</v>
      </c>
      <c r="S59" s="4">
        <f t="shared" si="11"/>
        <v>12</v>
      </c>
      <c r="T59" s="4"/>
      <c r="U59" s="36">
        <f>VLOOKUP(A59,[1]Sheet!$A:$S,19,0)</f>
        <v>0</v>
      </c>
      <c r="V59" s="13">
        <f t="shared" si="8"/>
        <v>16.03448275862069</v>
      </c>
      <c r="W59" s="8">
        <f t="shared" si="18"/>
        <v>13.965517241379311</v>
      </c>
      <c r="X59" s="8">
        <v>9.6</v>
      </c>
      <c r="Y59" s="8">
        <v>6</v>
      </c>
      <c r="Z59" s="8">
        <v>7.6</v>
      </c>
      <c r="AA59" s="8">
        <v>8.1999999999999993</v>
      </c>
      <c r="AB59" s="8">
        <v>12.8</v>
      </c>
      <c r="AC59" s="8">
        <v>10.8</v>
      </c>
      <c r="AD59" s="8">
        <v>13.8</v>
      </c>
      <c r="AE59" s="8">
        <v>13</v>
      </c>
      <c r="AF59" s="8">
        <v>7.6</v>
      </c>
      <c r="AG59" s="8">
        <v>4.2</v>
      </c>
      <c r="AH59" s="8"/>
      <c r="AI59" s="13">
        <f t="shared" si="9"/>
        <v>0</v>
      </c>
      <c r="AJ59" s="13">
        <f t="shared" si="6"/>
        <v>0</v>
      </c>
      <c r="AK59" s="13"/>
      <c r="AL59" s="13"/>
      <c r="AM59" s="13"/>
      <c r="AN59" s="13"/>
      <c r="AO59" s="13"/>
      <c r="AP59" s="13"/>
      <c r="AQ59" s="13"/>
      <c r="AR59" s="13"/>
      <c r="AS59" s="13"/>
      <c r="AT59" s="13"/>
      <c r="AU59" s="13"/>
      <c r="AV59" s="13"/>
      <c r="AW59" s="13"/>
      <c r="AX59" s="13"/>
      <c r="AY59" s="13"/>
    </row>
    <row r="60" spans="1:51" x14ac:dyDescent="0.25">
      <c r="A60" s="8" t="s">
        <v>108</v>
      </c>
      <c r="B60" s="8" t="s">
        <v>40</v>
      </c>
      <c r="C60" s="8">
        <v>120</v>
      </c>
      <c r="D60" s="8"/>
      <c r="E60" s="8"/>
      <c r="F60" s="8">
        <v>120</v>
      </c>
      <c r="G60" s="9">
        <v>0</v>
      </c>
      <c r="H60" s="8"/>
      <c r="I60" s="8" t="s">
        <v>37</v>
      </c>
      <c r="J60" s="8"/>
      <c r="K60" s="8"/>
      <c r="L60" s="8">
        <f t="shared" si="16"/>
        <v>0</v>
      </c>
      <c r="M60" s="8"/>
      <c r="N60" s="8"/>
      <c r="O60" s="8">
        <v>0</v>
      </c>
      <c r="P60" s="8">
        <v>0</v>
      </c>
      <c r="Q60" s="8">
        <f t="shared" si="17"/>
        <v>0</v>
      </c>
      <c r="R60" s="10"/>
      <c r="S60" s="4">
        <f t="shared" si="11"/>
        <v>0</v>
      </c>
      <c r="T60" s="4"/>
      <c r="U60" s="36">
        <f>VLOOKUP(A60,[1]Sheet!$A:$S,19,0)</f>
        <v>0</v>
      </c>
      <c r="V60" s="13" t="e">
        <f t="shared" si="8"/>
        <v>#DIV/0!</v>
      </c>
      <c r="W60" s="8" t="e">
        <f t="shared" si="18"/>
        <v>#DIV/0!</v>
      </c>
      <c r="X60" s="8">
        <v>3.2</v>
      </c>
      <c r="Y60" s="8">
        <v>4.8</v>
      </c>
      <c r="Z60" s="8">
        <v>0</v>
      </c>
      <c r="AA60" s="8">
        <v>8</v>
      </c>
      <c r="AB60" s="8">
        <v>0</v>
      </c>
      <c r="AC60" s="8">
        <v>0</v>
      </c>
      <c r="AD60" s="8">
        <v>0</v>
      </c>
      <c r="AE60" s="8">
        <v>0</v>
      </c>
      <c r="AF60" s="8">
        <v>0</v>
      </c>
      <c r="AG60" s="8">
        <v>0</v>
      </c>
      <c r="AH60" s="12" t="s">
        <v>38</v>
      </c>
      <c r="AI60" s="13">
        <f t="shared" si="9"/>
        <v>0</v>
      </c>
      <c r="AJ60" s="13">
        <f t="shared" si="6"/>
        <v>0</v>
      </c>
      <c r="AK60" s="13"/>
      <c r="AL60" s="13"/>
      <c r="AM60" s="13"/>
      <c r="AN60" s="13"/>
      <c r="AO60" s="13"/>
      <c r="AP60" s="13"/>
      <c r="AQ60" s="13"/>
      <c r="AR60" s="13"/>
      <c r="AS60" s="13"/>
      <c r="AT60" s="13"/>
      <c r="AU60" s="13"/>
      <c r="AV60" s="13"/>
      <c r="AW60" s="13"/>
      <c r="AX60" s="13"/>
      <c r="AY60" s="13"/>
    </row>
    <row r="61" spans="1:51" x14ac:dyDescent="0.25">
      <c r="A61" s="13" t="s">
        <v>109</v>
      </c>
      <c r="B61" s="13" t="s">
        <v>40</v>
      </c>
      <c r="C61" s="13">
        <v>210</v>
      </c>
      <c r="D61" s="13">
        <v>2</v>
      </c>
      <c r="E61" s="13">
        <v>119</v>
      </c>
      <c r="F61" s="13">
        <v>90</v>
      </c>
      <c r="G61" s="6">
        <v>0.25</v>
      </c>
      <c r="H61" s="13">
        <v>120</v>
      </c>
      <c r="I61" s="13" t="s">
        <v>41</v>
      </c>
      <c r="J61" s="13"/>
      <c r="K61" s="13">
        <v>292</v>
      </c>
      <c r="L61" s="13">
        <f t="shared" si="16"/>
        <v>-173</v>
      </c>
      <c r="M61" s="13"/>
      <c r="N61" s="13"/>
      <c r="O61" s="13">
        <v>87</v>
      </c>
      <c r="P61" s="13">
        <v>239</v>
      </c>
      <c r="Q61" s="13">
        <f t="shared" si="17"/>
        <v>23.8</v>
      </c>
      <c r="R61" s="4">
        <v>50</v>
      </c>
      <c r="S61" s="4">
        <v>70</v>
      </c>
      <c r="T61" s="4"/>
      <c r="U61" s="36">
        <f>VLOOKUP(A61,[1]Sheet!$A:$S,19,0)</f>
        <v>100</v>
      </c>
      <c r="V61" s="13">
        <f t="shared" si="8"/>
        <v>20.420168067226889</v>
      </c>
      <c r="W61" s="13">
        <f t="shared" si="18"/>
        <v>17.478991596638654</v>
      </c>
      <c r="X61" s="13">
        <v>41.2</v>
      </c>
      <c r="Y61" s="13">
        <v>35.799999999999997</v>
      </c>
      <c r="Z61" s="13">
        <v>24</v>
      </c>
      <c r="AA61" s="13">
        <v>14.4</v>
      </c>
      <c r="AB61" s="13">
        <v>17.2</v>
      </c>
      <c r="AC61" s="13">
        <v>29.8</v>
      </c>
      <c r="AD61" s="13">
        <v>8.4</v>
      </c>
      <c r="AE61" s="13">
        <v>9.4</v>
      </c>
      <c r="AF61" s="13">
        <v>12.8</v>
      </c>
      <c r="AG61" s="13">
        <v>4.2</v>
      </c>
      <c r="AH61" s="13" t="s">
        <v>43</v>
      </c>
      <c r="AI61" s="13">
        <f t="shared" si="9"/>
        <v>17.5</v>
      </c>
      <c r="AJ61" s="13">
        <f t="shared" si="6"/>
        <v>0</v>
      </c>
      <c r="AK61" s="13"/>
      <c r="AL61" s="13"/>
      <c r="AM61" s="13"/>
      <c r="AN61" s="13"/>
      <c r="AO61" s="13"/>
      <c r="AP61" s="13"/>
      <c r="AQ61" s="13"/>
      <c r="AR61" s="13"/>
      <c r="AS61" s="13"/>
      <c r="AT61" s="13"/>
      <c r="AU61" s="13"/>
      <c r="AV61" s="13"/>
      <c r="AW61" s="13"/>
      <c r="AX61" s="13"/>
      <c r="AY61" s="13"/>
    </row>
    <row r="62" spans="1:51" x14ac:dyDescent="0.25">
      <c r="A62" s="13" t="s">
        <v>110</v>
      </c>
      <c r="B62" s="13" t="s">
        <v>36</v>
      </c>
      <c r="C62" s="13">
        <v>1.056</v>
      </c>
      <c r="D62" s="13"/>
      <c r="E62" s="13">
        <v>-1.054</v>
      </c>
      <c r="F62" s="13">
        <v>6.0000000000000001E-3</v>
      </c>
      <c r="G62" s="6">
        <v>1</v>
      </c>
      <c r="H62" s="13">
        <v>45</v>
      </c>
      <c r="I62" s="13" t="s">
        <v>41</v>
      </c>
      <c r="J62" s="13"/>
      <c r="K62" s="13">
        <v>29</v>
      </c>
      <c r="L62" s="13">
        <f t="shared" si="16"/>
        <v>-30.053999999999998</v>
      </c>
      <c r="M62" s="13"/>
      <c r="N62" s="13"/>
      <c r="O62" s="13">
        <v>44</v>
      </c>
      <c r="P62" s="13">
        <v>5</v>
      </c>
      <c r="Q62" s="13">
        <f t="shared" si="17"/>
        <v>-0.21080000000000002</v>
      </c>
      <c r="R62" s="4">
        <v>20</v>
      </c>
      <c r="S62" s="4">
        <f t="shared" ref="S62:S66" si="22">U62</f>
        <v>70</v>
      </c>
      <c r="T62" s="4"/>
      <c r="U62" s="36">
        <f>VLOOKUP(A62,[1]Sheet!$A:$S,19,0)</f>
        <v>70</v>
      </c>
      <c r="V62" s="13">
        <f t="shared" si="8"/>
        <v>-564.54459203036049</v>
      </c>
      <c r="W62" s="13">
        <f t="shared" si="18"/>
        <v>-232.4762808349146</v>
      </c>
      <c r="X62" s="13">
        <v>3.5804</v>
      </c>
      <c r="Y62" s="13">
        <v>5.7594000000000003</v>
      </c>
      <c r="Z62" s="13">
        <v>-2E-3</v>
      </c>
      <c r="AA62" s="13">
        <v>3.0392000000000001</v>
      </c>
      <c r="AB62" s="13">
        <v>5.0497999999999994</v>
      </c>
      <c r="AC62" s="13">
        <v>3.3026</v>
      </c>
      <c r="AD62" s="13">
        <v>2.3260000000000001</v>
      </c>
      <c r="AE62" s="13">
        <v>2.6434000000000002</v>
      </c>
      <c r="AF62" s="13">
        <v>2.0691999999999999</v>
      </c>
      <c r="AG62" s="13">
        <v>0.59420000000000006</v>
      </c>
      <c r="AH62" s="13"/>
      <c r="AI62" s="13">
        <f t="shared" si="9"/>
        <v>70</v>
      </c>
      <c r="AJ62" s="13">
        <f t="shared" si="6"/>
        <v>0</v>
      </c>
      <c r="AK62" s="13"/>
      <c r="AL62" s="13"/>
      <c r="AM62" s="13"/>
      <c r="AN62" s="13"/>
      <c r="AO62" s="13"/>
      <c r="AP62" s="13"/>
      <c r="AQ62" s="13"/>
      <c r="AR62" s="13"/>
      <c r="AS62" s="13"/>
      <c r="AT62" s="13"/>
      <c r="AU62" s="13"/>
      <c r="AV62" s="13"/>
      <c r="AW62" s="13"/>
      <c r="AX62" s="13"/>
      <c r="AY62" s="13"/>
    </row>
    <row r="63" spans="1:51" x14ac:dyDescent="0.25">
      <c r="A63" s="13" t="s">
        <v>111</v>
      </c>
      <c r="B63" s="13" t="s">
        <v>40</v>
      </c>
      <c r="C63" s="13">
        <v>-1</v>
      </c>
      <c r="D63" s="13"/>
      <c r="E63" s="13">
        <v>1</v>
      </c>
      <c r="F63" s="13">
        <v>-2</v>
      </c>
      <c r="G63" s="6">
        <v>0.27</v>
      </c>
      <c r="H63" s="13"/>
      <c r="I63" s="13" t="s">
        <v>41</v>
      </c>
      <c r="J63" s="13"/>
      <c r="K63" s="13">
        <v>110</v>
      </c>
      <c r="L63" s="13">
        <f t="shared" si="16"/>
        <v>-109</v>
      </c>
      <c r="M63" s="13"/>
      <c r="N63" s="13"/>
      <c r="O63" s="13">
        <v>205</v>
      </c>
      <c r="P63" s="13">
        <v>16</v>
      </c>
      <c r="Q63" s="13">
        <f t="shared" si="17"/>
        <v>0.2</v>
      </c>
      <c r="R63" s="4">
        <v>32</v>
      </c>
      <c r="S63" s="4">
        <v>60</v>
      </c>
      <c r="T63" s="4"/>
      <c r="U63" s="36">
        <f>VLOOKUP(A63,[1]Sheet!$A:$S,19,0)</f>
        <v>80</v>
      </c>
      <c r="V63" s="13">
        <f t="shared" si="8"/>
        <v>1395</v>
      </c>
      <c r="W63" s="13">
        <f t="shared" si="18"/>
        <v>1095</v>
      </c>
      <c r="X63" s="13">
        <v>14.8</v>
      </c>
      <c r="Y63" s="13">
        <v>24.8</v>
      </c>
      <c r="Z63" s="13">
        <v>10.4</v>
      </c>
      <c r="AA63" s="13">
        <v>0</v>
      </c>
      <c r="AB63" s="13">
        <v>0</v>
      </c>
      <c r="AC63" s="13">
        <v>0</v>
      </c>
      <c r="AD63" s="13">
        <v>0</v>
      </c>
      <c r="AE63" s="13">
        <v>0</v>
      </c>
      <c r="AF63" s="13">
        <v>0</v>
      </c>
      <c r="AG63" s="13">
        <v>0</v>
      </c>
      <c r="AH63" s="13" t="s">
        <v>112</v>
      </c>
      <c r="AI63" s="13">
        <f t="shared" si="9"/>
        <v>16.200000000000003</v>
      </c>
      <c r="AJ63" s="13">
        <f t="shared" si="6"/>
        <v>0</v>
      </c>
      <c r="AK63" s="13"/>
      <c r="AL63" s="13"/>
      <c r="AM63" s="13"/>
      <c r="AN63" s="13"/>
      <c r="AO63" s="13"/>
      <c r="AP63" s="13"/>
      <c r="AQ63" s="13"/>
      <c r="AR63" s="13"/>
      <c r="AS63" s="13"/>
      <c r="AT63" s="13"/>
      <c r="AU63" s="13"/>
      <c r="AV63" s="13"/>
      <c r="AW63" s="13"/>
      <c r="AX63" s="13"/>
      <c r="AY63" s="13"/>
    </row>
    <row r="64" spans="1:51" x14ac:dyDescent="0.25">
      <c r="A64" s="13" t="s">
        <v>113</v>
      </c>
      <c r="B64" s="13" t="s">
        <v>40</v>
      </c>
      <c r="C64" s="13">
        <v>101</v>
      </c>
      <c r="D64" s="13">
        <v>2</v>
      </c>
      <c r="E64" s="13">
        <v>96</v>
      </c>
      <c r="F64" s="13">
        <v>6</v>
      </c>
      <c r="G64" s="6">
        <v>0.3</v>
      </c>
      <c r="H64" s="13">
        <v>60</v>
      </c>
      <c r="I64" s="13" t="s">
        <v>41</v>
      </c>
      <c r="J64" s="13"/>
      <c r="K64" s="13">
        <v>164</v>
      </c>
      <c r="L64" s="13">
        <f t="shared" si="16"/>
        <v>-68</v>
      </c>
      <c r="M64" s="13"/>
      <c r="N64" s="13"/>
      <c r="O64" s="13">
        <v>285</v>
      </c>
      <c r="P64" s="13">
        <v>0</v>
      </c>
      <c r="Q64" s="13">
        <f t="shared" si="17"/>
        <v>19.2</v>
      </c>
      <c r="R64" s="4">
        <f t="shared" ref="R64:R72" si="23">16*Q64-P64-O64-F64</f>
        <v>16.199999999999989</v>
      </c>
      <c r="S64" s="4">
        <v>70</v>
      </c>
      <c r="T64" s="4"/>
      <c r="U64" s="36">
        <f>VLOOKUP(A64,[1]Sheet!$A:$S,19,0)</f>
        <v>100</v>
      </c>
      <c r="V64" s="13">
        <f t="shared" si="8"/>
        <v>18.802083333333336</v>
      </c>
      <c r="W64" s="13">
        <f t="shared" si="18"/>
        <v>15.15625</v>
      </c>
      <c r="X64" s="13">
        <v>9.4</v>
      </c>
      <c r="Y64" s="13">
        <v>37.799999999999997</v>
      </c>
      <c r="Z64" s="13">
        <v>29.6</v>
      </c>
      <c r="AA64" s="13">
        <v>15.4</v>
      </c>
      <c r="AB64" s="13">
        <v>26.8</v>
      </c>
      <c r="AC64" s="13">
        <v>44</v>
      </c>
      <c r="AD64" s="13">
        <v>30</v>
      </c>
      <c r="AE64" s="13">
        <v>34</v>
      </c>
      <c r="AF64" s="13">
        <v>25.4</v>
      </c>
      <c r="AG64" s="13">
        <v>37.799999999999997</v>
      </c>
      <c r="AH64" s="13"/>
      <c r="AI64" s="13">
        <f t="shared" si="9"/>
        <v>21</v>
      </c>
      <c r="AJ64" s="13">
        <f t="shared" si="6"/>
        <v>0</v>
      </c>
      <c r="AK64" s="13"/>
      <c r="AL64" s="13"/>
      <c r="AM64" s="13"/>
      <c r="AN64" s="13"/>
      <c r="AO64" s="13"/>
      <c r="AP64" s="13"/>
      <c r="AQ64" s="13"/>
      <c r="AR64" s="13"/>
      <c r="AS64" s="13"/>
      <c r="AT64" s="13"/>
      <c r="AU64" s="13"/>
      <c r="AV64" s="13"/>
      <c r="AW64" s="13"/>
      <c r="AX64" s="13"/>
      <c r="AY64" s="13"/>
    </row>
    <row r="65" spans="1:51" x14ac:dyDescent="0.25">
      <c r="A65" s="13" t="s">
        <v>114</v>
      </c>
      <c r="B65" s="13" t="s">
        <v>40</v>
      </c>
      <c r="C65" s="13">
        <v>253</v>
      </c>
      <c r="D65" s="13">
        <v>8</v>
      </c>
      <c r="E65" s="13">
        <v>243</v>
      </c>
      <c r="F65" s="13">
        <v>14</v>
      </c>
      <c r="G65" s="6">
        <v>0.41</v>
      </c>
      <c r="H65" s="13">
        <v>50</v>
      </c>
      <c r="I65" s="13" t="s">
        <v>41</v>
      </c>
      <c r="J65" s="13"/>
      <c r="K65" s="13">
        <v>1574</v>
      </c>
      <c r="L65" s="13">
        <f t="shared" si="16"/>
        <v>-1331</v>
      </c>
      <c r="M65" s="13"/>
      <c r="N65" s="13"/>
      <c r="O65" s="13">
        <v>117</v>
      </c>
      <c r="P65" s="13">
        <v>1901</v>
      </c>
      <c r="Q65" s="13">
        <f t="shared" si="17"/>
        <v>48.6</v>
      </c>
      <c r="R65" s="4">
        <v>1000</v>
      </c>
      <c r="S65" s="4">
        <v>1300</v>
      </c>
      <c r="T65" s="4"/>
      <c r="U65" s="36">
        <f>VLOOKUP(A65,[1]Sheet!$A:$S,19,0)</f>
        <v>1500</v>
      </c>
      <c r="V65" s="13">
        <f t="shared" ref="V65:V66" si="24">(F65+O65+P65+S65+T65)/Q65</f>
        <v>68.559670781893004</v>
      </c>
      <c r="W65" s="13">
        <f t="shared" si="18"/>
        <v>41.810699588477362</v>
      </c>
      <c r="X65" s="13">
        <v>324.60000000000002</v>
      </c>
      <c r="Y65" s="13">
        <v>150</v>
      </c>
      <c r="Z65" s="13">
        <v>81.2</v>
      </c>
      <c r="AA65" s="13">
        <v>212.8</v>
      </c>
      <c r="AB65" s="13">
        <v>266.8</v>
      </c>
      <c r="AC65" s="13">
        <v>172.2</v>
      </c>
      <c r="AD65" s="13">
        <v>150</v>
      </c>
      <c r="AE65" s="13">
        <v>221.2</v>
      </c>
      <c r="AF65" s="13">
        <v>150.80000000000001</v>
      </c>
      <c r="AG65" s="13">
        <v>190.8</v>
      </c>
      <c r="AH65" s="13"/>
      <c r="AI65" s="13">
        <f t="shared" si="9"/>
        <v>533</v>
      </c>
      <c r="AJ65" s="13">
        <f t="shared" si="6"/>
        <v>0</v>
      </c>
      <c r="AK65" s="13"/>
      <c r="AL65" s="13"/>
      <c r="AM65" s="13"/>
      <c r="AN65" s="13"/>
      <c r="AO65" s="13"/>
      <c r="AP65" s="13"/>
      <c r="AQ65" s="13"/>
      <c r="AR65" s="13"/>
      <c r="AS65" s="13"/>
      <c r="AT65" s="13"/>
      <c r="AU65" s="13"/>
      <c r="AV65" s="13"/>
      <c r="AW65" s="13"/>
      <c r="AX65" s="13"/>
      <c r="AY65" s="13"/>
    </row>
    <row r="66" spans="1:51" x14ac:dyDescent="0.25">
      <c r="A66" s="13" t="s">
        <v>115</v>
      </c>
      <c r="B66" s="13" t="s">
        <v>36</v>
      </c>
      <c r="C66" s="13">
        <v>226.125</v>
      </c>
      <c r="D66" s="13">
        <v>16.943999999999999</v>
      </c>
      <c r="E66" s="13">
        <v>215.011</v>
      </c>
      <c r="F66" s="13">
        <v>11.114000000000001</v>
      </c>
      <c r="G66" s="6">
        <v>1</v>
      </c>
      <c r="H66" s="13">
        <v>50</v>
      </c>
      <c r="I66" s="13" t="s">
        <v>41</v>
      </c>
      <c r="J66" s="13"/>
      <c r="K66" s="13">
        <v>365.76799999999997</v>
      </c>
      <c r="L66" s="13">
        <f t="shared" si="16"/>
        <v>-150.75699999999998</v>
      </c>
      <c r="M66" s="13"/>
      <c r="N66" s="13"/>
      <c r="O66" s="13">
        <v>342</v>
      </c>
      <c r="P66" s="13">
        <v>162</v>
      </c>
      <c r="Q66" s="13">
        <f t="shared" si="17"/>
        <v>43.002200000000002</v>
      </c>
      <c r="R66" s="4">
        <f t="shared" si="23"/>
        <v>172.92120000000003</v>
      </c>
      <c r="S66" s="4">
        <f t="shared" si="22"/>
        <v>300</v>
      </c>
      <c r="T66" s="4">
        <v>50</v>
      </c>
      <c r="U66" s="36">
        <f>VLOOKUP(A66,[1]Sheet!$A:$S,19,0)</f>
        <v>300</v>
      </c>
      <c r="V66" s="13">
        <f t="shared" si="24"/>
        <v>20.117900944602834</v>
      </c>
      <c r="W66" s="13">
        <f t="shared" si="18"/>
        <v>11.978782480896326</v>
      </c>
      <c r="X66" s="13">
        <v>52.134</v>
      </c>
      <c r="Y66" s="13">
        <v>58.188000000000002</v>
      </c>
      <c r="Z66" s="13">
        <v>30.930399999999999</v>
      </c>
      <c r="AA66" s="13">
        <v>29.0246</v>
      </c>
      <c r="AB66" s="13">
        <v>23.655999999999999</v>
      </c>
      <c r="AC66" s="13">
        <v>36.418599999999998</v>
      </c>
      <c r="AD66" s="13">
        <v>13.896000000000001</v>
      </c>
      <c r="AE66" s="13">
        <v>12.993399999999999</v>
      </c>
      <c r="AF66" s="13">
        <v>16.393599999999999</v>
      </c>
      <c r="AG66" s="13">
        <v>23.993600000000001</v>
      </c>
      <c r="AH66" s="13"/>
      <c r="AI66" s="13">
        <f t="shared" si="9"/>
        <v>300</v>
      </c>
      <c r="AJ66" s="13">
        <f t="shared" si="6"/>
        <v>50</v>
      </c>
      <c r="AK66" s="13"/>
      <c r="AL66" s="13"/>
      <c r="AM66" s="13"/>
      <c r="AN66" s="13"/>
      <c r="AO66" s="13"/>
      <c r="AP66" s="13"/>
      <c r="AQ66" s="13"/>
      <c r="AR66" s="13"/>
      <c r="AS66" s="13"/>
      <c r="AT66" s="13"/>
      <c r="AU66" s="13"/>
      <c r="AV66" s="13"/>
      <c r="AW66" s="13"/>
      <c r="AX66" s="13"/>
      <c r="AY66" s="13"/>
    </row>
    <row r="67" spans="1:51" x14ac:dyDescent="0.25">
      <c r="A67" s="13" t="s">
        <v>116</v>
      </c>
      <c r="B67" s="13" t="s">
        <v>40</v>
      </c>
      <c r="C67" s="13">
        <v>103</v>
      </c>
      <c r="D67" s="13">
        <v>2</v>
      </c>
      <c r="E67" s="13">
        <v>88</v>
      </c>
      <c r="F67" s="13">
        <v>15</v>
      </c>
      <c r="G67" s="6">
        <v>0.35</v>
      </c>
      <c r="H67" s="13">
        <v>50</v>
      </c>
      <c r="I67" s="13" t="s">
        <v>41</v>
      </c>
      <c r="J67" s="13"/>
      <c r="K67" s="13">
        <v>340</v>
      </c>
      <c r="L67" s="13">
        <f t="shared" si="16"/>
        <v>-252</v>
      </c>
      <c r="M67" s="13"/>
      <c r="N67" s="13"/>
      <c r="O67" s="13">
        <v>499</v>
      </c>
      <c r="P67" s="13">
        <v>0</v>
      </c>
      <c r="Q67" s="13">
        <f t="shared" si="17"/>
        <v>17.600000000000001</v>
      </c>
      <c r="R67" s="4">
        <v>250</v>
      </c>
      <c r="S67" s="4">
        <f t="shared" si="11"/>
        <v>250</v>
      </c>
      <c r="T67" s="4"/>
      <c r="U67" s="36">
        <f>VLOOKUP(A67,[1]Sheet!$A:$S,19,0)</f>
        <v>0</v>
      </c>
      <c r="V67" s="13">
        <f t="shared" si="8"/>
        <v>43.409090909090907</v>
      </c>
      <c r="W67" s="13">
        <f t="shared" si="18"/>
        <v>29.204545454545453</v>
      </c>
      <c r="X67" s="13">
        <v>29</v>
      </c>
      <c r="Y67" s="13">
        <v>62</v>
      </c>
      <c r="Z67" s="13">
        <v>32.4</v>
      </c>
      <c r="AA67" s="13">
        <v>31</v>
      </c>
      <c r="AB67" s="13">
        <v>41</v>
      </c>
      <c r="AC67" s="13">
        <v>31.2</v>
      </c>
      <c r="AD67" s="13">
        <v>33.799999999999997</v>
      </c>
      <c r="AE67" s="13">
        <v>31.2</v>
      </c>
      <c r="AF67" s="13">
        <v>27.8</v>
      </c>
      <c r="AG67" s="13">
        <v>32</v>
      </c>
      <c r="AH67" s="13"/>
      <c r="AI67" s="13">
        <f t="shared" si="9"/>
        <v>87.5</v>
      </c>
      <c r="AJ67" s="13">
        <f t="shared" si="6"/>
        <v>0</v>
      </c>
      <c r="AK67" s="13"/>
      <c r="AL67" s="13"/>
      <c r="AM67" s="13"/>
      <c r="AN67" s="13"/>
      <c r="AO67" s="13"/>
      <c r="AP67" s="13"/>
      <c r="AQ67" s="13"/>
      <c r="AR67" s="13"/>
      <c r="AS67" s="13"/>
      <c r="AT67" s="13"/>
      <c r="AU67" s="13"/>
      <c r="AV67" s="13"/>
      <c r="AW67" s="13"/>
      <c r="AX67" s="13"/>
      <c r="AY67" s="13"/>
    </row>
    <row r="68" spans="1:51" x14ac:dyDescent="0.25">
      <c r="A68" s="13" t="s">
        <v>117</v>
      </c>
      <c r="B68" s="13" t="s">
        <v>36</v>
      </c>
      <c r="C68" s="13">
        <v>7.0000000000000001E-3</v>
      </c>
      <c r="D68" s="13"/>
      <c r="E68" s="13"/>
      <c r="F68" s="13">
        <v>7.0000000000000001E-3</v>
      </c>
      <c r="G68" s="6">
        <v>1</v>
      </c>
      <c r="H68" s="13">
        <v>50</v>
      </c>
      <c r="I68" s="13" t="s">
        <v>41</v>
      </c>
      <c r="J68" s="13"/>
      <c r="K68" s="13">
        <v>34.5</v>
      </c>
      <c r="L68" s="13">
        <f t="shared" si="16"/>
        <v>-34.5</v>
      </c>
      <c r="M68" s="13"/>
      <c r="N68" s="13"/>
      <c r="O68" s="13">
        <v>56</v>
      </c>
      <c r="P68" s="13">
        <v>0</v>
      </c>
      <c r="Q68" s="13">
        <f t="shared" si="17"/>
        <v>0</v>
      </c>
      <c r="R68" s="4">
        <v>10</v>
      </c>
      <c r="S68" s="4">
        <f t="shared" si="11"/>
        <v>10</v>
      </c>
      <c r="T68" s="4"/>
      <c r="U68" s="36">
        <f>VLOOKUP(A68,[1]Sheet!$A:$S,19,0)</f>
        <v>0</v>
      </c>
      <c r="V68" s="13" t="e">
        <f t="shared" si="8"/>
        <v>#DIV/0!</v>
      </c>
      <c r="W68" s="13" t="e">
        <f t="shared" si="18"/>
        <v>#DIV/0!</v>
      </c>
      <c r="X68" s="13">
        <v>1.2567999999999999</v>
      </c>
      <c r="Y68" s="13">
        <v>7.3841999999999999</v>
      </c>
      <c r="Z68" s="13">
        <v>0.93720000000000003</v>
      </c>
      <c r="AA68" s="13">
        <v>2.504</v>
      </c>
      <c r="AB68" s="13">
        <v>3.7235999999999998</v>
      </c>
      <c r="AC68" s="13">
        <v>1.5624</v>
      </c>
      <c r="AD68" s="13">
        <v>2.1745999999999999</v>
      </c>
      <c r="AE68" s="13">
        <v>2.2000000000000002</v>
      </c>
      <c r="AF68" s="13">
        <v>3.1534</v>
      </c>
      <c r="AG68" s="13">
        <v>0.312</v>
      </c>
      <c r="AH68" s="13"/>
      <c r="AI68" s="13">
        <f t="shared" si="9"/>
        <v>10</v>
      </c>
      <c r="AJ68" s="13">
        <f t="shared" si="6"/>
        <v>0</v>
      </c>
      <c r="AK68" s="13"/>
      <c r="AL68" s="13"/>
      <c r="AM68" s="13"/>
      <c r="AN68" s="13"/>
      <c r="AO68" s="13"/>
      <c r="AP68" s="13"/>
      <c r="AQ68" s="13"/>
      <c r="AR68" s="13"/>
      <c r="AS68" s="13"/>
      <c r="AT68" s="13"/>
      <c r="AU68" s="13"/>
      <c r="AV68" s="13"/>
      <c r="AW68" s="13"/>
      <c r="AX68" s="13"/>
      <c r="AY68" s="13"/>
    </row>
    <row r="69" spans="1:51" x14ac:dyDescent="0.25">
      <c r="A69" s="13" t="s">
        <v>118</v>
      </c>
      <c r="B69" s="13" t="s">
        <v>40</v>
      </c>
      <c r="C69" s="13">
        <v>375</v>
      </c>
      <c r="D69" s="13">
        <v>2</v>
      </c>
      <c r="E69" s="13">
        <v>325</v>
      </c>
      <c r="F69" s="13">
        <v>50</v>
      </c>
      <c r="G69" s="6">
        <v>0.41</v>
      </c>
      <c r="H69" s="13">
        <v>50</v>
      </c>
      <c r="I69" s="13" t="s">
        <v>41</v>
      </c>
      <c r="J69" s="13"/>
      <c r="K69" s="13">
        <v>877</v>
      </c>
      <c r="L69" s="13">
        <f t="shared" si="16"/>
        <v>-552</v>
      </c>
      <c r="M69" s="13"/>
      <c r="N69" s="13"/>
      <c r="O69" s="13">
        <v>937</v>
      </c>
      <c r="P69" s="13">
        <v>1293</v>
      </c>
      <c r="Q69" s="13">
        <f t="shared" si="17"/>
        <v>65</v>
      </c>
      <c r="R69" s="4">
        <v>300</v>
      </c>
      <c r="S69" s="4">
        <v>400</v>
      </c>
      <c r="T69" s="4"/>
      <c r="U69" s="36">
        <f>VLOOKUP(A69,[1]Sheet!$A:$S,19,0)</f>
        <v>500</v>
      </c>
      <c r="V69" s="13">
        <f>(F69+O69+P69+S69+T69)/Q69</f>
        <v>41.230769230769234</v>
      </c>
      <c r="W69" s="13">
        <f t="shared" si="18"/>
        <v>35.07692307692308</v>
      </c>
      <c r="X69" s="13">
        <v>200.4</v>
      </c>
      <c r="Y69" s="13">
        <v>174.2</v>
      </c>
      <c r="Z69" s="13">
        <v>38.200000000000003</v>
      </c>
      <c r="AA69" s="13">
        <v>129.4</v>
      </c>
      <c r="AB69" s="13">
        <v>156.6</v>
      </c>
      <c r="AC69" s="13">
        <v>120.8</v>
      </c>
      <c r="AD69" s="13">
        <v>91.6</v>
      </c>
      <c r="AE69" s="13">
        <v>120.2</v>
      </c>
      <c r="AF69" s="13">
        <v>94.6</v>
      </c>
      <c r="AG69" s="13">
        <v>99</v>
      </c>
      <c r="AH69" s="13"/>
      <c r="AI69" s="13">
        <f t="shared" si="9"/>
        <v>164</v>
      </c>
      <c r="AJ69" s="13">
        <f t="shared" si="6"/>
        <v>0</v>
      </c>
      <c r="AK69" s="13"/>
      <c r="AL69" s="13"/>
      <c r="AM69" s="13"/>
      <c r="AN69" s="13"/>
      <c r="AO69" s="13"/>
      <c r="AP69" s="13"/>
      <c r="AQ69" s="13"/>
      <c r="AR69" s="13"/>
      <c r="AS69" s="13"/>
      <c r="AT69" s="13"/>
      <c r="AU69" s="13"/>
      <c r="AV69" s="13"/>
      <c r="AW69" s="13"/>
      <c r="AX69" s="13"/>
      <c r="AY69" s="13"/>
    </row>
    <row r="70" spans="1:51" x14ac:dyDescent="0.25">
      <c r="A70" s="13" t="s">
        <v>119</v>
      </c>
      <c r="B70" s="13" t="s">
        <v>36</v>
      </c>
      <c r="C70" s="13">
        <v>137.93700000000001</v>
      </c>
      <c r="D70" s="13">
        <v>6.181</v>
      </c>
      <c r="E70" s="13">
        <v>133.22900000000001</v>
      </c>
      <c r="F70" s="13">
        <v>3.173</v>
      </c>
      <c r="G70" s="6">
        <v>1</v>
      </c>
      <c r="H70" s="13">
        <v>50</v>
      </c>
      <c r="I70" s="13" t="s">
        <v>41</v>
      </c>
      <c r="J70" s="13"/>
      <c r="K70" s="13">
        <v>153.33000000000001</v>
      </c>
      <c r="L70" s="13">
        <f t="shared" ref="L70:L101" si="25">E70-K70</f>
        <v>-20.100999999999999</v>
      </c>
      <c r="M70" s="13"/>
      <c r="N70" s="13"/>
      <c r="O70" s="13">
        <v>0</v>
      </c>
      <c r="P70" s="13">
        <v>106</v>
      </c>
      <c r="Q70" s="13">
        <f t="shared" ref="Q70:Q101" si="26">E70/5</f>
        <v>26.645800000000001</v>
      </c>
      <c r="R70" s="4">
        <f>12*Q70-P70-O70-F70</f>
        <v>210.57659999999998</v>
      </c>
      <c r="S70" s="4">
        <f t="shared" si="11"/>
        <v>211</v>
      </c>
      <c r="T70" s="4"/>
      <c r="U70" s="36">
        <f>VLOOKUP(A70,[1]Sheet!$A:$S,19,0)</f>
        <v>0</v>
      </c>
      <c r="V70" s="13">
        <f t="shared" si="8"/>
        <v>12.015889933873256</v>
      </c>
      <c r="W70" s="13">
        <f t="shared" ref="W70:W101" si="27">(F70+O70+P70)/Q70</f>
        <v>4.0971935539559707</v>
      </c>
      <c r="X70" s="13">
        <v>17.4558</v>
      </c>
      <c r="Y70" s="13">
        <v>13.043799999999999</v>
      </c>
      <c r="Z70" s="13">
        <v>19.4636</v>
      </c>
      <c r="AA70" s="13">
        <v>6.3722000000000003</v>
      </c>
      <c r="AB70" s="13">
        <v>12.7166</v>
      </c>
      <c r="AC70" s="13">
        <v>14.8438</v>
      </c>
      <c r="AD70" s="13">
        <v>8.7585999999999995</v>
      </c>
      <c r="AE70" s="13">
        <v>10.333</v>
      </c>
      <c r="AF70" s="13">
        <v>10.343</v>
      </c>
      <c r="AG70" s="13">
        <v>12.386799999999999</v>
      </c>
      <c r="AH70" s="13"/>
      <c r="AI70" s="13">
        <f t="shared" si="9"/>
        <v>211</v>
      </c>
      <c r="AJ70" s="13">
        <f t="shared" si="6"/>
        <v>0</v>
      </c>
      <c r="AK70" s="13"/>
      <c r="AL70" s="13"/>
      <c r="AM70" s="13"/>
      <c r="AN70" s="13"/>
      <c r="AO70" s="13"/>
      <c r="AP70" s="13"/>
      <c r="AQ70" s="13"/>
      <c r="AR70" s="13"/>
      <c r="AS70" s="13"/>
      <c r="AT70" s="13"/>
      <c r="AU70" s="13"/>
      <c r="AV70" s="13"/>
      <c r="AW70" s="13"/>
      <c r="AX70" s="13"/>
      <c r="AY70" s="13"/>
    </row>
    <row r="71" spans="1:51" x14ac:dyDescent="0.25">
      <c r="A71" s="13" t="s">
        <v>120</v>
      </c>
      <c r="B71" s="13" t="s">
        <v>40</v>
      </c>
      <c r="C71" s="13">
        <v>212</v>
      </c>
      <c r="D71" s="13">
        <v>15</v>
      </c>
      <c r="E71" s="13">
        <v>167</v>
      </c>
      <c r="F71" s="13">
        <v>47</v>
      </c>
      <c r="G71" s="6">
        <v>0.3</v>
      </c>
      <c r="H71" s="13">
        <v>50</v>
      </c>
      <c r="I71" s="13" t="s">
        <v>41</v>
      </c>
      <c r="J71" s="13"/>
      <c r="K71" s="13">
        <v>339</v>
      </c>
      <c r="L71" s="13">
        <f t="shared" si="25"/>
        <v>-172</v>
      </c>
      <c r="M71" s="13"/>
      <c r="N71" s="13"/>
      <c r="O71" s="13">
        <v>7</v>
      </c>
      <c r="P71" s="13">
        <v>327</v>
      </c>
      <c r="Q71" s="13">
        <f t="shared" si="26"/>
        <v>33.4</v>
      </c>
      <c r="R71" s="4">
        <f t="shared" si="23"/>
        <v>153.39999999999998</v>
      </c>
      <c r="S71" s="4">
        <f t="shared" si="11"/>
        <v>153</v>
      </c>
      <c r="T71" s="4"/>
      <c r="U71" s="36">
        <f>VLOOKUP(A71,[1]Sheet!$A:$S,19,0)</f>
        <v>0</v>
      </c>
      <c r="V71" s="13">
        <f t="shared" si="8"/>
        <v>15.988023952095809</v>
      </c>
      <c r="W71" s="13">
        <f t="shared" si="27"/>
        <v>11.407185628742516</v>
      </c>
      <c r="X71" s="13">
        <v>54.8</v>
      </c>
      <c r="Y71" s="13">
        <v>36.4</v>
      </c>
      <c r="Z71" s="13">
        <v>29.6</v>
      </c>
      <c r="AA71" s="13">
        <v>32.799999999999997</v>
      </c>
      <c r="AB71" s="13">
        <v>41</v>
      </c>
      <c r="AC71" s="13">
        <v>43.6</v>
      </c>
      <c r="AD71" s="13">
        <v>22.2</v>
      </c>
      <c r="AE71" s="13">
        <v>27.2</v>
      </c>
      <c r="AF71" s="13">
        <v>25</v>
      </c>
      <c r="AG71" s="13">
        <v>18.8</v>
      </c>
      <c r="AH71" s="13"/>
      <c r="AI71" s="13">
        <f t="shared" si="9"/>
        <v>45.9</v>
      </c>
      <c r="AJ71" s="13">
        <f t="shared" ref="AJ71:AJ118" si="28">G71*T71</f>
        <v>0</v>
      </c>
      <c r="AK71" s="13"/>
      <c r="AL71" s="13"/>
      <c r="AM71" s="13"/>
      <c r="AN71" s="13"/>
      <c r="AO71" s="13"/>
      <c r="AP71" s="13"/>
      <c r="AQ71" s="13"/>
      <c r="AR71" s="13"/>
      <c r="AS71" s="13"/>
      <c r="AT71" s="13"/>
      <c r="AU71" s="13"/>
      <c r="AV71" s="13"/>
      <c r="AW71" s="13"/>
      <c r="AX71" s="13"/>
      <c r="AY71" s="13"/>
    </row>
    <row r="72" spans="1:51" x14ac:dyDescent="0.25">
      <c r="A72" s="13" t="s">
        <v>121</v>
      </c>
      <c r="B72" s="13" t="s">
        <v>40</v>
      </c>
      <c r="C72" s="13">
        <v>261</v>
      </c>
      <c r="D72" s="13">
        <v>1</v>
      </c>
      <c r="E72" s="13">
        <v>168</v>
      </c>
      <c r="F72" s="13">
        <v>89</v>
      </c>
      <c r="G72" s="6">
        <v>0.18</v>
      </c>
      <c r="H72" s="13">
        <v>50</v>
      </c>
      <c r="I72" s="13" t="s">
        <v>41</v>
      </c>
      <c r="J72" s="13"/>
      <c r="K72" s="13">
        <v>353</v>
      </c>
      <c r="L72" s="13">
        <f t="shared" si="25"/>
        <v>-185</v>
      </c>
      <c r="M72" s="13"/>
      <c r="N72" s="13"/>
      <c r="O72" s="13">
        <v>129</v>
      </c>
      <c r="P72" s="13">
        <v>299</v>
      </c>
      <c r="Q72" s="13">
        <f t="shared" si="26"/>
        <v>33.6</v>
      </c>
      <c r="R72" s="4">
        <f t="shared" si="23"/>
        <v>20.600000000000023</v>
      </c>
      <c r="S72" s="4">
        <f t="shared" ref="S72:S110" si="29">ROUND(R72,0)</f>
        <v>21</v>
      </c>
      <c r="T72" s="4"/>
      <c r="U72" s="36">
        <f>VLOOKUP(A72,[1]Sheet!$A:$S,19,0)</f>
        <v>0</v>
      </c>
      <c r="V72" s="13">
        <f t="shared" ref="V72:V118" si="30">(F72+O72+P72+S72)/Q72</f>
        <v>16.011904761904763</v>
      </c>
      <c r="W72" s="13">
        <f t="shared" si="27"/>
        <v>15.386904761904761</v>
      </c>
      <c r="X72" s="13">
        <v>53</v>
      </c>
      <c r="Y72" s="13">
        <v>47.2</v>
      </c>
      <c r="Z72" s="13">
        <v>9.6</v>
      </c>
      <c r="AA72" s="13">
        <v>35.6</v>
      </c>
      <c r="AB72" s="13">
        <v>42</v>
      </c>
      <c r="AC72" s="13">
        <v>28.4</v>
      </c>
      <c r="AD72" s="13">
        <v>15.8</v>
      </c>
      <c r="AE72" s="13">
        <v>6.4</v>
      </c>
      <c r="AF72" s="13">
        <v>20.399999999999999</v>
      </c>
      <c r="AG72" s="13">
        <v>13.6</v>
      </c>
      <c r="AH72" s="13"/>
      <c r="AI72" s="13">
        <f t="shared" ref="AI72:AI118" si="31">G72*S72</f>
        <v>3.78</v>
      </c>
      <c r="AJ72" s="13">
        <f t="shared" si="28"/>
        <v>0</v>
      </c>
      <c r="AK72" s="13"/>
      <c r="AL72" s="13"/>
      <c r="AM72" s="13"/>
      <c r="AN72" s="13"/>
      <c r="AO72" s="13"/>
      <c r="AP72" s="13"/>
      <c r="AQ72" s="13"/>
      <c r="AR72" s="13"/>
      <c r="AS72" s="13"/>
      <c r="AT72" s="13"/>
      <c r="AU72" s="13"/>
      <c r="AV72" s="13"/>
      <c r="AW72" s="13"/>
      <c r="AX72" s="13"/>
      <c r="AY72" s="13"/>
    </row>
    <row r="73" spans="1:51" x14ac:dyDescent="0.25">
      <c r="A73" s="8" t="s">
        <v>122</v>
      </c>
      <c r="B73" s="8" t="s">
        <v>36</v>
      </c>
      <c r="C73" s="8"/>
      <c r="D73" s="8"/>
      <c r="E73" s="8"/>
      <c r="F73" s="8"/>
      <c r="G73" s="9">
        <v>0</v>
      </c>
      <c r="H73" s="8"/>
      <c r="I73" s="8" t="s">
        <v>41</v>
      </c>
      <c r="J73" s="8"/>
      <c r="K73" s="8">
        <v>6</v>
      </c>
      <c r="L73" s="8">
        <f t="shared" si="25"/>
        <v>-6</v>
      </c>
      <c r="M73" s="8"/>
      <c r="N73" s="8"/>
      <c r="O73" s="8">
        <v>0</v>
      </c>
      <c r="P73" s="8">
        <v>0</v>
      </c>
      <c r="Q73" s="8">
        <f t="shared" si="26"/>
        <v>0</v>
      </c>
      <c r="R73" s="10"/>
      <c r="S73" s="4">
        <f t="shared" si="29"/>
        <v>0</v>
      </c>
      <c r="T73" s="4"/>
      <c r="U73" s="36">
        <f>VLOOKUP(A73,[1]Sheet!$A:$S,19,0)</f>
        <v>0</v>
      </c>
      <c r="V73" s="13" t="e">
        <f t="shared" si="30"/>
        <v>#DIV/0!</v>
      </c>
      <c r="W73" s="8" t="e">
        <f t="shared" si="27"/>
        <v>#DIV/0!</v>
      </c>
      <c r="X73" s="8">
        <v>0</v>
      </c>
      <c r="Y73" s="8">
        <v>0</v>
      </c>
      <c r="Z73" s="8">
        <v>0</v>
      </c>
      <c r="AA73" s="8">
        <v>0</v>
      </c>
      <c r="AB73" s="8">
        <v>0</v>
      </c>
      <c r="AC73" s="8">
        <v>0</v>
      </c>
      <c r="AD73" s="8">
        <v>0</v>
      </c>
      <c r="AE73" s="8">
        <v>0</v>
      </c>
      <c r="AF73" s="8">
        <v>0</v>
      </c>
      <c r="AG73" s="8">
        <v>0</v>
      </c>
      <c r="AH73" s="8" t="s">
        <v>105</v>
      </c>
      <c r="AI73" s="13">
        <f t="shared" si="31"/>
        <v>0</v>
      </c>
      <c r="AJ73" s="13">
        <f t="shared" si="28"/>
        <v>0</v>
      </c>
      <c r="AK73" s="13"/>
      <c r="AL73" s="13"/>
      <c r="AM73" s="13"/>
      <c r="AN73" s="13"/>
      <c r="AO73" s="13"/>
      <c r="AP73" s="13"/>
      <c r="AQ73" s="13"/>
      <c r="AR73" s="13"/>
      <c r="AS73" s="13"/>
      <c r="AT73" s="13"/>
      <c r="AU73" s="13"/>
      <c r="AV73" s="13"/>
      <c r="AW73" s="13"/>
      <c r="AX73" s="13"/>
      <c r="AY73" s="13"/>
    </row>
    <row r="74" spans="1:51" x14ac:dyDescent="0.25">
      <c r="A74" s="13" t="s">
        <v>71</v>
      </c>
      <c r="B74" s="13" t="s">
        <v>40</v>
      </c>
      <c r="C74" s="13">
        <v>220</v>
      </c>
      <c r="D74" s="13">
        <v>1</v>
      </c>
      <c r="E74" s="13">
        <v>157</v>
      </c>
      <c r="F74" s="14">
        <f>59+F33</f>
        <v>58</v>
      </c>
      <c r="G74" s="6">
        <v>0.35</v>
      </c>
      <c r="H74" s="13">
        <v>50</v>
      </c>
      <c r="I74" s="13" t="s">
        <v>41</v>
      </c>
      <c r="J74" s="13"/>
      <c r="K74" s="13">
        <v>943</v>
      </c>
      <c r="L74" s="13">
        <f t="shared" si="25"/>
        <v>-786</v>
      </c>
      <c r="M74" s="13"/>
      <c r="N74" s="13"/>
      <c r="O74" s="13">
        <v>956</v>
      </c>
      <c r="P74" s="13">
        <v>1058</v>
      </c>
      <c r="Q74" s="13">
        <f t="shared" si="26"/>
        <v>31.4</v>
      </c>
      <c r="R74" s="4">
        <v>200</v>
      </c>
      <c r="S74" s="4">
        <v>300</v>
      </c>
      <c r="T74" s="4"/>
      <c r="U74" s="36">
        <f>VLOOKUP(A74,[1]Sheet!$A:$S,19,0)</f>
        <v>350</v>
      </c>
      <c r="V74" s="13">
        <f t="shared" si="30"/>
        <v>75.541401273885356</v>
      </c>
      <c r="W74" s="13">
        <f t="shared" si="27"/>
        <v>65.98726114649682</v>
      </c>
      <c r="X74" s="13">
        <v>171.8</v>
      </c>
      <c r="Y74" s="13">
        <v>167.8</v>
      </c>
      <c r="Z74" s="13">
        <v>88.4</v>
      </c>
      <c r="AA74" s="13">
        <v>88.6</v>
      </c>
      <c r="AB74" s="13">
        <v>163.19999999999999</v>
      </c>
      <c r="AC74" s="13">
        <v>117.6</v>
      </c>
      <c r="AD74" s="13">
        <v>85.6</v>
      </c>
      <c r="AE74" s="13">
        <v>104.4</v>
      </c>
      <c r="AF74" s="13">
        <v>62.8</v>
      </c>
      <c r="AG74" s="13">
        <v>93.2</v>
      </c>
      <c r="AH74" s="13"/>
      <c r="AI74" s="13">
        <f t="shared" si="31"/>
        <v>105</v>
      </c>
      <c r="AJ74" s="13">
        <f t="shared" si="28"/>
        <v>0</v>
      </c>
      <c r="AK74" s="13"/>
      <c r="AL74" s="13"/>
      <c r="AM74" s="13"/>
      <c r="AN74" s="13"/>
      <c r="AO74" s="13"/>
      <c r="AP74" s="13"/>
      <c r="AQ74" s="13"/>
      <c r="AR74" s="13"/>
      <c r="AS74" s="13"/>
      <c r="AT74" s="13"/>
      <c r="AU74" s="13"/>
      <c r="AV74" s="13"/>
      <c r="AW74" s="13"/>
      <c r="AX74" s="13"/>
      <c r="AY74" s="13"/>
    </row>
    <row r="75" spans="1:51" x14ac:dyDescent="0.25">
      <c r="A75" s="8" t="s">
        <v>123</v>
      </c>
      <c r="B75" s="8" t="s">
        <v>40</v>
      </c>
      <c r="C75" s="8"/>
      <c r="D75" s="8"/>
      <c r="E75" s="8"/>
      <c r="F75" s="8"/>
      <c r="G75" s="9">
        <v>0</v>
      </c>
      <c r="H75" s="8"/>
      <c r="I75" s="8" t="s">
        <v>41</v>
      </c>
      <c r="J75" s="8"/>
      <c r="K75" s="8"/>
      <c r="L75" s="8">
        <f t="shared" si="25"/>
        <v>0</v>
      </c>
      <c r="M75" s="8"/>
      <c r="N75" s="8"/>
      <c r="O75" s="8">
        <v>0</v>
      </c>
      <c r="P75" s="8">
        <v>0</v>
      </c>
      <c r="Q75" s="8">
        <f t="shared" si="26"/>
        <v>0</v>
      </c>
      <c r="R75" s="10"/>
      <c r="S75" s="4">
        <f t="shared" si="29"/>
        <v>0</v>
      </c>
      <c r="T75" s="4"/>
      <c r="U75" s="36">
        <f>VLOOKUP(A75,[1]Sheet!$A:$S,19,0)</f>
        <v>0</v>
      </c>
      <c r="V75" s="13" t="e">
        <f t="shared" si="30"/>
        <v>#DIV/0!</v>
      </c>
      <c r="W75" s="8" t="e">
        <f t="shared" si="27"/>
        <v>#DIV/0!</v>
      </c>
      <c r="X75" s="8">
        <v>0</v>
      </c>
      <c r="Y75" s="8">
        <v>0</v>
      </c>
      <c r="Z75" s="8">
        <v>0</v>
      </c>
      <c r="AA75" s="8">
        <v>0</v>
      </c>
      <c r="AB75" s="8">
        <v>0</v>
      </c>
      <c r="AC75" s="8">
        <v>0</v>
      </c>
      <c r="AD75" s="8">
        <v>0</v>
      </c>
      <c r="AE75" s="8">
        <v>0</v>
      </c>
      <c r="AF75" s="8">
        <v>0</v>
      </c>
      <c r="AG75" s="8">
        <v>0</v>
      </c>
      <c r="AH75" s="8" t="s">
        <v>105</v>
      </c>
      <c r="AI75" s="13">
        <f t="shared" si="31"/>
        <v>0</v>
      </c>
      <c r="AJ75" s="13">
        <f t="shared" si="28"/>
        <v>0</v>
      </c>
      <c r="AK75" s="13"/>
      <c r="AL75" s="13"/>
      <c r="AM75" s="13"/>
      <c r="AN75" s="13"/>
      <c r="AO75" s="13"/>
      <c r="AP75" s="13"/>
      <c r="AQ75" s="13"/>
      <c r="AR75" s="13"/>
      <c r="AS75" s="13"/>
      <c r="AT75" s="13"/>
      <c r="AU75" s="13"/>
      <c r="AV75" s="13"/>
      <c r="AW75" s="13"/>
      <c r="AX75" s="13"/>
      <c r="AY75" s="13"/>
    </row>
    <row r="76" spans="1:51" x14ac:dyDescent="0.25">
      <c r="A76" s="13" t="s">
        <v>124</v>
      </c>
      <c r="B76" s="13" t="s">
        <v>36</v>
      </c>
      <c r="C76" s="13">
        <v>287.48500000000001</v>
      </c>
      <c r="D76" s="13">
        <v>6.1390000000000002</v>
      </c>
      <c r="E76" s="13">
        <v>132.245</v>
      </c>
      <c r="F76" s="13">
        <v>146.99799999999999</v>
      </c>
      <c r="G76" s="6">
        <v>1</v>
      </c>
      <c r="H76" s="13">
        <v>50</v>
      </c>
      <c r="I76" s="13" t="s">
        <v>41</v>
      </c>
      <c r="J76" s="13"/>
      <c r="K76" s="13">
        <v>236.19499999999999</v>
      </c>
      <c r="L76" s="13">
        <f t="shared" si="25"/>
        <v>-103.94999999999999</v>
      </c>
      <c r="M76" s="13"/>
      <c r="N76" s="13"/>
      <c r="O76" s="13">
        <v>49</v>
      </c>
      <c r="P76" s="13">
        <v>202</v>
      </c>
      <c r="Q76" s="13">
        <f t="shared" si="26"/>
        <v>26.449000000000002</v>
      </c>
      <c r="R76" s="4">
        <f t="shared" ref="R76" si="32">16*Q76-P76-O76-F76</f>
        <v>25.186000000000035</v>
      </c>
      <c r="S76" s="4">
        <f t="shared" ref="S76" si="33">U76</f>
        <v>70</v>
      </c>
      <c r="T76" s="4"/>
      <c r="U76" s="36">
        <f>VLOOKUP(A76,[1]Sheet!$A:$S,19,0)</f>
        <v>70</v>
      </c>
      <c r="V76" s="13">
        <f t="shared" si="30"/>
        <v>17.694355174108662</v>
      </c>
      <c r="W76" s="13">
        <f t="shared" si="27"/>
        <v>15.04775227796892</v>
      </c>
      <c r="X76" s="13">
        <v>38.481000000000002</v>
      </c>
      <c r="Y76" s="13">
        <v>36.499000000000002</v>
      </c>
      <c r="Z76" s="13">
        <v>22.372399999999999</v>
      </c>
      <c r="AA76" s="13">
        <v>38.507599999999996</v>
      </c>
      <c r="AB76" s="13">
        <v>29.706199999999999</v>
      </c>
      <c r="AC76" s="13">
        <v>31.820399999999999</v>
      </c>
      <c r="AD76" s="13">
        <v>24.954999999999998</v>
      </c>
      <c r="AE76" s="13">
        <v>19.36</v>
      </c>
      <c r="AF76" s="13">
        <v>20.761800000000001</v>
      </c>
      <c r="AG76" s="13">
        <v>27.382000000000001</v>
      </c>
      <c r="AH76" s="13"/>
      <c r="AI76" s="13">
        <f t="shared" si="31"/>
        <v>70</v>
      </c>
      <c r="AJ76" s="13">
        <f t="shared" si="28"/>
        <v>0</v>
      </c>
      <c r="AK76" s="13"/>
      <c r="AL76" s="13"/>
      <c r="AM76" s="13"/>
      <c r="AN76" s="13"/>
      <c r="AO76" s="13"/>
      <c r="AP76" s="13"/>
      <c r="AQ76" s="13"/>
      <c r="AR76" s="13"/>
      <c r="AS76" s="13"/>
      <c r="AT76" s="13"/>
      <c r="AU76" s="13"/>
      <c r="AV76" s="13"/>
      <c r="AW76" s="13"/>
      <c r="AX76" s="13"/>
      <c r="AY76" s="13"/>
    </row>
    <row r="77" spans="1:51" x14ac:dyDescent="0.25">
      <c r="A77" s="13" t="s">
        <v>125</v>
      </c>
      <c r="B77" s="13" t="s">
        <v>36</v>
      </c>
      <c r="C77" s="13">
        <v>248.56299999999999</v>
      </c>
      <c r="D77" s="13">
        <v>9.1110000000000007</v>
      </c>
      <c r="E77" s="13">
        <v>137.84100000000001</v>
      </c>
      <c r="F77" s="13">
        <v>105.048</v>
      </c>
      <c r="G77" s="6">
        <v>1</v>
      </c>
      <c r="H77" s="13">
        <v>50</v>
      </c>
      <c r="I77" s="13" t="s">
        <v>41</v>
      </c>
      <c r="J77" s="13"/>
      <c r="K77" s="13">
        <v>323.2</v>
      </c>
      <c r="L77" s="13">
        <f t="shared" si="25"/>
        <v>-185.35899999999998</v>
      </c>
      <c r="M77" s="13"/>
      <c r="N77" s="13"/>
      <c r="O77" s="13">
        <v>249</v>
      </c>
      <c r="P77" s="13">
        <v>410</v>
      </c>
      <c r="Q77" s="13">
        <f t="shared" si="26"/>
        <v>27.568200000000001</v>
      </c>
      <c r="R77" s="4">
        <v>100</v>
      </c>
      <c r="S77" s="4">
        <v>150</v>
      </c>
      <c r="T77" s="4"/>
      <c r="U77" s="36">
        <f>VLOOKUP(A77,[1]Sheet!$A:$S,19,0)</f>
        <v>200</v>
      </c>
      <c r="V77" s="13">
        <f t="shared" si="30"/>
        <v>33.155882502303378</v>
      </c>
      <c r="W77" s="13">
        <f t="shared" si="27"/>
        <v>27.71483085584115</v>
      </c>
      <c r="X77" s="13">
        <v>69.794600000000003</v>
      </c>
      <c r="Y77" s="13">
        <v>60.612000000000002</v>
      </c>
      <c r="Z77" s="13">
        <v>40.339399999999998</v>
      </c>
      <c r="AA77" s="13">
        <v>47.528399999999998</v>
      </c>
      <c r="AB77" s="13">
        <v>59.781599999999997</v>
      </c>
      <c r="AC77" s="13">
        <v>56.038800000000002</v>
      </c>
      <c r="AD77" s="13">
        <v>36.125599999999999</v>
      </c>
      <c r="AE77" s="13">
        <v>28.154199999999999</v>
      </c>
      <c r="AF77" s="13">
        <v>33.9756</v>
      </c>
      <c r="AG77" s="13">
        <v>30.172999999999998</v>
      </c>
      <c r="AH77" s="13"/>
      <c r="AI77" s="13">
        <f t="shared" si="31"/>
        <v>150</v>
      </c>
      <c r="AJ77" s="13">
        <f t="shared" si="28"/>
        <v>0</v>
      </c>
      <c r="AK77" s="13"/>
      <c r="AL77" s="13"/>
      <c r="AM77" s="13"/>
      <c r="AN77" s="13"/>
      <c r="AO77" s="13"/>
      <c r="AP77" s="13"/>
      <c r="AQ77" s="13"/>
      <c r="AR77" s="13"/>
      <c r="AS77" s="13"/>
      <c r="AT77" s="13"/>
      <c r="AU77" s="13"/>
      <c r="AV77" s="13"/>
      <c r="AW77" s="13"/>
      <c r="AX77" s="13"/>
      <c r="AY77" s="13"/>
    </row>
    <row r="78" spans="1:51" x14ac:dyDescent="0.25">
      <c r="A78" s="13" t="s">
        <v>126</v>
      </c>
      <c r="B78" s="13" t="s">
        <v>40</v>
      </c>
      <c r="C78" s="13">
        <v>435</v>
      </c>
      <c r="D78" s="13">
        <v>5</v>
      </c>
      <c r="E78" s="13">
        <v>416</v>
      </c>
      <c r="F78" s="13">
        <v>11</v>
      </c>
      <c r="G78" s="6">
        <v>0.35</v>
      </c>
      <c r="H78" s="13">
        <v>50</v>
      </c>
      <c r="I78" s="13" t="s">
        <v>41</v>
      </c>
      <c r="J78" s="13"/>
      <c r="K78" s="13">
        <v>858</v>
      </c>
      <c r="L78" s="13">
        <f t="shared" si="25"/>
        <v>-442</v>
      </c>
      <c r="M78" s="13"/>
      <c r="N78" s="13"/>
      <c r="O78" s="13">
        <v>797</v>
      </c>
      <c r="P78" s="13">
        <v>1121</v>
      </c>
      <c r="Q78" s="13">
        <f t="shared" si="26"/>
        <v>83.2</v>
      </c>
      <c r="R78" s="4">
        <v>200</v>
      </c>
      <c r="S78" s="4">
        <v>300</v>
      </c>
      <c r="T78" s="4"/>
      <c r="U78" s="36">
        <f>VLOOKUP(A78,[1]Sheet!$A:$S,19,0)</f>
        <v>400</v>
      </c>
      <c r="V78" s="13">
        <f t="shared" si="30"/>
        <v>26.790865384615383</v>
      </c>
      <c r="W78" s="13">
        <f t="shared" si="27"/>
        <v>23.185096153846153</v>
      </c>
      <c r="X78" s="13">
        <v>181</v>
      </c>
      <c r="Y78" s="13">
        <v>164.4</v>
      </c>
      <c r="Z78" s="13">
        <v>112.2</v>
      </c>
      <c r="AA78" s="13">
        <v>124.6</v>
      </c>
      <c r="AB78" s="13">
        <v>139</v>
      </c>
      <c r="AC78" s="13">
        <v>128</v>
      </c>
      <c r="AD78" s="13">
        <v>104.2</v>
      </c>
      <c r="AE78" s="13">
        <v>95.2</v>
      </c>
      <c r="AF78" s="13">
        <v>90</v>
      </c>
      <c r="AG78" s="13">
        <v>103.2</v>
      </c>
      <c r="AH78" s="13"/>
      <c r="AI78" s="13">
        <f t="shared" si="31"/>
        <v>105</v>
      </c>
      <c r="AJ78" s="13">
        <f t="shared" si="28"/>
        <v>0</v>
      </c>
      <c r="AK78" s="13"/>
      <c r="AL78" s="13"/>
      <c r="AM78" s="13"/>
      <c r="AN78" s="13"/>
      <c r="AO78" s="13"/>
      <c r="AP78" s="13"/>
      <c r="AQ78" s="13"/>
      <c r="AR78" s="13"/>
      <c r="AS78" s="13"/>
      <c r="AT78" s="13"/>
      <c r="AU78" s="13"/>
      <c r="AV78" s="13"/>
      <c r="AW78" s="13"/>
      <c r="AX78" s="13"/>
      <c r="AY78" s="13"/>
    </row>
    <row r="79" spans="1:51" x14ac:dyDescent="0.25">
      <c r="A79" s="8" t="s">
        <v>127</v>
      </c>
      <c r="B79" s="8" t="s">
        <v>40</v>
      </c>
      <c r="C79" s="8">
        <v>110</v>
      </c>
      <c r="D79" s="8"/>
      <c r="E79" s="8">
        <v>26</v>
      </c>
      <c r="F79" s="8">
        <v>84</v>
      </c>
      <c r="G79" s="9">
        <v>0</v>
      </c>
      <c r="H79" s="8"/>
      <c r="I79" s="8" t="s">
        <v>37</v>
      </c>
      <c r="J79" s="8"/>
      <c r="K79" s="8">
        <v>42</v>
      </c>
      <c r="L79" s="8">
        <f t="shared" si="25"/>
        <v>-16</v>
      </c>
      <c r="M79" s="8"/>
      <c r="N79" s="8"/>
      <c r="O79" s="8">
        <v>0</v>
      </c>
      <c r="P79" s="8">
        <v>0</v>
      </c>
      <c r="Q79" s="8">
        <f t="shared" si="26"/>
        <v>5.2</v>
      </c>
      <c r="R79" s="10"/>
      <c r="S79" s="4">
        <f t="shared" si="29"/>
        <v>0</v>
      </c>
      <c r="T79" s="4"/>
      <c r="U79" s="36">
        <f>VLOOKUP(A79,[1]Sheet!$A:$S,19,0)</f>
        <v>0</v>
      </c>
      <c r="V79" s="13">
        <f t="shared" si="30"/>
        <v>16.153846153846153</v>
      </c>
      <c r="W79" s="8">
        <f t="shared" si="27"/>
        <v>16.153846153846153</v>
      </c>
      <c r="X79" s="8">
        <v>3.6</v>
      </c>
      <c r="Y79" s="8">
        <v>3.2</v>
      </c>
      <c r="Z79" s="8">
        <v>4.8</v>
      </c>
      <c r="AA79" s="8">
        <v>6.4</v>
      </c>
      <c r="AB79" s="8">
        <v>0</v>
      </c>
      <c r="AC79" s="8">
        <v>0</v>
      </c>
      <c r="AD79" s="8">
        <v>0</v>
      </c>
      <c r="AE79" s="8">
        <v>0</v>
      </c>
      <c r="AF79" s="8">
        <v>0</v>
      </c>
      <c r="AG79" s="8">
        <v>0</v>
      </c>
      <c r="AH79" s="12" t="s">
        <v>38</v>
      </c>
      <c r="AI79" s="13">
        <f t="shared" si="31"/>
        <v>0</v>
      </c>
      <c r="AJ79" s="13">
        <f t="shared" si="28"/>
        <v>0</v>
      </c>
      <c r="AK79" s="13"/>
      <c r="AL79" s="13"/>
      <c r="AM79" s="13"/>
      <c r="AN79" s="13"/>
      <c r="AO79" s="13"/>
      <c r="AP79" s="13"/>
      <c r="AQ79" s="13"/>
      <c r="AR79" s="13"/>
      <c r="AS79" s="13"/>
      <c r="AT79" s="13"/>
      <c r="AU79" s="13"/>
      <c r="AV79" s="13"/>
      <c r="AW79" s="13"/>
      <c r="AX79" s="13"/>
      <c r="AY79" s="13"/>
    </row>
    <row r="80" spans="1:51" x14ac:dyDescent="0.25">
      <c r="A80" s="13" t="s">
        <v>128</v>
      </c>
      <c r="B80" s="13" t="s">
        <v>40</v>
      </c>
      <c r="C80" s="13">
        <v>18</v>
      </c>
      <c r="D80" s="13"/>
      <c r="E80" s="13">
        <v>20</v>
      </c>
      <c r="F80" s="13">
        <v>1</v>
      </c>
      <c r="G80" s="6">
        <v>0.3</v>
      </c>
      <c r="H80" s="13">
        <v>50</v>
      </c>
      <c r="I80" s="13" t="s">
        <v>41</v>
      </c>
      <c r="J80" s="13"/>
      <c r="K80" s="13">
        <v>268</v>
      </c>
      <c r="L80" s="13">
        <f t="shared" si="25"/>
        <v>-248</v>
      </c>
      <c r="M80" s="13"/>
      <c r="N80" s="13"/>
      <c r="O80" s="13">
        <v>152</v>
      </c>
      <c r="P80" s="13">
        <v>222</v>
      </c>
      <c r="Q80" s="13">
        <f t="shared" si="26"/>
        <v>4</v>
      </c>
      <c r="R80" s="4">
        <v>50</v>
      </c>
      <c r="S80" s="4">
        <f t="shared" si="29"/>
        <v>50</v>
      </c>
      <c r="T80" s="4"/>
      <c r="U80" s="36">
        <f>VLOOKUP(A80,[1]Sheet!$A:$S,19,0)</f>
        <v>0</v>
      </c>
      <c r="V80" s="13">
        <f t="shared" si="30"/>
        <v>106.25</v>
      </c>
      <c r="W80" s="13">
        <f t="shared" si="27"/>
        <v>93.75</v>
      </c>
      <c r="X80" s="13">
        <v>39.200000000000003</v>
      </c>
      <c r="Y80" s="13">
        <v>26.6</v>
      </c>
      <c r="Z80" s="13">
        <v>20.6</v>
      </c>
      <c r="AA80" s="13">
        <v>23</v>
      </c>
      <c r="AB80" s="13">
        <v>20</v>
      </c>
      <c r="AC80" s="13">
        <v>27</v>
      </c>
      <c r="AD80" s="13">
        <v>28.2</v>
      </c>
      <c r="AE80" s="13">
        <v>19.2</v>
      </c>
      <c r="AF80" s="13">
        <v>21.6</v>
      </c>
      <c r="AG80" s="13">
        <v>18.399999999999999</v>
      </c>
      <c r="AH80" s="13"/>
      <c r="AI80" s="13">
        <f t="shared" si="31"/>
        <v>15</v>
      </c>
      <c r="AJ80" s="13">
        <f t="shared" si="28"/>
        <v>0</v>
      </c>
      <c r="AK80" s="13"/>
      <c r="AL80" s="13"/>
      <c r="AM80" s="13"/>
      <c r="AN80" s="13"/>
      <c r="AO80" s="13"/>
      <c r="AP80" s="13"/>
      <c r="AQ80" s="13"/>
      <c r="AR80" s="13"/>
      <c r="AS80" s="13"/>
      <c r="AT80" s="13"/>
      <c r="AU80" s="13"/>
      <c r="AV80" s="13"/>
      <c r="AW80" s="13"/>
      <c r="AX80" s="13"/>
      <c r="AY80" s="13"/>
    </row>
    <row r="81" spans="1:51" x14ac:dyDescent="0.25">
      <c r="A81" s="13" t="s">
        <v>129</v>
      </c>
      <c r="B81" s="13" t="s">
        <v>40</v>
      </c>
      <c r="C81" s="13">
        <v>43</v>
      </c>
      <c r="D81" s="13"/>
      <c r="E81" s="13">
        <v>40</v>
      </c>
      <c r="F81" s="13">
        <v>2</v>
      </c>
      <c r="G81" s="6">
        <v>0.3</v>
      </c>
      <c r="H81" s="13">
        <v>60</v>
      </c>
      <c r="I81" s="13" t="s">
        <v>41</v>
      </c>
      <c r="J81" s="13"/>
      <c r="K81" s="13">
        <v>61</v>
      </c>
      <c r="L81" s="13">
        <f t="shared" si="25"/>
        <v>-21</v>
      </c>
      <c r="M81" s="13"/>
      <c r="N81" s="13"/>
      <c r="O81" s="13">
        <v>60</v>
      </c>
      <c r="P81" s="13">
        <v>16</v>
      </c>
      <c r="Q81" s="13">
        <f t="shared" si="26"/>
        <v>8</v>
      </c>
      <c r="R81" s="4">
        <f t="shared" ref="R81" si="34">16*Q81-P81-O81-F81</f>
        <v>50</v>
      </c>
      <c r="S81" s="4">
        <f t="shared" si="29"/>
        <v>50</v>
      </c>
      <c r="T81" s="4"/>
      <c r="U81" s="36">
        <f>VLOOKUP(A81,[1]Sheet!$A:$S,19,0)</f>
        <v>0</v>
      </c>
      <c r="V81" s="13">
        <f t="shared" si="30"/>
        <v>16</v>
      </c>
      <c r="W81" s="13">
        <f t="shared" si="27"/>
        <v>9.75</v>
      </c>
      <c r="X81" s="13">
        <v>5.2</v>
      </c>
      <c r="Y81" s="13">
        <v>9.6</v>
      </c>
      <c r="Z81" s="13">
        <v>8.4</v>
      </c>
      <c r="AA81" s="13">
        <v>4.5999999999999996</v>
      </c>
      <c r="AB81" s="13">
        <v>4</v>
      </c>
      <c r="AC81" s="13">
        <v>7.8</v>
      </c>
      <c r="AD81" s="13">
        <v>5.8</v>
      </c>
      <c r="AE81" s="13">
        <v>9</v>
      </c>
      <c r="AF81" s="13">
        <v>6.4</v>
      </c>
      <c r="AG81" s="13">
        <v>3.4</v>
      </c>
      <c r="AH81" s="13"/>
      <c r="AI81" s="13">
        <f t="shared" si="31"/>
        <v>15</v>
      </c>
      <c r="AJ81" s="13">
        <f t="shared" si="28"/>
        <v>0</v>
      </c>
      <c r="AK81" s="13"/>
      <c r="AL81" s="13"/>
      <c r="AM81" s="13"/>
      <c r="AN81" s="13"/>
      <c r="AO81" s="13"/>
      <c r="AP81" s="13"/>
      <c r="AQ81" s="13"/>
      <c r="AR81" s="13"/>
      <c r="AS81" s="13"/>
      <c r="AT81" s="13"/>
      <c r="AU81" s="13"/>
      <c r="AV81" s="13"/>
      <c r="AW81" s="13"/>
      <c r="AX81" s="13"/>
      <c r="AY81" s="13"/>
    </row>
    <row r="82" spans="1:51" x14ac:dyDescent="0.25">
      <c r="A82" s="13" t="s">
        <v>130</v>
      </c>
      <c r="B82" s="13" t="s">
        <v>40</v>
      </c>
      <c r="C82" s="13">
        <v>116</v>
      </c>
      <c r="D82" s="13">
        <v>1</v>
      </c>
      <c r="E82" s="13">
        <v>110</v>
      </c>
      <c r="F82" s="13">
        <v>4</v>
      </c>
      <c r="G82" s="6">
        <v>0.28000000000000003</v>
      </c>
      <c r="H82" s="13">
        <v>50</v>
      </c>
      <c r="I82" s="13" t="s">
        <v>41</v>
      </c>
      <c r="J82" s="13"/>
      <c r="K82" s="13">
        <v>543</v>
      </c>
      <c r="L82" s="13">
        <f t="shared" si="25"/>
        <v>-433</v>
      </c>
      <c r="M82" s="13"/>
      <c r="N82" s="13"/>
      <c r="O82" s="13">
        <v>619</v>
      </c>
      <c r="P82" s="13">
        <v>703</v>
      </c>
      <c r="Q82" s="13">
        <f t="shared" si="26"/>
        <v>22</v>
      </c>
      <c r="R82" s="4"/>
      <c r="S82" s="4">
        <f t="shared" si="29"/>
        <v>0</v>
      </c>
      <c r="T82" s="4"/>
      <c r="U82" s="36">
        <f>VLOOKUP(A82,[1]Sheet!$A:$S,19,0)</f>
        <v>0</v>
      </c>
      <c r="V82" s="13">
        <f t="shared" si="30"/>
        <v>60.272727272727273</v>
      </c>
      <c r="W82" s="13">
        <f t="shared" si="27"/>
        <v>60.272727272727273</v>
      </c>
      <c r="X82" s="13">
        <v>110.6</v>
      </c>
      <c r="Y82" s="13">
        <v>99.4</v>
      </c>
      <c r="Z82" s="13">
        <v>52.6</v>
      </c>
      <c r="AA82" s="13">
        <v>55.4</v>
      </c>
      <c r="AB82" s="13">
        <v>88.4</v>
      </c>
      <c r="AC82" s="13">
        <v>94.2</v>
      </c>
      <c r="AD82" s="13">
        <v>52.8</v>
      </c>
      <c r="AE82" s="13">
        <v>65.599999999999994</v>
      </c>
      <c r="AF82" s="13">
        <v>54.8</v>
      </c>
      <c r="AG82" s="13">
        <v>60.4</v>
      </c>
      <c r="AH82" s="13"/>
      <c r="AI82" s="13">
        <f t="shared" si="31"/>
        <v>0</v>
      </c>
      <c r="AJ82" s="13">
        <f t="shared" si="28"/>
        <v>0</v>
      </c>
      <c r="AK82" s="13"/>
      <c r="AL82" s="13"/>
      <c r="AM82" s="13"/>
      <c r="AN82" s="13"/>
      <c r="AO82" s="13"/>
      <c r="AP82" s="13"/>
      <c r="AQ82" s="13"/>
      <c r="AR82" s="13"/>
      <c r="AS82" s="13"/>
      <c r="AT82" s="13"/>
      <c r="AU82" s="13"/>
      <c r="AV82" s="13"/>
      <c r="AW82" s="13"/>
      <c r="AX82" s="13"/>
      <c r="AY82" s="13"/>
    </row>
    <row r="83" spans="1:51" x14ac:dyDescent="0.25">
      <c r="A83" s="13" t="s">
        <v>131</v>
      </c>
      <c r="B83" s="13" t="s">
        <v>40</v>
      </c>
      <c r="C83" s="13">
        <v>207</v>
      </c>
      <c r="D83" s="13">
        <v>18</v>
      </c>
      <c r="E83" s="13">
        <v>217</v>
      </c>
      <c r="F83" s="13">
        <v>7</v>
      </c>
      <c r="G83" s="6">
        <v>0.28000000000000003</v>
      </c>
      <c r="H83" s="13">
        <v>45</v>
      </c>
      <c r="I83" s="13" t="s">
        <v>41</v>
      </c>
      <c r="J83" s="13"/>
      <c r="K83" s="13">
        <v>551</v>
      </c>
      <c r="L83" s="13">
        <f t="shared" si="25"/>
        <v>-334</v>
      </c>
      <c r="M83" s="13"/>
      <c r="N83" s="13"/>
      <c r="O83" s="13">
        <v>465</v>
      </c>
      <c r="P83" s="13">
        <v>780</v>
      </c>
      <c r="Q83" s="13">
        <f t="shared" si="26"/>
        <v>43.4</v>
      </c>
      <c r="R83" s="4">
        <v>200</v>
      </c>
      <c r="S83" s="4">
        <f t="shared" si="29"/>
        <v>200</v>
      </c>
      <c r="T83" s="4"/>
      <c r="U83" s="36">
        <f>VLOOKUP(A83,[1]Sheet!$A:$S,19,0)</f>
        <v>0</v>
      </c>
      <c r="V83" s="13">
        <f t="shared" si="30"/>
        <v>33.456221198156683</v>
      </c>
      <c r="W83" s="13">
        <f t="shared" si="27"/>
        <v>28.847926267281107</v>
      </c>
      <c r="X83" s="13">
        <v>132</v>
      </c>
      <c r="Y83" s="13">
        <v>102</v>
      </c>
      <c r="Z83" s="13">
        <v>67.599999999999994</v>
      </c>
      <c r="AA83" s="13">
        <v>86.6</v>
      </c>
      <c r="AB83" s="13">
        <v>90.2</v>
      </c>
      <c r="AC83" s="13">
        <v>81.8</v>
      </c>
      <c r="AD83" s="13">
        <v>59.8</v>
      </c>
      <c r="AE83" s="13">
        <v>55.2</v>
      </c>
      <c r="AF83" s="13">
        <v>44.4</v>
      </c>
      <c r="AG83" s="13">
        <v>60.6</v>
      </c>
      <c r="AH83" s="13"/>
      <c r="AI83" s="13">
        <f t="shared" si="31"/>
        <v>56.000000000000007</v>
      </c>
      <c r="AJ83" s="13">
        <f t="shared" si="28"/>
        <v>0</v>
      </c>
      <c r="AK83" s="13"/>
      <c r="AL83" s="13"/>
      <c r="AM83" s="13"/>
      <c r="AN83" s="13"/>
      <c r="AO83" s="13"/>
      <c r="AP83" s="13"/>
      <c r="AQ83" s="13"/>
      <c r="AR83" s="13"/>
      <c r="AS83" s="13"/>
      <c r="AT83" s="13"/>
      <c r="AU83" s="13"/>
      <c r="AV83" s="13"/>
      <c r="AW83" s="13"/>
      <c r="AX83" s="13"/>
      <c r="AY83" s="13"/>
    </row>
    <row r="84" spans="1:51" x14ac:dyDescent="0.25">
      <c r="A84" s="8" t="s">
        <v>132</v>
      </c>
      <c r="B84" s="8" t="s">
        <v>40</v>
      </c>
      <c r="C84" s="8">
        <v>140</v>
      </c>
      <c r="D84" s="8"/>
      <c r="E84" s="8"/>
      <c r="F84" s="8">
        <v>140</v>
      </c>
      <c r="G84" s="9">
        <v>0</v>
      </c>
      <c r="H84" s="8"/>
      <c r="I84" s="8" t="s">
        <v>37</v>
      </c>
      <c r="J84" s="8"/>
      <c r="K84" s="8"/>
      <c r="L84" s="8">
        <f t="shared" si="25"/>
        <v>0</v>
      </c>
      <c r="M84" s="8"/>
      <c r="N84" s="8"/>
      <c r="O84" s="8">
        <v>0</v>
      </c>
      <c r="P84" s="8">
        <v>0</v>
      </c>
      <c r="Q84" s="8">
        <f t="shared" si="26"/>
        <v>0</v>
      </c>
      <c r="R84" s="10"/>
      <c r="S84" s="4">
        <f t="shared" si="29"/>
        <v>0</v>
      </c>
      <c r="T84" s="4"/>
      <c r="U84" s="36">
        <f>VLOOKUP(A84,[1]Sheet!$A:$S,19,0)</f>
        <v>0</v>
      </c>
      <c r="V84" s="13" t="e">
        <f t="shared" si="30"/>
        <v>#DIV/0!</v>
      </c>
      <c r="W84" s="8" t="e">
        <f t="shared" si="27"/>
        <v>#DIV/0!</v>
      </c>
      <c r="X84" s="8">
        <v>0.4</v>
      </c>
      <c r="Y84" s="8">
        <v>6.4</v>
      </c>
      <c r="Z84" s="8">
        <v>0</v>
      </c>
      <c r="AA84" s="8">
        <v>1.6</v>
      </c>
      <c r="AB84" s="8">
        <v>3.2</v>
      </c>
      <c r="AC84" s="8">
        <v>0</v>
      </c>
      <c r="AD84" s="8">
        <v>0</v>
      </c>
      <c r="AE84" s="8">
        <v>0</v>
      </c>
      <c r="AF84" s="8">
        <v>0</v>
      </c>
      <c r="AG84" s="8">
        <v>0</v>
      </c>
      <c r="AH84" s="12" t="s">
        <v>38</v>
      </c>
      <c r="AI84" s="13">
        <f t="shared" si="31"/>
        <v>0</v>
      </c>
      <c r="AJ84" s="13">
        <f t="shared" si="28"/>
        <v>0</v>
      </c>
      <c r="AK84" s="13"/>
      <c r="AL84" s="13"/>
      <c r="AM84" s="13"/>
      <c r="AN84" s="13"/>
      <c r="AO84" s="13"/>
      <c r="AP84" s="13"/>
      <c r="AQ84" s="13"/>
      <c r="AR84" s="13"/>
      <c r="AS84" s="13"/>
      <c r="AT84" s="13"/>
      <c r="AU84" s="13"/>
      <c r="AV84" s="13"/>
      <c r="AW84" s="13"/>
      <c r="AX84" s="13"/>
      <c r="AY84" s="13"/>
    </row>
    <row r="85" spans="1:51" x14ac:dyDescent="0.25">
      <c r="A85" s="13" t="s">
        <v>133</v>
      </c>
      <c r="B85" s="13" t="s">
        <v>40</v>
      </c>
      <c r="C85" s="13">
        <v>217</v>
      </c>
      <c r="D85" s="13">
        <v>3</v>
      </c>
      <c r="E85" s="13">
        <v>186</v>
      </c>
      <c r="F85" s="13">
        <v>27</v>
      </c>
      <c r="G85" s="6">
        <v>0.28000000000000003</v>
      </c>
      <c r="H85" s="13">
        <v>45</v>
      </c>
      <c r="I85" s="13" t="s">
        <v>41</v>
      </c>
      <c r="J85" s="13"/>
      <c r="K85" s="13">
        <v>486</v>
      </c>
      <c r="L85" s="13">
        <f t="shared" si="25"/>
        <v>-300</v>
      </c>
      <c r="M85" s="13"/>
      <c r="N85" s="13"/>
      <c r="O85" s="13">
        <v>281</v>
      </c>
      <c r="P85" s="13">
        <v>637</v>
      </c>
      <c r="Q85" s="13">
        <f t="shared" si="26"/>
        <v>37.200000000000003</v>
      </c>
      <c r="R85" s="4">
        <v>100</v>
      </c>
      <c r="S85" s="4">
        <f t="shared" si="29"/>
        <v>100</v>
      </c>
      <c r="T85" s="4"/>
      <c r="U85" s="36">
        <f>VLOOKUP(A85,[1]Sheet!$A:$S,19,0)</f>
        <v>0</v>
      </c>
      <c r="V85" s="13">
        <f t="shared" si="30"/>
        <v>28.091397849462364</v>
      </c>
      <c r="W85" s="13">
        <f t="shared" si="27"/>
        <v>25.403225806451612</v>
      </c>
      <c r="X85" s="13">
        <v>103.2</v>
      </c>
      <c r="Y85" s="13">
        <v>77.2</v>
      </c>
      <c r="Z85" s="13">
        <v>52.2</v>
      </c>
      <c r="AA85" s="13">
        <v>71.8</v>
      </c>
      <c r="AB85" s="13">
        <v>70.8</v>
      </c>
      <c r="AC85" s="13">
        <v>74.2</v>
      </c>
      <c r="AD85" s="13">
        <v>48.8</v>
      </c>
      <c r="AE85" s="13">
        <v>44.4</v>
      </c>
      <c r="AF85" s="13">
        <v>43.2</v>
      </c>
      <c r="AG85" s="13">
        <v>40</v>
      </c>
      <c r="AH85" s="13"/>
      <c r="AI85" s="13">
        <f t="shared" si="31"/>
        <v>28.000000000000004</v>
      </c>
      <c r="AJ85" s="13">
        <f t="shared" si="28"/>
        <v>0</v>
      </c>
      <c r="AK85" s="13"/>
      <c r="AL85" s="13"/>
      <c r="AM85" s="13"/>
      <c r="AN85" s="13"/>
      <c r="AO85" s="13"/>
      <c r="AP85" s="13"/>
      <c r="AQ85" s="13"/>
      <c r="AR85" s="13"/>
      <c r="AS85" s="13"/>
      <c r="AT85" s="13"/>
      <c r="AU85" s="13"/>
      <c r="AV85" s="13"/>
      <c r="AW85" s="13"/>
      <c r="AX85" s="13"/>
      <c r="AY85" s="13"/>
    </row>
    <row r="86" spans="1:51" x14ac:dyDescent="0.25">
      <c r="A86" s="13" t="s">
        <v>134</v>
      </c>
      <c r="B86" s="13" t="s">
        <v>40</v>
      </c>
      <c r="C86" s="13">
        <v>749</v>
      </c>
      <c r="D86" s="13">
        <v>16</v>
      </c>
      <c r="E86" s="13">
        <v>722</v>
      </c>
      <c r="F86" s="13">
        <v>26</v>
      </c>
      <c r="G86" s="6">
        <v>0.4</v>
      </c>
      <c r="H86" s="13">
        <v>50</v>
      </c>
      <c r="I86" s="13" t="s">
        <v>41</v>
      </c>
      <c r="J86" s="13"/>
      <c r="K86" s="13">
        <v>1028</v>
      </c>
      <c r="L86" s="13">
        <f t="shared" si="25"/>
        <v>-306</v>
      </c>
      <c r="M86" s="13"/>
      <c r="N86" s="13"/>
      <c r="O86" s="13">
        <v>962</v>
      </c>
      <c r="P86" s="13">
        <v>352</v>
      </c>
      <c r="Q86" s="13">
        <f t="shared" si="26"/>
        <v>144.4</v>
      </c>
      <c r="R86" s="4">
        <f t="shared" ref="R86" si="35">16*Q86-P86-O86-F86</f>
        <v>970.40000000000009</v>
      </c>
      <c r="S86" s="4">
        <f>U86</f>
        <v>1200</v>
      </c>
      <c r="T86" s="4">
        <v>150</v>
      </c>
      <c r="U86" s="36">
        <f>VLOOKUP(A86,[1]Sheet!$A:$S,19,0)</f>
        <v>1200</v>
      </c>
      <c r="V86" s="13">
        <f>(F86+O86+P86+S86+T86)/Q86</f>
        <v>18.628808864265928</v>
      </c>
      <c r="W86" s="13">
        <f t="shared" si="27"/>
        <v>9.2797783933517994</v>
      </c>
      <c r="X86" s="13">
        <v>147.80000000000001</v>
      </c>
      <c r="Y86" s="13">
        <v>187.2</v>
      </c>
      <c r="Z86" s="13">
        <v>136.4</v>
      </c>
      <c r="AA86" s="13">
        <v>73</v>
      </c>
      <c r="AB86" s="13">
        <v>123.8</v>
      </c>
      <c r="AC86" s="13">
        <v>112.6</v>
      </c>
      <c r="AD86" s="13">
        <v>89.6</v>
      </c>
      <c r="AE86" s="13">
        <v>96</v>
      </c>
      <c r="AF86" s="13">
        <v>94.4</v>
      </c>
      <c r="AG86" s="13">
        <v>101.8</v>
      </c>
      <c r="AH86" s="13"/>
      <c r="AI86" s="13">
        <f t="shared" si="31"/>
        <v>480</v>
      </c>
      <c r="AJ86" s="13">
        <f t="shared" si="28"/>
        <v>60</v>
      </c>
      <c r="AK86" s="13"/>
      <c r="AL86" s="13"/>
      <c r="AM86" s="13"/>
      <c r="AN86" s="13"/>
      <c r="AO86" s="13"/>
      <c r="AP86" s="13"/>
      <c r="AQ86" s="13"/>
      <c r="AR86" s="13"/>
      <c r="AS86" s="13"/>
      <c r="AT86" s="13"/>
      <c r="AU86" s="13"/>
      <c r="AV86" s="13"/>
      <c r="AW86" s="13"/>
      <c r="AX86" s="13"/>
      <c r="AY86" s="13"/>
    </row>
    <row r="87" spans="1:51" x14ac:dyDescent="0.25">
      <c r="A87" s="8" t="s">
        <v>135</v>
      </c>
      <c r="B87" s="8" t="s">
        <v>40</v>
      </c>
      <c r="C87" s="8">
        <v>-1</v>
      </c>
      <c r="D87" s="8"/>
      <c r="E87" s="8"/>
      <c r="F87" s="14">
        <v>-1</v>
      </c>
      <c r="G87" s="9">
        <v>0</v>
      </c>
      <c r="H87" s="8"/>
      <c r="I87" s="8" t="s">
        <v>37</v>
      </c>
      <c r="J87" s="8" t="s">
        <v>136</v>
      </c>
      <c r="K87" s="8">
        <v>17</v>
      </c>
      <c r="L87" s="8">
        <f t="shared" si="25"/>
        <v>-17</v>
      </c>
      <c r="M87" s="8"/>
      <c r="N87" s="8"/>
      <c r="O87" s="8"/>
      <c r="P87" s="8">
        <v>0</v>
      </c>
      <c r="Q87" s="8">
        <f t="shared" si="26"/>
        <v>0</v>
      </c>
      <c r="R87" s="10"/>
      <c r="S87" s="4">
        <f t="shared" si="29"/>
        <v>0</v>
      </c>
      <c r="T87" s="4"/>
      <c r="U87" s="36">
        <f>VLOOKUP(A87,[1]Sheet!$A:$S,19,0)</f>
        <v>0</v>
      </c>
      <c r="V87" s="13" t="e">
        <f t="shared" si="30"/>
        <v>#DIV/0!</v>
      </c>
      <c r="W87" s="8" t="e">
        <f t="shared" si="27"/>
        <v>#DIV/0!</v>
      </c>
      <c r="X87" s="8">
        <v>0.2</v>
      </c>
      <c r="Y87" s="8">
        <v>0</v>
      </c>
      <c r="Z87" s="8">
        <v>0</v>
      </c>
      <c r="AA87" s="8">
        <v>0</v>
      </c>
      <c r="AB87" s="8">
        <v>0</v>
      </c>
      <c r="AC87" s="8">
        <v>0</v>
      </c>
      <c r="AD87" s="8">
        <v>0</v>
      </c>
      <c r="AE87" s="8">
        <v>0</v>
      </c>
      <c r="AF87" s="8">
        <v>0</v>
      </c>
      <c r="AG87" s="8">
        <v>0</v>
      </c>
      <c r="AH87" s="8"/>
      <c r="AI87" s="13">
        <f t="shared" si="31"/>
        <v>0</v>
      </c>
      <c r="AJ87" s="13">
        <f t="shared" si="28"/>
        <v>0</v>
      </c>
      <c r="AK87" s="13"/>
      <c r="AL87" s="13"/>
      <c r="AM87" s="13"/>
      <c r="AN87" s="13"/>
      <c r="AO87" s="13"/>
      <c r="AP87" s="13"/>
      <c r="AQ87" s="13"/>
      <c r="AR87" s="13"/>
      <c r="AS87" s="13"/>
      <c r="AT87" s="13"/>
      <c r="AU87" s="13"/>
      <c r="AV87" s="13"/>
      <c r="AW87" s="13"/>
      <c r="AX87" s="13"/>
      <c r="AY87" s="13"/>
    </row>
    <row r="88" spans="1:51" x14ac:dyDescent="0.25">
      <c r="A88" s="13" t="s">
        <v>137</v>
      </c>
      <c r="B88" s="13" t="s">
        <v>36</v>
      </c>
      <c r="C88" s="13">
        <v>122.913</v>
      </c>
      <c r="D88" s="13">
        <v>1.5529999999999999</v>
      </c>
      <c r="E88" s="13">
        <v>19.196999999999999</v>
      </c>
      <c r="F88" s="13">
        <v>103.636</v>
      </c>
      <c r="G88" s="6">
        <v>1</v>
      </c>
      <c r="H88" s="13">
        <v>30</v>
      </c>
      <c r="I88" s="13" t="s">
        <v>41</v>
      </c>
      <c r="J88" s="13"/>
      <c r="K88" s="13">
        <v>20.65</v>
      </c>
      <c r="L88" s="13">
        <f t="shared" si="25"/>
        <v>-1.4529999999999994</v>
      </c>
      <c r="M88" s="13"/>
      <c r="N88" s="13"/>
      <c r="O88" s="13">
        <v>0</v>
      </c>
      <c r="P88" s="13">
        <v>0</v>
      </c>
      <c r="Q88" s="13">
        <f t="shared" si="26"/>
        <v>3.8393999999999999</v>
      </c>
      <c r="R88" s="4"/>
      <c r="S88" s="4">
        <f t="shared" si="29"/>
        <v>0</v>
      </c>
      <c r="T88" s="4"/>
      <c r="U88" s="36">
        <f>VLOOKUP(A88,[1]Sheet!$A:$S,19,0)</f>
        <v>0</v>
      </c>
      <c r="V88" s="13">
        <f t="shared" si="30"/>
        <v>26.992759285304995</v>
      </c>
      <c r="W88" s="13">
        <f t="shared" si="27"/>
        <v>26.992759285304995</v>
      </c>
      <c r="X88" s="13">
        <v>4.0342000000000002</v>
      </c>
      <c r="Y88" s="13">
        <v>9.1999999999999998E-2</v>
      </c>
      <c r="Z88" s="13">
        <v>3.0341999999999998</v>
      </c>
      <c r="AA88" s="13">
        <v>4.6256000000000004</v>
      </c>
      <c r="AB88" s="13">
        <v>0.94879999999999998</v>
      </c>
      <c r="AC88" s="13">
        <v>0.78600000000000003</v>
      </c>
      <c r="AD88" s="13">
        <v>0</v>
      </c>
      <c r="AE88" s="13">
        <v>0</v>
      </c>
      <c r="AF88" s="13">
        <v>0</v>
      </c>
      <c r="AG88" s="13">
        <v>0</v>
      </c>
      <c r="AH88" s="11" t="s">
        <v>169</v>
      </c>
      <c r="AI88" s="13">
        <f t="shared" si="31"/>
        <v>0</v>
      </c>
      <c r="AJ88" s="13">
        <f t="shared" si="28"/>
        <v>0</v>
      </c>
      <c r="AK88" s="13"/>
      <c r="AL88" s="13"/>
      <c r="AM88" s="13"/>
      <c r="AN88" s="13"/>
      <c r="AO88" s="13"/>
      <c r="AP88" s="13"/>
      <c r="AQ88" s="13"/>
      <c r="AR88" s="13"/>
      <c r="AS88" s="13"/>
      <c r="AT88" s="13"/>
      <c r="AU88" s="13"/>
      <c r="AV88" s="13"/>
      <c r="AW88" s="13"/>
      <c r="AX88" s="13"/>
      <c r="AY88" s="13"/>
    </row>
    <row r="89" spans="1:51" x14ac:dyDescent="0.25">
      <c r="A89" s="8" t="s">
        <v>138</v>
      </c>
      <c r="B89" s="8" t="s">
        <v>40</v>
      </c>
      <c r="C89" s="8">
        <v>25</v>
      </c>
      <c r="D89" s="8"/>
      <c r="E89" s="8">
        <v>22</v>
      </c>
      <c r="F89" s="8">
        <v>3</v>
      </c>
      <c r="G89" s="9">
        <v>0</v>
      </c>
      <c r="H89" s="8">
        <v>50</v>
      </c>
      <c r="I89" s="8" t="s">
        <v>172</v>
      </c>
      <c r="J89" s="8"/>
      <c r="K89" s="8">
        <v>55</v>
      </c>
      <c r="L89" s="8">
        <f t="shared" si="25"/>
        <v>-33</v>
      </c>
      <c r="M89" s="8"/>
      <c r="N89" s="8"/>
      <c r="O89" s="8">
        <v>6</v>
      </c>
      <c r="P89" s="8">
        <v>25</v>
      </c>
      <c r="Q89" s="8">
        <f t="shared" si="26"/>
        <v>4.4000000000000004</v>
      </c>
      <c r="R89" s="10"/>
      <c r="S89" s="4">
        <f t="shared" si="29"/>
        <v>0</v>
      </c>
      <c r="T89" s="4"/>
      <c r="U89" s="36">
        <f>VLOOKUP(A89,[1]Sheet!$A:$S,19,0)</f>
        <v>0</v>
      </c>
      <c r="V89" s="13">
        <f t="shared" si="30"/>
        <v>7.7272727272727266</v>
      </c>
      <c r="W89" s="8">
        <f t="shared" si="27"/>
        <v>7.7272727272727266</v>
      </c>
      <c r="X89" s="8">
        <v>4</v>
      </c>
      <c r="Y89" s="8">
        <v>4.4000000000000004</v>
      </c>
      <c r="Z89" s="8">
        <v>5.4</v>
      </c>
      <c r="AA89" s="8">
        <v>2.8</v>
      </c>
      <c r="AB89" s="8">
        <v>5.2</v>
      </c>
      <c r="AC89" s="8">
        <v>5.6</v>
      </c>
      <c r="AD89" s="8">
        <v>4.4000000000000004</v>
      </c>
      <c r="AE89" s="8">
        <v>3.6</v>
      </c>
      <c r="AF89" s="8">
        <v>6.4</v>
      </c>
      <c r="AG89" s="8">
        <v>5.2</v>
      </c>
      <c r="AH89" s="8"/>
      <c r="AI89" s="13">
        <f t="shared" si="31"/>
        <v>0</v>
      </c>
      <c r="AJ89" s="13">
        <f t="shared" si="28"/>
        <v>0</v>
      </c>
      <c r="AK89" s="13"/>
      <c r="AL89" s="13"/>
      <c r="AM89" s="13"/>
      <c r="AN89" s="13"/>
      <c r="AO89" s="13"/>
      <c r="AP89" s="13"/>
      <c r="AQ89" s="13"/>
      <c r="AR89" s="13"/>
      <c r="AS89" s="13"/>
      <c r="AT89" s="13"/>
      <c r="AU89" s="13"/>
      <c r="AV89" s="13"/>
      <c r="AW89" s="13"/>
      <c r="AX89" s="13"/>
      <c r="AY89" s="13"/>
    </row>
    <row r="90" spans="1:51" x14ac:dyDescent="0.25">
      <c r="A90" s="8" t="s">
        <v>139</v>
      </c>
      <c r="B90" s="8" t="s">
        <v>40</v>
      </c>
      <c r="C90" s="8">
        <v>280</v>
      </c>
      <c r="D90" s="8"/>
      <c r="E90" s="8"/>
      <c r="F90" s="8">
        <v>280</v>
      </c>
      <c r="G90" s="9">
        <v>0</v>
      </c>
      <c r="H90" s="8"/>
      <c r="I90" s="8" t="s">
        <v>37</v>
      </c>
      <c r="J90" s="8"/>
      <c r="K90" s="8"/>
      <c r="L90" s="8">
        <f t="shared" si="25"/>
        <v>0</v>
      </c>
      <c r="M90" s="8"/>
      <c r="N90" s="8"/>
      <c r="O90" s="8">
        <v>0</v>
      </c>
      <c r="P90" s="8">
        <v>0</v>
      </c>
      <c r="Q90" s="8">
        <f t="shared" si="26"/>
        <v>0</v>
      </c>
      <c r="R90" s="10"/>
      <c r="S90" s="4">
        <f t="shared" si="29"/>
        <v>0</v>
      </c>
      <c r="T90" s="4"/>
      <c r="U90" s="36">
        <f>VLOOKUP(A90,[1]Sheet!$A:$S,19,0)</f>
        <v>0</v>
      </c>
      <c r="V90" s="13" t="e">
        <f t="shared" si="30"/>
        <v>#DIV/0!</v>
      </c>
      <c r="W90" s="8" t="e">
        <f t="shared" si="27"/>
        <v>#DIV/0!</v>
      </c>
      <c r="X90" s="8">
        <v>0</v>
      </c>
      <c r="Y90" s="8">
        <v>0</v>
      </c>
      <c r="Z90" s="8">
        <v>0</v>
      </c>
      <c r="AA90" s="8">
        <v>0</v>
      </c>
      <c r="AB90" s="8">
        <v>0</v>
      </c>
      <c r="AC90" s="8">
        <v>0</v>
      </c>
      <c r="AD90" s="8">
        <v>0</v>
      </c>
      <c r="AE90" s="8">
        <v>0</v>
      </c>
      <c r="AF90" s="8">
        <v>0</v>
      </c>
      <c r="AG90" s="8">
        <v>0</v>
      </c>
      <c r="AH90" s="12" t="s">
        <v>38</v>
      </c>
      <c r="AI90" s="13">
        <f t="shared" si="31"/>
        <v>0</v>
      </c>
      <c r="AJ90" s="13">
        <f t="shared" si="28"/>
        <v>0</v>
      </c>
      <c r="AK90" s="13"/>
      <c r="AL90" s="13"/>
      <c r="AM90" s="13"/>
      <c r="AN90" s="13"/>
      <c r="AO90" s="13"/>
      <c r="AP90" s="13"/>
      <c r="AQ90" s="13"/>
      <c r="AR90" s="13"/>
      <c r="AS90" s="13"/>
      <c r="AT90" s="13"/>
      <c r="AU90" s="13"/>
      <c r="AV90" s="13"/>
      <c r="AW90" s="13"/>
      <c r="AX90" s="13"/>
      <c r="AY90" s="13"/>
    </row>
    <row r="91" spans="1:51" x14ac:dyDescent="0.25">
      <c r="A91" s="13" t="s">
        <v>140</v>
      </c>
      <c r="B91" s="13" t="s">
        <v>40</v>
      </c>
      <c r="C91" s="13">
        <v>299</v>
      </c>
      <c r="D91" s="13">
        <v>4</v>
      </c>
      <c r="E91" s="13">
        <v>250</v>
      </c>
      <c r="F91" s="13">
        <v>49</v>
      </c>
      <c r="G91" s="6">
        <v>0.12</v>
      </c>
      <c r="H91" s="13">
        <v>60</v>
      </c>
      <c r="I91" s="13" t="s">
        <v>41</v>
      </c>
      <c r="J91" s="13"/>
      <c r="K91" s="13">
        <v>484</v>
      </c>
      <c r="L91" s="13">
        <f t="shared" si="25"/>
        <v>-234</v>
      </c>
      <c r="M91" s="13"/>
      <c r="N91" s="13"/>
      <c r="O91" s="13">
        <v>398</v>
      </c>
      <c r="P91" s="13">
        <v>465</v>
      </c>
      <c r="Q91" s="13">
        <f t="shared" si="26"/>
        <v>50</v>
      </c>
      <c r="R91" s="4"/>
      <c r="S91" s="4">
        <f t="shared" si="29"/>
        <v>0</v>
      </c>
      <c r="T91" s="4"/>
      <c r="U91" s="36">
        <f>VLOOKUP(A91,[1]Sheet!$A:$S,19,0)</f>
        <v>0</v>
      </c>
      <c r="V91" s="13">
        <f t="shared" si="30"/>
        <v>18.239999999999998</v>
      </c>
      <c r="W91" s="13">
        <f t="shared" si="27"/>
        <v>18.239999999999998</v>
      </c>
      <c r="X91" s="13">
        <v>83</v>
      </c>
      <c r="Y91" s="13">
        <v>79</v>
      </c>
      <c r="Z91" s="13">
        <v>54.8</v>
      </c>
      <c r="AA91" s="13">
        <v>35.6</v>
      </c>
      <c r="AB91" s="13">
        <v>57.8</v>
      </c>
      <c r="AC91" s="13">
        <v>44.4</v>
      </c>
      <c r="AD91" s="13">
        <v>26.4</v>
      </c>
      <c r="AE91" s="13">
        <v>32.6</v>
      </c>
      <c r="AF91" s="13">
        <v>18.399999999999999</v>
      </c>
      <c r="AG91" s="13">
        <v>33.799999999999997</v>
      </c>
      <c r="AH91" s="13"/>
      <c r="AI91" s="13">
        <f t="shared" si="31"/>
        <v>0</v>
      </c>
      <c r="AJ91" s="13">
        <f t="shared" si="28"/>
        <v>0</v>
      </c>
      <c r="AK91" s="13"/>
      <c r="AL91" s="13"/>
      <c r="AM91" s="13"/>
      <c r="AN91" s="13"/>
      <c r="AO91" s="13"/>
      <c r="AP91" s="13"/>
      <c r="AQ91" s="13"/>
      <c r="AR91" s="13"/>
      <c r="AS91" s="13"/>
      <c r="AT91" s="13"/>
      <c r="AU91" s="13"/>
      <c r="AV91" s="13"/>
      <c r="AW91" s="13"/>
      <c r="AX91" s="13"/>
      <c r="AY91" s="13"/>
    </row>
    <row r="92" spans="1:51" x14ac:dyDescent="0.25">
      <c r="A92" s="33" t="s">
        <v>141</v>
      </c>
      <c r="B92" s="30" t="s">
        <v>40</v>
      </c>
      <c r="C92" s="30">
        <v>35</v>
      </c>
      <c r="D92" s="30">
        <v>1</v>
      </c>
      <c r="E92" s="30">
        <v>17</v>
      </c>
      <c r="F92" s="30">
        <v>18</v>
      </c>
      <c r="G92" s="31">
        <v>0.15</v>
      </c>
      <c r="H92" s="30">
        <v>90</v>
      </c>
      <c r="I92" s="30" t="s">
        <v>41</v>
      </c>
      <c r="J92" s="30"/>
      <c r="K92" s="30">
        <v>120</v>
      </c>
      <c r="L92" s="30">
        <f t="shared" si="25"/>
        <v>-103</v>
      </c>
      <c r="M92" s="30"/>
      <c r="N92" s="30"/>
      <c r="O92" s="30">
        <v>0</v>
      </c>
      <c r="P92" s="30">
        <v>0</v>
      </c>
      <c r="Q92" s="30">
        <f t="shared" si="26"/>
        <v>3.4</v>
      </c>
      <c r="R92" s="32">
        <f t="shared" ref="R92:R100" si="36">16*Q92-P92-O92-F92</f>
        <v>36.4</v>
      </c>
      <c r="S92" s="4">
        <v>150</v>
      </c>
      <c r="T92" s="4"/>
      <c r="U92" s="36">
        <f>VLOOKUP(A92,[1]Sheet!$A:$S,19,0)</f>
        <v>300</v>
      </c>
      <c r="V92" s="13">
        <f t="shared" si="30"/>
        <v>49.411764705882355</v>
      </c>
      <c r="W92" s="30">
        <f t="shared" si="27"/>
        <v>5.2941176470588234</v>
      </c>
      <c r="X92" s="30">
        <v>9</v>
      </c>
      <c r="Y92" s="30">
        <v>7.2</v>
      </c>
      <c r="Z92" s="30">
        <v>5.4</v>
      </c>
      <c r="AA92" s="30">
        <v>9</v>
      </c>
      <c r="AB92" s="30">
        <v>0</v>
      </c>
      <c r="AC92" s="30">
        <v>0</v>
      </c>
      <c r="AD92" s="30">
        <v>0</v>
      </c>
      <c r="AE92" s="30">
        <v>0</v>
      </c>
      <c r="AF92" s="30">
        <v>0</v>
      </c>
      <c r="AG92" s="30">
        <v>0</v>
      </c>
      <c r="AH92" s="33" t="s">
        <v>112</v>
      </c>
      <c r="AI92" s="13">
        <f t="shared" si="31"/>
        <v>22.5</v>
      </c>
      <c r="AJ92" s="13">
        <f t="shared" si="28"/>
        <v>0</v>
      </c>
      <c r="AK92" s="13"/>
      <c r="AL92" s="13"/>
      <c r="AM92" s="13"/>
      <c r="AN92" s="13"/>
      <c r="AO92" s="13"/>
      <c r="AP92" s="13"/>
      <c r="AQ92" s="13"/>
      <c r="AR92" s="13"/>
      <c r="AS92" s="13"/>
      <c r="AT92" s="13"/>
      <c r="AU92" s="13"/>
      <c r="AV92" s="13"/>
      <c r="AW92" s="13"/>
      <c r="AX92" s="13"/>
      <c r="AY92" s="13"/>
    </row>
    <row r="93" spans="1:51" x14ac:dyDescent="0.25">
      <c r="A93" s="13" t="s">
        <v>136</v>
      </c>
      <c r="B93" s="13" t="s">
        <v>40</v>
      </c>
      <c r="C93" s="13">
        <v>158</v>
      </c>
      <c r="D93" s="13">
        <v>6</v>
      </c>
      <c r="E93" s="13">
        <v>152</v>
      </c>
      <c r="F93" s="14">
        <f>6+F87</f>
        <v>5</v>
      </c>
      <c r="G93" s="6">
        <v>0.33</v>
      </c>
      <c r="H93" s="13">
        <v>30</v>
      </c>
      <c r="I93" s="13" t="s">
        <v>41</v>
      </c>
      <c r="J93" s="13"/>
      <c r="K93" s="13">
        <v>235</v>
      </c>
      <c r="L93" s="13">
        <f t="shared" si="25"/>
        <v>-83</v>
      </c>
      <c r="M93" s="13"/>
      <c r="N93" s="13"/>
      <c r="O93" s="13">
        <v>248</v>
      </c>
      <c r="P93" s="13">
        <v>194</v>
      </c>
      <c r="Q93" s="13">
        <f t="shared" si="26"/>
        <v>30.4</v>
      </c>
      <c r="R93" s="4">
        <f t="shared" si="36"/>
        <v>39.399999999999977</v>
      </c>
      <c r="S93" s="4">
        <f t="shared" si="29"/>
        <v>39</v>
      </c>
      <c r="T93" s="4"/>
      <c r="U93" s="36">
        <f>VLOOKUP(A93,[1]Sheet!$A:$S,19,0)</f>
        <v>0</v>
      </c>
      <c r="V93" s="13">
        <f t="shared" si="30"/>
        <v>15.986842105263159</v>
      </c>
      <c r="W93" s="13">
        <f t="shared" si="27"/>
        <v>14.703947368421053</v>
      </c>
      <c r="X93" s="13">
        <v>43</v>
      </c>
      <c r="Y93" s="13">
        <v>45.2</v>
      </c>
      <c r="Z93" s="13">
        <v>1.8</v>
      </c>
      <c r="AA93" s="13">
        <v>37.799999999999997</v>
      </c>
      <c r="AB93" s="13">
        <v>56</v>
      </c>
      <c r="AC93" s="13">
        <v>32.200000000000003</v>
      </c>
      <c r="AD93" s="13">
        <v>40</v>
      </c>
      <c r="AE93" s="13">
        <v>37.4</v>
      </c>
      <c r="AF93" s="13">
        <v>23</v>
      </c>
      <c r="AG93" s="13">
        <v>38</v>
      </c>
      <c r="AH93" s="13"/>
      <c r="AI93" s="13">
        <f t="shared" si="31"/>
        <v>12.870000000000001</v>
      </c>
      <c r="AJ93" s="13">
        <f t="shared" si="28"/>
        <v>0</v>
      </c>
      <c r="AK93" s="13"/>
      <c r="AL93" s="13"/>
      <c r="AM93" s="13"/>
      <c r="AN93" s="13"/>
      <c r="AO93" s="13"/>
      <c r="AP93" s="13"/>
      <c r="AQ93" s="13"/>
      <c r="AR93" s="13"/>
      <c r="AS93" s="13"/>
      <c r="AT93" s="13"/>
      <c r="AU93" s="13"/>
      <c r="AV93" s="13"/>
      <c r="AW93" s="13"/>
      <c r="AX93" s="13"/>
      <c r="AY93" s="13"/>
    </row>
    <row r="94" spans="1:51" x14ac:dyDescent="0.25">
      <c r="A94" s="13" t="s">
        <v>142</v>
      </c>
      <c r="B94" s="13" t="s">
        <v>40</v>
      </c>
      <c r="C94" s="13">
        <v>52</v>
      </c>
      <c r="D94" s="13">
        <v>2</v>
      </c>
      <c r="E94" s="13">
        <v>50</v>
      </c>
      <c r="F94" s="13">
        <v>4</v>
      </c>
      <c r="G94" s="6">
        <v>0.15</v>
      </c>
      <c r="H94" s="13">
        <v>60</v>
      </c>
      <c r="I94" s="13" t="s">
        <v>41</v>
      </c>
      <c r="J94" s="13"/>
      <c r="K94" s="13">
        <v>246</v>
      </c>
      <c r="L94" s="13">
        <f t="shared" si="25"/>
        <v>-196</v>
      </c>
      <c r="M94" s="13"/>
      <c r="N94" s="13"/>
      <c r="O94" s="13">
        <v>0</v>
      </c>
      <c r="P94" s="13">
        <v>49</v>
      </c>
      <c r="Q94" s="13">
        <f t="shared" si="26"/>
        <v>10</v>
      </c>
      <c r="R94" s="4">
        <f>13*Q94-P94-O94-F94</f>
        <v>77</v>
      </c>
      <c r="S94" s="4">
        <v>200</v>
      </c>
      <c r="T94" s="4"/>
      <c r="U94" s="36">
        <f>VLOOKUP(A94,[1]Sheet!$A:$S,19,0)</f>
        <v>300</v>
      </c>
      <c r="V94" s="13">
        <f t="shared" si="30"/>
        <v>25.3</v>
      </c>
      <c r="W94" s="13">
        <f t="shared" si="27"/>
        <v>5.3</v>
      </c>
      <c r="X94" s="13">
        <v>7.8</v>
      </c>
      <c r="Y94" s="13">
        <v>5.8</v>
      </c>
      <c r="Z94" s="13">
        <v>0</v>
      </c>
      <c r="AA94" s="13">
        <v>0</v>
      </c>
      <c r="AB94" s="13">
        <v>0</v>
      </c>
      <c r="AC94" s="13">
        <v>0</v>
      </c>
      <c r="AD94" s="13">
        <v>0</v>
      </c>
      <c r="AE94" s="13">
        <v>0</v>
      </c>
      <c r="AF94" s="13">
        <v>0</v>
      </c>
      <c r="AG94" s="13">
        <v>0</v>
      </c>
      <c r="AH94" s="13" t="s">
        <v>143</v>
      </c>
      <c r="AI94" s="13">
        <f t="shared" si="31"/>
        <v>30</v>
      </c>
      <c r="AJ94" s="13">
        <f t="shared" si="28"/>
        <v>0</v>
      </c>
      <c r="AK94" s="13"/>
      <c r="AL94" s="13"/>
      <c r="AM94" s="13"/>
      <c r="AN94" s="13"/>
      <c r="AO94" s="13"/>
      <c r="AP94" s="13"/>
      <c r="AQ94" s="13"/>
      <c r="AR94" s="13"/>
      <c r="AS94" s="13"/>
      <c r="AT94" s="13"/>
      <c r="AU94" s="13"/>
      <c r="AV94" s="13"/>
      <c r="AW94" s="13"/>
      <c r="AX94" s="13"/>
      <c r="AY94" s="13"/>
    </row>
    <row r="95" spans="1:51" x14ac:dyDescent="0.25">
      <c r="A95" s="13" t="s">
        <v>144</v>
      </c>
      <c r="B95" s="13" t="s">
        <v>40</v>
      </c>
      <c r="C95" s="13">
        <v>56</v>
      </c>
      <c r="D95" s="13">
        <v>3</v>
      </c>
      <c r="E95" s="13">
        <v>55</v>
      </c>
      <c r="F95" s="13">
        <v>2</v>
      </c>
      <c r="G95" s="6">
        <v>0.26</v>
      </c>
      <c r="H95" s="13">
        <v>45</v>
      </c>
      <c r="I95" s="13" t="s">
        <v>41</v>
      </c>
      <c r="J95" s="13"/>
      <c r="K95" s="13">
        <v>139</v>
      </c>
      <c r="L95" s="13">
        <f t="shared" si="25"/>
        <v>-84</v>
      </c>
      <c r="M95" s="13"/>
      <c r="N95" s="13"/>
      <c r="O95" s="13">
        <v>0</v>
      </c>
      <c r="P95" s="13">
        <v>39</v>
      </c>
      <c r="Q95" s="13">
        <f t="shared" si="26"/>
        <v>11</v>
      </c>
      <c r="R95" s="4">
        <f>12*Q95-P95-O95-F95</f>
        <v>91</v>
      </c>
      <c r="S95" s="4">
        <v>200</v>
      </c>
      <c r="T95" s="4"/>
      <c r="U95" s="36">
        <f>VLOOKUP(A95,[1]Sheet!$A:$S,19,0)</f>
        <v>300</v>
      </c>
      <c r="V95" s="13">
        <f t="shared" si="30"/>
        <v>21.90909090909091</v>
      </c>
      <c r="W95" s="13">
        <f t="shared" si="27"/>
        <v>3.7272727272727271</v>
      </c>
      <c r="X95" s="13">
        <v>6.8</v>
      </c>
      <c r="Y95" s="13">
        <v>2.8</v>
      </c>
      <c r="Z95" s="13">
        <v>0</v>
      </c>
      <c r="AA95" s="13">
        <v>0</v>
      </c>
      <c r="AB95" s="13">
        <v>0</v>
      </c>
      <c r="AC95" s="13">
        <v>0</v>
      </c>
      <c r="AD95" s="13">
        <v>0</v>
      </c>
      <c r="AE95" s="13">
        <v>0</v>
      </c>
      <c r="AF95" s="13">
        <v>0</v>
      </c>
      <c r="AG95" s="13">
        <v>0</v>
      </c>
      <c r="AH95" s="13" t="s">
        <v>145</v>
      </c>
      <c r="AI95" s="13">
        <f t="shared" si="31"/>
        <v>52</v>
      </c>
      <c r="AJ95" s="13">
        <f t="shared" si="28"/>
        <v>0</v>
      </c>
      <c r="AK95" s="13"/>
      <c r="AL95" s="13"/>
      <c r="AM95" s="13"/>
      <c r="AN95" s="13"/>
      <c r="AO95" s="13"/>
      <c r="AP95" s="13"/>
      <c r="AQ95" s="13"/>
      <c r="AR95" s="13"/>
      <c r="AS95" s="13"/>
      <c r="AT95" s="13"/>
      <c r="AU95" s="13"/>
      <c r="AV95" s="13"/>
      <c r="AW95" s="13"/>
      <c r="AX95" s="13"/>
      <c r="AY95" s="13"/>
    </row>
    <row r="96" spans="1:51" x14ac:dyDescent="0.25">
      <c r="A96" s="13" t="s">
        <v>146</v>
      </c>
      <c r="B96" s="13" t="s">
        <v>40</v>
      </c>
      <c r="C96" s="13">
        <v>45</v>
      </c>
      <c r="D96" s="13">
        <v>2</v>
      </c>
      <c r="E96" s="13">
        <v>45</v>
      </c>
      <c r="F96" s="13">
        <v>1</v>
      </c>
      <c r="G96" s="6">
        <v>0.31</v>
      </c>
      <c r="H96" s="13">
        <v>45</v>
      </c>
      <c r="I96" s="13" t="s">
        <v>41</v>
      </c>
      <c r="J96" s="13"/>
      <c r="K96" s="13">
        <v>226</v>
      </c>
      <c r="L96" s="13">
        <f t="shared" si="25"/>
        <v>-181</v>
      </c>
      <c r="M96" s="13"/>
      <c r="N96" s="13"/>
      <c r="O96" s="13">
        <v>0</v>
      </c>
      <c r="P96" s="13">
        <v>49</v>
      </c>
      <c r="Q96" s="13">
        <f t="shared" si="26"/>
        <v>9</v>
      </c>
      <c r="R96" s="4">
        <f>14*Q96-P96-O96-F96</f>
        <v>76</v>
      </c>
      <c r="S96" s="4">
        <v>200</v>
      </c>
      <c r="T96" s="4"/>
      <c r="U96" s="36">
        <f>VLOOKUP(A96,[1]Sheet!$A:$S,19,0)</f>
        <v>300</v>
      </c>
      <c r="V96" s="13">
        <f t="shared" si="30"/>
        <v>27.777777777777779</v>
      </c>
      <c r="W96" s="13">
        <f t="shared" si="27"/>
        <v>5.5555555555555554</v>
      </c>
      <c r="X96" s="13">
        <v>7.8</v>
      </c>
      <c r="Y96" s="13">
        <v>4</v>
      </c>
      <c r="Z96" s="13">
        <v>0</v>
      </c>
      <c r="AA96" s="13">
        <v>0</v>
      </c>
      <c r="AB96" s="13">
        <v>0</v>
      </c>
      <c r="AC96" s="13">
        <v>0</v>
      </c>
      <c r="AD96" s="13">
        <v>0</v>
      </c>
      <c r="AE96" s="13">
        <v>0</v>
      </c>
      <c r="AF96" s="13">
        <v>0</v>
      </c>
      <c r="AG96" s="13">
        <v>0</v>
      </c>
      <c r="AH96" s="13" t="s">
        <v>145</v>
      </c>
      <c r="AI96" s="13">
        <f t="shared" si="31"/>
        <v>62</v>
      </c>
      <c r="AJ96" s="13">
        <f t="shared" si="28"/>
        <v>0</v>
      </c>
      <c r="AK96" s="13"/>
      <c r="AL96" s="13"/>
      <c r="AM96" s="13"/>
      <c r="AN96" s="13"/>
      <c r="AO96" s="13"/>
      <c r="AP96" s="13"/>
      <c r="AQ96" s="13"/>
      <c r="AR96" s="13"/>
      <c r="AS96" s="13"/>
      <c r="AT96" s="13"/>
      <c r="AU96" s="13"/>
      <c r="AV96" s="13"/>
      <c r="AW96" s="13"/>
      <c r="AX96" s="13"/>
      <c r="AY96" s="13"/>
    </row>
    <row r="97" spans="1:51" x14ac:dyDescent="0.25">
      <c r="A97" s="13" t="s">
        <v>147</v>
      </c>
      <c r="B97" s="13" t="s">
        <v>40</v>
      </c>
      <c r="C97" s="13">
        <v>177</v>
      </c>
      <c r="D97" s="13">
        <v>3</v>
      </c>
      <c r="E97" s="13">
        <v>122</v>
      </c>
      <c r="F97" s="13">
        <v>55</v>
      </c>
      <c r="G97" s="6">
        <v>0.4</v>
      </c>
      <c r="H97" s="13">
        <v>60</v>
      </c>
      <c r="I97" s="13" t="s">
        <v>41</v>
      </c>
      <c r="J97" s="13"/>
      <c r="K97" s="13">
        <v>311</v>
      </c>
      <c r="L97" s="13">
        <f t="shared" si="25"/>
        <v>-189</v>
      </c>
      <c r="M97" s="13"/>
      <c r="N97" s="13"/>
      <c r="O97" s="13">
        <v>252</v>
      </c>
      <c r="P97" s="13">
        <v>416</v>
      </c>
      <c r="Q97" s="13">
        <f t="shared" si="26"/>
        <v>24.4</v>
      </c>
      <c r="R97" s="4"/>
      <c r="S97" s="4">
        <f t="shared" si="29"/>
        <v>0</v>
      </c>
      <c r="T97" s="4"/>
      <c r="U97" s="36">
        <f>VLOOKUP(A97,[1]Sheet!$A:$S,19,0)</f>
        <v>0</v>
      </c>
      <c r="V97" s="13">
        <f t="shared" si="30"/>
        <v>29.631147540983608</v>
      </c>
      <c r="W97" s="13">
        <f t="shared" si="27"/>
        <v>29.631147540983608</v>
      </c>
      <c r="X97" s="13">
        <v>65</v>
      </c>
      <c r="Y97" s="13">
        <v>53.4</v>
      </c>
      <c r="Z97" s="13">
        <v>32</v>
      </c>
      <c r="AA97" s="13">
        <v>33</v>
      </c>
      <c r="AB97" s="13">
        <v>43</v>
      </c>
      <c r="AC97" s="13">
        <v>36.6</v>
      </c>
      <c r="AD97" s="13">
        <v>18.600000000000001</v>
      </c>
      <c r="AE97" s="13">
        <v>15.8</v>
      </c>
      <c r="AF97" s="13">
        <v>22.2</v>
      </c>
      <c r="AG97" s="13">
        <v>20.399999999999999</v>
      </c>
      <c r="AH97" s="13"/>
      <c r="AI97" s="13">
        <f t="shared" si="31"/>
        <v>0</v>
      </c>
      <c r="AJ97" s="13">
        <f t="shared" si="28"/>
        <v>0</v>
      </c>
      <c r="AK97" s="13"/>
      <c r="AL97" s="13"/>
      <c r="AM97" s="13"/>
      <c r="AN97" s="13"/>
      <c r="AO97" s="13"/>
      <c r="AP97" s="13"/>
      <c r="AQ97" s="13"/>
      <c r="AR97" s="13"/>
      <c r="AS97" s="13"/>
      <c r="AT97" s="13"/>
      <c r="AU97" s="13"/>
      <c r="AV97" s="13"/>
      <c r="AW97" s="13"/>
      <c r="AX97" s="13"/>
      <c r="AY97" s="13"/>
    </row>
    <row r="98" spans="1:51" x14ac:dyDescent="0.25">
      <c r="A98" s="13" t="s">
        <v>148</v>
      </c>
      <c r="B98" s="13" t="s">
        <v>40</v>
      </c>
      <c r="C98" s="13"/>
      <c r="D98" s="13"/>
      <c r="E98" s="13"/>
      <c r="F98" s="13"/>
      <c r="G98" s="6">
        <v>0.35</v>
      </c>
      <c r="H98" s="13">
        <v>60</v>
      </c>
      <c r="I98" s="13" t="s">
        <v>41</v>
      </c>
      <c r="J98" s="13"/>
      <c r="K98" s="13">
        <v>98</v>
      </c>
      <c r="L98" s="13">
        <f t="shared" si="25"/>
        <v>-98</v>
      </c>
      <c r="M98" s="13"/>
      <c r="N98" s="13"/>
      <c r="O98" s="13">
        <v>40</v>
      </c>
      <c r="P98" s="13">
        <v>0</v>
      </c>
      <c r="Q98" s="13">
        <f t="shared" si="26"/>
        <v>0</v>
      </c>
      <c r="R98" s="4"/>
      <c r="S98" s="4">
        <f t="shared" si="29"/>
        <v>0</v>
      </c>
      <c r="T98" s="4"/>
      <c r="U98" s="36">
        <f>VLOOKUP(A98,[1]Sheet!$A:$S,19,0)</f>
        <v>0</v>
      </c>
      <c r="V98" s="13" t="e">
        <f t="shared" si="30"/>
        <v>#DIV/0!</v>
      </c>
      <c r="W98" s="13" t="e">
        <f t="shared" si="27"/>
        <v>#DIV/0!</v>
      </c>
      <c r="X98" s="13">
        <v>0</v>
      </c>
      <c r="Y98" s="13">
        <v>4.5999999999999996</v>
      </c>
      <c r="Z98" s="13">
        <v>3.6</v>
      </c>
      <c r="AA98" s="13">
        <v>1</v>
      </c>
      <c r="AB98" s="13">
        <v>0.6</v>
      </c>
      <c r="AC98" s="13">
        <v>0.4</v>
      </c>
      <c r="AD98" s="13">
        <v>0.6</v>
      </c>
      <c r="AE98" s="13">
        <v>2.6</v>
      </c>
      <c r="AF98" s="13">
        <v>1.8</v>
      </c>
      <c r="AG98" s="13">
        <v>0.4</v>
      </c>
      <c r="AH98" s="13" t="s">
        <v>149</v>
      </c>
      <c r="AI98" s="13">
        <f t="shared" si="31"/>
        <v>0</v>
      </c>
      <c r="AJ98" s="13">
        <f t="shared" si="28"/>
        <v>0</v>
      </c>
      <c r="AK98" s="13"/>
      <c r="AL98" s="13"/>
      <c r="AM98" s="13"/>
      <c r="AN98" s="13"/>
      <c r="AO98" s="13"/>
      <c r="AP98" s="13"/>
      <c r="AQ98" s="13"/>
      <c r="AR98" s="13"/>
      <c r="AS98" s="13"/>
      <c r="AT98" s="13"/>
      <c r="AU98" s="13"/>
      <c r="AV98" s="13"/>
      <c r="AW98" s="13"/>
      <c r="AX98" s="13"/>
      <c r="AY98" s="13"/>
    </row>
    <row r="99" spans="1:51" x14ac:dyDescent="0.25">
      <c r="A99" s="13" t="s">
        <v>150</v>
      </c>
      <c r="B99" s="13" t="s">
        <v>36</v>
      </c>
      <c r="C99" s="13">
        <v>78.790999999999997</v>
      </c>
      <c r="D99" s="13">
        <v>2.5329999999999999</v>
      </c>
      <c r="E99" s="13">
        <v>58.665999999999997</v>
      </c>
      <c r="F99" s="13">
        <v>20.125</v>
      </c>
      <c r="G99" s="6">
        <v>1</v>
      </c>
      <c r="H99" s="13">
        <v>45</v>
      </c>
      <c r="I99" s="13" t="s">
        <v>41</v>
      </c>
      <c r="J99" s="13"/>
      <c r="K99" s="13">
        <v>53.564999999999998</v>
      </c>
      <c r="L99" s="13">
        <f t="shared" si="25"/>
        <v>5.1009999999999991</v>
      </c>
      <c r="M99" s="13"/>
      <c r="N99" s="13"/>
      <c r="O99" s="13">
        <v>0</v>
      </c>
      <c r="P99" s="13">
        <v>0</v>
      </c>
      <c r="Q99" s="13">
        <f t="shared" si="26"/>
        <v>11.7332</v>
      </c>
      <c r="R99" s="4">
        <f>10*Q99-P99-O99-F99</f>
        <v>97.206999999999994</v>
      </c>
      <c r="S99" s="4">
        <v>200</v>
      </c>
      <c r="T99" s="4"/>
      <c r="U99" s="36">
        <f>VLOOKUP(A99,[1]Sheet!$A:$S,19,0)</f>
        <v>250</v>
      </c>
      <c r="V99" s="13">
        <f t="shared" si="30"/>
        <v>18.760866600756827</v>
      </c>
      <c r="W99" s="13">
        <f t="shared" si="27"/>
        <v>1.7152183547540314</v>
      </c>
      <c r="X99" s="13">
        <v>0.34699999999999998</v>
      </c>
      <c r="Y99" s="13">
        <v>0.50080000000000002</v>
      </c>
      <c r="Z99" s="13">
        <v>0</v>
      </c>
      <c r="AA99" s="13">
        <v>0</v>
      </c>
      <c r="AB99" s="13">
        <v>0</v>
      </c>
      <c r="AC99" s="13">
        <v>0</v>
      </c>
      <c r="AD99" s="13">
        <v>0</v>
      </c>
      <c r="AE99" s="13">
        <v>0</v>
      </c>
      <c r="AF99" s="13">
        <v>0</v>
      </c>
      <c r="AG99" s="13">
        <v>0</v>
      </c>
      <c r="AH99" s="13" t="s">
        <v>151</v>
      </c>
      <c r="AI99" s="13">
        <f t="shared" si="31"/>
        <v>200</v>
      </c>
      <c r="AJ99" s="13">
        <f t="shared" si="28"/>
        <v>0</v>
      </c>
      <c r="AK99" s="13"/>
      <c r="AL99" s="13"/>
      <c r="AM99" s="13"/>
      <c r="AN99" s="13"/>
      <c r="AO99" s="13"/>
      <c r="AP99" s="13"/>
      <c r="AQ99" s="13"/>
      <c r="AR99" s="13"/>
      <c r="AS99" s="13"/>
      <c r="AT99" s="13"/>
      <c r="AU99" s="13"/>
      <c r="AV99" s="13"/>
      <c r="AW99" s="13"/>
      <c r="AX99" s="13"/>
      <c r="AY99" s="13"/>
    </row>
    <row r="100" spans="1:51" x14ac:dyDescent="0.25">
      <c r="A100" s="13" t="s">
        <v>152</v>
      </c>
      <c r="B100" s="13" t="s">
        <v>36</v>
      </c>
      <c r="C100" s="13">
        <v>32.887</v>
      </c>
      <c r="D100" s="13"/>
      <c r="E100" s="13">
        <v>32.963999999999999</v>
      </c>
      <c r="F100" s="13">
        <v>-7.6999999999999999E-2</v>
      </c>
      <c r="G100" s="6">
        <v>1</v>
      </c>
      <c r="H100" s="13">
        <v>45</v>
      </c>
      <c r="I100" s="13" t="s">
        <v>41</v>
      </c>
      <c r="J100" s="13"/>
      <c r="K100" s="13">
        <v>58.04</v>
      </c>
      <c r="L100" s="13">
        <f t="shared" si="25"/>
        <v>-25.076000000000001</v>
      </c>
      <c r="M100" s="13"/>
      <c r="N100" s="13"/>
      <c r="O100" s="13">
        <v>0</v>
      </c>
      <c r="P100" s="13">
        <v>81</v>
      </c>
      <c r="Q100" s="13">
        <f t="shared" si="26"/>
        <v>6.5927999999999995</v>
      </c>
      <c r="R100" s="4">
        <f t="shared" si="36"/>
        <v>24.561799999999995</v>
      </c>
      <c r="S100" s="4">
        <f t="shared" si="29"/>
        <v>25</v>
      </c>
      <c r="T100" s="4"/>
      <c r="U100" s="36">
        <f>VLOOKUP(A100,[1]Sheet!$A:$S,19,0)</f>
        <v>0</v>
      </c>
      <c r="V100" s="13">
        <f t="shared" si="30"/>
        <v>16.066466448246572</v>
      </c>
      <c r="W100" s="13">
        <f t="shared" si="27"/>
        <v>12.274450916150954</v>
      </c>
      <c r="X100" s="13">
        <v>12.7</v>
      </c>
      <c r="Y100" s="13">
        <v>5.0625999999999998</v>
      </c>
      <c r="Z100" s="13">
        <v>0.50580000000000003</v>
      </c>
      <c r="AA100" s="13">
        <v>9.2891999999999992</v>
      </c>
      <c r="AB100" s="13">
        <v>4.9366000000000003</v>
      </c>
      <c r="AC100" s="13">
        <v>0.85839999999999994</v>
      </c>
      <c r="AD100" s="13">
        <v>15.9528</v>
      </c>
      <c r="AE100" s="13">
        <v>3.9323999999999999</v>
      </c>
      <c r="AF100" s="13">
        <v>2.3767999999999998</v>
      </c>
      <c r="AG100" s="13">
        <v>0.50239999999999996</v>
      </c>
      <c r="AH100" s="13"/>
      <c r="AI100" s="13">
        <f t="shared" si="31"/>
        <v>25</v>
      </c>
      <c r="AJ100" s="13">
        <f t="shared" si="28"/>
        <v>0</v>
      </c>
      <c r="AK100" s="13"/>
      <c r="AL100" s="13"/>
      <c r="AM100" s="13"/>
      <c r="AN100" s="13"/>
      <c r="AO100" s="13"/>
      <c r="AP100" s="13"/>
      <c r="AQ100" s="13"/>
      <c r="AR100" s="13"/>
      <c r="AS100" s="13"/>
      <c r="AT100" s="13"/>
      <c r="AU100" s="13"/>
      <c r="AV100" s="13"/>
      <c r="AW100" s="13"/>
      <c r="AX100" s="13"/>
      <c r="AY100" s="13"/>
    </row>
    <row r="101" spans="1:51" x14ac:dyDescent="0.25">
      <c r="A101" s="8" t="s">
        <v>153</v>
      </c>
      <c r="B101" s="8" t="s">
        <v>40</v>
      </c>
      <c r="C101" s="8">
        <v>160</v>
      </c>
      <c r="D101" s="8"/>
      <c r="E101" s="8"/>
      <c r="F101" s="8">
        <v>160</v>
      </c>
      <c r="G101" s="9">
        <v>0</v>
      </c>
      <c r="H101" s="8"/>
      <c r="I101" s="8" t="s">
        <v>37</v>
      </c>
      <c r="J101" s="8"/>
      <c r="K101" s="8">
        <v>6</v>
      </c>
      <c r="L101" s="8">
        <f t="shared" si="25"/>
        <v>-6</v>
      </c>
      <c r="M101" s="8"/>
      <c r="N101" s="8"/>
      <c r="O101" s="8">
        <v>0</v>
      </c>
      <c r="P101" s="8">
        <v>0</v>
      </c>
      <c r="Q101" s="8">
        <f t="shared" si="26"/>
        <v>0</v>
      </c>
      <c r="R101" s="10"/>
      <c r="S101" s="4">
        <f t="shared" si="29"/>
        <v>0</v>
      </c>
      <c r="T101" s="4"/>
      <c r="U101" s="36">
        <f>VLOOKUP(A101,[1]Sheet!$A:$S,19,0)</f>
        <v>0</v>
      </c>
      <c r="V101" s="13" t="e">
        <f t="shared" si="30"/>
        <v>#DIV/0!</v>
      </c>
      <c r="W101" s="8" t="e">
        <f t="shared" si="27"/>
        <v>#DIV/0!</v>
      </c>
      <c r="X101" s="8">
        <v>4.4000000000000004</v>
      </c>
      <c r="Y101" s="8">
        <v>2.2000000000000002</v>
      </c>
      <c r="Z101" s="8">
        <v>1</v>
      </c>
      <c r="AA101" s="8">
        <v>0</v>
      </c>
      <c r="AB101" s="8">
        <v>0</v>
      </c>
      <c r="AC101" s="8">
        <v>0</v>
      </c>
      <c r="AD101" s="8">
        <v>0</v>
      </c>
      <c r="AE101" s="8">
        <v>0</v>
      </c>
      <c r="AF101" s="8">
        <v>0</v>
      </c>
      <c r="AG101" s="8">
        <v>0</v>
      </c>
      <c r="AH101" s="12" t="s">
        <v>154</v>
      </c>
      <c r="AI101" s="13">
        <f t="shared" si="31"/>
        <v>0</v>
      </c>
      <c r="AJ101" s="13">
        <f t="shared" si="28"/>
        <v>0</v>
      </c>
      <c r="AK101" s="13"/>
      <c r="AL101" s="13"/>
      <c r="AM101" s="13"/>
      <c r="AN101" s="13"/>
      <c r="AO101" s="13"/>
      <c r="AP101" s="13"/>
      <c r="AQ101" s="13"/>
      <c r="AR101" s="13"/>
      <c r="AS101" s="13"/>
      <c r="AT101" s="13"/>
      <c r="AU101" s="13"/>
      <c r="AV101" s="13"/>
      <c r="AW101" s="13"/>
      <c r="AX101" s="13"/>
      <c r="AY101" s="13"/>
    </row>
    <row r="102" spans="1:51" x14ac:dyDescent="0.25">
      <c r="A102" s="13" t="s">
        <v>155</v>
      </c>
      <c r="B102" s="13" t="s">
        <v>40</v>
      </c>
      <c r="C102" s="13">
        <v>28</v>
      </c>
      <c r="D102" s="13"/>
      <c r="E102" s="13"/>
      <c r="F102" s="13">
        <v>28</v>
      </c>
      <c r="G102" s="6">
        <v>0.33</v>
      </c>
      <c r="H102" s="13">
        <v>45</v>
      </c>
      <c r="I102" s="13" t="s">
        <v>41</v>
      </c>
      <c r="J102" s="13"/>
      <c r="K102" s="13">
        <v>362</v>
      </c>
      <c r="L102" s="13">
        <f t="shared" ref="L102:L110" si="37">E102-K102</f>
        <v>-362</v>
      </c>
      <c r="M102" s="13"/>
      <c r="N102" s="13"/>
      <c r="O102" s="13">
        <v>156</v>
      </c>
      <c r="P102" s="13">
        <v>0</v>
      </c>
      <c r="Q102" s="13">
        <f t="shared" ref="Q102:Q110" si="38">E102/5</f>
        <v>0</v>
      </c>
      <c r="R102" s="4"/>
      <c r="S102" s="4">
        <v>80</v>
      </c>
      <c r="T102" s="4"/>
      <c r="U102" s="36">
        <f>VLOOKUP(A102,[1]Sheet!$A:$S,19,0)</f>
        <v>100</v>
      </c>
      <c r="V102" s="13" t="e">
        <f t="shared" si="30"/>
        <v>#DIV/0!</v>
      </c>
      <c r="W102" s="13" t="e">
        <f t="shared" ref="W102:W110" si="39">(F102+O102+P102)/Q102</f>
        <v>#DIV/0!</v>
      </c>
      <c r="X102" s="13">
        <v>-2.2000000000000002</v>
      </c>
      <c r="Y102" s="13">
        <v>23</v>
      </c>
      <c r="Z102" s="13">
        <v>25.8</v>
      </c>
      <c r="AA102" s="13">
        <v>35.200000000000003</v>
      </c>
      <c r="AB102" s="13">
        <v>18.8</v>
      </c>
      <c r="AC102" s="13">
        <v>4.8</v>
      </c>
      <c r="AD102" s="13">
        <v>21.6</v>
      </c>
      <c r="AE102" s="13">
        <v>23.6</v>
      </c>
      <c r="AF102" s="13">
        <v>18</v>
      </c>
      <c r="AG102" s="13">
        <v>0.2</v>
      </c>
      <c r="AH102" s="11" t="s">
        <v>170</v>
      </c>
      <c r="AI102" s="13">
        <f t="shared" si="31"/>
        <v>26.400000000000002</v>
      </c>
      <c r="AJ102" s="13">
        <f t="shared" si="28"/>
        <v>0</v>
      </c>
      <c r="AK102" s="13"/>
      <c r="AL102" s="13"/>
      <c r="AM102" s="13"/>
      <c r="AN102" s="13"/>
      <c r="AO102" s="13"/>
      <c r="AP102" s="13"/>
      <c r="AQ102" s="13"/>
      <c r="AR102" s="13"/>
      <c r="AS102" s="13"/>
      <c r="AT102" s="13"/>
      <c r="AU102" s="13"/>
      <c r="AV102" s="13"/>
      <c r="AW102" s="13"/>
      <c r="AX102" s="13"/>
      <c r="AY102" s="13"/>
    </row>
    <row r="103" spans="1:51" x14ac:dyDescent="0.25">
      <c r="A103" s="29" t="s">
        <v>156</v>
      </c>
      <c r="B103" s="8" t="s">
        <v>40</v>
      </c>
      <c r="C103" s="8">
        <v>46</v>
      </c>
      <c r="D103" s="8"/>
      <c r="E103" s="8"/>
      <c r="F103" s="8">
        <v>46</v>
      </c>
      <c r="G103" s="9">
        <v>0</v>
      </c>
      <c r="H103" s="8">
        <v>45</v>
      </c>
      <c r="I103" s="8" t="s">
        <v>172</v>
      </c>
      <c r="J103" s="8"/>
      <c r="K103" s="8">
        <v>11</v>
      </c>
      <c r="L103" s="8">
        <f t="shared" si="37"/>
        <v>-11</v>
      </c>
      <c r="M103" s="8"/>
      <c r="N103" s="8"/>
      <c r="O103" s="8">
        <v>0</v>
      </c>
      <c r="P103" s="8">
        <v>0</v>
      </c>
      <c r="Q103" s="8">
        <f t="shared" si="38"/>
        <v>0</v>
      </c>
      <c r="R103" s="10"/>
      <c r="S103" s="4">
        <f t="shared" si="29"/>
        <v>0</v>
      </c>
      <c r="T103" s="4"/>
      <c r="U103" s="36">
        <f>VLOOKUP(A103,[1]Sheet!$A:$S,19,0)</f>
        <v>0</v>
      </c>
      <c r="V103" s="13" t="e">
        <f t="shared" si="30"/>
        <v>#DIV/0!</v>
      </c>
      <c r="W103" s="8" t="e">
        <f t="shared" si="39"/>
        <v>#DIV/0!</v>
      </c>
      <c r="X103" s="8">
        <v>2.4</v>
      </c>
      <c r="Y103" s="8">
        <v>0.8</v>
      </c>
      <c r="Z103" s="8">
        <v>0.6</v>
      </c>
      <c r="AA103" s="8">
        <v>0.4</v>
      </c>
      <c r="AB103" s="8">
        <v>4.2</v>
      </c>
      <c r="AC103" s="8">
        <v>3.4</v>
      </c>
      <c r="AD103" s="8">
        <v>0</v>
      </c>
      <c r="AE103" s="8">
        <v>0</v>
      </c>
      <c r="AF103" s="8">
        <v>0</v>
      </c>
      <c r="AG103" s="8">
        <v>0</v>
      </c>
      <c r="AH103" s="11" t="s">
        <v>171</v>
      </c>
      <c r="AI103" s="13">
        <f t="shared" si="31"/>
        <v>0</v>
      </c>
      <c r="AJ103" s="13">
        <f t="shared" si="28"/>
        <v>0</v>
      </c>
      <c r="AK103" s="13"/>
      <c r="AL103" s="13"/>
      <c r="AM103" s="13"/>
      <c r="AN103" s="13"/>
      <c r="AO103" s="13"/>
      <c r="AP103" s="13"/>
      <c r="AQ103" s="13"/>
      <c r="AR103" s="13"/>
      <c r="AS103" s="13"/>
      <c r="AT103" s="13"/>
      <c r="AU103" s="13"/>
      <c r="AV103" s="13"/>
      <c r="AW103" s="13"/>
      <c r="AX103" s="13"/>
      <c r="AY103" s="13"/>
    </row>
    <row r="104" spans="1:51" x14ac:dyDescent="0.25">
      <c r="A104" s="29" t="s">
        <v>157</v>
      </c>
      <c r="B104" s="8" t="s">
        <v>40</v>
      </c>
      <c r="C104" s="8">
        <v>21</v>
      </c>
      <c r="D104" s="8"/>
      <c r="E104" s="8">
        <v>17</v>
      </c>
      <c r="F104" s="8">
        <v>-1</v>
      </c>
      <c r="G104" s="9">
        <v>0</v>
      </c>
      <c r="H104" s="8">
        <v>60</v>
      </c>
      <c r="I104" s="8" t="s">
        <v>172</v>
      </c>
      <c r="J104" s="8"/>
      <c r="K104" s="8">
        <v>135</v>
      </c>
      <c r="L104" s="8">
        <f t="shared" si="37"/>
        <v>-118</v>
      </c>
      <c r="M104" s="8"/>
      <c r="N104" s="8"/>
      <c r="O104" s="8">
        <v>0</v>
      </c>
      <c r="P104" s="8">
        <v>59</v>
      </c>
      <c r="Q104" s="8">
        <f t="shared" si="38"/>
        <v>3.4</v>
      </c>
      <c r="R104" s="10"/>
      <c r="S104" s="4">
        <f t="shared" si="29"/>
        <v>0</v>
      </c>
      <c r="T104" s="4"/>
      <c r="U104" s="36">
        <f>VLOOKUP(A104,[1]Sheet!$A:$S,19,0)</f>
        <v>0</v>
      </c>
      <c r="V104" s="13">
        <f t="shared" si="30"/>
        <v>17.058823529411764</v>
      </c>
      <c r="W104" s="8">
        <f t="shared" si="39"/>
        <v>17.058823529411764</v>
      </c>
      <c r="X104" s="8">
        <v>10</v>
      </c>
      <c r="Y104" s="8">
        <v>1</v>
      </c>
      <c r="Z104" s="8">
        <v>0</v>
      </c>
      <c r="AA104" s="8">
        <v>0.4</v>
      </c>
      <c r="AB104" s="8">
        <v>5.8</v>
      </c>
      <c r="AC104" s="8">
        <v>0.6</v>
      </c>
      <c r="AD104" s="8">
        <v>0</v>
      </c>
      <c r="AE104" s="8">
        <v>0</v>
      </c>
      <c r="AF104" s="8">
        <v>0</v>
      </c>
      <c r="AG104" s="8">
        <v>0</v>
      </c>
      <c r="AH104" s="8" t="s">
        <v>158</v>
      </c>
      <c r="AI104" s="13">
        <f t="shared" si="31"/>
        <v>0</v>
      </c>
      <c r="AJ104" s="13">
        <f t="shared" si="28"/>
        <v>0</v>
      </c>
      <c r="AK104" s="13"/>
      <c r="AL104" s="13"/>
      <c r="AM104" s="13"/>
      <c r="AN104" s="13"/>
      <c r="AO104" s="13"/>
      <c r="AP104" s="13"/>
      <c r="AQ104" s="13"/>
      <c r="AR104" s="13"/>
      <c r="AS104" s="13"/>
      <c r="AT104" s="13"/>
      <c r="AU104" s="13"/>
      <c r="AV104" s="13"/>
      <c r="AW104" s="13"/>
      <c r="AX104" s="13"/>
      <c r="AY104" s="13"/>
    </row>
    <row r="105" spans="1:51" x14ac:dyDescent="0.25">
      <c r="A105" s="13" t="s">
        <v>79</v>
      </c>
      <c r="B105" s="13" t="s">
        <v>40</v>
      </c>
      <c r="C105" s="13">
        <v>199</v>
      </c>
      <c r="D105" s="13">
        <v>15</v>
      </c>
      <c r="E105" s="13">
        <v>129</v>
      </c>
      <c r="F105" s="14">
        <f>83+F37</f>
        <v>68</v>
      </c>
      <c r="G105" s="6">
        <v>0.1</v>
      </c>
      <c r="H105" s="13">
        <v>60</v>
      </c>
      <c r="I105" s="13" t="s">
        <v>41</v>
      </c>
      <c r="J105" s="13"/>
      <c r="K105" s="13">
        <v>261</v>
      </c>
      <c r="L105" s="13">
        <f t="shared" si="37"/>
        <v>-132</v>
      </c>
      <c r="M105" s="13"/>
      <c r="N105" s="13"/>
      <c r="O105" s="13">
        <v>0</v>
      </c>
      <c r="P105" s="13">
        <v>260</v>
      </c>
      <c r="Q105" s="13">
        <f t="shared" si="38"/>
        <v>25.8</v>
      </c>
      <c r="R105" s="4">
        <f t="shared" ref="R105:R106" si="40">16*Q105-P105-O105-F105</f>
        <v>84.800000000000011</v>
      </c>
      <c r="S105" s="4">
        <f>U105</f>
        <v>150</v>
      </c>
      <c r="T105" s="4"/>
      <c r="U105" s="36">
        <f>VLOOKUP(A105,[1]Sheet!$A:$S,19,0)</f>
        <v>150</v>
      </c>
      <c r="V105" s="13">
        <f t="shared" si="30"/>
        <v>18.527131782945737</v>
      </c>
      <c r="W105" s="13">
        <f t="shared" si="39"/>
        <v>12.713178294573643</v>
      </c>
      <c r="X105" s="13">
        <v>40.4</v>
      </c>
      <c r="Y105" s="13">
        <v>27</v>
      </c>
      <c r="Z105" s="13">
        <v>16.2</v>
      </c>
      <c r="AA105" s="13">
        <v>1.4</v>
      </c>
      <c r="AB105" s="13">
        <v>17</v>
      </c>
      <c r="AC105" s="13">
        <v>24.6</v>
      </c>
      <c r="AD105" s="13">
        <v>0</v>
      </c>
      <c r="AE105" s="13">
        <v>0</v>
      </c>
      <c r="AF105" s="13">
        <v>0</v>
      </c>
      <c r="AG105" s="13">
        <v>0</v>
      </c>
      <c r="AH105" s="13" t="s">
        <v>159</v>
      </c>
      <c r="AI105" s="13">
        <f t="shared" si="31"/>
        <v>15</v>
      </c>
      <c r="AJ105" s="13">
        <f t="shared" si="28"/>
        <v>0</v>
      </c>
      <c r="AK105" s="13"/>
      <c r="AL105" s="13"/>
      <c r="AM105" s="13"/>
      <c r="AN105" s="13"/>
      <c r="AO105" s="13"/>
      <c r="AP105" s="13"/>
      <c r="AQ105" s="13"/>
      <c r="AR105" s="13"/>
      <c r="AS105" s="13"/>
      <c r="AT105" s="13"/>
      <c r="AU105" s="13"/>
      <c r="AV105" s="13"/>
      <c r="AW105" s="13"/>
      <c r="AX105" s="13"/>
      <c r="AY105" s="13"/>
    </row>
    <row r="106" spans="1:51" x14ac:dyDescent="0.25">
      <c r="A106" s="13" t="s">
        <v>76</v>
      </c>
      <c r="B106" s="13" t="s">
        <v>40</v>
      </c>
      <c r="C106" s="13">
        <v>145</v>
      </c>
      <c r="D106" s="13">
        <v>5</v>
      </c>
      <c r="E106" s="13">
        <v>146</v>
      </c>
      <c r="F106" s="14">
        <f>3+F36</f>
        <v>5</v>
      </c>
      <c r="G106" s="6">
        <v>0.1</v>
      </c>
      <c r="H106" s="13">
        <v>60</v>
      </c>
      <c r="I106" s="13" t="s">
        <v>41</v>
      </c>
      <c r="J106" s="13"/>
      <c r="K106" s="13">
        <v>282</v>
      </c>
      <c r="L106" s="13">
        <f t="shared" si="37"/>
        <v>-136</v>
      </c>
      <c r="M106" s="13"/>
      <c r="N106" s="13"/>
      <c r="O106" s="13">
        <v>0</v>
      </c>
      <c r="P106" s="13">
        <v>312</v>
      </c>
      <c r="Q106" s="13">
        <f t="shared" si="38"/>
        <v>29.2</v>
      </c>
      <c r="R106" s="4">
        <f t="shared" si="40"/>
        <v>150.19999999999999</v>
      </c>
      <c r="S106" s="4">
        <f t="shared" si="29"/>
        <v>150</v>
      </c>
      <c r="T106" s="4"/>
      <c r="U106" s="36">
        <f>VLOOKUP(A106,[1]Sheet!$A:$S,19,0)</f>
        <v>0</v>
      </c>
      <c r="V106" s="13">
        <f t="shared" si="30"/>
        <v>15.993150684931507</v>
      </c>
      <c r="W106" s="13">
        <f t="shared" si="39"/>
        <v>10.856164383561644</v>
      </c>
      <c r="X106" s="13">
        <v>51</v>
      </c>
      <c r="Y106" s="13">
        <v>2.2000000000000002</v>
      </c>
      <c r="Z106" s="13">
        <v>20.399999999999999</v>
      </c>
      <c r="AA106" s="13">
        <v>38.799999999999997</v>
      </c>
      <c r="AB106" s="13">
        <v>20</v>
      </c>
      <c r="AC106" s="13">
        <v>-0.4</v>
      </c>
      <c r="AD106" s="13">
        <v>0</v>
      </c>
      <c r="AE106" s="13">
        <v>0</v>
      </c>
      <c r="AF106" s="13">
        <v>0</v>
      </c>
      <c r="AG106" s="13">
        <v>0</v>
      </c>
      <c r="AH106" s="13" t="s">
        <v>160</v>
      </c>
      <c r="AI106" s="13">
        <f t="shared" si="31"/>
        <v>15</v>
      </c>
      <c r="AJ106" s="13">
        <f t="shared" si="28"/>
        <v>0</v>
      </c>
      <c r="AK106" s="13"/>
      <c r="AL106" s="13"/>
      <c r="AM106" s="13"/>
      <c r="AN106" s="13"/>
      <c r="AO106" s="13"/>
      <c r="AP106" s="13"/>
      <c r="AQ106" s="13"/>
      <c r="AR106" s="13"/>
      <c r="AS106" s="13"/>
      <c r="AT106" s="13"/>
      <c r="AU106" s="13"/>
      <c r="AV106" s="13"/>
      <c r="AW106" s="13"/>
      <c r="AX106" s="13"/>
      <c r="AY106" s="13"/>
    </row>
    <row r="107" spans="1:51" x14ac:dyDescent="0.25">
      <c r="A107" s="13" t="s">
        <v>161</v>
      </c>
      <c r="B107" s="13" t="s">
        <v>40</v>
      </c>
      <c r="C107" s="13">
        <v>51</v>
      </c>
      <c r="D107" s="13">
        <v>1</v>
      </c>
      <c r="E107" s="13">
        <v>65</v>
      </c>
      <c r="F107" s="13">
        <v>-13</v>
      </c>
      <c r="G107" s="6">
        <v>0.4</v>
      </c>
      <c r="H107" s="13">
        <v>60</v>
      </c>
      <c r="I107" s="13" t="s">
        <v>41</v>
      </c>
      <c r="J107" s="13"/>
      <c r="K107" s="13">
        <v>418</v>
      </c>
      <c r="L107" s="13">
        <f t="shared" si="37"/>
        <v>-353</v>
      </c>
      <c r="M107" s="13"/>
      <c r="N107" s="13"/>
      <c r="O107" s="13">
        <v>781</v>
      </c>
      <c r="P107" s="13">
        <v>291</v>
      </c>
      <c r="Q107" s="13">
        <v>80</v>
      </c>
      <c r="R107" s="4"/>
      <c r="S107" s="4">
        <v>200</v>
      </c>
      <c r="T107" s="4">
        <v>250</v>
      </c>
      <c r="U107" s="36">
        <f>VLOOKUP(A107,[1]Sheet!$A:$S,19,0)</f>
        <v>250</v>
      </c>
      <c r="V107" s="13">
        <f>(F107+O107+P107+S107+T107)/Q107</f>
        <v>18.862500000000001</v>
      </c>
      <c r="W107" s="13">
        <f t="shared" si="39"/>
        <v>13.237500000000001</v>
      </c>
      <c r="X107" s="13">
        <v>80.2</v>
      </c>
      <c r="Y107" s="13">
        <v>93.8</v>
      </c>
      <c r="Z107" s="13">
        <v>30.4</v>
      </c>
      <c r="AA107" s="13">
        <v>47.8</v>
      </c>
      <c r="AB107" s="13">
        <v>65.8</v>
      </c>
      <c r="AC107" s="13">
        <v>42</v>
      </c>
      <c r="AD107" s="13">
        <v>44.4</v>
      </c>
      <c r="AE107" s="13">
        <v>0</v>
      </c>
      <c r="AF107" s="13">
        <v>0</v>
      </c>
      <c r="AG107" s="13">
        <v>0</v>
      </c>
      <c r="AH107" s="13" t="s">
        <v>162</v>
      </c>
      <c r="AI107" s="13">
        <f t="shared" si="31"/>
        <v>80</v>
      </c>
      <c r="AJ107" s="13">
        <f t="shared" si="28"/>
        <v>100</v>
      </c>
      <c r="AK107" s="13"/>
      <c r="AL107" s="13"/>
      <c r="AM107" s="13"/>
      <c r="AN107" s="13"/>
      <c r="AO107" s="13"/>
      <c r="AP107" s="13"/>
      <c r="AQ107" s="13"/>
      <c r="AR107" s="13"/>
      <c r="AS107" s="13"/>
      <c r="AT107" s="13"/>
      <c r="AU107" s="13"/>
      <c r="AV107" s="13"/>
      <c r="AW107" s="13"/>
      <c r="AX107" s="13"/>
      <c r="AY107" s="13"/>
    </row>
    <row r="108" spans="1:51" x14ac:dyDescent="0.25">
      <c r="A108" s="13" t="s">
        <v>163</v>
      </c>
      <c r="B108" s="13" t="s">
        <v>40</v>
      </c>
      <c r="C108" s="13">
        <v>135</v>
      </c>
      <c r="D108" s="13">
        <v>3</v>
      </c>
      <c r="E108" s="13">
        <v>115</v>
      </c>
      <c r="F108" s="13">
        <v>20</v>
      </c>
      <c r="G108" s="6">
        <v>0.1</v>
      </c>
      <c r="H108" s="13"/>
      <c r="I108" s="13" t="s">
        <v>41</v>
      </c>
      <c r="J108" s="13"/>
      <c r="K108" s="13">
        <v>123</v>
      </c>
      <c r="L108" s="13">
        <f t="shared" si="37"/>
        <v>-8</v>
      </c>
      <c r="M108" s="13"/>
      <c r="N108" s="13"/>
      <c r="O108" s="13">
        <v>0</v>
      </c>
      <c r="P108" s="13">
        <v>0</v>
      </c>
      <c r="Q108" s="13">
        <f t="shared" si="38"/>
        <v>23</v>
      </c>
      <c r="R108" s="4">
        <f>9*Q108-P108-O108-F108</f>
        <v>187</v>
      </c>
      <c r="S108" s="4">
        <f t="shared" si="29"/>
        <v>187</v>
      </c>
      <c r="T108" s="4"/>
      <c r="U108" s="36">
        <f>VLOOKUP(A108,[1]Sheet!$A:$S,19,0)</f>
        <v>0</v>
      </c>
      <c r="V108" s="13">
        <f t="shared" si="30"/>
        <v>9</v>
      </c>
      <c r="W108" s="13">
        <f t="shared" si="39"/>
        <v>0.86956521739130432</v>
      </c>
      <c r="X108" s="13">
        <v>4.8</v>
      </c>
      <c r="Y108" s="13">
        <v>1.6</v>
      </c>
      <c r="Z108" s="13">
        <v>16</v>
      </c>
      <c r="AA108" s="13">
        <v>1.8</v>
      </c>
      <c r="AB108" s="13">
        <v>0</v>
      </c>
      <c r="AC108" s="13">
        <v>0</v>
      </c>
      <c r="AD108" s="13">
        <v>0</v>
      </c>
      <c r="AE108" s="13">
        <v>0</v>
      </c>
      <c r="AF108" s="13">
        <v>0</v>
      </c>
      <c r="AG108" s="13">
        <v>0</v>
      </c>
      <c r="AH108" s="13" t="s">
        <v>112</v>
      </c>
      <c r="AI108" s="13">
        <f t="shared" si="31"/>
        <v>18.7</v>
      </c>
      <c r="AJ108" s="13">
        <f t="shared" si="28"/>
        <v>0</v>
      </c>
      <c r="AK108" s="13"/>
      <c r="AL108" s="13"/>
      <c r="AM108" s="13"/>
      <c r="AN108" s="13"/>
      <c r="AO108" s="13"/>
      <c r="AP108" s="13"/>
      <c r="AQ108" s="13"/>
      <c r="AR108" s="13"/>
      <c r="AS108" s="13"/>
      <c r="AT108" s="13"/>
      <c r="AU108" s="13"/>
      <c r="AV108" s="13"/>
      <c r="AW108" s="13"/>
      <c r="AX108" s="13"/>
      <c r="AY108" s="13"/>
    </row>
    <row r="109" spans="1:51" x14ac:dyDescent="0.25">
      <c r="A109" s="13" t="s">
        <v>164</v>
      </c>
      <c r="B109" s="13" t="s">
        <v>40</v>
      </c>
      <c r="C109" s="13">
        <v>134</v>
      </c>
      <c r="D109" s="13">
        <v>2</v>
      </c>
      <c r="E109" s="13">
        <v>114</v>
      </c>
      <c r="F109" s="13">
        <v>21</v>
      </c>
      <c r="G109" s="6">
        <v>0.1</v>
      </c>
      <c r="H109" s="13"/>
      <c r="I109" s="13" t="s">
        <v>41</v>
      </c>
      <c r="J109" s="13"/>
      <c r="K109" s="13">
        <v>120</v>
      </c>
      <c r="L109" s="13">
        <f t="shared" si="37"/>
        <v>-6</v>
      </c>
      <c r="M109" s="13"/>
      <c r="N109" s="13"/>
      <c r="O109" s="13">
        <v>0</v>
      </c>
      <c r="P109" s="13">
        <v>0</v>
      </c>
      <c r="Q109" s="13">
        <f t="shared" si="38"/>
        <v>22.8</v>
      </c>
      <c r="R109" s="4">
        <f>9*Q109-P109-O109-F109</f>
        <v>184.20000000000002</v>
      </c>
      <c r="S109" s="4">
        <f t="shared" si="29"/>
        <v>184</v>
      </c>
      <c r="T109" s="4"/>
      <c r="U109" s="36">
        <f>VLOOKUP(A109,[1]Sheet!$A:$S,19,0)</f>
        <v>0</v>
      </c>
      <c r="V109" s="13">
        <f t="shared" si="30"/>
        <v>8.9912280701754383</v>
      </c>
      <c r="W109" s="13">
        <f t="shared" si="39"/>
        <v>0.92105263157894735</v>
      </c>
      <c r="X109" s="13">
        <v>5.4</v>
      </c>
      <c r="Y109" s="13">
        <v>1.6</v>
      </c>
      <c r="Z109" s="13">
        <v>16</v>
      </c>
      <c r="AA109" s="13">
        <v>1.6</v>
      </c>
      <c r="AB109" s="13">
        <v>0</v>
      </c>
      <c r="AC109" s="13">
        <v>0</v>
      </c>
      <c r="AD109" s="13">
        <v>0</v>
      </c>
      <c r="AE109" s="13">
        <v>0</v>
      </c>
      <c r="AF109" s="13">
        <v>0</v>
      </c>
      <c r="AG109" s="13">
        <v>0</v>
      </c>
      <c r="AH109" s="13" t="s">
        <v>112</v>
      </c>
      <c r="AI109" s="13">
        <f t="shared" si="31"/>
        <v>18.400000000000002</v>
      </c>
      <c r="AJ109" s="13">
        <f t="shared" si="28"/>
        <v>0</v>
      </c>
      <c r="AK109" s="13"/>
      <c r="AL109" s="13"/>
      <c r="AM109" s="13"/>
      <c r="AN109" s="13"/>
      <c r="AO109" s="13"/>
      <c r="AP109" s="13"/>
      <c r="AQ109" s="13"/>
      <c r="AR109" s="13"/>
      <c r="AS109" s="13"/>
      <c r="AT109" s="13"/>
      <c r="AU109" s="13"/>
      <c r="AV109" s="13"/>
      <c r="AW109" s="13"/>
      <c r="AX109" s="13"/>
      <c r="AY109" s="13"/>
    </row>
    <row r="110" spans="1:51" x14ac:dyDescent="0.25">
      <c r="A110" s="8" t="s">
        <v>165</v>
      </c>
      <c r="B110" s="8" t="s">
        <v>36</v>
      </c>
      <c r="C110" s="8"/>
      <c r="D110" s="8"/>
      <c r="E110" s="8"/>
      <c r="F110" s="8"/>
      <c r="G110" s="9">
        <v>0</v>
      </c>
      <c r="H110" s="8"/>
      <c r="I110" s="8" t="s">
        <v>41</v>
      </c>
      <c r="J110" s="8"/>
      <c r="K110" s="8"/>
      <c r="L110" s="8">
        <f t="shared" si="37"/>
        <v>0</v>
      </c>
      <c r="M110" s="8"/>
      <c r="N110" s="8"/>
      <c r="O110" s="8">
        <v>0</v>
      </c>
      <c r="P110" s="8">
        <v>0</v>
      </c>
      <c r="Q110" s="8">
        <f t="shared" si="38"/>
        <v>0</v>
      </c>
      <c r="R110" s="10"/>
      <c r="S110" s="4">
        <f t="shared" si="29"/>
        <v>0</v>
      </c>
      <c r="T110" s="4"/>
      <c r="U110" s="36">
        <f>VLOOKUP(A110,[1]Sheet!$A:$S,19,0)</f>
        <v>0</v>
      </c>
      <c r="V110" s="13" t="e">
        <f t="shared" si="30"/>
        <v>#DIV/0!</v>
      </c>
      <c r="W110" s="8" t="e">
        <f t="shared" si="39"/>
        <v>#DIV/0!</v>
      </c>
      <c r="X110" s="8">
        <v>0</v>
      </c>
      <c r="Y110" s="8">
        <v>0</v>
      </c>
      <c r="Z110" s="8">
        <v>0</v>
      </c>
      <c r="AA110" s="8">
        <v>0</v>
      </c>
      <c r="AB110" s="8">
        <v>0</v>
      </c>
      <c r="AC110" s="8">
        <v>0</v>
      </c>
      <c r="AD110" s="8">
        <v>0</v>
      </c>
      <c r="AE110" s="8">
        <v>0</v>
      </c>
      <c r="AF110" s="8">
        <v>0</v>
      </c>
      <c r="AG110" s="8">
        <v>0</v>
      </c>
      <c r="AH110" s="8" t="s">
        <v>105</v>
      </c>
      <c r="AI110" s="13">
        <f t="shared" si="31"/>
        <v>0</v>
      </c>
      <c r="AJ110" s="13">
        <f t="shared" si="28"/>
        <v>0</v>
      </c>
      <c r="AK110" s="13"/>
      <c r="AL110" s="13"/>
      <c r="AM110" s="13"/>
      <c r="AN110" s="13"/>
      <c r="AO110" s="13"/>
      <c r="AP110" s="13"/>
      <c r="AQ110" s="13"/>
      <c r="AR110" s="13"/>
      <c r="AS110" s="13"/>
      <c r="AT110" s="13"/>
      <c r="AU110" s="13"/>
      <c r="AV110" s="13"/>
      <c r="AW110" s="13"/>
      <c r="AX110" s="13"/>
      <c r="AY110" s="13"/>
    </row>
    <row r="111" spans="1:51" x14ac:dyDescent="0.25">
      <c r="A111" s="30" t="s">
        <v>189</v>
      </c>
      <c r="B111" s="30" t="s">
        <v>36</v>
      </c>
      <c r="C111" s="30"/>
      <c r="D111" s="30"/>
      <c r="E111" s="30"/>
      <c r="F111" s="30"/>
      <c r="G111" s="31">
        <v>1</v>
      </c>
      <c r="H111" s="30">
        <v>30</v>
      </c>
      <c r="I111" s="30" t="s">
        <v>41</v>
      </c>
      <c r="J111" s="30"/>
      <c r="K111" s="30"/>
      <c r="L111" s="30"/>
      <c r="M111" s="30"/>
      <c r="N111" s="30"/>
      <c r="O111" s="30"/>
      <c r="P111" s="30"/>
      <c r="Q111" s="30">
        <f t="shared" ref="Q111:Q118" si="41">E111/5</f>
        <v>0</v>
      </c>
      <c r="R111" s="32">
        <v>10</v>
      </c>
      <c r="S111" s="4">
        <v>100</v>
      </c>
      <c r="T111" s="4"/>
      <c r="U111" s="36">
        <f>VLOOKUP(A111,[1]Sheet!$A:$S,19,0)</f>
        <v>150</v>
      </c>
      <c r="V111" s="13" t="e">
        <f t="shared" si="30"/>
        <v>#DIV/0!</v>
      </c>
      <c r="W111" s="30" t="e">
        <f t="shared" ref="W111:W118" si="42">(F111+O111+P111)/Q111</f>
        <v>#DIV/0!</v>
      </c>
      <c r="X111" s="30">
        <v>0</v>
      </c>
      <c r="Y111" s="30">
        <v>0</v>
      </c>
      <c r="Z111" s="30">
        <v>0</v>
      </c>
      <c r="AA111" s="30">
        <v>0</v>
      </c>
      <c r="AB111" s="30">
        <v>0</v>
      </c>
      <c r="AC111" s="30">
        <v>0</v>
      </c>
      <c r="AD111" s="30">
        <v>0</v>
      </c>
      <c r="AE111" s="30">
        <v>0</v>
      </c>
      <c r="AF111" s="30">
        <v>0</v>
      </c>
      <c r="AG111" s="30">
        <v>0</v>
      </c>
      <c r="AH111" s="33" t="s">
        <v>112</v>
      </c>
      <c r="AI111" s="13">
        <f t="shared" si="31"/>
        <v>100</v>
      </c>
      <c r="AJ111" s="13">
        <f t="shared" si="28"/>
        <v>0</v>
      </c>
      <c r="AK111" s="13"/>
      <c r="AL111" s="13"/>
      <c r="AM111" s="13"/>
      <c r="AN111" s="13"/>
      <c r="AO111" s="13"/>
      <c r="AP111" s="13"/>
      <c r="AQ111" s="13"/>
      <c r="AR111" s="13"/>
      <c r="AS111" s="13"/>
      <c r="AT111" s="13"/>
      <c r="AU111" s="13"/>
      <c r="AV111" s="13"/>
      <c r="AW111" s="13"/>
      <c r="AX111" s="13"/>
      <c r="AY111" s="13"/>
    </row>
    <row r="112" spans="1:51" x14ac:dyDescent="0.25">
      <c r="A112" s="30" t="s">
        <v>190</v>
      </c>
      <c r="B112" s="30" t="s">
        <v>36</v>
      </c>
      <c r="C112" s="30"/>
      <c r="D112" s="30"/>
      <c r="E112" s="30"/>
      <c r="F112" s="30"/>
      <c r="G112" s="31">
        <v>1</v>
      </c>
      <c r="H112" s="30">
        <v>30</v>
      </c>
      <c r="I112" s="30" t="s">
        <v>41</v>
      </c>
      <c r="J112" s="30"/>
      <c r="K112" s="30"/>
      <c r="L112" s="30"/>
      <c r="M112" s="30"/>
      <c r="N112" s="30"/>
      <c r="O112" s="30"/>
      <c r="P112" s="30"/>
      <c r="Q112" s="30">
        <f t="shared" si="41"/>
        <v>0</v>
      </c>
      <c r="R112" s="32">
        <v>10</v>
      </c>
      <c r="S112" s="4">
        <v>100</v>
      </c>
      <c r="T112" s="4"/>
      <c r="U112" s="36">
        <f>VLOOKUP(A112,[1]Sheet!$A:$S,19,0)</f>
        <v>150</v>
      </c>
      <c r="V112" s="13" t="e">
        <f t="shared" si="30"/>
        <v>#DIV/0!</v>
      </c>
      <c r="W112" s="30" t="e">
        <f t="shared" si="42"/>
        <v>#DIV/0!</v>
      </c>
      <c r="X112" s="30">
        <v>0</v>
      </c>
      <c r="Y112" s="30">
        <v>0</v>
      </c>
      <c r="Z112" s="30">
        <v>0</v>
      </c>
      <c r="AA112" s="30">
        <v>0</v>
      </c>
      <c r="AB112" s="30">
        <v>0</v>
      </c>
      <c r="AC112" s="30">
        <v>0</v>
      </c>
      <c r="AD112" s="30">
        <v>0</v>
      </c>
      <c r="AE112" s="30">
        <v>0</v>
      </c>
      <c r="AF112" s="30">
        <v>0</v>
      </c>
      <c r="AG112" s="30">
        <v>0</v>
      </c>
      <c r="AH112" s="33" t="s">
        <v>112</v>
      </c>
      <c r="AI112" s="13">
        <f t="shared" si="31"/>
        <v>100</v>
      </c>
      <c r="AJ112" s="13">
        <f t="shared" si="28"/>
        <v>0</v>
      </c>
      <c r="AK112" s="13"/>
      <c r="AL112" s="13"/>
      <c r="AM112" s="13"/>
      <c r="AN112" s="13"/>
      <c r="AO112" s="13"/>
      <c r="AP112" s="13"/>
      <c r="AQ112" s="13"/>
      <c r="AR112" s="13"/>
      <c r="AS112" s="13"/>
      <c r="AT112" s="13"/>
      <c r="AU112" s="13"/>
      <c r="AV112" s="13"/>
      <c r="AW112" s="13"/>
      <c r="AX112" s="13"/>
      <c r="AY112" s="13"/>
    </row>
    <row r="113" spans="1:51" x14ac:dyDescent="0.25">
      <c r="A113" s="30" t="s">
        <v>191</v>
      </c>
      <c r="B113" s="30" t="s">
        <v>36</v>
      </c>
      <c r="C113" s="30"/>
      <c r="D113" s="30"/>
      <c r="E113" s="30"/>
      <c r="F113" s="30"/>
      <c r="G113" s="31">
        <v>1</v>
      </c>
      <c r="H113" s="30">
        <v>45</v>
      </c>
      <c r="I113" s="30" t="s">
        <v>41</v>
      </c>
      <c r="J113" s="30"/>
      <c r="K113" s="30"/>
      <c r="L113" s="30"/>
      <c r="M113" s="30"/>
      <c r="N113" s="30"/>
      <c r="O113" s="30"/>
      <c r="P113" s="30"/>
      <c r="Q113" s="30">
        <f t="shared" si="41"/>
        <v>0</v>
      </c>
      <c r="R113" s="32">
        <v>10</v>
      </c>
      <c r="S113" s="4">
        <v>100</v>
      </c>
      <c r="T113" s="4"/>
      <c r="U113" s="36">
        <f>VLOOKUP(A113,[1]Sheet!$A:$S,19,0)</f>
        <v>150</v>
      </c>
      <c r="V113" s="13" t="e">
        <f t="shared" si="30"/>
        <v>#DIV/0!</v>
      </c>
      <c r="W113" s="30" t="e">
        <f t="shared" si="42"/>
        <v>#DIV/0!</v>
      </c>
      <c r="X113" s="30">
        <v>0</v>
      </c>
      <c r="Y113" s="30">
        <v>0</v>
      </c>
      <c r="Z113" s="30">
        <v>0</v>
      </c>
      <c r="AA113" s="30">
        <v>0</v>
      </c>
      <c r="AB113" s="30">
        <v>0</v>
      </c>
      <c r="AC113" s="30">
        <v>0</v>
      </c>
      <c r="AD113" s="30">
        <v>0</v>
      </c>
      <c r="AE113" s="30">
        <v>0</v>
      </c>
      <c r="AF113" s="30">
        <v>0</v>
      </c>
      <c r="AG113" s="30">
        <v>0</v>
      </c>
      <c r="AH113" s="33" t="s">
        <v>112</v>
      </c>
      <c r="AI113" s="13">
        <f t="shared" si="31"/>
        <v>100</v>
      </c>
      <c r="AJ113" s="13">
        <f t="shared" si="28"/>
        <v>0</v>
      </c>
      <c r="AK113" s="13"/>
      <c r="AL113" s="13"/>
      <c r="AM113" s="13"/>
      <c r="AN113" s="13"/>
      <c r="AO113" s="13"/>
      <c r="AP113" s="13"/>
      <c r="AQ113" s="13"/>
      <c r="AR113" s="13"/>
      <c r="AS113" s="13"/>
      <c r="AT113" s="13"/>
      <c r="AU113" s="13"/>
      <c r="AV113" s="13"/>
      <c r="AW113" s="13"/>
      <c r="AX113" s="13"/>
      <c r="AY113" s="13"/>
    </row>
    <row r="114" spans="1:51" x14ac:dyDescent="0.25">
      <c r="A114" s="30" t="s">
        <v>183</v>
      </c>
      <c r="B114" s="30" t="s">
        <v>40</v>
      </c>
      <c r="C114" s="30"/>
      <c r="D114" s="30"/>
      <c r="E114" s="30"/>
      <c r="F114" s="30"/>
      <c r="G114" s="31">
        <v>0.22</v>
      </c>
      <c r="H114" s="30">
        <f>VLOOKUP(A114,новинки!D:F,3,0)</f>
        <v>120</v>
      </c>
      <c r="I114" s="30" t="s">
        <v>41</v>
      </c>
      <c r="J114" s="30"/>
      <c r="K114" s="30"/>
      <c r="L114" s="30"/>
      <c r="M114" s="30"/>
      <c r="N114" s="30"/>
      <c r="O114" s="30"/>
      <c r="P114" s="30"/>
      <c r="Q114" s="30">
        <f t="shared" si="41"/>
        <v>0</v>
      </c>
      <c r="R114" s="32">
        <v>40</v>
      </c>
      <c r="S114" s="4">
        <v>120</v>
      </c>
      <c r="T114" s="4"/>
      <c r="U114" s="36">
        <f>VLOOKUP(A114,[1]Sheet!$A:$S,19,0)</f>
        <v>150</v>
      </c>
      <c r="V114" s="13" t="e">
        <f t="shared" si="30"/>
        <v>#DIV/0!</v>
      </c>
      <c r="W114" s="30" t="e">
        <f t="shared" si="42"/>
        <v>#DIV/0!</v>
      </c>
      <c r="X114" s="30">
        <v>0</v>
      </c>
      <c r="Y114" s="30">
        <v>0</v>
      </c>
      <c r="Z114" s="30">
        <v>0</v>
      </c>
      <c r="AA114" s="30">
        <v>0</v>
      </c>
      <c r="AB114" s="30">
        <v>0</v>
      </c>
      <c r="AC114" s="30">
        <v>0</v>
      </c>
      <c r="AD114" s="30">
        <v>0</v>
      </c>
      <c r="AE114" s="30">
        <v>0</v>
      </c>
      <c r="AF114" s="30">
        <v>0</v>
      </c>
      <c r="AG114" s="30">
        <v>0</v>
      </c>
      <c r="AH114" s="33" t="s">
        <v>112</v>
      </c>
      <c r="AI114" s="13">
        <f t="shared" si="31"/>
        <v>26.4</v>
      </c>
      <c r="AJ114" s="13">
        <f t="shared" si="28"/>
        <v>0</v>
      </c>
      <c r="AK114" s="13"/>
      <c r="AL114" s="13"/>
      <c r="AM114" s="13"/>
      <c r="AN114" s="13"/>
      <c r="AO114" s="13"/>
      <c r="AP114" s="13"/>
      <c r="AQ114" s="13"/>
      <c r="AR114" s="13"/>
      <c r="AS114" s="13"/>
      <c r="AT114" s="13"/>
      <c r="AU114" s="13"/>
      <c r="AV114" s="13"/>
      <c r="AW114" s="13"/>
      <c r="AX114" s="13"/>
      <c r="AY114" s="13"/>
    </row>
    <row r="115" spans="1:51" x14ac:dyDescent="0.25">
      <c r="A115" s="30" t="s">
        <v>184</v>
      </c>
      <c r="B115" s="30" t="s">
        <v>40</v>
      </c>
      <c r="C115" s="30"/>
      <c r="D115" s="30"/>
      <c r="E115" s="30"/>
      <c r="F115" s="30"/>
      <c r="G115" s="31">
        <v>0.3</v>
      </c>
      <c r="H115" s="30">
        <v>45</v>
      </c>
      <c r="I115" s="30" t="s">
        <v>41</v>
      </c>
      <c r="J115" s="30"/>
      <c r="K115" s="30"/>
      <c r="L115" s="30"/>
      <c r="M115" s="30"/>
      <c r="N115" s="30"/>
      <c r="O115" s="30"/>
      <c r="P115" s="30"/>
      <c r="Q115" s="30">
        <f t="shared" si="41"/>
        <v>0</v>
      </c>
      <c r="R115" s="32">
        <v>40</v>
      </c>
      <c r="S115" s="4">
        <v>120</v>
      </c>
      <c r="T115" s="4"/>
      <c r="U115" s="36">
        <f>VLOOKUP(A115,[1]Sheet!$A:$S,19,0)</f>
        <v>150</v>
      </c>
      <c r="V115" s="13" t="e">
        <f t="shared" si="30"/>
        <v>#DIV/0!</v>
      </c>
      <c r="W115" s="30" t="e">
        <f t="shared" si="42"/>
        <v>#DIV/0!</v>
      </c>
      <c r="X115" s="30">
        <v>0</v>
      </c>
      <c r="Y115" s="30">
        <v>0</v>
      </c>
      <c r="Z115" s="30">
        <v>0</v>
      </c>
      <c r="AA115" s="30">
        <v>0</v>
      </c>
      <c r="AB115" s="30">
        <v>0</v>
      </c>
      <c r="AC115" s="30">
        <v>0</v>
      </c>
      <c r="AD115" s="30">
        <v>0</v>
      </c>
      <c r="AE115" s="30">
        <v>0</v>
      </c>
      <c r="AF115" s="30">
        <v>0</v>
      </c>
      <c r="AG115" s="30">
        <v>0</v>
      </c>
      <c r="AH115" s="33" t="s">
        <v>112</v>
      </c>
      <c r="AI115" s="13">
        <f t="shared" si="31"/>
        <v>36</v>
      </c>
      <c r="AJ115" s="13">
        <f t="shared" si="28"/>
        <v>0</v>
      </c>
      <c r="AK115" s="13"/>
      <c r="AL115" s="13"/>
      <c r="AM115" s="13"/>
      <c r="AN115" s="13"/>
      <c r="AO115" s="13"/>
      <c r="AP115" s="13"/>
      <c r="AQ115" s="13"/>
      <c r="AR115" s="13"/>
      <c r="AS115" s="13"/>
      <c r="AT115" s="13"/>
      <c r="AU115" s="13"/>
      <c r="AV115" s="13"/>
      <c r="AW115" s="13"/>
      <c r="AX115" s="13"/>
      <c r="AY115" s="13"/>
    </row>
    <row r="116" spans="1:51" x14ac:dyDescent="0.25">
      <c r="A116" s="30" t="s">
        <v>185</v>
      </c>
      <c r="B116" s="30" t="s">
        <v>40</v>
      </c>
      <c r="C116" s="30"/>
      <c r="D116" s="30"/>
      <c r="E116" s="30"/>
      <c r="F116" s="30"/>
      <c r="G116" s="31">
        <v>0.15</v>
      </c>
      <c r="H116" s="30">
        <f>VLOOKUP(A116,новинки!D:F,3,0)</f>
        <v>90</v>
      </c>
      <c r="I116" s="30" t="s">
        <v>41</v>
      </c>
      <c r="J116" s="30"/>
      <c r="K116" s="30"/>
      <c r="L116" s="30"/>
      <c r="M116" s="30"/>
      <c r="N116" s="30"/>
      <c r="O116" s="30"/>
      <c r="P116" s="30"/>
      <c r="Q116" s="30">
        <f t="shared" si="41"/>
        <v>0</v>
      </c>
      <c r="R116" s="32">
        <v>40</v>
      </c>
      <c r="S116" s="4">
        <v>120</v>
      </c>
      <c r="T116" s="4"/>
      <c r="U116" s="36">
        <f>VLOOKUP(A116,[1]Sheet!$A:$S,19,0)</f>
        <v>150</v>
      </c>
      <c r="V116" s="13" t="e">
        <f t="shared" si="30"/>
        <v>#DIV/0!</v>
      </c>
      <c r="W116" s="30" t="e">
        <f t="shared" si="42"/>
        <v>#DIV/0!</v>
      </c>
      <c r="X116" s="30">
        <v>0</v>
      </c>
      <c r="Y116" s="30">
        <v>0</v>
      </c>
      <c r="Z116" s="30">
        <v>0</v>
      </c>
      <c r="AA116" s="30">
        <v>0</v>
      </c>
      <c r="AB116" s="30">
        <v>0</v>
      </c>
      <c r="AC116" s="30">
        <v>0</v>
      </c>
      <c r="AD116" s="30">
        <v>0</v>
      </c>
      <c r="AE116" s="30">
        <v>0</v>
      </c>
      <c r="AF116" s="30">
        <v>0</v>
      </c>
      <c r="AG116" s="30">
        <v>0</v>
      </c>
      <c r="AH116" s="33" t="s">
        <v>112</v>
      </c>
      <c r="AI116" s="13">
        <f t="shared" si="31"/>
        <v>18</v>
      </c>
      <c r="AJ116" s="13">
        <f t="shared" si="28"/>
        <v>0</v>
      </c>
      <c r="AK116" s="13"/>
      <c r="AL116" s="13"/>
      <c r="AM116" s="13"/>
      <c r="AN116" s="13"/>
      <c r="AO116" s="13"/>
      <c r="AP116" s="13"/>
      <c r="AQ116" s="13"/>
      <c r="AR116" s="13"/>
      <c r="AS116" s="13"/>
      <c r="AT116" s="13"/>
      <c r="AU116" s="13"/>
      <c r="AV116" s="13"/>
      <c r="AW116" s="13"/>
      <c r="AX116" s="13"/>
      <c r="AY116" s="13"/>
    </row>
    <row r="117" spans="1:51" x14ac:dyDescent="0.25">
      <c r="A117" s="30" t="s">
        <v>186</v>
      </c>
      <c r="B117" s="30" t="s">
        <v>40</v>
      </c>
      <c r="C117" s="30"/>
      <c r="D117" s="30"/>
      <c r="E117" s="30"/>
      <c r="F117" s="30"/>
      <c r="G117" s="31">
        <v>0.33800000000000002</v>
      </c>
      <c r="H117" s="30" t="str">
        <f>VLOOKUP(A117,новинки!D:F,3,0)</f>
        <v>3 года</v>
      </c>
      <c r="I117" s="30" t="s">
        <v>41</v>
      </c>
      <c r="J117" s="30"/>
      <c r="K117" s="30"/>
      <c r="L117" s="30"/>
      <c r="M117" s="30"/>
      <c r="N117" s="30"/>
      <c r="O117" s="30"/>
      <c r="P117" s="30"/>
      <c r="Q117" s="30">
        <f t="shared" si="41"/>
        <v>0</v>
      </c>
      <c r="R117" s="32">
        <v>50</v>
      </c>
      <c r="S117" s="4">
        <v>300</v>
      </c>
      <c r="T117" s="4"/>
      <c r="U117" s="36">
        <f>VLOOKUP(A117,[1]Sheet!$A:$S,19,0)</f>
        <v>400</v>
      </c>
      <c r="V117" s="13" t="e">
        <f t="shared" si="30"/>
        <v>#DIV/0!</v>
      </c>
      <c r="W117" s="30" t="e">
        <f t="shared" si="42"/>
        <v>#DIV/0!</v>
      </c>
      <c r="X117" s="30">
        <v>0</v>
      </c>
      <c r="Y117" s="30">
        <v>0</v>
      </c>
      <c r="Z117" s="30">
        <v>0</v>
      </c>
      <c r="AA117" s="30">
        <v>0</v>
      </c>
      <c r="AB117" s="30">
        <v>0</v>
      </c>
      <c r="AC117" s="30">
        <v>0</v>
      </c>
      <c r="AD117" s="30">
        <v>0</v>
      </c>
      <c r="AE117" s="30">
        <v>0</v>
      </c>
      <c r="AF117" s="30">
        <v>0</v>
      </c>
      <c r="AG117" s="30">
        <v>0</v>
      </c>
      <c r="AH117" s="33" t="s">
        <v>112</v>
      </c>
      <c r="AI117" s="13">
        <f t="shared" si="31"/>
        <v>101.4</v>
      </c>
      <c r="AJ117" s="13">
        <f t="shared" si="28"/>
        <v>0</v>
      </c>
      <c r="AK117" s="13"/>
      <c r="AL117" s="13"/>
      <c r="AM117" s="13"/>
      <c r="AN117" s="13"/>
      <c r="AO117" s="13"/>
      <c r="AP117" s="13"/>
      <c r="AQ117" s="13"/>
      <c r="AR117" s="13"/>
      <c r="AS117" s="13"/>
      <c r="AT117" s="13"/>
      <c r="AU117" s="13"/>
      <c r="AV117" s="13"/>
      <c r="AW117" s="13"/>
      <c r="AX117" s="13"/>
      <c r="AY117" s="13"/>
    </row>
    <row r="118" spans="1:51" x14ac:dyDescent="0.25">
      <c r="A118" s="30" t="s">
        <v>187</v>
      </c>
      <c r="B118" s="30" t="s">
        <v>40</v>
      </c>
      <c r="C118" s="30"/>
      <c r="D118" s="30"/>
      <c r="E118" s="30"/>
      <c r="F118" s="30"/>
      <c r="G118" s="31">
        <v>0.32500000000000001</v>
      </c>
      <c r="H118" s="30" t="str">
        <f>VLOOKUP(A118,новинки!D:F,3,0)</f>
        <v>3 года</v>
      </c>
      <c r="I118" s="30" t="s">
        <v>41</v>
      </c>
      <c r="J118" s="30"/>
      <c r="K118" s="30"/>
      <c r="L118" s="30"/>
      <c r="M118" s="30"/>
      <c r="N118" s="30"/>
      <c r="O118" s="30"/>
      <c r="P118" s="30"/>
      <c r="Q118" s="30">
        <f t="shared" si="41"/>
        <v>0</v>
      </c>
      <c r="R118" s="32">
        <v>50</v>
      </c>
      <c r="S118" s="4">
        <v>300</v>
      </c>
      <c r="T118" s="4"/>
      <c r="U118" s="36">
        <f>VLOOKUP(A118,[1]Sheet!$A:$S,19,0)</f>
        <v>400</v>
      </c>
      <c r="V118" s="13" t="e">
        <f t="shared" si="30"/>
        <v>#DIV/0!</v>
      </c>
      <c r="W118" s="30" t="e">
        <f t="shared" si="42"/>
        <v>#DIV/0!</v>
      </c>
      <c r="X118" s="30">
        <v>0</v>
      </c>
      <c r="Y118" s="30">
        <v>0</v>
      </c>
      <c r="Z118" s="30">
        <v>0</v>
      </c>
      <c r="AA118" s="30">
        <v>0</v>
      </c>
      <c r="AB118" s="30">
        <v>0</v>
      </c>
      <c r="AC118" s="30">
        <v>0</v>
      </c>
      <c r="AD118" s="30">
        <v>0</v>
      </c>
      <c r="AE118" s="30">
        <v>0</v>
      </c>
      <c r="AF118" s="30">
        <v>0</v>
      </c>
      <c r="AG118" s="30">
        <v>0</v>
      </c>
      <c r="AH118" s="33" t="s">
        <v>112</v>
      </c>
      <c r="AI118" s="13">
        <f t="shared" si="31"/>
        <v>97.5</v>
      </c>
      <c r="AJ118" s="13">
        <f t="shared" si="28"/>
        <v>0</v>
      </c>
      <c r="AK118" s="13"/>
      <c r="AL118" s="13"/>
      <c r="AM118" s="13"/>
      <c r="AN118" s="13"/>
      <c r="AO118" s="13"/>
      <c r="AP118" s="13"/>
      <c r="AQ118" s="13"/>
      <c r="AR118" s="13"/>
      <c r="AS118" s="13"/>
      <c r="AT118" s="13"/>
      <c r="AU118" s="13"/>
      <c r="AV118" s="13"/>
      <c r="AW118" s="13"/>
      <c r="AX118" s="13"/>
      <c r="AY118" s="13"/>
    </row>
    <row r="119" spans="1:51" x14ac:dyDescent="0.25">
      <c r="A119" s="13"/>
      <c r="B119" s="13"/>
      <c r="C119" s="13"/>
      <c r="D119" s="13"/>
      <c r="E119" s="13"/>
      <c r="F119" s="13"/>
      <c r="G119" s="6"/>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row>
    <row r="120" spans="1:51" x14ac:dyDescent="0.25">
      <c r="A120" s="13"/>
      <c r="B120" s="13"/>
      <c r="C120" s="13"/>
      <c r="D120" s="13"/>
      <c r="E120" s="13"/>
      <c r="F120" s="13"/>
      <c r="G120" s="6"/>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row>
    <row r="121" spans="1:51" x14ac:dyDescent="0.25">
      <c r="A121" s="13"/>
      <c r="B121" s="13"/>
      <c r="C121" s="13"/>
      <c r="D121" s="13"/>
      <c r="E121" s="13"/>
      <c r="F121" s="13"/>
      <c r="G121" s="6"/>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row>
    <row r="122" spans="1:51" x14ac:dyDescent="0.25">
      <c r="A122" s="13"/>
      <c r="B122" s="13"/>
      <c r="C122" s="13"/>
      <c r="D122" s="13"/>
      <c r="E122" s="13"/>
      <c r="F122" s="13"/>
      <c r="G122" s="6"/>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row>
    <row r="123" spans="1:51" x14ac:dyDescent="0.25">
      <c r="A123" s="13"/>
      <c r="B123" s="13"/>
      <c r="C123" s="13"/>
      <c r="D123" s="13"/>
      <c r="E123" s="13"/>
      <c r="F123" s="13"/>
      <c r="G123" s="6"/>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row>
    <row r="124" spans="1:51" x14ac:dyDescent="0.25">
      <c r="A124" s="13"/>
      <c r="B124" s="13"/>
      <c r="C124" s="13"/>
      <c r="D124" s="13"/>
      <c r="E124" s="13"/>
      <c r="F124" s="13"/>
      <c r="G124" s="6"/>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row>
    <row r="125" spans="1:51" x14ac:dyDescent="0.25">
      <c r="A125" s="13"/>
      <c r="B125" s="13"/>
      <c r="C125" s="13"/>
      <c r="D125" s="13"/>
      <c r="E125" s="13"/>
      <c r="F125" s="13"/>
      <c r="G125" s="6"/>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row>
    <row r="126" spans="1:51" x14ac:dyDescent="0.25">
      <c r="A126" s="13"/>
      <c r="B126" s="13"/>
      <c r="C126" s="13"/>
      <c r="D126" s="13"/>
      <c r="E126" s="13"/>
      <c r="F126" s="13"/>
      <c r="G126" s="6"/>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row>
    <row r="127" spans="1:51" x14ac:dyDescent="0.25">
      <c r="A127" s="13"/>
      <c r="B127" s="13"/>
      <c r="C127" s="13"/>
      <c r="D127" s="13"/>
      <c r="E127" s="13"/>
      <c r="F127" s="13"/>
      <c r="G127" s="6"/>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row>
    <row r="128" spans="1:51" x14ac:dyDescent="0.25">
      <c r="A128" s="13"/>
      <c r="B128" s="13"/>
      <c r="C128" s="13"/>
      <c r="D128" s="13"/>
      <c r="E128" s="13"/>
      <c r="F128" s="13"/>
      <c r="G128" s="6"/>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row>
    <row r="129" spans="1:51" x14ac:dyDescent="0.25">
      <c r="A129" s="13"/>
      <c r="B129" s="13"/>
      <c r="C129" s="13"/>
      <c r="D129" s="13"/>
      <c r="E129" s="13"/>
      <c r="F129" s="13"/>
      <c r="G129" s="6"/>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row>
    <row r="130" spans="1:51" x14ac:dyDescent="0.25">
      <c r="A130" s="13"/>
      <c r="B130" s="13"/>
      <c r="C130" s="13"/>
      <c r="D130" s="13"/>
      <c r="E130" s="13"/>
      <c r="F130" s="13"/>
      <c r="G130" s="6"/>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row>
    <row r="131" spans="1:51" x14ac:dyDescent="0.25">
      <c r="A131" s="13"/>
      <c r="B131" s="13"/>
      <c r="C131" s="13"/>
      <c r="D131" s="13"/>
      <c r="E131" s="13"/>
      <c r="F131" s="13"/>
      <c r="G131" s="6"/>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row>
    <row r="132" spans="1:51" x14ac:dyDescent="0.25">
      <c r="A132" s="13"/>
      <c r="B132" s="13"/>
      <c r="C132" s="13"/>
      <c r="D132" s="13"/>
      <c r="E132" s="13"/>
      <c r="F132" s="13"/>
      <c r="G132" s="6"/>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row>
    <row r="133" spans="1:51" x14ac:dyDescent="0.25">
      <c r="A133" s="13"/>
      <c r="B133" s="13"/>
      <c r="C133" s="13"/>
      <c r="D133" s="13"/>
      <c r="E133" s="13"/>
      <c r="F133" s="13"/>
      <c r="G133" s="6"/>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row>
    <row r="134" spans="1:51" x14ac:dyDescent="0.25">
      <c r="A134" s="13"/>
      <c r="B134" s="13"/>
      <c r="C134" s="13"/>
      <c r="D134" s="13"/>
      <c r="E134" s="13"/>
      <c r="F134" s="13"/>
      <c r="G134" s="6"/>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row>
    <row r="135" spans="1:51" x14ac:dyDescent="0.25">
      <c r="A135" s="13"/>
      <c r="B135" s="13"/>
      <c r="C135" s="13"/>
      <c r="D135" s="13"/>
      <c r="E135" s="13"/>
      <c r="F135" s="13"/>
      <c r="G135" s="6"/>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row>
    <row r="136" spans="1:51" x14ac:dyDescent="0.25">
      <c r="A136" s="13"/>
      <c r="B136" s="13"/>
      <c r="C136" s="13"/>
      <c r="D136" s="13"/>
      <c r="E136" s="13"/>
      <c r="F136" s="13"/>
      <c r="G136" s="6"/>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row>
    <row r="137" spans="1:51" x14ac:dyDescent="0.25">
      <c r="A137" s="13"/>
      <c r="B137" s="13"/>
      <c r="C137" s="13"/>
      <c r="D137" s="13"/>
      <c r="E137" s="13"/>
      <c r="F137" s="13"/>
      <c r="G137" s="6"/>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row>
    <row r="138" spans="1:51" x14ac:dyDescent="0.25">
      <c r="A138" s="13"/>
      <c r="B138" s="13"/>
      <c r="C138" s="13"/>
      <c r="D138" s="13"/>
      <c r="E138" s="13"/>
      <c r="F138" s="13"/>
      <c r="G138" s="6"/>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row>
    <row r="139" spans="1:51" x14ac:dyDescent="0.25">
      <c r="A139" s="13"/>
      <c r="B139" s="13"/>
      <c r="C139" s="13"/>
      <c r="D139" s="13"/>
      <c r="E139" s="13"/>
      <c r="F139" s="13"/>
      <c r="G139" s="6"/>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row>
    <row r="140" spans="1:51" x14ac:dyDescent="0.25">
      <c r="A140" s="13"/>
      <c r="B140" s="13"/>
      <c r="C140" s="13"/>
      <c r="D140" s="13"/>
      <c r="E140" s="13"/>
      <c r="F140" s="13"/>
      <c r="G140" s="6"/>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row>
    <row r="141" spans="1:51" x14ac:dyDescent="0.25">
      <c r="A141" s="13"/>
      <c r="B141" s="13"/>
      <c r="C141" s="13"/>
      <c r="D141" s="13"/>
      <c r="E141" s="13"/>
      <c r="F141" s="13"/>
      <c r="G141" s="6"/>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row>
    <row r="142" spans="1:51" x14ac:dyDescent="0.25">
      <c r="A142" s="13"/>
      <c r="B142" s="13"/>
      <c r="C142" s="13"/>
      <c r="D142" s="13"/>
      <c r="E142" s="13"/>
      <c r="F142" s="13"/>
      <c r="G142" s="6"/>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row>
    <row r="143" spans="1:51" x14ac:dyDescent="0.25">
      <c r="A143" s="13"/>
      <c r="B143" s="13"/>
      <c r="C143" s="13"/>
      <c r="D143" s="13"/>
      <c r="E143" s="13"/>
      <c r="F143" s="13"/>
      <c r="G143" s="6"/>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row>
    <row r="144" spans="1:51" x14ac:dyDescent="0.25">
      <c r="A144" s="13"/>
      <c r="B144" s="13"/>
      <c r="C144" s="13"/>
      <c r="D144" s="13"/>
      <c r="E144" s="13"/>
      <c r="F144" s="13"/>
      <c r="G144" s="6"/>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row>
    <row r="145" spans="1:51" x14ac:dyDescent="0.25">
      <c r="A145" s="13"/>
      <c r="B145" s="13"/>
      <c r="C145" s="13"/>
      <c r="D145" s="13"/>
      <c r="E145" s="13"/>
      <c r="F145" s="13"/>
      <c r="G145" s="6"/>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row>
    <row r="146" spans="1:51" x14ac:dyDescent="0.25">
      <c r="A146" s="13"/>
      <c r="B146" s="13"/>
      <c r="C146" s="13"/>
      <c r="D146" s="13"/>
      <c r="E146" s="13"/>
      <c r="F146" s="13"/>
      <c r="G146" s="6"/>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row>
    <row r="147" spans="1:51" x14ac:dyDescent="0.25">
      <c r="A147" s="13"/>
      <c r="B147" s="13"/>
      <c r="C147" s="13"/>
      <c r="D147" s="13"/>
      <c r="E147" s="13"/>
      <c r="F147" s="13"/>
      <c r="G147" s="6"/>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row>
    <row r="148" spans="1:51" x14ac:dyDescent="0.25">
      <c r="A148" s="13"/>
      <c r="B148" s="13"/>
      <c r="C148" s="13"/>
      <c r="D148" s="13"/>
      <c r="E148" s="13"/>
      <c r="F148" s="13"/>
      <c r="G148" s="6"/>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row>
    <row r="149" spans="1:51" x14ac:dyDescent="0.25">
      <c r="A149" s="13"/>
      <c r="B149" s="13"/>
      <c r="C149" s="13"/>
      <c r="D149" s="13"/>
      <c r="E149" s="13"/>
      <c r="F149" s="13"/>
      <c r="G149" s="6"/>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row>
    <row r="150" spans="1:51" x14ac:dyDescent="0.25">
      <c r="A150" s="13"/>
      <c r="B150" s="13"/>
      <c r="C150" s="13"/>
      <c r="D150" s="13"/>
      <c r="E150" s="13"/>
      <c r="F150" s="13"/>
      <c r="G150" s="6"/>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13"/>
    </row>
    <row r="151" spans="1:51" x14ac:dyDescent="0.25">
      <c r="A151" s="13"/>
      <c r="B151" s="13"/>
      <c r="C151" s="13"/>
      <c r="D151" s="13"/>
      <c r="E151" s="13"/>
      <c r="F151" s="13"/>
      <c r="G151" s="6"/>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row>
    <row r="152" spans="1:51" x14ac:dyDescent="0.25">
      <c r="A152" s="13"/>
      <c r="B152" s="13"/>
      <c r="C152" s="13"/>
      <c r="D152" s="13"/>
      <c r="E152" s="13"/>
      <c r="F152" s="13"/>
      <c r="G152" s="6"/>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row>
    <row r="153" spans="1:51" x14ac:dyDescent="0.25">
      <c r="A153" s="13"/>
      <c r="B153" s="13"/>
      <c r="C153" s="13"/>
      <c r="D153" s="13"/>
      <c r="E153" s="13"/>
      <c r="F153" s="13"/>
      <c r="G153" s="6"/>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13"/>
    </row>
    <row r="154" spans="1:51" x14ac:dyDescent="0.25">
      <c r="A154" s="13"/>
      <c r="B154" s="13"/>
      <c r="C154" s="13"/>
      <c r="D154" s="13"/>
      <c r="E154" s="13"/>
      <c r="F154" s="13"/>
      <c r="G154" s="6"/>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row>
    <row r="155" spans="1:51" x14ac:dyDescent="0.25">
      <c r="A155" s="13"/>
      <c r="B155" s="13"/>
      <c r="C155" s="13"/>
      <c r="D155" s="13"/>
      <c r="E155" s="13"/>
      <c r="F155" s="13"/>
      <c r="G155" s="6"/>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row>
    <row r="156" spans="1:51" x14ac:dyDescent="0.25">
      <c r="A156" s="13"/>
      <c r="B156" s="13"/>
      <c r="C156" s="13"/>
      <c r="D156" s="13"/>
      <c r="E156" s="13"/>
      <c r="F156" s="13"/>
      <c r="G156" s="6"/>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row>
    <row r="157" spans="1:51" x14ac:dyDescent="0.25">
      <c r="A157" s="13"/>
      <c r="B157" s="13"/>
      <c r="C157" s="13"/>
      <c r="D157" s="13"/>
      <c r="E157" s="13"/>
      <c r="F157" s="13"/>
      <c r="G157" s="6"/>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row>
    <row r="158" spans="1:51" x14ac:dyDescent="0.25">
      <c r="A158" s="13"/>
      <c r="B158" s="13"/>
      <c r="C158" s="13"/>
      <c r="D158" s="13"/>
      <c r="E158" s="13"/>
      <c r="F158" s="13"/>
      <c r="G158" s="6"/>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c r="AY158" s="13"/>
    </row>
    <row r="159" spans="1:51" x14ac:dyDescent="0.25">
      <c r="A159" s="13"/>
      <c r="B159" s="13"/>
      <c r="C159" s="13"/>
      <c r="D159" s="13"/>
      <c r="E159" s="13"/>
      <c r="F159" s="13"/>
      <c r="G159" s="6"/>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row>
    <row r="160" spans="1:51" x14ac:dyDescent="0.25">
      <c r="A160" s="13"/>
      <c r="B160" s="13"/>
      <c r="C160" s="13"/>
      <c r="D160" s="13"/>
      <c r="E160" s="13"/>
      <c r="F160" s="13"/>
      <c r="G160" s="6"/>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c r="AV160" s="13"/>
      <c r="AW160" s="13"/>
      <c r="AX160" s="13"/>
      <c r="AY160" s="13"/>
    </row>
    <row r="161" spans="1:51" x14ac:dyDescent="0.25">
      <c r="A161" s="13"/>
      <c r="B161" s="13"/>
      <c r="C161" s="13"/>
      <c r="D161" s="13"/>
      <c r="E161" s="13"/>
      <c r="F161" s="13"/>
      <c r="G161" s="6"/>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c r="AX161" s="13"/>
      <c r="AY161" s="13"/>
    </row>
    <row r="162" spans="1:51" x14ac:dyDescent="0.25">
      <c r="A162" s="13"/>
      <c r="B162" s="13"/>
      <c r="C162" s="13"/>
      <c r="D162" s="13"/>
      <c r="E162" s="13"/>
      <c r="F162" s="13"/>
      <c r="G162" s="6"/>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row>
    <row r="163" spans="1:51" x14ac:dyDescent="0.25">
      <c r="A163" s="13"/>
      <c r="B163" s="13"/>
      <c r="C163" s="13"/>
      <c r="D163" s="13"/>
      <c r="E163" s="13"/>
      <c r="F163" s="13"/>
      <c r="G163" s="6"/>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c r="AX163" s="13"/>
      <c r="AY163" s="13"/>
    </row>
    <row r="164" spans="1:51" x14ac:dyDescent="0.25">
      <c r="A164" s="13"/>
      <c r="B164" s="13"/>
      <c r="C164" s="13"/>
      <c r="D164" s="13"/>
      <c r="E164" s="13"/>
      <c r="F164" s="13"/>
      <c r="G164" s="6"/>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c r="AT164" s="13"/>
      <c r="AU164" s="13"/>
      <c r="AV164" s="13"/>
      <c r="AW164" s="13"/>
      <c r="AX164" s="13"/>
      <c r="AY164" s="13"/>
    </row>
    <row r="165" spans="1:51" x14ac:dyDescent="0.25">
      <c r="A165" s="13"/>
      <c r="B165" s="13"/>
      <c r="C165" s="13"/>
      <c r="D165" s="13"/>
      <c r="E165" s="13"/>
      <c r="F165" s="13"/>
      <c r="G165" s="6"/>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c r="AU165" s="13"/>
      <c r="AV165" s="13"/>
      <c r="AW165" s="13"/>
      <c r="AX165" s="13"/>
      <c r="AY165" s="13"/>
    </row>
    <row r="166" spans="1:51" x14ac:dyDescent="0.25">
      <c r="A166" s="13"/>
      <c r="B166" s="13"/>
      <c r="C166" s="13"/>
      <c r="D166" s="13"/>
      <c r="E166" s="13"/>
      <c r="F166" s="13"/>
      <c r="G166" s="6"/>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row>
    <row r="167" spans="1:51" x14ac:dyDescent="0.25">
      <c r="A167" s="13"/>
      <c r="B167" s="13"/>
      <c r="C167" s="13"/>
      <c r="D167" s="13"/>
      <c r="E167" s="13"/>
      <c r="F167" s="13"/>
      <c r="G167" s="6"/>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c r="AT167" s="13"/>
      <c r="AU167" s="13"/>
      <c r="AV167" s="13"/>
      <c r="AW167" s="13"/>
      <c r="AX167" s="13"/>
      <c r="AY167" s="13"/>
    </row>
    <row r="168" spans="1:51" x14ac:dyDescent="0.25">
      <c r="A168" s="13"/>
      <c r="B168" s="13"/>
      <c r="C168" s="13"/>
      <c r="D168" s="13"/>
      <c r="E168" s="13"/>
      <c r="F168" s="13"/>
      <c r="G168" s="6"/>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c r="AU168" s="13"/>
      <c r="AV168" s="13"/>
      <c r="AW168" s="13"/>
      <c r="AX168" s="13"/>
      <c r="AY168" s="13"/>
    </row>
    <row r="169" spans="1:51" x14ac:dyDescent="0.25">
      <c r="A169" s="13"/>
      <c r="B169" s="13"/>
      <c r="C169" s="13"/>
      <c r="D169" s="13"/>
      <c r="E169" s="13"/>
      <c r="F169" s="13"/>
      <c r="G169" s="6"/>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c r="AT169" s="13"/>
      <c r="AU169" s="13"/>
      <c r="AV169" s="13"/>
      <c r="AW169" s="13"/>
      <c r="AX169" s="13"/>
      <c r="AY169" s="13"/>
    </row>
    <row r="170" spans="1:51" x14ac:dyDescent="0.25">
      <c r="A170" s="13"/>
      <c r="B170" s="13"/>
      <c r="C170" s="13"/>
      <c r="D170" s="13"/>
      <c r="E170" s="13"/>
      <c r="F170" s="13"/>
      <c r="G170" s="6"/>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3"/>
      <c r="AV170" s="13"/>
      <c r="AW170" s="13"/>
      <c r="AX170" s="13"/>
      <c r="AY170" s="13"/>
    </row>
    <row r="171" spans="1:51" x14ac:dyDescent="0.25">
      <c r="A171" s="13"/>
      <c r="B171" s="13"/>
      <c r="C171" s="13"/>
      <c r="D171" s="13"/>
      <c r="E171" s="13"/>
      <c r="F171" s="13"/>
      <c r="G171" s="6"/>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c r="AU171" s="13"/>
      <c r="AV171" s="13"/>
      <c r="AW171" s="13"/>
      <c r="AX171" s="13"/>
      <c r="AY171" s="13"/>
    </row>
    <row r="172" spans="1:51" x14ac:dyDescent="0.25">
      <c r="A172" s="13"/>
      <c r="B172" s="13"/>
      <c r="C172" s="13"/>
      <c r="D172" s="13"/>
      <c r="E172" s="13"/>
      <c r="F172" s="13"/>
      <c r="G172" s="6"/>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c r="AU172" s="13"/>
      <c r="AV172" s="13"/>
      <c r="AW172" s="13"/>
      <c r="AX172" s="13"/>
      <c r="AY172" s="13"/>
    </row>
    <row r="173" spans="1:51" x14ac:dyDescent="0.25">
      <c r="A173" s="13"/>
      <c r="B173" s="13"/>
      <c r="C173" s="13"/>
      <c r="D173" s="13"/>
      <c r="E173" s="13"/>
      <c r="F173" s="13"/>
      <c r="G173" s="6"/>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c r="AX173" s="13"/>
      <c r="AY173" s="13"/>
    </row>
    <row r="174" spans="1:51" x14ac:dyDescent="0.25">
      <c r="A174" s="13"/>
      <c r="B174" s="13"/>
      <c r="C174" s="13"/>
      <c r="D174" s="13"/>
      <c r="E174" s="13"/>
      <c r="F174" s="13"/>
      <c r="G174" s="6"/>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c r="AU174" s="13"/>
      <c r="AV174" s="13"/>
      <c r="AW174" s="13"/>
      <c r="AX174" s="13"/>
      <c r="AY174" s="13"/>
    </row>
    <row r="175" spans="1:51" x14ac:dyDescent="0.25">
      <c r="A175" s="13"/>
      <c r="B175" s="13"/>
      <c r="C175" s="13"/>
      <c r="D175" s="13"/>
      <c r="E175" s="13"/>
      <c r="F175" s="13"/>
      <c r="G175" s="6"/>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c r="AX175" s="13"/>
      <c r="AY175" s="13"/>
    </row>
    <row r="176" spans="1:51" x14ac:dyDescent="0.25">
      <c r="A176" s="13"/>
      <c r="B176" s="13"/>
      <c r="C176" s="13"/>
      <c r="D176" s="13"/>
      <c r="E176" s="13"/>
      <c r="F176" s="13"/>
      <c r="G176" s="6"/>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c r="AX176" s="13"/>
      <c r="AY176" s="13"/>
    </row>
    <row r="177" spans="1:51" x14ac:dyDescent="0.25">
      <c r="A177" s="13"/>
      <c r="B177" s="13"/>
      <c r="C177" s="13"/>
      <c r="D177" s="13"/>
      <c r="E177" s="13"/>
      <c r="F177" s="13"/>
      <c r="G177" s="6"/>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c r="AU177" s="13"/>
      <c r="AV177" s="13"/>
      <c r="AW177" s="13"/>
      <c r="AX177" s="13"/>
      <c r="AY177" s="13"/>
    </row>
    <row r="178" spans="1:51" x14ac:dyDescent="0.25">
      <c r="A178" s="13"/>
      <c r="B178" s="13"/>
      <c r="C178" s="13"/>
      <c r="D178" s="13"/>
      <c r="E178" s="13"/>
      <c r="F178" s="13"/>
      <c r="G178" s="6"/>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c r="AX178" s="13"/>
      <c r="AY178" s="13"/>
    </row>
    <row r="179" spans="1:51" x14ac:dyDescent="0.25">
      <c r="A179" s="13"/>
      <c r="B179" s="13"/>
      <c r="C179" s="13"/>
      <c r="D179" s="13"/>
      <c r="E179" s="13"/>
      <c r="F179" s="13"/>
      <c r="G179" s="6"/>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c r="AX179" s="13"/>
      <c r="AY179" s="13"/>
    </row>
    <row r="180" spans="1:51" x14ac:dyDescent="0.25">
      <c r="A180" s="13"/>
      <c r="B180" s="13"/>
      <c r="C180" s="13"/>
      <c r="D180" s="13"/>
      <c r="E180" s="13"/>
      <c r="F180" s="13"/>
      <c r="G180" s="6"/>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c r="AX180" s="13"/>
      <c r="AY180" s="13"/>
    </row>
    <row r="181" spans="1:51" x14ac:dyDescent="0.25">
      <c r="A181" s="13"/>
      <c r="B181" s="13"/>
      <c r="C181" s="13"/>
      <c r="D181" s="13"/>
      <c r="E181" s="13"/>
      <c r="F181" s="13"/>
      <c r="G181" s="6"/>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c r="AT181" s="13"/>
      <c r="AU181" s="13"/>
      <c r="AV181" s="13"/>
      <c r="AW181" s="13"/>
      <c r="AX181" s="13"/>
      <c r="AY181" s="13"/>
    </row>
    <row r="182" spans="1:51" x14ac:dyDescent="0.25">
      <c r="A182" s="13"/>
      <c r="B182" s="13"/>
      <c r="C182" s="13"/>
      <c r="D182" s="13"/>
      <c r="E182" s="13"/>
      <c r="F182" s="13"/>
      <c r="G182" s="6"/>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c r="AV182" s="13"/>
      <c r="AW182" s="13"/>
      <c r="AX182" s="13"/>
      <c r="AY182" s="13"/>
    </row>
    <row r="183" spans="1:51" x14ac:dyDescent="0.25">
      <c r="A183" s="13"/>
      <c r="B183" s="13"/>
      <c r="C183" s="13"/>
      <c r="D183" s="13"/>
      <c r="E183" s="13"/>
      <c r="F183" s="13"/>
      <c r="G183" s="6"/>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c r="AU183" s="13"/>
      <c r="AV183" s="13"/>
      <c r="AW183" s="13"/>
      <c r="AX183" s="13"/>
      <c r="AY183" s="13"/>
    </row>
    <row r="184" spans="1:51" x14ac:dyDescent="0.25">
      <c r="A184" s="13"/>
      <c r="B184" s="13"/>
      <c r="C184" s="13"/>
      <c r="D184" s="13"/>
      <c r="E184" s="13"/>
      <c r="F184" s="13"/>
      <c r="G184" s="6"/>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c r="AU184" s="13"/>
      <c r="AV184" s="13"/>
      <c r="AW184" s="13"/>
      <c r="AX184" s="13"/>
      <c r="AY184" s="13"/>
    </row>
    <row r="185" spans="1:51" x14ac:dyDescent="0.25">
      <c r="A185" s="13"/>
      <c r="B185" s="13"/>
      <c r="C185" s="13"/>
      <c r="D185" s="13"/>
      <c r="E185" s="13"/>
      <c r="F185" s="13"/>
      <c r="G185" s="6"/>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c r="AX185" s="13"/>
      <c r="AY185" s="13"/>
    </row>
    <row r="186" spans="1:51" x14ac:dyDescent="0.25">
      <c r="A186" s="13"/>
      <c r="B186" s="13"/>
      <c r="C186" s="13"/>
      <c r="D186" s="13"/>
      <c r="E186" s="13"/>
      <c r="F186" s="13"/>
      <c r="G186" s="6"/>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13"/>
      <c r="AX186" s="13"/>
      <c r="AY186" s="13"/>
    </row>
    <row r="187" spans="1:51" x14ac:dyDescent="0.25">
      <c r="A187" s="13"/>
      <c r="B187" s="13"/>
      <c r="C187" s="13"/>
      <c r="D187" s="13"/>
      <c r="E187" s="13"/>
      <c r="F187" s="13"/>
      <c r="G187" s="6"/>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c r="AX187" s="13"/>
      <c r="AY187" s="13"/>
    </row>
    <row r="188" spans="1:51" x14ac:dyDescent="0.25">
      <c r="A188" s="13"/>
      <c r="B188" s="13"/>
      <c r="C188" s="13"/>
      <c r="D188" s="13"/>
      <c r="E188" s="13"/>
      <c r="F188" s="13"/>
      <c r="G188" s="6"/>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c r="AU188" s="13"/>
      <c r="AV188" s="13"/>
      <c r="AW188" s="13"/>
      <c r="AX188" s="13"/>
      <c r="AY188" s="13"/>
    </row>
    <row r="189" spans="1:51" x14ac:dyDescent="0.25">
      <c r="A189" s="13"/>
      <c r="B189" s="13"/>
      <c r="C189" s="13"/>
      <c r="D189" s="13"/>
      <c r="E189" s="13"/>
      <c r="F189" s="13"/>
      <c r="G189" s="6"/>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c r="AS189" s="13"/>
      <c r="AT189" s="13"/>
      <c r="AU189" s="13"/>
      <c r="AV189" s="13"/>
      <c r="AW189" s="13"/>
      <c r="AX189" s="13"/>
      <c r="AY189" s="13"/>
    </row>
    <row r="190" spans="1:51" x14ac:dyDescent="0.25">
      <c r="A190" s="13"/>
      <c r="B190" s="13"/>
      <c r="C190" s="13"/>
      <c r="D190" s="13"/>
      <c r="E190" s="13"/>
      <c r="F190" s="13"/>
      <c r="G190" s="6"/>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c r="AT190" s="13"/>
      <c r="AU190" s="13"/>
      <c r="AV190" s="13"/>
      <c r="AW190" s="13"/>
      <c r="AX190" s="13"/>
      <c r="AY190" s="13"/>
    </row>
    <row r="191" spans="1:51" x14ac:dyDescent="0.25">
      <c r="A191" s="13"/>
      <c r="B191" s="13"/>
      <c r="C191" s="13"/>
      <c r="D191" s="13"/>
      <c r="E191" s="13"/>
      <c r="F191" s="13"/>
      <c r="G191" s="6"/>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c r="AT191" s="13"/>
      <c r="AU191" s="13"/>
      <c r="AV191" s="13"/>
      <c r="AW191" s="13"/>
      <c r="AX191" s="13"/>
      <c r="AY191" s="13"/>
    </row>
    <row r="192" spans="1:51" x14ac:dyDescent="0.25">
      <c r="A192" s="13"/>
      <c r="B192" s="13"/>
      <c r="C192" s="13"/>
      <c r="D192" s="13"/>
      <c r="E192" s="13"/>
      <c r="F192" s="13"/>
      <c r="G192" s="6"/>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c r="AX192" s="13"/>
      <c r="AY192" s="13"/>
    </row>
    <row r="193" spans="1:51" x14ac:dyDescent="0.25">
      <c r="A193" s="13"/>
      <c r="B193" s="13"/>
      <c r="C193" s="13"/>
      <c r="D193" s="13"/>
      <c r="E193" s="13"/>
      <c r="F193" s="13"/>
      <c r="G193" s="6"/>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c r="AX193" s="13"/>
      <c r="AY193" s="13"/>
    </row>
    <row r="194" spans="1:51" x14ac:dyDescent="0.25">
      <c r="A194" s="13"/>
      <c r="B194" s="13"/>
      <c r="C194" s="13"/>
      <c r="D194" s="13"/>
      <c r="E194" s="13"/>
      <c r="F194" s="13"/>
      <c r="G194" s="6"/>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c r="AX194" s="13"/>
      <c r="AY194" s="13"/>
    </row>
    <row r="195" spans="1:51" x14ac:dyDescent="0.25">
      <c r="A195" s="13"/>
      <c r="B195" s="13"/>
      <c r="C195" s="13"/>
      <c r="D195" s="13"/>
      <c r="E195" s="13"/>
      <c r="F195" s="13"/>
      <c r="G195" s="6"/>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c r="AX195" s="13"/>
      <c r="AY195" s="13"/>
    </row>
    <row r="196" spans="1:51" x14ac:dyDescent="0.25">
      <c r="A196" s="13"/>
      <c r="B196" s="13"/>
      <c r="C196" s="13"/>
      <c r="D196" s="13"/>
      <c r="E196" s="13"/>
      <c r="F196" s="13"/>
      <c r="G196" s="6"/>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c r="AX196" s="13"/>
      <c r="AY196" s="13"/>
    </row>
    <row r="197" spans="1:51" x14ac:dyDescent="0.25">
      <c r="A197" s="13"/>
      <c r="B197" s="13"/>
      <c r="C197" s="13"/>
      <c r="D197" s="13"/>
      <c r="E197" s="13"/>
      <c r="F197" s="13"/>
      <c r="G197" s="6"/>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c r="AT197" s="13"/>
      <c r="AU197" s="13"/>
      <c r="AV197" s="13"/>
      <c r="AW197" s="13"/>
      <c r="AX197" s="13"/>
      <c r="AY197" s="13"/>
    </row>
    <row r="198" spans="1:51" x14ac:dyDescent="0.25">
      <c r="A198" s="13"/>
      <c r="B198" s="13"/>
      <c r="C198" s="13"/>
      <c r="D198" s="13"/>
      <c r="E198" s="13"/>
      <c r="F198" s="13"/>
      <c r="G198" s="6"/>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c r="AS198" s="13"/>
      <c r="AT198" s="13"/>
      <c r="AU198" s="13"/>
      <c r="AV198" s="13"/>
      <c r="AW198" s="13"/>
      <c r="AX198" s="13"/>
      <c r="AY198" s="13"/>
    </row>
    <row r="199" spans="1:51" x14ac:dyDescent="0.25">
      <c r="A199" s="13"/>
      <c r="B199" s="13"/>
      <c r="C199" s="13"/>
      <c r="D199" s="13"/>
      <c r="E199" s="13"/>
      <c r="F199" s="13"/>
      <c r="G199" s="6"/>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c r="AS199" s="13"/>
      <c r="AT199" s="13"/>
      <c r="AU199" s="13"/>
      <c r="AV199" s="13"/>
      <c r="AW199" s="13"/>
      <c r="AX199" s="13"/>
      <c r="AY199" s="13"/>
    </row>
    <row r="200" spans="1:51" x14ac:dyDescent="0.25">
      <c r="A200" s="13"/>
      <c r="B200" s="13"/>
      <c r="C200" s="13"/>
      <c r="D200" s="13"/>
      <c r="E200" s="13"/>
      <c r="F200" s="13"/>
      <c r="G200" s="6"/>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c r="AS200" s="13"/>
      <c r="AT200" s="13"/>
      <c r="AU200" s="13"/>
      <c r="AV200" s="13"/>
      <c r="AW200" s="13"/>
      <c r="AX200" s="13"/>
      <c r="AY200" s="13"/>
    </row>
    <row r="201" spans="1:51" x14ac:dyDescent="0.25">
      <c r="A201" s="13"/>
      <c r="B201" s="13"/>
      <c r="C201" s="13"/>
      <c r="D201" s="13"/>
      <c r="E201" s="13"/>
      <c r="F201" s="13"/>
      <c r="G201" s="6"/>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row>
    <row r="202" spans="1:51" x14ac:dyDescent="0.25">
      <c r="A202" s="13"/>
      <c r="B202" s="13"/>
      <c r="C202" s="13"/>
      <c r="D202" s="13"/>
      <c r="E202" s="13"/>
      <c r="F202" s="13"/>
      <c r="G202" s="6"/>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c r="AU202" s="13"/>
      <c r="AV202" s="13"/>
      <c r="AW202" s="13"/>
      <c r="AX202" s="13"/>
      <c r="AY202" s="13"/>
    </row>
    <row r="203" spans="1:51" x14ac:dyDescent="0.25">
      <c r="A203" s="13"/>
      <c r="B203" s="13"/>
      <c r="C203" s="13"/>
      <c r="D203" s="13"/>
      <c r="E203" s="13"/>
      <c r="F203" s="13"/>
      <c r="G203" s="6"/>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c r="AS203" s="13"/>
      <c r="AT203" s="13"/>
      <c r="AU203" s="13"/>
      <c r="AV203" s="13"/>
      <c r="AW203" s="13"/>
      <c r="AX203" s="13"/>
      <c r="AY203" s="13"/>
    </row>
    <row r="204" spans="1:51" x14ac:dyDescent="0.25">
      <c r="A204" s="13"/>
      <c r="B204" s="13"/>
      <c r="C204" s="13"/>
      <c r="D204" s="13"/>
      <c r="E204" s="13"/>
      <c r="F204" s="13"/>
      <c r="G204" s="6"/>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c r="AT204" s="13"/>
      <c r="AU204" s="13"/>
      <c r="AV204" s="13"/>
      <c r="AW204" s="13"/>
      <c r="AX204" s="13"/>
      <c r="AY204" s="13"/>
    </row>
    <row r="205" spans="1:51" x14ac:dyDescent="0.25">
      <c r="A205" s="13"/>
      <c r="B205" s="13"/>
      <c r="C205" s="13"/>
      <c r="D205" s="13"/>
      <c r="E205" s="13"/>
      <c r="F205" s="13"/>
      <c r="G205" s="6"/>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c r="AT205" s="13"/>
      <c r="AU205" s="13"/>
      <c r="AV205" s="13"/>
      <c r="AW205" s="13"/>
      <c r="AX205" s="13"/>
      <c r="AY205" s="13"/>
    </row>
    <row r="206" spans="1:51" x14ac:dyDescent="0.25">
      <c r="A206" s="13"/>
      <c r="B206" s="13"/>
      <c r="C206" s="13"/>
      <c r="D206" s="13"/>
      <c r="E206" s="13"/>
      <c r="F206" s="13"/>
      <c r="G206" s="6"/>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c r="AX206" s="13"/>
      <c r="AY206" s="13"/>
    </row>
    <row r="207" spans="1:51" x14ac:dyDescent="0.25">
      <c r="A207" s="13"/>
      <c r="B207" s="13"/>
      <c r="C207" s="13"/>
      <c r="D207" s="13"/>
      <c r="E207" s="13"/>
      <c r="F207" s="13"/>
      <c r="G207" s="6"/>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c r="AX207" s="13"/>
      <c r="AY207" s="13"/>
    </row>
    <row r="208" spans="1:51" x14ac:dyDescent="0.25">
      <c r="A208" s="13"/>
      <c r="B208" s="13"/>
      <c r="C208" s="13"/>
      <c r="D208" s="13"/>
      <c r="E208" s="13"/>
      <c r="F208" s="13"/>
      <c r="G208" s="6"/>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3"/>
      <c r="AY208" s="13"/>
    </row>
    <row r="209" spans="1:51" x14ac:dyDescent="0.25">
      <c r="A209" s="13"/>
      <c r="B209" s="13"/>
      <c r="C209" s="13"/>
      <c r="D209" s="13"/>
      <c r="E209" s="13"/>
      <c r="F209" s="13"/>
      <c r="G209" s="6"/>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3"/>
      <c r="AY209" s="13"/>
    </row>
    <row r="210" spans="1:51" x14ac:dyDescent="0.25">
      <c r="A210" s="13"/>
      <c r="B210" s="13"/>
      <c r="C210" s="13"/>
      <c r="D210" s="13"/>
      <c r="E210" s="13"/>
      <c r="F210" s="13"/>
      <c r="G210" s="6"/>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c r="AU210" s="13"/>
      <c r="AV210" s="13"/>
      <c r="AW210" s="13"/>
      <c r="AX210" s="13"/>
      <c r="AY210" s="13"/>
    </row>
    <row r="211" spans="1:51" x14ac:dyDescent="0.25">
      <c r="A211" s="13"/>
      <c r="B211" s="13"/>
      <c r="C211" s="13"/>
      <c r="D211" s="13"/>
      <c r="E211" s="13"/>
      <c r="F211" s="13"/>
      <c r="G211" s="6"/>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c r="AU211" s="13"/>
      <c r="AV211" s="13"/>
      <c r="AW211" s="13"/>
      <c r="AX211" s="13"/>
      <c r="AY211" s="13"/>
    </row>
    <row r="212" spans="1:51" x14ac:dyDescent="0.25">
      <c r="A212" s="13"/>
      <c r="B212" s="13"/>
      <c r="C212" s="13"/>
      <c r="D212" s="13"/>
      <c r="E212" s="13"/>
      <c r="F212" s="13"/>
      <c r="G212" s="6"/>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c r="AX212" s="13"/>
      <c r="AY212" s="13"/>
    </row>
    <row r="213" spans="1:51" x14ac:dyDescent="0.25">
      <c r="A213" s="13"/>
      <c r="B213" s="13"/>
      <c r="C213" s="13"/>
      <c r="D213" s="13"/>
      <c r="E213" s="13"/>
      <c r="F213" s="13"/>
      <c r="G213" s="6"/>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c r="AX213" s="13"/>
      <c r="AY213" s="13"/>
    </row>
    <row r="214" spans="1:51" x14ac:dyDescent="0.25">
      <c r="A214" s="13"/>
      <c r="B214" s="13"/>
      <c r="C214" s="13"/>
      <c r="D214" s="13"/>
      <c r="E214" s="13"/>
      <c r="F214" s="13"/>
      <c r="G214" s="6"/>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c r="AX214" s="13"/>
      <c r="AY214" s="13"/>
    </row>
    <row r="215" spans="1:51" x14ac:dyDescent="0.25">
      <c r="A215" s="13"/>
      <c r="B215" s="13"/>
      <c r="C215" s="13"/>
      <c r="D215" s="13"/>
      <c r="E215" s="13"/>
      <c r="F215" s="13"/>
      <c r="G215" s="6"/>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c r="AU215" s="13"/>
      <c r="AV215" s="13"/>
      <c r="AW215" s="13"/>
      <c r="AX215" s="13"/>
      <c r="AY215" s="13"/>
    </row>
    <row r="216" spans="1:51" x14ac:dyDescent="0.25">
      <c r="A216" s="13"/>
      <c r="B216" s="13"/>
      <c r="C216" s="13"/>
      <c r="D216" s="13"/>
      <c r="E216" s="13"/>
      <c r="F216" s="13"/>
      <c r="G216" s="6"/>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c r="AX216" s="13"/>
      <c r="AY216" s="13"/>
    </row>
    <row r="217" spans="1:51" x14ac:dyDescent="0.25">
      <c r="A217" s="13"/>
      <c r="B217" s="13"/>
      <c r="C217" s="13"/>
      <c r="D217" s="13"/>
      <c r="E217" s="13"/>
      <c r="F217" s="13"/>
      <c r="G217" s="6"/>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c r="AX217" s="13"/>
      <c r="AY217" s="13"/>
    </row>
    <row r="218" spans="1:51" x14ac:dyDescent="0.25">
      <c r="A218" s="13"/>
      <c r="B218" s="13"/>
      <c r="C218" s="13"/>
      <c r="D218" s="13"/>
      <c r="E218" s="13"/>
      <c r="F218" s="13"/>
      <c r="G218" s="6"/>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c r="AX218" s="13"/>
      <c r="AY218" s="13"/>
    </row>
    <row r="219" spans="1:51" x14ac:dyDescent="0.25">
      <c r="A219" s="13"/>
      <c r="B219" s="13"/>
      <c r="C219" s="13"/>
      <c r="D219" s="13"/>
      <c r="E219" s="13"/>
      <c r="F219" s="13"/>
      <c r="G219" s="6"/>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c r="AT219" s="13"/>
      <c r="AU219" s="13"/>
      <c r="AV219" s="13"/>
      <c r="AW219" s="13"/>
      <c r="AX219" s="13"/>
      <c r="AY219" s="13"/>
    </row>
    <row r="220" spans="1:51" x14ac:dyDescent="0.25">
      <c r="A220" s="13"/>
      <c r="B220" s="13"/>
      <c r="C220" s="13"/>
      <c r="D220" s="13"/>
      <c r="E220" s="13"/>
      <c r="F220" s="13"/>
      <c r="G220" s="6"/>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c r="AT220" s="13"/>
      <c r="AU220" s="13"/>
      <c r="AV220" s="13"/>
      <c r="AW220" s="13"/>
      <c r="AX220" s="13"/>
      <c r="AY220" s="13"/>
    </row>
    <row r="221" spans="1:51" x14ac:dyDescent="0.25">
      <c r="A221" s="13"/>
      <c r="B221" s="13"/>
      <c r="C221" s="13"/>
      <c r="D221" s="13"/>
      <c r="E221" s="13"/>
      <c r="F221" s="13"/>
      <c r="G221" s="6"/>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c r="AT221" s="13"/>
      <c r="AU221" s="13"/>
      <c r="AV221" s="13"/>
      <c r="AW221" s="13"/>
      <c r="AX221" s="13"/>
      <c r="AY221" s="13"/>
    </row>
    <row r="222" spans="1:51" x14ac:dyDescent="0.25">
      <c r="A222" s="13"/>
      <c r="B222" s="13"/>
      <c r="C222" s="13"/>
      <c r="D222" s="13"/>
      <c r="E222" s="13"/>
      <c r="F222" s="13"/>
      <c r="G222" s="6"/>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3"/>
      <c r="AT222" s="13"/>
      <c r="AU222" s="13"/>
      <c r="AV222" s="13"/>
      <c r="AW222" s="13"/>
      <c r="AX222" s="13"/>
      <c r="AY222" s="13"/>
    </row>
    <row r="223" spans="1:51" x14ac:dyDescent="0.25">
      <c r="A223" s="13"/>
      <c r="B223" s="13"/>
      <c r="C223" s="13"/>
      <c r="D223" s="13"/>
      <c r="E223" s="13"/>
      <c r="F223" s="13"/>
      <c r="G223" s="6"/>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c r="AS223" s="13"/>
      <c r="AT223" s="13"/>
      <c r="AU223" s="13"/>
      <c r="AV223" s="13"/>
      <c r="AW223" s="13"/>
      <c r="AX223" s="13"/>
      <c r="AY223" s="13"/>
    </row>
    <row r="224" spans="1:51" x14ac:dyDescent="0.25">
      <c r="A224" s="13"/>
      <c r="B224" s="13"/>
      <c r="C224" s="13"/>
      <c r="D224" s="13"/>
      <c r="E224" s="13"/>
      <c r="F224" s="13"/>
      <c r="G224" s="6"/>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c r="AU224" s="13"/>
      <c r="AV224" s="13"/>
      <c r="AW224" s="13"/>
      <c r="AX224" s="13"/>
      <c r="AY224" s="13"/>
    </row>
    <row r="225" spans="1:51" x14ac:dyDescent="0.25">
      <c r="A225" s="13"/>
      <c r="B225" s="13"/>
      <c r="C225" s="13"/>
      <c r="D225" s="13"/>
      <c r="E225" s="13"/>
      <c r="F225" s="13"/>
      <c r="G225" s="6"/>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c r="AS225" s="13"/>
      <c r="AT225" s="13"/>
      <c r="AU225" s="13"/>
      <c r="AV225" s="13"/>
      <c r="AW225" s="13"/>
      <c r="AX225" s="13"/>
      <c r="AY225" s="13"/>
    </row>
    <row r="226" spans="1:51" x14ac:dyDescent="0.25">
      <c r="A226" s="13"/>
      <c r="B226" s="13"/>
      <c r="C226" s="13"/>
      <c r="D226" s="13"/>
      <c r="E226" s="13"/>
      <c r="F226" s="13"/>
      <c r="G226" s="6"/>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3"/>
      <c r="AT226" s="13"/>
      <c r="AU226" s="13"/>
      <c r="AV226" s="13"/>
      <c r="AW226" s="13"/>
      <c r="AX226" s="13"/>
      <c r="AY226" s="13"/>
    </row>
    <row r="227" spans="1:51" x14ac:dyDescent="0.25">
      <c r="A227" s="13"/>
      <c r="B227" s="13"/>
      <c r="C227" s="13"/>
      <c r="D227" s="13"/>
      <c r="E227" s="13"/>
      <c r="F227" s="13"/>
      <c r="G227" s="6"/>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c r="AS227" s="13"/>
      <c r="AT227" s="13"/>
      <c r="AU227" s="13"/>
      <c r="AV227" s="13"/>
      <c r="AW227" s="13"/>
      <c r="AX227" s="13"/>
      <c r="AY227" s="13"/>
    </row>
    <row r="228" spans="1:51" x14ac:dyDescent="0.25">
      <c r="A228" s="13"/>
      <c r="B228" s="13"/>
      <c r="C228" s="13"/>
      <c r="D228" s="13"/>
      <c r="E228" s="13"/>
      <c r="F228" s="13"/>
      <c r="G228" s="6"/>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c r="AS228" s="13"/>
      <c r="AT228" s="13"/>
      <c r="AU228" s="13"/>
      <c r="AV228" s="13"/>
      <c r="AW228" s="13"/>
      <c r="AX228" s="13"/>
      <c r="AY228" s="13"/>
    </row>
    <row r="229" spans="1:51" x14ac:dyDescent="0.25">
      <c r="A229" s="13"/>
      <c r="B229" s="13"/>
      <c r="C229" s="13"/>
      <c r="D229" s="13"/>
      <c r="E229" s="13"/>
      <c r="F229" s="13"/>
      <c r="G229" s="6"/>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c r="AS229" s="13"/>
      <c r="AT229" s="13"/>
      <c r="AU229" s="13"/>
      <c r="AV229" s="13"/>
      <c r="AW229" s="13"/>
      <c r="AX229" s="13"/>
      <c r="AY229" s="13"/>
    </row>
    <row r="230" spans="1:51" x14ac:dyDescent="0.25">
      <c r="A230" s="13"/>
      <c r="B230" s="13"/>
      <c r="C230" s="13"/>
      <c r="D230" s="13"/>
      <c r="E230" s="13"/>
      <c r="F230" s="13"/>
      <c r="G230" s="6"/>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c r="AS230" s="13"/>
      <c r="AT230" s="13"/>
      <c r="AU230" s="13"/>
      <c r="AV230" s="13"/>
      <c r="AW230" s="13"/>
      <c r="AX230" s="13"/>
      <c r="AY230" s="13"/>
    </row>
    <row r="231" spans="1:51" x14ac:dyDescent="0.25">
      <c r="A231" s="13"/>
      <c r="B231" s="13"/>
      <c r="C231" s="13"/>
      <c r="D231" s="13"/>
      <c r="E231" s="13"/>
      <c r="F231" s="13"/>
      <c r="G231" s="6"/>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c r="AS231" s="13"/>
      <c r="AT231" s="13"/>
      <c r="AU231" s="13"/>
      <c r="AV231" s="13"/>
      <c r="AW231" s="13"/>
      <c r="AX231" s="13"/>
      <c r="AY231" s="13"/>
    </row>
    <row r="232" spans="1:51" x14ac:dyDescent="0.25">
      <c r="A232" s="13"/>
      <c r="B232" s="13"/>
      <c r="C232" s="13"/>
      <c r="D232" s="13"/>
      <c r="E232" s="13"/>
      <c r="F232" s="13"/>
      <c r="G232" s="6"/>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c r="AS232" s="13"/>
      <c r="AT232" s="13"/>
      <c r="AU232" s="13"/>
      <c r="AV232" s="13"/>
      <c r="AW232" s="13"/>
      <c r="AX232" s="13"/>
      <c r="AY232" s="13"/>
    </row>
    <row r="233" spans="1:51" x14ac:dyDescent="0.25">
      <c r="A233" s="13"/>
      <c r="B233" s="13"/>
      <c r="C233" s="13"/>
      <c r="D233" s="13"/>
      <c r="E233" s="13"/>
      <c r="F233" s="13"/>
      <c r="G233" s="6"/>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c r="AS233" s="13"/>
      <c r="AT233" s="13"/>
      <c r="AU233" s="13"/>
      <c r="AV233" s="13"/>
      <c r="AW233" s="13"/>
      <c r="AX233" s="13"/>
      <c r="AY233" s="13"/>
    </row>
    <row r="234" spans="1:51" x14ac:dyDescent="0.25">
      <c r="A234" s="13"/>
      <c r="B234" s="13"/>
      <c r="C234" s="13"/>
      <c r="D234" s="13"/>
      <c r="E234" s="13"/>
      <c r="F234" s="13"/>
      <c r="G234" s="6"/>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c r="AS234" s="13"/>
      <c r="AT234" s="13"/>
      <c r="AU234" s="13"/>
      <c r="AV234" s="13"/>
      <c r="AW234" s="13"/>
      <c r="AX234" s="13"/>
      <c r="AY234" s="13"/>
    </row>
    <row r="235" spans="1:51" x14ac:dyDescent="0.25">
      <c r="A235" s="13"/>
      <c r="B235" s="13"/>
      <c r="C235" s="13"/>
      <c r="D235" s="13"/>
      <c r="E235" s="13"/>
      <c r="F235" s="13"/>
      <c r="G235" s="6"/>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c r="AS235" s="13"/>
      <c r="AT235" s="13"/>
      <c r="AU235" s="13"/>
      <c r="AV235" s="13"/>
      <c r="AW235" s="13"/>
      <c r="AX235" s="13"/>
      <c r="AY235" s="13"/>
    </row>
    <row r="236" spans="1:51" x14ac:dyDescent="0.25">
      <c r="A236" s="13"/>
      <c r="B236" s="13"/>
      <c r="C236" s="13"/>
      <c r="D236" s="13"/>
      <c r="E236" s="13"/>
      <c r="F236" s="13"/>
      <c r="G236" s="6"/>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c r="AS236" s="13"/>
      <c r="AT236" s="13"/>
      <c r="AU236" s="13"/>
      <c r="AV236" s="13"/>
      <c r="AW236" s="13"/>
      <c r="AX236" s="13"/>
      <c r="AY236" s="13"/>
    </row>
    <row r="237" spans="1:51" x14ac:dyDescent="0.25">
      <c r="A237" s="13"/>
      <c r="B237" s="13"/>
      <c r="C237" s="13"/>
      <c r="D237" s="13"/>
      <c r="E237" s="13"/>
      <c r="F237" s="13"/>
      <c r="G237" s="6"/>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c r="AS237" s="13"/>
      <c r="AT237" s="13"/>
      <c r="AU237" s="13"/>
      <c r="AV237" s="13"/>
      <c r="AW237" s="13"/>
      <c r="AX237" s="13"/>
      <c r="AY237" s="13"/>
    </row>
    <row r="238" spans="1:51" x14ac:dyDescent="0.25">
      <c r="A238" s="13"/>
      <c r="B238" s="13"/>
      <c r="C238" s="13"/>
      <c r="D238" s="13"/>
      <c r="E238" s="13"/>
      <c r="F238" s="13"/>
      <c r="G238" s="6"/>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c r="AS238" s="13"/>
      <c r="AT238" s="13"/>
      <c r="AU238" s="13"/>
      <c r="AV238" s="13"/>
      <c r="AW238" s="13"/>
      <c r="AX238" s="13"/>
      <c r="AY238" s="13"/>
    </row>
    <row r="239" spans="1:51" x14ac:dyDescent="0.25">
      <c r="A239" s="13"/>
      <c r="B239" s="13"/>
      <c r="C239" s="13"/>
      <c r="D239" s="13"/>
      <c r="E239" s="13"/>
      <c r="F239" s="13"/>
      <c r="G239" s="6"/>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row>
    <row r="240" spans="1:51" x14ac:dyDescent="0.25">
      <c r="A240" s="13"/>
      <c r="B240" s="13"/>
      <c r="C240" s="13"/>
      <c r="D240" s="13"/>
      <c r="E240" s="13"/>
      <c r="F240" s="13"/>
      <c r="G240" s="6"/>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c r="AS240" s="13"/>
      <c r="AT240" s="13"/>
      <c r="AU240" s="13"/>
      <c r="AV240" s="13"/>
      <c r="AW240" s="13"/>
      <c r="AX240" s="13"/>
      <c r="AY240" s="13"/>
    </row>
    <row r="241" spans="1:51" x14ac:dyDescent="0.25">
      <c r="A241" s="13"/>
      <c r="B241" s="13"/>
      <c r="C241" s="13"/>
      <c r="D241" s="13"/>
      <c r="E241" s="13"/>
      <c r="F241" s="13"/>
      <c r="G241" s="6"/>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c r="AS241" s="13"/>
      <c r="AT241" s="13"/>
      <c r="AU241" s="13"/>
      <c r="AV241" s="13"/>
      <c r="AW241" s="13"/>
      <c r="AX241" s="13"/>
      <c r="AY241" s="13"/>
    </row>
    <row r="242" spans="1:51" x14ac:dyDescent="0.25">
      <c r="A242" s="13"/>
      <c r="B242" s="13"/>
      <c r="C242" s="13"/>
      <c r="D242" s="13"/>
      <c r="E242" s="13"/>
      <c r="F242" s="13"/>
      <c r="G242" s="6"/>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c r="AS242" s="13"/>
      <c r="AT242" s="13"/>
      <c r="AU242" s="13"/>
      <c r="AV242" s="13"/>
      <c r="AW242" s="13"/>
      <c r="AX242" s="13"/>
      <c r="AY242" s="13"/>
    </row>
    <row r="243" spans="1:51" x14ac:dyDescent="0.25">
      <c r="A243" s="13"/>
      <c r="B243" s="13"/>
      <c r="C243" s="13"/>
      <c r="D243" s="13"/>
      <c r="E243" s="13"/>
      <c r="F243" s="13"/>
      <c r="G243" s="6"/>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c r="AS243" s="13"/>
      <c r="AT243" s="13"/>
      <c r="AU243" s="13"/>
      <c r="AV243" s="13"/>
      <c r="AW243" s="13"/>
      <c r="AX243" s="13"/>
      <c r="AY243" s="13"/>
    </row>
    <row r="244" spans="1:51" x14ac:dyDescent="0.25">
      <c r="A244" s="13"/>
      <c r="B244" s="13"/>
      <c r="C244" s="13"/>
      <c r="D244" s="13"/>
      <c r="E244" s="13"/>
      <c r="F244" s="13"/>
      <c r="G244" s="6"/>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c r="AS244" s="13"/>
      <c r="AT244" s="13"/>
      <c r="AU244" s="13"/>
      <c r="AV244" s="13"/>
      <c r="AW244" s="13"/>
      <c r="AX244" s="13"/>
      <c r="AY244" s="13"/>
    </row>
    <row r="245" spans="1:51" x14ac:dyDescent="0.25">
      <c r="A245" s="13"/>
      <c r="B245" s="13"/>
      <c r="C245" s="13"/>
      <c r="D245" s="13"/>
      <c r="E245" s="13"/>
      <c r="F245" s="13"/>
      <c r="G245" s="6"/>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c r="AS245" s="13"/>
      <c r="AT245" s="13"/>
      <c r="AU245" s="13"/>
      <c r="AV245" s="13"/>
      <c r="AW245" s="13"/>
      <c r="AX245" s="13"/>
      <c r="AY245" s="13"/>
    </row>
    <row r="246" spans="1:51" x14ac:dyDescent="0.25">
      <c r="A246" s="13"/>
      <c r="B246" s="13"/>
      <c r="C246" s="13"/>
      <c r="D246" s="13"/>
      <c r="E246" s="13"/>
      <c r="F246" s="13"/>
      <c r="G246" s="6"/>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c r="AS246" s="13"/>
      <c r="AT246" s="13"/>
      <c r="AU246" s="13"/>
      <c r="AV246" s="13"/>
      <c r="AW246" s="13"/>
      <c r="AX246" s="13"/>
      <c r="AY246" s="13"/>
    </row>
    <row r="247" spans="1:51" x14ac:dyDescent="0.25">
      <c r="A247" s="13"/>
      <c r="B247" s="13"/>
      <c r="C247" s="13"/>
      <c r="D247" s="13"/>
      <c r="E247" s="13"/>
      <c r="F247" s="13"/>
      <c r="G247" s="6"/>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c r="AS247" s="13"/>
      <c r="AT247" s="13"/>
      <c r="AU247" s="13"/>
      <c r="AV247" s="13"/>
      <c r="AW247" s="13"/>
      <c r="AX247" s="13"/>
      <c r="AY247" s="13"/>
    </row>
    <row r="248" spans="1:51" x14ac:dyDescent="0.25">
      <c r="A248" s="13"/>
      <c r="B248" s="13"/>
      <c r="C248" s="13"/>
      <c r="D248" s="13"/>
      <c r="E248" s="13"/>
      <c r="F248" s="13"/>
      <c r="G248" s="6"/>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c r="AR248" s="13"/>
      <c r="AS248" s="13"/>
      <c r="AT248" s="13"/>
      <c r="AU248" s="13"/>
      <c r="AV248" s="13"/>
      <c r="AW248" s="13"/>
      <c r="AX248" s="13"/>
      <c r="AY248" s="13"/>
    </row>
    <row r="249" spans="1:51" x14ac:dyDescent="0.25">
      <c r="A249" s="13"/>
      <c r="B249" s="13"/>
      <c r="C249" s="13"/>
      <c r="D249" s="13"/>
      <c r="E249" s="13"/>
      <c r="F249" s="13"/>
      <c r="G249" s="6"/>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c r="AL249" s="13"/>
      <c r="AM249" s="13"/>
      <c r="AN249" s="13"/>
      <c r="AO249" s="13"/>
      <c r="AP249" s="13"/>
      <c r="AQ249" s="13"/>
      <c r="AR249" s="13"/>
      <c r="AS249" s="13"/>
      <c r="AT249" s="13"/>
      <c r="AU249" s="13"/>
      <c r="AV249" s="13"/>
      <c r="AW249" s="13"/>
      <c r="AX249" s="13"/>
      <c r="AY249" s="13"/>
    </row>
    <row r="250" spans="1:51" x14ac:dyDescent="0.25">
      <c r="A250" s="13"/>
      <c r="B250" s="13"/>
      <c r="C250" s="13"/>
      <c r="D250" s="13"/>
      <c r="E250" s="13"/>
      <c r="F250" s="13"/>
      <c r="G250" s="6"/>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c r="AL250" s="13"/>
      <c r="AM250" s="13"/>
      <c r="AN250" s="13"/>
      <c r="AO250" s="13"/>
      <c r="AP250" s="13"/>
      <c r="AQ250" s="13"/>
      <c r="AR250" s="13"/>
      <c r="AS250" s="13"/>
      <c r="AT250" s="13"/>
      <c r="AU250" s="13"/>
      <c r="AV250" s="13"/>
      <c r="AW250" s="13"/>
      <c r="AX250" s="13"/>
      <c r="AY250" s="13"/>
    </row>
    <row r="251" spans="1:51" x14ac:dyDescent="0.25">
      <c r="A251" s="13"/>
      <c r="B251" s="13"/>
      <c r="C251" s="13"/>
      <c r="D251" s="13"/>
      <c r="E251" s="13"/>
      <c r="F251" s="13"/>
      <c r="G251" s="6"/>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c r="AL251" s="13"/>
      <c r="AM251" s="13"/>
      <c r="AN251" s="13"/>
      <c r="AO251" s="13"/>
      <c r="AP251" s="13"/>
      <c r="AQ251" s="13"/>
      <c r="AR251" s="13"/>
      <c r="AS251" s="13"/>
      <c r="AT251" s="13"/>
      <c r="AU251" s="13"/>
      <c r="AV251" s="13"/>
      <c r="AW251" s="13"/>
      <c r="AX251" s="13"/>
      <c r="AY251" s="13"/>
    </row>
    <row r="252" spans="1:51" x14ac:dyDescent="0.25">
      <c r="A252" s="13"/>
      <c r="B252" s="13"/>
      <c r="C252" s="13"/>
      <c r="D252" s="13"/>
      <c r="E252" s="13"/>
      <c r="F252" s="13"/>
      <c r="G252" s="6"/>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c r="AL252" s="13"/>
      <c r="AM252" s="13"/>
      <c r="AN252" s="13"/>
      <c r="AO252" s="13"/>
      <c r="AP252" s="13"/>
      <c r="AQ252" s="13"/>
      <c r="AR252" s="13"/>
      <c r="AS252" s="13"/>
      <c r="AT252" s="13"/>
      <c r="AU252" s="13"/>
      <c r="AV252" s="13"/>
      <c r="AW252" s="13"/>
      <c r="AX252" s="13"/>
      <c r="AY252" s="13"/>
    </row>
    <row r="253" spans="1:51" x14ac:dyDescent="0.25">
      <c r="A253" s="13"/>
      <c r="B253" s="13"/>
      <c r="C253" s="13"/>
      <c r="D253" s="13"/>
      <c r="E253" s="13"/>
      <c r="F253" s="13"/>
      <c r="G253" s="6"/>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c r="AR253" s="13"/>
      <c r="AS253" s="13"/>
      <c r="AT253" s="13"/>
      <c r="AU253" s="13"/>
      <c r="AV253" s="13"/>
      <c r="AW253" s="13"/>
      <c r="AX253" s="13"/>
      <c r="AY253" s="13"/>
    </row>
    <row r="254" spans="1:51" x14ac:dyDescent="0.25">
      <c r="A254" s="13"/>
      <c r="B254" s="13"/>
      <c r="C254" s="13"/>
      <c r="D254" s="13"/>
      <c r="E254" s="13"/>
      <c r="F254" s="13"/>
      <c r="G254" s="6"/>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c r="AL254" s="13"/>
      <c r="AM254" s="13"/>
      <c r="AN254" s="13"/>
      <c r="AO254" s="13"/>
      <c r="AP254" s="13"/>
      <c r="AQ254" s="13"/>
      <c r="AR254" s="13"/>
      <c r="AS254" s="13"/>
      <c r="AT254" s="13"/>
      <c r="AU254" s="13"/>
      <c r="AV254" s="13"/>
      <c r="AW254" s="13"/>
      <c r="AX254" s="13"/>
      <c r="AY254" s="13"/>
    </row>
    <row r="255" spans="1:51" x14ac:dyDescent="0.25">
      <c r="A255" s="13"/>
      <c r="B255" s="13"/>
      <c r="C255" s="13"/>
      <c r="D255" s="13"/>
      <c r="E255" s="13"/>
      <c r="F255" s="13"/>
      <c r="G255" s="6"/>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c r="AL255" s="13"/>
      <c r="AM255" s="13"/>
      <c r="AN255" s="13"/>
      <c r="AO255" s="13"/>
      <c r="AP255" s="13"/>
      <c r="AQ255" s="13"/>
      <c r="AR255" s="13"/>
      <c r="AS255" s="13"/>
      <c r="AT255" s="13"/>
      <c r="AU255" s="13"/>
      <c r="AV255" s="13"/>
      <c r="AW255" s="13"/>
      <c r="AX255" s="13"/>
      <c r="AY255" s="13"/>
    </row>
    <row r="256" spans="1:51" x14ac:dyDescent="0.25">
      <c r="A256" s="13"/>
      <c r="B256" s="13"/>
      <c r="C256" s="13"/>
      <c r="D256" s="13"/>
      <c r="E256" s="13"/>
      <c r="F256" s="13"/>
      <c r="G256" s="6"/>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c r="AL256" s="13"/>
      <c r="AM256" s="13"/>
      <c r="AN256" s="13"/>
      <c r="AO256" s="13"/>
      <c r="AP256" s="13"/>
      <c r="AQ256" s="13"/>
      <c r="AR256" s="13"/>
      <c r="AS256" s="13"/>
      <c r="AT256" s="13"/>
      <c r="AU256" s="13"/>
      <c r="AV256" s="13"/>
      <c r="AW256" s="13"/>
      <c r="AX256" s="13"/>
      <c r="AY256" s="13"/>
    </row>
    <row r="257" spans="1:51" x14ac:dyDescent="0.25">
      <c r="A257" s="13"/>
      <c r="B257" s="13"/>
      <c r="C257" s="13"/>
      <c r="D257" s="13"/>
      <c r="E257" s="13"/>
      <c r="F257" s="13"/>
      <c r="G257" s="6"/>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c r="AL257" s="13"/>
      <c r="AM257" s="13"/>
      <c r="AN257" s="13"/>
      <c r="AO257" s="13"/>
      <c r="AP257" s="13"/>
      <c r="AQ257" s="13"/>
      <c r="AR257" s="13"/>
      <c r="AS257" s="13"/>
      <c r="AT257" s="13"/>
      <c r="AU257" s="13"/>
      <c r="AV257" s="13"/>
      <c r="AW257" s="13"/>
      <c r="AX257" s="13"/>
      <c r="AY257" s="13"/>
    </row>
    <row r="258" spans="1:51" x14ac:dyDescent="0.25">
      <c r="A258" s="13"/>
      <c r="B258" s="13"/>
      <c r="C258" s="13"/>
      <c r="D258" s="13"/>
      <c r="E258" s="13"/>
      <c r="F258" s="13"/>
      <c r="G258" s="6"/>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c r="AK258" s="13"/>
      <c r="AL258" s="13"/>
      <c r="AM258" s="13"/>
      <c r="AN258" s="13"/>
      <c r="AO258" s="13"/>
      <c r="AP258" s="13"/>
      <c r="AQ258" s="13"/>
      <c r="AR258" s="13"/>
      <c r="AS258" s="13"/>
      <c r="AT258" s="13"/>
      <c r="AU258" s="13"/>
      <c r="AV258" s="13"/>
      <c r="AW258" s="13"/>
      <c r="AX258" s="13"/>
      <c r="AY258" s="13"/>
    </row>
    <row r="259" spans="1:51" x14ac:dyDescent="0.25">
      <c r="A259" s="13"/>
      <c r="B259" s="13"/>
      <c r="C259" s="13"/>
      <c r="D259" s="13"/>
      <c r="E259" s="13"/>
      <c r="F259" s="13"/>
      <c r="G259" s="6"/>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c r="AK259" s="13"/>
      <c r="AL259" s="13"/>
      <c r="AM259" s="13"/>
      <c r="AN259" s="13"/>
      <c r="AO259" s="13"/>
      <c r="AP259" s="13"/>
      <c r="AQ259" s="13"/>
      <c r="AR259" s="13"/>
      <c r="AS259" s="13"/>
      <c r="AT259" s="13"/>
      <c r="AU259" s="13"/>
      <c r="AV259" s="13"/>
      <c r="AW259" s="13"/>
      <c r="AX259" s="13"/>
      <c r="AY259" s="13"/>
    </row>
    <row r="260" spans="1:51" x14ac:dyDescent="0.25">
      <c r="A260" s="13"/>
      <c r="B260" s="13"/>
      <c r="C260" s="13"/>
      <c r="D260" s="13"/>
      <c r="E260" s="13"/>
      <c r="F260" s="13"/>
      <c r="G260" s="6"/>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c r="AL260" s="13"/>
      <c r="AM260" s="13"/>
      <c r="AN260" s="13"/>
      <c r="AO260" s="13"/>
      <c r="AP260" s="13"/>
      <c r="AQ260" s="13"/>
      <c r="AR260" s="13"/>
      <c r="AS260" s="13"/>
      <c r="AT260" s="13"/>
      <c r="AU260" s="13"/>
      <c r="AV260" s="13"/>
      <c r="AW260" s="13"/>
      <c r="AX260" s="13"/>
      <c r="AY260" s="13"/>
    </row>
    <row r="261" spans="1:51" x14ac:dyDescent="0.25">
      <c r="A261" s="13"/>
      <c r="B261" s="13"/>
      <c r="C261" s="13"/>
      <c r="D261" s="13"/>
      <c r="E261" s="13"/>
      <c r="F261" s="13"/>
      <c r="G261" s="6"/>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c r="AL261" s="13"/>
      <c r="AM261" s="13"/>
      <c r="AN261" s="13"/>
      <c r="AO261" s="13"/>
      <c r="AP261" s="13"/>
      <c r="AQ261" s="13"/>
      <c r="AR261" s="13"/>
      <c r="AS261" s="13"/>
      <c r="AT261" s="13"/>
      <c r="AU261" s="13"/>
      <c r="AV261" s="13"/>
      <c r="AW261" s="13"/>
      <c r="AX261" s="13"/>
      <c r="AY261" s="13"/>
    </row>
    <row r="262" spans="1:51" x14ac:dyDescent="0.25">
      <c r="A262" s="13"/>
      <c r="B262" s="13"/>
      <c r="C262" s="13"/>
      <c r="D262" s="13"/>
      <c r="E262" s="13"/>
      <c r="F262" s="13"/>
      <c r="G262" s="6"/>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c r="AK262" s="13"/>
      <c r="AL262" s="13"/>
      <c r="AM262" s="13"/>
      <c r="AN262" s="13"/>
      <c r="AO262" s="13"/>
      <c r="AP262" s="13"/>
      <c r="AQ262" s="13"/>
      <c r="AR262" s="13"/>
      <c r="AS262" s="13"/>
      <c r="AT262" s="13"/>
      <c r="AU262" s="13"/>
      <c r="AV262" s="13"/>
      <c r="AW262" s="13"/>
      <c r="AX262" s="13"/>
      <c r="AY262" s="13"/>
    </row>
    <row r="263" spans="1:51" x14ac:dyDescent="0.25">
      <c r="A263" s="13"/>
      <c r="B263" s="13"/>
      <c r="C263" s="13"/>
      <c r="D263" s="13"/>
      <c r="E263" s="13"/>
      <c r="F263" s="13"/>
      <c r="G263" s="6"/>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c r="AL263" s="13"/>
      <c r="AM263" s="13"/>
      <c r="AN263" s="13"/>
      <c r="AO263" s="13"/>
      <c r="AP263" s="13"/>
      <c r="AQ263" s="13"/>
      <c r="AR263" s="13"/>
      <c r="AS263" s="13"/>
      <c r="AT263" s="13"/>
      <c r="AU263" s="13"/>
      <c r="AV263" s="13"/>
      <c r="AW263" s="13"/>
      <c r="AX263" s="13"/>
      <c r="AY263" s="13"/>
    </row>
    <row r="264" spans="1:51" x14ac:dyDescent="0.25">
      <c r="A264" s="13"/>
      <c r="B264" s="13"/>
      <c r="C264" s="13"/>
      <c r="D264" s="13"/>
      <c r="E264" s="13"/>
      <c r="F264" s="13"/>
      <c r="G264" s="6"/>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c r="AL264" s="13"/>
      <c r="AM264" s="13"/>
      <c r="AN264" s="13"/>
      <c r="AO264" s="13"/>
      <c r="AP264" s="13"/>
      <c r="AQ264" s="13"/>
      <c r="AR264" s="13"/>
      <c r="AS264" s="13"/>
      <c r="AT264" s="13"/>
      <c r="AU264" s="13"/>
      <c r="AV264" s="13"/>
      <c r="AW264" s="13"/>
      <c r="AX264" s="13"/>
      <c r="AY264" s="13"/>
    </row>
    <row r="265" spans="1:51" x14ac:dyDescent="0.25">
      <c r="A265" s="13"/>
      <c r="B265" s="13"/>
      <c r="C265" s="13"/>
      <c r="D265" s="13"/>
      <c r="E265" s="13"/>
      <c r="F265" s="13"/>
      <c r="G265" s="6"/>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c r="AL265" s="13"/>
      <c r="AM265" s="13"/>
      <c r="AN265" s="13"/>
      <c r="AO265" s="13"/>
      <c r="AP265" s="13"/>
      <c r="AQ265" s="13"/>
      <c r="AR265" s="13"/>
      <c r="AS265" s="13"/>
      <c r="AT265" s="13"/>
      <c r="AU265" s="13"/>
      <c r="AV265" s="13"/>
      <c r="AW265" s="13"/>
      <c r="AX265" s="13"/>
      <c r="AY265" s="13"/>
    </row>
    <row r="266" spans="1:51" x14ac:dyDescent="0.25">
      <c r="A266" s="13"/>
      <c r="B266" s="13"/>
      <c r="C266" s="13"/>
      <c r="D266" s="13"/>
      <c r="E266" s="13"/>
      <c r="F266" s="13"/>
      <c r="G266" s="6"/>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c r="AL266" s="13"/>
      <c r="AM266" s="13"/>
      <c r="AN266" s="13"/>
      <c r="AO266" s="13"/>
      <c r="AP266" s="13"/>
      <c r="AQ266" s="13"/>
      <c r="AR266" s="13"/>
      <c r="AS266" s="13"/>
      <c r="AT266" s="13"/>
      <c r="AU266" s="13"/>
      <c r="AV266" s="13"/>
      <c r="AW266" s="13"/>
      <c r="AX266" s="13"/>
      <c r="AY266" s="13"/>
    </row>
    <row r="267" spans="1:51" x14ac:dyDescent="0.25">
      <c r="A267" s="13"/>
      <c r="B267" s="13"/>
      <c r="C267" s="13"/>
      <c r="D267" s="13"/>
      <c r="E267" s="13"/>
      <c r="F267" s="13"/>
      <c r="G267" s="6"/>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c r="AL267" s="13"/>
      <c r="AM267" s="13"/>
      <c r="AN267" s="13"/>
      <c r="AO267" s="13"/>
      <c r="AP267" s="13"/>
      <c r="AQ267" s="13"/>
      <c r="AR267" s="13"/>
      <c r="AS267" s="13"/>
      <c r="AT267" s="13"/>
      <c r="AU267" s="13"/>
      <c r="AV267" s="13"/>
      <c r="AW267" s="13"/>
      <c r="AX267" s="13"/>
      <c r="AY267" s="13"/>
    </row>
    <row r="268" spans="1:51" x14ac:dyDescent="0.25">
      <c r="A268" s="13"/>
      <c r="B268" s="13"/>
      <c r="C268" s="13"/>
      <c r="D268" s="13"/>
      <c r="E268" s="13"/>
      <c r="F268" s="13"/>
      <c r="G268" s="6"/>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c r="AL268" s="13"/>
      <c r="AM268" s="13"/>
      <c r="AN268" s="13"/>
      <c r="AO268" s="13"/>
      <c r="AP268" s="13"/>
      <c r="AQ268" s="13"/>
      <c r="AR268" s="13"/>
      <c r="AS268" s="13"/>
      <c r="AT268" s="13"/>
      <c r="AU268" s="13"/>
      <c r="AV268" s="13"/>
      <c r="AW268" s="13"/>
      <c r="AX268" s="13"/>
      <c r="AY268" s="13"/>
    </row>
    <row r="269" spans="1:51" x14ac:dyDescent="0.25">
      <c r="A269" s="13"/>
      <c r="B269" s="13"/>
      <c r="C269" s="13"/>
      <c r="D269" s="13"/>
      <c r="E269" s="13"/>
      <c r="F269" s="13"/>
      <c r="G269" s="6"/>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c r="AL269" s="13"/>
      <c r="AM269" s="13"/>
      <c r="AN269" s="13"/>
      <c r="AO269" s="13"/>
      <c r="AP269" s="13"/>
      <c r="AQ269" s="13"/>
      <c r="AR269" s="13"/>
      <c r="AS269" s="13"/>
      <c r="AT269" s="13"/>
      <c r="AU269" s="13"/>
      <c r="AV269" s="13"/>
      <c r="AW269" s="13"/>
      <c r="AX269" s="13"/>
      <c r="AY269" s="13"/>
    </row>
    <row r="270" spans="1:51" x14ac:dyDescent="0.25">
      <c r="A270" s="13"/>
      <c r="B270" s="13"/>
      <c r="C270" s="13"/>
      <c r="D270" s="13"/>
      <c r="E270" s="13"/>
      <c r="F270" s="13"/>
      <c r="G270" s="6"/>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c r="AL270" s="13"/>
      <c r="AM270" s="13"/>
      <c r="AN270" s="13"/>
      <c r="AO270" s="13"/>
      <c r="AP270" s="13"/>
      <c r="AQ270" s="13"/>
      <c r="AR270" s="13"/>
      <c r="AS270" s="13"/>
      <c r="AT270" s="13"/>
      <c r="AU270" s="13"/>
      <c r="AV270" s="13"/>
      <c r="AW270" s="13"/>
      <c r="AX270" s="13"/>
      <c r="AY270" s="13"/>
    </row>
    <row r="271" spans="1:51" x14ac:dyDescent="0.25">
      <c r="A271" s="13"/>
      <c r="B271" s="13"/>
      <c r="C271" s="13"/>
      <c r="D271" s="13"/>
      <c r="E271" s="13"/>
      <c r="F271" s="13"/>
      <c r="G271" s="6"/>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c r="AL271" s="13"/>
      <c r="AM271" s="13"/>
      <c r="AN271" s="13"/>
      <c r="AO271" s="13"/>
      <c r="AP271" s="13"/>
      <c r="AQ271" s="13"/>
      <c r="AR271" s="13"/>
      <c r="AS271" s="13"/>
      <c r="AT271" s="13"/>
      <c r="AU271" s="13"/>
      <c r="AV271" s="13"/>
      <c r="AW271" s="13"/>
      <c r="AX271" s="13"/>
      <c r="AY271" s="13"/>
    </row>
    <row r="272" spans="1:51" x14ac:dyDescent="0.25">
      <c r="A272" s="13"/>
      <c r="B272" s="13"/>
      <c r="C272" s="13"/>
      <c r="D272" s="13"/>
      <c r="E272" s="13"/>
      <c r="F272" s="13"/>
      <c r="G272" s="6"/>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c r="AL272" s="13"/>
      <c r="AM272" s="13"/>
      <c r="AN272" s="13"/>
      <c r="AO272" s="13"/>
      <c r="AP272" s="13"/>
      <c r="AQ272" s="13"/>
      <c r="AR272" s="13"/>
      <c r="AS272" s="13"/>
      <c r="AT272" s="13"/>
      <c r="AU272" s="13"/>
      <c r="AV272" s="13"/>
      <c r="AW272" s="13"/>
      <c r="AX272" s="13"/>
      <c r="AY272" s="13"/>
    </row>
    <row r="273" spans="1:51" x14ac:dyDescent="0.25">
      <c r="A273" s="13"/>
      <c r="B273" s="13"/>
      <c r="C273" s="13"/>
      <c r="D273" s="13"/>
      <c r="E273" s="13"/>
      <c r="F273" s="13"/>
      <c r="G273" s="6"/>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c r="AL273" s="13"/>
      <c r="AM273" s="13"/>
      <c r="AN273" s="13"/>
      <c r="AO273" s="13"/>
      <c r="AP273" s="13"/>
      <c r="AQ273" s="13"/>
      <c r="AR273" s="13"/>
      <c r="AS273" s="13"/>
      <c r="AT273" s="13"/>
      <c r="AU273" s="13"/>
      <c r="AV273" s="13"/>
      <c r="AW273" s="13"/>
      <c r="AX273" s="13"/>
      <c r="AY273" s="13"/>
    </row>
    <row r="274" spans="1:51" x14ac:dyDescent="0.25">
      <c r="A274" s="13"/>
      <c r="B274" s="13"/>
      <c r="C274" s="13"/>
      <c r="D274" s="13"/>
      <c r="E274" s="13"/>
      <c r="F274" s="13"/>
      <c r="G274" s="6"/>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c r="AL274" s="13"/>
      <c r="AM274" s="13"/>
      <c r="AN274" s="13"/>
      <c r="AO274" s="13"/>
      <c r="AP274" s="13"/>
      <c r="AQ274" s="13"/>
      <c r="AR274" s="13"/>
      <c r="AS274" s="13"/>
      <c r="AT274" s="13"/>
      <c r="AU274" s="13"/>
      <c r="AV274" s="13"/>
      <c r="AW274" s="13"/>
      <c r="AX274" s="13"/>
      <c r="AY274" s="13"/>
    </row>
    <row r="275" spans="1:51" x14ac:dyDescent="0.25">
      <c r="A275" s="13"/>
      <c r="B275" s="13"/>
      <c r="C275" s="13"/>
      <c r="D275" s="13"/>
      <c r="E275" s="13"/>
      <c r="F275" s="13"/>
      <c r="G275" s="6"/>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c r="AL275" s="13"/>
      <c r="AM275" s="13"/>
      <c r="AN275" s="13"/>
      <c r="AO275" s="13"/>
      <c r="AP275" s="13"/>
      <c r="AQ275" s="13"/>
      <c r="AR275" s="13"/>
      <c r="AS275" s="13"/>
      <c r="AT275" s="13"/>
      <c r="AU275" s="13"/>
      <c r="AV275" s="13"/>
      <c r="AW275" s="13"/>
      <c r="AX275" s="13"/>
      <c r="AY275" s="13"/>
    </row>
    <row r="276" spans="1:51" x14ac:dyDescent="0.25">
      <c r="A276" s="13"/>
      <c r="B276" s="13"/>
      <c r="C276" s="13"/>
      <c r="D276" s="13"/>
      <c r="E276" s="13"/>
      <c r="F276" s="13"/>
      <c r="G276" s="6"/>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c r="AL276" s="13"/>
      <c r="AM276" s="13"/>
      <c r="AN276" s="13"/>
      <c r="AO276" s="13"/>
      <c r="AP276" s="13"/>
      <c r="AQ276" s="13"/>
      <c r="AR276" s="13"/>
      <c r="AS276" s="13"/>
      <c r="AT276" s="13"/>
      <c r="AU276" s="13"/>
      <c r="AV276" s="13"/>
      <c r="AW276" s="13"/>
      <c r="AX276" s="13"/>
      <c r="AY276" s="13"/>
    </row>
    <row r="277" spans="1:51" x14ac:dyDescent="0.25">
      <c r="A277" s="13"/>
      <c r="B277" s="13"/>
      <c r="C277" s="13"/>
      <c r="D277" s="13"/>
      <c r="E277" s="13"/>
      <c r="F277" s="13"/>
      <c r="G277" s="6"/>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c r="AL277" s="13"/>
      <c r="AM277" s="13"/>
      <c r="AN277" s="13"/>
      <c r="AO277" s="13"/>
      <c r="AP277" s="13"/>
      <c r="AQ277" s="13"/>
      <c r="AR277" s="13"/>
      <c r="AS277" s="13"/>
      <c r="AT277" s="13"/>
      <c r="AU277" s="13"/>
      <c r="AV277" s="13"/>
      <c r="AW277" s="13"/>
      <c r="AX277" s="13"/>
      <c r="AY277" s="13"/>
    </row>
    <row r="278" spans="1:51" x14ac:dyDescent="0.25">
      <c r="A278" s="13"/>
      <c r="B278" s="13"/>
      <c r="C278" s="13"/>
      <c r="D278" s="13"/>
      <c r="E278" s="13"/>
      <c r="F278" s="13"/>
      <c r="G278" s="6"/>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c r="AL278" s="13"/>
      <c r="AM278" s="13"/>
      <c r="AN278" s="13"/>
      <c r="AO278" s="13"/>
      <c r="AP278" s="13"/>
      <c r="AQ278" s="13"/>
      <c r="AR278" s="13"/>
      <c r="AS278" s="13"/>
      <c r="AT278" s="13"/>
      <c r="AU278" s="13"/>
      <c r="AV278" s="13"/>
      <c r="AW278" s="13"/>
      <c r="AX278" s="13"/>
      <c r="AY278" s="13"/>
    </row>
    <row r="279" spans="1:51" x14ac:dyDescent="0.25">
      <c r="A279" s="13"/>
      <c r="B279" s="13"/>
      <c r="C279" s="13"/>
      <c r="D279" s="13"/>
      <c r="E279" s="13"/>
      <c r="F279" s="13"/>
      <c r="G279" s="6"/>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c r="AL279" s="13"/>
      <c r="AM279" s="13"/>
      <c r="AN279" s="13"/>
      <c r="AO279" s="13"/>
      <c r="AP279" s="13"/>
      <c r="AQ279" s="13"/>
      <c r="AR279" s="13"/>
      <c r="AS279" s="13"/>
      <c r="AT279" s="13"/>
      <c r="AU279" s="13"/>
      <c r="AV279" s="13"/>
      <c r="AW279" s="13"/>
      <c r="AX279" s="13"/>
      <c r="AY279" s="13"/>
    </row>
    <row r="280" spans="1:51" x14ac:dyDescent="0.25">
      <c r="A280" s="13"/>
      <c r="B280" s="13"/>
      <c r="C280" s="13"/>
      <c r="D280" s="13"/>
      <c r="E280" s="13"/>
      <c r="F280" s="13"/>
      <c r="G280" s="6"/>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c r="AL280" s="13"/>
      <c r="AM280" s="13"/>
      <c r="AN280" s="13"/>
      <c r="AO280" s="13"/>
      <c r="AP280" s="13"/>
      <c r="AQ280" s="13"/>
      <c r="AR280" s="13"/>
      <c r="AS280" s="13"/>
      <c r="AT280" s="13"/>
      <c r="AU280" s="13"/>
      <c r="AV280" s="13"/>
      <c r="AW280" s="13"/>
      <c r="AX280" s="13"/>
      <c r="AY280" s="13"/>
    </row>
    <row r="281" spans="1:51" x14ac:dyDescent="0.25">
      <c r="A281" s="13"/>
      <c r="B281" s="13"/>
      <c r="C281" s="13"/>
      <c r="D281" s="13"/>
      <c r="E281" s="13"/>
      <c r="F281" s="13"/>
      <c r="G281" s="6"/>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c r="AL281" s="13"/>
      <c r="AM281" s="13"/>
      <c r="AN281" s="13"/>
      <c r="AO281" s="13"/>
      <c r="AP281" s="13"/>
      <c r="AQ281" s="13"/>
      <c r="AR281" s="13"/>
      <c r="AS281" s="13"/>
      <c r="AT281" s="13"/>
      <c r="AU281" s="13"/>
      <c r="AV281" s="13"/>
      <c r="AW281" s="13"/>
      <c r="AX281" s="13"/>
      <c r="AY281" s="13"/>
    </row>
    <row r="282" spans="1:51" x14ac:dyDescent="0.25">
      <c r="A282" s="13"/>
      <c r="B282" s="13"/>
      <c r="C282" s="13"/>
      <c r="D282" s="13"/>
      <c r="E282" s="13"/>
      <c r="F282" s="13"/>
      <c r="G282" s="6"/>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c r="AL282" s="13"/>
      <c r="AM282" s="13"/>
      <c r="AN282" s="13"/>
      <c r="AO282" s="13"/>
      <c r="AP282" s="13"/>
      <c r="AQ282" s="13"/>
      <c r="AR282" s="13"/>
      <c r="AS282" s="13"/>
      <c r="AT282" s="13"/>
      <c r="AU282" s="13"/>
      <c r="AV282" s="13"/>
      <c r="AW282" s="13"/>
      <c r="AX282" s="13"/>
      <c r="AY282" s="13"/>
    </row>
    <row r="283" spans="1:51" x14ac:dyDescent="0.25">
      <c r="A283" s="13"/>
      <c r="B283" s="13"/>
      <c r="C283" s="13"/>
      <c r="D283" s="13"/>
      <c r="E283" s="13"/>
      <c r="F283" s="13"/>
      <c r="G283" s="6"/>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c r="AL283" s="13"/>
      <c r="AM283" s="13"/>
      <c r="AN283" s="13"/>
      <c r="AO283" s="13"/>
      <c r="AP283" s="13"/>
      <c r="AQ283" s="13"/>
      <c r="AR283" s="13"/>
      <c r="AS283" s="13"/>
      <c r="AT283" s="13"/>
      <c r="AU283" s="13"/>
      <c r="AV283" s="13"/>
      <c r="AW283" s="13"/>
      <c r="AX283" s="13"/>
      <c r="AY283" s="13"/>
    </row>
    <row r="284" spans="1:51" x14ac:dyDescent="0.25">
      <c r="A284" s="13"/>
      <c r="B284" s="13"/>
      <c r="C284" s="13"/>
      <c r="D284" s="13"/>
      <c r="E284" s="13"/>
      <c r="F284" s="13"/>
      <c r="G284" s="6"/>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c r="AK284" s="13"/>
      <c r="AL284" s="13"/>
      <c r="AM284" s="13"/>
      <c r="AN284" s="13"/>
      <c r="AO284" s="13"/>
      <c r="AP284" s="13"/>
      <c r="AQ284" s="13"/>
      <c r="AR284" s="13"/>
      <c r="AS284" s="13"/>
      <c r="AT284" s="13"/>
      <c r="AU284" s="13"/>
      <c r="AV284" s="13"/>
      <c r="AW284" s="13"/>
      <c r="AX284" s="13"/>
      <c r="AY284" s="13"/>
    </row>
    <row r="285" spans="1:51" x14ac:dyDescent="0.25">
      <c r="A285" s="13"/>
      <c r="B285" s="13"/>
      <c r="C285" s="13"/>
      <c r="D285" s="13"/>
      <c r="E285" s="13"/>
      <c r="F285" s="13"/>
      <c r="G285" s="6"/>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c r="AL285" s="13"/>
      <c r="AM285" s="13"/>
      <c r="AN285" s="13"/>
      <c r="AO285" s="13"/>
      <c r="AP285" s="13"/>
      <c r="AQ285" s="13"/>
      <c r="AR285" s="13"/>
      <c r="AS285" s="13"/>
      <c r="AT285" s="13"/>
      <c r="AU285" s="13"/>
      <c r="AV285" s="13"/>
      <c r="AW285" s="13"/>
      <c r="AX285" s="13"/>
      <c r="AY285" s="13"/>
    </row>
    <row r="286" spans="1:51" x14ac:dyDescent="0.25">
      <c r="A286" s="13"/>
      <c r="B286" s="13"/>
      <c r="C286" s="13"/>
      <c r="D286" s="13"/>
      <c r="E286" s="13"/>
      <c r="F286" s="13"/>
      <c r="G286" s="6"/>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c r="AL286" s="13"/>
      <c r="AM286" s="13"/>
      <c r="AN286" s="13"/>
      <c r="AO286" s="13"/>
      <c r="AP286" s="13"/>
      <c r="AQ286" s="13"/>
      <c r="AR286" s="13"/>
      <c r="AS286" s="13"/>
      <c r="AT286" s="13"/>
      <c r="AU286" s="13"/>
      <c r="AV286" s="13"/>
      <c r="AW286" s="13"/>
      <c r="AX286" s="13"/>
      <c r="AY286" s="13"/>
    </row>
    <row r="287" spans="1:51" x14ac:dyDescent="0.25">
      <c r="A287" s="13"/>
      <c r="B287" s="13"/>
      <c r="C287" s="13"/>
      <c r="D287" s="13"/>
      <c r="E287" s="13"/>
      <c r="F287" s="13"/>
      <c r="G287" s="6"/>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c r="AL287" s="13"/>
      <c r="AM287" s="13"/>
      <c r="AN287" s="13"/>
      <c r="AO287" s="13"/>
      <c r="AP287" s="13"/>
      <c r="AQ287" s="13"/>
      <c r="AR287" s="13"/>
      <c r="AS287" s="13"/>
      <c r="AT287" s="13"/>
      <c r="AU287" s="13"/>
      <c r="AV287" s="13"/>
      <c r="AW287" s="13"/>
      <c r="AX287" s="13"/>
      <c r="AY287" s="13"/>
    </row>
    <row r="288" spans="1:51" x14ac:dyDescent="0.25">
      <c r="A288" s="13"/>
      <c r="B288" s="13"/>
      <c r="C288" s="13"/>
      <c r="D288" s="13"/>
      <c r="E288" s="13"/>
      <c r="F288" s="13"/>
      <c r="G288" s="6"/>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c r="AL288" s="13"/>
      <c r="AM288" s="13"/>
      <c r="AN288" s="13"/>
      <c r="AO288" s="13"/>
      <c r="AP288" s="13"/>
      <c r="AQ288" s="13"/>
      <c r="AR288" s="13"/>
      <c r="AS288" s="13"/>
      <c r="AT288" s="13"/>
      <c r="AU288" s="13"/>
      <c r="AV288" s="13"/>
      <c r="AW288" s="13"/>
      <c r="AX288" s="13"/>
      <c r="AY288" s="13"/>
    </row>
    <row r="289" spans="1:51" x14ac:dyDescent="0.25">
      <c r="A289" s="13"/>
      <c r="B289" s="13"/>
      <c r="C289" s="13"/>
      <c r="D289" s="13"/>
      <c r="E289" s="13"/>
      <c r="F289" s="13"/>
      <c r="G289" s="6"/>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c r="AL289" s="13"/>
      <c r="AM289" s="13"/>
      <c r="AN289" s="13"/>
      <c r="AO289" s="13"/>
      <c r="AP289" s="13"/>
      <c r="AQ289" s="13"/>
      <c r="AR289" s="13"/>
      <c r="AS289" s="13"/>
      <c r="AT289" s="13"/>
      <c r="AU289" s="13"/>
      <c r="AV289" s="13"/>
      <c r="AW289" s="13"/>
      <c r="AX289" s="13"/>
      <c r="AY289" s="13"/>
    </row>
    <row r="290" spans="1:51" x14ac:dyDescent="0.25">
      <c r="A290" s="13"/>
      <c r="B290" s="13"/>
      <c r="C290" s="13"/>
      <c r="D290" s="13"/>
      <c r="E290" s="13"/>
      <c r="F290" s="13"/>
      <c r="G290" s="6"/>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c r="AL290" s="13"/>
      <c r="AM290" s="13"/>
      <c r="AN290" s="13"/>
      <c r="AO290" s="13"/>
      <c r="AP290" s="13"/>
      <c r="AQ290" s="13"/>
      <c r="AR290" s="13"/>
      <c r="AS290" s="13"/>
      <c r="AT290" s="13"/>
      <c r="AU290" s="13"/>
      <c r="AV290" s="13"/>
      <c r="AW290" s="13"/>
      <c r="AX290" s="13"/>
      <c r="AY290" s="13"/>
    </row>
    <row r="291" spans="1:51" x14ac:dyDescent="0.25">
      <c r="A291" s="13"/>
      <c r="B291" s="13"/>
      <c r="C291" s="13"/>
      <c r="D291" s="13"/>
      <c r="E291" s="13"/>
      <c r="F291" s="13"/>
      <c r="G291" s="6"/>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c r="AL291" s="13"/>
      <c r="AM291" s="13"/>
      <c r="AN291" s="13"/>
      <c r="AO291" s="13"/>
      <c r="AP291" s="13"/>
      <c r="AQ291" s="13"/>
      <c r="AR291" s="13"/>
      <c r="AS291" s="13"/>
      <c r="AT291" s="13"/>
      <c r="AU291" s="13"/>
      <c r="AV291" s="13"/>
      <c r="AW291" s="13"/>
      <c r="AX291" s="13"/>
      <c r="AY291" s="13"/>
    </row>
    <row r="292" spans="1:51" x14ac:dyDescent="0.25">
      <c r="A292" s="13"/>
      <c r="B292" s="13"/>
      <c r="C292" s="13"/>
      <c r="D292" s="13"/>
      <c r="E292" s="13"/>
      <c r="F292" s="13"/>
      <c r="G292" s="6"/>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c r="AL292" s="13"/>
      <c r="AM292" s="13"/>
      <c r="AN292" s="13"/>
      <c r="AO292" s="13"/>
      <c r="AP292" s="13"/>
      <c r="AQ292" s="13"/>
      <c r="AR292" s="13"/>
      <c r="AS292" s="13"/>
      <c r="AT292" s="13"/>
      <c r="AU292" s="13"/>
      <c r="AV292" s="13"/>
      <c r="AW292" s="13"/>
      <c r="AX292" s="13"/>
      <c r="AY292" s="13"/>
    </row>
    <row r="293" spans="1:51" x14ac:dyDescent="0.25">
      <c r="A293" s="13"/>
      <c r="B293" s="13"/>
      <c r="C293" s="13"/>
      <c r="D293" s="13"/>
      <c r="E293" s="13"/>
      <c r="F293" s="13"/>
      <c r="G293" s="6"/>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c r="AL293" s="13"/>
      <c r="AM293" s="13"/>
      <c r="AN293" s="13"/>
      <c r="AO293" s="13"/>
      <c r="AP293" s="13"/>
      <c r="AQ293" s="13"/>
      <c r="AR293" s="13"/>
      <c r="AS293" s="13"/>
      <c r="AT293" s="13"/>
      <c r="AU293" s="13"/>
      <c r="AV293" s="13"/>
      <c r="AW293" s="13"/>
      <c r="AX293" s="13"/>
      <c r="AY293" s="13"/>
    </row>
    <row r="294" spans="1:51" x14ac:dyDescent="0.25">
      <c r="A294" s="13"/>
      <c r="B294" s="13"/>
      <c r="C294" s="13"/>
      <c r="D294" s="13"/>
      <c r="E294" s="13"/>
      <c r="F294" s="13"/>
      <c r="G294" s="6"/>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c r="AS294" s="13"/>
      <c r="AT294" s="13"/>
      <c r="AU294" s="13"/>
      <c r="AV294" s="13"/>
      <c r="AW294" s="13"/>
      <c r="AX294" s="13"/>
      <c r="AY294" s="13"/>
    </row>
    <row r="295" spans="1:51" x14ac:dyDescent="0.25">
      <c r="A295" s="13"/>
      <c r="B295" s="13"/>
      <c r="C295" s="13"/>
      <c r="D295" s="13"/>
      <c r="E295" s="13"/>
      <c r="F295" s="13"/>
      <c r="G295" s="6"/>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c r="AK295" s="13"/>
      <c r="AL295" s="13"/>
      <c r="AM295" s="13"/>
      <c r="AN295" s="13"/>
      <c r="AO295" s="13"/>
      <c r="AP295" s="13"/>
      <c r="AQ295" s="13"/>
      <c r="AR295" s="13"/>
      <c r="AS295" s="13"/>
      <c r="AT295" s="13"/>
      <c r="AU295" s="13"/>
      <c r="AV295" s="13"/>
      <c r="AW295" s="13"/>
      <c r="AX295" s="13"/>
      <c r="AY295" s="13"/>
    </row>
    <row r="296" spans="1:51" x14ac:dyDescent="0.25">
      <c r="A296" s="13"/>
      <c r="B296" s="13"/>
      <c r="C296" s="13"/>
      <c r="D296" s="13"/>
      <c r="E296" s="13"/>
      <c r="F296" s="13"/>
      <c r="G296" s="6"/>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c r="AL296" s="13"/>
      <c r="AM296" s="13"/>
      <c r="AN296" s="13"/>
      <c r="AO296" s="13"/>
      <c r="AP296" s="13"/>
      <c r="AQ296" s="13"/>
      <c r="AR296" s="13"/>
      <c r="AS296" s="13"/>
      <c r="AT296" s="13"/>
      <c r="AU296" s="13"/>
      <c r="AV296" s="13"/>
      <c r="AW296" s="13"/>
      <c r="AX296" s="13"/>
      <c r="AY296" s="13"/>
    </row>
    <row r="297" spans="1:51" x14ac:dyDescent="0.25">
      <c r="A297" s="13"/>
      <c r="B297" s="13"/>
      <c r="C297" s="13"/>
      <c r="D297" s="13"/>
      <c r="E297" s="13"/>
      <c r="F297" s="13"/>
      <c r="G297" s="6"/>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c r="AK297" s="13"/>
      <c r="AL297" s="13"/>
      <c r="AM297" s="13"/>
      <c r="AN297" s="13"/>
      <c r="AO297" s="13"/>
      <c r="AP297" s="13"/>
      <c r="AQ297" s="13"/>
      <c r="AR297" s="13"/>
      <c r="AS297" s="13"/>
      <c r="AT297" s="13"/>
      <c r="AU297" s="13"/>
      <c r="AV297" s="13"/>
      <c r="AW297" s="13"/>
      <c r="AX297" s="13"/>
      <c r="AY297" s="13"/>
    </row>
    <row r="298" spans="1:51" x14ac:dyDescent="0.25">
      <c r="A298" s="13"/>
      <c r="B298" s="13"/>
      <c r="C298" s="13"/>
      <c r="D298" s="13"/>
      <c r="E298" s="13"/>
      <c r="F298" s="13"/>
      <c r="G298" s="6"/>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c r="AL298" s="13"/>
      <c r="AM298" s="13"/>
      <c r="AN298" s="13"/>
      <c r="AO298" s="13"/>
      <c r="AP298" s="13"/>
      <c r="AQ298" s="13"/>
      <c r="AR298" s="13"/>
      <c r="AS298" s="13"/>
      <c r="AT298" s="13"/>
      <c r="AU298" s="13"/>
      <c r="AV298" s="13"/>
      <c r="AW298" s="13"/>
      <c r="AX298" s="13"/>
      <c r="AY298" s="13"/>
    </row>
    <row r="299" spans="1:51" x14ac:dyDescent="0.25">
      <c r="A299" s="13"/>
      <c r="B299" s="13"/>
      <c r="C299" s="13"/>
      <c r="D299" s="13"/>
      <c r="E299" s="13"/>
      <c r="F299" s="13"/>
      <c r="G299" s="6"/>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c r="AK299" s="13"/>
      <c r="AL299" s="13"/>
      <c r="AM299" s="13"/>
      <c r="AN299" s="13"/>
      <c r="AO299" s="13"/>
      <c r="AP299" s="13"/>
      <c r="AQ299" s="13"/>
      <c r="AR299" s="13"/>
      <c r="AS299" s="13"/>
      <c r="AT299" s="13"/>
      <c r="AU299" s="13"/>
      <c r="AV299" s="13"/>
      <c r="AW299" s="13"/>
      <c r="AX299" s="13"/>
      <c r="AY299" s="13"/>
    </row>
    <row r="300" spans="1:51" x14ac:dyDescent="0.25">
      <c r="A300" s="13"/>
      <c r="B300" s="13"/>
      <c r="C300" s="13"/>
      <c r="D300" s="13"/>
      <c r="E300" s="13"/>
      <c r="F300" s="13"/>
      <c r="G300" s="6"/>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c r="AS300" s="13"/>
      <c r="AT300" s="13"/>
      <c r="AU300" s="13"/>
      <c r="AV300" s="13"/>
      <c r="AW300" s="13"/>
      <c r="AX300" s="13"/>
      <c r="AY300" s="13"/>
    </row>
    <row r="301" spans="1:51" x14ac:dyDescent="0.25">
      <c r="A301" s="13"/>
      <c r="B301" s="13"/>
      <c r="C301" s="13"/>
      <c r="D301" s="13"/>
      <c r="E301" s="13"/>
      <c r="F301" s="13"/>
      <c r="G301" s="6"/>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c r="AL301" s="13"/>
      <c r="AM301" s="13"/>
      <c r="AN301" s="13"/>
      <c r="AO301" s="13"/>
      <c r="AP301" s="13"/>
      <c r="AQ301" s="13"/>
      <c r="AR301" s="13"/>
      <c r="AS301" s="13"/>
      <c r="AT301" s="13"/>
      <c r="AU301" s="13"/>
      <c r="AV301" s="13"/>
      <c r="AW301" s="13"/>
      <c r="AX301" s="13"/>
      <c r="AY301" s="13"/>
    </row>
    <row r="302" spans="1:51" x14ac:dyDescent="0.25">
      <c r="A302" s="13"/>
      <c r="B302" s="13"/>
      <c r="C302" s="13"/>
      <c r="D302" s="13"/>
      <c r="E302" s="13"/>
      <c r="F302" s="13"/>
      <c r="G302" s="6"/>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c r="AL302" s="13"/>
      <c r="AM302" s="13"/>
      <c r="AN302" s="13"/>
      <c r="AO302" s="13"/>
      <c r="AP302" s="13"/>
      <c r="AQ302" s="13"/>
      <c r="AR302" s="13"/>
      <c r="AS302" s="13"/>
      <c r="AT302" s="13"/>
      <c r="AU302" s="13"/>
      <c r="AV302" s="13"/>
      <c r="AW302" s="13"/>
      <c r="AX302" s="13"/>
      <c r="AY302" s="13"/>
    </row>
    <row r="303" spans="1:51" x14ac:dyDescent="0.25">
      <c r="A303" s="13"/>
      <c r="B303" s="13"/>
      <c r="C303" s="13"/>
      <c r="D303" s="13"/>
      <c r="E303" s="13"/>
      <c r="F303" s="13"/>
      <c r="G303" s="6"/>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c r="AS303" s="13"/>
      <c r="AT303" s="13"/>
      <c r="AU303" s="13"/>
      <c r="AV303" s="13"/>
      <c r="AW303" s="13"/>
      <c r="AX303" s="13"/>
      <c r="AY303" s="13"/>
    </row>
    <row r="304" spans="1:51" x14ac:dyDescent="0.25">
      <c r="A304" s="13"/>
      <c r="B304" s="13"/>
      <c r="C304" s="13"/>
      <c r="D304" s="13"/>
      <c r="E304" s="13"/>
      <c r="F304" s="13"/>
      <c r="G304" s="6"/>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c r="AL304" s="13"/>
      <c r="AM304" s="13"/>
      <c r="AN304" s="13"/>
      <c r="AO304" s="13"/>
      <c r="AP304" s="13"/>
      <c r="AQ304" s="13"/>
      <c r="AR304" s="13"/>
      <c r="AS304" s="13"/>
      <c r="AT304" s="13"/>
      <c r="AU304" s="13"/>
      <c r="AV304" s="13"/>
      <c r="AW304" s="13"/>
      <c r="AX304" s="13"/>
      <c r="AY304" s="13"/>
    </row>
    <row r="305" spans="1:51" x14ac:dyDescent="0.25">
      <c r="A305" s="13"/>
      <c r="B305" s="13"/>
      <c r="C305" s="13"/>
      <c r="D305" s="13"/>
      <c r="E305" s="13"/>
      <c r="F305" s="13"/>
      <c r="G305" s="6"/>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c r="AK305" s="13"/>
      <c r="AL305" s="13"/>
      <c r="AM305" s="13"/>
      <c r="AN305" s="13"/>
      <c r="AO305" s="13"/>
      <c r="AP305" s="13"/>
      <c r="AQ305" s="13"/>
      <c r="AR305" s="13"/>
      <c r="AS305" s="13"/>
      <c r="AT305" s="13"/>
      <c r="AU305" s="13"/>
      <c r="AV305" s="13"/>
      <c r="AW305" s="13"/>
      <c r="AX305" s="13"/>
      <c r="AY305" s="13"/>
    </row>
    <row r="306" spans="1:51" x14ac:dyDescent="0.25">
      <c r="A306" s="13"/>
      <c r="B306" s="13"/>
      <c r="C306" s="13"/>
      <c r="D306" s="13"/>
      <c r="E306" s="13"/>
      <c r="F306" s="13"/>
      <c r="G306" s="6"/>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c r="AL306" s="13"/>
      <c r="AM306" s="13"/>
      <c r="AN306" s="13"/>
      <c r="AO306" s="13"/>
      <c r="AP306" s="13"/>
      <c r="AQ306" s="13"/>
      <c r="AR306" s="13"/>
      <c r="AS306" s="13"/>
      <c r="AT306" s="13"/>
      <c r="AU306" s="13"/>
      <c r="AV306" s="13"/>
      <c r="AW306" s="13"/>
      <c r="AX306" s="13"/>
      <c r="AY306" s="13"/>
    </row>
    <row r="307" spans="1:51" x14ac:dyDescent="0.25">
      <c r="A307" s="13"/>
      <c r="B307" s="13"/>
      <c r="C307" s="13"/>
      <c r="D307" s="13"/>
      <c r="E307" s="13"/>
      <c r="F307" s="13"/>
      <c r="G307" s="6"/>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c r="AL307" s="13"/>
      <c r="AM307" s="13"/>
      <c r="AN307" s="13"/>
      <c r="AO307" s="13"/>
      <c r="AP307" s="13"/>
      <c r="AQ307" s="13"/>
      <c r="AR307" s="13"/>
      <c r="AS307" s="13"/>
      <c r="AT307" s="13"/>
      <c r="AU307" s="13"/>
      <c r="AV307" s="13"/>
      <c r="AW307" s="13"/>
      <c r="AX307" s="13"/>
      <c r="AY307" s="13"/>
    </row>
    <row r="308" spans="1:51" x14ac:dyDescent="0.25">
      <c r="A308" s="13"/>
      <c r="B308" s="13"/>
      <c r="C308" s="13"/>
      <c r="D308" s="13"/>
      <c r="E308" s="13"/>
      <c r="F308" s="13"/>
      <c r="G308" s="6"/>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c r="AL308" s="13"/>
      <c r="AM308" s="13"/>
      <c r="AN308" s="13"/>
      <c r="AO308" s="13"/>
      <c r="AP308" s="13"/>
      <c r="AQ308" s="13"/>
      <c r="AR308" s="13"/>
      <c r="AS308" s="13"/>
      <c r="AT308" s="13"/>
      <c r="AU308" s="13"/>
      <c r="AV308" s="13"/>
      <c r="AW308" s="13"/>
      <c r="AX308" s="13"/>
      <c r="AY308" s="13"/>
    </row>
    <row r="309" spans="1:51" x14ac:dyDescent="0.25">
      <c r="A309" s="13"/>
      <c r="B309" s="13"/>
      <c r="C309" s="13"/>
      <c r="D309" s="13"/>
      <c r="E309" s="13"/>
      <c r="F309" s="13"/>
      <c r="G309" s="6"/>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c r="AL309" s="13"/>
      <c r="AM309" s="13"/>
      <c r="AN309" s="13"/>
      <c r="AO309" s="13"/>
      <c r="AP309" s="13"/>
      <c r="AQ309" s="13"/>
      <c r="AR309" s="13"/>
      <c r="AS309" s="13"/>
      <c r="AT309" s="13"/>
      <c r="AU309" s="13"/>
      <c r="AV309" s="13"/>
      <c r="AW309" s="13"/>
      <c r="AX309" s="13"/>
      <c r="AY309" s="13"/>
    </row>
    <row r="310" spans="1:51" x14ac:dyDescent="0.25">
      <c r="A310" s="13"/>
      <c r="B310" s="13"/>
      <c r="C310" s="13"/>
      <c r="D310" s="13"/>
      <c r="E310" s="13"/>
      <c r="F310" s="13"/>
      <c r="G310" s="6"/>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c r="AL310" s="13"/>
      <c r="AM310" s="13"/>
      <c r="AN310" s="13"/>
      <c r="AO310" s="13"/>
      <c r="AP310" s="13"/>
      <c r="AQ310" s="13"/>
      <c r="AR310" s="13"/>
      <c r="AS310" s="13"/>
      <c r="AT310" s="13"/>
      <c r="AU310" s="13"/>
      <c r="AV310" s="13"/>
      <c r="AW310" s="13"/>
      <c r="AX310" s="13"/>
      <c r="AY310" s="13"/>
    </row>
    <row r="311" spans="1:51" x14ac:dyDescent="0.25">
      <c r="A311" s="13"/>
      <c r="B311" s="13"/>
      <c r="C311" s="13"/>
      <c r="D311" s="13"/>
      <c r="E311" s="13"/>
      <c r="F311" s="13"/>
      <c r="G311" s="6"/>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c r="AL311" s="13"/>
      <c r="AM311" s="13"/>
      <c r="AN311" s="13"/>
      <c r="AO311" s="13"/>
      <c r="AP311" s="13"/>
      <c r="AQ311" s="13"/>
      <c r="AR311" s="13"/>
      <c r="AS311" s="13"/>
      <c r="AT311" s="13"/>
      <c r="AU311" s="13"/>
      <c r="AV311" s="13"/>
      <c r="AW311" s="13"/>
      <c r="AX311" s="13"/>
      <c r="AY311" s="13"/>
    </row>
    <row r="312" spans="1:51" x14ac:dyDescent="0.25">
      <c r="A312" s="13"/>
      <c r="B312" s="13"/>
      <c r="C312" s="13"/>
      <c r="D312" s="13"/>
      <c r="E312" s="13"/>
      <c r="F312" s="13"/>
      <c r="G312" s="6"/>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c r="AS312" s="13"/>
      <c r="AT312" s="13"/>
      <c r="AU312" s="13"/>
      <c r="AV312" s="13"/>
      <c r="AW312" s="13"/>
      <c r="AX312" s="13"/>
      <c r="AY312" s="13"/>
    </row>
    <row r="313" spans="1:51" x14ac:dyDescent="0.25">
      <c r="A313" s="13"/>
      <c r="B313" s="13"/>
      <c r="C313" s="13"/>
      <c r="D313" s="13"/>
      <c r="E313" s="13"/>
      <c r="F313" s="13"/>
      <c r="G313" s="6"/>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c r="AS313" s="13"/>
      <c r="AT313" s="13"/>
      <c r="AU313" s="13"/>
      <c r="AV313" s="13"/>
      <c r="AW313" s="13"/>
      <c r="AX313" s="13"/>
      <c r="AY313" s="13"/>
    </row>
    <row r="314" spans="1:51" x14ac:dyDescent="0.25">
      <c r="A314" s="13"/>
      <c r="B314" s="13"/>
      <c r="C314" s="13"/>
      <c r="D314" s="13"/>
      <c r="E314" s="13"/>
      <c r="F314" s="13"/>
      <c r="G314" s="6"/>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c r="AK314" s="13"/>
      <c r="AL314" s="13"/>
      <c r="AM314" s="13"/>
      <c r="AN314" s="13"/>
      <c r="AO314" s="13"/>
      <c r="AP314" s="13"/>
      <c r="AQ314" s="13"/>
      <c r="AR314" s="13"/>
      <c r="AS314" s="13"/>
      <c r="AT314" s="13"/>
      <c r="AU314" s="13"/>
      <c r="AV314" s="13"/>
      <c r="AW314" s="13"/>
      <c r="AX314" s="13"/>
      <c r="AY314" s="13"/>
    </row>
    <row r="315" spans="1:51" x14ac:dyDescent="0.25">
      <c r="A315" s="13"/>
      <c r="B315" s="13"/>
      <c r="C315" s="13"/>
      <c r="D315" s="13"/>
      <c r="E315" s="13"/>
      <c r="F315" s="13"/>
      <c r="G315" s="6"/>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c r="AL315" s="13"/>
      <c r="AM315" s="13"/>
      <c r="AN315" s="13"/>
      <c r="AO315" s="13"/>
      <c r="AP315" s="13"/>
      <c r="AQ315" s="13"/>
      <c r="AR315" s="13"/>
      <c r="AS315" s="13"/>
      <c r="AT315" s="13"/>
      <c r="AU315" s="13"/>
      <c r="AV315" s="13"/>
      <c r="AW315" s="13"/>
      <c r="AX315" s="13"/>
      <c r="AY315" s="13"/>
    </row>
    <row r="316" spans="1:51" x14ac:dyDescent="0.25">
      <c r="A316" s="13"/>
      <c r="B316" s="13"/>
      <c r="C316" s="13"/>
      <c r="D316" s="13"/>
      <c r="E316" s="13"/>
      <c r="F316" s="13"/>
      <c r="G316" s="6"/>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c r="AK316" s="13"/>
      <c r="AL316" s="13"/>
      <c r="AM316" s="13"/>
      <c r="AN316" s="13"/>
      <c r="AO316" s="13"/>
      <c r="AP316" s="13"/>
      <c r="AQ316" s="13"/>
      <c r="AR316" s="13"/>
      <c r="AS316" s="13"/>
      <c r="AT316" s="13"/>
      <c r="AU316" s="13"/>
      <c r="AV316" s="13"/>
      <c r="AW316" s="13"/>
      <c r="AX316" s="13"/>
      <c r="AY316" s="13"/>
    </row>
    <row r="317" spans="1:51" x14ac:dyDescent="0.25">
      <c r="A317" s="13"/>
      <c r="B317" s="13"/>
      <c r="C317" s="13"/>
      <c r="D317" s="13"/>
      <c r="E317" s="13"/>
      <c r="F317" s="13"/>
      <c r="G317" s="6"/>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c r="AK317" s="13"/>
      <c r="AL317" s="13"/>
      <c r="AM317" s="13"/>
      <c r="AN317" s="13"/>
      <c r="AO317" s="13"/>
      <c r="AP317" s="13"/>
      <c r="AQ317" s="13"/>
      <c r="AR317" s="13"/>
      <c r="AS317" s="13"/>
      <c r="AT317" s="13"/>
      <c r="AU317" s="13"/>
      <c r="AV317" s="13"/>
      <c r="AW317" s="13"/>
      <c r="AX317" s="13"/>
      <c r="AY317" s="13"/>
    </row>
    <row r="318" spans="1:51" x14ac:dyDescent="0.25">
      <c r="A318" s="13"/>
      <c r="B318" s="13"/>
      <c r="C318" s="13"/>
      <c r="D318" s="13"/>
      <c r="E318" s="13"/>
      <c r="F318" s="13"/>
      <c r="G318" s="6"/>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c r="AS318" s="13"/>
      <c r="AT318" s="13"/>
      <c r="AU318" s="13"/>
      <c r="AV318" s="13"/>
      <c r="AW318" s="13"/>
      <c r="AX318" s="13"/>
      <c r="AY318" s="13"/>
    </row>
    <row r="319" spans="1:51" x14ac:dyDescent="0.25">
      <c r="A319" s="13"/>
      <c r="B319" s="13"/>
      <c r="C319" s="13"/>
      <c r="D319" s="13"/>
      <c r="E319" s="13"/>
      <c r="F319" s="13"/>
      <c r="G319" s="6"/>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c r="AS319" s="13"/>
      <c r="AT319" s="13"/>
      <c r="AU319" s="13"/>
      <c r="AV319" s="13"/>
      <c r="AW319" s="13"/>
      <c r="AX319" s="13"/>
      <c r="AY319" s="13"/>
    </row>
    <row r="320" spans="1:51" x14ac:dyDescent="0.25">
      <c r="A320" s="13"/>
      <c r="B320" s="13"/>
      <c r="C320" s="13"/>
      <c r="D320" s="13"/>
      <c r="E320" s="13"/>
      <c r="F320" s="13"/>
      <c r="G320" s="6"/>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c r="AL320" s="13"/>
      <c r="AM320" s="13"/>
      <c r="AN320" s="13"/>
      <c r="AO320" s="13"/>
      <c r="AP320" s="13"/>
      <c r="AQ320" s="13"/>
      <c r="AR320" s="13"/>
      <c r="AS320" s="13"/>
      <c r="AT320" s="13"/>
      <c r="AU320" s="13"/>
      <c r="AV320" s="13"/>
      <c r="AW320" s="13"/>
      <c r="AX320" s="13"/>
      <c r="AY320" s="13"/>
    </row>
    <row r="321" spans="1:51" x14ac:dyDescent="0.25">
      <c r="A321" s="13"/>
      <c r="B321" s="13"/>
      <c r="C321" s="13"/>
      <c r="D321" s="13"/>
      <c r="E321" s="13"/>
      <c r="F321" s="13"/>
      <c r="G321" s="6"/>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c r="AS321" s="13"/>
      <c r="AT321" s="13"/>
      <c r="AU321" s="13"/>
      <c r="AV321" s="13"/>
      <c r="AW321" s="13"/>
      <c r="AX321" s="13"/>
      <c r="AY321" s="13"/>
    </row>
    <row r="322" spans="1:51" x14ac:dyDescent="0.25">
      <c r="A322" s="13"/>
      <c r="B322" s="13"/>
      <c r="C322" s="13"/>
      <c r="D322" s="13"/>
      <c r="E322" s="13"/>
      <c r="F322" s="13"/>
      <c r="G322" s="6"/>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c r="AS322" s="13"/>
      <c r="AT322" s="13"/>
      <c r="AU322" s="13"/>
      <c r="AV322" s="13"/>
      <c r="AW322" s="13"/>
      <c r="AX322" s="13"/>
      <c r="AY322" s="13"/>
    </row>
    <row r="323" spans="1:51" x14ac:dyDescent="0.25">
      <c r="A323" s="13"/>
      <c r="B323" s="13"/>
      <c r="C323" s="13"/>
      <c r="D323" s="13"/>
      <c r="E323" s="13"/>
      <c r="F323" s="13"/>
      <c r="G323" s="6"/>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c r="AK323" s="13"/>
      <c r="AL323" s="13"/>
      <c r="AM323" s="13"/>
      <c r="AN323" s="13"/>
      <c r="AO323" s="13"/>
      <c r="AP323" s="13"/>
      <c r="AQ323" s="13"/>
      <c r="AR323" s="13"/>
      <c r="AS323" s="13"/>
      <c r="AT323" s="13"/>
      <c r="AU323" s="13"/>
      <c r="AV323" s="13"/>
      <c r="AW323" s="13"/>
      <c r="AX323" s="13"/>
      <c r="AY323" s="13"/>
    </row>
    <row r="324" spans="1:51" x14ac:dyDescent="0.25">
      <c r="A324" s="13"/>
      <c r="B324" s="13"/>
      <c r="C324" s="13"/>
      <c r="D324" s="13"/>
      <c r="E324" s="13"/>
      <c r="F324" s="13"/>
      <c r="G324" s="6"/>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c r="AL324" s="13"/>
      <c r="AM324" s="13"/>
      <c r="AN324" s="13"/>
      <c r="AO324" s="13"/>
      <c r="AP324" s="13"/>
      <c r="AQ324" s="13"/>
      <c r="AR324" s="13"/>
      <c r="AS324" s="13"/>
      <c r="AT324" s="13"/>
      <c r="AU324" s="13"/>
      <c r="AV324" s="13"/>
      <c r="AW324" s="13"/>
      <c r="AX324" s="13"/>
      <c r="AY324" s="13"/>
    </row>
    <row r="325" spans="1:51" x14ac:dyDescent="0.25">
      <c r="A325" s="13"/>
      <c r="B325" s="13"/>
      <c r="C325" s="13"/>
      <c r="D325" s="13"/>
      <c r="E325" s="13"/>
      <c r="F325" s="13"/>
      <c r="G325" s="6"/>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c r="AL325" s="13"/>
      <c r="AM325" s="13"/>
      <c r="AN325" s="13"/>
      <c r="AO325" s="13"/>
      <c r="AP325" s="13"/>
      <c r="AQ325" s="13"/>
      <c r="AR325" s="13"/>
      <c r="AS325" s="13"/>
      <c r="AT325" s="13"/>
      <c r="AU325" s="13"/>
      <c r="AV325" s="13"/>
      <c r="AW325" s="13"/>
      <c r="AX325" s="13"/>
      <c r="AY325" s="13"/>
    </row>
    <row r="326" spans="1:51" x14ac:dyDescent="0.25">
      <c r="A326" s="13"/>
      <c r="B326" s="13"/>
      <c r="C326" s="13"/>
      <c r="D326" s="13"/>
      <c r="E326" s="13"/>
      <c r="F326" s="13"/>
      <c r="G326" s="6"/>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c r="AK326" s="13"/>
      <c r="AL326" s="13"/>
      <c r="AM326" s="13"/>
      <c r="AN326" s="13"/>
      <c r="AO326" s="13"/>
      <c r="AP326" s="13"/>
      <c r="AQ326" s="13"/>
      <c r="AR326" s="13"/>
      <c r="AS326" s="13"/>
      <c r="AT326" s="13"/>
      <c r="AU326" s="13"/>
      <c r="AV326" s="13"/>
      <c r="AW326" s="13"/>
      <c r="AX326" s="13"/>
      <c r="AY326" s="13"/>
    </row>
    <row r="327" spans="1:51" x14ac:dyDescent="0.25">
      <c r="A327" s="13"/>
      <c r="B327" s="13"/>
      <c r="C327" s="13"/>
      <c r="D327" s="13"/>
      <c r="E327" s="13"/>
      <c r="F327" s="13"/>
      <c r="G327" s="6"/>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c r="AK327" s="13"/>
      <c r="AL327" s="13"/>
      <c r="AM327" s="13"/>
      <c r="AN327" s="13"/>
      <c r="AO327" s="13"/>
      <c r="AP327" s="13"/>
      <c r="AQ327" s="13"/>
      <c r="AR327" s="13"/>
      <c r="AS327" s="13"/>
      <c r="AT327" s="13"/>
      <c r="AU327" s="13"/>
      <c r="AV327" s="13"/>
      <c r="AW327" s="13"/>
      <c r="AX327" s="13"/>
      <c r="AY327" s="13"/>
    </row>
    <row r="328" spans="1:51" x14ac:dyDescent="0.25">
      <c r="A328" s="13"/>
      <c r="B328" s="13"/>
      <c r="C328" s="13"/>
      <c r="D328" s="13"/>
      <c r="E328" s="13"/>
      <c r="F328" s="13"/>
      <c r="G328" s="6"/>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c r="AL328" s="13"/>
      <c r="AM328" s="13"/>
      <c r="AN328" s="13"/>
      <c r="AO328" s="13"/>
      <c r="AP328" s="13"/>
      <c r="AQ328" s="13"/>
      <c r="AR328" s="13"/>
      <c r="AS328" s="13"/>
      <c r="AT328" s="13"/>
      <c r="AU328" s="13"/>
      <c r="AV328" s="13"/>
      <c r="AW328" s="13"/>
      <c r="AX328" s="13"/>
      <c r="AY328" s="13"/>
    </row>
    <row r="329" spans="1:51" x14ac:dyDescent="0.25">
      <c r="A329" s="13"/>
      <c r="B329" s="13"/>
      <c r="C329" s="13"/>
      <c r="D329" s="13"/>
      <c r="E329" s="13"/>
      <c r="F329" s="13"/>
      <c r="G329" s="6"/>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c r="AK329" s="13"/>
      <c r="AL329" s="13"/>
      <c r="AM329" s="13"/>
      <c r="AN329" s="13"/>
      <c r="AO329" s="13"/>
      <c r="AP329" s="13"/>
      <c r="AQ329" s="13"/>
      <c r="AR329" s="13"/>
      <c r="AS329" s="13"/>
      <c r="AT329" s="13"/>
      <c r="AU329" s="13"/>
      <c r="AV329" s="13"/>
      <c r="AW329" s="13"/>
      <c r="AX329" s="13"/>
      <c r="AY329" s="13"/>
    </row>
    <row r="330" spans="1:51" x14ac:dyDescent="0.25">
      <c r="A330" s="13"/>
      <c r="B330" s="13"/>
      <c r="C330" s="13"/>
      <c r="D330" s="13"/>
      <c r="E330" s="13"/>
      <c r="F330" s="13"/>
      <c r="G330" s="6"/>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c r="AK330" s="13"/>
      <c r="AL330" s="13"/>
      <c r="AM330" s="13"/>
      <c r="AN330" s="13"/>
      <c r="AO330" s="13"/>
      <c r="AP330" s="13"/>
      <c r="AQ330" s="13"/>
      <c r="AR330" s="13"/>
      <c r="AS330" s="13"/>
      <c r="AT330" s="13"/>
      <c r="AU330" s="13"/>
      <c r="AV330" s="13"/>
      <c r="AW330" s="13"/>
      <c r="AX330" s="13"/>
      <c r="AY330" s="13"/>
    </row>
    <row r="331" spans="1:51" x14ac:dyDescent="0.25">
      <c r="A331" s="13"/>
      <c r="B331" s="13"/>
      <c r="C331" s="13"/>
      <c r="D331" s="13"/>
      <c r="E331" s="13"/>
      <c r="F331" s="13"/>
      <c r="G331" s="6"/>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c r="AK331" s="13"/>
      <c r="AL331" s="13"/>
      <c r="AM331" s="13"/>
      <c r="AN331" s="13"/>
      <c r="AO331" s="13"/>
      <c r="AP331" s="13"/>
      <c r="AQ331" s="13"/>
      <c r="AR331" s="13"/>
      <c r="AS331" s="13"/>
      <c r="AT331" s="13"/>
      <c r="AU331" s="13"/>
      <c r="AV331" s="13"/>
      <c r="AW331" s="13"/>
      <c r="AX331" s="13"/>
      <c r="AY331" s="13"/>
    </row>
    <row r="332" spans="1:51" x14ac:dyDescent="0.25">
      <c r="A332" s="13"/>
      <c r="B332" s="13"/>
      <c r="C332" s="13"/>
      <c r="D332" s="13"/>
      <c r="E332" s="13"/>
      <c r="F332" s="13"/>
      <c r="G332" s="6"/>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c r="AK332" s="13"/>
      <c r="AL332" s="13"/>
      <c r="AM332" s="13"/>
      <c r="AN332" s="13"/>
      <c r="AO332" s="13"/>
      <c r="AP332" s="13"/>
      <c r="AQ332" s="13"/>
      <c r="AR332" s="13"/>
      <c r="AS332" s="13"/>
      <c r="AT332" s="13"/>
      <c r="AU332" s="13"/>
      <c r="AV332" s="13"/>
      <c r="AW332" s="13"/>
      <c r="AX332" s="13"/>
      <c r="AY332" s="13"/>
    </row>
    <row r="333" spans="1:51" x14ac:dyDescent="0.25">
      <c r="A333" s="13"/>
      <c r="B333" s="13"/>
      <c r="C333" s="13"/>
      <c r="D333" s="13"/>
      <c r="E333" s="13"/>
      <c r="F333" s="13"/>
      <c r="G333" s="6"/>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c r="AL333" s="13"/>
      <c r="AM333" s="13"/>
      <c r="AN333" s="13"/>
      <c r="AO333" s="13"/>
      <c r="AP333" s="13"/>
      <c r="AQ333" s="13"/>
      <c r="AR333" s="13"/>
      <c r="AS333" s="13"/>
      <c r="AT333" s="13"/>
      <c r="AU333" s="13"/>
      <c r="AV333" s="13"/>
      <c r="AW333" s="13"/>
      <c r="AX333" s="13"/>
      <c r="AY333" s="13"/>
    </row>
    <row r="334" spans="1:51" x14ac:dyDescent="0.25">
      <c r="A334" s="13"/>
      <c r="B334" s="13"/>
      <c r="C334" s="13"/>
      <c r="D334" s="13"/>
      <c r="E334" s="13"/>
      <c r="F334" s="13"/>
      <c r="G334" s="6"/>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c r="AL334" s="13"/>
      <c r="AM334" s="13"/>
      <c r="AN334" s="13"/>
      <c r="AO334" s="13"/>
      <c r="AP334" s="13"/>
      <c r="AQ334" s="13"/>
      <c r="AR334" s="13"/>
      <c r="AS334" s="13"/>
      <c r="AT334" s="13"/>
      <c r="AU334" s="13"/>
      <c r="AV334" s="13"/>
      <c r="AW334" s="13"/>
      <c r="AX334" s="13"/>
      <c r="AY334" s="13"/>
    </row>
    <row r="335" spans="1:51" x14ac:dyDescent="0.25">
      <c r="A335" s="13"/>
      <c r="B335" s="13"/>
      <c r="C335" s="13"/>
      <c r="D335" s="13"/>
      <c r="E335" s="13"/>
      <c r="F335" s="13"/>
      <c r="G335" s="6"/>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c r="AK335" s="13"/>
      <c r="AL335" s="13"/>
      <c r="AM335" s="13"/>
      <c r="AN335" s="13"/>
      <c r="AO335" s="13"/>
      <c r="AP335" s="13"/>
      <c r="AQ335" s="13"/>
      <c r="AR335" s="13"/>
      <c r="AS335" s="13"/>
      <c r="AT335" s="13"/>
      <c r="AU335" s="13"/>
      <c r="AV335" s="13"/>
      <c r="AW335" s="13"/>
      <c r="AX335" s="13"/>
      <c r="AY335" s="13"/>
    </row>
    <row r="336" spans="1:51" x14ac:dyDescent="0.25">
      <c r="A336" s="13"/>
      <c r="B336" s="13"/>
      <c r="C336" s="13"/>
      <c r="D336" s="13"/>
      <c r="E336" s="13"/>
      <c r="F336" s="13"/>
      <c r="G336" s="6"/>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c r="AK336" s="13"/>
      <c r="AL336" s="13"/>
      <c r="AM336" s="13"/>
      <c r="AN336" s="13"/>
      <c r="AO336" s="13"/>
      <c r="AP336" s="13"/>
      <c r="AQ336" s="13"/>
      <c r="AR336" s="13"/>
      <c r="AS336" s="13"/>
      <c r="AT336" s="13"/>
      <c r="AU336" s="13"/>
      <c r="AV336" s="13"/>
      <c r="AW336" s="13"/>
      <c r="AX336" s="13"/>
      <c r="AY336" s="13"/>
    </row>
    <row r="337" spans="1:51" x14ac:dyDescent="0.25">
      <c r="A337" s="13"/>
      <c r="B337" s="13"/>
      <c r="C337" s="13"/>
      <c r="D337" s="13"/>
      <c r="E337" s="13"/>
      <c r="F337" s="13"/>
      <c r="G337" s="6"/>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c r="AK337" s="13"/>
      <c r="AL337" s="13"/>
      <c r="AM337" s="13"/>
      <c r="AN337" s="13"/>
      <c r="AO337" s="13"/>
      <c r="AP337" s="13"/>
      <c r="AQ337" s="13"/>
      <c r="AR337" s="13"/>
      <c r="AS337" s="13"/>
      <c r="AT337" s="13"/>
      <c r="AU337" s="13"/>
      <c r="AV337" s="13"/>
      <c r="AW337" s="13"/>
      <c r="AX337" s="13"/>
      <c r="AY337" s="13"/>
    </row>
    <row r="338" spans="1:51" x14ac:dyDescent="0.25">
      <c r="A338" s="13"/>
      <c r="B338" s="13"/>
      <c r="C338" s="13"/>
      <c r="D338" s="13"/>
      <c r="E338" s="13"/>
      <c r="F338" s="13"/>
      <c r="G338" s="6"/>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c r="AK338" s="13"/>
      <c r="AL338" s="13"/>
      <c r="AM338" s="13"/>
      <c r="AN338" s="13"/>
      <c r="AO338" s="13"/>
      <c r="AP338" s="13"/>
      <c r="AQ338" s="13"/>
      <c r="AR338" s="13"/>
      <c r="AS338" s="13"/>
      <c r="AT338" s="13"/>
      <c r="AU338" s="13"/>
      <c r="AV338" s="13"/>
      <c r="AW338" s="13"/>
      <c r="AX338" s="13"/>
      <c r="AY338" s="13"/>
    </row>
    <row r="339" spans="1:51" x14ac:dyDescent="0.25">
      <c r="A339" s="13"/>
      <c r="B339" s="13"/>
      <c r="C339" s="13"/>
      <c r="D339" s="13"/>
      <c r="E339" s="13"/>
      <c r="F339" s="13"/>
      <c r="G339" s="6"/>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c r="AK339" s="13"/>
      <c r="AL339" s="13"/>
      <c r="AM339" s="13"/>
      <c r="AN339" s="13"/>
      <c r="AO339" s="13"/>
      <c r="AP339" s="13"/>
      <c r="AQ339" s="13"/>
      <c r="AR339" s="13"/>
      <c r="AS339" s="13"/>
      <c r="AT339" s="13"/>
      <c r="AU339" s="13"/>
      <c r="AV339" s="13"/>
      <c r="AW339" s="13"/>
      <c r="AX339" s="13"/>
      <c r="AY339" s="13"/>
    </row>
    <row r="340" spans="1:51" x14ac:dyDescent="0.25">
      <c r="A340" s="13"/>
      <c r="B340" s="13"/>
      <c r="C340" s="13"/>
      <c r="D340" s="13"/>
      <c r="E340" s="13"/>
      <c r="F340" s="13"/>
      <c r="G340" s="6"/>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c r="AL340" s="13"/>
      <c r="AM340" s="13"/>
      <c r="AN340" s="13"/>
      <c r="AO340" s="13"/>
      <c r="AP340" s="13"/>
      <c r="AQ340" s="13"/>
      <c r="AR340" s="13"/>
      <c r="AS340" s="13"/>
      <c r="AT340" s="13"/>
      <c r="AU340" s="13"/>
      <c r="AV340" s="13"/>
      <c r="AW340" s="13"/>
      <c r="AX340" s="13"/>
      <c r="AY340" s="13"/>
    </row>
    <row r="341" spans="1:51" x14ac:dyDescent="0.25">
      <c r="A341" s="13"/>
      <c r="B341" s="13"/>
      <c r="C341" s="13"/>
      <c r="D341" s="13"/>
      <c r="E341" s="13"/>
      <c r="F341" s="13"/>
      <c r="G341" s="6"/>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c r="AK341" s="13"/>
      <c r="AL341" s="13"/>
      <c r="AM341" s="13"/>
      <c r="AN341" s="13"/>
      <c r="AO341" s="13"/>
      <c r="AP341" s="13"/>
      <c r="AQ341" s="13"/>
      <c r="AR341" s="13"/>
      <c r="AS341" s="13"/>
      <c r="AT341" s="13"/>
      <c r="AU341" s="13"/>
      <c r="AV341" s="13"/>
      <c r="AW341" s="13"/>
      <c r="AX341" s="13"/>
      <c r="AY341" s="13"/>
    </row>
    <row r="342" spans="1:51" x14ac:dyDescent="0.25">
      <c r="A342" s="13"/>
      <c r="B342" s="13"/>
      <c r="C342" s="13"/>
      <c r="D342" s="13"/>
      <c r="E342" s="13"/>
      <c r="F342" s="13"/>
      <c r="G342" s="6"/>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c r="AK342" s="13"/>
      <c r="AL342" s="13"/>
      <c r="AM342" s="13"/>
      <c r="AN342" s="13"/>
      <c r="AO342" s="13"/>
      <c r="AP342" s="13"/>
      <c r="AQ342" s="13"/>
      <c r="AR342" s="13"/>
      <c r="AS342" s="13"/>
      <c r="AT342" s="13"/>
      <c r="AU342" s="13"/>
      <c r="AV342" s="13"/>
      <c r="AW342" s="13"/>
      <c r="AX342" s="13"/>
      <c r="AY342" s="13"/>
    </row>
    <row r="343" spans="1:51" x14ac:dyDescent="0.25">
      <c r="A343" s="13"/>
      <c r="B343" s="13"/>
      <c r="C343" s="13"/>
      <c r="D343" s="13"/>
      <c r="E343" s="13"/>
      <c r="F343" s="13"/>
      <c r="G343" s="6"/>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c r="AK343" s="13"/>
      <c r="AL343" s="13"/>
      <c r="AM343" s="13"/>
      <c r="AN343" s="13"/>
      <c r="AO343" s="13"/>
      <c r="AP343" s="13"/>
      <c r="AQ343" s="13"/>
      <c r="AR343" s="13"/>
      <c r="AS343" s="13"/>
      <c r="AT343" s="13"/>
      <c r="AU343" s="13"/>
      <c r="AV343" s="13"/>
      <c r="AW343" s="13"/>
      <c r="AX343" s="13"/>
      <c r="AY343" s="13"/>
    </row>
    <row r="344" spans="1:51" x14ac:dyDescent="0.25">
      <c r="A344" s="13"/>
      <c r="B344" s="13"/>
      <c r="C344" s="13"/>
      <c r="D344" s="13"/>
      <c r="E344" s="13"/>
      <c r="F344" s="13"/>
      <c r="G344" s="6"/>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c r="AK344" s="13"/>
      <c r="AL344" s="13"/>
      <c r="AM344" s="13"/>
      <c r="AN344" s="13"/>
      <c r="AO344" s="13"/>
      <c r="AP344" s="13"/>
      <c r="AQ344" s="13"/>
      <c r="AR344" s="13"/>
      <c r="AS344" s="13"/>
      <c r="AT344" s="13"/>
      <c r="AU344" s="13"/>
      <c r="AV344" s="13"/>
      <c r="AW344" s="13"/>
      <c r="AX344" s="13"/>
      <c r="AY344" s="13"/>
    </row>
    <row r="345" spans="1:51" x14ac:dyDescent="0.25">
      <c r="A345" s="13"/>
      <c r="B345" s="13"/>
      <c r="C345" s="13"/>
      <c r="D345" s="13"/>
      <c r="E345" s="13"/>
      <c r="F345" s="13"/>
      <c r="G345" s="6"/>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c r="AK345" s="13"/>
      <c r="AL345" s="13"/>
      <c r="AM345" s="13"/>
      <c r="AN345" s="13"/>
      <c r="AO345" s="13"/>
      <c r="AP345" s="13"/>
      <c r="AQ345" s="13"/>
      <c r="AR345" s="13"/>
      <c r="AS345" s="13"/>
      <c r="AT345" s="13"/>
      <c r="AU345" s="13"/>
      <c r="AV345" s="13"/>
      <c r="AW345" s="13"/>
      <c r="AX345" s="13"/>
      <c r="AY345" s="13"/>
    </row>
    <row r="346" spans="1:51" x14ac:dyDescent="0.25">
      <c r="A346" s="13"/>
      <c r="B346" s="13"/>
      <c r="C346" s="13"/>
      <c r="D346" s="13"/>
      <c r="E346" s="13"/>
      <c r="F346" s="13"/>
      <c r="G346" s="6"/>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c r="AK346" s="13"/>
      <c r="AL346" s="13"/>
      <c r="AM346" s="13"/>
      <c r="AN346" s="13"/>
      <c r="AO346" s="13"/>
      <c r="AP346" s="13"/>
      <c r="AQ346" s="13"/>
      <c r="AR346" s="13"/>
      <c r="AS346" s="13"/>
      <c r="AT346" s="13"/>
      <c r="AU346" s="13"/>
      <c r="AV346" s="13"/>
      <c r="AW346" s="13"/>
      <c r="AX346" s="13"/>
      <c r="AY346" s="13"/>
    </row>
    <row r="347" spans="1:51" x14ac:dyDescent="0.25">
      <c r="A347" s="13"/>
      <c r="B347" s="13"/>
      <c r="C347" s="13"/>
      <c r="D347" s="13"/>
      <c r="E347" s="13"/>
      <c r="F347" s="13"/>
      <c r="G347" s="6"/>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c r="AK347" s="13"/>
      <c r="AL347" s="13"/>
      <c r="AM347" s="13"/>
      <c r="AN347" s="13"/>
      <c r="AO347" s="13"/>
      <c r="AP347" s="13"/>
      <c r="AQ347" s="13"/>
      <c r="AR347" s="13"/>
      <c r="AS347" s="13"/>
      <c r="AT347" s="13"/>
      <c r="AU347" s="13"/>
      <c r="AV347" s="13"/>
      <c r="AW347" s="13"/>
      <c r="AX347" s="13"/>
      <c r="AY347" s="13"/>
    </row>
    <row r="348" spans="1:51" x14ac:dyDescent="0.25">
      <c r="A348" s="13"/>
      <c r="B348" s="13"/>
      <c r="C348" s="13"/>
      <c r="D348" s="13"/>
      <c r="E348" s="13"/>
      <c r="F348" s="13"/>
      <c r="G348" s="6"/>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c r="AK348" s="13"/>
      <c r="AL348" s="13"/>
      <c r="AM348" s="13"/>
      <c r="AN348" s="13"/>
      <c r="AO348" s="13"/>
      <c r="AP348" s="13"/>
      <c r="AQ348" s="13"/>
      <c r="AR348" s="13"/>
      <c r="AS348" s="13"/>
      <c r="AT348" s="13"/>
      <c r="AU348" s="13"/>
      <c r="AV348" s="13"/>
      <c r="AW348" s="13"/>
      <c r="AX348" s="13"/>
      <c r="AY348" s="13"/>
    </row>
    <row r="349" spans="1:51" x14ac:dyDescent="0.25">
      <c r="A349" s="13"/>
      <c r="B349" s="13"/>
      <c r="C349" s="13"/>
      <c r="D349" s="13"/>
      <c r="E349" s="13"/>
      <c r="F349" s="13"/>
      <c r="G349" s="6"/>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c r="AK349" s="13"/>
      <c r="AL349" s="13"/>
      <c r="AM349" s="13"/>
      <c r="AN349" s="13"/>
      <c r="AO349" s="13"/>
      <c r="AP349" s="13"/>
      <c r="AQ349" s="13"/>
      <c r="AR349" s="13"/>
      <c r="AS349" s="13"/>
      <c r="AT349" s="13"/>
      <c r="AU349" s="13"/>
      <c r="AV349" s="13"/>
      <c r="AW349" s="13"/>
      <c r="AX349" s="13"/>
      <c r="AY349" s="13"/>
    </row>
    <row r="350" spans="1:51" x14ac:dyDescent="0.25">
      <c r="A350" s="13"/>
      <c r="B350" s="13"/>
      <c r="C350" s="13"/>
      <c r="D350" s="13"/>
      <c r="E350" s="13"/>
      <c r="F350" s="13"/>
      <c r="G350" s="6"/>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c r="AK350" s="13"/>
      <c r="AL350" s="13"/>
      <c r="AM350" s="13"/>
      <c r="AN350" s="13"/>
      <c r="AO350" s="13"/>
      <c r="AP350" s="13"/>
      <c r="AQ350" s="13"/>
      <c r="AR350" s="13"/>
      <c r="AS350" s="13"/>
      <c r="AT350" s="13"/>
      <c r="AU350" s="13"/>
      <c r="AV350" s="13"/>
      <c r="AW350" s="13"/>
      <c r="AX350" s="13"/>
      <c r="AY350" s="13"/>
    </row>
    <row r="351" spans="1:51" x14ac:dyDescent="0.25">
      <c r="A351" s="13"/>
      <c r="B351" s="13"/>
      <c r="C351" s="13"/>
      <c r="D351" s="13"/>
      <c r="E351" s="13"/>
      <c r="F351" s="13"/>
      <c r="G351" s="6"/>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c r="AK351" s="13"/>
      <c r="AL351" s="13"/>
      <c r="AM351" s="13"/>
      <c r="AN351" s="13"/>
      <c r="AO351" s="13"/>
      <c r="AP351" s="13"/>
      <c r="AQ351" s="13"/>
      <c r="AR351" s="13"/>
      <c r="AS351" s="13"/>
      <c r="AT351" s="13"/>
      <c r="AU351" s="13"/>
      <c r="AV351" s="13"/>
      <c r="AW351" s="13"/>
      <c r="AX351" s="13"/>
      <c r="AY351" s="13"/>
    </row>
    <row r="352" spans="1:51" x14ac:dyDescent="0.25">
      <c r="A352" s="13"/>
      <c r="B352" s="13"/>
      <c r="C352" s="13"/>
      <c r="D352" s="13"/>
      <c r="E352" s="13"/>
      <c r="F352" s="13"/>
      <c r="G352" s="6"/>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c r="AK352" s="13"/>
      <c r="AL352" s="13"/>
      <c r="AM352" s="13"/>
      <c r="AN352" s="13"/>
      <c r="AO352" s="13"/>
      <c r="AP352" s="13"/>
      <c r="AQ352" s="13"/>
      <c r="AR352" s="13"/>
      <c r="AS352" s="13"/>
      <c r="AT352" s="13"/>
      <c r="AU352" s="13"/>
      <c r="AV352" s="13"/>
      <c r="AW352" s="13"/>
      <c r="AX352" s="13"/>
      <c r="AY352" s="13"/>
    </row>
    <row r="353" spans="1:51" x14ac:dyDescent="0.25">
      <c r="A353" s="13"/>
      <c r="B353" s="13"/>
      <c r="C353" s="13"/>
      <c r="D353" s="13"/>
      <c r="E353" s="13"/>
      <c r="F353" s="13"/>
      <c r="G353" s="6"/>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c r="AK353" s="13"/>
      <c r="AL353" s="13"/>
      <c r="AM353" s="13"/>
      <c r="AN353" s="13"/>
      <c r="AO353" s="13"/>
      <c r="AP353" s="13"/>
      <c r="AQ353" s="13"/>
      <c r="AR353" s="13"/>
      <c r="AS353" s="13"/>
      <c r="AT353" s="13"/>
      <c r="AU353" s="13"/>
      <c r="AV353" s="13"/>
      <c r="AW353" s="13"/>
      <c r="AX353" s="13"/>
      <c r="AY353" s="13"/>
    </row>
    <row r="354" spans="1:51" x14ac:dyDescent="0.25">
      <c r="A354" s="13"/>
      <c r="B354" s="13"/>
      <c r="C354" s="13"/>
      <c r="D354" s="13"/>
      <c r="E354" s="13"/>
      <c r="F354" s="13"/>
      <c r="G354" s="6"/>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c r="AK354" s="13"/>
      <c r="AL354" s="13"/>
      <c r="AM354" s="13"/>
      <c r="AN354" s="13"/>
      <c r="AO354" s="13"/>
      <c r="AP354" s="13"/>
      <c r="AQ354" s="13"/>
      <c r="AR354" s="13"/>
      <c r="AS354" s="13"/>
      <c r="AT354" s="13"/>
      <c r="AU354" s="13"/>
      <c r="AV354" s="13"/>
      <c r="AW354" s="13"/>
      <c r="AX354" s="13"/>
      <c r="AY354" s="13"/>
    </row>
    <row r="355" spans="1:51" x14ac:dyDescent="0.25">
      <c r="A355" s="13"/>
      <c r="B355" s="13"/>
      <c r="C355" s="13"/>
      <c r="D355" s="13"/>
      <c r="E355" s="13"/>
      <c r="F355" s="13"/>
      <c r="G355" s="6"/>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c r="AK355" s="13"/>
      <c r="AL355" s="13"/>
      <c r="AM355" s="13"/>
      <c r="AN355" s="13"/>
      <c r="AO355" s="13"/>
      <c r="AP355" s="13"/>
      <c r="AQ355" s="13"/>
      <c r="AR355" s="13"/>
      <c r="AS355" s="13"/>
      <c r="AT355" s="13"/>
      <c r="AU355" s="13"/>
      <c r="AV355" s="13"/>
      <c r="AW355" s="13"/>
      <c r="AX355" s="13"/>
      <c r="AY355" s="13"/>
    </row>
    <row r="356" spans="1:51" x14ac:dyDescent="0.25">
      <c r="A356" s="13"/>
      <c r="B356" s="13"/>
      <c r="C356" s="13"/>
      <c r="D356" s="13"/>
      <c r="E356" s="13"/>
      <c r="F356" s="13"/>
      <c r="G356" s="6"/>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c r="AK356" s="13"/>
      <c r="AL356" s="13"/>
      <c r="AM356" s="13"/>
      <c r="AN356" s="13"/>
      <c r="AO356" s="13"/>
      <c r="AP356" s="13"/>
      <c r="AQ356" s="13"/>
      <c r="AR356" s="13"/>
      <c r="AS356" s="13"/>
      <c r="AT356" s="13"/>
      <c r="AU356" s="13"/>
      <c r="AV356" s="13"/>
      <c r="AW356" s="13"/>
      <c r="AX356" s="13"/>
      <c r="AY356" s="13"/>
    </row>
    <row r="357" spans="1:51" x14ac:dyDescent="0.25">
      <c r="A357" s="13"/>
      <c r="B357" s="13"/>
      <c r="C357" s="13"/>
      <c r="D357" s="13"/>
      <c r="E357" s="13"/>
      <c r="F357" s="13"/>
      <c r="G357" s="6"/>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c r="AS357" s="13"/>
      <c r="AT357" s="13"/>
      <c r="AU357" s="13"/>
      <c r="AV357" s="13"/>
      <c r="AW357" s="13"/>
      <c r="AX357" s="13"/>
      <c r="AY357" s="13"/>
    </row>
    <row r="358" spans="1:51" x14ac:dyDescent="0.25">
      <c r="A358" s="13"/>
      <c r="B358" s="13"/>
      <c r="C358" s="13"/>
      <c r="D358" s="13"/>
      <c r="E358" s="13"/>
      <c r="F358" s="13"/>
      <c r="G358" s="6"/>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c r="AK358" s="13"/>
      <c r="AL358" s="13"/>
      <c r="AM358" s="13"/>
      <c r="AN358" s="13"/>
      <c r="AO358" s="13"/>
      <c r="AP358" s="13"/>
      <c r="AQ358" s="13"/>
      <c r="AR358" s="13"/>
      <c r="AS358" s="13"/>
      <c r="AT358" s="13"/>
      <c r="AU358" s="13"/>
      <c r="AV358" s="13"/>
      <c r="AW358" s="13"/>
      <c r="AX358" s="13"/>
      <c r="AY358" s="13"/>
    </row>
    <row r="359" spans="1:51" x14ac:dyDescent="0.25">
      <c r="A359" s="13"/>
      <c r="B359" s="13"/>
      <c r="C359" s="13"/>
      <c r="D359" s="13"/>
      <c r="E359" s="13"/>
      <c r="F359" s="13"/>
      <c r="G359" s="6"/>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c r="AK359" s="13"/>
      <c r="AL359" s="13"/>
      <c r="AM359" s="13"/>
      <c r="AN359" s="13"/>
      <c r="AO359" s="13"/>
      <c r="AP359" s="13"/>
      <c r="AQ359" s="13"/>
      <c r="AR359" s="13"/>
      <c r="AS359" s="13"/>
      <c r="AT359" s="13"/>
      <c r="AU359" s="13"/>
      <c r="AV359" s="13"/>
      <c r="AW359" s="13"/>
      <c r="AX359" s="13"/>
      <c r="AY359" s="13"/>
    </row>
    <row r="360" spans="1:51" x14ac:dyDescent="0.25">
      <c r="A360" s="13"/>
      <c r="B360" s="13"/>
      <c r="C360" s="13"/>
      <c r="D360" s="13"/>
      <c r="E360" s="13"/>
      <c r="F360" s="13"/>
      <c r="G360" s="6"/>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c r="AS360" s="13"/>
      <c r="AT360" s="13"/>
      <c r="AU360" s="13"/>
      <c r="AV360" s="13"/>
      <c r="AW360" s="13"/>
      <c r="AX360" s="13"/>
      <c r="AY360" s="13"/>
    </row>
    <row r="361" spans="1:51" x14ac:dyDescent="0.25">
      <c r="A361" s="13"/>
      <c r="B361" s="13"/>
      <c r="C361" s="13"/>
      <c r="D361" s="13"/>
      <c r="E361" s="13"/>
      <c r="F361" s="13"/>
      <c r="G361" s="6"/>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c r="AK361" s="13"/>
      <c r="AL361" s="13"/>
      <c r="AM361" s="13"/>
      <c r="AN361" s="13"/>
      <c r="AO361" s="13"/>
      <c r="AP361" s="13"/>
      <c r="AQ361" s="13"/>
      <c r="AR361" s="13"/>
      <c r="AS361" s="13"/>
      <c r="AT361" s="13"/>
      <c r="AU361" s="13"/>
      <c r="AV361" s="13"/>
      <c r="AW361" s="13"/>
      <c r="AX361" s="13"/>
      <c r="AY361" s="13"/>
    </row>
    <row r="362" spans="1:51" x14ac:dyDescent="0.25">
      <c r="A362" s="13"/>
      <c r="B362" s="13"/>
      <c r="C362" s="13"/>
      <c r="D362" s="13"/>
      <c r="E362" s="13"/>
      <c r="F362" s="13"/>
      <c r="G362" s="6"/>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c r="AK362" s="13"/>
      <c r="AL362" s="13"/>
      <c r="AM362" s="13"/>
      <c r="AN362" s="13"/>
      <c r="AO362" s="13"/>
      <c r="AP362" s="13"/>
      <c r="AQ362" s="13"/>
      <c r="AR362" s="13"/>
      <c r="AS362" s="13"/>
      <c r="AT362" s="13"/>
      <c r="AU362" s="13"/>
      <c r="AV362" s="13"/>
      <c r="AW362" s="13"/>
      <c r="AX362" s="13"/>
      <c r="AY362" s="13"/>
    </row>
    <row r="363" spans="1:51" x14ac:dyDescent="0.25">
      <c r="A363" s="13"/>
      <c r="B363" s="13"/>
      <c r="C363" s="13"/>
      <c r="D363" s="13"/>
      <c r="E363" s="13"/>
      <c r="F363" s="13"/>
      <c r="G363" s="6"/>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c r="AS363" s="13"/>
      <c r="AT363" s="13"/>
      <c r="AU363" s="13"/>
      <c r="AV363" s="13"/>
      <c r="AW363" s="13"/>
      <c r="AX363" s="13"/>
      <c r="AY363" s="13"/>
    </row>
    <row r="364" spans="1:51" x14ac:dyDescent="0.25">
      <c r="A364" s="13"/>
      <c r="B364" s="13"/>
      <c r="C364" s="13"/>
      <c r="D364" s="13"/>
      <c r="E364" s="13"/>
      <c r="F364" s="13"/>
      <c r="G364" s="6"/>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c r="AS364" s="13"/>
      <c r="AT364" s="13"/>
      <c r="AU364" s="13"/>
      <c r="AV364" s="13"/>
      <c r="AW364" s="13"/>
      <c r="AX364" s="13"/>
      <c r="AY364" s="13"/>
    </row>
    <row r="365" spans="1:51" x14ac:dyDescent="0.25">
      <c r="A365" s="13"/>
      <c r="B365" s="13"/>
      <c r="C365" s="13"/>
      <c r="D365" s="13"/>
      <c r="E365" s="13"/>
      <c r="F365" s="13"/>
      <c r="G365" s="6"/>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c r="AK365" s="13"/>
      <c r="AL365" s="13"/>
      <c r="AM365" s="13"/>
      <c r="AN365" s="13"/>
      <c r="AO365" s="13"/>
      <c r="AP365" s="13"/>
      <c r="AQ365" s="13"/>
      <c r="AR365" s="13"/>
      <c r="AS365" s="13"/>
      <c r="AT365" s="13"/>
      <c r="AU365" s="13"/>
      <c r="AV365" s="13"/>
      <c r="AW365" s="13"/>
      <c r="AX365" s="13"/>
      <c r="AY365" s="13"/>
    </row>
    <row r="366" spans="1:51" x14ac:dyDescent="0.25">
      <c r="A366" s="13"/>
      <c r="B366" s="13"/>
      <c r="C366" s="13"/>
      <c r="D366" s="13"/>
      <c r="E366" s="13"/>
      <c r="F366" s="13"/>
      <c r="G366" s="6"/>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c r="AS366" s="13"/>
      <c r="AT366" s="13"/>
      <c r="AU366" s="13"/>
      <c r="AV366" s="13"/>
      <c r="AW366" s="13"/>
      <c r="AX366" s="13"/>
      <c r="AY366" s="13"/>
    </row>
    <row r="367" spans="1:51" x14ac:dyDescent="0.25">
      <c r="A367" s="13"/>
      <c r="B367" s="13"/>
      <c r="C367" s="13"/>
      <c r="D367" s="13"/>
      <c r="E367" s="13"/>
      <c r="F367" s="13"/>
      <c r="G367" s="6"/>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c r="AK367" s="13"/>
      <c r="AL367" s="13"/>
      <c r="AM367" s="13"/>
      <c r="AN367" s="13"/>
      <c r="AO367" s="13"/>
      <c r="AP367" s="13"/>
      <c r="AQ367" s="13"/>
      <c r="AR367" s="13"/>
      <c r="AS367" s="13"/>
      <c r="AT367" s="13"/>
      <c r="AU367" s="13"/>
      <c r="AV367" s="13"/>
      <c r="AW367" s="13"/>
      <c r="AX367" s="13"/>
      <c r="AY367" s="13"/>
    </row>
    <row r="368" spans="1:51" x14ac:dyDescent="0.25">
      <c r="A368" s="13"/>
      <c r="B368" s="13"/>
      <c r="C368" s="13"/>
      <c r="D368" s="13"/>
      <c r="E368" s="13"/>
      <c r="F368" s="13"/>
      <c r="G368" s="6"/>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c r="AK368" s="13"/>
      <c r="AL368" s="13"/>
      <c r="AM368" s="13"/>
      <c r="AN368" s="13"/>
      <c r="AO368" s="13"/>
      <c r="AP368" s="13"/>
      <c r="AQ368" s="13"/>
      <c r="AR368" s="13"/>
      <c r="AS368" s="13"/>
      <c r="AT368" s="13"/>
      <c r="AU368" s="13"/>
      <c r="AV368" s="13"/>
      <c r="AW368" s="13"/>
      <c r="AX368" s="13"/>
      <c r="AY368" s="13"/>
    </row>
    <row r="369" spans="1:51" x14ac:dyDescent="0.25">
      <c r="A369" s="13"/>
      <c r="B369" s="13"/>
      <c r="C369" s="13"/>
      <c r="D369" s="13"/>
      <c r="E369" s="13"/>
      <c r="F369" s="13"/>
      <c r="G369" s="6"/>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c r="AR369" s="13"/>
      <c r="AS369" s="13"/>
      <c r="AT369" s="13"/>
      <c r="AU369" s="13"/>
      <c r="AV369" s="13"/>
      <c r="AW369" s="13"/>
      <c r="AX369" s="13"/>
      <c r="AY369" s="13"/>
    </row>
    <row r="370" spans="1:51" x14ac:dyDescent="0.25">
      <c r="A370" s="13"/>
      <c r="B370" s="13"/>
      <c r="C370" s="13"/>
      <c r="D370" s="13"/>
      <c r="E370" s="13"/>
      <c r="F370" s="13"/>
      <c r="G370" s="6"/>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c r="AS370" s="13"/>
      <c r="AT370" s="13"/>
      <c r="AU370" s="13"/>
      <c r="AV370" s="13"/>
      <c r="AW370" s="13"/>
      <c r="AX370" s="13"/>
      <c r="AY370" s="13"/>
    </row>
    <row r="371" spans="1:51" x14ac:dyDescent="0.25">
      <c r="A371" s="13"/>
      <c r="B371" s="13"/>
      <c r="C371" s="13"/>
      <c r="D371" s="13"/>
      <c r="E371" s="13"/>
      <c r="F371" s="13"/>
      <c r="G371" s="6"/>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c r="AK371" s="13"/>
      <c r="AL371" s="13"/>
      <c r="AM371" s="13"/>
      <c r="AN371" s="13"/>
      <c r="AO371" s="13"/>
      <c r="AP371" s="13"/>
      <c r="AQ371" s="13"/>
      <c r="AR371" s="13"/>
      <c r="AS371" s="13"/>
      <c r="AT371" s="13"/>
      <c r="AU371" s="13"/>
      <c r="AV371" s="13"/>
      <c r="AW371" s="13"/>
      <c r="AX371" s="13"/>
      <c r="AY371" s="13"/>
    </row>
    <row r="372" spans="1:51" x14ac:dyDescent="0.25">
      <c r="A372" s="13"/>
      <c r="B372" s="13"/>
      <c r="C372" s="13"/>
      <c r="D372" s="13"/>
      <c r="E372" s="13"/>
      <c r="F372" s="13"/>
      <c r="G372" s="6"/>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c r="AS372" s="13"/>
      <c r="AT372" s="13"/>
      <c r="AU372" s="13"/>
      <c r="AV372" s="13"/>
      <c r="AW372" s="13"/>
      <c r="AX372" s="13"/>
      <c r="AY372" s="13"/>
    </row>
    <row r="373" spans="1:51" x14ac:dyDescent="0.25">
      <c r="A373" s="13"/>
      <c r="B373" s="13"/>
      <c r="C373" s="13"/>
      <c r="D373" s="13"/>
      <c r="E373" s="13"/>
      <c r="F373" s="13"/>
      <c r="G373" s="6"/>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c r="AL373" s="13"/>
      <c r="AM373" s="13"/>
      <c r="AN373" s="13"/>
      <c r="AO373" s="13"/>
      <c r="AP373" s="13"/>
      <c r="AQ373" s="13"/>
      <c r="AR373" s="13"/>
      <c r="AS373" s="13"/>
      <c r="AT373" s="13"/>
      <c r="AU373" s="13"/>
      <c r="AV373" s="13"/>
      <c r="AW373" s="13"/>
      <c r="AX373" s="13"/>
      <c r="AY373" s="13"/>
    </row>
    <row r="374" spans="1:51" x14ac:dyDescent="0.25">
      <c r="A374" s="13"/>
      <c r="B374" s="13"/>
      <c r="C374" s="13"/>
      <c r="D374" s="13"/>
      <c r="E374" s="13"/>
      <c r="F374" s="13"/>
      <c r="G374" s="6"/>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c r="AK374" s="13"/>
      <c r="AL374" s="13"/>
      <c r="AM374" s="13"/>
      <c r="AN374" s="13"/>
      <c r="AO374" s="13"/>
      <c r="AP374" s="13"/>
      <c r="AQ374" s="13"/>
      <c r="AR374" s="13"/>
      <c r="AS374" s="13"/>
      <c r="AT374" s="13"/>
      <c r="AU374" s="13"/>
      <c r="AV374" s="13"/>
      <c r="AW374" s="13"/>
      <c r="AX374" s="13"/>
      <c r="AY374" s="13"/>
    </row>
    <row r="375" spans="1:51" x14ac:dyDescent="0.25">
      <c r="A375" s="13"/>
      <c r="B375" s="13"/>
      <c r="C375" s="13"/>
      <c r="D375" s="13"/>
      <c r="E375" s="13"/>
      <c r="F375" s="13"/>
      <c r="G375" s="6"/>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c r="AK375" s="13"/>
      <c r="AL375" s="13"/>
      <c r="AM375" s="13"/>
      <c r="AN375" s="13"/>
      <c r="AO375" s="13"/>
      <c r="AP375" s="13"/>
      <c r="AQ375" s="13"/>
      <c r="AR375" s="13"/>
      <c r="AS375" s="13"/>
      <c r="AT375" s="13"/>
      <c r="AU375" s="13"/>
      <c r="AV375" s="13"/>
      <c r="AW375" s="13"/>
      <c r="AX375" s="13"/>
      <c r="AY375" s="13"/>
    </row>
    <row r="376" spans="1:51" x14ac:dyDescent="0.25">
      <c r="A376" s="13"/>
      <c r="B376" s="13"/>
      <c r="C376" s="13"/>
      <c r="D376" s="13"/>
      <c r="E376" s="13"/>
      <c r="F376" s="13"/>
      <c r="G376" s="6"/>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c r="AK376" s="13"/>
      <c r="AL376" s="13"/>
      <c r="AM376" s="13"/>
      <c r="AN376" s="13"/>
      <c r="AO376" s="13"/>
      <c r="AP376" s="13"/>
      <c r="AQ376" s="13"/>
      <c r="AR376" s="13"/>
      <c r="AS376" s="13"/>
      <c r="AT376" s="13"/>
      <c r="AU376" s="13"/>
      <c r="AV376" s="13"/>
      <c r="AW376" s="13"/>
      <c r="AX376" s="13"/>
      <c r="AY376" s="13"/>
    </row>
    <row r="377" spans="1:51" x14ac:dyDescent="0.25">
      <c r="A377" s="13"/>
      <c r="B377" s="13"/>
      <c r="C377" s="13"/>
      <c r="D377" s="13"/>
      <c r="E377" s="13"/>
      <c r="F377" s="13"/>
      <c r="G377" s="6"/>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c r="AS377" s="13"/>
      <c r="AT377" s="13"/>
      <c r="AU377" s="13"/>
      <c r="AV377" s="13"/>
      <c r="AW377" s="13"/>
      <c r="AX377" s="13"/>
      <c r="AY377" s="13"/>
    </row>
    <row r="378" spans="1:51" x14ac:dyDescent="0.25">
      <c r="A378" s="13"/>
      <c r="B378" s="13"/>
      <c r="C378" s="13"/>
      <c r="D378" s="13"/>
      <c r="E378" s="13"/>
      <c r="F378" s="13"/>
      <c r="G378" s="6"/>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c r="AS378" s="13"/>
      <c r="AT378" s="13"/>
      <c r="AU378" s="13"/>
      <c r="AV378" s="13"/>
      <c r="AW378" s="13"/>
      <c r="AX378" s="13"/>
      <c r="AY378" s="13"/>
    </row>
    <row r="379" spans="1:51" x14ac:dyDescent="0.25">
      <c r="A379" s="13"/>
      <c r="B379" s="13"/>
      <c r="C379" s="13"/>
      <c r="D379" s="13"/>
      <c r="E379" s="13"/>
      <c r="F379" s="13"/>
      <c r="G379" s="6"/>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row>
    <row r="380" spans="1:51" x14ac:dyDescent="0.25">
      <c r="A380" s="13"/>
      <c r="B380" s="13"/>
      <c r="C380" s="13"/>
      <c r="D380" s="13"/>
      <c r="E380" s="13"/>
      <c r="F380" s="13"/>
      <c r="G380" s="6"/>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c r="AS380" s="13"/>
      <c r="AT380" s="13"/>
      <c r="AU380" s="13"/>
      <c r="AV380" s="13"/>
      <c r="AW380" s="13"/>
      <c r="AX380" s="13"/>
      <c r="AY380" s="13"/>
    </row>
    <row r="381" spans="1:51" x14ac:dyDescent="0.25">
      <c r="A381" s="13"/>
      <c r="B381" s="13"/>
      <c r="C381" s="13"/>
      <c r="D381" s="13"/>
      <c r="E381" s="13"/>
      <c r="F381" s="13"/>
      <c r="G381" s="6"/>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c r="AS381" s="13"/>
      <c r="AT381" s="13"/>
      <c r="AU381" s="13"/>
      <c r="AV381" s="13"/>
      <c r="AW381" s="13"/>
      <c r="AX381" s="13"/>
      <c r="AY381" s="13"/>
    </row>
    <row r="382" spans="1:51" x14ac:dyDescent="0.25">
      <c r="A382" s="13"/>
      <c r="B382" s="13"/>
      <c r="C382" s="13"/>
      <c r="D382" s="13"/>
      <c r="E382" s="13"/>
      <c r="F382" s="13"/>
      <c r="G382" s="6"/>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c r="AX382" s="13"/>
      <c r="AY382" s="13"/>
    </row>
    <row r="383" spans="1:51" x14ac:dyDescent="0.25">
      <c r="A383" s="13"/>
      <c r="B383" s="13"/>
      <c r="C383" s="13"/>
      <c r="D383" s="13"/>
      <c r="E383" s="13"/>
      <c r="F383" s="13"/>
      <c r="G383" s="6"/>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c r="AK383" s="13"/>
      <c r="AL383" s="13"/>
      <c r="AM383" s="13"/>
      <c r="AN383" s="13"/>
      <c r="AO383" s="13"/>
      <c r="AP383" s="13"/>
      <c r="AQ383" s="13"/>
      <c r="AR383" s="13"/>
      <c r="AS383" s="13"/>
      <c r="AT383" s="13"/>
      <c r="AU383" s="13"/>
      <c r="AV383" s="13"/>
      <c r="AW383" s="13"/>
      <c r="AX383" s="13"/>
      <c r="AY383" s="13"/>
    </row>
    <row r="384" spans="1:51" x14ac:dyDescent="0.25">
      <c r="A384" s="13"/>
      <c r="B384" s="13"/>
      <c r="C384" s="13"/>
      <c r="D384" s="13"/>
      <c r="E384" s="13"/>
      <c r="F384" s="13"/>
      <c r="G384" s="6"/>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c r="AS384" s="13"/>
      <c r="AT384" s="13"/>
      <c r="AU384" s="13"/>
      <c r="AV384" s="13"/>
      <c r="AW384" s="13"/>
      <c r="AX384" s="13"/>
      <c r="AY384" s="13"/>
    </row>
    <row r="385" spans="1:51" x14ac:dyDescent="0.25">
      <c r="A385" s="13"/>
      <c r="B385" s="13"/>
      <c r="C385" s="13"/>
      <c r="D385" s="13"/>
      <c r="E385" s="13"/>
      <c r="F385" s="13"/>
      <c r="G385" s="6"/>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c r="AS385" s="13"/>
      <c r="AT385" s="13"/>
      <c r="AU385" s="13"/>
      <c r="AV385" s="13"/>
      <c r="AW385" s="13"/>
      <c r="AX385" s="13"/>
      <c r="AY385" s="13"/>
    </row>
    <row r="386" spans="1:51" x14ac:dyDescent="0.25">
      <c r="A386" s="13"/>
      <c r="B386" s="13"/>
      <c r="C386" s="13"/>
      <c r="D386" s="13"/>
      <c r="E386" s="13"/>
      <c r="F386" s="13"/>
      <c r="G386" s="6"/>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row>
    <row r="387" spans="1:51" x14ac:dyDescent="0.25">
      <c r="A387" s="13"/>
      <c r="B387" s="13"/>
      <c r="C387" s="13"/>
      <c r="D387" s="13"/>
      <c r="E387" s="13"/>
      <c r="F387" s="13"/>
      <c r="G387" s="6"/>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row>
    <row r="388" spans="1:51" x14ac:dyDescent="0.25">
      <c r="A388" s="13"/>
      <c r="B388" s="13"/>
      <c r="C388" s="13"/>
      <c r="D388" s="13"/>
      <c r="E388" s="13"/>
      <c r="F388" s="13"/>
      <c r="G388" s="6"/>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c r="AS388" s="13"/>
      <c r="AT388" s="13"/>
      <c r="AU388" s="13"/>
      <c r="AV388" s="13"/>
      <c r="AW388" s="13"/>
      <c r="AX388" s="13"/>
      <c r="AY388" s="13"/>
    </row>
    <row r="389" spans="1:51" x14ac:dyDescent="0.25">
      <c r="A389" s="13"/>
      <c r="B389" s="13"/>
      <c r="C389" s="13"/>
      <c r="D389" s="13"/>
      <c r="E389" s="13"/>
      <c r="F389" s="13"/>
      <c r="G389" s="6"/>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c r="AS389" s="13"/>
      <c r="AT389" s="13"/>
      <c r="AU389" s="13"/>
      <c r="AV389" s="13"/>
      <c r="AW389" s="13"/>
      <c r="AX389" s="13"/>
      <c r="AY389" s="13"/>
    </row>
    <row r="390" spans="1:51" x14ac:dyDescent="0.25">
      <c r="A390" s="13"/>
      <c r="B390" s="13"/>
      <c r="C390" s="13"/>
      <c r="D390" s="13"/>
      <c r="E390" s="13"/>
      <c r="F390" s="13"/>
      <c r="G390" s="6"/>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c r="AX390" s="13"/>
      <c r="AY390" s="13"/>
    </row>
    <row r="391" spans="1:51" x14ac:dyDescent="0.25">
      <c r="A391" s="13"/>
      <c r="B391" s="13"/>
      <c r="C391" s="13"/>
      <c r="D391" s="13"/>
      <c r="E391" s="13"/>
      <c r="F391" s="13"/>
      <c r="G391" s="6"/>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c r="AX391" s="13"/>
      <c r="AY391" s="13"/>
    </row>
    <row r="392" spans="1:51" x14ac:dyDescent="0.25">
      <c r="A392" s="13"/>
      <c r="B392" s="13"/>
      <c r="C392" s="13"/>
      <c r="D392" s="13"/>
      <c r="E392" s="13"/>
      <c r="F392" s="13"/>
      <c r="G392" s="6"/>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c r="AT392" s="13"/>
      <c r="AU392" s="13"/>
      <c r="AV392" s="13"/>
      <c r="AW392" s="13"/>
      <c r="AX392" s="13"/>
      <c r="AY392" s="13"/>
    </row>
    <row r="393" spans="1:51" x14ac:dyDescent="0.25">
      <c r="A393" s="13"/>
      <c r="B393" s="13"/>
      <c r="C393" s="13"/>
      <c r="D393" s="13"/>
      <c r="E393" s="13"/>
      <c r="F393" s="13"/>
      <c r="G393" s="6"/>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row>
    <row r="394" spans="1:51" x14ac:dyDescent="0.25">
      <c r="A394" s="13"/>
      <c r="B394" s="13"/>
      <c r="C394" s="13"/>
      <c r="D394" s="13"/>
      <c r="E394" s="13"/>
      <c r="F394" s="13"/>
      <c r="G394" s="6"/>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row>
    <row r="395" spans="1:51" x14ac:dyDescent="0.25">
      <c r="A395" s="13"/>
      <c r="B395" s="13"/>
      <c r="C395" s="13"/>
      <c r="D395" s="13"/>
      <c r="E395" s="13"/>
      <c r="F395" s="13"/>
      <c r="G395" s="6"/>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c r="AK395" s="13"/>
      <c r="AL395" s="13"/>
      <c r="AM395" s="13"/>
      <c r="AN395" s="13"/>
      <c r="AO395" s="13"/>
      <c r="AP395" s="13"/>
      <c r="AQ395" s="13"/>
      <c r="AR395" s="13"/>
      <c r="AS395" s="13"/>
      <c r="AT395" s="13"/>
      <c r="AU395" s="13"/>
      <c r="AV395" s="13"/>
      <c r="AW395" s="13"/>
      <c r="AX395" s="13"/>
      <c r="AY395" s="13"/>
    </row>
    <row r="396" spans="1:51" x14ac:dyDescent="0.25">
      <c r="A396" s="13"/>
      <c r="B396" s="13"/>
      <c r="C396" s="13"/>
      <c r="D396" s="13"/>
      <c r="E396" s="13"/>
      <c r="F396" s="13"/>
      <c r="G396" s="6"/>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c r="AS396" s="13"/>
      <c r="AT396" s="13"/>
      <c r="AU396" s="13"/>
      <c r="AV396" s="13"/>
      <c r="AW396" s="13"/>
      <c r="AX396" s="13"/>
      <c r="AY396" s="13"/>
    </row>
    <row r="397" spans="1:51" x14ac:dyDescent="0.25">
      <c r="A397" s="13"/>
      <c r="B397" s="13"/>
      <c r="C397" s="13"/>
      <c r="D397" s="13"/>
      <c r="E397" s="13"/>
      <c r="F397" s="13"/>
      <c r="G397" s="6"/>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row>
    <row r="398" spans="1:51" x14ac:dyDescent="0.25">
      <c r="A398" s="13"/>
      <c r="B398" s="13"/>
      <c r="C398" s="13"/>
      <c r="D398" s="13"/>
      <c r="E398" s="13"/>
      <c r="F398" s="13"/>
      <c r="G398" s="6"/>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row>
    <row r="399" spans="1:51" x14ac:dyDescent="0.25">
      <c r="A399" s="13"/>
      <c r="B399" s="13"/>
      <c r="C399" s="13"/>
      <c r="D399" s="13"/>
      <c r="E399" s="13"/>
      <c r="F399" s="13"/>
      <c r="G399" s="6"/>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row>
    <row r="400" spans="1:51" x14ac:dyDescent="0.25">
      <c r="A400" s="13"/>
      <c r="B400" s="13"/>
      <c r="C400" s="13"/>
      <c r="D400" s="13"/>
      <c r="E400" s="13"/>
      <c r="F400" s="13"/>
      <c r="G400" s="6"/>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c r="AS400" s="13"/>
      <c r="AT400" s="13"/>
      <c r="AU400" s="13"/>
      <c r="AV400" s="13"/>
      <c r="AW400" s="13"/>
      <c r="AX400" s="13"/>
      <c r="AY400" s="13"/>
    </row>
    <row r="401" spans="1:51" x14ac:dyDescent="0.25">
      <c r="A401" s="13"/>
      <c r="B401" s="13"/>
      <c r="C401" s="13"/>
      <c r="D401" s="13"/>
      <c r="E401" s="13"/>
      <c r="F401" s="13"/>
      <c r="G401" s="6"/>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c r="AS401" s="13"/>
      <c r="AT401" s="13"/>
      <c r="AU401" s="13"/>
      <c r="AV401" s="13"/>
      <c r="AW401" s="13"/>
      <c r="AX401" s="13"/>
      <c r="AY401" s="13"/>
    </row>
    <row r="402" spans="1:51" x14ac:dyDescent="0.25">
      <c r="A402" s="13"/>
      <c r="B402" s="13"/>
      <c r="C402" s="13"/>
      <c r="D402" s="13"/>
      <c r="E402" s="13"/>
      <c r="F402" s="13"/>
      <c r="G402" s="6"/>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c r="AL402" s="13"/>
      <c r="AM402" s="13"/>
      <c r="AN402" s="13"/>
      <c r="AO402" s="13"/>
      <c r="AP402" s="13"/>
      <c r="AQ402" s="13"/>
      <c r="AR402" s="13"/>
      <c r="AS402" s="13"/>
      <c r="AT402" s="13"/>
      <c r="AU402" s="13"/>
      <c r="AV402" s="13"/>
      <c r="AW402" s="13"/>
      <c r="AX402" s="13"/>
      <c r="AY402" s="13"/>
    </row>
    <row r="403" spans="1:51" x14ac:dyDescent="0.25">
      <c r="A403" s="13"/>
      <c r="B403" s="13"/>
      <c r="C403" s="13"/>
      <c r="D403" s="13"/>
      <c r="E403" s="13"/>
      <c r="F403" s="13"/>
      <c r="G403" s="6"/>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c r="AS403" s="13"/>
      <c r="AT403" s="13"/>
      <c r="AU403" s="13"/>
      <c r="AV403" s="13"/>
      <c r="AW403" s="13"/>
      <c r="AX403" s="13"/>
      <c r="AY403" s="13"/>
    </row>
    <row r="404" spans="1:51" x14ac:dyDescent="0.25">
      <c r="A404" s="13"/>
      <c r="B404" s="13"/>
      <c r="C404" s="13"/>
      <c r="D404" s="13"/>
      <c r="E404" s="13"/>
      <c r="F404" s="13"/>
      <c r="G404" s="6"/>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c r="AS404" s="13"/>
      <c r="AT404" s="13"/>
      <c r="AU404" s="13"/>
      <c r="AV404" s="13"/>
      <c r="AW404" s="13"/>
      <c r="AX404" s="13"/>
      <c r="AY404" s="13"/>
    </row>
    <row r="405" spans="1:51" x14ac:dyDescent="0.25">
      <c r="A405" s="13"/>
      <c r="B405" s="13"/>
      <c r="C405" s="13"/>
      <c r="D405" s="13"/>
      <c r="E405" s="13"/>
      <c r="F405" s="13"/>
      <c r="G405" s="6"/>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c r="AS405" s="13"/>
      <c r="AT405" s="13"/>
      <c r="AU405" s="13"/>
      <c r="AV405" s="13"/>
      <c r="AW405" s="13"/>
      <c r="AX405" s="13"/>
      <c r="AY405" s="13"/>
    </row>
    <row r="406" spans="1:51" x14ac:dyDescent="0.25">
      <c r="A406" s="13"/>
      <c r="B406" s="13"/>
      <c r="C406" s="13"/>
      <c r="D406" s="13"/>
      <c r="E406" s="13"/>
      <c r="F406" s="13"/>
      <c r="G406" s="6"/>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c r="AS406" s="13"/>
      <c r="AT406" s="13"/>
      <c r="AU406" s="13"/>
      <c r="AV406" s="13"/>
      <c r="AW406" s="13"/>
      <c r="AX406" s="13"/>
      <c r="AY406" s="13"/>
    </row>
    <row r="407" spans="1:51" x14ac:dyDescent="0.25">
      <c r="A407" s="13"/>
      <c r="B407" s="13"/>
      <c r="C407" s="13"/>
      <c r="D407" s="13"/>
      <c r="E407" s="13"/>
      <c r="F407" s="13"/>
      <c r="G407" s="6"/>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c r="AL407" s="13"/>
      <c r="AM407" s="13"/>
      <c r="AN407" s="13"/>
      <c r="AO407" s="13"/>
      <c r="AP407" s="13"/>
      <c r="AQ407" s="13"/>
      <c r="AR407" s="13"/>
      <c r="AS407" s="13"/>
      <c r="AT407" s="13"/>
      <c r="AU407" s="13"/>
      <c r="AV407" s="13"/>
      <c r="AW407" s="13"/>
      <c r="AX407" s="13"/>
      <c r="AY407" s="13"/>
    </row>
    <row r="408" spans="1:51" x14ac:dyDescent="0.25">
      <c r="A408" s="13"/>
      <c r="B408" s="13"/>
      <c r="C408" s="13"/>
      <c r="D408" s="13"/>
      <c r="E408" s="13"/>
      <c r="F408" s="13"/>
      <c r="G408" s="6"/>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c r="AS408" s="13"/>
      <c r="AT408" s="13"/>
      <c r="AU408" s="13"/>
      <c r="AV408" s="13"/>
      <c r="AW408" s="13"/>
      <c r="AX408" s="13"/>
      <c r="AY408" s="13"/>
    </row>
    <row r="409" spans="1:51" x14ac:dyDescent="0.25">
      <c r="A409" s="13"/>
      <c r="B409" s="13"/>
      <c r="C409" s="13"/>
      <c r="D409" s="13"/>
      <c r="E409" s="13"/>
      <c r="F409" s="13"/>
      <c r="G409" s="6"/>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c r="AL409" s="13"/>
      <c r="AM409" s="13"/>
      <c r="AN409" s="13"/>
      <c r="AO409" s="13"/>
      <c r="AP409" s="13"/>
      <c r="AQ409" s="13"/>
      <c r="AR409" s="13"/>
      <c r="AS409" s="13"/>
      <c r="AT409" s="13"/>
      <c r="AU409" s="13"/>
      <c r="AV409" s="13"/>
      <c r="AW409" s="13"/>
      <c r="AX409" s="13"/>
      <c r="AY409" s="13"/>
    </row>
    <row r="410" spans="1:51" x14ac:dyDescent="0.25">
      <c r="A410" s="13"/>
      <c r="B410" s="13"/>
      <c r="C410" s="13"/>
      <c r="D410" s="13"/>
      <c r="E410" s="13"/>
      <c r="F410" s="13"/>
      <c r="G410" s="6"/>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J410" s="13"/>
      <c r="AK410" s="13"/>
      <c r="AL410" s="13"/>
      <c r="AM410" s="13"/>
      <c r="AN410" s="13"/>
      <c r="AO410" s="13"/>
      <c r="AP410" s="13"/>
      <c r="AQ410" s="13"/>
      <c r="AR410" s="13"/>
      <c r="AS410" s="13"/>
      <c r="AT410" s="13"/>
      <c r="AU410" s="13"/>
      <c r="AV410" s="13"/>
      <c r="AW410" s="13"/>
      <c r="AX410" s="13"/>
      <c r="AY410" s="13"/>
    </row>
    <row r="411" spans="1:51" x14ac:dyDescent="0.25">
      <c r="A411" s="13"/>
      <c r="B411" s="13"/>
      <c r="C411" s="13"/>
      <c r="D411" s="13"/>
      <c r="E411" s="13"/>
      <c r="F411" s="13"/>
      <c r="G411" s="6"/>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J411" s="13"/>
      <c r="AK411" s="13"/>
      <c r="AL411" s="13"/>
      <c r="AM411" s="13"/>
      <c r="AN411" s="13"/>
      <c r="AO411" s="13"/>
      <c r="AP411" s="13"/>
      <c r="AQ411" s="13"/>
      <c r="AR411" s="13"/>
      <c r="AS411" s="13"/>
      <c r="AT411" s="13"/>
      <c r="AU411" s="13"/>
      <c r="AV411" s="13"/>
      <c r="AW411" s="13"/>
      <c r="AX411" s="13"/>
      <c r="AY411" s="13"/>
    </row>
    <row r="412" spans="1:51" x14ac:dyDescent="0.25">
      <c r="A412" s="13"/>
      <c r="B412" s="13"/>
      <c r="C412" s="13"/>
      <c r="D412" s="13"/>
      <c r="E412" s="13"/>
      <c r="F412" s="13"/>
      <c r="G412" s="6"/>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c r="AK412" s="13"/>
      <c r="AL412" s="13"/>
      <c r="AM412" s="13"/>
      <c r="AN412" s="13"/>
      <c r="AO412" s="13"/>
      <c r="AP412" s="13"/>
      <c r="AQ412" s="13"/>
      <c r="AR412" s="13"/>
      <c r="AS412" s="13"/>
      <c r="AT412" s="13"/>
      <c r="AU412" s="13"/>
      <c r="AV412" s="13"/>
      <c r="AW412" s="13"/>
      <c r="AX412" s="13"/>
      <c r="AY412" s="13"/>
    </row>
    <row r="413" spans="1:51" x14ac:dyDescent="0.25">
      <c r="A413" s="13"/>
      <c r="B413" s="13"/>
      <c r="C413" s="13"/>
      <c r="D413" s="13"/>
      <c r="E413" s="13"/>
      <c r="F413" s="13"/>
      <c r="G413" s="6"/>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c r="AK413" s="13"/>
      <c r="AL413" s="13"/>
      <c r="AM413" s="13"/>
      <c r="AN413" s="13"/>
      <c r="AO413" s="13"/>
      <c r="AP413" s="13"/>
      <c r="AQ413" s="13"/>
      <c r="AR413" s="13"/>
      <c r="AS413" s="13"/>
      <c r="AT413" s="13"/>
      <c r="AU413" s="13"/>
      <c r="AV413" s="13"/>
      <c r="AW413" s="13"/>
      <c r="AX413" s="13"/>
      <c r="AY413" s="13"/>
    </row>
    <row r="414" spans="1:51" x14ac:dyDescent="0.25">
      <c r="A414" s="13"/>
      <c r="B414" s="13"/>
      <c r="C414" s="13"/>
      <c r="D414" s="13"/>
      <c r="E414" s="13"/>
      <c r="F414" s="13"/>
      <c r="G414" s="6"/>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J414" s="13"/>
      <c r="AK414" s="13"/>
      <c r="AL414" s="13"/>
      <c r="AM414" s="13"/>
      <c r="AN414" s="13"/>
      <c r="AO414" s="13"/>
      <c r="AP414" s="13"/>
      <c r="AQ414" s="13"/>
      <c r="AR414" s="13"/>
      <c r="AS414" s="13"/>
      <c r="AT414" s="13"/>
      <c r="AU414" s="13"/>
      <c r="AV414" s="13"/>
      <c r="AW414" s="13"/>
      <c r="AX414" s="13"/>
      <c r="AY414" s="13"/>
    </row>
    <row r="415" spans="1:51" x14ac:dyDescent="0.25">
      <c r="A415" s="13"/>
      <c r="B415" s="13"/>
      <c r="C415" s="13"/>
      <c r="D415" s="13"/>
      <c r="E415" s="13"/>
      <c r="F415" s="13"/>
      <c r="G415" s="6"/>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c r="AS415" s="13"/>
      <c r="AT415" s="13"/>
      <c r="AU415" s="13"/>
      <c r="AV415" s="13"/>
      <c r="AW415" s="13"/>
      <c r="AX415" s="13"/>
      <c r="AY415" s="13"/>
    </row>
    <row r="416" spans="1:51" x14ac:dyDescent="0.25">
      <c r="A416" s="13"/>
      <c r="B416" s="13"/>
      <c r="C416" s="13"/>
      <c r="D416" s="13"/>
      <c r="E416" s="13"/>
      <c r="F416" s="13"/>
      <c r="G416" s="6"/>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c r="AS416" s="13"/>
      <c r="AT416" s="13"/>
      <c r="AU416" s="13"/>
      <c r="AV416" s="13"/>
      <c r="AW416" s="13"/>
      <c r="AX416" s="13"/>
      <c r="AY416" s="13"/>
    </row>
    <row r="417" spans="1:51" x14ac:dyDescent="0.25">
      <c r="A417" s="13"/>
      <c r="B417" s="13"/>
      <c r="C417" s="13"/>
      <c r="D417" s="13"/>
      <c r="E417" s="13"/>
      <c r="F417" s="13"/>
      <c r="G417" s="6"/>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J417" s="13"/>
      <c r="AK417" s="13"/>
      <c r="AL417" s="13"/>
      <c r="AM417" s="13"/>
      <c r="AN417" s="13"/>
      <c r="AO417" s="13"/>
      <c r="AP417" s="13"/>
      <c r="AQ417" s="13"/>
      <c r="AR417" s="13"/>
      <c r="AS417" s="13"/>
      <c r="AT417" s="13"/>
      <c r="AU417" s="13"/>
      <c r="AV417" s="13"/>
      <c r="AW417" s="13"/>
      <c r="AX417" s="13"/>
      <c r="AY417" s="13"/>
    </row>
    <row r="418" spans="1:51" x14ac:dyDescent="0.25">
      <c r="A418" s="13"/>
      <c r="B418" s="13"/>
      <c r="C418" s="13"/>
      <c r="D418" s="13"/>
      <c r="E418" s="13"/>
      <c r="F418" s="13"/>
      <c r="G418" s="6"/>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c r="AL418" s="13"/>
      <c r="AM418" s="13"/>
      <c r="AN418" s="13"/>
      <c r="AO418" s="13"/>
      <c r="AP418" s="13"/>
      <c r="AQ418" s="13"/>
      <c r="AR418" s="13"/>
      <c r="AS418" s="13"/>
      <c r="AT418" s="13"/>
      <c r="AU418" s="13"/>
      <c r="AV418" s="13"/>
      <c r="AW418" s="13"/>
      <c r="AX418" s="13"/>
      <c r="AY418" s="13"/>
    </row>
    <row r="419" spans="1:51" x14ac:dyDescent="0.25">
      <c r="A419" s="13"/>
      <c r="B419" s="13"/>
      <c r="C419" s="13"/>
      <c r="D419" s="13"/>
      <c r="E419" s="13"/>
      <c r="F419" s="13"/>
      <c r="G419" s="6"/>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J419" s="13"/>
      <c r="AK419" s="13"/>
      <c r="AL419" s="13"/>
      <c r="AM419" s="13"/>
      <c r="AN419" s="13"/>
      <c r="AO419" s="13"/>
      <c r="AP419" s="13"/>
      <c r="AQ419" s="13"/>
      <c r="AR419" s="13"/>
      <c r="AS419" s="13"/>
      <c r="AT419" s="13"/>
      <c r="AU419" s="13"/>
      <c r="AV419" s="13"/>
      <c r="AW419" s="13"/>
      <c r="AX419" s="13"/>
      <c r="AY419" s="13"/>
    </row>
    <row r="420" spans="1:51" x14ac:dyDescent="0.25">
      <c r="A420" s="13"/>
      <c r="B420" s="13"/>
      <c r="C420" s="13"/>
      <c r="D420" s="13"/>
      <c r="E420" s="13"/>
      <c r="F420" s="13"/>
      <c r="G420" s="6"/>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J420" s="13"/>
      <c r="AK420" s="13"/>
      <c r="AL420" s="13"/>
      <c r="AM420" s="13"/>
      <c r="AN420" s="13"/>
      <c r="AO420" s="13"/>
      <c r="AP420" s="13"/>
      <c r="AQ420" s="13"/>
      <c r="AR420" s="13"/>
      <c r="AS420" s="13"/>
      <c r="AT420" s="13"/>
      <c r="AU420" s="13"/>
      <c r="AV420" s="13"/>
      <c r="AW420" s="13"/>
      <c r="AX420" s="13"/>
      <c r="AY420" s="13"/>
    </row>
    <row r="421" spans="1:51" x14ac:dyDescent="0.25">
      <c r="A421" s="13"/>
      <c r="B421" s="13"/>
      <c r="C421" s="13"/>
      <c r="D421" s="13"/>
      <c r="E421" s="13"/>
      <c r="F421" s="13"/>
      <c r="G421" s="6"/>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c r="AK421" s="13"/>
      <c r="AL421" s="13"/>
      <c r="AM421" s="13"/>
      <c r="AN421" s="13"/>
      <c r="AO421" s="13"/>
      <c r="AP421" s="13"/>
      <c r="AQ421" s="13"/>
      <c r="AR421" s="13"/>
      <c r="AS421" s="13"/>
      <c r="AT421" s="13"/>
      <c r="AU421" s="13"/>
      <c r="AV421" s="13"/>
      <c r="AW421" s="13"/>
      <c r="AX421" s="13"/>
      <c r="AY421" s="13"/>
    </row>
    <row r="422" spans="1:51" x14ac:dyDescent="0.25">
      <c r="A422" s="13"/>
      <c r="B422" s="13"/>
      <c r="C422" s="13"/>
      <c r="D422" s="13"/>
      <c r="E422" s="13"/>
      <c r="F422" s="13"/>
      <c r="G422" s="6"/>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c r="AK422" s="13"/>
      <c r="AL422" s="13"/>
      <c r="AM422" s="13"/>
      <c r="AN422" s="13"/>
      <c r="AO422" s="13"/>
      <c r="AP422" s="13"/>
      <c r="AQ422" s="13"/>
      <c r="AR422" s="13"/>
      <c r="AS422" s="13"/>
      <c r="AT422" s="13"/>
      <c r="AU422" s="13"/>
      <c r="AV422" s="13"/>
      <c r="AW422" s="13"/>
      <c r="AX422" s="13"/>
      <c r="AY422" s="13"/>
    </row>
    <row r="423" spans="1:51" x14ac:dyDescent="0.25">
      <c r="A423" s="13"/>
      <c r="B423" s="13"/>
      <c r="C423" s="13"/>
      <c r="D423" s="13"/>
      <c r="E423" s="13"/>
      <c r="F423" s="13"/>
      <c r="G423" s="6"/>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c r="AS423" s="13"/>
      <c r="AT423" s="13"/>
      <c r="AU423" s="13"/>
      <c r="AV423" s="13"/>
      <c r="AW423" s="13"/>
      <c r="AX423" s="13"/>
      <c r="AY423" s="13"/>
    </row>
    <row r="424" spans="1:51" x14ac:dyDescent="0.25">
      <c r="A424" s="13"/>
      <c r="B424" s="13"/>
      <c r="C424" s="13"/>
      <c r="D424" s="13"/>
      <c r="E424" s="13"/>
      <c r="F424" s="13"/>
      <c r="G424" s="6"/>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c r="AS424" s="13"/>
      <c r="AT424" s="13"/>
      <c r="AU424" s="13"/>
      <c r="AV424" s="13"/>
      <c r="AW424" s="13"/>
      <c r="AX424" s="13"/>
      <c r="AY424" s="13"/>
    </row>
    <row r="425" spans="1:51" x14ac:dyDescent="0.25">
      <c r="A425" s="13"/>
      <c r="B425" s="13"/>
      <c r="C425" s="13"/>
      <c r="D425" s="13"/>
      <c r="E425" s="13"/>
      <c r="F425" s="13"/>
      <c r="G425" s="6"/>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c r="AK425" s="13"/>
      <c r="AL425" s="13"/>
      <c r="AM425" s="13"/>
      <c r="AN425" s="13"/>
      <c r="AO425" s="13"/>
      <c r="AP425" s="13"/>
      <c r="AQ425" s="13"/>
      <c r="AR425" s="13"/>
      <c r="AS425" s="13"/>
      <c r="AT425" s="13"/>
      <c r="AU425" s="13"/>
      <c r="AV425" s="13"/>
      <c r="AW425" s="13"/>
      <c r="AX425" s="13"/>
      <c r="AY425" s="13"/>
    </row>
    <row r="426" spans="1:51" x14ac:dyDescent="0.25">
      <c r="A426" s="13"/>
      <c r="B426" s="13"/>
      <c r="C426" s="13"/>
      <c r="D426" s="13"/>
      <c r="E426" s="13"/>
      <c r="F426" s="13"/>
      <c r="G426" s="6"/>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c r="AL426" s="13"/>
      <c r="AM426" s="13"/>
      <c r="AN426" s="13"/>
      <c r="AO426" s="13"/>
      <c r="AP426" s="13"/>
      <c r="AQ426" s="13"/>
      <c r="AR426" s="13"/>
      <c r="AS426" s="13"/>
      <c r="AT426" s="13"/>
      <c r="AU426" s="13"/>
      <c r="AV426" s="13"/>
      <c r="AW426" s="13"/>
      <c r="AX426" s="13"/>
      <c r="AY426" s="13"/>
    </row>
    <row r="427" spans="1:51" x14ac:dyDescent="0.25">
      <c r="A427" s="13"/>
      <c r="B427" s="13"/>
      <c r="C427" s="13"/>
      <c r="D427" s="13"/>
      <c r="E427" s="13"/>
      <c r="F427" s="13"/>
      <c r="G427" s="6"/>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c r="AK427" s="13"/>
      <c r="AL427" s="13"/>
      <c r="AM427" s="13"/>
      <c r="AN427" s="13"/>
      <c r="AO427" s="13"/>
      <c r="AP427" s="13"/>
      <c r="AQ427" s="13"/>
      <c r="AR427" s="13"/>
      <c r="AS427" s="13"/>
      <c r="AT427" s="13"/>
      <c r="AU427" s="13"/>
      <c r="AV427" s="13"/>
      <c r="AW427" s="13"/>
      <c r="AX427" s="13"/>
      <c r="AY427" s="13"/>
    </row>
    <row r="428" spans="1:51" x14ac:dyDescent="0.25">
      <c r="A428" s="13"/>
      <c r="B428" s="13"/>
      <c r="C428" s="13"/>
      <c r="D428" s="13"/>
      <c r="E428" s="13"/>
      <c r="F428" s="13"/>
      <c r="G428" s="6"/>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c r="AS428" s="13"/>
      <c r="AT428" s="13"/>
      <c r="AU428" s="13"/>
      <c r="AV428" s="13"/>
      <c r="AW428" s="13"/>
      <c r="AX428" s="13"/>
      <c r="AY428" s="13"/>
    </row>
    <row r="429" spans="1:51" x14ac:dyDescent="0.25">
      <c r="A429" s="13"/>
      <c r="B429" s="13"/>
      <c r="C429" s="13"/>
      <c r="D429" s="13"/>
      <c r="E429" s="13"/>
      <c r="F429" s="13"/>
      <c r="G429" s="6"/>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c r="AS429" s="13"/>
      <c r="AT429" s="13"/>
      <c r="AU429" s="13"/>
      <c r="AV429" s="13"/>
      <c r="AW429" s="13"/>
      <c r="AX429" s="13"/>
      <c r="AY429" s="13"/>
    </row>
    <row r="430" spans="1:51" x14ac:dyDescent="0.25">
      <c r="A430" s="13"/>
      <c r="B430" s="13"/>
      <c r="C430" s="13"/>
      <c r="D430" s="13"/>
      <c r="E430" s="13"/>
      <c r="F430" s="13"/>
      <c r="G430" s="6"/>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c r="AS430" s="13"/>
      <c r="AT430" s="13"/>
      <c r="AU430" s="13"/>
      <c r="AV430" s="13"/>
      <c r="AW430" s="13"/>
      <c r="AX430" s="13"/>
      <c r="AY430" s="13"/>
    </row>
    <row r="431" spans="1:51" x14ac:dyDescent="0.25">
      <c r="A431" s="13"/>
      <c r="B431" s="13"/>
      <c r="C431" s="13"/>
      <c r="D431" s="13"/>
      <c r="E431" s="13"/>
      <c r="F431" s="13"/>
      <c r="G431" s="6"/>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row>
    <row r="432" spans="1:51" x14ac:dyDescent="0.25">
      <c r="A432" s="13"/>
      <c r="B432" s="13"/>
      <c r="C432" s="13"/>
      <c r="D432" s="13"/>
      <c r="E432" s="13"/>
      <c r="F432" s="13"/>
      <c r="G432" s="6"/>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c r="AS432" s="13"/>
      <c r="AT432" s="13"/>
      <c r="AU432" s="13"/>
      <c r="AV432" s="13"/>
      <c r="AW432" s="13"/>
      <c r="AX432" s="13"/>
      <c r="AY432" s="13"/>
    </row>
    <row r="433" spans="1:51" x14ac:dyDescent="0.25">
      <c r="A433" s="13"/>
      <c r="B433" s="13"/>
      <c r="C433" s="13"/>
      <c r="D433" s="13"/>
      <c r="E433" s="13"/>
      <c r="F433" s="13"/>
      <c r="G433" s="6"/>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c r="AS433" s="13"/>
      <c r="AT433" s="13"/>
      <c r="AU433" s="13"/>
      <c r="AV433" s="13"/>
      <c r="AW433" s="13"/>
      <c r="AX433" s="13"/>
      <c r="AY433" s="13"/>
    </row>
    <row r="434" spans="1:51" x14ac:dyDescent="0.25">
      <c r="A434" s="13"/>
      <c r="B434" s="13"/>
      <c r="C434" s="13"/>
      <c r="D434" s="13"/>
      <c r="E434" s="13"/>
      <c r="F434" s="13"/>
      <c r="G434" s="6"/>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c r="AU434" s="13"/>
      <c r="AV434" s="13"/>
      <c r="AW434" s="13"/>
      <c r="AX434" s="13"/>
      <c r="AY434" s="13"/>
    </row>
    <row r="435" spans="1:51" x14ac:dyDescent="0.25">
      <c r="A435" s="13"/>
      <c r="B435" s="13"/>
      <c r="C435" s="13"/>
      <c r="D435" s="13"/>
      <c r="E435" s="13"/>
      <c r="F435" s="13"/>
      <c r="G435" s="6"/>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row>
    <row r="436" spans="1:51" x14ac:dyDescent="0.25">
      <c r="A436" s="13"/>
      <c r="B436" s="13"/>
      <c r="C436" s="13"/>
      <c r="D436" s="13"/>
      <c r="E436" s="13"/>
      <c r="F436" s="13"/>
      <c r="G436" s="6"/>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c r="AS436" s="13"/>
      <c r="AT436" s="13"/>
      <c r="AU436" s="13"/>
      <c r="AV436" s="13"/>
      <c r="AW436" s="13"/>
      <c r="AX436" s="13"/>
      <c r="AY436" s="13"/>
    </row>
    <row r="437" spans="1:51" x14ac:dyDescent="0.25">
      <c r="A437" s="13"/>
      <c r="B437" s="13"/>
      <c r="C437" s="13"/>
      <c r="D437" s="13"/>
      <c r="E437" s="13"/>
      <c r="F437" s="13"/>
      <c r="G437" s="6"/>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row>
    <row r="438" spans="1:51" x14ac:dyDescent="0.25">
      <c r="A438" s="13"/>
      <c r="B438" s="13"/>
      <c r="C438" s="13"/>
      <c r="D438" s="13"/>
      <c r="E438" s="13"/>
      <c r="F438" s="13"/>
      <c r="G438" s="6"/>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row>
    <row r="439" spans="1:51" x14ac:dyDescent="0.25">
      <c r="A439" s="13"/>
      <c r="B439" s="13"/>
      <c r="C439" s="13"/>
      <c r="D439" s="13"/>
      <c r="E439" s="13"/>
      <c r="F439" s="13"/>
      <c r="G439" s="6"/>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row>
    <row r="440" spans="1:51" x14ac:dyDescent="0.25">
      <c r="A440" s="13"/>
      <c r="B440" s="13"/>
      <c r="C440" s="13"/>
      <c r="D440" s="13"/>
      <c r="E440" s="13"/>
      <c r="F440" s="13"/>
      <c r="G440" s="6"/>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row>
    <row r="441" spans="1:51" x14ac:dyDescent="0.25">
      <c r="A441" s="13"/>
      <c r="B441" s="13"/>
      <c r="C441" s="13"/>
      <c r="D441" s="13"/>
      <c r="E441" s="13"/>
      <c r="F441" s="13"/>
      <c r="G441" s="6"/>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row>
    <row r="442" spans="1:51" x14ac:dyDescent="0.25">
      <c r="A442" s="13"/>
      <c r="B442" s="13"/>
      <c r="C442" s="13"/>
      <c r="D442" s="13"/>
      <c r="E442" s="13"/>
      <c r="F442" s="13"/>
      <c r="G442" s="6"/>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row>
    <row r="443" spans="1:51" x14ac:dyDescent="0.25">
      <c r="A443" s="13"/>
      <c r="B443" s="13"/>
      <c r="C443" s="13"/>
      <c r="D443" s="13"/>
      <c r="E443" s="13"/>
      <c r="F443" s="13"/>
      <c r="G443" s="6"/>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c r="AL443" s="13"/>
      <c r="AM443" s="13"/>
      <c r="AN443" s="13"/>
      <c r="AO443" s="13"/>
      <c r="AP443" s="13"/>
      <c r="AQ443" s="13"/>
      <c r="AR443" s="13"/>
      <c r="AS443" s="13"/>
      <c r="AT443" s="13"/>
      <c r="AU443" s="13"/>
      <c r="AV443" s="13"/>
      <c r="AW443" s="13"/>
      <c r="AX443" s="13"/>
      <c r="AY443" s="13"/>
    </row>
    <row r="444" spans="1:51" x14ac:dyDescent="0.25">
      <c r="A444" s="13"/>
      <c r="B444" s="13"/>
      <c r="C444" s="13"/>
      <c r="D444" s="13"/>
      <c r="E444" s="13"/>
      <c r="F444" s="13"/>
      <c r="G444" s="6"/>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row>
    <row r="445" spans="1:51" x14ac:dyDescent="0.25">
      <c r="A445" s="13"/>
      <c r="B445" s="13"/>
      <c r="C445" s="13"/>
      <c r="D445" s="13"/>
      <c r="E445" s="13"/>
      <c r="F445" s="13"/>
      <c r="G445" s="6"/>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c r="AT445" s="13"/>
      <c r="AU445" s="13"/>
      <c r="AV445" s="13"/>
      <c r="AW445" s="13"/>
      <c r="AX445" s="13"/>
      <c r="AY445" s="13"/>
    </row>
    <row r="446" spans="1:51" x14ac:dyDescent="0.25">
      <c r="A446" s="13"/>
      <c r="B446" s="13"/>
      <c r="C446" s="13"/>
      <c r="D446" s="13"/>
      <c r="E446" s="13"/>
      <c r="F446" s="13"/>
      <c r="G446" s="6"/>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c r="AS446" s="13"/>
      <c r="AT446" s="13"/>
      <c r="AU446" s="13"/>
      <c r="AV446" s="13"/>
      <c r="AW446" s="13"/>
      <c r="AX446" s="13"/>
      <c r="AY446" s="13"/>
    </row>
    <row r="447" spans="1:51" x14ac:dyDescent="0.25">
      <c r="A447" s="13"/>
      <c r="B447" s="13"/>
      <c r="C447" s="13"/>
      <c r="D447" s="13"/>
      <c r="E447" s="13"/>
      <c r="F447" s="13"/>
      <c r="G447" s="6"/>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c r="AX447" s="13"/>
      <c r="AY447" s="13"/>
    </row>
    <row r="448" spans="1:51" x14ac:dyDescent="0.25">
      <c r="A448" s="13"/>
      <c r="B448" s="13"/>
      <c r="C448" s="13"/>
      <c r="D448" s="13"/>
      <c r="E448" s="13"/>
      <c r="F448" s="13"/>
      <c r="G448" s="6"/>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c r="AU448" s="13"/>
      <c r="AV448" s="13"/>
      <c r="AW448" s="13"/>
      <c r="AX448" s="13"/>
      <c r="AY448" s="13"/>
    </row>
    <row r="449" spans="1:51" x14ac:dyDescent="0.25">
      <c r="A449" s="13"/>
      <c r="B449" s="13"/>
      <c r="C449" s="13"/>
      <c r="D449" s="13"/>
      <c r="E449" s="13"/>
      <c r="F449" s="13"/>
      <c r="G449" s="6"/>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c r="AU449" s="13"/>
      <c r="AV449" s="13"/>
      <c r="AW449" s="13"/>
      <c r="AX449" s="13"/>
      <c r="AY449" s="13"/>
    </row>
    <row r="450" spans="1:51" x14ac:dyDescent="0.25">
      <c r="A450" s="13"/>
      <c r="B450" s="13"/>
      <c r="C450" s="13"/>
      <c r="D450" s="13"/>
      <c r="E450" s="13"/>
      <c r="F450" s="13"/>
      <c r="G450" s="6"/>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c r="AL450" s="13"/>
      <c r="AM450" s="13"/>
      <c r="AN450" s="13"/>
      <c r="AO450" s="13"/>
      <c r="AP450" s="13"/>
      <c r="AQ450" s="13"/>
      <c r="AR450" s="13"/>
      <c r="AS450" s="13"/>
      <c r="AT450" s="13"/>
      <c r="AU450" s="13"/>
      <c r="AV450" s="13"/>
      <c r="AW450" s="13"/>
      <c r="AX450" s="13"/>
      <c r="AY450" s="13"/>
    </row>
    <row r="451" spans="1:51" x14ac:dyDescent="0.25">
      <c r="A451" s="13"/>
      <c r="B451" s="13"/>
      <c r="C451" s="13"/>
      <c r="D451" s="13"/>
      <c r="E451" s="13"/>
      <c r="F451" s="13"/>
      <c r="G451" s="6"/>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c r="AX451" s="13"/>
      <c r="AY451" s="13"/>
    </row>
    <row r="452" spans="1:51" x14ac:dyDescent="0.25">
      <c r="A452" s="13"/>
      <c r="B452" s="13"/>
      <c r="C452" s="13"/>
      <c r="D452" s="13"/>
      <c r="E452" s="13"/>
      <c r="F452" s="13"/>
      <c r="G452" s="6"/>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c r="AL452" s="13"/>
      <c r="AM452" s="13"/>
      <c r="AN452" s="13"/>
      <c r="AO452" s="13"/>
      <c r="AP452" s="13"/>
      <c r="AQ452" s="13"/>
      <c r="AR452" s="13"/>
      <c r="AS452" s="13"/>
      <c r="AT452" s="13"/>
      <c r="AU452" s="13"/>
      <c r="AV452" s="13"/>
      <c r="AW452" s="13"/>
      <c r="AX452" s="13"/>
      <c r="AY452" s="13"/>
    </row>
    <row r="453" spans="1:51" x14ac:dyDescent="0.25">
      <c r="A453" s="13"/>
      <c r="B453" s="13"/>
      <c r="C453" s="13"/>
      <c r="D453" s="13"/>
      <c r="E453" s="13"/>
      <c r="F453" s="13"/>
      <c r="G453" s="6"/>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c r="AS453" s="13"/>
      <c r="AT453" s="13"/>
      <c r="AU453" s="13"/>
      <c r="AV453" s="13"/>
      <c r="AW453" s="13"/>
      <c r="AX453" s="13"/>
      <c r="AY453" s="13"/>
    </row>
    <row r="454" spans="1:51" x14ac:dyDescent="0.25">
      <c r="A454" s="13"/>
      <c r="B454" s="13"/>
      <c r="C454" s="13"/>
      <c r="D454" s="13"/>
      <c r="E454" s="13"/>
      <c r="F454" s="13"/>
      <c r="G454" s="6"/>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c r="AX454" s="13"/>
      <c r="AY454" s="13"/>
    </row>
    <row r="455" spans="1:51" x14ac:dyDescent="0.25">
      <c r="A455" s="13"/>
      <c r="B455" s="13"/>
      <c r="C455" s="13"/>
      <c r="D455" s="13"/>
      <c r="E455" s="13"/>
      <c r="F455" s="13"/>
      <c r="G455" s="6"/>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c r="AS455" s="13"/>
      <c r="AT455" s="13"/>
      <c r="AU455" s="13"/>
      <c r="AV455" s="13"/>
      <c r="AW455" s="13"/>
      <c r="AX455" s="13"/>
      <c r="AY455" s="13"/>
    </row>
    <row r="456" spans="1:51" x14ac:dyDescent="0.25">
      <c r="A456" s="13"/>
      <c r="B456" s="13"/>
      <c r="C456" s="13"/>
      <c r="D456" s="13"/>
      <c r="E456" s="13"/>
      <c r="F456" s="13"/>
      <c r="G456" s="6"/>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c r="AS456" s="13"/>
      <c r="AT456" s="13"/>
      <c r="AU456" s="13"/>
      <c r="AV456" s="13"/>
      <c r="AW456" s="13"/>
      <c r="AX456" s="13"/>
      <c r="AY456" s="13"/>
    </row>
    <row r="457" spans="1:51" x14ac:dyDescent="0.25">
      <c r="A457" s="13"/>
      <c r="B457" s="13"/>
      <c r="C457" s="13"/>
      <c r="D457" s="13"/>
      <c r="E457" s="13"/>
      <c r="F457" s="13"/>
      <c r="G457" s="6"/>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J457" s="13"/>
      <c r="AK457" s="13"/>
      <c r="AL457" s="13"/>
      <c r="AM457" s="13"/>
      <c r="AN457" s="13"/>
      <c r="AO457" s="13"/>
      <c r="AP457" s="13"/>
      <c r="AQ457" s="13"/>
      <c r="AR457" s="13"/>
      <c r="AS457" s="13"/>
      <c r="AT457" s="13"/>
      <c r="AU457" s="13"/>
      <c r="AV457" s="13"/>
      <c r="AW457" s="13"/>
      <c r="AX457" s="13"/>
      <c r="AY457" s="13"/>
    </row>
    <row r="458" spans="1:51" x14ac:dyDescent="0.25">
      <c r="A458" s="13"/>
      <c r="B458" s="13"/>
      <c r="C458" s="13"/>
      <c r="D458" s="13"/>
      <c r="E458" s="13"/>
      <c r="F458" s="13"/>
      <c r="G458" s="6"/>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c r="AS458" s="13"/>
      <c r="AT458" s="13"/>
      <c r="AU458" s="13"/>
      <c r="AV458" s="13"/>
      <c r="AW458" s="13"/>
      <c r="AX458" s="13"/>
      <c r="AY458" s="13"/>
    </row>
    <row r="459" spans="1:51" x14ac:dyDescent="0.25">
      <c r="A459" s="13"/>
      <c r="B459" s="13"/>
      <c r="C459" s="13"/>
      <c r="D459" s="13"/>
      <c r="E459" s="13"/>
      <c r="F459" s="13"/>
      <c r="G459" s="6"/>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c r="AK459" s="13"/>
      <c r="AL459" s="13"/>
      <c r="AM459" s="13"/>
      <c r="AN459" s="13"/>
      <c r="AO459" s="13"/>
      <c r="AP459" s="13"/>
      <c r="AQ459" s="13"/>
      <c r="AR459" s="13"/>
      <c r="AS459" s="13"/>
      <c r="AT459" s="13"/>
      <c r="AU459" s="13"/>
      <c r="AV459" s="13"/>
      <c r="AW459" s="13"/>
      <c r="AX459" s="13"/>
      <c r="AY459" s="13"/>
    </row>
    <row r="460" spans="1:51" x14ac:dyDescent="0.25">
      <c r="A460" s="13"/>
      <c r="B460" s="13"/>
      <c r="C460" s="13"/>
      <c r="D460" s="13"/>
      <c r="E460" s="13"/>
      <c r="F460" s="13"/>
      <c r="G460" s="6"/>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c r="AS460" s="13"/>
      <c r="AT460" s="13"/>
      <c r="AU460" s="13"/>
      <c r="AV460" s="13"/>
      <c r="AW460" s="13"/>
      <c r="AX460" s="13"/>
      <c r="AY460" s="13"/>
    </row>
    <row r="461" spans="1:51" x14ac:dyDescent="0.25">
      <c r="A461" s="13"/>
      <c r="B461" s="13"/>
      <c r="C461" s="13"/>
      <c r="D461" s="13"/>
      <c r="E461" s="13"/>
      <c r="F461" s="13"/>
      <c r="G461" s="6"/>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c r="AS461" s="13"/>
      <c r="AT461" s="13"/>
      <c r="AU461" s="13"/>
      <c r="AV461" s="13"/>
      <c r="AW461" s="13"/>
      <c r="AX461" s="13"/>
      <c r="AY461" s="13"/>
    </row>
    <row r="462" spans="1:51" x14ac:dyDescent="0.25">
      <c r="A462" s="13"/>
      <c r="B462" s="13"/>
      <c r="C462" s="13"/>
      <c r="D462" s="13"/>
      <c r="E462" s="13"/>
      <c r="F462" s="13"/>
      <c r="G462" s="6"/>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c r="AS462" s="13"/>
      <c r="AT462" s="13"/>
      <c r="AU462" s="13"/>
      <c r="AV462" s="13"/>
      <c r="AW462" s="13"/>
      <c r="AX462" s="13"/>
      <c r="AY462" s="13"/>
    </row>
    <row r="463" spans="1:51" x14ac:dyDescent="0.25">
      <c r="A463" s="13"/>
      <c r="B463" s="13"/>
      <c r="C463" s="13"/>
      <c r="D463" s="13"/>
      <c r="E463" s="13"/>
      <c r="F463" s="13"/>
      <c r="G463" s="6"/>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c r="AT463" s="13"/>
      <c r="AU463" s="13"/>
      <c r="AV463" s="13"/>
      <c r="AW463" s="13"/>
      <c r="AX463" s="13"/>
      <c r="AY463" s="13"/>
    </row>
    <row r="464" spans="1:51" x14ac:dyDescent="0.25">
      <c r="A464" s="13"/>
      <c r="B464" s="13"/>
      <c r="C464" s="13"/>
      <c r="D464" s="13"/>
      <c r="E464" s="13"/>
      <c r="F464" s="13"/>
      <c r="G464" s="6"/>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c r="AL464" s="13"/>
      <c r="AM464" s="13"/>
      <c r="AN464" s="13"/>
      <c r="AO464" s="13"/>
      <c r="AP464" s="13"/>
      <c r="AQ464" s="13"/>
      <c r="AR464" s="13"/>
      <c r="AS464" s="13"/>
      <c r="AT464" s="13"/>
      <c r="AU464" s="13"/>
      <c r="AV464" s="13"/>
      <c r="AW464" s="13"/>
      <c r="AX464" s="13"/>
      <c r="AY464" s="13"/>
    </row>
    <row r="465" spans="1:51" x14ac:dyDescent="0.25">
      <c r="A465" s="13"/>
      <c r="B465" s="13"/>
      <c r="C465" s="13"/>
      <c r="D465" s="13"/>
      <c r="E465" s="13"/>
      <c r="F465" s="13"/>
      <c r="G465" s="6"/>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c r="AU465" s="13"/>
      <c r="AV465" s="13"/>
      <c r="AW465" s="13"/>
      <c r="AX465" s="13"/>
      <c r="AY465" s="13"/>
    </row>
    <row r="466" spans="1:51" x14ac:dyDescent="0.25">
      <c r="A466" s="13"/>
      <c r="B466" s="13"/>
      <c r="C466" s="13"/>
      <c r="D466" s="13"/>
      <c r="E466" s="13"/>
      <c r="F466" s="13"/>
      <c r="G466" s="6"/>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c r="AL466" s="13"/>
      <c r="AM466" s="13"/>
      <c r="AN466" s="13"/>
      <c r="AO466" s="13"/>
      <c r="AP466" s="13"/>
      <c r="AQ466" s="13"/>
      <c r="AR466" s="13"/>
      <c r="AS466" s="13"/>
      <c r="AT466" s="13"/>
      <c r="AU466" s="13"/>
      <c r="AV466" s="13"/>
      <c r="AW466" s="13"/>
      <c r="AX466" s="13"/>
      <c r="AY466" s="13"/>
    </row>
    <row r="467" spans="1:51" x14ac:dyDescent="0.25">
      <c r="A467" s="13"/>
      <c r="B467" s="13"/>
      <c r="C467" s="13"/>
      <c r="D467" s="13"/>
      <c r="E467" s="13"/>
      <c r="F467" s="13"/>
      <c r="G467" s="6"/>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c r="AS467" s="13"/>
      <c r="AT467" s="13"/>
      <c r="AU467" s="13"/>
      <c r="AV467" s="13"/>
      <c r="AW467" s="13"/>
      <c r="AX467" s="13"/>
      <c r="AY467" s="13"/>
    </row>
    <row r="468" spans="1:51" x14ac:dyDescent="0.25">
      <c r="A468" s="13"/>
      <c r="B468" s="13"/>
      <c r="C468" s="13"/>
      <c r="D468" s="13"/>
      <c r="E468" s="13"/>
      <c r="F468" s="13"/>
      <c r="G468" s="6"/>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c r="AS468" s="13"/>
      <c r="AT468" s="13"/>
      <c r="AU468" s="13"/>
      <c r="AV468" s="13"/>
      <c r="AW468" s="13"/>
      <c r="AX468" s="13"/>
      <c r="AY468" s="13"/>
    </row>
    <row r="469" spans="1:51" x14ac:dyDescent="0.25">
      <c r="A469" s="13"/>
      <c r="B469" s="13"/>
      <c r="C469" s="13"/>
      <c r="D469" s="13"/>
      <c r="E469" s="13"/>
      <c r="F469" s="13"/>
      <c r="G469" s="6"/>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c r="AS469" s="13"/>
      <c r="AT469" s="13"/>
      <c r="AU469" s="13"/>
      <c r="AV469" s="13"/>
      <c r="AW469" s="13"/>
      <c r="AX469" s="13"/>
      <c r="AY469" s="13"/>
    </row>
    <row r="470" spans="1:51" x14ac:dyDescent="0.25">
      <c r="A470" s="13"/>
      <c r="B470" s="13"/>
      <c r="C470" s="13"/>
      <c r="D470" s="13"/>
      <c r="E470" s="13"/>
      <c r="F470" s="13"/>
      <c r="G470" s="6"/>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c r="AS470" s="13"/>
      <c r="AT470" s="13"/>
      <c r="AU470" s="13"/>
      <c r="AV470" s="13"/>
      <c r="AW470" s="13"/>
      <c r="AX470" s="13"/>
      <c r="AY470" s="13"/>
    </row>
    <row r="471" spans="1:51" x14ac:dyDescent="0.25">
      <c r="A471" s="13"/>
      <c r="B471" s="13"/>
      <c r="C471" s="13"/>
      <c r="D471" s="13"/>
      <c r="E471" s="13"/>
      <c r="F471" s="13"/>
      <c r="G471" s="6"/>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c r="AK471" s="13"/>
      <c r="AL471" s="13"/>
      <c r="AM471" s="13"/>
      <c r="AN471" s="13"/>
      <c r="AO471" s="13"/>
      <c r="AP471" s="13"/>
      <c r="AQ471" s="13"/>
      <c r="AR471" s="13"/>
      <c r="AS471" s="13"/>
      <c r="AT471" s="13"/>
      <c r="AU471" s="13"/>
      <c r="AV471" s="13"/>
      <c r="AW471" s="13"/>
      <c r="AX471" s="13"/>
      <c r="AY471" s="13"/>
    </row>
    <row r="472" spans="1:51" x14ac:dyDescent="0.25">
      <c r="A472" s="13"/>
      <c r="B472" s="13"/>
      <c r="C472" s="13"/>
      <c r="D472" s="13"/>
      <c r="E472" s="13"/>
      <c r="F472" s="13"/>
      <c r="G472" s="6"/>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c r="AK472" s="13"/>
      <c r="AL472" s="13"/>
      <c r="AM472" s="13"/>
      <c r="AN472" s="13"/>
      <c r="AO472" s="13"/>
      <c r="AP472" s="13"/>
      <c r="AQ472" s="13"/>
      <c r="AR472" s="13"/>
      <c r="AS472" s="13"/>
      <c r="AT472" s="13"/>
      <c r="AU472" s="13"/>
      <c r="AV472" s="13"/>
      <c r="AW472" s="13"/>
      <c r="AX472" s="13"/>
      <c r="AY472" s="13"/>
    </row>
    <row r="473" spans="1:51" x14ac:dyDescent="0.25">
      <c r="A473" s="13"/>
      <c r="B473" s="13"/>
      <c r="C473" s="13"/>
      <c r="D473" s="13"/>
      <c r="E473" s="13"/>
      <c r="F473" s="13"/>
      <c r="G473" s="6"/>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J473" s="13"/>
      <c r="AK473" s="13"/>
      <c r="AL473" s="13"/>
      <c r="AM473" s="13"/>
      <c r="AN473" s="13"/>
      <c r="AO473" s="13"/>
      <c r="AP473" s="13"/>
      <c r="AQ473" s="13"/>
      <c r="AR473" s="13"/>
      <c r="AS473" s="13"/>
      <c r="AT473" s="13"/>
      <c r="AU473" s="13"/>
      <c r="AV473" s="13"/>
      <c r="AW473" s="13"/>
      <c r="AX473" s="13"/>
      <c r="AY473" s="13"/>
    </row>
    <row r="474" spans="1:51" x14ac:dyDescent="0.25">
      <c r="A474" s="13"/>
      <c r="B474" s="13"/>
      <c r="C474" s="13"/>
      <c r="D474" s="13"/>
      <c r="E474" s="13"/>
      <c r="F474" s="13"/>
      <c r="G474" s="6"/>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c r="AS474" s="13"/>
      <c r="AT474" s="13"/>
      <c r="AU474" s="13"/>
      <c r="AV474" s="13"/>
      <c r="AW474" s="13"/>
      <c r="AX474" s="13"/>
      <c r="AY474" s="13"/>
    </row>
    <row r="475" spans="1:51" x14ac:dyDescent="0.25">
      <c r="A475" s="13"/>
      <c r="B475" s="13"/>
      <c r="C475" s="13"/>
      <c r="D475" s="13"/>
      <c r="E475" s="13"/>
      <c r="F475" s="13"/>
      <c r="G475" s="6"/>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c r="AS475" s="13"/>
      <c r="AT475" s="13"/>
      <c r="AU475" s="13"/>
      <c r="AV475" s="13"/>
      <c r="AW475" s="13"/>
      <c r="AX475" s="13"/>
      <c r="AY475" s="13"/>
    </row>
    <row r="476" spans="1:51" x14ac:dyDescent="0.25">
      <c r="A476" s="13"/>
      <c r="B476" s="13"/>
      <c r="C476" s="13"/>
      <c r="D476" s="13"/>
      <c r="E476" s="13"/>
      <c r="F476" s="13"/>
      <c r="G476" s="6"/>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c r="AS476" s="13"/>
      <c r="AT476" s="13"/>
      <c r="AU476" s="13"/>
      <c r="AV476" s="13"/>
      <c r="AW476" s="13"/>
      <c r="AX476" s="13"/>
      <c r="AY476" s="13"/>
    </row>
    <row r="477" spans="1:51" x14ac:dyDescent="0.25">
      <c r="A477" s="13"/>
      <c r="B477" s="13"/>
      <c r="C477" s="13"/>
      <c r="D477" s="13"/>
      <c r="E477" s="13"/>
      <c r="F477" s="13"/>
      <c r="G477" s="6"/>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c r="AS477" s="13"/>
      <c r="AT477" s="13"/>
      <c r="AU477" s="13"/>
      <c r="AV477" s="13"/>
      <c r="AW477" s="13"/>
      <c r="AX477" s="13"/>
      <c r="AY477" s="13"/>
    </row>
    <row r="478" spans="1:51" x14ac:dyDescent="0.25">
      <c r="A478" s="13"/>
      <c r="B478" s="13"/>
      <c r="C478" s="13"/>
      <c r="D478" s="13"/>
      <c r="E478" s="13"/>
      <c r="F478" s="13"/>
      <c r="G478" s="6"/>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c r="AL478" s="13"/>
      <c r="AM478" s="13"/>
      <c r="AN478" s="13"/>
      <c r="AO478" s="13"/>
      <c r="AP478" s="13"/>
      <c r="AQ478" s="13"/>
      <c r="AR478" s="13"/>
      <c r="AS478" s="13"/>
      <c r="AT478" s="13"/>
      <c r="AU478" s="13"/>
      <c r="AV478" s="13"/>
      <c r="AW478" s="13"/>
      <c r="AX478" s="13"/>
      <c r="AY478" s="13"/>
    </row>
    <row r="479" spans="1:51" x14ac:dyDescent="0.25">
      <c r="A479" s="13"/>
      <c r="B479" s="13"/>
      <c r="C479" s="13"/>
      <c r="D479" s="13"/>
      <c r="E479" s="13"/>
      <c r="F479" s="13"/>
      <c r="G479" s="6"/>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c r="AR479" s="13"/>
      <c r="AS479" s="13"/>
      <c r="AT479" s="13"/>
      <c r="AU479" s="13"/>
      <c r="AV479" s="13"/>
      <c r="AW479" s="13"/>
      <c r="AX479" s="13"/>
      <c r="AY479" s="13"/>
    </row>
    <row r="480" spans="1:51" x14ac:dyDescent="0.25">
      <c r="A480" s="13"/>
      <c r="B480" s="13"/>
      <c r="C480" s="13"/>
      <c r="D480" s="13"/>
      <c r="E480" s="13"/>
      <c r="F480" s="13"/>
      <c r="G480" s="6"/>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c r="AR480" s="13"/>
      <c r="AS480" s="13"/>
      <c r="AT480" s="13"/>
      <c r="AU480" s="13"/>
      <c r="AV480" s="13"/>
      <c r="AW480" s="13"/>
      <c r="AX480" s="13"/>
      <c r="AY480" s="13"/>
    </row>
    <row r="481" spans="1:51" x14ac:dyDescent="0.25">
      <c r="A481" s="13"/>
      <c r="B481" s="13"/>
      <c r="C481" s="13"/>
      <c r="D481" s="13"/>
      <c r="E481" s="13"/>
      <c r="F481" s="13"/>
      <c r="G481" s="6"/>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J481" s="13"/>
      <c r="AK481" s="13"/>
      <c r="AL481" s="13"/>
      <c r="AM481" s="13"/>
      <c r="AN481" s="13"/>
      <c r="AO481" s="13"/>
      <c r="AP481" s="13"/>
      <c r="AQ481" s="13"/>
      <c r="AR481" s="13"/>
      <c r="AS481" s="13"/>
      <c r="AT481" s="13"/>
      <c r="AU481" s="13"/>
      <c r="AV481" s="13"/>
      <c r="AW481" s="13"/>
      <c r="AX481" s="13"/>
      <c r="AY481" s="13"/>
    </row>
    <row r="482" spans="1:51" x14ac:dyDescent="0.25">
      <c r="A482" s="13"/>
      <c r="B482" s="13"/>
      <c r="C482" s="13"/>
      <c r="D482" s="13"/>
      <c r="E482" s="13"/>
      <c r="F482" s="13"/>
      <c r="G482" s="6"/>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J482" s="13"/>
      <c r="AK482" s="13"/>
      <c r="AL482" s="13"/>
      <c r="AM482" s="13"/>
      <c r="AN482" s="13"/>
      <c r="AO482" s="13"/>
      <c r="AP482" s="13"/>
      <c r="AQ482" s="13"/>
      <c r="AR482" s="13"/>
      <c r="AS482" s="13"/>
      <c r="AT482" s="13"/>
      <c r="AU482" s="13"/>
      <c r="AV482" s="13"/>
      <c r="AW482" s="13"/>
      <c r="AX482" s="13"/>
      <c r="AY482" s="13"/>
    </row>
    <row r="483" spans="1:51" x14ac:dyDescent="0.25">
      <c r="A483" s="13"/>
      <c r="B483" s="13"/>
      <c r="C483" s="13"/>
      <c r="D483" s="13"/>
      <c r="E483" s="13"/>
      <c r="F483" s="13"/>
      <c r="G483" s="6"/>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J483" s="13"/>
      <c r="AK483" s="13"/>
      <c r="AL483" s="13"/>
      <c r="AM483" s="13"/>
      <c r="AN483" s="13"/>
      <c r="AO483" s="13"/>
      <c r="AP483" s="13"/>
      <c r="AQ483" s="13"/>
      <c r="AR483" s="13"/>
      <c r="AS483" s="13"/>
      <c r="AT483" s="13"/>
      <c r="AU483" s="13"/>
      <c r="AV483" s="13"/>
      <c r="AW483" s="13"/>
      <c r="AX483" s="13"/>
      <c r="AY483" s="13"/>
    </row>
    <row r="484" spans="1:51" x14ac:dyDescent="0.25">
      <c r="A484" s="13"/>
      <c r="B484" s="13"/>
      <c r="C484" s="13"/>
      <c r="D484" s="13"/>
      <c r="E484" s="13"/>
      <c r="F484" s="13"/>
      <c r="G484" s="6"/>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J484" s="13"/>
      <c r="AK484" s="13"/>
      <c r="AL484" s="13"/>
      <c r="AM484" s="13"/>
      <c r="AN484" s="13"/>
      <c r="AO484" s="13"/>
      <c r="AP484" s="13"/>
      <c r="AQ484" s="13"/>
      <c r="AR484" s="13"/>
      <c r="AS484" s="13"/>
      <c r="AT484" s="13"/>
      <c r="AU484" s="13"/>
      <c r="AV484" s="13"/>
      <c r="AW484" s="13"/>
      <c r="AX484" s="13"/>
      <c r="AY484" s="13"/>
    </row>
    <row r="485" spans="1:51" x14ac:dyDescent="0.25">
      <c r="A485" s="13"/>
      <c r="B485" s="13"/>
      <c r="C485" s="13"/>
      <c r="D485" s="13"/>
      <c r="E485" s="13"/>
      <c r="F485" s="13"/>
      <c r="G485" s="6"/>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J485" s="13"/>
      <c r="AK485" s="13"/>
      <c r="AL485" s="13"/>
      <c r="AM485" s="13"/>
      <c r="AN485" s="13"/>
      <c r="AO485" s="13"/>
      <c r="AP485" s="13"/>
      <c r="AQ485" s="13"/>
      <c r="AR485" s="13"/>
      <c r="AS485" s="13"/>
      <c r="AT485" s="13"/>
      <c r="AU485" s="13"/>
      <c r="AV485" s="13"/>
      <c r="AW485" s="13"/>
      <c r="AX485" s="13"/>
      <c r="AY485" s="13"/>
    </row>
    <row r="486" spans="1:51" x14ac:dyDescent="0.25">
      <c r="A486" s="13"/>
      <c r="B486" s="13"/>
      <c r="C486" s="13"/>
      <c r="D486" s="13"/>
      <c r="E486" s="13"/>
      <c r="F486" s="13"/>
      <c r="G486" s="6"/>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J486" s="13"/>
      <c r="AK486" s="13"/>
      <c r="AL486" s="13"/>
      <c r="AM486" s="13"/>
      <c r="AN486" s="13"/>
      <c r="AO486" s="13"/>
      <c r="AP486" s="13"/>
      <c r="AQ486" s="13"/>
      <c r="AR486" s="13"/>
      <c r="AS486" s="13"/>
      <c r="AT486" s="13"/>
      <c r="AU486" s="13"/>
      <c r="AV486" s="13"/>
      <c r="AW486" s="13"/>
      <c r="AX486" s="13"/>
      <c r="AY486" s="13"/>
    </row>
    <row r="487" spans="1:51" x14ac:dyDescent="0.25">
      <c r="A487" s="13"/>
      <c r="B487" s="13"/>
      <c r="C487" s="13"/>
      <c r="D487" s="13"/>
      <c r="E487" s="13"/>
      <c r="F487" s="13"/>
      <c r="G487" s="6"/>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c r="AK487" s="13"/>
      <c r="AL487" s="13"/>
      <c r="AM487" s="13"/>
      <c r="AN487" s="13"/>
      <c r="AO487" s="13"/>
      <c r="AP487" s="13"/>
      <c r="AQ487" s="13"/>
      <c r="AR487" s="13"/>
      <c r="AS487" s="13"/>
      <c r="AT487" s="13"/>
      <c r="AU487" s="13"/>
      <c r="AV487" s="13"/>
      <c r="AW487" s="13"/>
      <c r="AX487" s="13"/>
      <c r="AY487" s="13"/>
    </row>
    <row r="488" spans="1:51" x14ac:dyDescent="0.25">
      <c r="A488" s="13"/>
      <c r="B488" s="13"/>
      <c r="C488" s="13"/>
      <c r="D488" s="13"/>
      <c r="E488" s="13"/>
      <c r="F488" s="13"/>
      <c r="G488" s="6"/>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c r="AK488" s="13"/>
      <c r="AL488" s="13"/>
      <c r="AM488" s="13"/>
      <c r="AN488" s="13"/>
      <c r="AO488" s="13"/>
      <c r="AP488" s="13"/>
      <c r="AQ488" s="13"/>
      <c r="AR488" s="13"/>
      <c r="AS488" s="13"/>
      <c r="AT488" s="13"/>
      <c r="AU488" s="13"/>
      <c r="AV488" s="13"/>
      <c r="AW488" s="13"/>
      <c r="AX488" s="13"/>
      <c r="AY488" s="13"/>
    </row>
    <row r="489" spans="1:51" x14ac:dyDescent="0.25">
      <c r="A489" s="13"/>
      <c r="B489" s="13"/>
      <c r="C489" s="13"/>
      <c r="D489" s="13"/>
      <c r="E489" s="13"/>
      <c r="F489" s="13"/>
      <c r="G489" s="6"/>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c r="AK489" s="13"/>
      <c r="AL489" s="13"/>
      <c r="AM489" s="13"/>
      <c r="AN489" s="13"/>
      <c r="AO489" s="13"/>
      <c r="AP489" s="13"/>
      <c r="AQ489" s="13"/>
      <c r="AR489" s="13"/>
      <c r="AS489" s="13"/>
      <c r="AT489" s="13"/>
      <c r="AU489" s="13"/>
      <c r="AV489" s="13"/>
      <c r="AW489" s="13"/>
      <c r="AX489" s="13"/>
      <c r="AY489" s="13"/>
    </row>
    <row r="490" spans="1:51" x14ac:dyDescent="0.25">
      <c r="A490" s="13"/>
      <c r="B490" s="13"/>
      <c r="C490" s="13"/>
      <c r="D490" s="13"/>
      <c r="E490" s="13"/>
      <c r="F490" s="13"/>
      <c r="G490" s="6"/>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c r="AK490" s="13"/>
      <c r="AL490" s="13"/>
      <c r="AM490" s="13"/>
      <c r="AN490" s="13"/>
      <c r="AO490" s="13"/>
      <c r="AP490" s="13"/>
      <c r="AQ490" s="13"/>
      <c r="AR490" s="13"/>
      <c r="AS490" s="13"/>
      <c r="AT490" s="13"/>
      <c r="AU490" s="13"/>
      <c r="AV490" s="13"/>
      <c r="AW490" s="13"/>
      <c r="AX490" s="13"/>
      <c r="AY490" s="13"/>
    </row>
    <row r="491" spans="1:51" x14ac:dyDescent="0.25">
      <c r="A491" s="13"/>
      <c r="B491" s="13"/>
      <c r="C491" s="13"/>
      <c r="D491" s="13"/>
      <c r="E491" s="13"/>
      <c r="F491" s="13"/>
      <c r="G491" s="6"/>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c r="AK491" s="13"/>
      <c r="AL491" s="13"/>
      <c r="AM491" s="13"/>
      <c r="AN491" s="13"/>
      <c r="AO491" s="13"/>
      <c r="AP491" s="13"/>
      <c r="AQ491" s="13"/>
      <c r="AR491" s="13"/>
      <c r="AS491" s="13"/>
      <c r="AT491" s="13"/>
      <c r="AU491" s="13"/>
      <c r="AV491" s="13"/>
      <c r="AW491" s="13"/>
      <c r="AX491" s="13"/>
      <c r="AY491" s="13"/>
    </row>
    <row r="492" spans="1:51" x14ac:dyDescent="0.25">
      <c r="A492" s="13"/>
      <c r="B492" s="13"/>
      <c r="C492" s="13"/>
      <c r="D492" s="13"/>
      <c r="E492" s="13"/>
      <c r="F492" s="13"/>
      <c r="G492" s="6"/>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c r="AK492" s="13"/>
      <c r="AL492" s="13"/>
      <c r="AM492" s="13"/>
      <c r="AN492" s="13"/>
      <c r="AO492" s="13"/>
      <c r="AP492" s="13"/>
      <c r="AQ492" s="13"/>
      <c r="AR492" s="13"/>
      <c r="AS492" s="13"/>
      <c r="AT492" s="13"/>
      <c r="AU492" s="13"/>
      <c r="AV492" s="13"/>
      <c r="AW492" s="13"/>
      <c r="AX492" s="13"/>
      <c r="AY492" s="13"/>
    </row>
    <row r="493" spans="1:51" x14ac:dyDescent="0.25">
      <c r="A493" s="13"/>
      <c r="B493" s="13"/>
      <c r="C493" s="13"/>
      <c r="D493" s="13"/>
      <c r="E493" s="13"/>
      <c r="F493" s="13"/>
      <c r="G493" s="6"/>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c r="AK493" s="13"/>
      <c r="AL493" s="13"/>
      <c r="AM493" s="13"/>
      <c r="AN493" s="13"/>
      <c r="AO493" s="13"/>
      <c r="AP493" s="13"/>
      <c r="AQ493" s="13"/>
      <c r="AR493" s="13"/>
      <c r="AS493" s="13"/>
      <c r="AT493" s="13"/>
      <c r="AU493" s="13"/>
      <c r="AV493" s="13"/>
      <c r="AW493" s="13"/>
      <c r="AX493" s="13"/>
      <c r="AY493" s="13"/>
    </row>
    <row r="494" spans="1:51" x14ac:dyDescent="0.25">
      <c r="A494" s="13"/>
      <c r="B494" s="13"/>
      <c r="C494" s="13"/>
      <c r="D494" s="13"/>
      <c r="E494" s="13"/>
      <c r="F494" s="13"/>
      <c r="G494" s="6"/>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c r="AK494" s="13"/>
      <c r="AL494" s="13"/>
      <c r="AM494" s="13"/>
      <c r="AN494" s="13"/>
      <c r="AO494" s="13"/>
      <c r="AP494" s="13"/>
      <c r="AQ494" s="13"/>
      <c r="AR494" s="13"/>
      <c r="AS494" s="13"/>
      <c r="AT494" s="13"/>
      <c r="AU494" s="13"/>
      <c r="AV494" s="13"/>
      <c r="AW494" s="13"/>
      <c r="AX494" s="13"/>
      <c r="AY494" s="13"/>
    </row>
    <row r="495" spans="1:51" x14ac:dyDescent="0.25">
      <c r="A495" s="13"/>
      <c r="B495" s="13"/>
      <c r="C495" s="13"/>
      <c r="D495" s="13"/>
      <c r="E495" s="13"/>
      <c r="F495" s="13"/>
      <c r="G495" s="6"/>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c r="AK495" s="13"/>
      <c r="AL495" s="13"/>
      <c r="AM495" s="13"/>
      <c r="AN495" s="13"/>
      <c r="AO495" s="13"/>
      <c r="AP495" s="13"/>
      <c r="AQ495" s="13"/>
      <c r="AR495" s="13"/>
      <c r="AS495" s="13"/>
      <c r="AT495" s="13"/>
      <c r="AU495" s="13"/>
      <c r="AV495" s="13"/>
      <c r="AW495" s="13"/>
      <c r="AX495" s="13"/>
      <c r="AY495" s="13"/>
    </row>
    <row r="496" spans="1:51" x14ac:dyDescent="0.25">
      <c r="A496" s="13"/>
      <c r="B496" s="13"/>
      <c r="C496" s="13"/>
      <c r="D496" s="13"/>
      <c r="E496" s="13"/>
      <c r="F496" s="13"/>
      <c r="G496" s="6"/>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c r="AK496" s="13"/>
      <c r="AL496" s="13"/>
      <c r="AM496" s="13"/>
      <c r="AN496" s="13"/>
      <c r="AO496" s="13"/>
      <c r="AP496" s="13"/>
      <c r="AQ496" s="13"/>
      <c r="AR496" s="13"/>
      <c r="AS496" s="13"/>
      <c r="AT496" s="13"/>
      <c r="AU496" s="13"/>
      <c r="AV496" s="13"/>
      <c r="AW496" s="13"/>
      <c r="AX496" s="13"/>
      <c r="AY496" s="13"/>
    </row>
    <row r="497" spans="1:51" x14ac:dyDescent="0.25">
      <c r="A497" s="13"/>
      <c r="B497" s="13"/>
      <c r="C497" s="13"/>
      <c r="D497" s="13"/>
      <c r="E497" s="13"/>
      <c r="F497" s="13"/>
      <c r="G497" s="6"/>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c r="AK497" s="13"/>
      <c r="AL497" s="13"/>
      <c r="AM497" s="13"/>
      <c r="AN497" s="13"/>
      <c r="AO497" s="13"/>
      <c r="AP497" s="13"/>
      <c r="AQ497" s="13"/>
      <c r="AR497" s="13"/>
      <c r="AS497" s="13"/>
      <c r="AT497" s="13"/>
      <c r="AU497" s="13"/>
      <c r="AV497" s="13"/>
      <c r="AW497" s="13"/>
      <c r="AX497" s="13"/>
      <c r="AY497" s="13"/>
    </row>
    <row r="498" spans="1:51" x14ac:dyDescent="0.25">
      <c r="A498" s="13"/>
      <c r="B498" s="13"/>
      <c r="C498" s="13"/>
      <c r="D498" s="13"/>
      <c r="E498" s="13"/>
      <c r="F498" s="13"/>
      <c r="G498" s="6"/>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c r="AK498" s="13"/>
      <c r="AL498" s="13"/>
      <c r="AM498" s="13"/>
      <c r="AN498" s="13"/>
      <c r="AO498" s="13"/>
      <c r="AP498" s="13"/>
      <c r="AQ498" s="13"/>
      <c r="AR498" s="13"/>
      <c r="AS498" s="13"/>
      <c r="AT498" s="13"/>
      <c r="AU498" s="13"/>
      <c r="AV498" s="13"/>
      <c r="AW498" s="13"/>
      <c r="AX498" s="13"/>
      <c r="AY498" s="13"/>
    </row>
    <row r="499" spans="1:51" x14ac:dyDescent="0.25">
      <c r="A499" s="13"/>
      <c r="B499" s="13"/>
      <c r="C499" s="13"/>
      <c r="D499" s="13"/>
      <c r="E499" s="13"/>
      <c r="F499" s="13"/>
      <c r="G499" s="6"/>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c r="AK499" s="13"/>
      <c r="AL499" s="13"/>
      <c r="AM499" s="13"/>
      <c r="AN499" s="13"/>
      <c r="AO499" s="13"/>
      <c r="AP499" s="13"/>
      <c r="AQ499" s="13"/>
      <c r="AR499" s="13"/>
      <c r="AS499" s="13"/>
      <c r="AT499" s="13"/>
      <c r="AU499" s="13"/>
      <c r="AV499" s="13"/>
      <c r="AW499" s="13"/>
      <c r="AX499" s="13"/>
      <c r="AY499" s="13"/>
    </row>
  </sheetData>
  <autoFilter ref="A3:AI119" xr:uid="{A81350EF-B563-45CD-99DA-22212DCF2BD0}"/>
  <pageMargins left="0.75" right="0.75" top="1" bottom="1" header="0.5" footer="0.5"/>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A46A5-33D3-4FDF-A333-07C9E0EE5C6A}">
  <dimension ref="A1:H10"/>
  <sheetViews>
    <sheetView workbookViewId="0">
      <selection activeCell="H11" sqref="H11"/>
    </sheetView>
  </sheetViews>
  <sheetFormatPr defaultRowHeight="15" x14ac:dyDescent="0.25"/>
  <cols>
    <col min="2" max="2" width="16" style="22" bestFit="1" customWidth="1"/>
    <col min="3" max="3" width="52.28515625" bestFit="1" customWidth="1"/>
    <col min="4" max="4" width="61.28515625" customWidth="1"/>
    <col min="7" max="7" width="47.85546875" customWidth="1"/>
  </cols>
  <sheetData>
    <row r="1" spans="1:8" ht="16.5" thickBot="1" x14ac:dyDescent="0.3">
      <c r="A1" s="16">
        <v>7514</v>
      </c>
      <c r="B1" s="20">
        <v>1001017557514</v>
      </c>
      <c r="C1" s="17" t="s">
        <v>173</v>
      </c>
      <c r="D1" t="str">
        <f>A1&amp;" "&amp;C1</f>
        <v>7514 ЛЮБИТЕЛЬСКАЯ ОСТАНКИНСКАЯ вар ц/о в/у</v>
      </c>
      <c r="E1" t="s">
        <v>36</v>
      </c>
      <c r="F1">
        <f>VLOOKUP(B1,[2]КИ_ПФ!$B:$Q,16,0)</f>
        <v>30</v>
      </c>
      <c r="G1" t="str">
        <f>VLOOKUP(B1,[2]КИ_ПФ!$B:$C,2,0)</f>
        <v>ЛЮБИТЕЛЬСКАЯ ОСТАНКИНСКАЯ вар ц/о в/у</v>
      </c>
      <c r="H1">
        <v>1</v>
      </c>
    </row>
    <row r="2" spans="1:8" ht="16.5" thickBot="1" x14ac:dyDescent="0.3">
      <c r="A2" s="18">
        <v>7518</v>
      </c>
      <c r="B2" s="21">
        <v>1001017567518</v>
      </c>
      <c r="C2" s="19" t="s">
        <v>174</v>
      </c>
      <c r="D2" t="str">
        <f t="shared" ref="D2:D10" si="0">A2&amp;" "&amp;C2</f>
        <v>7518 ТЕЛЯЧЬЯ ГОСТ Останкино вар н/о в/у</v>
      </c>
      <c r="E2" t="s">
        <v>36</v>
      </c>
      <c r="F2">
        <f>VLOOKUP(B2,[2]КИ_ПФ!$B:$Q,16,0)</f>
        <v>30</v>
      </c>
      <c r="G2" t="str">
        <f>VLOOKUP(B2,[2]КИ_ПФ!$B:$C,2,0)</f>
        <v>ТЕЛЯЧЬЯ ГОСТ Останкино вар н/о в/у</v>
      </c>
      <c r="H2">
        <v>1</v>
      </c>
    </row>
    <row r="3" spans="1:8" ht="16.5" thickBot="1" x14ac:dyDescent="0.3">
      <c r="A3" s="18">
        <v>6929</v>
      </c>
      <c r="B3" s="21">
        <v>1001085476929</v>
      </c>
      <c r="C3" s="19" t="s">
        <v>175</v>
      </c>
      <c r="D3" t="str">
        <f t="shared" si="0"/>
        <v>6929 КАРБОНAД ДОМАШНИЙ ПМ к/в кр/к в/у</v>
      </c>
      <c r="E3" t="s">
        <v>36</v>
      </c>
      <c r="F3">
        <f>VLOOKUP(B3,[2]КИ_ПФ!$B:$Q,16,0)</f>
        <v>45</v>
      </c>
      <c r="G3" t="str">
        <f>VLOOKUP(B3,[2]КИ_ПФ!$B:$C,2,0)</f>
        <v>КАРБОНAД ДОМАШНИЙ ПМ к/в кр/к в/у</v>
      </c>
      <c r="H3">
        <v>1</v>
      </c>
    </row>
    <row r="4" spans="1:8" ht="16.5" thickBot="1" x14ac:dyDescent="0.3">
      <c r="A4" s="23">
        <v>614</v>
      </c>
      <c r="B4" s="24">
        <v>1001060720614</v>
      </c>
      <c r="C4" s="25" t="s">
        <v>176</v>
      </c>
      <c r="D4" t="s">
        <v>35</v>
      </c>
      <c r="E4" t="s">
        <v>36</v>
      </c>
      <c r="F4">
        <f>VLOOKUP(B4,[2]КИ_ПФ!$B:$Q,16,0)</f>
        <v>120</v>
      </c>
      <c r="G4" t="str">
        <f>VLOOKUP(B4,[2]КИ_ПФ!$B:$C,2,0)</f>
        <v>ПРАЗДНИЧНАЯ с/к в/с дек.спец.мгс</v>
      </c>
      <c r="H4">
        <v>1</v>
      </c>
    </row>
    <row r="5" spans="1:8" ht="16.5" thickBot="1" x14ac:dyDescent="0.3">
      <c r="A5" s="18">
        <v>7143</v>
      </c>
      <c r="B5" s="21">
        <v>1001060717143</v>
      </c>
      <c r="C5" s="19" t="s">
        <v>177</v>
      </c>
      <c r="D5" t="str">
        <f t="shared" si="0"/>
        <v>7143 БРАУНШВЕЙГСКАЯ ГОСТ с/к в/у 1/220 8шт.</v>
      </c>
      <c r="E5" t="s">
        <v>40</v>
      </c>
      <c r="F5">
        <f>VLOOKUP(B5,[2]КИ_ПФ!$B:$Q,16,0)</f>
        <v>120</v>
      </c>
      <c r="G5" t="str">
        <f>VLOOKUP(B5,[2]КИ_ПФ!$B:$C,2,0)</f>
        <v>БРАУНШВЕЙГСКАЯ ГОСТ с/к в/у 1/220 8шт.</v>
      </c>
      <c r="H5">
        <v>0.22</v>
      </c>
    </row>
    <row r="6" spans="1:8" ht="16.5" thickBot="1" x14ac:dyDescent="0.3">
      <c r="A6" s="16">
        <v>7710</v>
      </c>
      <c r="B6" s="20">
        <v>1001307587710</v>
      </c>
      <c r="C6" s="17" t="s">
        <v>178</v>
      </c>
      <c r="D6" t="str">
        <f t="shared" si="0"/>
        <v>7710 КРАКОВСКАЯ ГОСТ п/к н/о мгс 0.3кг</v>
      </c>
      <c r="E6" t="s">
        <v>40</v>
      </c>
      <c r="F6">
        <v>45</v>
      </c>
      <c r="G6" t="s">
        <v>178</v>
      </c>
      <c r="H6">
        <v>0.3</v>
      </c>
    </row>
    <row r="7" spans="1:8" ht="16.5" thickBot="1" x14ac:dyDescent="0.3">
      <c r="A7" s="18">
        <v>7456</v>
      </c>
      <c r="B7" s="21">
        <v>1001063097456</v>
      </c>
      <c r="C7" s="19" t="s">
        <v>179</v>
      </c>
      <c r="D7" t="str">
        <f t="shared" si="0"/>
        <v>7456 САЛЯМИ ФИНСКАЯ Папа может с/к в/у 1/150</v>
      </c>
      <c r="E7" t="s">
        <v>40</v>
      </c>
      <c r="F7">
        <f>VLOOKUP(B7,[2]КИ_ПФ!$B:$Q,16,0)</f>
        <v>90</v>
      </c>
      <c r="G7" t="str">
        <f>VLOOKUP(B7,[2]КИ_ПФ!$B:$C,2,0)</f>
        <v>САЛЯМИ ФИНСКАЯ Папа может с/к в/у 1/150</v>
      </c>
      <c r="H7">
        <v>0.15</v>
      </c>
    </row>
    <row r="8" spans="1:8" ht="16.5" thickBot="1" x14ac:dyDescent="0.3">
      <c r="A8" s="26">
        <v>7386</v>
      </c>
      <c r="B8" s="27">
        <v>1001067017386</v>
      </c>
      <c r="C8" s="28" t="s">
        <v>180</v>
      </c>
      <c r="D8" t="s">
        <v>141</v>
      </c>
      <c r="E8" t="s">
        <v>40</v>
      </c>
      <c r="F8">
        <f>VLOOKUP(B8,[2]КИ_ПФ!$B:$Q,16,0)</f>
        <v>90</v>
      </c>
      <c r="G8" t="str">
        <f>VLOOKUP(B8,[2]КИ_ПФ!$B:$C,2,0)</f>
        <v>БАРСЕЛОНА ПМ с/к в/у 1/150</v>
      </c>
      <c r="H8">
        <v>0.15</v>
      </c>
    </row>
    <row r="9" spans="1:8" ht="16.5" thickBot="1" x14ac:dyDescent="0.3">
      <c r="A9" s="18">
        <v>7344</v>
      </c>
      <c r="B9" s="21">
        <v>1001122287344</v>
      </c>
      <c r="C9" s="19" t="s">
        <v>181</v>
      </c>
      <c r="D9" t="str">
        <f t="shared" si="0"/>
        <v>7344 КОНСЕРВЫ МЯС.ГОВЯДИНА ТУШ. В/С 338г_ЧЗ</v>
      </c>
      <c r="E9" t="s">
        <v>40</v>
      </c>
      <c r="F9" t="str">
        <f>VLOOKUP(B9,[2]КИ_ПФ!$B:$Q,16,0)</f>
        <v>3 года</v>
      </c>
      <c r="G9" t="str">
        <f>VLOOKUP(B9,[2]КИ_ПФ!$B:$C,2,0)</f>
        <v>КОНСЕРВЫ МЯС.ГОВЯДИНА ТУШ. В/С 338г_ЧЗ</v>
      </c>
      <c r="H9">
        <v>0.33800000000000002</v>
      </c>
    </row>
    <row r="10" spans="1:8" ht="16.5" thickBot="1" x14ac:dyDescent="0.3">
      <c r="A10" s="18">
        <v>7345</v>
      </c>
      <c r="B10" s="21">
        <v>1001123677345</v>
      </c>
      <c r="C10" s="19" t="s">
        <v>182</v>
      </c>
      <c r="D10" t="str">
        <f t="shared" si="0"/>
        <v>7345 КОНСЕРВЫ МЯС.СВИНИНА ТУШ. В/С 325г_ЧЗ</v>
      </c>
      <c r="E10" t="s">
        <v>40</v>
      </c>
      <c r="F10" t="str">
        <f>VLOOKUP(B10,[2]КИ_ПФ!$B:$Q,16,0)</f>
        <v>3 года</v>
      </c>
      <c r="G10" t="str">
        <f>VLOOKUP(B10,[2]КИ_ПФ!$B:$C,2,0)</f>
        <v>КОНСЕРВЫ МЯС.СВИНИНА ТУШ. В/С 325г_ЧЗ</v>
      </c>
      <c r="H10">
        <v>0.32500000000000001</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BF83-AAFA-4489-867A-29467CD5AA2D}">
  <dimension ref="A1:B5"/>
  <sheetViews>
    <sheetView workbookViewId="0">
      <selection activeCell="A6" sqref="A6"/>
    </sheetView>
  </sheetViews>
  <sheetFormatPr defaultRowHeight="15" x14ac:dyDescent="0.25"/>
  <cols>
    <col min="1" max="1" width="70" bestFit="1" customWidth="1"/>
  </cols>
  <sheetData>
    <row r="1" spans="1:2" ht="16.5" thickBot="1" x14ac:dyDescent="0.3">
      <c r="A1" s="34" t="s">
        <v>73</v>
      </c>
      <c r="B1" s="17" t="s">
        <v>172</v>
      </c>
    </row>
    <row r="2" spans="1:2" ht="16.5" thickBot="1" x14ac:dyDescent="0.3">
      <c r="A2" s="35" t="s">
        <v>107</v>
      </c>
      <c r="B2" s="17" t="s">
        <v>172</v>
      </c>
    </row>
    <row r="3" spans="1:2" ht="16.5" thickBot="1" x14ac:dyDescent="0.3">
      <c r="A3" s="35" t="s">
        <v>138</v>
      </c>
      <c r="B3" s="17" t="s">
        <v>172</v>
      </c>
    </row>
    <row r="4" spans="1:2" ht="16.5" thickBot="1" x14ac:dyDescent="0.3">
      <c r="A4" s="35" t="s">
        <v>156</v>
      </c>
      <c r="B4" s="17" t="s">
        <v>172</v>
      </c>
    </row>
    <row r="5" spans="1:2" ht="16.5" thickBot="1" x14ac:dyDescent="0.3">
      <c r="A5" s="35" t="s">
        <v>157</v>
      </c>
      <c r="B5" s="17" t="s">
        <v>172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Sheet</vt:lpstr>
      <vt:lpstr>новинки</vt:lpstr>
      <vt:lpstr>вывод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Uaer4</cp:lastModifiedBy>
  <dcterms:created xsi:type="dcterms:W3CDTF">2026-08-31T08:09:42Z</dcterms:created>
  <dcterms:modified xsi:type="dcterms:W3CDTF">2026-09-04T12:49:09Z</dcterms:modified>
</cp:coreProperties>
</file>