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26,08 ПРС\"/>
    </mc:Choice>
  </mc:AlternateContent>
  <xr:revisionPtr revIDLastSave="0" documentId="13_ncr:1_{7963198A-60F6-45E8-8AFC-EF8AD68B9E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F3" i="1" l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<sst xmlns="http://schemas.openxmlformats.org/spreadsheetml/2006/main" count="677" uniqueCount="221">
  <si>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</si>
  <si>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</si>
  <si>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</si>
  <si>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</si>
  <si>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</si>
  <si>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</si>
  <si>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</si>
  <si>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</si>
  <si>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</si>
  <si>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</si>
  <si>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</si>
  <si>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</si>
  <si>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</si>
  <si>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</si>
  <si>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</si>
  <si>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</si>
  <si>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</si>
  <si>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</si>
  <si>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</si>
  <si>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</si>
  <si>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</si>
  <si>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</si>
  <si>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</si>
  <si>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</si>
  <si>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</si>
  <si>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</si>
  <si>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</si>
  <si>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</si>
  <si>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</si>
  <si>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</si>
  <si>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</si>
  <si>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</si>
  <si>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</si>
  <si>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</si>
  <si>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</si>
  <si>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</si>
  <si>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</si>
  <si>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</si>
  <si>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</si>
  <si>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</si>
  <si>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</si>
  <si>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</si>
  <si>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</si>
  <si>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</si>
  <si>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</si>
  <si>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</si>
  <si>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</si>
  <si>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</si>
  <si>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</si>
  <si>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</si>
  <si>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</si>
  <si>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</si>
  <si>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</si>
  <si>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</si>
  <si>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</si>
  <si>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</si>
  <si>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</si>
  <si>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</si>
  <si>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</si>
  <si>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</si>
  <si>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</si>
  <si>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</si>
  <si>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</si>
  <si>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</si>
  <si>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</si>
  <si>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</si>
  <si>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</si>
  <si>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</si>
  <si>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</si>
  <si>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</si>
  <si>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</si>
  <si>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</si>
  <si>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</si>
  <si>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</si>
  <si>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</si>
  <si>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</si>
  <si>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</si>
  <si>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</si>
  <si>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</si>
  <si>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</si>
  <si>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</si>
  <si>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</si>
  <si>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</si>
  <si>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</si>
  <si>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</si>
  <si>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</si>
  <si>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</si>
  <si>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</si>
  <si>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</si>
  <si>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</si>
  <si>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</si>
  <si>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</si>
  <si>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</si>
  <si>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</si>
  <si>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</si>
  <si>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</si>
  <si>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</si>
  <si>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</si>
  <si>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</si>
  <si>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</si>
  <si>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</si>
  <si>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</si>
  <si>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</si>
  <si>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</si>
  <si>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</si>
  <si>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</si>
  <si>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</si>
  <si>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</si>
  <si>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</si>
  <si>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</si>
  <si>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</si>
  <si>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</si>
  <si>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</si>
  <si>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</si>
  <si>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</si>
  <si>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</si>
  <si>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</si>
  <si>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</si>
  <si>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</si>
  <si>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</si>
  <si>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</si>
  <si>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</si>
  <si>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</si>
  <si>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</si>
  <si>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</si>
  <si>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</si>
  <si>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</si>
  <si>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</si>
  <si>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</si>
  <si>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</si>
  <si>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</si>
  <si>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</si>
  <si>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</si>
  <si>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</si>
  <si>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</si>
  <si>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</si>
  <si>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</si>
  <si>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</si>
  <si>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</si>
  <si>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</si>
  <si>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</si>
  <si>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</si>
  <si>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</si>
  <si>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</si>
  <si>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</si>
  <si>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</si>
  <si>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</si>
  <si>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</si>
  <si>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</si>
  <si>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</si>
  <si>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</si>
  <si>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</si>
  <si>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</si>
  <si>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</si>
  <si>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</si>
  <si>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</si>
  <si>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</si>
  <si>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</si>
  <si>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</si>
  <si>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</si>
  <si>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</si>
  <si>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</si>
  <si>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</si>
  <si>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</si>
  <si>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</si>
  <si>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</si>
  <si>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</si>
  <si>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</si>
  <si>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</si>
  <si>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</si>
  <si>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</si>
  <si>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</si>
  <si>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</si>
  <si>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</si>
  <si>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</si>
  <si>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</si>
  <si>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</si>
  <si>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</si>
  <si>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</si>
  <si>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</si>
  <si>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</si>
  <si>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</si>
  <si>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</si>
  <si>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</si>
  <si>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</si>
  <si>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</si>
  <si>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</si>
  <si>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</si>
  <si>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</si>
  <si>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</si>
  <si>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</si>
  <si>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</si>
  <si>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</si>
  <si>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</si>
  <si>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</si>
  <si>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</si>
  <si>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</si>
  <si>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</si>
  <si>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</si>
  <si>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</si>
  <si>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</si>
  <si>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</si>
  <si>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</si>
  <si>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</si>
  <si>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</si>
  <si>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</si>
  <si>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</si>
  <si>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</si>
  <si>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</si>
  <si>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</si>
  <si>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</si>
  <si>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</si>
  <si>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</si>
  <si>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</si>
  <si>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</si>
  <si>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</si>
  <si>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</si>
  <si>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</si>
  <si>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</si>
  <si>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</si>
  <si>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г. Донецк ул. Чаадаева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</si>
</sst>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92"/>
  <sheetViews>
    <sheetView tabSelected="1" zoomScale="85" zoomScaleNormal="85" workbookViewId="0">
      <pane ySplit="9" topLeftCell="A147" activePane="bottomLeft" state="frozen"/>
      <selection pane="bottomLeft" activeCell="J174" sqref="J17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130438384</v>
      </c>
      <c r="E1" s="155" t="s">
        <v>219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46264</v>
      </c>
      <c r="E3" s="7" t="s">
        <v>2</v>
      </c>
      <c r="F3" s="55">
        <f>D3+3</f>
        <v>46267</v>
      </c>
      <c r="G3" s="158" t="s">
        <v>220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hidden="1" customHeight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1">E13</f>
        <v>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hidden="1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hidden="1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hidden="1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1"/>
        <v>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hidden="1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22"/>
    </row>
    <row r="18" spans="1:67" ht="16.5" hidden="1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hidden="1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hidden="1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customHeight="1" thickTop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>
        <v>80</v>
      </c>
      <c r="F23" s="23">
        <v>0.4</v>
      </c>
      <c r="G23" s="23">
        <f t="shared" si="2"/>
        <v>32</v>
      </c>
      <c r="H23" s="14">
        <v>3.2</v>
      </c>
      <c r="I23" s="14">
        <v>60</v>
      </c>
      <c r="J23" s="29"/>
      <c r="L23" s="122"/>
    </row>
    <row r="24" spans="1:67" s="63" customFormat="1" ht="16.5" hidden="1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hidden="1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/>
      <c r="F25" s="60">
        <v>0.4</v>
      </c>
      <c r="G25" s="23">
        <f t="shared" ref="G25:G33" si="4">E25*F25</f>
        <v>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hidden="1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4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hidden="1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>
        <v>90</v>
      </c>
      <c r="F29" s="23">
        <v>0.4</v>
      </c>
      <c r="G29" s="23">
        <f t="shared" si="4"/>
        <v>36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>
        <v>210</v>
      </c>
      <c r="F30" s="23">
        <v>0.4</v>
      </c>
      <c r="G30" s="23">
        <f t="shared" si="4"/>
        <v>84</v>
      </c>
      <c r="H30" s="14">
        <v>3.2</v>
      </c>
      <c r="I30" s="14">
        <v>60</v>
      </c>
      <c r="J30" s="61"/>
      <c r="L30" s="122"/>
    </row>
    <row r="31" spans="1:67" ht="16.5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>
        <v>122</v>
      </c>
      <c r="F31" s="23">
        <v>0.4</v>
      </c>
      <c r="G31" s="23">
        <f t="shared" si="4"/>
        <v>48.800000000000004</v>
      </c>
      <c r="H31" s="14">
        <v>3.2</v>
      </c>
      <c r="I31" s="14">
        <v>60</v>
      </c>
      <c r="J31" s="29"/>
      <c r="L31" s="122"/>
    </row>
    <row r="32" spans="1:67" s="63" customFormat="1" ht="16.5" hidden="1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4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x14ac:dyDescent="0.25">
      <c r="A33" s="58">
        <v>7231</v>
      </c>
      <c r="B33" s="56" t="s">
        <v>33</v>
      </c>
      <c r="C33" s="57" t="s">
        <v>20</v>
      </c>
      <c r="D33" s="72">
        <v>1001013957231</v>
      </c>
      <c r="E33" s="24">
        <v>240</v>
      </c>
      <c r="F33" s="60">
        <v>0.3</v>
      </c>
      <c r="G33" s="23">
        <f t="shared" si="4"/>
        <v>72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hidden="1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5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hidden="1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hidden="1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hidden="1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5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hidden="1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5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hidden="1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/>
      <c r="F42" s="60">
        <v>1.5</v>
      </c>
      <c r="G42" s="23">
        <f t="shared" si="5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hidden="1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5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hidden="1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/>
      <c r="F45" s="60">
        <v>1.5</v>
      </c>
      <c r="G45" s="23">
        <f t="shared" si="5"/>
        <v>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hidden="1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5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hidden="1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6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>
        <v>94</v>
      </c>
      <c r="F49" s="60">
        <v>0.36</v>
      </c>
      <c r="G49" s="23">
        <f t="shared" si="6"/>
        <v>33.839999999999996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hidden="1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6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>
        <v>150</v>
      </c>
      <c r="F52" s="60">
        <v>0.4</v>
      </c>
      <c r="G52" s="23">
        <f t="shared" si="6"/>
        <v>60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hidden="1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6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hidden="1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40</v>
      </c>
      <c r="F55" s="60">
        <v>0.33</v>
      </c>
      <c r="G55" s="23">
        <f>E55*F55</f>
        <v>13.200000000000001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hidden="1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>
        <v>200</v>
      </c>
      <c r="F58" s="60">
        <v>0.4</v>
      </c>
      <c r="G58" s="23">
        <f t="shared" si="6"/>
        <v>80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>
        <v>100</v>
      </c>
      <c r="F59" s="23">
        <v>0.41</v>
      </c>
      <c r="G59" s="23">
        <f t="shared" si="6"/>
        <v>41</v>
      </c>
      <c r="H59" s="14">
        <v>4.0999999999999996</v>
      </c>
      <c r="I59" s="14">
        <v>50</v>
      </c>
      <c r="J59" s="29"/>
      <c r="L59" s="122"/>
    </row>
    <row r="60" spans="1:67" ht="16.5" hidden="1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>
        <v>300</v>
      </c>
      <c r="F61" s="23">
        <v>0.41</v>
      </c>
      <c r="G61" s="23">
        <f t="shared" si="6"/>
        <v>122.99999999999999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>
        <v>80</v>
      </c>
      <c r="F62" s="23">
        <v>0.41</v>
      </c>
      <c r="G62" s="23">
        <f t="shared" si="6"/>
        <v>32.799999999999997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250</v>
      </c>
      <c r="F63" s="23">
        <v>0.4</v>
      </c>
      <c r="G63" s="23">
        <f t="shared" si="6"/>
        <v>100</v>
      </c>
      <c r="H63" s="14">
        <v>2.4</v>
      </c>
      <c r="I63" s="14">
        <v>50</v>
      </c>
      <c r="J63" s="29"/>
      <c r="L63" s="122"/>
    </row>
    <row r="64" spans="1:67" ht="16.5" hidden="1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hidden="1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46" t="s">
        <v>196</v>
      </c>
      <c r="L65" s="122"/>
    </row>
    <row r="66" spans="1:12" ht="16.5" hidden="1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hidden="1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  <c r="L67" s="122"/>
    </row>
    <row r="68" spans="1:12" ht="16.5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>
        <v>90</v>
      </c>
      <c r="F68" s="23">
        <v>0.3</v>
      </c>
      <c r="G68" s="23">
        <f t="shared" si="6"/>
        <v>27</v>
      </c>
      <c r="H68" s="14">
        <v>2.1</v>
      </c>
      <c r="I68" s="14">
        <v>50</v>
      </c>
      <c r="J68" s="29"/>
      <c r="L68" s="122"/>
    </row>
    <row r="69" spans="1:12" ht="16.5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>
        <v>150</v>
      </c>
      <c r="F69" s="23">
        <v>0.3</v>
      </c>
      <c r="G69" s="23">
        <f t="shared" si="6"/>
        <v>45</v>
      </c>
      <c r="H69" s="14">
        <v>2.4</v>
      </c>
      <c r="I69" s="14">
        <v>45</v>
      </c>
      <c r="J69" s="29"/>
      <c r="L69" s="122"/>
    </row>
    <row r="70" spans="1:12" ht="16.5" hidden="1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hidden="1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hidden="1" customHeight="1" thickBot="1" x14ac:dyDescent="0.25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hidden="1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hidden="1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hidden="1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  <c r="L75" s="122"/>
    </row>
    <row r="76" spans="1:12" ht="16.5" hidden="1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  <c r="L76" s="122"/>
    </row>
    <row r="77" spans="1:12" ht="16.5" hidden="1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hidden="1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/>
      <c r="F78" s="23">
        <v>1</v>
      </c>
      <c r="G78" s="23">
        <f t="shared" si="7"/>
        <v>0</v>
      </c>
      <c r="H78" s="14">
        <v>3</v>
      </c>
      <c r="I78" s="14">
        <v>45</v>
      </c>
      <c r="J78" s="29"/>
      <c r="L78" s="122"/>
    </row>
    <row r="79" spans="1:12" ht="16.5" hidden="1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hidden="1" customHeight="1" thickBot="1" x14ac:dyDescent="0.25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  <c r="L80" s="122"/>
    </row>
    <row r="81" spans="1:12" ht="16.5" hidden="1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hidden="1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hidden="1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hidden="1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hidden="1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hidden="1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/>
      <c r="F86" s="60">
        <v>0.81</v>
      </c>
      <c r="G86" s="23">
        <f t="shared" si="9"/>
        <v>0</v>
      </c>
      <c r="H86" s="61">
        <v>4.8600000000000003</v>
      </c>
      <c r="I86" s="61">
        <v>45</v>
      </c>
      <c r="J86" s="61"/>
      <c r="L86" s="122"/>
    </row>
    <row r="87" spans="1:12" ht="16.5" hidden="1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/>
      <c r="F87" s="60">
        <v>0.84</v>
      </c>
      <c r="G87" s="23">
        <f>E87*F87</f>
        <v>0</v>
      </c>
      <c r="H87" s="61">
        <v>5.04</v>
      </c>
      <c r="I87" s="61">
        <v>50</v>
      </c>
      <c r="J87" s="61"/>
      <c r="L87" s="122"/>
    </row>
    <row r="88" spans="1:12" ht="16.5" hidden="1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/>
      <c r="F88" s="60">
        <v>0.63</v>
      </c>
      <c r="G88" s="23">
        <f t="shared" ref="G88:G89" si="10">E88</f>
        <v>0</v>
      </c>
      <c r="H88" s="61">
        <v>5.04</v>
      </c>
      <c r="I88" s="61">
        <v>50</v>
      </c>
      <c r="J88" s="61"/>
      <c r="L88" s="122"/>
    </row>
    <row r="89" spans="1:12" ht="16.5" hidden="1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/>
      <c r="F89" s="60">
        <v>0.7</v>
      </c>
      <c r="G89" s="23">
        <f t="shared" si="10"/>
        <v>0</v>
      </c>
      <c r="H89" s="61">
        <v>5.6</v>
      </c>
      <c r="I89" s="61">
        <v>50</v>
      </c>
      <c r="J89" s="61"/>
      <c r="L89" s="122"/>
    </row>
    <row r="90" spans="1:12" ht="16.5" hidden="1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/>
      <c r="F90" s="23">
        <v>0.33</v>
      </c>
      <c r="G90" s="23">
        <f t="shared" ref="G90:G107" si="11">E90*F90</f>
        <v>0</v>
      </c>
      <c r="H90" s="14">
        <v>2.64</v>
      </c>
      <c r="I90" s="14">
        <v>45</v>
      </c>
      <c r="J90" s="53" t="s">
        <v>170</v>
      </c>
      <c r="L90" s="122"/>
    </row>
    <row r="91" spans="1:12" ht="16.5" hidden="1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hidden="1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  <c r="L92" s="122"/>
    </row>
    <row r="93" spans="1:12" ht="16.5" hidden="1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  <c r="L93" s="122"/>
    </row>
    <row r="94" spans="1:12" ht="16.5" hidden="1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/>
      <c r="F94" s="23">
        <v>0.35</v>
      </c>
      <c r="G94" s="23">
        <f t="shared" si="11"/>
        <v>0</v>
      </c>
      <c r="H94" s="14">
        <v>2.8</v>
      </c>
      <c r="I94" s="14">
        <v>45</v>
      </c>
      <c r="J94" s="29"/>
      <c r="L94" s="122"/>
    </row>
    <row r="95" spans="1:12" ht="16.5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>
        <v>150</v>
      </c>
      <c r="F95" s="23">
        <v>0.35</v>
      </c>
      <c r="G95" s="23">
        <f t="shared" si="11"/>
        <v>52.5</v>
      </c>
      <c r="H95" s="14">
        <v>2.8</v>
      </c>
      <c r="I95" s="14">
        <v>50</v>
      </c>
      <c r="J95" s="29"/>
      <c r="L95" s="122"/>
    </row>
    <row r="96" spans="1:12" ht="15.75" hidden="1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70</v>
      </c>
      <c r="F97" s="23">
        <v>0.28000000000000003</v>
      </c>
      <c r="G97" s="23">
        <f t="shared" si="11"/>
        <v>19.600000000000001</v>
      </c>
      <c r="H97" s="14">
        <v>2.2400000000000002</v>
      </c>
      <c r="I97" s="14">
        <v>45</v>
      </c>
      <c r="J97" s="50"/>
      <c r="L97" s="122"/>
    </row>
    <row r="98" spans="1:67" ht="15.75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>
        <v>150</v>
      </c>
      <c r="F98" s="23">
        <v>0.35</v>
      </c>
      <c r="G98" s="23">
        <f t="shared" si="11"/>
        <v>52.5</v>
      </c>
      <c r="H98" s="14">
        <v>2.8</v>
      </c>
      <c r="I98" s="14">
        <v>50</v>
      </c>
      <c r="J98" s="50"/>
      <c r="L98" s="122"/>
    </row>
    <row r="99" spans="1:67" ht="15.75" hidden="1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/>
      <c r="F99" s="23">
        <v>0.28000000000000003</v>
      </c>
      <c r="G99" s="23">
        <f t="shared" si="11"/>
        <v>0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150</v>
      </c>
      <c r="F100" s="23">
        <v>0.35</v>
      </c>
      <c r="G100" s="23">
        <f t="shared" si="11"/>
        <v>52.5</v>
      </c>
      <c r="H100" s="14">
        <v>2.8</v>
      </c>
      <c r="I100" s="14">
        <v>50</v>
      </c>
      <c r="J100" s="50"/>
      <c r="L100" s="122"/>
    </row>
    <row r="101" spans="1:67" ht="15.75" hidden="1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  <c r="L101" s="122"/>
    </row>
    <row r="102" spans="1:67" ht="15.75" hidden="1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>
        <v>150</v>
      </c>
      <c r="F103" s="23">
        <v>0.28000000000000003</v>
      </c>
      <c r="G103" s="23">
        <f t="shared" si="11"/>
        <v>42.000000000000007</v>
      </c>
      <c r="H103" s="14">
        <v>2.2400000000000002</v>
      </c>
      <c r="I103" s="14">
        <v>45</v>
      </c>
      <c r="J103" s="50"/>
      <c r="L103" s="122"/>
    </row>
    <row r="104" spans="1:67" ht="15.75" hidden="1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hidden="1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hidden="1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hidden="1" customHeight="1" thickBot="1" x14ac:dyDescent="0.25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hidden="1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hidden="1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hidden="1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 t="shared" si="12"/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hidden="1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108">
        <v>4</v>
      </c>
      <c r="I111" s="14">
        <v>120</v>
      </c>
      <c r="J111" s="29"/>
      <c r="L111" s="122"/>
    </row>
    <row r="112" spans="1:67" ht="16.5" hidden="1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  <c r="L112" s="122"/>
    </row>
    <row r="113" spans="1:12" ht="16.5" hidden="1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hidden="1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hidden="1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  <c r="L115" s="122"/>
    </row>
    <row r="116" spans="1:12" ht="16.5" hidden="1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13"/>
        <v>0</v>
      </c>
      <c r="H116" s="14">
        <v>1.76</v>
      </c>
      <c r="I116" s="14">
        <v>120</v>
      </c>
      <c r="J116" s="29"/>
      <c r="L116" s="122"/>
    </row>
    <row r="117" spans="1:12" ht="16.5" hidden="1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hidden="1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>
        <v>0</v>
      </c>
      <c r="F119" s="23">
        <v>0.25</v>
      </c>
      <c r="G119" s="23">
        <f t="shared" si="13"/>
        <v>0</v>
      </c>
      <c r="H119" s="14">
        <v>2</v>
      </c>
      <c r="I119" s="14">
        <v>120</v>
      </c>
      <c r="J119" s="29"/>
      <c r="L119" s="122"/>
    </row>
    <row r="120" spans="1:12" ht="16.5" hidden="1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  <c r="L120" s="122"/>
    </row>
    <row r="121" spans="1:12" ht="16.5" hidden="1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>
        <v>0</v>
      </c>
      <c r="F122" s="23">
        <v>0.25</v>
      </c>
      <c r="G122" s="23">
        <f t="shared" si="13"/>
        <v>0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>
        <v>0</v>
      </c>
      <c r="F123" s="23">
        <v>0.25</v>
      </c>
      <c r="G123" s="23">
        <f t="shared" si="13"/>
        <v>0</v>
      </c>
      <c r="H123" s="14">
        <v>2</v>
      </c>
      <c r="I123" s="14">
        <v>120</v>
      </c>
      <c r="J123" s="29"/>
      <c r="L123" s="122"/>
    </row>
    <row r="124" spans="1:12" ht="16.5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>
        <v>60</v>
      </c>
      <c r="F124" s="23">
        <v>0.25</v>
      </c>
      <c r="G124" s="23">
        <f t="shared" si="13"/>
        <v>15</v>
      </c>
      <c r="H124" s="14">
        <v>2</v>
      </c>
      <c r="I124" s="14">
        <v>120</v>
      </c>
      <c r="J124" s="29"/>
      <c r="L124" s="122"/>
    </row>
    <row r="125" spans="1:12" ht="16.5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>
        <v>150</v>
      </c>
      <c r="F125" s="23">
        <v>0.25</v>
      </c>
      <c r="G125" s="23">
        <f t="shared" si="13"/>
        <v>37.5</v>
      </c>
      <c r="H125" s="14">
        <v>2</v>
      </c>
      <c r="I125" s="14">
        <v>120</v>
      </c>
      <c r="J125" s="29"/>
      <c r="L125" s="122"/>
    </row>
    <row r="126" spans="1:12" ht="16.5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>
        <v>250</v>
      </c>
      <c r="F126" s="23">
        <v>0.22</v>
      </c>
      <c r="G126" s="23">
        <f t="shared" si="13"/>
        <v>55</v>
      </c>
      <c r="H126" s="14">
        <v>1.76</v>
      </c>
      <c r="I126" s="14">
        <v>120</v>
      </c>
      <c r="J126" s="29"/>
      <c r="L126" s="122"/>
    </row>
    <row r="127" spans="1:12" ht="16.5" hidden="1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hidden="1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  <c r="L128" s="122"/>
    </row>
    <row r="129" spans="1:67" ht="16.5" hidden="1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  <c r="L129" s="122"/>
    </row>
    <row r="130" spans="1:67" ht="16.5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>
        <v>200</v>
      </c>
      <c r="F130" s="23">
        <v>0.15</v>
      </c>
      <c r="G130" s="23">
        <f t="shared" si="15"/>
        <v>30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>
        <v>260</v>
      </c>
      <c r="F131" s="23">
        <v>0.12</v>
      </c>
      <c r="G131" s="23">
        <f t="shared" si="15"/>
        <v>31.2</v>
      </c>
      <c r="H131" s="14">
        <v>0.96</v>
      </c>
      <c r="I131" s="14">
        <v>60</v>
      </c>
      <c r="J131" s="29"/>
      <c r="L131" s="122"/>
    </row>
    <row r="132" spans="1:67" ht="16.5" hidden="1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/>
      <c r="F132" s="23">
        <v>0.1</v>
      </c>
      <c r="G132" s="23">
        <f t="shared" si="15"/>
        <v>0</v>
      </c>
      <c r="H132" s="14">
        <v>1</v>
      </c>
      <c r="I132" s="14">
        <v>60</v>
      </c>
      <c r="J132" s="53" t="s">
        <v>205</v>
      </c>
      <c r="L132" s="122"/>
    </row>
    <row r="133" spans="1:67" ht="16.5" customHeight="1" x14ac:dyDescent="0.25">
      <c r="A133" s="145">
        <v>7616</v>
      </c>
      <c r="B133" s="54" t="s">
        <v>206</v>
      </c>
      <c r="C133" s="51" t="s">
        <v>20</v>
      </c>
      <c r="D133" s="52">
        <v>1001062507616</v>
      </c>
      <c r="E133" s="24">
        <v>150</v>
      </c>
      <c r="F133" s="23">
        <v>0.1</v>
      </c>
      <c r="G133" s="23">
        <f t="shared" si="15"/>
        <v>15</v>
      </c>
      <c r="H133" s="14">
        <v>1.4</v>
      </c>
      <c r="I133" s="14">
        <v>60</v>
      </c>
      <c r="J133" s="53" t="s">
        <v>207</v>
      </c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>
        <v>100</v>
      </c>
      <c r="F134" s="23">
        <v>0.09</v>
      </c>
      <c r="G134" s="23">
        <f t="shared" si="15"/>
        <v>9</v>
      </c>
      <c r="H134" s="14">
        <v>0.9</v>
      </c>
      <c r="I134" s="14">
        <v>60</v>
      </c>
      <c r="J134" s="29"/>
      <c r="L134" s="122"/>
    </row>
    <row r="135" spans="1:67" ht="16.5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>
        <v>120</v>
      </c>
      <c r="F135" s="23">
        <v>0.09</v>
      </c>
      <c r="G135" s="23">
        <f t="shared" si="15"/>
        <v>10.799999999999999</v>
      </c>
      <c r="H135" s="14">
        <v>0.9</v>
      </c>
      <c r="I135" s="14">
        <v>60</v>
      </c>
      <c r="J135" s="29"/>
      <c r="L135" s="122"/>
    </row>
    <row r="136" spans="1:67" ht="16.5" hidden="1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hidden="1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hidden="1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hidden="1" customHeight="1" thickBot="1" x14ac:dyDescent="0.25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hidden="1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hidden="1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hidden="1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hidden="1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/>
      <c r="F143" s="60">
        <v>1.35</v>
      </c>
      <c r="G143" s="23">
        <f t="shared" ref="G143:G146" si="16">E143</f>
        <v>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hidden="1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 t="shared" si="16"/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hidden="1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hidden="1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customHeight="1" x14ac:dyDescent="0.25">
      <c r="A147" s="58">
        <v>3215</v>
      </c>
      <c r="B147" s="56" t="s">
        <v>175</v>
      </c>
      <c r="C147" s="57" t="s">
        <v>20</v>
      </c>
      <c r="D147" s="112">
        <v>1001094053215</v>
      </c>
      <c r="E147" s="24">
        <v>0</v>
      </c>
      <c r="F147" s="60">
        <v>0.4</v>
      </c>
      <c r="G147" s="23">
        <f t="shared" ref="G147:G150" si="17">E147*F147</f>
        <v>0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>
        <v>120</v>
      </c>
      <c r="F148" s="60">
        <v>0.4</v>
      </c>
      <c r="G148" s="23">
        <f t="shared" si="17"/>
        <v>48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hidden="1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hidden="1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hidden="1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/>
      <c r="F151" s="60">
        <v>0.1</v>
      </c>
      <c r="G151" s="23">
        <f>E151*F151</f>
        <v>0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hidden="1" customHeight="1" thickBot="1" x14ac:dyDescent="0.25">
      <c r="A152" s="145">
        <v>7651</v>
      </c>
      <c r="B152" s="56" t="s">
        <v>197</v>
      </c>
      <c r="C152" s="57" t="s">
        <v>20</v>
      </c>
      <c r="D152" s="112">
        <v>1001097767651</v>
      </c>
      <c r="E152" s="24"/>
      <c r="F152" s="60">
        <v>0.1</v>
      </c>
      <c r="G152" s="23">
        <f>E152*F152</f>
        <v>0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hidden="1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hidden="1" customHeight="1" thickTop="1" thickBot="1" x14ac:dyDescent="0.25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hidden="1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hidden="1" customHeight="1" thickTop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hidden="1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8">E157*F157</f>
        <v>0</v>
      </c>
      <c r="H157" s="14">
        <v>1.8</v>
      </c>
      <c r="I157" s="14">
        <v>50</v>
      </c>
      <c r="J157" s="29"/>
      <c r="L157" s="122"/>
    </row>
    <row r="158" spans="1:67" ht="16.5" hidden="1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>
        <v>180</v>
      </c>
      <c r="F159" s="23">
        <v>0.3</v>
      </c>
      <c r="G159" s="23">
        <f t="shared" si="18"/>
        <v>54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>
        <v>90</v>
      </c>
      <c r="F160" s="23">
        <v>0.18</v>
      </c>
      <c r="G160" s="23">
        <f t="shared" si="18"/>
        <v>16.2</v>
      </c>
      <c r="H160" s="14">
        <v>1.8</v>
      </c>
      <c r="I160" s="14">
        <v>50</v>
      </c>
      <c r="J160" s="29"/>
      <c r="L160" s="122"/>
    </row>
    <row r="161" spans="1:12" ht="16.5" customHeight="1" x14ac:dyDescent="0.25">
      <c r="A161" s="58">
        <v>6279</v>
      </c>
      <c r="B161" s="35" t="s">
        <v>98</v>
      </c>
      <c r="C161" s="51" t="s">
        <v>20</v>
      </c>
      <c r="D161" s="52">
        <v>1001220286279</v>
      </c>
      <c r="E161" s="24">
        <v>300</v>
      </c>
      <c r="F161" s="23">
        <v>0.15</v>
      </c>
      <c r="G161" s="23">
        <f t="shared" si="18"/>
        <v>45</v>
      </c>
      <c r="H161" s="14">
        <v>1.2</v>
      </c>
      <c r="I161" s="14">
        <v>45</v>
      </c>
      <c r="J161" s="29"/>
      <c r="L161" s="122"/>
    </row>
    <row r="162" spans="1:12" ht="16.5" hidden="1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>
        <v>126</v>
      </c>
      <c r="F163" s="23">
        <v>0.1</v>
      </c>
      <c r="G163" s="23">
        <f t="shared" si="18"/>
        <v>12.600000000000001</v>
      </c>
      <c r="H163" s="14">
        <v>1</v>
      </c>
      <c r="I163" s="14">
        <v>45</v>
      </c>
      <c r="J163" s="29"/>
      <c r="L163" s="122"/>
    </row>
    <row r="164" spans="1:12" ht="16.5" customHeight="1" x14ac:dyDescent="0.25">
      <c r="A164" s="58">
        <v>6754</v>
      </c>
      <c r="B164" s="35" t="s">
        <v>177</v>
      </c>
      <c r="C164" s="51" t="s">
        <v>20</v>
      </c>
      <c r="D164" s="52">
        <v>1001225406754</v>
      </c>
      <c r="E164" s="24">
        <v>0</v>
      </c>
      <c r="F164" s="23">
        <v>0.09</v>
      </c>
      <c r="G164" s="23">
        <f t="shared" si="18"/>
        <v>0</v>
      </c>
      <c r="H164" s="14">
        <v>0.72</v>
      </c>
      <c r="I164" s="14">
        <v>60</v>
      </c>
      <c r="J164" s="29"/>
      <c r="L164" s="122"/>
    </row>
    <row r="165" spans="1:12" ht="16.5" customHeight="1" thickBot="1" x14ac:dyDescent="0.3">
      <c r="A165" s="58">
        <v>6208</v>
      </c>
      <c r="B165" s="35" t="s">
        <v>99</v>
      </c>
      <c r="C165" s="51" t="s">
        <v>20</v>
      </c>
      <c r="D165" s="52">
        <v>1001220226208</v>
      </c>
      <c r="E165" s="24">
        <v>50</v>
      </c>
      <c r="F165" s="23">
        <v>0.15</v>
      </c>
      <c r="G165" s="23">
        <f t="shared" si="18"/>
        <v>7.5</v>
      </c>
      <c r="H165" s="14">
        <v>1.5</v>
      </c>
      <c r="I165" s="14">
        <v>45</v>
      </c>
      <c r="J165" s="29"/>
      <c r="L165" s="122"/>
    </row>
    <row r="166" spans="1:12" ht="16.5" hidden="1" customHeight="1" x14ac:dyDescent="0.3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  <c r="L166" s="122"/>
    </row>
    <row r="167" spans="1:12" ht="16.5" hidden="1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/>
      <c r="F167" s="23">
        <v>0.1</v>
      </c>
      <c r="G167" s="23">
        <f t="shared" si="18"/>
        <v>0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5022</v>
      </c>
      <c r="F168" s="17"/>
      <c r="G168" s="17">
        <f>SUM(G11:G167)</f>
        <v>1434.54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2026-08-26T11:16:31Z</dcterms:modified>
</cp:coreProperties>
</file>