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26,08 Малахутин\"/>
    </mc:Choice>
  </mc:AlternateContent>
  <xr:revisionPtr revIDLastSave="0" documentId="13_ncr:1_{FE1F207A-687A-4E7A-882B-ADE19448E6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<sst xmlns="http://schemas.openxmlformats.org/spreadsheetml/2006/main" count="677" uniqueCount="221">
  <si>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</si>
  <si>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</si>
  <si>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</si>
  <si>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</si>
  <si>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</si>
  <si>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</si>
  <si>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</si>
  <si>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</si>
  <si>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</si>
  <si>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</si>
  <si>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</si>
  <si>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</si>
  <si>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</si>
  <si>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</si>
  <si>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</si>
  <si>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</si>
  <si>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</si>
  <si>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</si>
  <si>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</si>
  <si>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</si>
  <si>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</si>
  <si>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</si>
  <si>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</si>
  <si>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</si>
  <si>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</si>
  <si>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</si>
  <si>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</si>
  <si>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</si>
  <si>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</si>
  <si>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</si>
  <si>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</si>
  <si>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</si>
  <si>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</si>
  <si>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</si>
  <si>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</si>
  <si>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</si>
  <si>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</si>
  <si>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</si>
  <si>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</si>
  <si>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</si>
  <si>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</si>
  <si>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</si>
  <si>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</si>
  <si>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</si>
  <si>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</si>
  <si>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</si>
  <si>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</si>
  <si>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</si>
  <si>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</si>
  <si>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</si>
  <si>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</si>
  <si>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</si>
  <si>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</si>
  <si>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</si>
  <si>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</si>
  <si>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</si>
  <si>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</si>
  <si>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</si>
  <si>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</si>
  <si>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</si>
  <si>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</si>
  <si>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</si>
  <si>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</si>
  <si>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</si>
  <si>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</si>
  <si>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</si>
  <si>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</si>
  <si>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</si>
  <si>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</si>
  <si>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</si>
  <si>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</si>
  <si>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</si>
  <si>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</si>
  <si>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</si>
  <si>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</si>
  <si>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</si>
  <si>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</si>
  <si>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</si>
  <si>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</si>
  <si>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</si>
  <si>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</si>
  <si>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</si>
  <si>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</si>
  <si>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</si>
  <si>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</si>
  <si>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</si>
  <si>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</si>
  <si>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</si>
  <si>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</si>
  <si>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</si>
  <si>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</si>
  <si>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</si>
  <si>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</si>
  <si>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</si>
  <si>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</si>
  <si>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</si>
  <si>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</si>
  <si>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</si>
  <si>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</si>
  <si>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</si>
  <si>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</si>
  <si>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</si>
  <si>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</si>
  <si>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</si>
  <si>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</si>
  <si>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</si>
  <si>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</si>
  <si>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</si>
  <si>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</si>
  <si>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</si>
  <si>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</si>
  <si>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</si>
  <si>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</si>
  <si>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</si>
  <si>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</si>
  <si>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</si>
  <si>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</si>
  <si>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</si>
  <si>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</si>
  <si>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</si>
  <si>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</si>
  <si>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</si>
  <si>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</si>
  <si>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</si>
  <si>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</si>
  <si>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</si>
  <si>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</si>
  <si>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</si>
  <si>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</si>
  <si>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</si>
  <si>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</si>
  <si>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</si>
  <si>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</si>
  <si>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</si>
  <si>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</si>
  <si>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</si>
  <si>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</si>
  <si>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</si>
  <si>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</si>
  <si>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</si>
  <si>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</si>
  <si>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</si>
  <si>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</si>
  <si>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</si>
  <si>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</si>
  <si>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</si>
  <si>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</si>
  <si>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</si>
  <si>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</si>
  <si>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</si>
  <si>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</si>
  <si>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</si>
  <si>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</si>
  <si>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</si>
  <si>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</si>
  <si>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</si>
  <si>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</si>
  <si>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</si>
  <si>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</si>
  <si>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</si>
  <si>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</si>
  <si>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</si>
  <si>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</si>
  <si>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</si>
  <si>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</si>
  <si>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</si>
  <si>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</si>
  <si>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</si>
  <si>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</si>
  <si>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</si>
  <si>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</si>
  <si>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</si>
  <si>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</si>
  <si>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</si>
  <si>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</si>
  <si>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</si>
  <si>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</si>
  <si>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</si>
  <si>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</si>
  <si>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</si>
  <si>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</si>
  <si>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</si>
  <si>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</si>
  <si>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</si>
  <si>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</si>
  <si>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</si>
  <si>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</si>
  <si>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</si>
  <si>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</si>
  <si>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</si>
  <si>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</si>
  <si>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</si>
  <si>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</si>
  <si>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</si>
  <si>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</si>
  <si>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</si>
  <si>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</si>
  <si>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</si>
  <si>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</si>
  <si>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</si>
  <si>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</si>
  <si>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</si>
  <si>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</si>
  <si>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</si>
  <si>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</si>
  <si>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</si>
  <si>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</si>
  <si>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</si>
  <si>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</si>
  <si>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</si>
  <si>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</si>
  <si>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</si>
  <si>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</si>
  <si>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</si>
  <si>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</si>
  <si>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</si>
  <si>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</si>
  <si>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</si>
  <si>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</si>
  <si>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</si>
  <si>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г.Донецк ул. Чаадаева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</si>
</sst>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92"/>
  <sheetViews>
    <sheetView tabSelected="1" zoomScale="85" zoomScaleNormal="85" workbookViewId="0">
      <pane ySplit="9" topLeftCell="A166" activePane="bottomLeft" state="frozen"/>
      <selection pane="bottomLeft" activeCell="J176" sqref="J176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130439106</v>
      </c>
      <c r="E1" s="155" t="s">
        <v>219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46264</v>
      </c>
      <c r="E3" s="7" t="s">
        <v>2</v>
      </c>
      <c r="F3" s="55">
        <f>D3+3</f>
        <v>46267</v>
      </c>
      <c r="G3" s="158" t="s">
        <v>220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thickTop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>
        <v>20</v>
      </c>
      <c r="F13" s="23">
        <v>1.35</v>
      </c>
      <c r="G13" s="23">
        <f t="shared" ref="G13:G20" si="1">E13</f>
        <v>20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>
        <v>30</v>
      </c>
      <c r="F14" s="23">
        <v>1.35</v>
      </c>
      <c r="G14" s="23">
        <f t="shared" si="1"/>
        <v>30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>
        <v>170</v>
      </c>
      <c r="F16" s="23">
        <v>1.35</v>
      </c>
      <c r="G16" s="23">
        <f t="shared" si="1"/>
        <v>170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>
        <v>20</v>
      </c>
      <c r="F17" s="23">
        <v>1.35</v>
      </c>
      <c r="G17" s="23">
        <f t="shared" si="1"/>
        <v>20</v>
      </c>
      <c r="H17" s="14">
        <v>4.05</v>
      </c>
      <c r="I17" s="14">
        <v>60</v>
      </c>
      <c r="J17" s="29"/>
      <c r="L17" s="122"/>
    </row>
    <row r="18" spans="1:67" ht="16.5" hidden="1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>
        <v>48</v>
      </c>
      <c r="F21" s="23">
        <v>0.35</v>
      </c>
      <c r="G21" s="23">
        <f>E21*F21</f>
        <v>16.799999999999997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>
        <v>16</v>
      </c>
      <c r="F23" s="23">
        <v>0.4</v>
      </c>
      <c r="G23" s="23">
        <f t="shared" si="2"/>
        <v>6.4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>
        <v>16</v>
      </c>
      <c r="F25" s="60">
        <v>0.4</v>
      </c>
      <c r="G25" s="23">
        <f t="shared" ref="G25:G33" si="4">E25*F25</f>
        <v>6.4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hidden="1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4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hidden="1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hidden="1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/>
      <c r="F29" s="23">
        <v>0.4</v>
      </c>
      <c r="G29" s="23">
        <f t="shared" si="4"/>
        <v>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24</v>
      </c>
      <c r="F30" s="23">
        <v>0.4</v>
      </c>
      <c r="G30" s="23">
        <f t="shared" si="4"/>
        <v>9.6000000000000014</v>
      </c>
      <c r="H30" s="14">
        <v>3.2</v>
      </c>
      <c r="I30" s="14">
        <v>60</v>
      </c>
      <c r="J30" s="61"/>
      <c r="L30" s="122"/>
    </row>
    <row r="31" spans="1:67" ht="16.5" hidden="1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hidden="1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4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hidden="1" customHeight="1" thickBot="1" x14ac:dyDescent="0.25">
      <c r="A33" s="58"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4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customHeight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>
        <v>20</v>
      </c>
      <c r="F35" s="60">
        <v>1.04</v>
      </c>
      <c r="G35" s="23">
        <f t="shared" ref="G35:G46" si="5">E35</f>
        <v>20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>
        <v>60</v>
      </c>
      <c r="F41" s="60">
        <v>2.1</v>
      </c>
      <c r="G41" s="23">
        <f t="shared" si="5"/>
        <v>60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>
        <v>150</v>
      </c>
      <c r="F42" s="60">
        <v>1.5</v>
      </c>
      <c r="G42" s="23">
        <f t="shared" si="5"/>
        <v>150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>
        <v>20</v>
      </c>
      <c r="F44" s="60">
        <v>1.5</v>
      </c>
      <c r="G44" s="23">
        <f t="shared" si="5"/>
        <v>20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>
        <v>60</v>
      </c>
      <c r="F45" s="60">
        <v>1.5</v>
      </c>
      <c r="G45" s="23">
        <f t="shared" si="5"/>
        <v>60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hidden="1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5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hidden="1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6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hidden="1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/>
      <c r="F49" s="60">
        <v>0.36</v>
      </c>
      <c r="G49" s="23">
        <f t="shared" si="6"/>
        <v>0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>
        <v>30</v>
      </c>
      <c r="F51" s="60">
        <v>0.3</v>
      </c>
      <c r="G51" s="23">
        <f t="shared" si="6"/>
        <v>9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hidden="1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6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>
        <v>36</v>
      </c>
      <c r="F53" s="60">
        <v>0.4</v>
      </c>
      <c r="G53" s="23">
        <f t="shared" si="6"/>
        <v>14.4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60</v>
      </c>
      <c r="F55" s="60">
        <v>0.33</v>
      </c>
      <c r="G55" s="23">
        <f>E55*F55</f>
        <v>19.8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hidden="1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6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hidden="1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6"/>
        <v>0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30</v>
      </c>
      <c r="F61" s="23">
        <v>0.41</v>
      </c>
      <c r="G61" s="23">
        <f t="shared" si="6"/>
        <v>12.299999999999999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>
        <v>16</v>
      </c>
      <c r="F62" s="23">
        <v>0.41</v>
      </c>
      <c r="G62" s="23">
        <f t="shared" si="6"/>
        <v>6.56</v>
      </c>
      <c r="H62" s="14">
        <v>3.28</v>
      </c>
      <c r="I62" s="14">
        <v>45</v>
      </c>
      <c r="J62" s="29"/>
      <c r="L62" s="122"/>
    </row>
    <row r="63" spans="1:67" ht="16.5" hidden="1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/>
      <c r="F63" s="23">
        <v>0.4</v>
      </c>
      <c r="G63" s="23">
        <f t="shared" si="6"/>
        <v>0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>
        <v>24</v>
      </c>
      <c r="F65" s="23">
        <v>0.27</v>
      </c>
      <c r="G65" s="23">
        <f>E65*F65</f>
        <v>6.48</v>
      </c>
      <c r="H65" s="14">
        <v>2.16</v>
      </c>
      <c r="I65" s="14">
        <v>45</v>
      </c>
      <c r="J65" s="146" t="s">
        <v>196</v>
      </c>
      <c r="L65" s="122"/>
    </row>
    <row r="66" spans="1:12" ht="16.5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>
        <v>20</v>
      </c>
      <c r="F66" s="23">
        <v>0.5</v>
      </c>
      <c r="G66" s="23">
        <f>E66*F66</f>
        <v>10</v>
      </c>
      <c r="H66" s="14">
        <v>5</v>
      </c>
      <c r="I66" s="14">
        <v>45</v>
      </c>
      <c r="J66" s="146" t="s">
        <v>196</v>
      </c>
      <c r="L66" s="122"/>
    </row>
    <row r="67" spans="1:12" ht="16.5" hidden="1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hidden="1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/>
      <c r="F68" s="23">
        <v>0.3</v>
      </c>
      <c r="G68" s="23">
        <f t="shared" si="6"/>
        <v>0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>
        <v>40</v>
      </c>
      <c r="F69" s="23">
        <v>0.3</v>
      </c>
      <c r="G69" s="23">
        <f t="shared" si="6"/>
        <v>12</v>
      </c>
      <c r="H69" s="14">
        <v>2.4</v>
      </c>
      <c r="I69" s="14">
        <v>45</v>
      </c>
      <c r="J69" s="29"/>
      <c r="L69" s="122"/>
    </row>
    <row r="70" spans="1:12" ht="16.5" hidden="1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hidden="1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hidden="1" customHeight="1" thickBot="1" x14ac:dyDescent="0.25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hidden="1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>
        <v>20</v>
      </c>
      <c r="F75" s="23">
        <v>1</v>
      </c>
      <c r="G75" s="23">
        <f t="shared" si="7"/>
        <v>20</v>
      </c>
      <c r="H75" s="14">
        <v>3</v>
      </c>
      <c r="I75" s="14">
        <v>45</v>
      </c>
      <c r="J75" s="29"/>
      <c r="L75" s="122"/>
    </row>
    <row r="76" spans="1:12" ht="16.5" hidden="1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>
        <v>30</v>
      </c>
      <c r="F78" s="23">
        <v>1</v>
      </c>
      <c r="G78" s="23">
        <f t="shared" si="7"/>
        <v>30</v>
      </c>
      <c r="H78" s="14">
        <v>3</v>
      </c>
      <c r="I78" s="14">
        <v>45</v>
      </c>
      <c r="J78" s="29"/>
      <c r="L78" s="122"/>
    </row>
    <row r="79" spans="1:12" ht="16.5" hidden="1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customHeight="1" x14ac:dyDescent="0.25">
      <c r="A80" s="58">
        <v>6609</v>
      </c>
      <c r="B80" s="107" t="s">
        <v>153</v>
      </c>
      <c r="C80" s="51" t="s">
        <v>20</v>
      </c>
      <c r="D80" s="52">
        <v>1001033856609</v>
      </c>
      <c r="E80" s="24">
        <v>24</v>
      </c>
      <c r="F80" s="23">
        <v>0.4</v>
      </c>
      <c r="G80" s="23">
        <f t="shared" si="8"/>
        <v>9.6000000000000014</v>
      </c>
      <c r="H80" s="14">
        <v>2.4</v>
      </c>
      <c r="I80" s="14">
        <v>45</v>
      </c>
      <c r="J80" s="29"/>
      <c r="L80" s="122"/>
    </row>
    <row r="81" spans="1:12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hidden="1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hidden="1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hidden="1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hidden="1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>
        <v>20</v>
      </c>
      <c r="F86" s="60">
        <v>0.81</v>
      </c>
      <c r="G86" s="23">
        <f t="shared" si="9"/>
        <v>20</v>
      </c>
      <c r="H86" s="61">
        <v>4.8600000000000003</v>
      </c>
      <c r="I86" s="61">
        <v>45</v>
      </c>
      <c r="J86" s="61"/>
      <c r="L86" s="122"/>
    </row>
    <row r="87" spans="1:12" ht="16.5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>
        <v>6</v>
      </c>
      <c r="F87" s="60">
        <v>0.84</v>
      </c>
      <c r="G87" s="23">
        <f>E87*F87</f>
        <v>5.04</v>
      </c>
      <c r="H87" s="61">
        <v>5.04</v>
      </c>
      <c r="I87" s="61">
        <v>50</v>
      </c>
      <c r="J87" s="61"/>
      <c r="L87" s="122"/>
    </row>
    <row r="88" spans="1:12" ht="16.5" hidden="1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/>
      <c r="F88" s="60">
        <v>0.63</v>
      </c>
      <c r="G88" s="23">
        <f t="shared" ref="G88:G89" si="10">E88</f>
        <v>0</v>
      </c>
      <c r="H88" s="61">
        <v>5.04</v>
      </c>
      <c r="I88" s="61">
        <v>50</v>
      </c>
      <c r="J88" s="61"/>
      <c r="L88" s="122"/>
    </row>
    <row r="89" spans="1:12" ht="16.5" hidden="1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/>
      <c r="F89" s="60">
        <v>0.7</v>
      </c>
      <c r="G89" s="23">
        <f t="shared" si="10"/>
        <v>0</v>
      </c>
      <c r="H89" s="61">
        <v>5.6</v>
      </c>
      <c r="I89" s="61">
        <v>50</v>
      </c>
      <c r="J89" s="61"/>
      <c r="L89" s="122"/>
    </row>
    <row r="90" spans="1:12" ht="16.5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>
        <v>32</v>
      </c>
      <c r="F90" s="23">
        <v>0.33</v>
      </c>
      <c r="G90" s="23">
        <f t="shared" ref="G90:G107" si="11">E90*F90</f>
        <v>10.56</v>
      </c>
      <c r="H90" s="14">
        <v>2.64</v>
      </c>
      <c r="I90" s="14">
        <v>45</v>
      </c>
      <c r="J90" s="53" t="s">
        <v>170</v>
      </c>
      <c r="L90" s="122"/>
    </row>
    <row r="91" spans="1:12" ht="16.5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>
        <v>32</v>
      </c>
      <c r="F91" s="23">
        <v>0.28000000000000003</v>
      </c>
      <c r="G91" s="23">
        <f>E91*F91</f>
        <v>8.9600000000000009</v>
      </c>
      <c r="H91" s="14">
        <v>2.2400000000000002</v>
      </c>
      <c r="I91" s="14">
        <v>45</v>
      </c>
      <c r="J91" s="146" t="s">
        <v>196</v>
      </c>
      <c r="L91" s="122"/>
    </row>
    <row r="92" spans="1:12" ht="16.5" hidden="1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hidden="1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64</v>
      </c>
      <c r="F94" s="23">
        <v>0.35</v>
      </c>
      <c r="G94" s="23">
        <f t="shared" si="11"/>
        <v>22.4</v>
      </c>
      <c r="H94" s="14">
        <v>2.8</v>
      </c>
      <c r="I94" s="14">
        <v>45</v>
      </c>
      <c r="J94" s="29"/>
      <c r="L94" s="122"/>
    </row>
    <row r="95" spans="1:12" ht="16.5" hidden="1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/>
      <c r="F95" s="23">
        <v>0.35</v>
      </c>
      <c r="G95" s="23">
        <f t="shared" si="11"/>
        <v>0</v>
      </c>
      <c r="H95" s="14">
        <v>2.8</v>
      </c>
      <c r="I95" s="14">
        <v>50</v>
      </c>
      <c r="J95" s="29"/>
      <c r="L95" s="122"/>
    </row>
    <row r="96" spans="1:12" ht="15.75" hidden="1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24</v>
      </c>
      <c r="F97" s="23">
        <v>0.28000000000000003</v>
      </c>
      <c r="G97" s="23">
        <f t="shared" si="11"/>
        <v>6.7200000000000006</v>
      </c>
      <c r="H97" s="14">
        <v>2.2400000000000002</v>
      </c>
      <c r="I97" s="14">
        <v>45</v>
      </c>
      <c r="J97" s="50"/>
      <c r="L97" s="122"/>
    </row>
    <row r="98" spans="1:67" ht="15.75" hidden="1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11"/>
        <v>0</v>
      </c>
      <c r="H98" s="14">
        <v>2.8</v>
      </c>
      <c r="I98" s="14">
        <v>50</v>
      </c>
      <c r="J98" s="50"/>
      <c r="L98" s="122"/>
    </row>
    <row r="99" spans="1:67" ht="15.75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>
        <v>24</v>
      </c>
      <c r="F99" s="23">
        <v>0.28000000000000003</v>
      </c>
      <c r="G99" s="23">
        <f t="shared" si="11"/>
        <v>6.7200000000000006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56</v>
      </c>
      <c r="F100" s="23">
        <v>0.35</v>
      </c>
      <c r="G100" s="23">
        <f t="shared" si="11"/>
        <v>19.599999999999998</v>
      </c>
      <c r="H100" s="14">
        <v>2.8</v>
      </c>
      <c r="I100" s="14">
        <v>50</v>
      </c>
      <c r="J100" s="50"/>
      <c r="L100" s="122"/>
    </row>
    <row r="101" spans="1:67" ht="15.75" hidden="1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hidden="1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hidden="1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/>
      <c r="F103" s="23">
        <v>0.28000000000000003</v>
      </c>
      <c r="G103" s="23">
        <f t="shared" si="11"/>
        <v>0</v>
      </c>
      <c r="H103" s="14">
        <v>2.2400000000000002</v>
      </c>
      <c r="I103" s="14">
        <v>45</v>
      </c>
      <c r="J103" s="50"/>
      <c r="L103" s="122"/>
    </row>
    <row r="104" spans="1:67" ht="15.75" hidden="1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>
        <v>32</v>
      </c>
      <c r="F105" s="23">
        <v>0.28000000000000003</v>
      </c>
      <c r="G105" s="23">
        <f t="shared" si="11"/>
        <v>8.9600000000000009</v>
      </c>
      <c r="H105" s="14">
        <v>2.2400000000000002</v>
      </c>
      <c r="I105" s="14">
        <v>50</v>
      </c>
      <c r="J105" s="50"/>
      <c r="L105" s="122"/>
    </row>
    <row r="106" spans="1:67" ht="15.75" hidden="1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hidden="1" customHeight="1" thickBot="1" x14ac:dyDescent="0.25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hidden="1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hidden="1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hidden="1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hidden="1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hidden="1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>
        <v>21</v>
      </c>
      <c r="F114" s="23">
        <v>0.54</v>
      </c>
      <c r="G114" s="23">
        <f t="shared" si="13"/>
        <v>11.34</v>
      </c>
      <c r="H114" s="14">
        <v>3.78</v>
      </c>
      <c r="I114" s="14">
        <v>120</v>
      </c>
      <c r="J114" s="29"/>
      <c r="L114" s="122"/>
    </row>
    <row r="115" spans="1:12" ht="16.5" hidden="1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>
        <v>24</v>
      </c>
      <c r="F116" s="23">
        <v>0.22</v>
      </c>
      <c r="G116" s="23">
        <f t="shared" si="13"/>
        <v>5.28</v>
      </c>
      <c r="H116" s="14">
        <v>1.76</v>
      </c>
      <c r="I116" s="14">
        <v>120</v>
      </c>
      <c r="J116" s="29"/>
      <c r="L116" s="122"/>
    </row>
    <row r="117" spans="1:12" ht="16.5" hidden="1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hidden="1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hidden="1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/>
      <c r="F119" s="23">
        <v>0.25</v>
      </c>
      <c r="G119" s="23">
        <f t="shared" si="13"/>
        <v>0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>
        <v>40</v>
      </c>
      <c r="F120" s="23">
        <v>0.22</v>
      </c>
      <c r="G120" s="23">
        <f t="shared" si="13"/>
        <v>8.8000000000000007</v>
      </c>
      <c r="H120" s="14">
        <v>1.76</v>
      </c>
      <c r="I120" s="14">
        <v>90</v>
      </c>
      <c r="J120" s="29"/>
      <c r="L120" s="122"/>
    </row>
    <row r="121" spans="1:12" ht="16.5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>
        <v>48</v>
      </c>
      <c r="F121" s="23">
        <v>0.22</v>
      </c>
      <c r="G121" s="23">
        <f t="shared" si="13"/>
        <v>10.56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>
        <v>24</v>
      </c>
      <c r="F122" s="23">
        <v>0.25</v>
      </c>
      <c r="G122" s="23">
        <f t="shared" si="13"/>
        <v>6</v>
      </c>
      <c r="H122" s="14">
        <v>2</v>
      </c>
      <c r="I122" s="14">
        <v>120</v>
      </c>
      <c r="J122" s="29"/>
      <c r="L122" s="122"/>
    </row>
    <row r="123" spans="1:12" ht="16.5" hidden="1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/>
      <c r="F123" s="23">
        <v>0.25</v>
      </c>
      <c r="G123" s="23">
        <f t="shared" si="13"/>
        <v>0</v>
      </c>
      <c r="H123" s="14">
        <v>2</v>
      </c>
      <c r="I123" s="14">
        <v>120</v>
      </c>
      <c r="J123" s="29"/>
      <c r="L123" s="122"/>
    </row>
    <row r="124" spans="1:12" ht="16.5" hidden="1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  <c r="L124" s="122"/>
    </row>
    <row r="125" spans="1:12" ht="16.5" hidden="1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/>
      <c r="F125" s="23">
        <v>0.25</v>
      </c>
      <c r="G125" s="23">
        <f t="shared" si="13"/>
        <v>0</v>
      </c>
      <c r="H125" s="14">
        <v>2</v>
      </c>
      <c r="I125" s="14">
        <v>120</v>
      </c>
      <c r="J125" s="29"/>
      <c r="L125" s="122"/>
    </row>
    <row r="126" spans="1:12" ht="16.5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>
        <v>32</v>
      </c>
      <c r="F126" s="23">
        <v>0.22</v>
      </c>
      <c r="G126" s="23">
        <f t="shared" si="13"/>
        <v>7.04</v>
      </c>
      <c r="H126" s="14">
        <v>1.76</v>
      </c>
      <c r="I126" s="14">
        <v>120</v>
      </c>
      <c r="J126" s="29"/>
      <c r="L126" s="122"/>
    </row>
    <row r="127" spans="1:12" ht="16.5" hidden="1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hidden="1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hidden="1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hidden="1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 t="shared" si="15"/>
        <v>0</v>
      </c>
      <c r="H130" s="14">
        <v>1.2</v>
      </c>
      <c r="I130" s="14">
        <v>60</v>
      </c>
      <c r="J130" s="29"/>
      <c r="L130" s="122"/>
    </row>
    <row r="131" spans="1:67" ht="16.5" hidden="1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/>
      <c r="F131" s="23">
        <v>0.12</v>
      </c>
      <c r="G131" s="23">
        <f t="shared" si="15"/>
        <v>0</v>
      </c>
      <c r="H131" s="14">
        <v>0.96</v>
      </c>
      <c r="I131" s="14">
        <v>60</v>
      </c>
      <c r="J131" s="29"/>
      <c r="L131" s="122"/>
    </row>
    <row r="132" spans="1:67" ht="16.5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>
        <v>10</v>
      </c>
      <c r="F132" s="23">
        <v>0.1</v>
      </c>
      <c r="G132" s="23">
        <f t="shared" si="15"/>
        <v>1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>
        <v>14</v>
      </c>
      <c r="F133" s="23">
        <v>0.1</v>
      </c>
      <c r="G133" s="23">
        <f t="shared" si="15"/>
        <v>1.4000000000000001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30</v>
      </c>
      <c r="F134" s="23">
        <v>0.09</v>
      </c>
      <c r="G134" s="23">
        <f t="shared" si="15"/>
        <v>2.6999999999999997</v>
      </c>
      <c r="H134" s="14">
        <v>0.9</v>
      </c>
      <c r="I134" s="14">
        <v>60</v>
      </c>
      <c r="J134" s="29"/>
      <c r="L134" s="122"/>
    </row>
    <row r="135" spans="1:67" ht="16.5" hidden="1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/>
      <c r="F135" s="23">
        <v>0.09</v>
      </c>
      <c r="G135" s="23">
        <f t="shared" si="15"/>
        <v>0</v>
      </c>
      <c r="H135" s="14">
        <v>0.9</v>
      </c>
      <c r="I135" s="14">
        <v>60</v>
      </c>
      <c r="J135" s="29"/>
      <c r="L135" s="122"/>
    </row>
    <row r="136" spans="1:67" ht="16.5" hidden="1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hidden="1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hidden="1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customHeight="1" x14ac:dyDescent="0.25">
      <c r="A139" s="145">
        <v>7626</v>
      </c>
      <c r="B139" s="54" t="s">
        <v>201</v>
      </c>
      <c r="C139" s="51" t="s">
        <v>20</v>
      </c>
      <c r="D139" s="52">
        <v>1001066607626</v>
      </c>
      <c r="E139" s="24">
        <v>30</v>
      </c>
      <c r="F139" s="23">
        <v>0.1</v>
      </c>
      <c r="G139" s="23">
        <f t="shared" si="15"/>
        <v>3</v>
      </c>
      <c r="H139" s="14">
        <v>1</v>
      </c>
      <c r="I139" s="14">
        <v>60</v>
      </c>
      <c r="J139" s="53" t="s">
        <v>202</v>
      </c>
      <c r="L139" s="122"/>
    </row>
    <row r="140" spans="1:67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hidden="1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hidden="1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hidden="1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>
        <v>20</v>
      </c>
      <c r="F145" s="60">
        <v>3</v>
      </c>
      <c r="G145" s="23">
        <f t="shared" si="16"/>
        <v>20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hidden="1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>
        <v>16</v>
      </c>
      <c r="F147" s="60">
        <v>0.4</v>
      </c>
      <c r="G147" s="23">
        <f t="shared" ref="G147:G150" si="17">E147*F147</f>
        <v>6.4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>
        <v>60</v>
      </c>
      <c r="F148" s="60">
        <v>0.4</v>
      </c>
      <c r="G148" s="23">
        <f t="shared" si="17"/>
        <v>24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hidden="1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hidden="1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hidden="1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/>
      <c r="F151" s="60">
        <v>0.1</v>
      </c>
      <c r="G151" s="23">
        <f>E151*F151</f>
        <v>0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hidden="1" customHeight="1" thickBot="1" x14ac:dyDescent="0.25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>E152*F152</f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hidden="1" customHeight="1" thickTop="1" thickBot="1" x14ac:dyDescent="0.25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customHeight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>
        <v>20</v>
      </c>
      <c r="F156" s="23">
        <v>1.05</v>
      </c>
      <c r="G156" s="23">
        <f>E156</f>
        <v>20</v>
      </c>
      <c r="H156" s="14">
        <v>3.15</v>
      </c>
      <c r="I156" s="14">
        <v>30</v>
      </c>
      <c r="J156" s="29"/>
      <c r="L156" s="122"/>
    </row>
    <row r="157" spans="1:67" ht="16.5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>
        <v>60</v>
      </c>
      <c r="F157" s="23">
        <v>0.3</v>
      </c>
      <c r="G157" s="23">
        <f t="shared" ref="G157:G167" si="18">E157*F157</f>
        <v>18</v>
      </c>
      <c r="H157" s="14">
        <v>1.8</v>
      </c>
      <c r="I157" s="14">
        <v>50</v>
      </c>
      <c r="J157" s="29"/>
      <c r="L157" s="122"/>
    </row>
    <row r="158" spans="1:67" ht="16.5" hidden="1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>
        <v>50</v>
      </c>
      <c r="F159" s="23">
        <v>0.3</v>
      </c>
      <c r="G159" s="23">
        <f t="shared" si="18"/>
        <v>15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30</v>
      </c>
      <c r="F160" s="23">
        <v>0.18</v>
      </c>
      <c r="G160" s="23">
        <f t="shared" si="18"/>
        <v>5.3999999999999995</v>
      </c>
      <c r="H160" s="14">
        <v>1.8</v>
      </c>
      <c r="I160" s="14">
        <v>50</v>
      </c>
      <c r="J160" s="29"/>
      <c r="L160" s="122"/>
    </row>
    <row r="161" spans="1:12" ht="16.5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>
        <v>20</v>
      </c>
      <c r="F161" s="23">
        <v>0.15</v>
      </c>
      <c r="G161" s="23">
        <f t="shared" si="18"/>
        <v>3</v>
      </c>
      <c r="H161" s="14">
        <v>1.2</v>
      </c>
      <c r="I161" s="14">
        <v>45</v>
      </c>
      <c r="J161" s="29"/>
      <c r="L161" s="122"/>
    </row>
    <row r="162" spans="1:12" ht="16.5" hidden="1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>
        <v>30</v>
      </c>
      <c r="F163" s="23">
        <v>0.1</v>
      </c>
      <c r="G163" s="23">
        <f t="shared" si="18"/>
        <v>3</v>
      </c>
      <c r="H163" s="14">
        <v>1</v>
      </c>
      <c r="I163" s="14">
        <v>45</v>
      </c>
      <c r="J163" s="29"/>
      <c r="L163" s="122"/>
    </row>
    <row r="164" spans="1:12" ht="16.5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>
        <v>40</v>
      </c>
      <c r="F164" s="23">
        <v>0.09</v>
      </c>
      <c r="G164" s="23">
        <f t="shared" si="18"/>
        <v>3.5999999999999996</v>
      </c>
      <c r="H164" s="14">
        <v>0.72</v>
      </c>
      <c r="I164" s="14">
        <v>60</v>
      </c>
      <c r="J164" s="29"/>
      <c r="L164" s="122"/>
    </row>
    <row r="165" spans="1:12" ht="16.5" customHeight="1" x14ac:dyDescent="0.25">
      <c r="A165" s="58">
        <v>6208</v>
      </c>
      <c r="B165" s="35" t="s">
        <v>99</v>
      </c>
      <c r="C165" s="51" t="s">
        <v>20</v>
      </c>
      <c r="D165" s="52">
        <v>1001220226208</v>
      </c>
      <c r="E165" s="24">
        <v>20</v>
      </c>
      <c r="F165" s="23">
        <v>0.15</v>
      </c>
      <c r="G165" s="23">
        <f t="shared" si="18"/>
        <v>3</v>
      </c>
      <c r="H165" s="14">
        <v>1.5</v>
      </c>
      <c r="I165" s="14">
        <v>45</v>
      </c>
      <c r="J165" s="29"/>
      <c r="L165" s="122"/>
    </row>
    <row r="166" spans="1:12" ht="16.5" customHeight="1" x14ac:dyDescent="0.25">
      <c r="A166" s="58">
        <v>6228</v>
      </c>
      <c r="B166" s="35" t="s">
        <v>89</v>
      </c>
      <c r="C166" s="51" t="s">
        <v>20</v>
      </c>
      <c r="D166" s="52">
        <v>1001225416228</v>
      </c>
      <c r="E166" s="24">
        <v>30</v>
      </c>
      <c r="F166" s="23">
        <v>0.09</v>
      </c>
      <c r="G166" s="23">
        <f t="shared" si="18"/>
        <v>2.6999999999999997</v>
      </c>
      <c r="H166" s="14">
        <v>0.9</v>
      </c>
      <c r="I166" s="14">
        <v>45</v>
      </c>
      <c r="J166" s="29"/>
      <c r="L166" s="122"/>
    </row>
    <row r="167" spans="1:12" ht="16.5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>
        <v>10</v>
      </c>
      <c r="F167" s="23">
        <v>0.1</v>
      </c>
      <c r="G167" s="23">
        <f t="shared" si="18"/>
        <v>1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1953</v>
      </c>
      <c r="F168" s="17"/>
      <c r="G168" s="17">
        <f>SUM(G11:G167)</f>
        <v>1030.5199999999998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2026-08-26T11:15:46Z</dcterms:modified>
</cp:coreProperties>
</file>