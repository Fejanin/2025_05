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3" activePane="bottomLeft" state="frozen"/>
      <selection pane="bottomLeft" activeCell="D2" sqref="D2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46264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193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161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180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>
        <v>15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398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370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146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144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360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215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330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105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59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179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30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100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136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51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196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163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50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261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50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184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207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772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244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135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>
        <v>15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104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55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6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84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8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11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106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76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140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538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212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>
        <v>175</v>
      </c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53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141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298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737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178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381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91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ВОСКРЕСЕНСКАЯ ВЯЛЕНАЯ в/к в/у срез 1/260</t>
        </is>
      </c>
      <c r="C96" s="50" t="inlineStr">
        <is>
          <t>ШТ</t>
        </is>
      </c>
      <c r="D96" s="51" t="n">
        <v>1001307077513</v>
      </c>
      <c r="E96" s="24" t="n">
        <v>113</v>
      </c>
      <c r="F96" s="23" t="n">
        <v>0.26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ЧЕСНОЧНАЯ ПМ п/к в/у 0.35кг 8шт_50с</t>
        </is>
      </c>
      <c r="C97" s="50" t="inlineStr">
        <is>
          <t>ШТ</t>
        </is>
      </c>
      <c r="D97" s="51" t="n">
        <v>1001302347177</v>
      </c>
      <c r="E97" s="24" t="n"/>
      <c r="F97" s="23" t="n">
        <v>0.35</v>
      </c>
      <c r="G97" s="23">
        <f>E97*F97</f>
        <v/>
      </c>
      <c r="H97" s="14" t="n">
        <v>2.8</v>
      </c>
      <c r="I97" s="14" t="n">
        <v>50</v>
      </c>
      <c r="J97" s="49" t="n"/>
    </row>
    <row r="98" ht="16.5" customHeight="1" s="104">
      <c r="A98" s="109">
        <f>RIGHT(D98,4)</f>
        <v/>
      </c>
      <c r="B98" s="53" t="inlineStr">
        <is>
          <t>БОЯРСКАЯ ПМ п/к в/у 0.28кг_СНГ</t>
        </is>
      </c>
      <c r="C98" s="50" t="inlineStr">
        <is>
          <t>ШТ</t>
        </is>
      </c>
      <c r="D98" s="51" t="n">
        <v>1001301777332</v>
      </c>
      <c r="E98" s="24" t="n">
        <v>27</v>
      </c>
      <c r="F98" s="23" t="n">
        <v>0.28</v>
      </c>
      <c r="G98" s="23">
        <f>E98*F98</f>
        <v/>
      </c>
      <c r="H98" s="14" t="n">
        <v>2.24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СЕРВЕЛАТ ОХОТНИЧИЙ ПМ в/к в/у 0.28кг_СНГ</t>
        </is>
      </c>
      <c r="C99" s="50" t="inlineStr">
        <is>
          <t>ШТ</t>
        </is>
      </c>
      <c r="D99" s="51" t="n">
        <v>1001303987333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ШВЕЙЦАРСК.в/к с/н в/у 1/100_Л11</t>
        </is>
      </c>
      <c r="C100" s="50" t="inlineStr">
        <is>
          <t>ШТ</t>
        </is>
      </c>
      <c r="D100" s="51" t="n">
        <v>1001304197608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45</v>
      </c>
      <c r="J100" s="52" t="inlineStr">
        <is>
          <t>Ротация кода 6459</t>
        </is>
      </c>
    </row>
    <row r="101" ht="16.5" customHeight="1" s="104" thickBot="1">
      <c r="A101" s="109">
        <f>RIGHT(D101,4)</f>
        <v/>
      </c>
      <c r="B101" s="53" t="inlineStr">
        <is>
          <t>СЕРВЕЛАТ БАВАРСКИЙ в/к с/н в/у 1/100_Л11</t>
        </is>
      </c>
      <c r="C101" s="50" t="inlineStr">
        <is>
          <t>ШТ</t>
        </is>
      </c>
      <c r="D101" s="51" t="n">
        <v>1001306717610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7474</t>
        </is>
      </c>
    </row>
    <row r="102" ht="16.5" customHeight="1" s="104" thickBot="1" thickTop="1">
      <c r="A102" s="47" t="inlineStr"/>
      <c r="B102" s="42" t="inlineStr">
        <is>
          <t>Сырокопченые колбасы</t>
        </is>
      </c>
      <c r="C102" s="42" t="n"/>
      <c r="D102" s="42" t="n"/>
      <c r="E102" s="42" t="n"/>
      <c r="F102" s="41" t="n"/>
      <c r="G102" s="42" t="n"/>
      <c r="H102" s="42" t="n"/>
      <c r="I102" s="42" t="n"/>
      <c r="J102" s="43" t="n"/>
    </row>
    <row r="103" ht="16.5" customHeight="1" s="104" thickTop="1">
      <c r="A103" s="109">
        <f>RIGHT(D103,4)</f>
        <v/>
      </c>
      <c r="B103" s="53" t="inlineStr">
        <is>
          <t>АРОМАТНАЯ с/к в/у 1/250 8шт.</t>
        </is>
      </c>
      <c r="C103" s="50" t="inlineStr">
        <is>
          <t>ШТ</t>
        </is>
      </c>
      <c r="D103" s="51" t="n">
        <v>1001061973986</v>
      </c>
      <c r="E103" s="24" t="n">
        <v>127</v>
      </c>
      <c r="F103" s="111" t="n">
        <v>0.25</v>
      </c>
      <c r="G103" s="23">
        <f>E103*F103</f>
        <v/>
      </c>
      <c r="H103" s="114" t="n">
        <v>2</v>
      </c>
      <c r="I103" s="115" t="n">
        <v>120</v>
      </c>
      <c r="J103" s="29" t="n"/>
    </row>
    <row r="104" ht="16.5" customHeight="1" s="104">
      <c r="A104" s="109">
        <f>RIGHT(D104,4)</f>
        <v/>
      </c>
      <c r="B104" s="53" t="inlineStr">
        <is>
          <t>ОХОТНИЧЬЯ Папа может с/к в/у 1/220 8шт.</t>
        </is>
      </c>
      <c r="C104" s="50" t="inlineStr">
        <is>
          <t>ШТ</t>
        </is>
      </c>
      <c r="D104" s="51" t="n">
        <v>1001060755931</v>
      </c>
      <c r="E104" s="24" t="n">
        <v>200</v>
      </c>
      <c r="F104" s="23" t="n">
        <v>0.22</v>
      </c>
      <c r="G104" s="23">
        <f>E104*F104</f>
        <v/>
      </c>
      <c r="H104" s="97" t="n">
        <v>1.76</v>
      </c>
      <c r="I104" s="14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ПОСОЛЬСКАЯ Папа может с/к в/у</t>
        </is>
      </c>
      <c r="C105" s="50" t="inlineStr">
        <is>
          <t>КГ</t>
        </is>
      </c>
      <c r="D105" s="51" t="n">
        <v>1001063145708</v>
      </c>
      <c r="E105" s="24" t="n"/>
      <c r="F105" s="23" t="n">
        <v>0.5</v>
      </c>
      <c r="G105" s="23">
        <f>E105</f>
        <v/>
      </c>
      <c r="H105" s="14" t="n">
        <v>4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САЛЯМИ ИТАЛЬЯНСКАЯ с/к в/у</t>
        </is>
      </c>
      <c r="C106" s="50" t="inlineStr">
        <is>
          <t>КГ</t>
        </is>
      </c>
      <c r="D106" s="51" t="n">
        <v>1001060763287</v>
      </c>
      <c r="E106" s="24" t="n"/>
      <c r="F106" s="23" t="n">
        <v>0.488</v>
      </c>
      <c r="G106" s="23">
        <f>E106</f>
        <v/>
      </c>
      <c r="H106" s="14" t="n">
        <v>3.9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 1/250*8_120с</t>
        </is>
      </c>
      <c r="C107" s="50" t="inlineStr">
        <is>
          <t>ШТ</t>
        </is>
      </c>
      <c r="D107" s="51" t="n">
        <v>1001060764993</v>
      </c>
      <c r="E107" s="24" t="n"/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ЭКСТРА Папа может с/к в/у 1/250 8шт.</t>
        </is>
      </c>
      <c r="C108" s="50" t="inlineStr">
        <is>
          <t>ШТ</t>
        </is>
      </c>
      <c r="D108" s="51" t="n">
        <v>1001062505483</v>
      </c>
      <c r="E108" s="24" t="n">
        <v>40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в/у_Л</t>
        </is>
      </c>
      <c r="C109" s="50" t="inlineStr">
        <is>
          <t>КГ</t>
        </is>
      </c>
      <c r="D109" s="51" t="n">
        <v>1001062504117</v>
      </c>
      <c r="E109" s="24" t="n"/>
      <c r="F109" s="23" t="n">
        <v>0.494</v>
      </c>
      <c r="G109" s="23">
        <f>E109</f>
        <v/>
      </c>
      <c r="H109" s="14" t="n">
        <v>3.95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ПРАЗДНИЧНАЯ с/к в/с дек.спец.мгс</t>
        </is>
      </c>
      <c r="C110" s="50" t="inlineStr">
        <is>
          <t>КГ</t>
        </is>
      </c>
      <c r="D110" s="51" t="n">
        <v>1001060720614</v>
      </c>
      <c r="E110" s="24" t="n"/>
      <c r="F110" s="23" t="n">
        <v>0.52</v>
      </c>
      <c r="G110" s="23">
        <f>E110</f>
        <v/>
      </c>
      <c r="H110" s="14" t="n">
        <v>3.64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БУРГУНДИЯ Папа может с/к в/у 1/250 8шт.</t>
        </is>
      </c>
      <c r="C111" s="50" t="inlineStr">
        <is>
          <t>ШТ</t>
        </is>
      </c>
      <c r="D111" s="51" t="n">
        <v>1001063656967</v>
      </c>
      <c r="E111" s="24" t="n">
        <v>8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САЛЯМИ Папа может с/к в/у 1/250 8шт.</t>
        </is>
      </c>
      <c r="C112" s="50" t="inlineStr">
        <is>
          <t>ШТ</t>
        </is>
      </c>
      <c r="D112" s="51" t="n">
        <v>1001063106937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БРАУНШВЕЙГСКАЯ ГОСТ с/к в/у 1/220 8шт.</t>
        </is>
      </c>
      <c r="C113" s="50" t="inlineStr">
        <is>
          <t>ШТ</t>
        </is>
      </c>
      <c r="D113" s="51" t="n">
        <v>1001060717143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САЛЬЧИЧОН Останкино с/к в/у 1/220 8шт.</t>
        </is>
      </c>
      <c r="C114" s="50" t="inlineStr">
        <is>
          <t>ШТ</t>
        </is>
      </c>
      <c r="D114" s="51" t="n">
        <v>1001063237147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САЛЯМИ ФИНСКАЯ Папа может с/к в/у 1/150</t>
        </is>
      </c>
      <c r="C115" s="50" t="inlineStr">
        <is>
          <t>ШТ</t>
        </is>
      </c>
      <c r="D115" s="51" t="n">
        <v>1001063097456</v>
      </c>
      <c r="E115" s="24" t="n"/>
      <c r="F115" s="23" t="n">
        <v>0.15</v>
      </c>
      <c r="G115" s="23">
        <f>E115*F115</f>
        <v/>
      </c>
      <c r="H115" s="14" t="n">
        <v>1.8</v>
      </c>
      <c r="I115" s="14" t="n">
        <v>90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ЧОРИЗО Останкино с/к в/у 1/220 8шт.</t>
        </is>
      </c>
      <c r="C116" s="50" t="inlineStr">
        <is>
          <t>ШТ</t>
        </is>
      </c>
      <c r="D116" s="51" t="n">
        <v>1001063217364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САН-РЕМО Останкино с/в в/у 1/220 8шт.</t>
        </is>
      </c>
      <c r="C117" s="50" t="inlineStr">
        <is>
          <t>ШТ</t>
        </is>
      </c>
      <c r="D117" s="51" t="n">
        <v>1001065467383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ПРЕСИЖН с/к дек.спец. мгс 0.54кг</t>
        </is>
      </c>
      <c r="C118" s="50" t="inlineStr">
        <is>
          <t>ШТ</t>
        </is>
      </c>
      <c r="D118" s="51" t="n">
        <v>1001066567317</v>
      </c>
      <c r="E118" s="24" t="n"/>
      <c r="F118" s="23" t="n">
        <v>0.54</v>
      </c>
      <c r="G118" s="23">
        <f>E118*F118</f>
        <v/>
      </c>
      <c r="H118" s="14" t="n">
        <v>3.78</v>
      </c>
      <c r="I118" s="14" t="n">
        <v>120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ПРАЗДНИЧНАЯ с/к в/с дек.спец. мгс 1/270</t>
        </is>
      </c>
      <c r="C119" s="50" t="inlineStr">
        <is>
          <t>ШТ</t>
        </is>
      </c>
      <c r="D119" s="51" t="n">
        <v>1001060727318</v>
      </c>
      <c r="E119" s="24" t="n"/>
      <c r="F119" s="23" t="n">
        <v>0.27</v>
      </c>
      <c r="G119" s="23">
        <f>E119*F119</f>
        <v/>
      </c>
      <c r="H119" s="14" t="n">
        <v>2.16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0.54кг</t>
        </is>
      </c>
      <c r="C120" s="50" t="inlineStr">
        <is>
          <t>ШТ</t>
        </is>
      </c>
      <c r="D120" s="51" t="n">
        <v>1001060727316</v>
      </c>
      <c r="E120" s="24" t="n"/>
      <c r="F120" s="23" t="n">
        <v>0.54</v>
      </c>
      <c r="G120" s="23">
        <f>E120*F120</f>
        <v/>
      </c>
      <c r="H120" s="14" t="n">
        <v>3.78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АССОРТИ СЫРОКОПЧЕНЫХ КОЛБАС Коровино в/у</t>
        </is>
      </c>
      <c r="C121" s="50" t="inlineStr">
        <is>
          <t>КГ</t>
        </is>
      </c>
      <c r="D121" s="51" t="n">
        <v>1001065616832</v>
      </c>
      <c r="E121" s="24" t="n"/>
      <c r="F121" s="23" t="n">
        <v>0.215</v>
      </c>
      <c r="G121" s="23">
        <f>E121</f>
        <v/>
      </c>
      <c r="H121" s="14" t="n">
        <v>2.15</v>
      </c>
      <c r="I121" s="14" t="n">
        <v>30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НАБОР ДЛЯ ПИЦЦЫ Папа Может с/к в/у</t>
        </is>
      </c>
      <c r="C122" s="50" t="inlineStr">
        <is>
          <t>КГ</t>
        </is>
      </c>
      <c r="D122" s="51" t="n">
        <v>1001060677299</v>
      </c>
      <c r="E122" s="24" t="n">
        <v>116</v>
      </c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БАРСЕЛОНА ПМ с/к в/у 1/150</t>
        </is>
      </c>
      <c r="C123" s="50" t="inlineStr">
        <is>
          <t>ШТ</t>
        </is>
      </c>
      <c r="D123" s="51" t="n">
        <v>1001067017386</v>
      </c>
      <c r="E123" s="24" t="n"/>
      <c r="F123" s="23" t="n">
        <v>0.15</v>
      </c>
      <c r="G123" s="23">
        <f>E123*F123</f>
        <v/>
      </c>
      <c r="H123" s="14" t="n">
        <v>1.35</v>
      </c>
      <c r="I123" s="14" t="n">
        <v>90</v>
      </c>
      <c r="J123" s="29" t="n"/>
    </row>
    <row r="124" ht="16.5" customHeight="1" s="104">
      <c r="A124" s="109">
        <f>RIGHT(D124,4)</f>
        <v/>
      </c>
      <c r="B124" s="53" t="inlineStr">
        <is>
          <t>АРОМАТНАЯ с/к с/н в/у 1/100 10шт_Л10 (7613)</t>
        </is>
      </c>
      <c r="C124" s="50" t="inlineStr">
        <is>
          <t>ШТ</t>
        </is>
      </c>
      <c r="D124" s="51" t="n">
        <v>1001061977613</v>
      </c>
      <c r="E124" s="24" t="n">
        <v>76</v>
      </c>
      <c r="F124" s="23" t="n">
        <v>0.1</v>
      </c>
      <c r="G124" s="23">
        <f>E124*F124</f>
        <v/>
      </c>
      <c r="H124" s="14" t="n">
        <v>1</v>
      </c>
      <c r="I124" s="14" t="n">
        <v>60</v>
      </c>
      <c r="J124" s="52" t="inlineStr">
        <is>
          <t>Ротация кода 6454</t>
        </is>
      </c>
    </row>
    <row r="125" ht="16.5" customHeight="1" s="104">
      <c r="A125" s="109">
        <f>RIGHT(D125,4)</f>
        <v/>
      </c>
      <c r="B125" s="53" t="inlineStr">
        <is>
          <t>САЛЯМИ МЕЛКОЗЕРНЕНАЯ с/к в/у 1/120 8шт.</t>
        </is>
      </c>
      <c r="C125" s="50" t="inlineStr">
        <is>
          <t>ШТ</t>
        </is>
      </c>
      <c r="D125" s="51" t="n">
        <v>1001203117382</v>
      </c>
      <c r="E125" s="24" t="n">
        <v>101</v>
      </c>
      <c r="F125" s="23" t="n">
        <v>0.12</v>
      </c>
      <c r="G125" s="23">
        <f>E125*F125</f>
        <v/>
      </c>
      <c r="H125" s="14" t="n">
        <v>0.96</v>
      </c>
      <c r="I125" s="14" t="n">
        <v>60</v>
      </c>
      <c r="J125" s="29" t="n"/>
    </row>
    <row r="126" ht="16.5" customHeight="1" s="104">
      <c r="A126" s="109">
        <f>RIGHT(D126,4)</f>
        <v/>
      </c>
      <c r="B126" s="53" t="inlineStr">
        <is>
          <t>ЭКСТРА Папа может с/к с/н в/у 1/100_Л10</t>
        </is>
      </c>
      <c r="C126" s="50" t="inlineStr">
        <is>
          <t>ШТ</t>
        </is>
      </c>
      <c r="D126" s="51" t="n">
        <v>1001062507616</v>
      </c>
      <c r="E126" s="24" t="n"/>
      <c r="F126" s="23" t="n">
        <v>0.1</v>
      </c>
      <c r="G126" s="23">
        <f>E126*F126</f>
        <v/>
      </c>
      <c r="H126" s="14" t="n">
        <v>1.4</v>
      </c>
      <c r="I126" s="14" t="n">
        <v>60</v>
      </c>
      <c r="J126" s="52" t="inlineStr">
        <is>
          <t>Ротация кода 6453</t>
        </is>
      </c>
    </row>
    <row r="127" ht="16.5" customHeight="1" s="104">
      <c r="A127" s="109">
        <f>RIGHT(D127,4)</f>
        <v/>
      </c>
      <c r="B127" s="53" t="inlineStr">
        <is>
          <t>НЕАПОЛИТАНСКИЙ ДУЭТ с/к с/н мгс 1/90</t>
        </is>
      </c>
      <c r="C127" s="50" t="inlineStr">
        <is>
          <t>ШТ</t>
        </is>
      </c>
      <c r="D127" s="51" t="n">
        <v>1001205376221</v>
      </c>
      <c r="E127" s="24" t="n">
        <v>256</v>
      </c>
      <c r="F127" s="23" t="n">
        <v>0.09</v>
      </c>
      <c r="G127" s="23">
        <f>E127*F127</f>
        <v/>
      </c>
      <c r="H127" s="14" t="n">
        <v>0.9</v>
      </c>
      <c r="I127" s="14" t="n">
        <v>60</v>
      </c>
      <c r="J127" s="29" t="n"/>
    </row>
    <row r="128" ht="16.5" customHeight="1" s="104">
      <c r="A128" s="109">
        <f>RIGHT(D128,4)</f>
        <v/>
      </c>
      <c r="B128" s="53" t="inlineStr">
        <is>
          <t>ИТАЛЬЯНСКОЕ АССОРТИ с/в с/н мгс 1/90</t>
        </is>
      </c>
      <c r="C128" s="50" t="inlineStr">
        <is>
          <t>ШТ</t>
        </is>
      </c>
      <c r="D128" s="51" t="n">
        <v>1001205386222</v>
      </c>
      <c r="E128" s="24" t="n"/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САЛЯМИ ИТАЛЬЯНСКАЯ с/к в/у 1/150_60с</t>
        </is>
      </c>
      <c r="C129" s="50" t="inlineStr">
        <is>
          <t>ШТ</t>
        </is>
      </c>
      <c r="D129" s="51" t="n">
        <v>1001190765679</v>
      </c>
      <c r="E129" s="24" t="n"/>
      <c r="F129" s="23" t="n">
        <v>0.15</v>
      </c>
      <c r="G129" s="23">
        <f>E129*F129</f>
        <v/>
      </c>
      <c r="H129" s="14" t="n">
        <v>1.2</v>
      </c>
      <c r="I129" s="14" t="n">
        <v>60</v>
      </c>
      <c r="J129" s="29" t="n"/>
    </row>
    <row r="130" ht="16.5" customHeight="1" s="104" thickBot="1">
      <c r="A130" s="109">
        <f>RIGHT(D130,4)</f>
        <v/>
      </c>
      <c r="B130" s="53" t="inlineStr">
        <is>
          <t>БРАУНШВЕЙГСКАЯ с/к с/н мгс 1/100_Л10</t>
        </is>
      </c>
      <c r="C130" s="50" t="inlineStr">
        <is>
          <t>ШТ</t>
        </is>
      </c>
      <c r="D130" s="51" t="n">
        <v>1001066607626</v>
      </c>
      <c r="E130" s="24" t="n"/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52" t="inlineStr">
        <is>
          <t>Ротация кода 5677</t>
        </is>
      </c>
    </row>
    <row r="131" ht="16.5" customHeight="1" s="104" thickBot="1" thickTop="1">
      <c r="A131" s="47" t="inlineStr"/>
      <c r="B131" s="42" t="inlineStr">
        <is>
          <t>Ветчины</t>
        </is>
      </c>
      <c r="C131" s="42" t="n"/>
      <c r="D131" s="42" t="n"/>
      <c r="E131" s="42" t="n"/>
      <c r="F131" s="41" t="n"/>
      <c r="G131" s="42" t="n"/>
      <c r="H131" s="42" t="n"/>
      <c r="I131" s="42" t="n"/>
      <c r="J131" s="43" t="n"/>
    </row>
    <row r="132" ht="16.5" customHeight="1" s="104" thickTop="1">
      <c r="A132" s="109">
        <f>RIGHT(D132,4)</f>
        <v/>
      </c>
      <c r="B132" s="98" t="inlineStr">
        <is>
          <t xml:space="preserve">ВЕТЧ.ИЗ ЛОПАТКИ Папа может п/о_HRC </t>
        </is>
      </c>
      <c r="C132" s="50" t="inlineStr">
        <is>
          <t>КГ</t>
        </is>
      </c>
      <c r="D132" s="116" t="n">
        <v>1001092674584</v>
      </c>
      <c r="E132" s="24" t="n"/>
      <c r="F132" s="23" t="n">
        <v>2.5</v>
      </c>
      <c r="G132" s="23">
        <f>E132</f>
        <v/>
      </c>
      <c r="H132" s="14" t="n">
        <v>7.5</v>
      </c>
      <c r="I132" s="14" t="n">
        <v>60</v>
      </c>
      <c r="J132" s="29" t="n"/>
    </row>
    <row r="133" ht="16.5" customHeight="1" s="104">
      <c r="A133" s="109">
        <f>RIGHT(D133,4)</f>
        <v/>
      </c>
      <c r="B133" s="98" t="inlineStr">
        <is>
          <t>ВЕТЧ.МРАМОРНАЯ в/у срез 0.3кг 6шт_45с</t>
        </is>
      </c>
      <c r="C133" s="50" t="inlineStr">
        <is>
          <t>ШТ</t>
        </is>
      </c>
      <c r="D133" s="51" t="n">
        <v>1001092436495</v>
      </c>
      <c r="E133" s="24" t="n">
        <v>118</v>
      </c>
      <c r="F133" s="111" t="n">
        <v>0.3</v>
      </c>
      <c r="G133" s="23">
        <f>E133*F133</f>
        <v/>
      </c>
      <c r="H133" s="29" t="n">
        <v>1.8</v>
      </c>
      <c r="I133" s="29" t="n">
        <v>45</v>
      </c>
      <c r="J133" s="29" t="n"/>
    </row>
    <row r="134" ht="16.5" customHeight="1" s="104">
      <c r="A134" s="109">
        <f>RIGHT(D134,4)</f>
        <v/>
      </c>
      <c r="B134" s="117" t="inlineStr">
        <is>
          <t>ВЕТЧ.МРАМОРНАЯ в/у_45с</t>
        </is>
      </c>
      <c r="C134" s="50" t="inlineStr">
        <is>
          <t>КГ</t>
        </is>
      </c>
      <c r="D134" s="51" t="n">
        <v>1001092436470</v>
      </c>
      <c r="E134" s="24" t="n"/>
      <c r="F134" s="111" t="n">
        <v>1.2</v>
      </c>
      <c r="G134" s="23">
        <f>E134</f>
        <v/>
      </c>
      <c r="H134" s="29" t="n">
        <v>4.8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ВЕТЧ.МЯСНАЯ Папа может п/о</t>
        </is>
      </c>
      <c r="C135" s="50" t="inlineStr">
        <is>
          <t>КГ</t>
        </is>
      </c>
      <c r="D135" s="51" t="n">
        <v>1001092485452</v>
      </c>
      <c r="E135" s="24" t="n">
        <v>115</v>
      </c>
      <c r="F135" s="111" t="n">
        <v>1.35</v>
      </c>
      <c r="G135" s="23">
        <f>E135</f>
        <v/>
      </c>
      <c r="H135" s="29" t="n">
        <v>4.05</v>
      </c>
      <c r="I135" s="29" t="n">
        <v>60</v>
      </c>
      <c r="J135" s="29" t="n"/>
    </row>
    <row r="136">
      <c r="A136" s="109">
        <f>RIGHT(D136,4)</f>
        <v/>
      </c>
      <c r="B136" s="117" t="inlineStr">
        <is>
          <t>ВЕТЧ.МЯСНАЯ Папа может п/о 0.4кг 8шт.</t>
        </is>
      </c>
      <c r="C136" s="50" t="inlineStr">
        <is>
          <t>ШТ</t>
        </is>
      </c>
      <c r="D136" s="51" t="n">
        <v>1001094053215</v>
      </c>
      <c r="E136" s="24" t="n">
        <v>189</v>
      </c>
      <c r="F136" s="111" t="n">
        <v>0.4</v>
      </c>
      <c r="G136" s="23">
        <f>E136*F136</f>
        <v/>
      </c>
      <c r="H136" s="29" t="n">
        <v>3.2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ВЕТЧ.НЕЖНАЯ Коровино п/о_Маяк</t>
        </is>
      </c>
      <c r="C137" s="50" t="inlineStr">
        <is>
          <t>КГ</t>
        </is>
      </c>
      <c r="D137" s="51" t="n">
        <v>1001095716866</v>
      </c>
      <c r="E137" s="24" t="n">
        <v>44</v>
      </c>
      <c r="F137" s="111" t="n">
        <v>1.5</v>
      </c>
      <c r="G137" s="23">
        <f>E137</f>
        <v/>
      </c>
      <c r="H137" s="29" t="n">
        <v>6</v>
      </c>
      <c r="I137" s="29" t="n">
        <v>60</v>
      </c>
      <c r="J137" s="29" t="n"/>
    </row>
    <row r="138">
      <c r="A138" s="109">
        <f>RIGHT(D138,4)</f>
        <v/>
      </c>
      <c r="B138" s="53" t="inlineStr">
        <is>
          <t>ВЕТЧ.С ИНДЕЙКОЙ Папа может п/о 400*6</t>
        </is>
      </c>
      <c r="C138" s="50" t="inlineStr">
        <is>
          <t>ШТ</t>
        </is>
      </c>
      <c r="D138" s="110" t="n">
        <v>1001093345495</v>
      </c>
      <c r="E138" s="24" t="n">
        <v>123</v>
      </c>
      <c r="F138" s="111" t="n">
        <v>0.4</v>
      </c>
      <c r="G138" s="23">
        <f>E138*F138</f>
        <v/>
      </c>
      <c r="H138" s="29" t="n">
        <v>2.4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ПМ в/у срез 0.3кг 6шт.</t>
        </is>
      </c>
      <c r="C139" s="50" t="inlineStr">
        <is>
          <t>ШТ</t>
        </is>
      </c>
      <c r="D139" s="110" t="n">
        <v>1001095027377</v>
      </c>
      <c r="E139" s="24" t="n"/>
      <c r="F139" s="111" t="n">
        <v>0.3</v>
      </c>
      <c r="G139" s="23">
        <f>E139*F139</f>
        <v/>
      </c>
      <c r="H139" s="29" t="n">
        <v>1.8</v>
      </c>
      <c r="I139" s="29" t="n">
        <v>45</v>
      </c>
      <c r="J139" s="29" t="n"/>
    </row>
    <row r="140">
      <c r="A140" s="109">
        <f>RIGHT(D140,4)</f>
        <v/>
      </c>
      <c r="B140" s="53" t="inlineStr">
        <is>
          <t>ВЕТЧ.РУБЛЕНАЯ ПМ в/у срез 0.3кг 6шт.</t>
        </is>
      </c>
      <c r="C140" s="50" t="inlineStr">
        <is>
          <t>ШТ</t>
        </is>
      </c>
      <c r="D140" s="110" t="n">
        <v>1001093316411</v>
      </c>
      <c r="E140" s="24" t="n"/>
      <c r="F140" s="111" t="n">
        <v>0.3</v>
      </c>
      <c r="G140" s="23">
        <f>E140*F140</f>
        <v/>
      </c>
      <c r="H140" s="29" t="n"/>
      <c r="I140" s="29" t="n"/>
      <c r="J140" s="29" t="n"/>
    </row>
    <row r="141">
      <c r="A141" s="109">
        <f>RIGHT(D141,4)</f>
        <v/>
      </c>
      <c r="B141" s="53" t="inlineStr">
        <is>
          <t xml:space="preserve">ВЕТЧ.КЛАССИЧЕСКАЯ в/у 0.6кг 8шт. </t>
        </is>
      </c>
      <c r="C141" s="50" t="inlineStr">
        <is>
          <t>ШТ</t>
        </is>
      </c>
      <c r="D141" s="110" t="n">
        <v>1001095226925</v>
      </c>
      <c r="E141" s="24" t="n"/>
      <c r="F141" s="111" t="n">
        <v>0.6</v>
      </c>
      <c r="G141" s="23">
        <f>E141*F141</f>
        <v/>
      </c>
      <c r="H141" s="29" t="n">
        <v>4.8</v>
      </c>
      <c r="I141" s="29" t="n">
        <v>45</v>
      </c>
      <c r="J141" s="29" t="n"/>
    </row>
    <row r="142">
      <c r="A142" s="109">
        <f>RIGHT(D142,4)</f>
        <v/>
      </c>
      <c r="B142" s="53" t="inlineStr">
        <is>
          <t>ВЕТЧ.ФИРМЕННАЯ С ИНДЕЙКОЙ п/о</t>
        </is>
      </c>
      <c r="C142" s="50" t="inlineStr">
        <is>
          <t>КГ</t>
        </is>
      </c>
      <c r="D142" s="110" t="n">
        <v>1001094966025</v>
      </c>
      <c r="E142" s="24" t="n"/>
      <c r="F142" s="111" t="n">
        <v>3</v>
      </c>
      <c r="G142" s="23">
        <f>E142</f>
        <v/>
      </c>
      <c r="H142" s="29" t="n">
        <v>6</v>
      </c>
      <c r="I142" s="29" t="n">
        <v>60</v>
      </c>
      <c r="J142" s="29" t="n"/>
    </row>
    <row r="143">
      <c r="A143" s="109">
        <f>RIGHT(D143,4)</f>
        <v/>
      </c>
      <c r="B143" s="53" t="inlineStr">
        <is>
          <t>КАРБОНAД ДОМАШНИЙ ПМ к/в кр/к в/у</t>
        </is>
      </c>
      <c r="C143" s="50" t="inlineStr">
        <is>
          <t>КГ</t>
        </is>
      </c>
      <c r="D143" s="110" t="n">
        <v>1001085476929</v>
      </c>
      <c r="E143" s="24" t="n"/>
      <c r="F143" s="111" t="n"/>
      <c r="G143" s="23">
        <f>E143</f>
        <v/>
      </c>
      <c r="H143" s="29" t="n"/>
      <c r="I143" s="29" t="n"/>
      <c r="J143" s="29" t="n"/>
    </row>
    <row r="144">
      <c r="A144" s="109">
        <f>RIGHT(D144,4)</f>
        <v/>
      </c>
      <c r="B144" s="53" t="inlineStr">
        <is>
          <t>РИЕТ МЯСНОЙ С ГРИБАМИ ПМ п/о 1/150</t>
        </is>
      </c>
      <c r="C144" s="50" t="inlineStr">
        <is>
          <t>ШТ</t>
        </is>
      </c>
      <c r="D144" s="110" t="n">
        <v>1001107397485</v>
      </c>
      <c r="E144" s="24" t="n">
        <v>190</v>
      </c>
      <c r="F144" s="111" t="n">
        <v>0.15</v>
      </c>
      <c r="G144" s="23">
        <f>F144*E144</f>
        <v/>
      </c>
      <c r="H144" s="29" t="n"/>
      <c r="I144" s="29" t="n"/>
      <c r="J144" s="105" t="inlineStr">
        <is>
          <t>Новинка</t>
        </is>
      </c>
    </row>
    <row r="145">
      <c r="A145" s="109">
        <f>RIGHT(D145,4)</f>
        <v/>
      </c>
      <c r="B145" s="53" t="inlineStr">
        <is>
          <t>ХОЧУ ВЕТЧ. ИЗ СВИН.ОТРУБА с/н мгс 1/100</t>
        </is>
      </c>
      <c r="C145" s="50" t="inlineStr">
        <is>
          <t>ШТ</t>
        </is>
      </c>
      <c r="D145" s="110" t="n">
        <v>1001097747647</v>
      </c>
      <c r="E145" s="24" t="n">
        <v>62</v>
      </c>
      <c r="F145" s="111" t="n">
        <v>0.1</v>
      </c>
      <c r="G145" s="23">
        <f>E145*F145</f>
        <v/>
      </c>
      <c r="H145" s="29" t="n">
        <v>1</v>
      </c>
      <c r="I145" s="29" t="n">
        <v>30</v>
      </c>
      <c r="J145" s="105" t="inlineStr">
        <is>
          <t>Новинка</t>
        </is>
      </c>
    </row>
    <row r="146" ht="15.75" customHeight="1" s="104" thickBot="1">
      <c r="A146" s="109">
        <f>RIGHT(D146,4)</f>
        <v/>
      </c>
      <c r="B146" s="53" t="inlineStr">
        <is>
          <t>ХОЧУ ВЕТЧ. МРАМОР. ПМ с/н мгс 1/100_Л11</t>
        </is>
      </c>
      <c r="C146" s="50" t="inlineStr">
        <is>
          <t>ШТ</t>
        </is>
      </c>
      <c r="D146" s="110" t="n">
        <v>1001097767651</v>
      </c>
      <c r="E146" s="24" t="n">
        <v>50</v>
      </c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6.5" customHeight="1" s="104" thickBot="1" thickTop="1">
      <c r="A147" s="47" t="inlineStr"/>
      <c r="B147" s="42" t="inlineStr">
        <is>
          <t>Копчености варенокопченые</t>
        </is>
      </c>
      <c r="C147" s="42" t="n"/>
      <c r="D147" s="42" t="n"/>
      <c r="E147" s="42" t="n"/>
      <c r="F147" s="41" t="n"/>
      <c r="G147" s="42" t="n"/>
      <c r="H147" s="42" t="n"/>
      <c r="I147" s="42" t="n"/>
      <c r="J147" s="43" t="n"/>
    </row>
    <row r="148" ht="15.75" customHeight="1" s="104" thickTop="1">
      <c r="A148" s="109">
        <f>RIGHT(D148,4)</f>
        <v/>
      </c>
      <c r="B148" s="35" t="inlineStr">
        <is>
          <t>СВИНИНА ПО-ДОМ. к/в мл/к в/у 0.3кг_50с</t>
        </is>
      </c>
      <c r="C148" s="50" t="inlineStr">
        <is>
          <t>ШТ</t>
        </is>
      </c>
      <c r="D148" s="51" t="n">
        <v>1001084217090</v>
      </c>
      <c r="E148" s="24" t="n">
        <v>108</v>
      </c>
      <c r="F148" s="23" t="n">
        <v>0.3</v>
      </c>
      <c r="G148" s="23">
        <f>E148*F148</f>
        <v/>
      </c>
      <c r="H148" s="14" t="n">
        <v>1.8</v>
      </c>
      <c r="I148" s="14" t="n">
        <v>50</v>
      </c>
      <c r="J148" s="29" t="n"/>
    </row>
    <row r="149">
      <c r="A149" s="109">
        <f>RIGHT(D149,4)</f>
        <v/>
      </c>
      <c r="B149" s="35" t="inlineStr">
        <is>
          <t>ГРУДИНКА ПРЕМИУМ к/в мл/к в/у 0.3кг_50с</t>
        </is>
      </c>
      <c r="C149" s="50" t="inlineStr">
        <is>
          <t>ШТ</t>
        </is>
      </c>
      <c r="D149" s="51" t="n">
        <v>1001085637187</v>
      </c>
      <c r="E149" s="24" t="n">
        <v>183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САЛО СОЛЕНОЕ С ЧЕРНЫМ ПЕРЦЕМ мл/к в/у</t>
        </is>
      </c>
      <c r="C150" s="50" t="inlineStr">
        <is>
          <t>КГ</t>
        </is>
      </c>
      <c r="D150" s="51" t="n">
        <v>1001084856008</v>
      </c>
      <c r="E150" s="24" t="n">
        <v>28</v>
      </c>
      <c r="F150" s="23" t="n">
        <v>0.3</v>
      </c>
      <c r="G150" s="23">
        <f>E150</f>
        <v/>
      </c>
      <c r="H150" s="14" t="n">
        <v>1.8</v>
      </c>
      <c r="I150" s="14" t="n">
        <v>40</v>
      </c>
      <c r="J150" s="105" t="inlineStr">
        <is>
          <t>Новинка</t>
        </is>
      </c>
    </row>
    <row r="151">
      <c r="A151" s="109">
        <f>RIGHT(D151,4)</f>
        <v/>
      </c>
      <c r="B151" s="35" t="inlineStr">
        <is>
          <t>РЕБРЫШКИ к/в в/у_30c</t>
        </is>
      </c>
      <c r="C151" s="50" t="inlineStr">
        <is>
          <t>КГ</t>
        </is>
      </c>
      <c r="D151" s="51" t="n">
        <v>1001081596620</v>
      </c>
      <c r="E151" s="24" t="n"/>
      <c r="F151" s="23" t="n">
        <v>1.05</v>
      </c>
      <c r="G151" s="23">
        <f>E151</f>
        <v/>
      </c>
      <c r="H151" s="14" t="n">
        <v>3.15</v>
      </c>
      <c r="I151" s="14" t="n">
        <v>30</v>
      </c>
      <c r="J151" s="29" t="n"/>
    </row>
    <row r="152">
      <c r="A152" s="109">
        <f>RIGHT(D152,4)</f>
        <v/>
      </c>
      <c r="B152" s="35" t="inlineStr">
        <is>
          <t>БЕКОН Останкино с/к с/н в/у 1/180_50с</t>
        </is>
      </c>
      <c r="C152" s="50" t="inlineStr">
        <is>
          <t>ШТ</t>
        </is>
      </c>
      <c r="D152" s="51" t="n">
        <v>1001223297103</v>
      </c>
      <c r="E152" s="24" t="n"/>
      <c r="F152" s="23" t="n">
        <v>0.18</v>
      </c>
      <c r="G152" s="23">
        <f>E152*F152</f>
        <v/>
      </c>
      <c r="H152" s="14" t="n">
        <v>1.8</v>
      </c>
      <c r="I152" s="14" t="n">
        <v>50</v>
      </c>
      <c r="J152" s="29" t="n"/>
    </row>
    <row r="153">
      <c r="A153" s="109">
        <f>RIGHT(D153,4)</f>
        <v/>
      </c>
      <c r="B153" s="35" t="inlineStr">
        <is>
          <t>БЕКОН Папа может с/к с/н в/у 1/140_50с</t>
        </is>
      </c>
      <c r="C153" s="50" t="inlineStr">
        <is>
          <t>ШТ</t>
        </is>
      </c>
      <c r="D153" s="51" t="n">
        <v>1001223297092</v>
      </c>
      <c r="E153" s="24" t="n"/>
      <c r="F153" s="23" t="n">
        <v>0.14</v>
      </c>
      <c r="G153" s="23">
        <f>E153*F153</f>
        <v/>
      </c>
      <c r="H153" s="14" t="n">
        <v>1.4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МЯСНОЕ АССОРТИ к/з с/н мгс 1/90 10шт.</t>
        </is>
      </c>
      <c r="C154" s="50" t="inlineStr">
        <is>
          <t>ШТ</t>
        </is>
      </c>
      <c r="D154" s="51" t="n">
        <v>1001225416228</v>
      </c>
      <c r="E154" s="24" t="n">
        <v>80</v>
      </c>
      <c r="F154" s="23" t="n">
        <v>0.09</v>
      </c>
      <c r="G154" s="23">
        <f>E154*F154</f>
        <v/>
      </c>
      <c r="H154" s="14" t="n">
        <v>0.9</v>
      </c>
      <c r="I154" s="14" t="n">
        <v>45</v>
      </c>
      <c r="J154" s="29" t="n"/>
    </row>
    <row r="155">
      <c r="A155" s="109">
        <f>RIGHT(D155,4)</f>
        <v/>
      </c>
      <c r="B155" s="35" t="inlineStr">
        <is>
          <t>СВИНИНА МАДЕРА с/к с/н в/у 1/100 10шт.</t>
        </is>
      </c>
      <c r="C155" s="50" t="inlineStr">
        <is>
          <t>ШТ</t>
        </is>
      </c>
      <c r="D155" s="51" t="n">
        <v>1001234146448</v>
      </c>
      <c r="E155" s="24" t="n"/>
      <c r="F155" s="23" t="n">
        <v>0.1</v>
      </c>
      <c r="G155" s="23">
        <f>E155*F155</f>
        <v/>
      </c>
      <c r="H155" s="14" t="n">
        <v>1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ДЫМОВИЦА ИЗ ЛОПАТКИ ПМ к/в с/н в/у 1/150</t>
        </is>
      </c>
      <c r="C156" s="50" t="inlineStr">
        <is>
          <t>ШТ</t>
        </is>
      </c>
      <c r="D156" s="51" t="n">
        <v>1001220226208</v>
      </c>
      <c r="E156" s="24" t="n"/>
      <c r="F156" s="23" t="n">
        <v>0.15</v>
      </c>
      <c r="G156" s="23">
        <f>E156*F156</f>
        <v/>
      </c>
      <c r="H156" s="14" t="n">
        <v>1.5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БАЛЫК И ШЕЙКА с/в с/н мгс 1/90 8шт.</t>
        </is>
      </c>
      <c r="C157" s="50" t="inlineStr">
        <is>
          <t>ШТ</t>
        </is>
      </c>
      <c r="D157" s="51" t="n">
        <v>1001225406754</v>
      </c>
      <c r="E157" s="24" t="n"/>
      <c r="F157" s="23" t="n">
        <v>0.09</v>
      </c>
      <c r="G157" s="23">
        <f>E157*F157</f>
        <v/>
      </c>
      <c r="H157" s="14" t="n">
        <v>0.72</v>
      </c>
      <c r="I157" s="14" t="n">
        <v>60</v>
      </c>
      <c r="J157" s="29" t="n"/>
    </row>
    <row r="158">
      <c r="A158" s="109">
        <f>RIGHT(D158,4)</f>
        <v/>
      </c>
      <c r="B158" s="35" t="inlineStr">
        <is>
          <t>КОРЕЙКА ПО-ОСТ.к/в в/с с/н в/у 1/150_45с</t>
        </is>
      </c>
      <c r="C158" s="50" t="inlineStr">
        <is>
          <t>ШТ</t>
        </is>
      </c>
      <c r="D158" s="51" t="n">
        <v>1001220286279</v>
      </c>
      <c r="E158" s="24" t="n">
        <v>23</v>
      </c>
      <c r="F158" s="23" t="n">
        <v>0.15</v>
      </c>
      <c r="G158" s="23">
        <f>E158*F158</f>
        <v/>
      </c>
      <c r="H158" s="14" t="n">
        <v>1.2</v>
      </c>
      <c r="I158" s="14" t="n">
        <v>45</v>
      </c>
      <c r="J158" s="29" t="n"/>
    </row>
    <row r="159" ht="15.75" customHeight="1" s="104" thickBot="1">
      <c r="A159" s="109">
        <f>RIGHT(D159,4)</f>
        <v/>
      </c>
      <c r="B159" s="35" t="inlineStr">
        <is>
          <t>БАЛЫК с/к с/н в/у 1/100 10шт_Л11</t>
        </is>
      </c>
      <c r="C159" s="50" t="inlineStr">
        <is>
          <t>ШТ</t>
        </is>
      </c>
      <c r="D159" s="51" t="n">
        <v>1001453907612</v>
      </c>
      <c r="E159" s="24" t="n">
        <v>65</v>
      </c>
      <c r="F159" s="23" t="n">
        <v>0.1</v>
      </c>
      <c r="G159" s="23">
        <f>E159*F159</f>
        <v/>
      </c>
      <c r="H159" s="14" t="n">
        <v>1</v>
      </c>
      <c r="I159" s="14" t="n">
        <v>60</v>
      </c>
      <c r="J159" s="52" t="inlineStr">
        <is>
          <t>Ротация кода 7288</t>
        </is>
      </c>
    </row>
    <row r="160" ht="16.5" customHeight="1" s="104" thickBot="1" thickTop="1">
      <c r="A160" s="48" t="n"/>
      <c r="B160" s="45" t="inlineStr">
        <is>
          <t>ВСЕГО:</t>
        </is>
      </c>
      <c r="C160" s="16" t="n"/>
      <c r="D160" s="36" t="n"/>
      <c r="E160" s="17">
        <f>SUM(E10:E159)</f>
        <v/>
      </c>
      <c r="F160" s="17" t="n"/>
      <c r="G160" s="17">
        <f>SUM(G11:G159)</f>
        <v/>
      </c>
      <c r="H160" s="17" t="n"/>
      <c r="I160" s="17" t="n"/>
      <c r="J160" s="17" t="n"/>
    </row>
    <row r="161" ht="15.75" customHeight="1" s="104" thickTop="1">
      <c r="B161" s="37" t="n"/>
      <c r="C161" s="18" t="n"/>
      <c r="D161" s="40" t="n"/>
      <c r="F161" s="19" t="n"/>
      <c r="G161" s="19" t="n"/>
      <c r="H161" s="20" t="n"/>
      <c r="I161" s="20" t="n"/>
      <c r="J161" s="21" t="n"/>
    </row>
    <row r="162">
      <c r="B162" s="37" t="n"/>
      <c r="C162" s="18" t="n"/>
      <c r="D162" s="40" t="n"/>
      <c r="F162" s="19" t="n"/>
      <c r="G162" s="19" t="n"/>
      <c r="H162" s="20" t="n"/>
      <c r="I162" s="20" t="n"/>
      <c r="J162" s="21" t="n"/>
    </row>
    <row r="163">
      <c r="B163" s="37" t="n"/>
      <c r="C163" s="18" t="n"/>
      <c r="D163" s="40" t="n"/>
      <c r="F163" s="19" t="n"/>
      <c r="G163" s="19" t="n"/>
      <c r="H163" s="20" t="n"/>
      <c r="I163" s="20" t="n"/>
      <c r="J163" s="21" t="n"/>
    </row>
    <row r="164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2026-08-26T11:28:35Z</dcterms:modified>
  <cp:lastModifiedBy>Uaer4</cp:lastModifiedBy>
  <cp:lastPrinted>2015-01-13T07:32:10Z</cp:lastPrinted>
</cp:coreProperties>
</file>