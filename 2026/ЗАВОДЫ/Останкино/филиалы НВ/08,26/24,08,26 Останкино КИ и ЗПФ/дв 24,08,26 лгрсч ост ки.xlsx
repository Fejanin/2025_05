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5E34FAA1-26BB-4E65-A4C0-FB716F5659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1" i="1" l="1"/>
  <c r="AH34" i="1"/>
  <c r="AH70" i="1"/>
  <c r="AH86" i="1"/>
  <c r="R9" i="1"/>
  <c r="R10" i="1"/>
  <c r="AH10" i="1" s="1"/>
  <c r="R13" i="1"/>
  <c r="R18" i="1"/>
  <c r="AH18" i="1" s="1"/>
  <c r="R19" i="1"/>
  <c r="R20" i="1"/>
  <c r="AH20" i="1" s="1"/>
  <c r="R25" i="1"/>
  <c r="R30" i="1"/>
  <c r="AH30" i="1" s="1"/>
  <c r="R31" i="1"/>
  <c r="R33" i="1"/>
  <c r="R34" i="1"/>
  <c r="R35" i="1"/>
  <c r="R36" i="1"/>
  <c r="AH36" i="1" s="1"/>
  <c r="R40" i="1"/>
  <c r="AH40" i="1" s="1"/>
  <c r="R41" i="1"/>
  <c r="R42" i="1"/>
  <c r="AH42" i="1" s="1"/>
  <c r="R48" i="1"/>
  <c r="AH48" i="1" s="1"/>
  <c r="R53" i="1"/>
  <c r="R55" i="1"/>
  <c r="R56" i="1"/>
  <c r="AH56" i="1" s="1"/>
  <c r="R57" i="1"/>
  <c r="R63" i="1"/>
  <c r="R70" i="1"/>
  <c r="R74" i="1"/>
  <c r="AH74" i="1" s="1"/>
  <c r="R83" i="1"/>
  <c r="AH83" i="1" s="1"/>
  <c r="R85" i="1"/>
  <c r="AH85" i="1" s="1"/>
  <c r="R86" i="1"/>
  <c r="AH89" i="1"/>
  <c r="R90" i="1"/>
  <c r="AH90" i="1" s="1"/>
  <c r="R91" i="1"/>
  <c r="AH91" i="1" s="1"/>
  <c r="R92" i="1"/>
  <c r="AH92" i="1" s="1"/>
  <c r="R94" i="1"/>
  <c r="AH94" i="1" s="1"/>
  <c r="R95" i="1"/>
  <c r="AH95" i="1" s="1"/>
  <c r="R96" i="1"/>
  <c r="AH96" i="1" s="1"/>
  <c r="R98" i="1"/>
  <c r="AH98" i="1" s="1"/>
  <c r="R100" i="1"/>
  <c r="AH100" i="1" s="1"/>
  <c r="R101" i="1"/>
  <c r="AH101" i="1" s="1"/>
  <c r="R102" i="1"/>
  <c r="AH102" i="1" s="1"/>
  <c r="R104" i="1"/>
  <c r="AH104" i="1" s="1"/>
  <c r="R105" i="1"/>
  <c r="AH105" i="1" s="1"/>
  <c r="AH73" i="1" l="1"/>
  <c r="AH63" i="1"/>
  <c r="AH61" i="1"/>
  <c r="AH57" i="1"/>
  <c r="AH55" i="1"/>
  <c r="AH53" i="1"/>
  <c r="AH41" i="1"/>
  <c r="AH35" i="1"/>
  <c r="AH33" i="1"/>
  <c r="AH31" i="1"/>
  <c r="AH25" i="1"/>
  <c r="AH19" i="1"/>
  <c r="AH13" i="1"/>
  <c r="AH9" i="1"/>
  <c r="T7" i="1"/>
  <c r="T12" i="1"/>
  <c r="T14" i="1"/>
  <c r="T21" i="1"/>
  <c r="T22" i="1"/>
  <c r="T23" i="1"/>
  <c r="T24" i="1"/>
  <c r="T61" i="1"/>
  <c r="T71" i="1"/>
  <c r="T73" i="1"/>
  <c r="T84" i="1"/>
  <c r="T88" i="1"/>
  <c r="T89" i="1"/>
  <c r="T94" i="1"/>
  <c r="T98" i="1"/>
  <c r="S7" i="1"/>
  <c r="R7" i="1" s="1"/>
  <c r="AH7" i="1" s="1"/>
  <c r="S12" i="1"/>
  <c r="R12" i="1" s="1"/>
  <c r="S14" i="1"/>
  <c r="R14" i="1" s="1"/>
  <c r="AH14" i="1" s="1"/>
  <c r="S17" i="1"/>
  <c r="R17" i="1" s="1"/>
  <c r="AH17" i="1" s="1"/>
  <c r="S21" i="1"/>
  <c r="R21" i="1" s="1"/>
  <c r="S22" i="1"/>
  <c r="R22" i="1" s="1"/>
  <c r="S23" i="1"/>
  <c r="S24" i="1"/>
  <c r="R24" i="1" s="1"/>
  <c r="S61" i="1"/>
  <c r="R61" i="1" s="1"/>
  <c r="S71" i="1"/>
  <c r="R71" i="1" s="1"/>
  <c r="S73" i="1"/>
  <c r="R73" i="1" s="1"/>
  <c r="S84" i="1"/>
  <c r="S88" i="1"/>
  <c r="S89" i="1"/>
  <c r="P105" i="1" l="1"/>
  <c r="U105" i="1" s="1"/>
  <c r="L105" i="1"/>
  <c r="P104" i="1"/>
  <c r="L104" i="1"/>
  <c r="P103" i="1"/>
  <c r="L103" i="1"/>
  <c r="P102" i="1"/>
  <c r="L102" i="1"/>
  <c r="F102" i="1"/>
  <c r="P101" i="1"/>
  <c r="L101" i="1"/>
  <c r="F101" i="1"/>
  <c r="F100" i="1"/>
  <c r="E100" i="1"/>
  <c r="P100" i="1" s="1"/>
  <c r="P99" i="1"/>
  <c r="L99" i="1"/>
  <c r="F99" i="1"/>
  <c r="P98" i="1"/>
  <c r="U98" i="1" s="1"/>
  <c r="L98" i="1"/>
  <c r="P97" i="1"/>
  <c r="V97" i="1" s="1"/>
  <c r="L97" i="1"/>
  <c r="P96" i="1"/>
  <c r="U96" i="1" s="1"/>
  <c r="L96" i="1"/>
  <c r="P95" i="1"/>
  <c r="L95" i="1"/>
  <c r="P94" i="1"/>
  <c r="U94" i="1" s="1"/>
  <c r="L94" i="1"/>
  <c r="P93" i="1"/>
  <c r="L93" i="1"/>
  <c r="P92" i="1"/>
  <c r="L92" i="1"/>
  <c r="P91" i="1"/>
  <c r="L91" i="1"/>
  <c r="P90" i="1"/>
  <c r="L90" i="1"/>
  <c r="P89" i="1"/>
  <c r="U89" i="1" s="1"/>
  <c r="L89" i="1"/>
  <c r="P88" i="1"/>
  <c r="L88" i="1"/>
  <c r="P87" i="1"/>
  <c r="L87" i="1"/>
  <c r="P86" i="1"/>
  <c r="U86" i="1" s="1"/>
  <c r="L86" i="1"/>
  <c r="P85" i="1"/>
  <c r="U85" i="1" s="1"/>
  <c r="L85" i="1"/>
  <c r="P84" i="1"/>
  <c r="V84" i="1" s="1"/>
  <c r="L84" i="1"/>
  <c r="P83" i="1"/>
  <c r="L83" i="1"/>
  <c r="P82" i="1"/>
  <c r="Q82" i="1" s="1"/>
  <c r="R82" i="1" s="1"/>
  <c r="L82" i="1"/>
  <c r="P81" i="1"/>
  <c r="V81" i="1" s="1"/>
  <c r="L81" i="1"/>
  <c r="P80" i="1"/>
  <c r="Q80" i="1" s="1"/>
  <c r="R80" i="1" s="1"/>
  <c r="L80" i="1"/>
  <c r="P79" i="1"/>
  <c r="V79" i="1" s="1"/>
  <c r="L79" i="1"/>
  <c r="P78" i="1"/>
  <c r="Q78" i="1" s="1"/>
  <c r="R78" i="1" s="1"/>
  <c r="L78" i="1"/>
  <c r="P77" i="1"/>
  <c r="L77" i="1"/>
  <c r="P76" i="1"/>
  <c r="L76" i="1"/>
  <c r="P75" i="1"/>
  <c r="V75" i="1" s="1"/>
  <c r="L75" i="1"/>
  <c r="P74" i="1"/>
  <c r="U74" i="1" s="1"/>
  <c r="L74" i="1"/>
  <c r="P73" i="1"/>
  <c r="L73" i="1"/>
  <c r="P72" i="1"/>
  <c r="Q72" i="1" s="1"/>
  <c r="R72" i="1" s="1"/>
  <c r="L72" i="1"/>
  <c r="P71" i="1"/>
  <c r="V71" i="1" s="1"/>
  <c r="L71" i="1"/>
  <c r="P70" i="1"/>
  <c r="U70" i="1" s="1"/>
  <c r="L70" i="1"/>
  <c r="P69" i="1"/>
  <c r="L69" i="1"/>
  <c r="P68" i="1"/>
  <c r="L68" i="1"/>
  <c r="P67" i="1"/>
  <c r="V67" i="1" s="1"/>
  <c r="L67" i="1"/>
  <c r="P66" i="1"/>
  <c r="Q66" i="1" s="1"/>
  <c r="R66" i="1" s="1"/>
  <c r="L66" i="1"/>
  <c r="P65" i="1"/>
  <c r="V65" i="1" s="1"/>
  <c r="L65" i="1"/>
  <c r="P64" i="1"/>
  <c r="Q64" i="1" s="1"/>
  <c r="R64" i="1" s="1"/>
  <c r="L64" i="1"/>
  <c r="P63" i="1"/>
  <c r="U63" i="1" s="1"/>
  <c r="L63" i="1"/>
  <c r="P62" i="1"/>
  <c r="L62" i="1"/>
  <c r="F62" i="1"/>
  <c r="L61" i="1"/>
  <c r="P60" i="1"/>
  <c r="L60" i="1"/>
  <c r="P59" i="1"/>
  <c r="V59" i="1" s="1"/>
  <c r="L59" i="1"/>
  <c r="P58" i="1"/>
  <c r="L58" i="1"/>
  <c r="P57" i="1"/>
  <c r="U57" i="1" s="1"/>
  <c r="L57" i="1"/>
  <c r="P56" i="1"/>
  <c r="U56" i="1" s="1"/>
  <c r="L56" i="1"/>
  <c r="P55" i="1"/>
  <c r="L55" i="1"/>
  <c r="P54" i="1"/>
  <c r="Q54" i="1" s="1"/>
  <c r="R54" i="1" s="1"/>
  <c r="L54" i="1"/>
  <c r="P53" i="1"/>
  <c r="L53" i="1"/>
  <c r="P52" i="1"/>
  <c r="L52" i="1"/>
  <c r="P51" i="1"/>
  <c r="V51" i="1" s="1"/>
  <c r="L51" i="1"/>
  <c r="P50" i="1"/>
  <c r="Q50" i="1" s="1"/>
  <c r="R50" i="1" s="1"/>
  <c r="L50" i="1"/>
  <c r="P49" i="1"/>
  <c r="V49" i="1" s="1"/>
  <c r="L49" i="1"/>
  <c r="P48" i="1"/>
  <c r="U48" i="1" s="1"/>
  <c r="L48" i="1"/>
  <c r="P47" i="1"/>
  <c r="V47" i="1" s="1"/>
  <c r="L47" i="1"/>
  <c r="P46" i="1"/>
  <c r="L46" i="1"/>
  <c r="P45" i="1"/>
  <c r="V45" i="1" s="1"/>
  <c r="L45" i="1"/>
  <c r="P44" i="1"/>
  <c r="L44" i="1"/>
  <c r="P43" i="1"/>
  <c r="V43" i="1" s="1"/>
  <c r="L43" i="1"/>
  <c r="P42" i="1"/>
  <c r="U42" i="1" s="1"/>
  <c r="L42" i="1"/>
  <c r="P41" i="1"/>
  <c r="L41" i="1"/>
  <c r="P40" i="1"/>
  <c r="U40" i="1" s="1"/>
  <c r="L40" i="1"/>
  <c r="P39" i="1"/>
  <c r="V39" i="1" s="1"/>
  <c r="L39" i="1"/>
  <c r="P38" i="1"/>
  <c r="Q38" i="1" s="1"/>
  <c r="R38" i="1" s="1"/>
  <c r="L38" i="1"/>
  <c r="P37" i="1"/>
  <c r="V37" i="1" s="1"/>
  <c r="L37" i="1"/>
  <c r="P36" i="1"/>
  <c r="U36" i="1" s="1"/>
  <c r="L36" i="1"/>
  <c r="P35" i="1"/>
  <c r="U35" i="1" s="1"/>
  <c r="L35" i="1"/>
  <c r="P34" i="1"/>
  <c r="U34" i="1" s="1"/>
  <c r="L34" i="1"/>
  <c r="P33" i="1"/>
  <c r="U33" i="1" s="1"/>
  <c r="L33" i="1"/>
  <c r="P32" i="1"/>
  <c r="Q32" i="1" s="1"/>
  <c r="R32" i="1" s="1"/>
  <c r="L32" i="1"/>
  <c r="P31" i="1"/>
  <c r="L31" i="1"/>
  <c r="P30" i="1"/>
  <c r="U30" i="1" s="1"/>
  <c r="L30" i="1"/>
  <c r="P29" i="1"/>
  <c r="L29" i="1"/>
  <c r="P28" i="1"/>
  <c r="L28" i="1"/>
  <c r="P27" i="1"/>
  <c r="L27" i="1"/>
  <c r="P26" i="1"/>
  <c r="Q26" i="1" s="1"/>
  <c r="R26" i="1" s="1"/>
  <c r="L26" i="1"/>
  <c r="P25" i="1"/>
  <c r="U25" i="1" s="1"/>
  <c r="L25" i="1"/>
  <c r="P24" i="1"/>
  <c r="L24" i="1"/>
  <c r="P23" i="1"/>
  <c r="L23" i="1"/>
  <c r="P22" i="1"/>
  <c r="Q22" i="1" s="1"/>
  <c r="L22" i="1"/>
  <c r="P21" i="1"/>
  <c r="L21" i="1"/>
  <c r="P20" i="1"/>
  <c r="U20" i="1" s="1"/>
  <c r="L20" i="1"/>
  <c r="P19" i="1"/>
  <c r="U19" i="1" s="1"/>
  <c r="L19" i="1"/>
  <c r="P18" i="1"/>
  <c r="L18" i="1"/>
  <c r="P17" i="1"/>
  <c r="U17" i="1" s="1"/>
  <c r="L17" i="1"/>
  <c r="P16" i="1"/>
  <c r="L16" i="1"/>
  <c r="P15" i="1"/>
  <c r="Q15" i="1" s="1"/>
  <c r="R15" i="1" s="1"/>
  <c r="L15" i="1"/>
  <c r="P14" i="1"/>
  <c r="U14" i="1" s="1"/>
  <c r="L14" i="1"/>
  <c r="P13" i="1"/>
  <c r="U13" i="1" s="1"/>
  <c r="L13" i="1"/>
  <c r="P12" i="1"/>
  <c r="L12" i="1"/>
  <c r="P11" i="1"/>
  <c r="L11" i="1"/>
  <c r="P10" i="1"/>
  <c r="U10" i="1" s="1"/>
  <c r="L10" i="1"/>
  <c r="P9" i="1"/>
  <c r="U9" i="1" s="1"/>
  <c r="L9" i="1"/>
  <c r="P8" i="1"/>
  <c r="L8" i="1"/>
  <c r="P7" i="1"/>
  <c r="U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62" i="1" l="1"/>
  <c r="AH64" i="1"/>
  <c r="U64" i="1"/>
  <c r="AH66" i="1"/>
  <c r="U66" i="1"/>
  <c r="AH72" i="1"/>
  <c r="U72" i="1"/>
  <c r="V73" i="1"/>
  <c r="U73" i="1"/>
  <c r="U78" i="1"/>
  <c r="AH78" i="1"/>
  <c r="AH80" i="1"/>
  <c r="U80" i="1"/>
  <c r="U82" i="1"/>
  <c r="AH82" i="1"/>
  <c r="V83" i="1"/>
  <c r="U83" i="1"/>
  <c r="V90" i="1"/>
  <c r="U90" i="1"/>
  <c r="V91" i="1"/>
  <c r="U91" i="1"/>
  <c r="V92" i="1"/>
  <c r="U92" i="1"/>
  <c r="V95" i="1"/>
  <c r="U95" i="1"/>
  <c r="V101" i="1"/>
  <c r="U101" i="1"/>
  <c r="AH15" i="1"/>
  <c r="U15" i="1"/>
  <c r="V18" i="1"/>
  <c r="U18" i="1"/>
  <c r="AH22" i="1"/>
  <c r="U22" i="1"/>
  <c r="AH26" i="1"/>
  <c r="U26" i="1"/>
  <c r="V31" i="1"/>
  <c r="U31" i="1"/>
  <c r="AH32" i="1"/>
  <c r="U32" i="1"/>
  <c r="AH38" i="1"/>
  <c r="U38" i="1"/>
  <c r="V41" i="1"/>
  <c r="U41" i="1"/>
  <c r="AH50" i="1"/>
  <c r="U50" i="1"/>
  <c r="V53" i="1"/>
  <c r="U53" i="1"/>
  <c r="AH54" i="1"/>
  <c r="U54" i="1"/>
  <c r="V55" i="1"/>
  <c r="U55" i="1"/>
  <c r="V61" i="1"/>
  <c r="U61" i="1"/>
  <c r="U100" i="1"/>
  <c r="V102" i="1"/>
  <c r="U102" i="1"/>
  <c r="V104" i="1"/>
  <c r="U104" i="1"/>
  <c r="V85" i="1"/>
  <c r="Q71" i="1"/>
  <c r="Q65" i="1"/>
  <c r="R65" i="1" s="1"/>
  <c r="Q49" i="1"/>
  <c r="R49" i="1" s="1"/>
  <c r="E5" i="1"/>
  <c r="V33" i="1"/>
  <c r="Q62" i="1"/>
  <c r="R62" i="1" s="1"/>
  <c r="AH62" i="1" s="1"/>
  <c r="V63" i="1"/>
  <c r="Q51" i="1"/>
  <c r="R51" i="1" s="1"/>
  <c r="V14" i="1"/>
  <c r="V16" i="1"/>
  <c r="Q16" i="1"/>
  <c r="R16" i="1" s="1"/>
  <c r="V21" i="1"/>
  <c r="Q21" i="1"/>
  <c r="V23" i="1"/>
  <c r="Q23" i="1"/>
  <c r="V25" i="1"/>
  <c r="V27" i="1"/>
  <c r="Q27" i="1"/>
  <c r="R27" i="1" s="1"/>
  <c r="Q52" i="1"/>
  <c r="R52" i="1" s="1"/>
  <c r="V57" i="1"/>
  <c r="V88" i="1"/>
  <c r="Q88" i="1"/>
  <c r="V96" i="1"/>
  <c r="Q99" i="1"/>
  <c r="R99" i="1" s="1"/>
  <c r="AH99" i="1" s="1"/>
  <c r="Q43" i="1"/>
  <c r="R43" i="1" s="1"/>
  <c r="Q47" i="1"/>
  <c r="R47" i="1" s="1"/>
  <c r="F5" i="1"/>
  <c r="V6" i="1"/>
  <c r="Q6" i="1"/>
  <c r="R6" i="1" s="1"/>
  <c r="V8" i="1"/>
  <c r="Q8" i="1"/>
  <c r="R8" i="1" s="1"/>
  <c r="V10" i="1"/>
  <c r="V12" i="1"/>
  <c r="Q12" i="1"/>
  <c r="V19" i="1"/>
  <c r="V29" i="1"/>
  <c r="Q29" i="1"/>
  <c r="R29" i="1" s="1"/>
  <c r="V32" i="1"/>
  <c r="V69" i="1"/>
  <c r="Q69" i="1"/>
  <c r="R69" i="1" s="1"/>
  <c r="V77" i="1"/>
  <c r="Q77" i="1"/>
  <c r="R77" i="1" s="1"/>
  <c r="V93" i="1"/>
  <c r="Q93" i="1"/>
  <c r="R93" i="1" s="1"/>
  <c r="Q11" i="1"/>
  <c r="R11" i="1" s="1"/>
  <c r="Q24" i="1"/>
  <c r="Q28" i="1"/>
  <c r="R28" i="1" s="1"/>
  <c r="Q45" i="1"/>
  <c r="R45" i="1" s="1"/>
  <c r="Q59" i="1"/>
  <c r="R59" i="1" s="1"/>
  <c r="Q68" i="1"/>
  <c r="R68" i="1" s="1"/>
  <c r="Q76" i="1"/>
  <c r="R76" i="1" s="1"/>
  <c r="Q87" i="1"/>
  <c r="R87" i="1" s="1"/>
  <c r="Q37" i="1"/>
  <c r="R37" i="1" s="1"/>
  <c r="Q39" i="1"/>
  <c r="R39" i="1" s="1"/>
  <c r="Q44" i="1"/>
  <c r="R44" i="1" s="1"/>
  <c r="Q46" i="1"/>
  <c r="R46" i="1" s="1"/>
  <c r="Q58" i="1"/>
  <c r="R58" i="1" s="1"/>
  <c r="Q60" i="1"/>
  <c r="R60" i="1" s="1"/>
  <c r="Q67" i="1"/>
  <c r="R67" i="1" s="1"/>
  <c r="Q75" i="1"/>
  <c r="R75" i="1" s="1"/>
  <c r="Q79" i="1"/>
  <c r="R79" i="1" s="1"/>
  <c r="Q81" i="1"/>
  <c r="R81" i="1" s="1"/>
  <c r="Q84" i="1"/>
  <c r="Q97" i="1"/>
  <c r="R97" i="1" s="1"/>
  <c r="Q103" i="1"/>
  <c r="R103" i="1" s="1"/>
  <c r="V35" i="1"/>
  <c r="V87" i="1"/>
  <c r="V89" i="1"/>
  <c r="V99" i="1"/>
  <c r="V7" i="1"/>
  <c r="V9" i="1"/>
  <c r="V11" i="1"/>
  <c r="V13" i="1"/>
  <c r="V15" i="1"/>
  <c r="V17" i="1"/>
  <c r="V20" i="1"/>
  <c r="L100" i="1"/>
  <c r="L5" i="1" s="1"/>
  <c r="P5" i="1"/>
  <c r="V22" i="1"/>
  <c r="V24" i="1"/>
  <c r="V26" i="1"/>
  <c r="V28" i="1"/>
  <c r="V30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4" i="1"/>
  <c r="V66" i="1"/>
  <c r="V68" i="1"/>
  <c r="V70" i="1"/>
  <c r="V72" i="1"/>
  <c r="V74" i="1"/>
  <c r="V76" i="1"/>
  <c r="V78" i="1"/>
  <c r="V80" i="1"/>
  <c r="V82" i="1"/>
  <c r="V86" i="1"/>
  <c r="V94" i="1"/>
  <c r="V98" i="1"/>
  <c r="V100" i="1"/>
  <c r="V103" i="1"/>
  <c r="V105" i="1"/>
  <c r="AH97" i="1" l="1"/>
  <c r="U97" i="1"/>
  <c r="AH81" i="1"/>
  <c r="U81" i="1"/>
  <c r="AH75" i="1"/>
  <c r="U75" i="1"/>
  <c r="AH60" i="1"/>
  <c r="U60" i="1"/>
  <c r="AH46" i="1"/>
  <c r="U46" i="1"/>
  <c r="AH39" i="1"/>
  <c r="U39" i="1"/>
  <c r="AH87" i="1"/>
  <c r="U87" i="1"/>
  <c r="AH68" i="1"/>
  <c r="U68" i="1"/>
  <c r="AH45" i="1"/>
  <c r="U45" i="1"/>
  <c r="AH24" i="1"/>
  <c r="U24" i="1"/>
  <c r="AH93" i="1"/>
  <c r="U93" i="1"/>
  <c r="AH77" i="1"/>
  <c r="U77" i="1"/>
  <c r="AH69" i="1"/>
  <c r="U69" i="1"/>
  <c r="AH12" i="1"/>
  <c r="U12" i="1"/>
  <c r="AH47" i="1"/>
  <c r="U47" i="1"/>
  <c r="AH88" i="1"/>
  <c r="U88" i="1"/>
  <c r="AH27" i="1"/>
  <c r="U27" i="1"/>
  <c r="AH51" i="1"/>
  <c r="U51" i="1"/>
  <c r="AH65" i="1"/>
  <c r="U65" i="1"/>
  <c r="U99" i="1"/>
  <c r="AH103" i="1"/>
  <c r="U103" i="1"/>
  <c r="AH84" i="1"/>
  <c r="U84" i="1"/>
  <c r="AH79" i="1"/>
  <c r="U79" i="1"/>
  <c r="AH67" i="1"/>
  <c r="U67" i="1"/>
  <c r="AH58" i="1"/>
  <c r="U58" i="1"/>
  <c r="AH44" i="1"/>
  <c r="U44" i="1"/>
  <c r="AH37" i="1"/>
  <c r="U37" i="1"/>
  <c r="AH76" i="1"/>
  <c r="U76" i="1"/>
  <c r="AH59" i="1"/>
  <c r="U59" i="1"/>
  <c r="AH28" i="1"/>
  <c r="U28" i="1"/>
  <c r="AH11" i="1"/>
  <c r="U11" i="1"/>
  <c r="AH29" i="1"/>
  <c r="U29" i="1"/>
  <c r="AH8" i="1"/>
  <c r="U8" i="1"/>
  <c r="R5" i="1"/>
  <c r="U6" i="1"/>
  <c r="AH6" i="1"/>
  <c r="AH43" i="1"/>
  <c r="U43" i="1"/>
  <c r="AH52" i="1"/>
  <c r="U52" i="1"/>
  <c r="AH23" i="1"/>
  <c r="U23" i="1"/>
  <c r="AH21" i="1"/>
  <c r="U21" i="1"/>
  <c r="AH16" i="1"/>
  <c r="U16" i="1"/>
  <c r="AH49" i="1"/>
  <c r="U49" i="1"/>
  <c r="AH71" i="1"/>
  <c r="U71" i="1"/>
  <c r="U62" i="1"/>
  <c r="Q5" i="1"/>
  <c r="AH5" i="1" l="1"/>
</calcChain>
</file>

<file path=xl/sharedStrings.xml><?xml version="1.0" encoding="utf-8"?>
<sst xmlns="http://schemas.openxmlformats.org/spreadsheetml/2006/main" count="402" uniqueCount="168">
  <si>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</si>
  <si>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</si>
  <si>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</si>
  <si>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</si>
  <si>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</si>
  <si>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</si>
  <si>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</si>
  <si>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</si>
  <si>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</si>
  <si>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</si>
  <si>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</si>
  <si>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</si>
  <si>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</si>
  <si>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</si>
  <si>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</si>
  <si>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</si>
  <si>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</si>
  <si>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</si>
  <si>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</si>
  <si>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</si>
  <si>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</si>
  <si>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</si>
  <si>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</si>
  <si>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</si>
  <si>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</si>
  <si>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</si>
  <si>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</si>
  <si>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</si>
  <si>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</si>
  <si>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</si>
  <si>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</si>
  <si>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</si>
  <si>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</si>
  <si>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</si>
  <si>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</si>
  <si>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</si>
  <si>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</si>
  <si>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</si>
  <si>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</si>
  <si>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</si>
  <si>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</si>
  <si>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</si>
  <si>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</si>
  <si>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</si>
  <si>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</si>
  <si>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</si>
  <si>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</si>
  <si>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</si>
  <si>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</si>
  <si>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</si>
  <si>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</si>
  <si>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</si>
  <si>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</si>
  <si>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</si>
  <si>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</si>
  <si>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</si>
  <si>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</si>
  <si>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</si>
  <si>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</si>
  <si>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</si>
  <si>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</si>
  <si>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</si>
  <si>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</si>
  <si>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</si>
  <si>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</si>
  <si>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</si>
  <si>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</si>
  <si>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</si>
  <si>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</si>
  <si>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</si>
  <si>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</si>
  <si>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</si>
  <si>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</si>
  <si>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</si>
  <si>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</si>
  <si>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</si>
  <si>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</si>
  <si>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</si>
  <si>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</si>
  <si>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</si>
  <si>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</si>
  <si>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</si>
  <si>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</si>
  <si>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</si>
  <si>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</si>
  <si>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</si>
  <si>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</si>
  <si>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</si>
  <si>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</si>
  <si>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</si>
  <si>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</si>
  <si>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</si>
  <si>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</si>
  <si>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</si>
  <si>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</si>
  <si>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</si>
  <si>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</si>
  <si>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</si>
  <si>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</si>
  <si>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</si>
  <si>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</si>
  <si>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</si>
  <si>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</si>
  <si>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</si>
  <si>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</si>
  <si>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</si>
  <si>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</si>
  <si>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</si>
  <si>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</si>
  <si>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</si>
  <si>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</si>
  <si>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</si>
  <si>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</si>
  <si>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</si>
  <si>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</si>
  <si>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</si>
  <si>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</si>
  <si>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</si>
  <si>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</si>
  <si>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</si>
  <si>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</si>
  <si>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</si>
  <si>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</si>
  <si>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новинка / Главторг (1001304237156)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</si>
  <si>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</si>
  <si>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</si>
  <si>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</si>
  <si>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</si>
  <si>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</si>
  <si>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</si>
  <si>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</si>
  <si>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</si>
  <si>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</si>
  <si>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</si>
  <si>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</si>
  <si>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</si>
  <si>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</si>
  <si>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</si>
  <si>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</si>
  <si>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</si>
  <si>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</si>
  <si>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</si>
  <si>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</si>
  <si>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</si>
  <si>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</si>
  <si>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</si>
  <si>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</si>
  <si>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</si>
  <si>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</si>
  <si>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</si>
  <si>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</si>
  <si>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</si>
  <si>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</si>
  <si>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</si>
  <si>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</si>
  <si>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</si>
  <si>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</si>
  <si>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</si>
  <si>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</si>
  <si>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</si>
  <si>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новинка / Главторг (1001010108014)</t>
  </si>
  <si>
    <t>нужно увеличить продажи / плюсом 5 дней</t>
  </si>
  <si>
    <t>плюсом 5 дней / Главторг</t>
  </si>
  <si>
    <t>ТК</t>
  </si>
  <si>
    <t>Чепрасова</t>
  </si>
  <si>
    <t>заказ</t>
  </si>
  <si>
    <t>31,08,</t>
  </si>
  <si>
    <t>ком 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</si>
</sst>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408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S3" t="str">
            <v>кон ост</v>
          </cell>
          <cell r="T3" t="str">
            <v>факт</v>
          </cell>
          <cell r="U3" t="str">
            <v>ср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</row>
        <row r="4">
          <cell r="O4" t="str">
            <v>24,08,</v>
          </cell>
          <cell r="P4" t="str">
            <v>24,08,</v>
          </cell>
          <cell r="U4" t="str">
            <v>17,08,</v>
          </cell>
          <cell r="V4" t="str">
            <v>10,08,</v>
          </cell>
          <cell r="W4" t="str">
            <v>03,08,</v>
          </cell>
          <cell r="X4" t="str">
            <v>27,07,</v>
          </cell>
          <cell r="Y4" t="str">
            <v>20,07,</v>
          </cell>
          <cell r="Z4" t="str">
            <v>13,07,</v>
          </cell>
          <cell r="AA4" t="str">
            <v>06,07,</v>
          </cell>
          <cell r="AB4" t="str">
            <v>29,06,</v>
          </cell>
          <cell r="AC4" t="str">
            <v>22,06,</v>
          </cell>
          <cell r="AD4" t="str">
            <v>15,06,</v>
          </cell>
        </row>
        <row r="5">
          <cell r="E5">
            <v>13409.137999999999</v>
          </cell>
          <cell r="F5">
            <v>11386.553</v>
          </cell>
          <cell r="K5">
            <v>14556.337000000001</v>
          </cell>
          <cell r="L5">
            <v>-1147.1990000000001</v>
          </cell>
          <cell r="M5">
            <v>0</v>
          </cell>
          <cell r="N5">
            <v>0</v>
          </cell>
          <cell r="O5">
            <v>23882</v>
          </cell>
          <cell r="P5">
            <v>2681.8276000000001</v>
          </cell>
          <cell r="Q5">
            <v>8473.3029999999981</v>
          </cell>
          <cell r="U5">
            <v>3132.7850000000003</v>
          </cell>
          <cell r="V5">
            <v>2501.5754000000006</v>
          </cell>
          <cell r="W5">
            <v>2490.3054000000002</v>
          </cell>
          <cell r="X5">
            <v>2766.8539999999998</v>
          </cell>
          <cell r="Y5">
            <v>2317.1965999999998</v>
          </cell>
          <cell r="Z5">
            <v>2342.6428000000001</v>
          </cell>
          <cell r="AA5">
            <v>2526.3990000000008</v>
          </cell>
          <cell r="AB5">
            <v>2451.4038000000005</v>
          </cell>
          <cell r="AC5">
            <v>2386.7381999999993</v>
          </cell>
          <cell r="AD5">
            <v>1715.5342000000005</v>
          </cell>
          <cell r="AF5" t="str">
            <v xml:space="preserve">Комментарий 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180</v>
          </cell>
          <cell r="D6">
            <v>56</v>
          </cell>
          <cell r="E6">
            <v>101</v>
          </cell>
          <cell r="F6">
            <v>124</v>
          </cell>
          <cell r="G6">
            <v>0.4</v>
          </cell>
          <cell r="H6">
            <v>60</v>
          </cell>
          <cell r="I6" t="str">
            <v>матрица</v>
          </cell>
          <cell r="K6">
            <v>103</v>
          </cell>
          <cell r="L6">
            <v>-2</v>
          </cell>
          <cell r="O6">
            <v>146</v>
          </cell>
          <cell r="P6">
            <v>20.2</v>
          </cell>
          <cell r="Q6">
            <v>33</v>
          </cell>
          <cell r="S6">
            <v>15</v>
          </cell>
          <cell r="T6">
            <v>13.366336633663368</v>
          </cell>
          <cell r="U6">
            <v>22.6</v>
          </cell>
          <cell r="V6">
            <v>23.2</v>
          </cell>
          <cell r="W6">
            <v>21.8</v>
          </cell>
          <cell r="X6">
            <v>34.4</v>
          </cell>
          <cell r="Y6">
            <v>33.4</v>
          </cell>
          <cell r="Z6">
            <v>17.2</v>
          </cell>
          <cell r="AA6">
            <v>43.6</v>
          </cell>
          <cell r="AB6">
            <v>24.8</v>
          </cell>
          <cell r="AC6">
            <v>43.4</v>
          </cell>
          <cell r="AD6">
            <v>17.600000000000001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27.867000000000001</v>
          </cell>
          <cell r="E7">
            <v>12.523</v>
          </cell>
          <cell r="F7">
            <v>14.356999999999999</v>
          </cell>
          <cell r="G7">
            <v>1</v>
          </cell>
          <cell r="H7">
            <v>120</v>
          </cell>
          <cell r="I7" t="str">
            <v>матрица</v>
          </cell>
          <cell r="K7">
            <v>12.6</v>
          </cell>
          <cell r="L7">
            <v>-7.6999999999999957E-2</v>
          </cell>
          <cell r="O7">
            <v>38</v>
          </cell>
          <cell r="P7">
            <v>2.5045999999999999</v>
          </cell>
          <cell r="R7">
            <v>30</v>
          </cell>
          <cell r="S7">
            <v>20.904336021720034</v>
          </cell>
          <cell r="T7">
            <v>20.904336021720034</v>
          </cell>
          <cell r="U7">
            <v>4.4005999999999998</v>
          </cell>
          <cell r="V7">
            <v>1.4883999999999999</v>
          </cell>
          <cell r="W7">
            <v>3.4176000000000002</v>
          </cell>
          <cell r="X7">
            <v>1.4923999999999999</v>
          </cell>
          <cell r="Y7">
            <v>1.8888</v>
          </cell>
          <cell r="Z7">
            <v>1.8835999999999999</v>
          </cell>
          <cell r="AA7">
            <v>1.478</v>
          </cell>
          <cell r="AB7">
            <v>0.86699999999999999</v>
          </cell>
          <cell r="AC7">
            <v>1.7609999999999999</v>
          </cell>
          <cell r="AD7">
            <v>0.69940000000000002</v>
          </cell>
          <cell r="AE7" t="str">
            <v>плюсом 5 дней</v>
          </cell>
          <cell r="AF7" t="str">
            <v xml:space="preserve">Для опта 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120</v>
          </cell>
          <cell r="E8">
            <v>52</v>
          </cell>
          <cell r="F8">
            <v>67</v>
          </cell>
          <cell r="G8">
            <v>0.25</v>
          </cell>
          <cell r="H8">
            <v>120</v>
          </cell>
          <cell r="I8" t="str">
            <v>матрица</v>
          </cell>
          <cell r="K8">
            <v>52</v>
          </cell>
          <cell r="L8">
            <v>0</v>
          </cell>
          <cell r="O8">
            <v>79</v>
          </cell>
          <cell r="P8">
            <v>10.4</v>
          </cell>
          <cell r="Q8">
            <v>10</v>
          </cell>
          <cell r="S8">
            <v>15</v>
          </cell>
          <cell r="T8">
            <v>14.038461538461538</v>
          </cell>
          <cell r="U8">
            <v>12.6</v>
          </cell>
          <cell r="V8">
            <v>8.4</v>
          </cell>
          <cell r="W8">
            <v>11.4</v>
          </cell>
          <cell r="X8">
            <v>13.6</v>
          </cell>
          <cell r="Y8">
            <v>8.1999999999999993</v>
          </cell>
          <cell r="Z8">
            <v>10.199999999999999</v>
          </cell>
          <cell r="AA8">
            <v>7</v>
          </cell>
          <cell r="AB8">
            <v>11.4</v>
          </cell>
          <cell r="AC8">
            <v>10.199999999999999</v>
          </cell>
          <cell r="AD8">
            <v>7.8</v>
          </cell>
          <cell r="AE8" t="str">
            <v>плюсом 5 дней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612.07600000000002</v>
          </cell>
          <cell r="D9">
            <v>592.36900000000003</v>
          </cell>
          <cell r="E9">
            <v>562.22500000000002</v>
          </cell>
          <cell r="F9">
            <v>492.11900000000003</v>
          </cell>
          <cell r="G9">
            <v>1</v>
          </cell>
          <cell r="H9">
            <v>60</v>
          </cell>
          <cell r="I9" t="str">
            <v>матрица</v>
          </cell>
          <cell r="K9">
            <v>550.1</v>
          </cell>
          <cell r="L9">
            <v>12.125</v>
          </cell>
          <cell r="O9">
            <v>1855</v>
          </cell>
          <cell r="P9">
            <v>112.44500000000001</v>
          </cell>
          <cell r="S9">
            <v>20.873484814798346</v>
          </cell>
          <cell r="T9">
            <v>20.873484814798346</v>
          </cell>
          <cell r="U9">
            <v>197.815</v>
          </cell>
          <cell r="V9">
            <v>137.0042</v>
          </cell>
          <cell r="W9">
            <v>134.93719999999999</v>
          </cell>
          <cell r="X9">
            <v>131.2398</v>
          </cell>
          <cell r="Y9">
            <v>130.73500000000001</v>
          </cell>
          <cell r="Z9">
            <v>106.291</v>
          </cell>
          <cell r="AA9">
            <v>127.9742</v>
          </cell>
          <cell r="AB9">
            <v>158.0384</v>
          </cell>
          <cell r="AC9">
            <v>114.2396</v>
          </cell>
          <cell r="AD9">
            <v>81.876400000000004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50.183999999999997</v>
          </cell>
          <cell r="E10">
            <v>11.061</v>
          </cell>
          <cell r="F10">
            <v>38.113</v>
          </cell>
          <cell r="G10">
            <v>1</v>
          </cell>
          <cell r="H10">
            <v>120</v>
          </cell>
          <cell r="I10" t="str">
            <v>матрица</v>
          </cell>
          <cell r="K10">
            <v>11.4</v>
          </cell>
          <cell r="L10">
            <v>-0.33900000000000041</v>
          </cell>
          <cell r="O10">
            <v>118</v>
          </cell>
          <cell r="P10">
            <v>2.2122000000000002</v>
          </cell>
          <cell r="S10">
            <v>70.569116716390923</v>
          </cell>
          <cell r="T10">
            <v>70.569116716390923</v>
          </cell>
          <cell r="U10">
            <v>12.5686</v>
          </cell>
          <cell r="V10">
            <v>1.1908000000000001</v>
          </cell>
          <cell r="W10">
            <v>6.0011999999999999</v>
          </cell>
          <cell r="X10">
            <v>5.9808000000000003</v>
          </cell>
          <cell r="Y10">
            <v>1.9032</v>
          </cell>
          <cell r="Z10">
            <v>4.1360000000000001</v>
          </cell>
          <cell r="AA10">
            <v>5.2065999999999999</v>
          </cell>
          <cell r="AB10">
            <v>5.0554000000000006</v>
          </cell>
          <cell r="AC10">
            <v>3.4813999999999998</v>
          </cell>
          <cell r="AD10">
            <v>2.581</v>
          </cell>
          <cell r="AE10" t="str">
            <v>нужно увеличить продажи / плюсом 5 дней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160.23400000000001</v>
          </cell>
          <cell r="D11">
            <v>216.22200000000001</v>
          </cell>
          <cell r="E11">
            <v>229.31899999999999</v>
          </cell>
          <cell r="F11">
            <v>119.843</v>
          </cell>
          <cell r="G11">
            <v>1</v>
          </cell>
          <cell r="H11">
            <v>60</v>
          </cell>
          <cell r="I11" t="str">
            <v>ВНИМАНИЕ / матрица</v>
          </cell>
          <cell r="K11">
            <v>229</v>
          </cell>
          <cell r="L11">
            <v>0.3189999999999884</v>
          </cell>
          <cell r="O11">
            <v>386</v>
          </cell>
          <cell r="P11">
            <v>45.863799999999998</v>
          </cell>
          <cell r="Q11">
            <v>182.11399999999998</v>
          </cell>
          <cell r="S11">
            <v>15</v>
          </cell>
          <cell r="T11">
            <v>11.029243106763941</v>
          </cell>
          <cell r="U11">
            <v>58.744199999999999</v>
          </cell>
          <cell r="V11">
            <v>34.620800000000003</v>
          </cell>
          <cell r="W11">
            <v>39.8292</v>
          </cell>
          <cell r="X11">
            <v>35.140799999999999</v>
          </cell>
          <cell r="Y11">
            <v>33.511200000000002</v>
          </cell>
          <cell r="Z11">
            <v>35.875999999999998</v>
          </cell>
          <cell r="AA11">
            <v>29.587199999999999</v>
          </cell>
          <cell r="AB11">
            <v>41.221200000000003</v>
          </cell>
          <cell r="AC11">
            <v>41.714599999999997</v>
          </cell>
          <cell r="AD11">
            <v>32.321800000000003</v>
          </cell>
          <cell r="AE11" t="str">
            <v>Главторг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441.959</v>
          </cell>
          <cell r="D12">
            <v>130.16200000000001</v>
          </cell>
          <cell r="E12">
            <v>268.887</v>
          </cell>
          <cell r="F12">
            <v>268.67599999999999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263.89999999999998</v>
          </cell>
          <cell r="L12">
            <v>4.9870000000000232</v>
          </cell>
          <cell r="O12">
            <v>331</v>
          </cell>
          <cell r="P12">
            <v>53.7774</v>
          </cell>
          <cell r="Q12">
            <v>206.98500000000007</v>
          </cell>
          <cell r="R12">
            <v>307</v>
          </cell>
          <cell r="S12">
            <v>15.000000000000002</v>
          </cell>
          <cell r="T12">
            <v>11.151078334021353</v>
          </cell>
          <cell r="U12">
            <v>54.776000000000003</v>
          </cell>
          <cell r="V12">
            <v>52.153200000000012</v>
          </cell>
          <cell r="W12">
            <v>61.439399999999999</v>
          </cell>
          <cell r="X12">
            <v>52.1158</v>
          </cell>
          <cell r="Y12">
            <v>47.906799999999997</v>
          </cell>
          <cell r="Z12">
            <v>52.508600000000001</v>
          </cell>
          <cell r="AA12">
            <v>44.505399999999987</v>
          </cell>
          <cell r="AB12">
            <v>67.460999999999999</v>
          </cell>
          <cell r="AC12">
            <v>68.896199999999993</v>
          </cell>
          <cell r="AD12">
            <v>59.059800000000003</v>
          </cell>
          <cell r="AF12" t="str">
            <v>Потребность для ОТПа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106</v>
          </cell>
          <cell r="E13">
            <v>36</v>
          </cell>
          <cell r="F13">
            <v>66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37</v>
          </cell>
          <cell r="L13">
            <v>-1</v>
          </cell>
          <cell r="O13">
            <v>74</v>
          </cell>
          <cell r="P13">
            <v>7.2</v>
          </cell>
          <cell r="S13">
            <v>19.444444444444443</v>
          </cell>
          <cell r="T13">
            <v>19.444444444444443</v>
          </cell>
          <cell r="U13">
            <v>11.8</v>
          </cell>
          <cell r="V13">
            <v>8.6</v>
          </cell>
          <cell r="W13">
            <v>10.6</v>
          </cell>
          <cell r="X13">
            <v>12.4</v>
          </cell>
          <cell r="Y13">
            <v>14.4</v>
          </cell>
          <cell r="Z13">
            <v>15.4</v>
          </cell>
          <cell r="AA13">
            <v>17.399999999999999</v>
          </cell>
          <cell r="AB13">
            <v>15.8</v>
          </cell>
          <cell r="AC13">
            <v>8.8000000000000007</v>
          </cell>
          <cell r="AD13">
            <v>11.6</v>
          </cell>
          <cell r="AE13" t="str">
            <v>плюсом 5 дней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10.571999999999999</v>
          </cell>
          <cell r="D14">
            <v>114.694</v>
          </cell>
          <cell r="E14">
            <v>38.216999999999999</v>
          </cell>
          <cell r="F14">
            <v>73.501999999999995</v>
          </cell>
          <cell r="G14">
            <v>1</v>
          </cell>
          <cell r="H14">
            <v>60</v>
          </cell>
          <cell r="I14" t="str">
            <v>матрица</v>
          </cell>
          <cell r="K14">
            <v>57.75</v>
          </cell>
          <cell r="L14">
            <v>-19.533000000000001</v>
          </cell>
          <cell r="O14">
            <v>140</v>
          </cell>
          <cell r="P14">
            <v>7.6433999999999997</v>
          </cell>
          <cell r="R14">
            <v>50</v>
          </cell>
          <cell r="S14">
            <v>27.932857105476621</v>
          </cell>
          <cell r="T14">
            <v>27.932857105476621</v>
          </cell>
          <cell r="U14">
            <v>14.446</v>
          </cell>
          <cell r="V14">
            <v>12.6616</v>
          </cell>
          <cell r="W14">
            <v>8.7745999999999995</v>
          </cell>
          <cell r="X14">
            <v>7.3464</v>
          </cell>
          <cell r="Y14">
            <v>9.1446000000000005</v>
          </cell>
          <cell r="Z14">
            <v>6.1369999999999996</v>
          </cell>
          <cell r="AA14">
            <v>15.6576</v>
          </cell>
          <cell r="AB14">
            <v>16.722799999999999</v>
          </cell>
          <cell r="AC14">
            <v>16.991</v>
          </cell>
          <cell r="AD14">
            <v>7.2417999999999996</v>
          </cell>
          <cell r="AF14" t="str">
            <v>Потребность для ОТПа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415</v>
          </cell>
          <cell r="D15">
            <v>248</v>
          </cell>
          <cell r="E15">
            <v>192</v>
          </cell>
          <cell r="F15">
            <v>462</v>
          </cell>
          <cell r="G15">
            <v>0.25</v>
          </cell>
          <cell r="H15">
            <v>120</v>
          </cell>
          <cell r="I15" t="str">
            <v>ВНИМАНИЕ / матрица</v>
          </cell>
          <cell r="K15">
            <v>193</v>
          </cell>
          <cell r="L15">
            <v>-1</v>
          </cell>
          <cell r="O15">
            <v>0</v>
          </cell>
          <cell r="P15">
            <v>38.4</v>
          </cell>
          <cell r="Q15">
            <v>75.600000000000023</v>
          </cell>
          <cell r="S15">
            <v>14.000000000000002</v>
          </cell>
          <cell r="T15">
            <v>12.03125</v>
          </cell>
          <cell r="U15">
            <v>24.2</v>
          </cell>
          <cell r="V15">
            <v>15.6</v>
          </cell>
          <cell r="W15">
            <v>29.6</v>
          </cell>
          <cell r="X15">
            <v>22.2</v>
          </cell>
          <cell r="Y15">
            <v>26.8</v>
          </cell>
          <cell r="Z15">
            <v>19.600000000000001</v>
          </cell>
          <cell r="AA15">
            <v>19.8</v>
          </cell>
          <cell r="AB15">
            <v>15.4</v>
          </cell>
          <cell r="AC15">
            <v>22.2</v>
          </cell>
          <cell r="AD15">
            <v>16.2</v>
          </cell>
          <cell r="AE15" t="str">
            <v>плюсом 5 дней / Главторг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288</v>
          </cell>
          <cell r="E16">
            <v>93</v>
          </cell>
          <cell r="F16">
            <v>184</v>
          </cell>
          <cell r="G16">
            <v>0.4</v>
          </cell>
          <cell r="H16">
            <v>60</v>
          </cell>
          <cell r="I16" t="str">
            <v>матрица</v>
          </cell>
          <cell r="K16">
            <v>93</v>
          </cell>
          <cell r="L16">
            <v>0</v>
          </cell>
          <cell r="O16">
            <v>68</v>
          </cell>
          <cell r="P16">
            <v>18.600000000000001</v>
          </cell>
          <cell r="Q16">
            <v>27</v>
          </cell>
          <cell r="S16">
            <v>14.999999999999998</v>
          </cell>
          <cell r="T16">
            <v>13.548387096774192</v>
          </cell>
          <cell r="U16">
            <v>22.4</v>
          </cell>
          <cell r="V16">
            <v>16.399999999999999</v>
          </cell>
          <cell r="W16">
            <v>31.4</v>
          </cell>
          <cell r="X16">
            <v>28.8</v>
          </cell>
          <cell r="Y16">
            <v>21</v>
          </cell>
          <cell r="Z16">
            <v>22.2</v>
          </cell>
          <cell r="AA16">
            <v>24.8</v>
          </cell>
          <cell r="AB16">
            <v>28.4</v>
          </cell>
          <cell r="AC16">
            <v>25.2</v>
          </cell>
          <cell r="AD16">
            <v>23.4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413.94099999999997</v>
          </cell>
          <cell r="E17">
            <v>252.76400000000001</v>
          </cell>
          <cell r="F17">
            <v>76.027000000000001</v>
          </cell>
          <cell r="G17">
            <v>1</v>
          </cell>
          <cell r="H17">
            <v>45</v>
          </cell>
          <cell r="I17" t="str">
            <v>матрица</v>
          </cell>
          <cell r="K17">
            <v>248</v>
          </cell>
          <cell r="L17">
            <v>4.76400000000001</v>
          </cell>
          <cell r="O17">
            <v>704</v>
          </cell>
          <cell r="P17">
            <v>50.552800000000005</v>
          </cell>
          <cell r="R17">
            <v>150</v>
          </cell>
          <cell r="S17">
            <v>15.429946511370289</v>
          </cell>
          <cell r="T17">
            <v>15.429946511370289</v>
          </cell>
          <cell r="U17">
            <v>79.149000000000001</v>
          </cell>
          <cell r="V17">
            <v>31.593</v>
          </cell>
          <cell r="W17">
            <v>57.8962</v>
          </cell>
          <cell r="X17">
            <v>45.760599999999997</v>
          </cell>
          <cell r="Y17">
            <v>39.785200000000003</v>
          </cell>
          <cell r="Z17">
            <v>38.865600000000001</v>
          </cell>
          <cell r="AA17">
            <v>68.392799999999994</v>
          </cell>
          <cell r="AB17">
            <v>51.933999999999997</v>
          </cell>
          <cell r="AC17">
            <v>60.9788</v>
          </cell>
          <cell r="AD17">
            <v>39.086200000000012</v>
          </cell>
        </row>
        <row r="18">
          <cell r="A18" t="str">
            <v>5675 АРОМАТНАЯ с/к с/н в/у 1/100*8_60с  ОСТАНКИНО</v>
          </cell>
          <cell r="B18" t="str">
            <v>шт</v>
          </cell>
          <cell r="C18">
            <v>-1</v>
          </cell>
          <cell r="F18">
            <v>-1</v>
          </cell>
          <cell r="G18">
            <v>0</v>
          </cell>
          <cell r="H18">
            <v>60</v>
          </cell>
          <cell r="I18" t="str">
            <v>не в матрице</v>
          </cell>
          <cell r="J18" t="str">
            <v>7613 АРОМАТНАЯ с/к с/н в/у 1/100 10шт_Л10  ОСТАНКИНО</v>
          </cell>
          <cell r="L18">
            <v>0</v>
          </cell>
          <cell r="O18">
            <v>0</v>
          </cell>
          <cell r="P18">
            <v>0</v>
          </cell>
          <cell r="S18" t="e">
            <v>#DIV/0!</v>
          </cell>
          <cell r="T18" t="e">
            <v>#DIV/0!</v>
          </cell>
          <cell r="U18">
            <v>0.2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36.832999999999998</v>
          </cell>
          <cell r="D19">
            <v>56.359000000000002</v>
          </cell>
          <cell r="E19">
            <v>34.292999999999999</v>
          </cell>
          <cell r="F19">
            <v>57.878999999999998</v>
          </cell>
          <cell r="G19">
            <v>1</v>
          </cell>
          <cell r="H19">
            <v>120</v>
          </cell>
          <cell r="I19" t="str">
            <v>матрица</v>
          </cell>
          <cell r="K19">
            <v>34.299999999999997</v>
          </cell>
          <cell r="L19">
            <v>-6.9999999999978968E-3</v>
          </cell>
          <cell r="O19">
            <v>90</v>
          </cell>
          <cell r="P19">
            <v>6.8586</v>
          </cell>
          <cell r="S19">
            <v>21.56110576502493</v>
          </cell>
          <cell r="T19">
            <v>21.56110576502493</v>
          </cell>
          <cell r="U19">
            <v>10.388</v>
          </cell>
          <cell r="V19">
            <v>6.5549999999999997</v>
          </cell>
          <cell r="W19">
            <v>6.0965999999999996</v>
          </cell>
          <cell r="X19">
            <v>6.2720000000000002</v>
          </cell>
          <cell r="Y19">
            <v>2.3835999999999999</v>
          </cell>
          <cell r="Z19">
            <v>3.8856000000000002</v>
          </cell>
          <cell r="AA19">
            <v>5.7060000000000004</v>
          </cell>
          <cell r="AB19">
            <v>6.0518000000000001</v>
          </cell>
          <cell r="AC19">
            <v>3.9136000000000002</v>
          </cell>
          <cell r="AD19">
            <v>2.1107999999999998</v>
          </cell>
          <cell r="AE19" t="str">
            <v>плюсом 5 дней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128</v>
          </cell>
          <cell r="E20">
            <v>52</v>
          </cell>
          <cell r="F20">
            <v>69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73</v>
          </cell>
          <cell r="L20">
            <v>-21</v>
          </cell>
          <cell r="O20">
            <v>120</v>
          </cell>
          <cell r="P20">
            <v>10.4</v>
          </cell>
          <cell r="S20">
            <v>18.173076923076923</v>
          </cell>
          <cell r="T20">
            <v>18.173076923076923</v>
          </cell>
          <cell r="U20">
            <v>12</v>
          </cell>
          <cell r="V20">
            <v>13.4</v>
          </cell>
          <cell r="W20">
            <v>8.4</v>
          </cell>
          <cell r="X20">
            <v>10.8</v>
          </cell>
          <cell r="Y20">
            <v>9.1999999999999993</v>
          </cell>
          <cell r="Z20">
            <v>16.600000000000001</v>
          </cell>
          <cell r="AA20">
            <v>12.8</v>
          </cell>
          <cell r="AB20">
            <v>17.600000000000001</v>
          </cell>
          <cell r="AC20">
            <v>10.8</v>
          </cell>
          <cell r="AD20">
            <v>15.2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217.67599999999999</v>
          </cell>
          <cell r="D21">
            <v>8.0920000000000005</v>
          </cell>
          <cell r="E21">
            <v>221.71799999999999</v>
          </cell>
          <cell r="F21">
            <v>2.2450000000000001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268.24200000000002</v>
          </cell>
          <cell r="L21">
            <v>-46.524000000000029</v>
          </cell>
          <cell r="O21">
            <v>489</v>
          </cell>
          <cell r="P21">
            <v>44.343599999999995</v>
          </cell>
          <cell r="Q21">
            <v>173.90899999999988</v>
          </cell>
          <cell r="R21">
            <v>250</v>
          </cell>
          <cell r="S21">
            <v>14.999999999999998</v>
          </cell>
          <cell r="T21">
            <v>11.078148819671837</v>
          </cell>
          <cell r="U21">
            <v>53.409799999999997</v>
          </cell>
          <cell r="V21">
            <v>29.607600000000001</v>
          </cell>
          <cell r="W21">
            <v>39.871600000000001</v>
          </cell>
          <cell r="X21">
            <v>43.782400000000003</v>
          </cell>
          <cell r="Y21">
            <v>35.393999999999998</v>
          </cell>
          <cell r="Z21">
            <v>51.526599999999988</v>
          </cell>
          <cell r="AA21">
            <v>31.503599999999999</v>
          </cell>
          <cell r="AB21">
            <v>52.622599999999998</v>
          </cell>
          <cell r="AC21">
            <v>44.615600000000001</v>
          </cell>
          <cell r="AD21">
            <v>46.076799999999999</v>
          </cell>
          <cell r="AF21" t="str">
            <v>Потребность для ОТПа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878</v>
          </cell>
          <cell r="E22">
            <v>477</v>
          </cell>
          <cell r="F22">
            <v>378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477</v>
          </cell>
          <cell r="L22">
            <v>0</v>
          </cell>
          <cell r="O22">
            <v>608</v>
          </cell>
          <cell r="P22">
            <v>95.4</v>
          </cell>
          <cell r="Q22">
            <v>445</v>
          </cell>
          <cell r="R22">
            <v>600</v>
          </cell>
          <cell r="S22">
            <v>14.999999999999998</v>
          </cell>
          <cell r="T22">
            <v>10.335429769392032</v>
          </cell>
          <cell r="U22">
            <v>97.4</v>
          </cell>
          <cell r="V22">
            <v>81.8</v>
          </cell>
          <cell r="W22">
            <v>78.400000000000006</v>
          </cell>
          <cell r="X22">
            <v>92.2</v>
          </cell>
          <cell r="Y22">
            <v>66.2</v>
          </cell>
          <cell r="Z22">
            <v>109.8</v>
          </cell>
          <cell r="AA22">
            <v>89.8</v>
          </cell>
          <cell r="AB22">
            <v>30.6</v>
          </cell>
          <cell r="AC22">
            <v>80.599999999999994</v>
          </cell>
          <cell r="AD22">
            <v>37.799999999999997</v>
          </cell>
          <cell r="AE22" t="str">
            <v>плюсом 5 дней</v>
          </cell>
          <cell r="AF22" t="str">
            <v xml:space="preserve">Главторг акция 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3.76</v>
          </cell>
          <cell r="D23">
            <v>38.018000000000001</v>
          </cell>
          <cell r="E23">
            <v>30.021000000000001</v>
          </cell>
          <cell r="F23">
            <v>4.7480000000000002</v>
          </cell>
          <cell r="G23">
            <v>1</v>
          </cell>
          <cell r="H23">
            <v>40</v>
          </cell>
          <cell r="I23" t="str">
            <v>матрица</v>
          </cell>
          <cell r="K23">
            <v>36.167999999999999</v>
          </cell>
          <cell r="L23">
            <v>-6.1469999999999985</v>
          </cell>
          <cell r="O23">
            <v>66</v>
          </cell>
          <cell r="P23">
            <v>6.0042</v>
          </cell>
          <cell r="Q23">
            <v>19.315000000000001</v>
          </cell>
          <cell r="R23">
            <v>50</v>
          </cell>
          <cell r="S23">
            <v>15</v>
          </cell>
          <cell r="T23">
            <v>11.783085173711736</v>
          </cell>
          <cell r="U23">
            <v>7.3087999999999997</v>
          </cell>
          <cell r="V23">
            <v>5.0584000000000007</v>
          </cell>
          <cell r="W23">
            <v>-0.33040000000000003</v>
          </cell>
          <cell r="X23">
            <v>8.4344000000000001</v>
          </cell>
          <cell r="Y23">
            <v>6.0996000000000006</v>
          </cell>
          <cell r="Z23">
            <v>4.2107999999999999</v>
          </cell>
          <cell r="AA23">
            <v>8.4651999999999994</v>
          </cell>
          <cell r="AB23">
            <v>2.464</v>
          </cell>
          <cell r="AC23">
            <v>0</v>
          </cell>
          <cell r="AD23">
            <v>0</v>
          </cell>
          <cell r="AE23" t="str">
            <v>90кг в уценку (21,07,26)</v>
          </cell>
          <cell r="AF23" t="str">
            <v xml:space="preserve">Есть потребность 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303.08199999999999</v>
          </cell>
          <cell r="E24">
            <v>123.89100000000001</v>
          </cell>
          <cell r="F24">
            <v>162.756</v>
          </cell>
          <cell r="G24">
            <v>1</v>
          </cell>
          <cell r="H24">
            <v>60</v>
          </cell>
          <cell r="I24" t="str">
            <v>матрица</v>
          </cell>
          <cell r="K24">
            <v>118.55</v>
          </cell>
          <cell r="L24">
            <v>5.3410000000000082</v>
          </cell>
          <cell r="O24">
            <v>193</v>
          </cell>
          <cell r="P24">
            <v>24.778200000000002</v>
          </cell>
          <cell r="Q24">
            <v>15.917000000000002</v>
          </cell>
          <cell r="R24">
            <v>60</v>
          </cell>
          <cell r="S24">
            <v>14.999999999999998</v>
          </cell>
          <cell r="T24">
            <v>14.357620811842667</v>
          </cell>
          <cell r="U24">
            <v>30.382400000000001</v>
          </cell>
          <cell r="V24">
            <v>12.019399999999999</v>
          </cell>
          <cell r="W24">
            <v>32.415799999999997</v>
          </cell>
          <cell r="X24">
            <v>26.765599999999999</v>
          </cell>
          <cell r="Y24">
            <v>20.123799999999999</v>
          </cell>
          <cell r="Z24">
            <v>23.693999999999999</v>
          </cell>
          <cell r="AA24">
            <v>38.83</v>
          </cell>
          <cell r="AB24">
            <v>48.142600000000002</v>
          </cell>
          <cell r="AC24">
            <v>29.606400000000001</v>
          </cell>
          <cell r="AD24">
            <v>15.874000000000001</v>
          </cell>
          <cell r="AF24" t="str">
            <v>Потребность для ОТПа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154</v>
          </cell>
          <cell r="D25">
            <v>590</v>
          </cell>
          <cell r="E25">
            <v>224</v>
          </cell>
          <cell r="F25">
            <v>488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227</v>
          </cell>
          <cell r="L25">
            <v>-3</v>
          </cell>
          <cell r="O25">
            <v>302</v>
          </cell>
          <cell r="P25">
            <v>44.8</v>
          </cell>
          <cell r="S25">
            <v>17.633928571428573</v>
          </cell>
          <cell r="T25">
            <v>17.633928571428573</v>
          </cell>
          <cell r="U25">
            <v>65.599999999999994</v>
          </cell>
          <cell r="V25">
            <v>69</v>
          </cell>
          <cell r="W25">
            <v>42.2</v>
          </cell>
          <cell r="X25">
            <v>62</v>
          </cell>
          <cell r="Y25">
            <v>41.8</v>
          </cell>
          <cell r="Z25">
            <v>53.6</v>
          </cell>
          <cell r="AA25">
            <v>55.6</v>
          </cell>
          <cell r="AB25">
            <v>39.799999999999997</v>
          </cell>
          <cell r="AC25">
            <v>53.8</v>
          </cell>
          <cell r="AD25">
            <v>30.6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174</v>
          </cell>
          <cell r="D26">
            <v>240</v>
          </cell>
          <cell r="E26">
            <v>196</v>
          </cell>
          <cell r="F26">
            <v>194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202</v>
          </cell>
          <cell r="L26">
            <v>-6</v>
          </cell>
          <cell r="O26">
            <v>170</v>
          </cell>
          <cell r="P26">
            <v>39.200000000000003</v>
          </cell>
          <cell r="Q26">
            <v>224</v>
          </cell>
          <cell r="S26">
            <v>14.999999999999998</v>
          </cell>
          <cell r="T26">
            <v>9.2857142857142847</v>
          </cell>
          <cell r="U26">
            <v>30.8</v>
          </cell>
          <cell r="V26">
            <v>20.6</v>
          </cell>
          <cell r="W26">
            <v>27.4</v>
          </cell>
          <cell r="X26">
            <v>31.8</v>
          </cell>
          <cell r="Y26">
            <v>26.2</v>
          </cell>
          <cell r="Z26">
            <v>23.6</v>
          </cell>
          <cell r="AA26">
            <v>24.4</v>
          </cell>
          <cell r="AB26">
            <v>24.8</v>
          </cell>
          <cell r="AC26">
            <v>20</v>
          </cell>
          <cell r="AD26">
            <v>22.8</v>
          </cell>
          <cell r="AE26" t="str">
            <v>Главторг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104</v>
          </cell>
          <cell r="D27">
            <v>168</v>
          </cell>
          <cell r="E27">
            <v>161</v>
          </cell>
          <cell r="F27">
            <v>97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161</v>
          </cell>
          <cell r="L27">
            <v>0</v>
          </cell>
          <cell r="O27">
            <v>179</v>
          </cell>
          <cell r="P27">
            <v>32.200000000000003</v>
          </cell>
          <cell r="Q27">
            <v>207.00000000000006</v>
          </cell>
          <cell r="S27">
            <v>15</v>
          </cell>
          <cell r="T27">
            <v>8.5714285714285712</v>
          </cell>
          <cell r="U27">
            <v>24.6</v>
          </cell>
          <cell r="V27">
            <v>26.2</v>
          </cell>
          <cell r="W27">
            <v>19.600000000000001</v>
          </cell>
          <cell r="X27">
            <v>27.4</v>
          </cell>
          <cell r="Y27">
            <v>33.6</v>
          </cell>
          <cell r="Z27">
            <v>20.399999999999999</v>
          </cell>
          <cell r="AA27">
            <v>21.2</v>
          </cell>
          <cell r="AB27">
            <v>31.4</v>
          </cell>
          <cell r="AC27">
            <v>18.600000000000001</v>
          </cell>
          <cell r="AD27">
            <v>22.6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350.75</v>
          </cell>
          <cell r="D28">
            <v>408.952</v>
          </cell>
          <cell r="E28">
            <v>430.447</v>
          </cell>
          <cell r="F28">
            <v>172.98</v>
          </cell>
          <cell r="G28">
            <v>1</v>
          </cell>
          <cell r="H28">
            <v>45</v>
          </cell>
          <cell r="I28" t="str">
            <v>матрица</v>
          </cell>
          <cell r="K28">
            <v>407.4</v>
          </cell>
          <cell r="L28">
            <v>23.047000000000025</v>
          </cell>
          <cell r="O28">
            <v>886</v>
          </cell>
          <cell r="P28">
            <v>86.089399999999998</v>
          </cell>
          <cell r="Q28">
            <v>232.3609999999999</v>
          </cell>
          <cell r="S28">
            <v>15</v>
          </cell>
          <cell r="T28">
            <v>12.300933680569269</v>
          </cell>
          <cell r="U28">
            <v>101.1476</v>
          </cell>
          <cell r="V28">
            <v>72.8874</v>
          </cell>
          <cell r="W28">
            <v>74.640999999999991</v>
          </cell>
          <cell r="X28">
            <v>69.128200000000007</v>
          </cell>
          <cell r="Y28">
            <v>44.8872</v>
          </cell>
          <cell r="Z28">
            <v>61.028599999999997</v>
          </cell>
          <cell r="AA28">
            <v>80.06280000000001</v>
          </cell>
          <cell r="AB28">
            <v>71.776199999999989</v>
          </cell>
          <cell r="AC28">
            <v>53.404999999999987</v>
          </cell>
          <cell r="AD28">
            <v>45.937600000000003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231</v>
          </cell>
          <cell r="D29">
            <v>208</v>
          </cell>
          <cell r="E29">
            <v>232</v>
          </cell>
          <cell r="F29">
            <v>190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238</v>
          </cell>
          <cell r="L29">
            <v>-6</v>
          </cell>
          <cell r="O29">
            <v>450</v>
          </cell>
          <cell r="P29">
            <v>46.4</v>
          </cell>
          <cell r="Q29">
            <v>56</v>
          </cell>
          <cell r="S29">
            <v>15</v>
          </cell>
          <cell r="T29">
            <v>13.793103448275863</v>
          </cell>
          <cell r="U29">
            <v>43.2</v>
          </cell>
          <cell r="V29">
            <v>44.2</v>
          </cell>
          <cell r="W29">
            <v>37.4</v>
          </cell>
          <cell r="X29">
            <v>47.6</v>
          </cell>
          <cell r="Y29">
            <v>25.8</v>
          </cell>
          <cell r="Z29">
            <v>56.8</v>
          </cell>
          <cell r="AA29">
            <v>29.8</v>
          </cell>
          <cell r="AB29">
            <v>17.2</v>
          </cell>
          <cell r="AC29">
            <v>27</v>
          </cell>
          <cell r="AD29">
            <v>13</v>
          </cell>
          <cell r="AE29" t="str">
            <v>Главторг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161</v>
          </cell>
          <cell r="D30">
            <v>648</v>
          </cell>
          <cell r="E30">
            <v>225</v>
          </cell>
          <cell r="F30">
            <v>575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228</v>
          </cell>
          <cell r="L30">
            <v>-3</v>
          </cell>
          <cell r="O30">
            <v>200</v>
          </cell>
          <cell r="P30">
            <v>45</v>
          </cell>
          <cell r="S30">
            <v>17.222222222222221</v>
          </cell>
          <cell r="T30">
            <v>17.222222222222221</v>
          </cell>
          <cell r="U30">
            <v>32</v>
          </cell>
          <cell r="V30">
            <v>37.200000000000003</v>
          </cell>
          <cell r="W30">
            <v>30.4</v>
          </cell>
          <cell r="X30">
            <v>43</v>
          </cell>
          <cell r="Y30">
            <v>48</v>
          </cell>
          <cell r="Z30">
            <v>44.6</v>
          </cell>
          <cell r="AA30">
            <v>38.799999999999997</v>
          </cell>
          <cell r="AB30">
            <v>49.6</v>
          </cell>
          <cell r="AC30">
            <v>47.6</v>
          </cell>
          <cell r="AD30">
            <v>41.6</v>
          </cell>
          <cell r="AE30" t="str">
            <v>Главторг</v>
          </cell>
        </row>
        <row r="31">
          <cell r="A31" t="str">
            <v>6353 ЭКСТРА Папа может вар п/о 0.4кг 8шт.  ОСТАНКИНО</v>
          </cell>
          <cell r="B31" t="str">
            <v>шт</v>
          </cell>
          <cell r="C31">
            <v>-104</v>
          </cell>
          <cell r="F31">
            <v>-104</v>
          </cell>
          <cell r="G31">
            <v>0</v>
          </cell>
          <cell r="H31">
            <v>60</v>
          </cell>
          <cell r="I31" t="str">
            <v>не в матрице</v>
          </cell>
          <cell r="J31" t="str">
            <v>7632 ЭКСТРА Папа может вар п/о 0.4кг 8шт_195к  ОСТАНКИНО</v>
          </cell>
          <cell r="L31">
            <v>0</v>
          </cell>
          <cell r="O31">
            <v>0</v>
          </cell>
          <cell r="P31">
            <v>0</v>
          </cell>
          <cell r="S31" t="e">
            <v>#DIV/0!</v>
          </cell>
          <cell r="T31" t="e">
            <v>#DIV/0!</v>
          </cell>
          <cell r="U31">
            <v>0</v>
          </cell>
          <cell r="V31">
            <v>20.8</v>
          </cell>
          <cell r="W31">
            <v>-0.2</v>
          </cell>
          <cell r="X31">
            <v>-0.6</v>
          </cell>
          <cell r="Y31">
            <v>14</v>
          </cell>
          <cell r="Z31">
            <v>25.2</v>
          </cell>
          <cell r="AA31">
            <v>36</v>
          </cell>
          <cell r="AB31">
            <v>37.799999999999997</v>
          </cell>
          <cell r="AC31">
            <v>33</v>
          </cell>
          <cell r="AD31">
            <v>1.4</v>
          </cell>
          <cell r="AE31" t="str">
            <v>ротация на 7632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292</v>
          </cell>
          <cell r="D32">
            <v>64</v>
          </cell>
          <cell r="E32">
            <v>214</v>
          </cell>
          <cell r="F32">
            <v>128</v>
          </cell>
          <cell r="G32">
            <v>0.4</v>
          </cell>
          <cell r="H32">
            <v>60</v>
          </cell>
          <cell r="I32" t="str">
            <v>ВНИМАНИЕ / матрица</v>
          </cell>
          <cell r="K32">
            <v>218</v>
          </cell>
          <cell r="L32">
            <v>-4</v>
          </cell>
          <cell r="O32">
            <v>150</v>
          </cell>
          <cell r="P32">
            <v>42.8</v>
          </cell>
          <cell r="Q32">
            <v>321.19999999999993</v>
          </cell>
          <cell r="S32">
            <v>14</v>
          </cell>
          <cell r="T32">
            <v>6.4953271028037385</v>
          </cell>
          <cell r="U32">
            <v>27.4</v>
          </cell>
          <cell r="V32">
            <v>24.2</v>
          </cell>
          <cell r="W32">
            <v>34.799999999999997</v>
          </cell>
          <cell r="X32">
            <v>44.6</v>
          </cell>
          <cell r="Y32">
            <v>41.4</v>
          </cell>
          <cell r="Z32">
            <v>37.799999999999997</v>
          </cell>
          <cell r="AA32">
            <v>59.2</v>
          </cell>
          <cell r="AB32">
            <v>34.6</v>
          </cell>
          <cell r="AC32">
            <v>46.2</v>
          </cell>
          <cell r="AD32">
            <v>34.200000000000003</v>
          </cell>
          <cell r="AE32" t="str">
            <v>Главторг</v>
          </cell>
        </row>
        <row r="33">
          <cell r="A33" t="str">
            <v>6411 ВЕТЧ.РУБЛЕНАЯ ПМ в/у срез 0.3кг 6шт.</v>
          </cell>
          <cell r="B33" t="str">
            <v>шт</v>
          </cell>
          <cell r="G33">
            <v>0</v>
          </cell>
          <cell r="H33">
            <v>45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 t="e">
            <v>#DIV/0!</v>
          </cell>
          <cell r="T33" t="e">
            <v>#DIV/0!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 t="str">
            <v>нет потребности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-104</v>
          </cell>
          <cell r="F34">
            <v>-104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L34">
            <v>0</v>
          </cell>
          <cell r="O34">
            <v>0</v>
          </cell>
          <cell r="P34">
            <v>0</v>
          </cell>
          <cell r="S34" t="e">
            <v>#DIV/0!</v>
          </cell>
          <cell r="T34" t="e">
            <v>#DIV/0!</v>
          </cell>
          <cell r="U34">
            <v>0</v>
          </cell>
          <cell r="V34">
            <v>20.8</v>
          </cell>
          <cell r="W34">
            <v>0</v>
          </cell>
          <cell r="X34">
            <v>0</v>
          </cell>
          <cell r="Y34">
            <v>31.8</v>
          </cell>
          <cell r="Z34">
            <v>36</v>
          </cell>
          <cell r="AA34">
            <v>78.599999999999994</v>
          </cell>
          <cell r="AB34">
            <v>62.2</v>
          </cell>
          <cell r="AC34">
            <v>54.6</v>
          </cell>
          <cell r="AD34">
            <v>20.8</v>
          </cell>
          <cell r="AE34" t="str">
            <v>ротация на 7616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19</v>
          </cell>
          <cell r="D35">
            <v>145</v>
          </cell>
          <cell r="E35">
            <v>46</v>
          </cell>
          <cell r="F35">
            <v>-1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  ОСТАНКИНО</v>
          </cell>
          <cell r="K35">
            <v>85</v>
          </cell>
          <cell r="L35">
            <v>-39</v>
          </cell>
          <cell r="O35">
            <v>0</v>
          </cell>
          <cell r="P35">
            <v>9.1999999999999993</v>
          </cell>
          <cell r="S35">
            <v>-0.10869565217391305</v>
          </cell>
          <cell r="T35">
            <v>-0.10869565217391305</v>
          </cell>
          <cell r="U35">
            <v>45.4</v>
          </cell>
          <cell r="V35">
            <v>40.6</v>
          </cell>
          <cell r="W35">
            <v>28.2</v>
          </cell>
          <cell r="X35">
            <v>64</v>
          </cell>
          <cell r="Y35">
            <v>40.200000000000003</v>
          </cell>
          <cell r="Z35">
            <v>52.8</v>
          </cell>
          <cell r="AA35">
            <v>55.8</v>
          </cell>
          <cell r="AB35">
            <v>66.599999999999994</v>
          </cell>
          <cell r="AC35">
            <v>54.6</v>
          </cell>
          <cell r="AD35">
            <v>49.4</v>
          </cell>
          <cell r="AE35" t="str">
            <v>ротация на 7613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18</v>
          </cell>
          <cell r="D36">
            <v>199</v>
          </cell>
          <cell r="E36">
            <v>112</v>
          </cell>
          <cell r="F36">
            <v>79</v>
          </cell>
          <cell r="G36">
            <v>0.3</v>
          </cell>
          <cell r="H36">
            <v>45</v>
          </cell>
          <cell r="I36" t="str">
            <v>матрица</v>
          </cell>
          <cell r="K36">
            <v>161</v>
          </cell>
          <cell r="L36">
            <v>-49</v>
          </cell>
          <cell r="O36">
            <v>337</v>
          </cell>
          <cell r="P36">
            <v>22.4</v>
          </cell>
          <cell r="S36">
            <v>18.571428571428573</v>
          </cell>
          <cell r="T36">
            <v>18.571428571428573</v>
          </cell>
          <cell r="U36">
            <v>36</v>
          </cell>
          <cell r="V36">
            <v>27.2</v>
          </cell>
          <cell r="W36">
            <v>20.2</v>
          </cell>
          <cell r="X36">
            <v>26.8</v>
          </cell>
          <cell r="Y36">
            <v>20.399999999999999</v>
          </cell>
          <cell r="Z36">
            <v>27</v>
          </cell>
          <cell r="AA36">
            <v>11.8</v>
          </cell>
          <cell r="AB36">
            <v>16</v>
          </cell>
          <cell r="AC36">
            <v>33.200000000000003</v>
          </cell>
          <cell r="AD36">
            <v>17.600000000000001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95.698999999999998</v>
          </cell>
          <cell r="D37">
            <v>48.704999999999998</v>
          </cell>
          <cell r="E37">
            <v>99.206000000000003</v>
          </cell>
          <cell r="F37">
            <v>24.966000000000001</v>
          </cell>
          <cell r="G37">
            <v>1</v>
          </cell>
          <cell r="H37">
            <v>60</v>
          </cell>
          <cell r="I37" t="str">
            <v>матрица</v>
          </cell>
          <cell r="K37">
            <v>102.1</v>
          </cell>
          <cell r="L37">
            <v>-2.8939999999999912</v>
          </cell>
          <cell r="O37">
            <v>185</v>
          </cell>
          <cell r="P37">
            <v>19.841200000000001</v>
          </cell>
          <cell r="Q37">
            <v>87.651999999999987</v>
          </cell>
          <cell r="S37">
            <v>15</v>
          </cell>
          <cell r="T37">
            <v>10.582323649779248</v>
          </cell>
          <cell r="U37">
            <v>21.473199999999999</v>
          </cell>
          <cell r="V37">
            <v>16.648800000000001</v>
          </cell>
          <cell r="W37">
            <v>18.3598</v>
          </cell>
          <cell r="X37">
            <v>19.619599999999998</v>
          </cell>
          <cell r="Y37">
            <v>17.6358</v>
          </cell>
          <cell r="Z37">
            <v>18.295000000000002</v>
          </cell>
          <cell r="AA37">
            <v>17.577000000000002</v>
          </cell>
          <cell r="AB37">
            <v>25.6296</v>
          </cell>
          <cell r="AC37">
            <v>19.367000000000001</v>
          </cell>
          <cell r="AD37">
            <v>17.390799999999999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143.77799999999999</v>
          </cell>
          <cell r="E38">
            <v>77.474000000000004</v>
          </cell>
          <cell r="F38">
            <v>54.777000000000001</v>
          </cell>
          <cell r="G38">
            <v>1</v>
          </cell>
          <cell r="H38">
            <v>45</v>
          </cell>
          <cell r="I38" t="str">
            <v>матрица</v>
          </cell>
          <cell r="K38">
            <v>80.099999999999994</v>
          </cell>
          <cell r="L38">
            <v>-2.6259999999999906</v>
          </cell>
          <cell r="O38">
            <v>145</v>
          </cell>
          <cell r="P38">
            <v>15.494800000000001</v>
          </cell>
          <cell r="Q38">
            <v>32.645000000000024</v>
          </cell>
          <cell r="S38">
            <v>15</v>
          </cell>
          <cell r="T38">
            <v>12.893164158298266</v>
          </cell>
          <cell r="U38">
            <v>17.491800000000001</v>
          </cell>
          <cell r="V38">
            <v>8.7322000000000006</v>
          </cell>
          <cell r="W38">
            <v>19.025200000000002</v>
          </cell>
          <cell r="X38">
            <v>11.681800000000001</v>
          </cell>
          <cell r="Y38">
            <v>9.6796000000000006</v>
          </cell>
          <cell r="Z38">
            <v>10.3604</v>
          </cell>
          <cell r="AA38">
            <v>23.97</v>
          </cell>
          <cell r="AB38">
            <v>23.713999999999999</v>
          </cell>
          <cell r="AC38">
            <v>19.515799999999999</v>
          </cell>
          <cell r="AD38">
            <v>14.1944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114.01</v>
          </cell>
          <cell r="D39">
            <v>37.564</v>
          </cell>
          <cell r="E39">
            <v>101.82</v>
          </cell>
          <cell r="F39">
            <v>29.884</v>
          </cell>
          <cell r="G39">
            <v>1</v>
          </cell>
          <cell r="H39">
            <v>45</v>
          </cell>
          <cell r="I39" t="str">
            <v>матрица</v>
          </cell>
          <cell r="K39">
            <v>106.7</v>
          </cell>
          <cell r="L39">
            <v>-4.8800000000000097</v>
          </cell>
          <cell r="O39">
            <v>236</v>
          </cell>
          <cell r="P39">
            <v>20.363999999999997</v>
          </cell>
          <cell r="Q39">
            <v>39.575999999999979</v>
          </cell>
          <cell r="S39">
            <v>15.000000000000002</v>
          </cell>
          <cell r="T39">
            <v>13.056570418385389</v>
          </cell>
          <cell r="U39">
            <v>26.2212</v>
          </cell>
          <cell r="V39">
            <v>18.284400000000002</v>
          </cell>
          <cell r="W39">
            <v>23.627800000000001</v>
          </cell>
          <cell r="X39">
            <v>16.767800000000001</v>
          </cell>
          <cell r="Y39">
            <v>13.041600000000001</v>
          </cell>
          <cell r="Z39">
            <v>26.402999999999999</v>
          </cell>
          <cell r="AA39">
            <v>21.489599999999999</v>
          </cell>
          <cell r="AB39">
            <v>29.615600000000001</v>
          </cell>
          <cell r="AC39">
            <v>34.425600000000003</v>
          </cell>
          <cell r="AD39">
            <v>21.269600000000001</v>
          </cell>
        </row>
        <row r="40">
          <cell r="A40" t="str">
            <v>6602 БАВАРСКИЕ ПМ сос ц/о мгс 0.35кг 8шт.</v>
          </cell>
          <cell r="B40" t="str">
            <v>шт</v>
          </cell>
          <cell r="G40">
            <v>0.35</v>
          </cell>
          <cell r="I40" t="str">
            <v>РАЗОВО</v>
          </cell>
          <cell r="L40">
            <v>0</v>
          </cell>
          <cell r="O40">
            <v>0</v>
          </cell>
          <cell r="P40">
            <v>0</v>
          </cell>
          <cell r="Q40">
            <v>300</v>
          </cell>
          <cell r="S40" t="e">
            <v>#DIV/0!</v>
          </cell>
          <cell r="T40" t="e">
            <v>#DIV/0!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Главторг (1001021966602)</v>
          </cell>
        </row>
        <row r="41">
          <cell r="A41" t="str">
            <v>6608 С ГОВЯДИНОЙ ОРИГИН. сар б/о мгс 1*3_45с  ОСТАНКИНО</v>
          </cell>
          <cell r="B41" t="str">
            <v>кг</v>
          </cell>
          <cell r="C41">
            <v>279.83999999999997</v>
          </cell>
          <cell r="E41">
            <v>135.822</v>
          </cell>
          <cell r="F41">
            <v>126.792</v>
          </cell>
          <cell r="G41">
            <v>1</v>
          </cell>
          <cell r="H41">
            <v>45</v>
          </cell>
          <cell r="I41" t="str">
            <v>матрица</v>
          </cell>
          <cell r="K41">
            <v>143.30000000000001</v>
          </cell>
          <cell r="L41">
            <v>-7.4780000000000086</v>
          </cell>
          <cell r="O41">
            <v>350</v>
          </cell>
          <cell r="P41">
            <v>27.164400000000001</v>
          </cell>
          <cell r="S41">
            <v>17.552090235749731</v>
          </cell>
          <cell r="T41">
            <v>17.552090235749731</v>
          </cell>
          <cell r="U41">
            <v>49.6982</v>
          </cell>
          <cell r="V41">
            <v>26.753799999999998</v>
          </cell>
          <cell r="W41">
            <v>42.905999999999999</v>
          </cell>
          <cell r="X41">
            <v>40.457599999999999</v>
          </cell>
          <cell r="Y41">
            <v>38.383400000000002</v>
          </cell>
          <cell r="Z41">
            <v>37.244999999999997</v>
          </cell>
          <cell r="AA41">
            <v>34.216999999999999</v>
          </cell>
          <cell r="AB41">
            <v>44.957999999999998</v>
          </cell>
          <cell r="AC41">
            <v>38.369199999999999</v>
          </cell>
          <cell r="AD41">
            <v>34.367400000000004</v>
          </cell>
        </row>
        <row r="42">
          <cell r="A42" t="str">
            <v>6616 МОЛОЧНЫЕ КЛАССИЧЕСКИЕ сос п/о в/у 0,3 кг  Останкино</v>
          </cell>
          <cell r="B42" t="str">
            <v>шт</v>
          </cell>
          <cell r="C42">
            <v>96</v>
          </cell>
          <cell r="D42">
            <v>616</v>
          </cell>
          <cell r="E42">
            <v>242</v>
          </cell>
          <cell r="F42">
            <v>440</v>
          </cell>
          <cell r="G42">
            <v>0.3</v>
          </cell>
          <cell r="H42">
            <v>45</v>
          </cell>
          <cell r="I42" t="str">
            <v>матрица</v>
          </cell>
          <cell r="K42">
            <v>263</v>
          </cell>
          <cell r="L42">
            <v>-21</v>
          </cell>
          <cell r="O42">
            <v>680</v>
          </cell>
          <cell r="P42">
            <v>48.4</v>
          </cell>
          <cell r="S42">
            <v>23.140495867768596</v>
          </cell>
          <cell r="T42">
            <v>23.140495867768596</v>
          </cell>
          <cell r="U42">
            <v>70.2</v>
          </cell>
          <cell r="V42">
            <v>69.8</v>
          </cell>
          <cell r="W42">
            <v>41.6</v>
          </cell>
          <cell r="X42">
            <v>43.2</v>
          </cell>
          <cell r="Y42">
            <v>18.8</v>
          </cell>
          <cell r="Z42">
            <v>58</v>
          </cell>
          <cell r="AA42">
            <v>42.8</v>
          </cell>
          <cell r="AB42">
            <v>21.2</v>
          </cell>
          <cell r="AC42">
            <v>22.8</v>
          </cell>
          <cell r="AD42">
            <v>28</v>
          </cell>
        </row>
        <row r="43">
          <cell r="A43" t="str">
            <v>6620 РЕБРЫШКИ к/в в/у_30с  Останкино</v>
          </cell>
          <cell r="B43" t="str">
            <v>кг</v>
          </cell>
          <cell r="C43">
            <v>19.074000000000002</v>
          </cell>
          <cell r="D43">
            <v>103.17</v>
          </cell>
          <cell r="E43">
            <v>131.29599999999999</v>
          </cell>
          <cell r="F43">
            <v>-10.231999999999999</v>
          </cell>
          <cell r="G43">
            <v>1</v>
          </cell>
          <cell r="H43">
            <v>30</v>
          </cell>
          <cell r="I43" t="str">
            <v>матрица</v>
          </cell>
          <cell r="K43">
            <v>128.352</v>
          </cell>
          <cell r="L43">
            <v>2.9439999999999884</v>
          </cell>
          <cell r="O43">
            <v>265</v>
          </cell>
          <cell r="P43">
            <v>26.2592</v>
          </cell>
          <cell r="Q43">
            <v>139.11999999999998</v>
          </cell>
          <cell r="S43">
            <v>15</v>
          </cell>
          <cell r="T43">
            <v>9.7020472824762365</v>
          </cell>
          <cell r="U43">
            <v>36.895600000000002</v>
          </cell>
          <cell r="V43">
            <v>16.045200000000001</v>
          </cell>
          <cell r="W43">
            <v>14.3528</v>
          </cell>
          <cell r="X43">
            <v>22.1236</v>
          </cell>
          <cell r="Y43">
            <v>20.263999999999999</v>
          </cell>
          <cell r="Z43">
            <v>18.549600000000002</v>
          </cell>
          <cell r="AA43">
            <v>16.238800000000001</v>
          </cell>
          <cell r="AB43">
            <v>13.000400000000001</v>
          </cell>
          <cell r="AC43">
            <v>23.759599999999999</v>
          </cell>
          <cell r="AD43">
            <v>5.3927999999999994</v>
          </cell>
        </row>
        <row r="44">
          <cell r="A44" t="str">
            <v>6661 СОЧНЫЙ ГРИЛЬ ПМ сос п/о мгс 1,5*4_Маяк Останкино</v>
          </cell>
          <cell r="B44" t="str">
            <v>кг</v>
          </cell>
          <cell r="C44">
            <v>251.07400000000001</v>
          </cell>
          <cell r="D44">
            <v>129.98599999999999</v>
          </cell>
          <cell r="E44">
            <v>331.89</v>
          </cell>
          <cell r="F44">
            <v>-1.742</v>
          </cell>
          <cell r="G44">
            <v>1</v>
          </cell>
          <cell r="H44">
            <v>45</v>
          </cell>
          <cell r="I44" t="str">
            <v>матрица</v>
          </cell>
          <cell r="K44">
            <v>326.89999999999998</v>
          </cell>
          <cell r="L44">
            <v>4.9900000000000091</v>
          </cell>
          <cell r="O44">
            <v>474</v>
          </cell>
          <cell r="P44">
            <v>66.378</v>
          </cell>
          <cell r="Q44">
            <v>523.41199999999992</v>
          </cell>
          <cell r="S44">
            <v>14.999999999999998</v>
          </cell>
          <cell r="T44">
            <v>7.1146765494591575</v>
          </cell>
          <cell r="U44">
            <v>55.039200000000008</v>
          </cell>
          <cell r="V44">
            <v>42.236199999999997</v>
          </cell>
          <cell r="W44">
            <v>44.667000000000002</v>
          </cell>
          <cell r="X44">
            <v>51.484200000000001</v>
          </cell>
          <cell r="Y44">
            <v>34.043199999999999</v>
          </cell>
          <cell r="Z44">
            <v>46.182600000000001</v>
          </cell>
          <cell r="AA44">
            <v>36.746600000000001</v>
          </cell>
          <cell r="AB44">
            <v>52.787799999999997</v>
          </cell>
          <cell r="AC44">
            <v>34.78</v>
          </cell>
          <cell r="AD44">
            <v>33.724800000000002</v>
          </cell>
        </row>
        <row r="45">
          <cell r="A45" t="str">
            <v>6697 СЕРВЕЛАТ ФИНСКИЙ ПМ в/к в/у 0,35кг 8шт  ОСТАНКИНО</v>
          </cell>
          <cell r="B45" t="str">
            <v>шт</v>
          </cell>
          <cell r="C45">
            <v>246</v>
          </cell>
          <cell r="D45">
            <v>88</v>
          </cell>
          <cell r="E45">
            <v>315</v>
          </cell>
          <cell r="F45">
            <v>-1</v>
          </cell>
          <cell r="G45">
            <v>0.35</v>
          </cell>
          <cell r="H45">
            <v>45</v>
          </cell>
          <cell r="I45" t="str">
            <v>матрица</v>
          </cell>
          <cell r="K45">
            <v>332</v>
          </cell>
          <cell r="L45">
            <v>-17</v>
          </cell>
          <cell r="O45">
            <v>868</v>
          </cell>
          <cell r="P45">
            <v>63</v>
          </cell>
          <cell r="Q45">
            <v>78</v>
          </cell>
          <cell r="S45">
            <v>15</v>
          </cell>
          <cell r="T45">
            <v>13.761904761904763</v>
          </cell>
          <cell r="U45">
            <v>93.8</v>
          </cell>
          <cell r="V45">
            <v>49.2</v>
          </cell>
          <cell r="W45">
            <v>60.4</v>
          </cell>
          <cell r="X45">
            <v>73</v>
          </cell>
          <cell r="Y45">
            <v>57.2</v>
          </cell>
          <cell r="Z45">
            <v>63.4</v>
          </cell>
          <cell r="AA45">
            <v>62.2</v>
          </cell>
          <cell r="AB45">
            <v>65.8</v>
          </cell>
          <cell r="AC45">
            <v>59.4</v>
          </cell>
          <cell r="AD45">
            <v>66.400000000000006</v>
          </cell>
        </row>
        <row r="46">
          <cell r="A46" t="str">
            <v>6713 СОЧНЫЙ ГРИЛЬ ПМ сос п/о мгс 0,41кг 8 шт.  ОСТАНКИНО</v>
          </cell>
          <cell r="B46" t="str">
            <v>шт</v>
          </cell>
          <cell r="C46">
            <v>113</v>
          </cell>
          <cell r="D46">
            <v>432</v>
          </cell>
          <cell r="E46">
            <v>297</v>
          </cell>
          <cell r="F46">
            <v>200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325</v>
          </cell>
          <cell r="L46">
            <v>-28</v>
          </cell>
          <cell r="O46">
            <v>350</v>
          </cell>
          <cell r="P46">
            <v>59.4</v>
          </cell>
          <cell r="Q46">
            <v>341</v>
          </cell>
          <cell r="S46">
            <v>15</v>
          </cell>
          <cell r="T46">
            <v>9.2592592592592595</v>
          </cell>
          <cell r="U46">
            <v>44.8</v>
          </cell>
          <cell r="V46">
            <v>56</v>
          </cell>
          <cell r="W46">
            <v>48.8</v>
          </cell>
          <cell r="X46">
            <v>61</v>
          </cell>
          <cell r="Y46">
            <v>55.8</v>
          </cell>
          <cell r="Z46">
            <v>52.6</v>
          </cell>
          <cell r="AA46">
            <v>57.2</v>
          </cell>
          <cell r="AB46">
            <v>41.4</v>
          </cell>
          <cell r="AC46">
            <v>37.6</v>
          </cell>
          <cell r="AD46">
            <v>6.2</v>
          </cell>
          <cell r="AE46" t="str">
            <v>убрать из заказа (03,08,26 Чепрасова)</v>
          </cell>
        </row>
        <row r="47">
          <cell r="A47" t="str">
            <v>6724 МОЛОЧНЫЕ ПМ сос п/о мгс 0,41кг 10шт  Останкино</v>
          </cell>
          <cell r="B47" t="str">
            <v>шт</v>
          </cell>
          <cell r="C47">
            <v>211</v>
          </cell>
          <cell r="D47">
            <v>50</v>
          </cell>
          <cell r="E47">
            <v>171</v>
          </cell>
          <cell r="F47">
            <v>54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181</v>
          </cell>
          <cell r="L47">
            <v>-10</v>
          </cell>
          <cell r="O47">
            <v>354</v>
          </cell>
          <cell r="P47">
            <v>34.200000000000003</v>
          </cell>
          <cell r="Q47">
            <v>105</v>
          </cell>
          <cell r="S47">
            <v>14.999999999999998</v>
          </cell>
          <cell r="T47">
            <v>11.929824561403509</v>
          </cell>
          <cell r="U47">
            <v>40.6</v>
          </cell>
          <cell r="V47">
            <v>30.6</v>
          </cell>
          <cell r="W47">
            <v>36.200000000000003</v>
          </cell>
          <cell r="X47">
            <v>42.6</v>
          </cell>
          <cell r="Y47">
            <v>41.4</v>
          </cell>
          <cell r="Z47">
            <v>27.4</v>
          </cell>
          <cell r="AA47">
            <v>42.4</v>
          </cell>
          <cell r="AB47">
            <v>35.799999999999997</v>
          </cell>
          <cell r="AC47">
            <v>25.4</v>
          </cell>
          <cell r="AD47">
            <v>22.2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4</v>
          </cell>
          <cell r="D48">
            <v>468</v>
          </cell>
          <cell r="E48">
            <v>116</v>
          </cell>
          <cell r="F48">
            <v>342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311</v>
          </cell>
          <cell r="L48">
            <v>-195</v>
          </cell>
          <cell r="O48">
            <v>600</v>
          </cell>
          <cell r="P48">
            <v>23.2</v>
          </cell>
          <cell r="S48">
            <v>40.603448275862071</v>
          </cell>
          <cell r="T48">
            <v>40.603448275862071</v>
          </cell>
          <cell r="U48">
            <v>54.2</v>
          </cell>
          <cell r="V48">
            <v>49</v>
          </cell>
          <cell r="W48">
            <v>25.4</v>
          </cell>
          <cell r="X48">
            <v>43.4</v>
          </cell>
          <cell r="Y48">
            <v>59</v>
          </cell>
          <cell r="Z48">
            <v>28.8</v>
          </cell>
          <cell r="AA48">
            <v>43.8</v>
          </cell>
          <cell r="AB48">
            <v>41.6</v>
          </cell>
          <cell r="AC48">
            <v>39.200000000000003</v>
          </cell>
          <cell r="AD48">
            <v>2.6</v>
          </cell>
          <cell r="AE48" t="str">
            <v>Главторг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83</v>
          </cell>
          <cell r="E49">
            <v>72</v>
          </cell>
          <cell r="F49">
            <v>5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75</v>
          </cell>
          <cell r="L49">
            <v>-3</v>
          </cell>
          <cell r="O49">
            <v>73</v>
          </cell>
          <cell r="P49">
            <v>14.4</v>
          </cell>
          <cell r="Q49">
            <v>109.20000000000002</v>
          </cell>
          <cell r="S49">
            <v>13</v>
          </cell>
          <cell r="T49">
            <v>5.416666666666667</v>
          </cell>
          <cell r="U49">
            <v>9</v>
          </cell>
          <cell r="V49">
            <v>5.4</v>
          </cell>
          <cell r="W49">
            <v>11.4</v>
          </cell>
          <cell r="X49">
            <v>12.8</v>
          </cell>
          <cell r="Y49">
            <v>17.2</v>
          </cell>
          <cell r="Z49">
            <v>11.2</v>
          </cell>
          <cell r="AA49">
            <v>12.8</v>
          </cell>
          <cell r="AB49">
            <v>16</v>
          </cell>
          <cell r="AC49">
            <v>12.6</v>
          </cell>
          <cell r="AD49">
            <v>10.199999999999999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82</v>
          </cell>
          <cell r="D50">
            <v>40</v>
          </cell>
          <cell r="E50">
            <v>122</v>
          </cell>
          <cell r="F50">
            <v>-1</v>
          </cell>
          <cell r="G50">
            <v>0.4</v>
          </cell>
          <cell r="H50">
            <v>60</v>
          </cell>
          <cell r="I50" t="str">
            <v>матрица</v>
          </cell>
          <cell r="K50">
            <v>124</v>
          </cell>
          <cell r="L50">
            <v>-2</v>
          </cell>
          <cell r="O50">
            <v>132</v>
          </cell>
          <cell r="P50">
            <v>24.4</v>
          </cell>
          <cell r="Q50">
            <v>186.2</v>
          </cell>
          <cell r="S50">
            <v>13</v>
          </cell>
          <cell r="T50">
            <v>5.3688524590163942</v>
          </cell>
          <cell r="U50">
            <v>15.2</v>
          </cell>
          <cell r="V50">
            <v>13.2</v>
          </cell>
          <cell r="W50">
            <v>14.6</v>
          </cell>
          <cell r="X50">
            <v>18.399999999999999</v>
          </cell>
          <cell r="Y50">
            <v>13.4</v>
          </cell>
          <cell r="Z50">
            <v>21.4</v>
          </cell>
          <cell r="AA50">
            <v>21.6</v>
          </cell>
          <cell r="AB50">
            <v>10</v>
          </cell>
          <cell r="AC50">
            <v>25</v>
          </cell>
          <cell r="AD50">
            <v>35.6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C51">
            <v>14</v>
          </cell>
          <cell r="D51">
            <v>16</v>
          </cell>
          <cell r="E51">
            <v>28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30</v>
          </cell>
          <cell r="L51">
            <v>-2</v>
          </cell>
          <cell r="O51">
            <v>66</v>
          </cell>
          <cell r="P51">
            <v>5.6</v>
          </cell>
          <cell r="Q51">
            <v>18</v>
          </cell>
          <cell r="S51">
            <v>15.000000000000002</v>
          </cell>
          <cell r="T51">
            <v>11.785714285714286</v>
          </cell>
          <cell r="U51">
            <v>7</v>
          </cell>
          <cell r="V51">
            <v>4.4000000000000004</v>
          </cell>
          <cell r="W51">
            <v>3.2</v>
          </cell>
          <cell r="X51">
            <v>6.8</v>
          </cell>
          <cell r="Y51">
            <v>4.5999999999999996</v>
          </cell>
          <cell r="Z51">
            <v>5.4</v>
          </cell>
          <cell r="AA51">
            <v>8</v>
          </cell>
          <cell r="AB51">
            <v>4.5999999999999996</v>
          </cell>
          <cell r="AC51">
            <v>8.1999999999999993</v>
          </cell>
          <cell r="AD51">
            <v>11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486.351</v>
          </cell>
          <cell r="E52">
            <v>396.80200000000002</v>
          </cell>
          <cell r="F52">
            <v>61.265000000000001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369.3</v>
          </cell>
          <cell r="L52">
            <v>27.50200000000001</v>
          </cell>
          <cell r="O52">
            <v>721</v>
          </cell>
          <cell r="P52">
            <v>79.360399999999998</v>
          </cell>
          <cell r="Q52">
            <v>408.14099999999996</v>
          </cell>
          <cell r="S52">
            <v>15</v>
          </cell>
          <cell r="T52">
            <v>9.8571201758055658</v>
          </cell>
          <cell r="U52">
            <v>76.403599999999997</v>
          </cell>
          <cell r="V52">
            <v>34.4542</v>
          </cell>
          <cell r="W52">
            <v>59.198400000000007</v>
          </cell>
          <cell r="X52">
            <v>63.107399999999998</v>
          </cell>
          <cell r="Y52">
            <v>32.2164</v>
          </cell>
          <cell r="Z52">
            <v>50.428199999999997</v>
          </cell>
          <cell r="AA52">
            <v>56.484000000000002</v>
          </cell>
          <cell r="AB52">
            <v>47.937399999999997</v>
          </cell>
          <cell r="AC52">
            <v>73.170199999999994</v>
          </cell>
          <cell r="AD52">
            <v>43.623600000000003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C53">
            <v>103</v>
          </cell>
          <cell r="D53">
            <v>54</v>
          </cell>
          <cell r="E53">
            <v>68</v>
          </cell>
          <cell r="F53">
            <v>63</v>
          </cell>
          <cell r="G53">
            <v>0.4</v>
          </cell>
          <cell r="H53">
            <v>45</v>
          </cell>
          <cell r="I53" t="str">
            <v>матрица</v>
          </cell>
          <cell r="K53">
            <v>83</v>
          </cell>
          <cell r="L53">
            <v>-15</v>
          </cell>
          <cell r="O53">
            <v>241</v>
          </cell>
          <cell r="P53">
            <v>13.6</v>
          </cell>
          <cell r="S53">
            <v>22.352941176470591</v>
          </cell>
          <cell r="T53">
            <v>22.352941176470591</v>
          </cell>
          <cell r="U53">
            <v>25.4</v>
          </cell>
          <cell r="V53">
            <v>20.6</v>
          </cell>
          <cell r="W53">
            <v>20.6</v>
          </cell>
          <cell r="X53">
            <v>20.6</v>
          </cell>
          <cell r="Y53">
            <v>11</v>
          </cell>
          <cell r="Z53">
            <v>34.4</v>
          </cell>
          <cell r="AA53">
            <v>7.2</v>
          </cell>
          <cell r="AB53">
            <v>21.4</v>
          </cell>
          <cell r="AC53">
            <v>20.2</v>
          </cell>
          <cell r="AD53">
            <v>13.8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35.308999999999997</v>
          </cell>
          <cell r="D54">
            <v>23.568000000000001</v>
          </cell>
          <cell r="E54">
            <v>26.74</v>
          </cell>
          <cell r="F54">
            <v>29.582000000000001</v>
          </cell>
          <cell r="G54">
            <v>1</v>
          </cell>
          <cell r="H54">
            <v>60</v>
          </cell>
          <cell r="I54" t="str">
            <v>матрица</v>
          </cell>
          <cell r="K54">
            <v>23.9</v>
          </cell>
          <cell r="L54">
            <v>2.84</v>
          </cell>
          <cell r="O54">
            <v>0</v>
          </cell>
          <cell r="P54">
            <v>5.3479999999999999</v>
          </cell>
          <cell r="Q54">
            <v>45.29</v>
          </cell>
          <cell r="S54">
            <v>14</v>
          </cell>
          <cell r="T54">
            <v>5.5314136125654452</v>
          </cell>
          <cell r="U54">
            <v>2.3647999999999998</v>
          </cell>
          <cell r="V54">
            <v>4.6563999999999997</v>
          </cell>
          <cell r="W54">
            <v>0.64419999999999999</v>
          </cell>
          <cell r="X54">
            <v>4.7759999999999998</v>
          </cell>
          <cell r="Y54">
            <v>3.1307999999999998</v>
          </cell>
          <cell r="Z54">
            <v>0.29899999999999999</v>
          </cell>
          <cell r="AA54">
            <v>4.3317999999999994</v>
          </cell>
          <cell r="AB54">
            <v>6.2573999999999996</v>
          </cell>
          <cell r="AC54">
            <v>3.1316000000000002</v>
          </cell>
          <cell r="AD54">
            <v>4.6974</v>
          </cell>
          <cell r="AE54" t="str">
            <v>90 кг в уценку 30,06,26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D55">
            <v>47.914999999999999</v>
          </cell>
          <cell r="E55">
            <v>20.954999999999998</v>
          </cell>
          <cell r="F55">
            <v>22.45</v>
          </cell>
          <cell r="G55">
            <v>1</v>
          </cell>
          <cell r="H55">
            <v>60</v>
          </cell>
          <cell r="I55" t="str">
            <v>матрица</v>
          </cell>
          <cell r="K55">
            <v>25.1</v>
          </cell>
          <cell r="L55">
            <v>-4.1450000000000031</v>
          </cell>
          <cell r="O55">
            <v>70</v>
          </cell>
          <cell r="P55">
            <v>4.1909999999999998</v>
          </cell>
          <cell r="S55">
            <v>22.059174421379147</v>
          </cell>
          <cell r="T55">
            <v>22.059174421379147</v>
          </cell>
          <cell r="U55">
            <v>3.3281999999999998</v>
          </cell>
          <cell r="V55">
            <v>5.4710000000000001</v>
          </cell>
          <cell r="W55">
            <v>2.6920000000000002</v>
          </cell>
          <cell r="X55">
            <v>3.8879999999999999</v>
          </cell>
          <cell r="Y55">
            <v>3.302</v>
          </cell>
          <cell r="Z55">
            <v>1.486</v>
          </cell>
          <cell r="AA55">
            <v>0</v>
          </cell>
          <cell r="AB55">
            <v>6.0140000000000002</v>
          </cell>
          <cell r="AC55">
            <v>2.7010000000000001</v>
          </cell>
          <cell r="AD55">
            <v>3.5880000000000001</v>
          </cell>
        </row>
        <row r="56">
          <cell r="A56" t="str">
            <v>6925 ВЕТЧ.КЛАССИЧЕСКАЯ в/у 0,6кг 8шт. ОСТАНКИНО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O56">
            <v>0</v>
          </cell>
          <cell r="P56">
            <v>0</v>
          </cell>
          <cell r="S56" t="e">
            <v>#DIV/0!</v>
          </cell>
          <cell r="T56" t="e">
            <v>#DIV/0!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нет потребности</v>
          </cell>
        </row>
        <row r="57">
          <cell r="A57" t="str">
            <v>6946 СЕРВЕЛАТ КРЕМЛЕВСКИЙ в/к в/у ВЕС  0,84кг ОСТАНКИНО</v>
          </cell>
          <cell r="B57" t="str">
            <v>кг</v>
          </cell>
          <cell r="C57">
            <v>9.7000000000000003E-2</v>
          </cell>
          <cell r="F57">
            <v>9.7000000000000003E-2</v>
          </cell>
          <cell r="G57">
            <v>0</v>
          </cell>
          <cell r="H57">
            <v>45</v>
          </cell>
          <cell r="I57" t="str">
            <v>не в матрице</v>
          </cell>
          <cell r="K57">
            <v>13.78</v>
          </cell>
          <cell r="L57">
            <v>-13.78</v>
          </cell>
          <cell r="O57">
            <v>0</v>
          </cell>
          <cell r="P57">
            <v>0</v>
          </cell>
          <cell r="S57" t="e">
            <v>#DIV/0!</v>
          </cell>
          <cell r="T57" t="e">
            <v>#DIV/0!</v>
          </cell>
          <cell r="U57">
            <v>-0.3402</v>
          </cell>
          <cell r="V57">
            <v>5.6259999999999986</v>
          </cell>
          <cell r="W57">
            <v>5.7907999999999999</v>
          </cell>
          <cell r="X57">
            <v>6.1466000000000003</v>
          </cell>
          <cell r="Y57">
            <v>6.798</v>
          </cell>
          <cell r="Z57">
            <v>9.2099999999999991</v>
          </cell>
          <cell r="AA57">
            <v>5.6738</v>
          </cell>
          <cell r="AB57">
            <v>0</v>
          </cell>
          <cell r="AC57">
            <v>0</v>
          </cell>
          <cell r="AD57">
            <v>0.17219999999999999</v>
          </cell>
        </row>
        <row r="58">
          <cell r="A58" t="str">
            <v>6967 БУРГУНДИЯ Папа может с/к в/у 1/250 8шт  Останкино</v>
          </cell>
          <cell r="B58" t="str">
            <v>шт</v>
          </cell>
          <cell r="C58">
            <v>95</v>
          </cell>
          <cell r="E58">
            <v>34</v>
          </cell>
          <cell r="F58">
            <v>54</v>
          </cell>
          <cell r="G58">
            <v>0.25</v>
          </cell>
          <cell r="H58">
            <v>120</v>
          </cell>
          <cell r="I58" t="str">
            <v>матрица</v>
          </cell>
          <cell r="K58">
            <v>35</v>
          </cell>
          <cell r="L58">
            <v>-1</v>
          </cell>
          <cell r="O58">
            <v>19</v>
          </cell>
          <cell r="P58">
            <v>6.8</v>
          </cell>
          <cell r="Q58">
            <v>29</v>
          </cell>
          <cell r="S58">
            <v>15</v>
          </cell>
          <cell r="T58">
            <v>10.73529411764706</v>
          </cell>
          <cell r="U58">
            <v>7</v>
          </cell>
          <cell r="V58">
            <v>5.8</v>
          </cell>
          <cell r="W58">
            <v>8.1999999999999993</v>
          </cell>
          <cell r="X58">
            <v>4.8</v>
          </cell>
          <cell r="Y58">
            <v>4.5999999999999996</v>
          </cell>
          <cell r="Z58">
            <v>7.8</v>
          </cell>
          <cell r="AA58">
            <v>5.6</v>
          </cell>
          <cell r="AB58">
            <v>6.2</v>
          </cell>
          <cell r="AC58">
            <v>3.8</v>
          </cell>
          <cell r="AD58">
            <v>4</v>
          </cell>
          <cell r="AE58" t="str">
            <v>плюсом 5 дней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68.317999999999998</v>
          </cell>
          <cell r="D59">
            <v>28.344999999999999</v>
          </cell>
          <cell r="E59">
            <v>43.247</v>
          </cell>
          <cell r="F59">
            <v>41.247</v>
          </cell>
          <cell r="G59">
            <v>1</v>
          </cell>
          <cell r="H59">
            <v>45</v>
          </cell>
          <cell r="I59" t="str">
            <v>матрица</v>
          </cell>
          <cell r="K59">
            <v>53.1</v>
          </cell>
          <cell r="L59">
            <v>-9.8530000000000015</v>
          </cell>
          <cell r="O59">
            <v>54</v>
          </cell>
          <cell r="P59">
            <v>8.6494</v>
          </cell>
          <cell r="Q59">
            <v>34.493999999999986</v>
          </cell>
          <cell r="S59">
            <v>14.999999999999998</v>
          </cell>
          <cell r="T59">
            <v>11.011977709436493</v>
          </cell>
          <cell r="U59">
            <v>8.8480000000000008</v>
          </cell>
          <cell r="V59">
            <v>9.2843999999999998</v>
          </cell>
          <cell r="W59">
            <v>10.0526</v>
          </cell>
          <cell r="X59">
            <v>9.6641999999999992</v>
          </cell>
          <cell r="Y59">
            <v>9.517199999999999</v>
          </cell>
          <cell r="Z59">
            <v>8.8352000000000004</v>
          </cell>
          <cell r="AA59">
            <v>8.5221999999999998</v>
          </cell>
          <cell r="AB59">
            <v>10.96</v>
          </cell>
          <cell r="AC59">
            <v>7.5292000000000003</v>
          </cell>
          <cell r="AD59">
            <v>9.4152000000000005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91</v>
          </cell>
          <cell r="E60">
            <v>87</v>
          </cell>
          <cell r="F60">
            <v>1</v>
          </cell>
          <cell r="G60">
            <v>0.27</v>
          </cell>
          <cell r="I60" t="str">
            <v>матрица</v>
          </cell>
          <cell r="K60">
            <v>178</v>
          </cell>
          <cell r="L60">
            <v>-91</v>
          </cell>
          <cell r="O60">
            <v>180</v>
          </cell>
          <cell r="P60">
            <v>17.399999999999999</v>
          </cell>
          <cell r="Q60">
            <v>80</v>
          </cell>
          <cell r="S60">
            <v>15.000000000000002</v>
          </cell>
          <cell r="T60">
            <v>10.402298850574713</v>
          </cell>
          <cell r="U60">
            <v>20.2</v>
          </cell>
          <cell r="V60">
            <v>-0.2</v>
          </cell>
          <cell r="W60">
            <v>19.2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 t="str">
            <v>новинка</v>
          </cell>
        </row>
        <row r="61">
          <cell r="A61" t="str">
            <v>7059 ШПИКАЧКИ СОЧНЫЕ С БЕК. п/о мгс 0,3кг 60с ОСТАНКИНО</v>
          </cell>
          <cell r="B61" t="str">
            <v>шт</v>
          </cell>
          <cell r="C61">
            <v>77</v>
          </cell>
          <cell r="E61">
            <v>77</v>
          </cell>
          <cell r="G61">
            <v>0.3</v>
          </cell>
          <cell r="H61">
            <v>60</v>
          </cell>
          <cell r="I61" t="str">
            <v>матрица</v>
          </cell>
          <cell r="K61">
            <v>161</v>
          </cell>
          <cell r="L61">
            <v>-84</v>
          </cell>
          <cell r="O61">
            <v>300</v>
          </cell>
          <cell r="P61">
            <v>15.4</v>
          </cell>
          <cell r="R61">
            <v>300</v>
          </cell>
          <cell r="S61">
            <v>19.480519480519479</v>
          </cell>
          <cell r="T61">
            <v>19.480519480519479</v>
          </cell>
          <cell r="U61">
            <v>43.2</v>
          </cell>
          <cell r="V61">
            <v>52.8</v>
          </cell>
          <cell r="W61">
            <v>25.6</v>
          </cell>
          <cell r="X61">
            <v>31</v>
          </cell>
          <cell r="Y61">
            <v>31.8</v>
          </cell>
          <cell r="Z61">
            <v>25.4</v>
          </cell>
          <cell r="AA61">
            <v>38.799999999999997</v>
          </cell>
          <cell r="AB61">
            <v>37.200000000000003</v>
          </cell>
          <cell r="AC61">
            <v>39.799999999999997</v>
          </cell>
          <cell r="AD61">
            <v>16.600000000000001</v>
          </cell>
          <cell r="AE61" t="str">
            <v>Главторг</v>
          </cell>
          <cell r="AF61" t="str">
            <v>не пришли 25.08</v>
          </cell>
        </row>
        <row r="62">
          <cell r="A62" t="str">
            <v>7066 СОЧНЫЕ ПМ сос п/о мгс 0,41кг 10шт 50с  Останкино</v>
          </cell>
          <cell r="B62" t="str">
            <v>шт</v>
          </cell>
          <cell r="C62">
            <v>504</v>
          </cell>
          <cell r="D62">
            <v>530</v>
          </cell>
          <cell r="E62">
            <v>588</v>
          </cell>
          <cell r="F62">
            <v>448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600</v>
          </cell>
          <cell r="L62">
            <v>-12</v>
          </cell>
          <cell r="O62">
            <v>700</v>
          </cell>
          <cell r="P62">
            <v>117.6</v>
          </cell>
          <cell r="Q62">
            <v>616</v>
          </cell>
          <cell r="S62">
            <v>15</v>
          </cell>
          <cell r="T62">
            <v>9.7619047619047628</v>
          </cell>
          <cell r="U62">
            <v>103</v>
          </cell>
          <cell r="V62">
            <v>73</v>
          </cell>
          <cell r="W62">
            <v>87.4</v>
          </cell>
          <cell r="X62">
            <v>83.2</v>
          </cell>
          <cell r="Y62">
            <v>100.8</v>
          </cell>
          <cell r="Z62">
            <v>87</v>
          </cell>
          <cell r="AA62">
            <v>90.4</v>
          </cell>
          <cell r="AB62">
            <v>84</v>
          </cell>
          <cell r="AC62">
            <v>77.2</v>
          </cell>
          <cell r="AD62">
            <v>68.2</v>
          </cell>
          <cell r="AE62" t="str">
            <v>Главторг</v>
          </cell>
        </row>
        <row r="63">
          <cell r="A63" t="str">
            <v>7067 СОЧНЫЕ ПМ сос. п/о мгс 0,41кг СНГ 50с ОСТАНКИНО</v>
          </cell>
          <cell r="B63" t="str">
            <v>шт</v>
          </cell>
          <cell r="C63">
            <v>50</v>
          </cell>
          <cell r="F63">
            <v>50</v>
          </cell>
          <cell r="G63">
            <v>0</v>
          </cell>
          <cell r="I63" t="str">
            <v>дубль</v>
          </cell>
          <cell r="J63" t="str">
            <v>7066 СОЧНЫЕ ПМ сос п/о мгс 0,41кг 10шт 50с  Останкино</v>
          </cell>
          <cell r="K63">
            <v>2</v>
          </cell>
          <cell r="L63">
            <v>-2</v>
          </cell>
          <cell r="O63">
            <v>0</v>
          </cell>
          <cell r="P63">
            <v>0</v>
          </cell>
          <cell r="S63" t="e">
            <v>#DIV/0!</v>
          </cell>
          <cell r="T63" t="e">
            <v>#DIV/0!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 t="str">
            <v>нужно увеличить продажи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1221.056</v>
          </cell>
          <cell r="D64">
            <v>203.84899999999999</v>
          </cell>
          <cell r="E64">
            <v>616.6</v>
          </cell>
          <cell r="F64">
            <v>795.87599999999998</v>
          </cell>
          <cell r="G64">
            <v>1</v>
          </cell>
          <cell r="H64">
            <v>50</v>
          </cell>
          <cell r="I64" t="str">
            <v>матрица</v>
          </cell>
          <cell r="K64">
            <v>604.5</v>
          </cell>
          <cell r="L64">
            <v>12.100000000000023</v>
          </cell>
          <cell r="O64">
            <v>501</v>
          </cell>
          <cell r="P64">
            <v>123.32000000000001</v>
          </cell>
          <cell r="Q64">
            <v>552.92400000000021</v>
          </cell>
          <cell r="S64">
            <v>15</v>
          </cell>
          <cell r="T64">
            <v>10.516347713266299</v>
          </cell>
          <cell r="U64">
            <v>98.82820000000001</v>
          </cell>
          <cell r="V64">
            <v>121.4474</v>
          </cell>
          <cell r="W64">
            <v>124.7012</v>
          </cell>
          <cell r="X64">
            <v>114.2328</v>
          </cell>
          <cell r="Y64">
            <v>69.064999999999998</v>
          </cell>
          <cell r="Z64">
            <v>43.75</v>
          </cell>
          <cell r="AA64">
            <v>103.5904</v>
          </cell>
          <cell r="AB64">
            <v>84.347999999999999</v>
          </cell>
          <cell r="AC64">
            <v>76.303599999999989</v>
          </cell>
          <cell r="AD64">
            <v>43.255000000000003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8</v>
          </cell>
          <cell r="D65">
            <v>56</v>
          </cell>
          <cell r="E65">
            <v>46</v>
          </cell>
          <cell r="F65">
            <v>12</v>
          </cell>
          <cell r="G65">
            <v>0.35</v>
          </cell>
          <cell r="H65">
            <v>50</v>
          </cell>
          <cell r="I65" t="str">
            <v>матрица</v>
          </cell>
          <cell r="K65">
            <v>46</v>
          </cell>
          <cell r="L65">
            <v>0</v>
          </cell>
          <cell r="O65">
            <v>40</v>
          </cell>
          <cell r="P65">
            <v>9.1999999999999993</v>
          </cell>
          <cell r="Q65">
            <v>76.799999999999983</v>
          </cell>
          <cell r="S65">
            <v>14</v>
          </cell>
          <cell r="T65">
            <v>5.6521739130434785</v>
          </cell>
          <cell r="U65">
            <v>6</v>
          </cell>
          <cell r="V65">
            <v>8.1999999999999993</v>
          </cell>
          <cell r="W65">
            <v>4.2</v>
          </cell>
          <cell r="X65">
            <v>7.8</v>
          </cell>
          <cell r="Y65">
            <v>5.6</v>
          </cell>
          <cell r="Z65">
            <v>10.199999999999999</v>
          </cell>
          <cell r="AA65">
            <v>9.6</v>
          </cell>
          <cell r="AB65">
            <v>12.6</v>
          </cell>
          <cell r="AC65">
            <v>10.6</v>
          </cell>
          <cell r="AD65">
            <v>13.4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C66">
            <v>35.613999999999997</v>
          </cell>
          <cell r="D66">
            <v>99.424999999999997</v>
          </cell>
          <cell r="E66">
            <v>66.774000000000001</v>
          </cell>
          <cell r="F66">
            <v>62.023000000000003</v>
          </cell>
          <cell r="G66">
            <v>1</v>
          </cell>
          <cell r="H66">
            <v>50</v>
          </cell>
          <cell r="I66" t="str">
            <v>матрица</v>
          </cell>
          <cell r="K66">
            <v>63.5</v>
          </cell>
          <cell r="L66">
            <v>3.2740000000000009</v>
          </cell>
          <cell r="O66">
            <v>70</v>
          </cell>
          <cell r="P66">
            <v>13.354800000000001</v>
          </cell>
          <cell r="Q66">
            <v>68.299000000000007</v>
          </cell>
          <cell r="S66">
            <v>15</v>
          </cell>
          <cell r="T66">
            <v>9.8858088477551131</v>
          </cell>
          <cell r="U66">
            <v>11.995200000000001</v>
          </cell>
          <cell r="V66">
            <v>12.410600000000001</v>
          </cell>
          <cell r="W66">
            <v>8.0703999999999994</v>
          </cell>
          <cell r="X66">
            <v>14.8842</v>
          </cell>
          <cell r="Y66">
            <v>5.8064</v>
          </cell>
          <cell r="Z66">
            <v>5.6052</v>
          </cell>
          <cell r="AA66">
            <v>12.7126</v>
          </cell>
          <cell r="AB66">
            <v>15.461600000000001</v>
          </cell>
          <cell r="AC66">
            <v>11.281599999999999</v>
          </cell>
          <cell r="AD66">
            <v>18.711600000000001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390</v>
          </cell>
          <cell r="D67">
            <v>510</v>
          </cell>
          <cell r="E67">
            <v>357</v>
          </cell>
          <cell r="F67">
            <v>519</v>
          </cell>
          <cell r="G67">
            <v>0.41</v>
          </cell>
          <cell r="H67">
            <v>50</v>
          </cell>
          <cell r="I67" t="str">
            <v>ВНИМАНИЕ / матрица</v>
          </cell>
          <cell r="K67">
            <v>359</v>
          </cell>
          <cell r="L67">
            <v>-2</v>
          </cell>
          <cell r="O67">
            <v>200</v>
          </cell>
          <cell r="P67">
            <v>71.400000000000006</v>
          </cell>
          <cell r="Q67">
            <v>352</v>
          </cell>
          <cell r="S67">
            <v>14.999999999999998</v>
          </cell>
          <cell r="T67">
            <v>10.070028011204482</v>
          </cell>
          <cell r="U67">
            <v>52.4</v>
          </cell>
          <cell r="V67">
            <v>50.2</v>
          </cell>
          <cell r="W67">
            <v>55</v>
          </cell>
          <cell r="X67">
            <v>45.2</v>
          </cell>
          <cell r="Y67">
            <v>48.8</v>
          </cell>
          <cell r="Z67">
            <v>35.200000000000003</v>
          </cell>
          <cell r="AA67">
            <v>51.4</v>
          </cell>
          <cell r="AB67">
            <v>56.6</v>
          </cell>
          <cell r="AC67">
            <v>45.8</v>
          </cell>
          <cell r="AD67">
            <v>48.4</v>
          </cell>
          <cell r="AE67" t="str">
            <v>Главторг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C68">
            <v>383.38299999999998</v>
          </cell>
          <cell r="E68">
            <v>186.34899999999999</v>
          </cell>
          <cell r="F68">
            <v>178.07300000000001</v>
          </cell>
          <cell r="G68">
            <v>1</v>
          </cell>
          <cell r="H68">
            <v>50</v>
          </cell>
          <cell r="I68" t="str">
            <v>матрица</v>
          </cell>
          <cell r="K68">
            <v>177</v>
          </cell>
          <cell r="L68">
            <v>9.3489999999999895</v>
          </cell>
          <cell r="O68">
            <v>335</v>
          </cell>
          <cell r="P68">
            <v>37.269799999999996</v>
          </cell>
          <cell r="Q68">
            <v>45.973999999999904</v>
          </cell>
          <cell r="S68">
            <v>14.999999999999998</v>
          </cell>
          <cell r="T68">
            <v>13.766454341048249</v>
          </cell>
          <cell r="U68">
            <v>44.215200000000003</v>
          </cell>
          <cell r="V68">
            <v>23.197399999999998</v>
          </cell>
          <cell r="W68">
            <v>44.723799999999997</v>
          </cell>
          <cell r="X68">
            <v>29.232600000000001</v>
          </cell>
          <cell r="Y68">
            <v>14.500999999999999</v>
          </cell>
          <cell r="Z68">
            <v>26.771000000000001</v>
          </cell>
          <cell r="AA68">
            <v>37.538600000000002</v>
          </cell>
          <cell r="AB68">
            <v>40.284599999999998</v>
          </cell>
          <cell r="AC68">
            <v>27.845199999999998</v>
          </cell>
          <cell r="AD68">
            <v>4.649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85</v>
          </cell>
          <cell r="E69">
            <v>78</v>
          </cell>
          <cell r="G69">
            <v>0.3</v>
          </cell>
          <cell r="H69">
            <v>50</v>
          </cell>
          <cell r="I69" t="str">
            <v>матрица</v>
          </cell>
          <cell r="K69">
            <v>97</v>
          </cell>
          <cell r="L69">
            <v>-19</v>
          </cell>
          <cell r="O69">
            <v>168</v>
          </cell>
          <cell r="P69">
            <v>15.6</v>
          </cell>
          <cell r="Q69">
            <v>66</v>
          </cell>
          <cell r="S69">
            <v>15</v>
          </cell>
          <cell r="T69">
            <v>10.76923076923077</v>
          </cell>
          <cell r="U69">
            <v>18.600000000000001</v>
          </cell>
          <cell r="V69">
            <v>11.2</v>
          </cell>
          <cell r="W69">
            <v>10.199999999999999</v>
          </cell>
          <cell r="X69">
            <v>19.600000000000001</v>
          </cell>
          <cell r="Y69">
            <v>12.6</v>
          </cell>
          <cell r="Z69">
            <v>11.4</v>
          </cell>
          <cell r="AA69">
            <v>12.4</v>
          </cell>
          <cell r="AB69">
            <v>19.2</v>
          </cell>
          <cell r="AC69">
            <v>19.600000000000001</v>
          </cell>
          <cell r="AD69">
            <v>25.4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187</v>
          </cell>
          <cell r="D70">
            <v>530</v>
          </cell>
          <cell r="E70">
            <v>243</v>
          </cell>
          <cell r="F70">
            <v>442</v>
          </cell>
          <cell r="G70">
            <v>0.18</v>
          </cell>
          <cell r="H70">
            <v>50</v>
          </cell>
          <cell r="I70" t="str">
            <v>матрица</v>
          </cell>
          <cell r="K70">
            <v>261</v>
          </cell>
          <cell r="L70">
            <v>-18</v>
          </cell>
          <cell r="O70">
            <v>316</v>
          </cell>
          <cell r="P70">
            <v>48.6</v>
          </cell>
          <cell r="S70">
            <v>15.596707818930041</v>
          </cell>
          <cell r="T70">
            <v>15.596707818930041</v>
          </cell>
          <cell r="U70">
            <v>62</v>
          </cell>
          <cell r="V70">
            <v>67.8</v>
          </cell>
          <cell r="W70">
            <v>38.6</v>
          </cell>
          <cell r="X70">
            <v>70</v>
          </cell>
          <cell r="Y70">
            <v>55.8</v>
          </cell>
          <cell r="Z70">
            <v>40.6</v>
          </cell>
          <cell r="AA70">
            <v>79.400000000000006</v>
          </cell>
          <cell r="AB70">
            <v>54.4</v>
          </cell>
          <cell r="AC70">
            <v>59.4</v>
          </cell>
          <cell r="AD70">
            <v>21.4</v>
          </cell>
        </row>
        <row r="71">
          <cell r="A71" t="str">
            <v>7149 БАЛЫКОВАЯ Коровино п/к в/у 0,84кг_50с  Останкино</v>
          </cell>
          <cell r="B71" t="str">
            <v>шт</v>
          </cell>
          <cell r="C71">
            <v>127</v>
          </cell>
          <cell r="E71">
            <v>71</v>
          </cell>
          <cell r="F71">
            <v>49</v>
          </cell>
          <cell r="G71">
            <v>0.84</v>
          </cell>
          <cell r="H71">
            <v>50</v>
          </cell>
          <cell r="I71" t="str">
            <v>матрица</v>
          </cell>
          <cell r="K71">
            <v>73</v>
          </cell>
          <cell r="L71">
            <v>-2</v>
          </cell>
          <cell r="O71">
            <v>0</v>
          </cell>
          <cell r="P71">
            <v>14.2</v>
          </cell>
          <cell r="Q71">
            <v>107.19999999999999</v>
          </cell>
          <cell r="R71">
            <v>50</v>
          </cell>
          <cell r="S71">
            <v>11</v>
          </cell>
          <cell r="T71">
            <v>3.450704225352113</v>
          </cell>
          <cell r="U71">
            <v>4.5999999999999996</v>
          </cell>
          <cell r="V71">
            <v>1.6</v>
          </cell>
          <cell r="W71">
            <v>11.4</v>
          </cell>
          <cell r="X71">
            <v>7</v>
          </cell>
          <cell r="Y71">
            <v>7.4</v>
          </cell>
          <cell r="Z71">
            <v>9.6</v>
          </cell>
          <cell r="AA71">
            <v>11.6</v>
          </cell>
          <cell r="AB71">
            <v>12.2</v>
          </cell>
          <cell r="AC71">
            <v>16</v>
          </cell>
          <cell r="AD71">
            <v>4</v>
          </cell>
          <cell r="AF71" t="str">
            <v xml:space="preserve">нет потребности 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686</v>
          </cell>
          <cell r="D72">
            <v>56</v>
          </cell>
          <cell r="E72">
            <v>453</v>
          </cell>
          <cell r="F72">
            <v>256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460</v>
          </cell>
          <cell r="L72">
            <v>-7</v>
          </cell>
          <cell r="O72">
            <v>943</v>
          </cell>
          <cell r="P72">
            <v>90.6</v>
          </cell>
          <cell r="Q72">
            <v>160</v>
          </cell>
          <cell r="S72">
            <v>15.000000000000002</v>
          </cell>
          <cell r="T72">
            <v>13.233995584988964</v>
          </cell>
          <cell r="U72">
            <v>105.6</v>
          </cell>
          <cell r="V72">
            <v>81.599999999999994</v>
          </cell>
          <cell r="W72">
            <v>96</v>
          </cell>
          <cell r="X72">
            <v>93</v>
          </cell>
          <cell r="Y72">
            <v>73.400000000000006</v>
          </cell>
          <cell r="Z72">
            <v>90</v>
          </cell>
          <cell r="AA72">
            <v>64.8</v>
          </cell>
          <cell r="AB72">
            <v>43.8</v>
          </cell>
          <cell r="AC72">
            <v>96</v>
          </cell>
          <cell r="AD72">
            <v>50.4</v>
          </cell>
        </row>
        <row r="73">
          <cell r="A73" t="str">
            <v>7156 СЕРВЕЛАТ КОПЧ.НА БУКЕ в/к в/у 0.35кг_50с</v>
          </cell>
          <cell r="B73" t="str">
            <v>шт</v>
          </cell>
          <cell r="G73">
            <v>0.35</v>
          </cell>
          <cell r="I73" t="str">
            <v>матрица</v>
          </cell>
          <cell r="L73">
            <v>0</v>
          </cell>
          <cell r="O73">
            <v>300</v>
          </cell>
          <cell r="P73">
            <v>0</v>
          </cell>
          <cell r="R73">
            <v>100</v>
          </cell>
          <cell r="S73" t="e">
            <v>#DIV/0!</v>
          </cell>
          <cell r="T73" t="e">
            <v>#DIV/0!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str">
            <v>новинка / Главторг (1001304237156)</v>
          </cell>
          <cell r="AF73" t="str">
            <v xml:space="preserve">Для розница 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333.98599999999999</v>
          </cell>
          <cell r="E74">
            <v>175.947</v>
          </cell>
          <cell r="F74">
            <v>77.674999999999997</v>
          </cell>
          <cell r="G74">
            <v>1</v>
          </cell>
          <cell r="H74">
            <v>50</v>
          </cell>
          <cell r="I74" t="str">
            <v>матрица</v>
          </cell>
          <cell r="K74">
            <v>168.7</v>
          </cell>
          <cell r="L74">
            <v>7.2470000000000141</v>
          </cell>
          <cell r="O74">
            <v>604</v>
          </cell>
          <cell r="P74">
            <v>35.189399999999999</v>
          </cell>
          <cell r="S74">
            <v>19.371600538798614</v>
          </cell>
          <cell r="T74">
            <v>19.371600538798614</v>
          </cell>
          <cell r="U74">
            <v>67.367999999999995</v>
          </cell>
          <cell r="V74">
            <v>35.150799999999997</v>
          </cell>
          <cell r="W74">
            <v>52.886000000000003</v>
          </cell>
          <cell r="X74">
            <v>31.279</v>
          </cell>
          <cell r="Y74">
            <v>28.452000000000002</v>
          </cell>
          <cell r="Z74">
            <v>33.644199999999998</v>
          </cell>
          <cell r="AA74">
            <v>35.037400000000012</v>
          </cell>
          <cell r="AB74">
            <v>33.808399999999999</v>
          </cell>
          <cell r="AC74">
            <v>32.193199999999997</v>
          </cell>
          <cell r="AD74">
            <v>26.458200000000001</v>
          </cell>
        </row>
        <row r="75">
          <cell r="A75" t="str">
            <v>7166 СЕРВЕЛАТ ОХОТНИЧИЙ ПМ в/к в/у_50с  Останкино</v>
          </cell>
          <cell r="B75" t="str">
            <v>кг</v>
          </cell>
          <cell r="C75">
            <v>334.08199999999999</v>
          </cell>
          <cell r="E75">
            <v>281.12099999999998</v>
          </cell>
          <cell r="F75">
            <v>27.789000000000001</v>
          </cell>
          <cell r="G75">
            <v>1</v>
          </cell>
          <cell r="H75">
            <v>50</v>
          </cell>
          <cell r="I75" t="str">
            <v>матрица</v>
          </cell>
          <cell r="K75">
            <v>263</v>
          </cell>
          <cell r="L75">
            <v>18.120999999999981</v>
          </cell>
          <cell r="O75">
            <v>704</v>
          </cell>
          <cell r="P75">
            <v>56.224199999999996</v>
          </cell>
          <cell r="Q75">
            <v>111.57399999999994</v>
          </cell>
          <cell r="S75">
            <v>15</v>
          </cell>
          <cell r="T75">
            <v>13.015552022083018</v>
          </cell>
          <cell r="U75">
            <v>77.818399999999997</v>
          </cell>
          <cell r="V75">
            <v>32.770200000000003</v>
          </cell>
          <cell r="W75">
            <v>55.198</v>
          </cell>
          <cell r="X75">
            <v>53.136600000000001</v>
          </cell>
          <cell r="Y75">
            <v>30.6296</v>
          </cell>
          <cell r="Z75">
            <v>26.934999999999999</v>
          </cell>
          <cell r="AA75">
            <v>48.299799999999998</v>
          </cell>
          <cell r="AB75">
            <v>57.070000000000007</v>
          </cell>
          <cell r="AC75">
            <v>45.7622</v>
          </cell>
          <cell r="AD75">
            <v>39.1586</v>
          </cell>
        </row>
        <row r="76">
          <cell r="A76" t="str">
            <v>7169 СЕРВЕЛАТ ОХОТНИЧИЙ ПМ в/к в/у 0,35кг_50с  Останкино</v>
          </cell>
          <cell r="B76" t="str">
            <v>шт</v>
          </cell>
          <cell r="C76">
            <v>280</v>
          </cell>
          <cell r="E76">
            <v>209</v>
          </cell>
          <cell r="F76">
            <v>37</v>
          </cell>
          <cell r="G76">
            <v>0.35</v>
          </cell>
          <cell r="H76">
            <v>50</v>
          </cell>
          <cell r="I76" t="str">
            <v>матрица</v>
          </cell>
          <cell r="K76">
            <v>219</v>
          </cell>
          <cell r="L76">
            <v>-10</v>
          </cell>
          <cell r="O76">
            <v>569</v>
          </cell>
          <cell r="P76">
            <v>41.8</v>
          </cell>
          <cell r="Q76">
            <v>21</v>
          </cell>
          <cell r="S76">
            <v>15.000000000000002</v>
          </cell>
          <cell r="T76">
            <v>14.497607655502394</v>
          </cell>
          <cell r="U76">
            <v>65.599999999999994</v>
          </cell>
          <cell r="V76">
            <v>34.200000000000003</v>
          </cell>
          <cell r="W76">
            <v>34.4</v>
          </cell>
          <cell r="X76">
            <v>63.8</v>
          </cell>
          <cell r="Y76">
            <v>44.2</v>
          </cell>
          <cell r="Z76">
            <v>39.200000000000003</v>
          </cell>
          <cell r="AA76">
            <v>50.6</v>
          </cell>
          <cell r="AB76">
            <v>56.2</v>
          </cell>
          <cell r="AC76">
            <v>35.6</v>
          </cell>
          <cell r="AD76">
            <v>12.6</v>
          </cell>
        </row>
        <row r="77">
          <cell r="A77" t="str">
            <v>7187 ГРУДИНКА ПРЕМИУМ к/в мл/к в/у 0,3кг_50с  Останкино</v>
          </cell>
          <cell r="B77" t="str">
            <v>шт</v>
          </cell>
          <cell r="C77">
            <v>40</v>
          </cell>
          <cell r="D77">
            <v>90</v>
          </cell>
          <cell r="E77">
            <v>66</v>
          </cell>
          <cell r="F77">
            <v>37</v>
          </cell>
          <cell r="G77">
            <v>0.3</v>
          </cell>
          <cell r="H77">
            <v>50</v>
          </cell>
          <cell r="I77" t="str">
            <v>матрица</v>
          </cell>
          <cell r="K77">
            <v>70</v>
          </cell>
          <cell r="L77">
            <v>-4</v>
          </cell>
          <cell r="O77">
            <v>90</v>
          </cell>
          <cell r="P77">
            <v>13.2</v>
          </cell>
          <cell r="Q77">
            <v>71</v>
          </cell>
          <cell r="S77">
            <v>15</v>
          </cell>
          <cell r="T77">
            <v>9.6212121212121211</v>
          </cell>
          <cell r="U77">
            <v>13.4</v>
          </cell>
          <cell r="V77">
            <v>12.4</v>
          </cell>
          <cell r="W77">
            <v>9</v>
          </cell>
          <cell r="X77">
            <v>14.2</v>
          </cell>
          <cell r="Y77">
            <v>17.600000000000001</v>
          </cell>
          <cell r="Z77">
            <v>9.6</v>
          </cell>
          <cell r="AA77">
            <v>13.8</v>
          </cell>
          <cell r="AB77">
            <v>7.4</v>
          </cell>
          <cell r="AC77">
            <v>16.8</v>
          </cell>
          <cell r="AD77">
            <v>10.199999999999999</v>
          </cell>
        </row>
        <row r="78">
          <cell r="A78" t="str">
            <v>7231 КЛАССИЧЕСКАЯ ПМ вар п/о 0,3кг 8 шт_209к  Останкино</v>
          </cell>
          <cell r="B78" t="str">
            <v>шт</v>
          </cell>
          <cell r="C78">
            <v>110</v>
          </cell>
          <cell r="D78">
            <v>48</v>
          </cell>
          <cell r="E78">
            <v>81</v>
          </cell>
          <cell r="F78">
            <v>61</v>
          </cell>
          <cell r="G78">
            <v>0.3</v>
          </cell>
          <cell r="H78">
            <v>60</v>
          </cell>
          <cell r="I78" t="str">
            <v>матрица</v>
          </cell>
          <cell r="K78">
            <v>81</v>
          </cell>
          <cell r="L78">
            <v>0</v>
          </cell>
          <cell r="O78">
            <v>116</v>
          </cell>
          <cell r="P78">
            <v>16.2</v>
          </cell>
          <cell r="Q78">
            <v>66</v>
          </cell>
          <cell r="S78">
            <v>15</v>
          </cell>
          <cell r="T78">
            <v>10.925925925925926</v>
          </cell>
          <cell r="U78">
            <v>17.2</v>
          </cell>
          <cell r="V78">
            <v>16.600000000000001</v>
          </cell>
          <cell r="W78">
            <v>17</v>
          </cell>
          <cell r="X78">
            <v>19.600000000000001</v>
          </cell>
          <cell r="Y78">
            <v>15.6</v>
          </cell>
          <cell r="Z78">
            <v>14.8</v>
          </cell>
          <cell r="AA78">
            <v>13.4</v>
          </cell>
          <cell r="AB78">
            <v>6.6</v>
          </cell>
          <cell r="AC78">
            <v>13.6</v>
          </cell>
          <cell r="AD78">
            <v>13.8</v>
          </cell>
        </row>
        <row r="79">
          <cell r="A79" t="str">
            <v>7232 БОЯNСКАЯ ПМ п/к в/у 0,28кг 8шт_209к  Останкино</v>
          </cell>
          <cell r="B79" t="str">
            <v>шт</v>
          </cell>
          <cell r="C79">
            <v>218</v>
          </cell>
          <cell r="D79">
            <v>104</v>
          </cell>
          <cell r="E79">
            <v>139</v>
          </cell>
          <cell r="F79">
            <v>160</v>
          </cell>
          <cell r="G79">
            <v>0.28000000000000003</v>
          </cell>
          <cell r="H79">
            <v>50</v>
          </cell>
          <cell r="I79" t="str">
            <v>матрица</v>
          </cell>
          <cell r="K79">
            <v>146</v>
          </cell>
          <cell r="L79">
            <v>-7</v>
          </cell>
          <cell r="O79">
            <v>144</v>
          </cell>
          <cell r="P79">
            <v>27.8</v>
          </cell>
          <cell r="Q79">
            <v>113</v>
          </cell>
          <cell r="S79">
            <v>15</v>
          </cell>
          <cell r="T79">
            <v>10.935251798561151</v>
          </cell>
          <cell r="U79">
            <v>28.6</v>
          </cell>
          <cell r="V79">
            <v>31</v>
          </cell>
          <cell r="W79">
            <v>33.799999999999997</v>
          </cell>
          <cell r="X79">
            <v>38.6</v>
          </cell>
          <cell r="Y79">
            <v>27.8</v>
          </cell>
          <cell r="Z79">
            <v>31.2</v>
          </cell>
          <cell r="AA79">
            <v>27.4</v>
          </cell>
          <cell r="AB79">
            <v>42.8</v>
          </cell>
          <cell r="AC79">
            <v>29.6</v>
          </cell>
          <cell r="AD79">
            <v>22</v>
          </cell>
        </row>
        <row r="80">
          <cell r="A80" t="str">
            <v>7236 СЕРВЕЛАТ КАРЕЛЬСКИЙ в/к в/у 0,28кг_209к  Останкино</v>
          </cell>
          <cell r="B80" t="str">
            <v>шт</v>
          </cell>
          <cell r="C80">
            <v>163</v>
          </cell>
          <cell r="D80">
            <v>96</v>
          </cell>
          <cell r="E80">
            <v>167</v>
          </cell>
          <cell r="F80">
            <v>68</v>
          </cell>
          <cell r="G80">
            <v>0.28000000000000003</v>
          </cell>
          <cell r="H80">
            <v>45</v>
          </cell>
          <cell r="I80" t="str">
            <v>матрица</v>
          </cell>
          <cell r="K80">
            <v>173</v>
          </cell>
          <cell r="L80">
            <v>-6</v>
          </cell>
          <cell r="O80">
            <v>376</v>
          </cell>
          <cell r="P80">
            <v>33.4</v>
          </cell>
          <cell r="Q80">
            <v>57</v>
          </cell>
          <cell r="S80">
            <v>15</v>
          </cell>
          <cell r="T80">
            <v>13.293413173652695</v>
          </cell>
          <cell r="U80">
            <v>42.8</v>
          </cell>
          <cell r="V80">
            <v>31.2</v>
          </cell>
          <cell r="W80">
            <v>33.6</v>
          </cell>
          <cell r="X80">
            <v>43.8</v>
          </cell>
          <cell r="Y80">
            <v>38</v>
          </cell>
          <cell r="Z80">
            <v>34.4</v>
          </cell>
          <cell r="AA80">
            <v>35.6</v>
          </cell>
          <cell r="AB80">
            <v>30.2</v>
          </cell>
          <cell r="AC80">
            <v>39.799999999999997</v>
          </cell>
          <cell r="AD80">
            <v>29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629</v>
          </cell>
          <cell r="D81">
            <v>341</v>
          </cell>
          <cell r="E81">
            <v>486</v>
          </cell>
          <cell r="F81">
            <v>456</v>
          </cell>
          <cell r="G81">
            <v>0.28000000000000003</v>
          </cell>
          <cell r="H81">
            <v>45</v>
          </cell>
          <cell r="I81" t="str">
            <v>матрица</v>
          </cell>
          <cell r="K81">
            <v>491</v>
          </cell>
          <cell r="L81">
            <v>-5</v>
          </cell>
          <cell r="O81">
            <v>509</v>
          </cell>
          <cell r="P81">
            <v>97.2</v>
          </cell>
          <cell r="Q81">
            <v>493</v>
          </cell>
          <cell r="S81">
            <v>15</v>
          </cell>
          <cell r="T81">
            <v>9.9279835390946491</v>
          </cell>
          <cell r="U81">
            <v>82.4</v>
          </cell>
          <cell r="V81">
            <v>91.8</v>
          </cell>
          <cell r="W81">
            <v>89.8</v>
          </cell>
          <cell r="X81">
            <v>101</v>
          </cell>
          <cell r="Y81">
            <v>72.400000000000006</v>
          </cell>
          <cell r="Z81">
            <v>66.8</v>
          </cell>
          <cell r="AA81">
            <v>49.4</v>
          </cell>
          <cell r="AB81">
            <v>83</v>
          </cell>
          <cell r="AC81">
            <v>47.2</v>
          </cell>
          <cell r="AD81">
            <v>55.6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94</v>
          </cell>
          <cell r="D82">
            <v>294</v>
          </cell>
          <cell r="E82">
            <v>201</v>
          </cell>
          <cell r="F82">
            <v>167</v>
          </cell>
          <cell r="G82">
            <v>0.4</v>
          </cell>
          <cell r="H82">
            <v>50</v>
          </cell>
          <cell r="I82" t="str">
            <v>матрица</v>
          </cell>
          <cell r="K82">
            <v>208</v>
          </cell>
          <cell r="L82">
            <v>-7</v>
          </cell>
          <cell r="O82">
            <v>229</v>
          </cell>
          <cell r="P82">
            <v>40.200000000000003</v>
          </cell>
          <cell r="Q82">
            <v>207</v>
          </cell>
          <cell r="S82">
            <v>14.999999999999998</v>
          </cell>
          <cell r="T82">
            <v>9.8507462686567155</v>
          </cell>
          <cell r="U82">
            <v>36.200000000000003</v>
          </cell>
          <cell r="V82">
            <v>36.799999999999997</v>
          </cell>
          <cell r="W82">
            <v>26.6</v>
          </cell>
          <cell r="X82">
            <v>27.8</v>
          </cell>
          <cell r="Y82">
            <v>37.4</v>
          </cell>
          <cell r="Z82">
            <v>28.2</v>
          </cell>
          <cell r="AA82">
            <v>30.4</v>
          </cell>
          <cell r="AB82">
            <v>43.6</v>
          </cell>
          <cell r="AC82">
            <v>34.200000000000003</v>
          </cell>
          <cell r="AD82">
            <v>31.2</v>
          </cell>
        </row>
        <row r="83">
          <cell r="A83" t="str">
            <v>7288 БАЛЫК с/к с/н в/у 1/100 10шт ОСТАНКИНО</v>
          </cell>
          <cell r="B83" t="str">
            <v>шт</v>
          </cell>
          <cell r="C83">
            <v>-1</v>
          </cell>
          <cell r="F83">
            <v>-1</v>
          </cell>
          <cell r="G83">
            <v>0</v>
          </cell>
          <cell r="H83">
            <v>60</v>
          </cell>
          <cell r="I83" t="str">
            <v>не в матрице</v>
          </cell>
          <cell r="J83" t="str">
            <v>7612 БАЛЫК с/к с/н в/у 1/100 10шт_  ОСТАНКИНО</v>
          </cell>
          <cell r="L83">
            <v>0</v>
          </cell>
          <cell r="O83">
            <v>0</v>
          </cell>
          <cell r="P83">
            <v>0</v>
          </cell>
          <cell r="S83" t="e">
            <v>#DIV/0!</v>
          </cell>
          <cell r="T83" t="e">
            <v>#DIV/0!</v>
          </cell>
          <cell r="U83">
            <v>0.6</v>
          </cell>
          <cell r="V83">
            <v>8.4</v>
          </cell>
          <cell r="W83">
            <v>3.6</v>
          </cell>
          <cell r="X83">
            <v>6.4</v>
          </cell>
          <cell r="Y83">
            <v>6.4</v>
          </cell>
          <cell r="Z83">
            <v>5.2</v>
          </cell>
          <cell r="AA83">
            <v>6.2</v>
          </cell>
          <cell r="AB83">
            <v>8</v>
          </cell>
          <cell r="AC83">
            <v>6</v>
          </cell>
          <cell r="AD83">
            <v>12.4</v>
          </cell>
          <cell r="AE83" t="str">
            <v>ротация на 7612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23.559000000000001</v>
          </cell>
          <cell r="D84">
            <v>36.956000000000003</v>
          </cell>
          <cell r="E84">
            <v>59.728999999999999</v>
          </cell>
          <cell r="F84">
            <v>0.78600000000000003</v>
          </cell>
          <cell r="G84">
            <v>1</v>
          </cell>
          <cell r="H84">
            <v>30</v>
          </cell>
          <cell r="I84" t="str">
            <v>матрица</v>
          </cell>
          <cell r="K84">
            <v>90.795000000000002</v>
          </cell>
          <cell r="L84">
            <v>-31.066000000000003</v>
          </cell>
          <cell r="O84">
            <v>128</v>
          </cell>
          <cell r="P84">
            <v>11.9458</v>
          </cell>
          <cell r="Q84">
            <v>50.40100000000001</v>
          </cell>
          <cell r="R84">
            <v>150</v>
          </cell>
          <cell r="S84">
            <v>15</v>
          </cell>
          <cell r="T84">
            <v>10.780860218654254</v>
          </cell>
          <cell r="U84">
            <v>14.8004</v>
          </cell>
          <cell r="V84">
            <v>8.9665999999999997</v>
          </cell>
          <cell r="W84">
            <v>8.8193999999999999</v>
          </cell>
          <cell r="X84">
            <v>10.5128</v>
          </cell>
          <cell r="Y84">
            <v>9.5676000000000005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 t="str">
            <v>новинка</v>
          </cell>
          <cell r="AF84" t="str">
            <v>Задача для ТП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G85">
            <v>0</v>
          </cell>
          <cell r="I85" t="str">
            <v>матрица</v>
          </cell>
          <cell r="K85">
            <v>2</v>
          </cell>
          <cell r="L85">
            <v>-2</v>
          </cell>
          <cell r="O85">
            <v>0</v>
          </cell>
          <cell r="P85">
            <v>0</v>
          </cell>
          <cell r="S85" t="e">
            <v>#DIV/0!</v>
          </cell>
          <cell r="T85" t="e">
            <v>#DIV/0!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 t="str">
            <v>нет потребности</v>
          </cell>
        </row>
        <row r="86">
          <cell r="A86" t="str">
            <v>7343 СЕЙЧАС СЕЗОН ПМ вар п/о 0,4кг ОСТАНКИНО</v>
          </cell>
          <cell r="B86" t="str">
            <v>шт</v>
          </cell>
          <cell r="C86">
            <v>1</v>
          </cell>
          <cell r="E86">
            <v>-3</v>
          </cell>
          <cell r="F86">
            <v>1</v>
          </cell>
          <cell r="G86">
            <v>0</v>
          </cell>
          <cell r="H86">
            <v>60</v>
          </cell>
          <cell r="I86" t="str">
            <v>не в матрице</v>
          </cell>
          <cell r="K86">
            <v>40</v>
          </cell>
          <cell r="L86">
            <v>-43</v>
          </cell>
          <cell r="O86">
            <v>0</v>
          </cell>
          <cell r="P86">
            <v>-0.6</v>
          </cell>
          <cell r="S86">
            <v>-1.6666666666666667</v>
          </cell>
          <cell r="T86">
            <v>-1.6666666666666667</v>
          </cell>
          <cell r="U86">
            <v>-1.2</v>
          </cell>
          <cell r="V86">
            <v>0.6</v>
          </cell>
          <cell r="W86">
            <v>5.4</v>
          </cell>
          <cell r="X86">
            <v>11.6</v>
          </cell>
          <cell r="Y86">
            <v>9.4</v>
          </cell>
          <cell r="Z86">
            <v>8.8000000000000007</v>
          </cell>
          <cell r="AA86">
            <v>6.4</v>
          </cell>
          <cell r="AB86">
            <v>8.4</v>
          </cell>
          <cell r="AC86">
            <v>9.6</v>
          </cell>
          <cell r="AD86">
            <v>4.4000000000000004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142</v>
          </cell>
          <cell r="D87">
            <v>64</v>
          </cell>
          <cell r="E87">
            <v>137</v>
          </cell>
          <cell r="F87">
            <v>46</v>
          </cell>
          <cell r="G87">
            <v>0.12</v>
          </cell>
          <cell r="H87">
            <v>60</v>
          </cell>
          <cell r="I87" t="str">
            <v>матрица</v>
          </cell>
          <cell r="K87">
            <v>137</v>
          </cell>
          <cell r="L87">
            <v>0</v>
          </cell>
          <cell r="O87">
            <v>264</v>
          </cell>
          <cell r="P87">
            <v>27.4</v>
          </cell>
          <cell r="Q87">
            <v>101</v>
          </cell>
          <cell r="S87">
            <v>15</v>
          </cell>
          <cell r="T87">
            <v>11.313868613138686</v>
          </cell>
          <cell r="U87">
            <v>28.2</v>
          </cell>
          <cell r="V87">
            <v>22.2</v>
          </cell>
          <cell r="W87">
            <v>25</v>
          </cell>
          <cell r="X87">
            <v>29</v>
          </cell>
          <cell r="Y87">
            <v>27.4</v>
          </cell>
          <cell r="Z87">
            <v>27</v>
          </cell>
          <cell r="AA87">
            <v>17.399999999999999</v>
          </cell>
          <cell r="AB87">
            <v>24.4</v>
          </cell>
          <cell r="AC87">
            <v>19.2</v>
          </cell>
          <cell r="AD87">
            <v>23</v>
          </cell>
        </row>
        <row r="88">
          <cell r="A88" t="str">
            <v>7461 ДЛЯ ДЕТЕЙ Папа Может сос п/о мгс 0,33кг ОСТАНКИНО</v>
          </cell>
          <cell r="B88" t="str">
            <v>шт</v>
          </cell>
          <cell r="C88">
            <v>29</v>
          </cell>
          <cell r="D88">
            <v>48</v>
          </cell>
          <cell r="E88">
            <v>75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117</v>
          </cell>
          <cell r="L88">
            <v>-42</v>
          </cell>
          <cell r="O88">
            <v>160</v>
          </cell>
          <cell r="P88">
            <v>15</v>
          </cell>
          <cell r="Q88">
            <v>65</v>
          </cell>
          <cell r="R88">
            <v>200</v>
          </cell>
          <cell r="S88">
            <v>15</v>
          </cell>
          <cell r="T88">
            <v>10.666666666666666</v>
          </cell>
          <cell r="U88">
            <v>17</v>
          </cell>
          <cell r="V88">
            <v>9.8000000000000007</v>
          </cell>
          <cell r="W88">
            <v>5</v>
          </cell>
          <cell r="X88">
            <v>13</v>
          </cell>
          <cell r="Y88">
            <v>9.4</v>
          </cell>
          <cell r="Z88">
            <v>-1</v>
          </cell>
          <cell r="AA88">
            <v>-0.8</v>
          </cell>
          <cell r="AB88">
            <v>2</v>
          </cell>
          <cell r="AC88">
            <v>15.6</v>
          </cell>
          <cell r="AD88">
            <v>16.399999999999999</v>
          </cell>
          <cell r="AF88" t="str">
            <v>Задача для ТП</v>
          </cell>
        </row>
        <row r="89">
          <cell r="A89" t="str">
            <v>7485 РИЕТ МЯСНОЙ С ГРИБАМИ ПМ п/о 1/150  ОСТАНКИНО</v>
          </cell>
          <cell r="B89" t="str">
            <v>шт</v>
          </cell>
          <cell r="C89">
            <v>-1</v>
          </cell>
          <cell r="D89">
            <v>90</v>
          </cell>
          <cell r="E89">
            <v>90</v>
          </cell>
          <cell r="F89">
            <v>-1</v>
          </cell>
          <cell r="G89">
            <v>0.15</v>
          </cell>
          <cell r="H89">
            <v>60</v>
          </cell>
          <cell r="I89" t="str">
            <v>матрица</v>
          </cell>
          <cell r="K89">
            <v>194</v>
          </cell>
          <cell r="L89">
            <v>-104</v>
          </cell>
          <cell r="O89">
            <v>422</v>
          </cell>
          <cell r="P89">
            <v>18</v>
          </cell>
          <cell r="R89">
            <v>300</v>
          </cell>
          <cell r="S89">
            <v>23.388888888888889</v>
          </cell>
          <cell r="T89">
            <v>23.388888888888889</v>
          </cell>
          <cell r="U89">
            <v>47.4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 t="str">
            <v>новинка</v>
          </cell>
          <cell r="AF89" t="str">
            <v>Задача для ТП</v>
          </cell>
        </row>
        <row r="90">
          <cell r="A90" t="str">
            <v>7489 СЫРРРВЕЛАТ Папа Может в/к в/у 0,28кг 8шт. ОСТАНКИНО</v>
          </cell>
          <cell r="B90" t="str">
            <v>шт</v>
          </cell>
          <cell r="C90">
            <v>1</v>
          </cell>
          <cell r="E90">
            <v>-11</v>
          </cell>
          <cell r="G90">
            <v>0</v>
          </cell>
          <cell r="H90">
            <v>45</v>
          </cell>
          <cell r="I90" t="str">
            <v>вывод</v>
          </cell>
          <cell r="K90">
            <v>86</v>
          </cell>
          <cell r="L90">
            <v>-97</v>
          </cell>
          <cell r="O90">
            <v>0</v>
          </cell>
          <cell r="P90">
            <v>-2.2000000000000002</v>
          </cell>
          <cell r="S90">
            <v>0</v>
          </cell>
          <cell r="T90">
            <v>0</v>
          </cell>
          <cell r="U90">
            <v>0.2</v>
          </cell>
          <cell r="V90">
            <v>10.8</v>
          </cell>
          <cell r="W90">
            <v>13.4</v>
          </cell>
          <cell r="X90">
            <v>25.2</v>
          </cell>
          <cell r="Y90">
            <v>13.2</v>
          </cell>
          <cell r="Z90">
            <v>15</v>
          </cell>
          <cell r="AA90">
            <v>28.2</v>
          </cell>
          <cell r="AB90">
            <v>7</v>
          </cell>
          <cell r="AC90">
            <v>0</v>
          </cell>
          <cell r="AD90">
            <v>0</v>
          </cell>
          <cell r="AE90" t="str">
            <v>вывод</v>
          </cell>
        </row>
        <row r="91">
          <cell r="A91" t="str">
            <v>7513 ВОСКРЕСЕНСКАЯ ВЯЛЕНАЯ в/к в/у срез 1/260</v>
          </cell>
          <cell r="B91" t="str">
            <v>шт</v>
          </cell>
          <cell r="G91">
            <v>0</v>
          </cell>
          <cell r="H91">
            <v>45</v>
          </cell>
          <cell r="I91" t="str">
            <v>матрица</v>
          </cell>
          <cell r="L91">
            <v>0</v>
          </cell>
          <cell r="O91">
            <v>0</v>
          </cell>
          <cell r="P91">
            <v>0</v>
          </cell>
          <cell r="S91" t="e">
            <v>#DIV/0!</v>
          </cell>
          <cell r="T91" t="e">
            <v>#DIV/0!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 t="str">
            <v>нет потребности</v>
          </cell>
        </row>
        <row r="92">
          <cell r="A92" t="str">
            <v>7516 НОВОМОСКОВСКАЯ в/к в/у срез 0.31кг</v>
          </cell>
          <cell r="B92" t="str">
            <v>шт</v>
          </cell>
          <cell r="G92">
            <v>0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S92" t="e">
            <v>#DIV/0!</v>
          </cell>
          <cell r="T92" t="e">
            <v>#DIV/0!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 t="str">
            <v>нет потребности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88</v>
          </cell>
          <cell r="D93">
            <v>240</v>
          </cell>
          <cell r="E93">
            <v>128</v>
          </cell>
          <cell r="F93">
            <v>197</v>
          </cell>
          <cell r="G93">
            <v>0.4</v>
          </cell>
          <cell r="H93">
            <v>60</v>
          </cell>
          <cell r="I93" t="str">
            <v>матрица</v>
          </cell>
          <cell r="K93">
            <v>124</v>
          </cell>
          <cell r="L93">
            <v>4</v>
          </cell>
          <cell r="O93">
            <v>100</v>
          </cell>
          <cell r="P93">
            <v>25.6</v>
          </cell>
          <cell r="Q93">
            <v>87</v>
          </cell>
          <cell r="S93">
            <v>15</v>
          </cell>
          <cell r="T93">
            <v>11.6015625</v>
          </cell>
          <cell r="U93">
            <v>19.8</v>
          </cell>
          <cell r="V93">
            <v>28.6</v>
          </cell>
          <cell r="W93">
            <v>18.600000000000001</v>
          </cell>
          <cell r="X93">
            <v>18.8</v>
          </cell>
          <cell r="Y93">
            <v>19.600000000000001</v>
          </cell>
          <cell r="Z93">
            <v>23.8</v>
          </cell>
          <cell r="AA93">
            <v>19.399999999999999</v>
          </cell>
          <cell r="AB93">
            <v>2.4</v>
          </cell>
          <cell r="AC93">
            <v>16.8</v>
          </cell>
          <cell r="AD93">
            <v>0.2</v>
          </cell>
          <cell r="AE93" t="str">
            <v>Главторг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-2</v>
          </cell>
          <cell r="D94">
            <v>18</v>
          </cell>
          <cell r="E94">
            <v>8</v>
          </cell>
          <cell r="F94">
            <v>8</v>
          </cell>
          <cell r="G94">
            <v>0.35</v>
          </cell>
          <cell r="H94">
            <v>60</v>
          </cell>
          <cell r="I94" t="str">
            <v>матрица</v>
          </cell>
          <cell r="K94">
            <v>13</v>
          </cell>
          <cell r="L94">
            <v>-5</v>
          </cell>
          <cell r="O94">
            <v>0</v>
          </cell>
          <cell r="P94">
            <v>1.6</v>
          </cell>
          <cell r="R94">
            <v>0</v>
          </cell>
          <cell r="S94">
            <v>5</v>
          </cell>
          <cell r="T94">
            <v>5</v>
          </cell>
          <cell r="U94">
            <v>2.4</v>
          </cell>
          <cell r="V94">
            <v>2.8</v>
          </cell>
          <cell r="W94">
            <v>2</v>
          </cell>
          <cell r="X94">
            <v>3.8</v>
          </cell>
          <cell r="Y94">
            <v>4.2</v>
          </cell>
          <cell r="Z94">
            <v>8.6</v>
          </cell>
          <cell r="AA94">
            <v>8.8000000000000007</v>
          </cell>
          <cell r="AB94">
            <v>3.8</v>
          </cell>
          <cell r="AC94">
            <v>3</v>
          </cell>
          <cell r="AD94">
            <v>0.4</v>
          </cell>
          <cell r="AF94" t="str">
            <v xml:space="preserve">нет потребности, позиция заведена для Донецка </v>
          </cell>
        </row>
        <row r="95">
          <cell r="A95" t="str">
            <v>7562 КРАКОВСКАЯ ГОСТ Останкино п/к н/о мгс</v>
          </cell>
          <cell r="B95" t="str">
            <v>кг</v>
          </cell>
          <cell r="G95">
            <v>0</v>
          </cell>
          <cell r="H95">
            <v>45</v>
          </cell>
          <cell r="I95" t="str">
            <v>матрица</v>
          </cell>
          <cell r="L95">
            <v>0</v>
          </cell>
          <cell r="O95">
            <v>0</v>
          </cell>
          <cell r="P95">
            <v>0</v>
          </cell>
          <cell r="S95" t="e">
            <v>#DIV/0!</v>
          </cell>
          <cell r="T95" t="e">
            <v>#DIV/0!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нет потребности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G96">
            <v>0</v>
          </cell>
          <cell r="I96" t="str">
            <v>матрица</v>
          </cell>
          <cell r="K96">
            <v>0.8</v>
          </cell>
          <cell r="L96">
            <v>-0.8</v>
          </cell>
          <cell r="O96">
            <v>0</v>
          </cell>
          <cell r="P96">
            <v>0</v>
          </cell>
          <cell r="S96" t="e">
            <v>#DIV/0!</v>
          </cell>
          <cell r="T96" t="e">
            <v>#DIV/0!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 t="str">
            <v>нет потребности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C97">
            <v>28</v>
          </cell>
          <cell r="D97">
            <v>96</v>
          </cell>
          <cell r="E97">
            <v>99</v>
          </cell>
          <cell r="F97">
            <v>11</v>
          </cell>
          <cell r="G97">
            <v>0.33</v>
          </cell>
          <cell r="H97">
            <v>45</v>
          </cell>
          <cell r="I97" t="str">
            <v>матрица</v>
          </cell>
          <cell r="K97">
            <v>107</v>
          </cell>
          <cell r="L97">
            <v>-8</v>
          </cell>
          <cell r="O97">
            <v>169</v>
          </cell>
          <cell r="P97">
            <v>19.8</v>
          </cell>
          <cell r="Q97">
            <v>117</v>
          </cell>
          <cell r="S97">
            <v>15</v>
          </cell>
          <cell r="T97">
            <v>9.0909090909090899</v>
          </cell>
          <cell r="U97">
            <v>18</v>
          </cell>
          <cell r="V97">
            <v>14.6</v>
          </cell>
          <cell r="W97">
            <v>12</v>
          </cell>
          <cell r="X97">
            <v>15.6</v>
          </cell>
          <cell r="Y97">
            <v>10.8</v>
          </cell>
          <cell r="Z97">
            <v>2</v>
          </cell>
          <cell r="AA97">
            <v>12</v>
          </cell>
          <cell r="AB97">
            <v>3.4</v>
          </cell>
          <cell r="AC97">
            <v>1.6</v>
          </cell>
          <cell r="AD97">
            <v>0</v>
          </cell>
        </row>
        <row r="98">
          <cell r="A98" t="str">
            <v>7608 СЕРВЕЛАТ ШВЕЙЦАРСК.в/к с/н в/у 1/100_Л11  ОСТАНКИНО</v>
          </cell>
          <cell r="B98" t="str">
            <v>шт</v>
          </cell>
          <cell r="C98">
            <v>22</v>
          </cell>
          <cell r="D98">
            <v>10</v>
          </cell>
          <cell r="E98">
            <v>26</v>
          </cell>
          <cell r="G98">
            <v>0.1</v>
          </cell>
          <cell r="H98">
            <v>45</v>
          </cell>
          <cell r="I98" t="str">
            <v>матрица</v>
          </cell>
          <cell r="K98">
            <v>26</v>
          </cell>
          <cell r="L98">
            <v>0</v>
          </cell>
          <cell r="O98">
            <v>16</v>
          </cell>
          <cell r="P98">
            <v>5.2</v>
          </cell>
          <cell r="R98">
            <v>0</v>
          </cell>
          <cell r="S98">
            <v>3.0769230769230766</v>
          </cell>
          <cell r="T98">
            <v>3.0769230769230766</v>
          </cell>
          <cell r="U98">
            <v>3.2</v>
          </cell>
          <cell r="V98">
            <v>3.6</v>
          </cell>
          <cell r="W98">
            <v>0.4</v>
          </cell>
          <cell r="X98">
            <v>3.4</v>
          </cell>
          <cell r="Y98">
            <v>7.2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вместо 6459</v>
          </cell>
          <cell r="AF98" t="str">
            <v xml:space="preserve">нет потребности, данная позиции уходит в уценку </v>
          </cell>
        </row>
        <row r="99">
          <cell r="A99" t="str">
            <v>7612 БАЛЫК с/к с/н в/у 1/100 10шт_  ОСТАНКИНО</v>
          </cell>
          <cell r="B99" t="str">
            <v>шт</v>
          </cell>
          <cell r="C99">
            <v>26</v>
          </cell>
          <cell r="D99">
            <v>80</v>
          </cell>
          <cell r="E99">
            <v>37</v>
          </cell>
          <cell r="F99">
            <v>59</v>
          </cell>
          <cell r="G99">
            <v>0.1</v>
          </cell>
          <cell r="H99">
            <v>60</v>
          </cell>
          <cell r="I99" t="str">
            <v>матрица</v>
          </cell>
          <cell r="K99">
            <v>37</v>
          </cell>
          <cell r="L99">
            <v>0</v>
          </cell>
          <cell r="O99">
            <v>0</v>
          </cell>
          <cell r="P99">
            <v>7.4</v>
          </cell>
          <cell r="Q99">
            <v>52</v>
          </cell>
          <cell r="S99">
            <v>15</v>
          </cell>
          <cell r="T99">
            <v>7.9729729729729728</v>
          </cell>
          <cell r="U99">
            <v>1.4</v>
          </cell>
          <cell r="V99">
            <v>8.4</v>
          </cell>
          <cell r="W99">
            <v>3.6</v>
          </cell>
          <cell r="X99">
            <v>6.4</v>
          </cell>
          <cell r="Y99">
            <v>6.4</v>
          </cell>
          <cell r="Z99">
            <v>5.2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вместо 7288</v>
          </cell>
        </row>
        <row r="100">
          <cell r="A100" t="str">
            <v>7613 АРОМАТНАЯ с/к с/н в/у 1/100 10шт_Л10  ОСТАНКИНО</v>
          </cell>
          <cell r="B100" t="str">
            <v>шт</v>
          </cell>
          <cell r="C100">
            <v>297</v>
          </cell>
          <cell r="D100">
            <v>130</v>
          </cell>
          <cell r="E100">
            <v>174</v>
          </cell>
          <cell r="F100">
            <v>249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128</v>
          </cell>
          <cell r="L100">
            <v>46</v>
          </cell>
          <cell r="O100">
            <v>403</v>
          </cell>
          <cell r="P100">
            <v>34.799999999999997</v>
          </cell>
          <cell r="S100">
            <v>18.735632183908049</v>
          </cell>
          <cell r="T100">
            <v>18.735632183908049</v>
          </cell>
          <cell r="U100">
            <v>53.8</v>
          </cell>
          <cell r="V100">
            <v>47</v>
          </cell>
          <cell r="W100">
            <v>28.2</v>
          </cell>
          <cell r="X100">
            <v>64</v>
          </cell>
          <cell r="Y100">
            <v>40.200000000000003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str">
            <v>вместо 6454</v>
          </cell>
        </row>
        <row r="101">
          <cell r="A101" t="str">
            <v>7616 ЭКСТРА Папа может с/к с/н в/у 1/100_  ОСТАНКИНО</v>
          </cell>
          <cell r="B101" t="str">
            <v>шт</v>
          </cell>
          <cell r="C101">
            <v>104</v>
          </cell>
          <cell r="D101">
            <v>730</v>
          </cell>
          <cell r="E101">
            <v>153</v>
          </cell>
          <cell r="F101">
            <v>559</v>
          </cell>
          <cell r="G101">
            <v>0.1</v>
          </cell>
          <cell r="H101">
            <v>60</v>
          </cell>
          <cell r="I101" t="str">
            <v>матрица</v>
          </cell>
          <cell r="K101">
            <v>290</v>
          </cell>
          <cell r="L101">
            <v>-137</v>
          </cell>
          <cell r="O101">
            <v>216</v>
          </cell>
          <cell r="P101">
            <v>30.6</v>
          </cell>
          <cell r="S101">
            <v>25.326797385620914</v>
          </cell>
          <cell r="T101">
            <v>25.326797385620914</v>
          </cell>
          <cell r="U101">
            <v>63.6</v>
          </cell>
          <cell r="V101">
            <v>73.599999999999994</v>
          </cell>
          <cell r="W101">
            <v>36.200000000000003</v>
          </cell>
          <cell r="X101">
            <v>50</v>
          </cell>
          <cell r="Y101">
            <v>47.8</v>
          </cell>
          <cell r="Z101">
            <v>36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 t="str">
            <v>вместо 6453</v>
          </cell>
        </row>
        <row r="102">
          <cell r="A102" t="str">
            <v>7632 ЭКСТРА Папа может вар п/о 0.4кг 8шт_195к  ОСТАНКИНО</v>
          </cell>
          <cell r="B102" t="str">
            <v>шт</v>
          </cell>
          <cell r="C102">
            <v>186</v>
          </cell>
          <cell r="D102">
            <v>280</v>
          </cell>
          <cell r="E102">
            <v>151</v>
          </cell>
          <cell r="F102">
            <v>208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189</v>
          </cell>
          <cell r="L102">
            <v>-38</v>
          </cell>
          <cell r="O102">
            <v>243</v>
          </cell>
          <cell r="P102">
            <v>30.2</v>
          </cell>
          <cell r="Q102">
            <v>16</v>
          </cell>
          <cell r="S102">
            <v>15.463576158940398</v>
          </cell>
          <cell r="T102">
            <v>14.933774834437086</v>
          </cell>
          <cell r="U102">
            <v>28.8</v>
          </cell>
          <cell r="V102">
            <v>34.4</v>
          </cell>
          <cell r="W102">
            <v>19.8</v>
          </cell>
          <cell r="X102">
            <v>30</v>
          </cell>
          <cell r="Y102">
            <v>20.8</v>
          </cell>
          <cell r="Z102">
            <v>25.2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вместо 6353</v>
          </cell>
        </row>
        <row r="103">
          <cell r="A103" t="str">
            <v>7647 ХОЧУ ВЕТЧ.ИЗ СВ.ОТРУБА с/н мгс 1/100_Л11  ОСТАНКИНО</v>
          </cell>
          <cell r="B103" t="str">
            <v>шт</v>
          </cell>
          <cell r="C103">
            <v>115</v>
          </cell>
          <cell r="D103">
            <v>96</v>
          </cell>
          <cell r="E103">
            <v>73</v>
          </cell>
          <cell r="F103">
            <v>125</v>
          </cell>
          <cell r="G103">
            <v>0.1</v>
          </cell>
          <cell r="I103" t="str">
            <v>матрица</v>
          </cell>
          <cell r="K103">
            <v>77</v>
          </cell>
          <cell r="L103">
            <v>-4</v>
          </cell>
          <cell r="O103">
            <v>80</v>
          </cell>
          <cell r="P103">
            <v>14.6</v>
          </cell>
          <cell r="Q103">
            <v>14</v>
          </cell>
          <cell r="S103">
            <v>15</v>
          </cell>
          <cell r="T103">
            <v>14.04109589041096</v>
          </cell>
          <cell r="U103">
            <v>15.4</v>
          </cell>
          <cell r="V103">
            <v>8.4</v>
          </cell>
          <cell r="W103">
            <v>10.8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новинка</v>
          </cell>
        </row>
        <row r="104">
          <cell r="A104" t="str">
            <v>7651 ХОЧУ ВЕТЧ.МРАМОР. ПМ с/н мгс 1/100_Л11  ОСТАНКИНО</v>
          </cell>
          <cell r="B104" t="str">
            <v>шт</v>
          </cell>
          <cell r="C104">
            <v>97</v>
          </cell>
          <cell r="D104">
            <v>96</v>
          </cell>
          <cell r="E104">
            <v>78</v>
          </cell>
          <cell r="F104">
            <v>111</v>
          </cell>
          <cell r="G104">
            <v>0.1</v>
          </cell>
          <cell r="I104" t="str">
            <v>матрица</v>
          </cell>
          <cell r="K104">
            <v>79</v>
          </cell>
          <cell r="L104">
            <v>-1</v>
          </cell>
          <cell r="O104">
            <v>125</v>
          </cell>
          <cell r="P104">
            <v>15.6</v>
          </cell>
          <cell r="S104">
            <v>15.128205128205128</v>
          </cell>
          <cell r="T104">
            <v>15.128205128205128</v>
          </cell>
          <cell r="U104">
            <v>20</v>
          </cell>
          <cell r="V104">
            <v>7</v>
          </cell>
          <cell r="W104">
            <v>11.8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новинка</v>
          </cell>
        </row>
        <row r="105">
          <cell r="A105" t="str">
            <v>8014 ДОКТОРСКАЯ ПРЕМИУМ вар п/о(п)</v>
          </cell>
          <cell r="B105" t="str">
            <v>кг</v>
          </cell>
          <cell r="G105">
            <v>1</v>
          </cell>
          <cell r="I105" t="str">
            <v>матрица</v>
          </cell>
          <cell r="L105">
            <v>0</v>
          </cell>
          <cell r="O105">
            <v>100</v>
          </cell>
          <cell r="P105">
            <v>0</v>
          </cell>
          <cell r="S105" t="e">
            <v>#DIV/0!</v>
          </cell>
          <cell r="T105" t="e">
            <v>#DIV/0!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 t="str">
            <v>новинка / Главторг (1001010108014)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8" customWidth="1"/>
    <col min="20" max="20" width="21.85546875" style="18" customWidth="1"/>
    <col min="21" max="22" width="5" customWidth="1"/>
    <col min="23" max="32" width="6" customWidth="1"/>
    <col min="33" max="33" width="32.140625" customWidth="1"/>
    <col min="34" max="34" width="7" customWidth="1"/>
    <col min="35" max="51" width="8" customWidth="1"/>
  </cols>
  <sheetData>
    <row r="1" spans="1:51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1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165</v>
      </c>
      <c r="S3" s="2" t="s">
        <v>163</v>
      </c>
      <c r="T3" s="2" t="s">
        <v>167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 t="s">
        <v>166</v>
      </c>
      <c r="S4" s="12" t="s">
        <v>164</v>
      </c>
      <c r="T4" s="12"/>
      <c r="U4" s="12"/>
      <c r="V4" s="12"/>
      <c r="W4" s="12" t="s">
        <v>23</v>
      </c>
      <c r="X4" s="12" t="s">
        <v>24</v>
      </c>
      <c r="Y4" s="12" t="s">
        <v>25</v>
      </c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  <c r="AE4" s="12" t="s">
        <v>31</v>
      </c>
      <c r="AF4" s="12" t="s">
        <v>32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x14ac:dyDescent="0.25">
      <c r="A5" s="12"/>
      <c r="B5" s="12"/>
      <c r="C5" s="12"/>
      <c r="D5" s="12"/>
      <c r="E5" s="3">
        <f>SUM(E6:E500)</f>
        <v>13409.137999999999</v>
      </c>
      <c r="F5" s="3">
        <f>SUM(F6:F500)</f>
        <v>11386.553</v>
      </c>
      <c r="G5" s="6"/>
      <c r="H5" s="12"/>
      <c r="I5" s="12"/>
      <c r="J5" s="12"/>
      <c r="K5" s="3">
        <f t="shared" ref="K5:R5" si="0">SUM(K6:K500)</f>
        <v>14556.337000000001</v>
      </c>
      <c r="L5" s="3">
        <f t="shared" si="0"/>
        <v>-1147.1990000000001</v>
      </c>
      <c r="M5" s="3">
        <f t="shared" si="0"/>
        <v>0</v>
      </c>
      <c r="N5" s="3">
        <f t="shared" si="0"/>
        <v>0</v>
      </c>
      <c r="O5" s="3">
        <f t="shared" si="0"/>
        <v>23882</v>
      </c>
      <c r="P5" s="3">
        <f t="shared" si="0"/>
        <v>2681.8276000000001</v>
      </c>
      <c r="Q5" s="3">
        <f t="shared" si="0"/>
        <v>8473.3029999999981</v>
      </c>
      <c r="R5" s="3">
        <f t="shared" si="0"/>
        <v>9806</v>
      </c>
      <c r="S5" s="3"/>
      <c r="T5" s="3"/>
      <c r="U5" s="12"/>
      <c r="V5" s="12"/>
      <c r="W5" s="3">
        <f t="shared" ref="W5:AF5" si="1">SUM(W6:W500)</f>
        <v>3132.7850000000003</v>
      </c>
      <c r="X5" s="3">
        <f t="shared" si="1"/>
        <v>2501.5754000000006</v>
      </c>
      <c r="Y5" s="3">
        <f t="shared" si="1"/>
        <v>2490.3054000000002</v>
      </c>
      <c r="Z5" s="3">
        <f t="shared" si="1"/>
        <v>2766.8539999999998</v>
      </c>
      <c r="AA5" s="3">
        <f t="shared" si="1"/>
        <v>2317.1965999999998</v>
      </c>
      <c r="AB5" s="3">
        <f t="shared" si="1"/>
        <v>2342.6428000000001</v>
      </c>
      <c r="AC5" s="3">
        <f t="shared" si="1"/>
        <v>2526.3990000000008</v>
      </c>
      <c r="AD5" s="3">
        <f t="shared" si="1"/>
        <v>2451.4038000000005</v>
      </c>
      <c r="AE5" s="3">
        <f t="shared" si="1"/>
        <v>2386.7381999999993</v>
      </c>
      <c r="AF5" s="3">
        <f t="shared" si="1"/>
        <v>1715.5342000000005</v>
      </c>
      <c r="AG5" s="12"/>
      <c r="AH5" s="3">
        <f>SUM(AH6:AH500)</f>
        <v>5498.9800000000005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x14ac:dyDescent="0.25">
      <c r="A6" s="12" t="s">
        <v>33</v>
      </c>
      <c r="B6" s="12" t="s">
        <v>34</v>
      </c>
      <c r="C6" s="12">
        <v>180</v>
      </c>
      <c r="D6" s="12">
        <v>56</v>
      </c>
      <c r="E6" s="12">
        <v>101</v>
      </c>
      <c r="F6" s="12">
        <v>124</v>
      </c>
      <c r="G6" s="6">
        <v>0.4</v>
      </c>
      <c r="H6" s="12">
        <v>60</v>
      </c>
      <c r="I6" s="12" t="s">
        <v>35</v>
      </c>
      <c r="J6" s="12"/>
      <c r="K6" s="12">
        <v>103</v>
      </c>
      <c r="L6" s="12">
        <f t="shared" ref="L6:L37" si="2">E6-K6</f>
        <v>-2</v>
      </c>
      <c r="M6" s="12"/>
      <c r="N6" s="12"/>
      <c r="O6" s="12">
        <v>146</v>
      </c>
      <c r="P6" s="12">
        <f t="shared" ref="P6:P37" si="3">E6/5</f>
        <v>20.2</v>
      </c>
      <c r="Q6" s="4">
        <f>15*P6-O6-F6</f>
        <v>33</v>
      </c>
      <c r="R6" s="4">
        <f>ROUND(Q6,0)</f>
        <v>33</v>
      </c>
      <c r="S6" s="16"/>
      <c r="T6" s="16"/>
      <c r="U6" s="12">
        <f>(F6+O6+R6)/P6</f>
        <v>15</v>
      </c>
      <c r="V6" s="12">
        <f t="shared" ref="V6:V37" si="4">(F6+O6)/P6</f>
        <v>13.366336633663368</v>
      </c>
      <c r="W6" s="12">
        <v>22.6</v>
      </c>
      <c r="X6" s="12">
        <v>23.2</v>
      </c>
      <c r="Y6" s="12">
        <v>21.8</v>
      </c>
      <c r="Z6" s="12">
        <v>34.4</v>
      </c>
      <c r="AA6" s="12">
        <v>33.4</v>
      </c>
      <c r="AB6" s="12">
        <v>17.2</v>
      </c>
      <c r="AC6" s="12">
        <v>43.6</v>
      </c>
      <c r="AD6" s="12">
        <v>24.8</v>
      </c>
      <c r="AE6" s="12">
        <v>43.4</v>
      </c>
      <c r="AF6" s="12">
        <v>17.600000000000001</v>
      </c>
      <c r="AG6" s="12"/>
      <c r="AH6" s="12">
        <f>G6*R6</f>
        <v>13.200000000000001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x14ac:dyDescent="0.25">
      <c r="A7" s="12" t="s">
        <v>36</v>
      </c>
      <c r="B7" s="12" t="s">
        <v>37</v>
      </c>
      <c r="C7" s="12">
        <v>27.867000000000001</v>
      </c>
      <c r="D7" s="12"/>
      <c r="E7" s="12">
        <v>12.523</v>
      </c>
      <c r="F7" s="12">
        <v>14.356999999999999</v>
      </c>
      <c r="G7" s="6">
        <v>1</v>
      </c>
      <c r="H7" s="12">
        <v>120</v>
      </c>
      <c r="I7" s="12" t="s">
        <v>35</v>
      </c>
      <c r="J7" s="12"/>
      <c r="K7" s="12">
        <v>12.6</v>
      </c>
      <c r="L7" s="12">
        <f t="shared" si="2"/>
        <v>-7.6999999999999957E-2</v>
      </c>
      <c r="M7" s="12"/>
      <c r="N7" s="12"/>
      <c r="O7" s="12">
        <v>38</v>
      </c>
      <c r="P7" s="12">
        <f t="shared" si="3"/>
        <v>2.5045999999999999</v>
      </c>
      <c r="Q7" s="4"/>
      <c r="R7" s="4">
        <f>ROUND(S7,0)</f>
        <v>30</v>
      </c>
      <c r="S7" s="16">
        <f>VLOOKUP(A7,[1]Sheet!$A:$S,18,0)</f>
        <v>30</v>
      </c>
      <c r="T7" s="16" t="str">
        <f>VLOOKUP(A7,[1]Sheet!$A:$AF,32,0)</f>
        <v xml:space="preserve">Для опта </v>
      </c>
      <c r="U7" s="12">
        <f t="shared" ref="U7:U70" si="5">(F7+O7+R7)/P7</f>
        <v>32.882296574303282</v>
      </c>
      <c r="V7" s="12">
        <f t="shared" si="4"/>
        <v>20.904336021720034</v>
      </c>
      <c r="W7" s="12">
        <v>4.4005999999999998</v>
      </c>
      <c r="X7" s="12">
        <v>1.4883999999999999</v>
      </c>
      <c r="Y7" s="12">
        <v>3.4176000000000002</v>
      </c>
      <c r="Z7" s="12">
        <v>1.4923999999999999</v>
      </c>
      <c r="AA7" s="12">
        <v>1.8888</v>
      </c>
      <c r="AB7" s="12">
        <v>1.8835999999999999</v>
      </c>
      <c r="AC7" s="12">
        <v>1.478</v>
      </c>
      <c r="AD7" s="12">
        <v>0.86699999999999999</v>
      </c>
      <c r="AE7" s="12">
        <v>1.7609999999999999</v>
      </c>
      <c r="AF7" s="12">
        <v>0.69940000000000002</v>
      </c>
      <c r="AG7" s="12" t="s">
        <v>38</v>
      </c>
      <c r="AH7" s="12">
        <f t="shared" ref="AH7:AH70" si="6">G7*R7</f>
        <v>30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x14ac:dyDescent="0.25">
      <c r="A8" s="12" t="s">
        <v>39</v>
      </c>
      <c r="B8" s="12" t="s">
        <v>34</v>
      </c>
      <c r="C8" s="12">
        <v>120</v>
      </c>
      <c r="D8" s="12"/>
      <c r="E8" s="12">
        <v>52</v>
      </c>
      <c r="F8" s="12">
        <v>67</v>
      </c>
      <c r="G8" s="6">
        <v>0.25</v>
      </c>
      <c r="H8" s="12">
        <v>120</v>
      </c>
      <c r="I8" s="12" t="s">
        <v>35</v>
      </c>
      <c r="J8" s="12"/>
      <c r="K8" s="12">
        <v>52</v>
      </c>
      <c r="L8" s="12">
        <f t="shared" si="2"/>
        <v>0</v>
      </c>
      <c r="M8" s="12"/>
      <c r="N8" s="12"/>
      <c r="O8" s="12">
        <v>79</v>
      </c>
      <c r="P8" s="12">
        <f t="shared" si="3"/>
        <v>10.4</v>
      </c>
      <c r="Q8" s="4">
        <f t="shared" ref="Q8:Q16" si="7">15*P8-O8-F8</f>
        <v>10</v>
      </c>
      <c r="R8" s="4">
        <f t="shared" ref="R7:R70" si="8">ROUND(Q8,0)</f>
        <v>10</v>
      </c>
      <c r="S8" s="16"/>
      <c r="T8" s="16"/>
      <c r="U8" s="12">
        <f t="shared" si="5"/>
        <v>15</v>
      </c>
      <c r="V8" s="12">
        <f t="shared" si="4"/>
        <v>14.038461538461538</v>
      </c>
      <c r="W8" s="12">
        <v>12.6</v>
      </c>
      <c r="X8" s="12">
        <v>8.4</v>
      </c>
      <c r="Y8" s="12">
        <v>11.4</v>
      </c>
      <c r="Z8" s="12">
        <v>13.6</v>
      </c>
      <c r="AA8" s="12">
        <v>8.1999999999999993</v>
      </c>
      <c r="AB8" s="12">
        <v>10.199999999999999</v>
      </c>
      <c r="AC8" s="12">
        <v>7</v>
      </c>
      <c r="AD8" s="12">
        <v>11.4</v>
      </c>
      <c r="AE8" s="12">
        <v>10.199999999999999</v>
      </c>
      <c r="AF8" s="12">
        <v>7.8</v>
      </c>
      <c r="AG8" s="12" t="s">
        <v>38</v>
      </c>
      <c r="AH8" s="12">
        <f t="shared" si="6"/>
        <v>2.5</v>
      </c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x14ac:dyDescent="0.25">
      <c r="A9" s="12" t="s">
        <v>40</v>
      </c>
      <c r="B9" s="12" t="s">
        <v>37</v>
      </c>
      <c r="C9" s="12">
        <v>612.07600000000002</v>
      </c>
      <c r="D9" s="12">
        <v>592.36900000000003</v>
      </c>
      <c r="E9" s="12">
        <v>562.22500000000002</v>
      </c>
      <c r="F9" s="12">
        <v>492.11900000000003</v>
      </c>
      <c r="G9" s="6">
        <v>1</v>
      </c>
      <c r="H9" s="12">
        <v>60</v>
      </c>
      <c r="I9" s="12" t="s">
        <v>35</v>
      </c>
      <c r="J9" s="12"/>
      <c r="K9" s="12">
        <v>550.1</v>
      </c>
      <c r="L9" s="12">
        <f t="shared" si="2"/>
        <v>12.125</v>
      </c>
      <c r="M9" s="12"/>
      <c r="N9" s="12"/>
      <c r="O9" s="12">
        <v>1855</v>
      </c>
      <c r="P9" s="12">
        <f t="shared" si="3"/>
        <v>112.44500000000001</v>
      </c>
      <c r="Q9" s="4"/>
      <c r="R9" s="4">
        <f t="shared" si="8"/>
        <v>0</v>
      </c>
      <c r="S9" s="16"/>
      <c r="T9" s="16"/>
      <c r="U9" s="12">
        <f t="shared" si="5"/>
        <v>20.873484814798346</v>
      </c>
      <c r="V9" s="12">
        <f t="shared" si="4"/>
        <v>20.873484814798346</v>
      </c>
      <c r="W9" s="12">
        <v>197.815</v>
      </c>
      <c r="X9" s="12">
        <v>137.0042</v>
      </c>
      <c r="Y9" s="12">
        <v>134.93719999999999</v>
      </c>
      <c r="Z9" s="12">
        <v>131.2398</v>
      </c>
      <c r="AA9" s="12">
        <v>130.73500000000001</v>
      </c>
      <c r="AB9" s="12">
        <v>106.291</v>
      </c>
      <c r="AC9" s="12">
        <v>127.9742</v>
      </c>
      <c r="AD9" s="12">
        <v>158.0384</v>
      </c>
      <c r="AE9" s="12">
        <v>114.2396</v>
      </c>
      <c r="AF9" s="12">
        <v>81.876400000000004</v>
      </c>
      <c r="AG9" s="12"/>
      <c r="AH9" s="12">
        <f t="shared" si="6"/>
        <v>0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 x14ac:dyDescent="0.25">
      <c r="A10" s="12" t="s">
        <v>41</v>
      </c>
      <c r="B10" s="12" t="s">
        <v>37</v>
      </c>
      <c r="C10" s="12">
        <v>50.183999999999997</v>
      </c>
      <c r="D10" s="12"/>
      <c r="E10" s="12">
        <v>11.061</v>
      </c>
      <c r="F10" s="12">
        <v>38.113</v>
      </c>
      <c r="G10" s="6">
        <v>1</v>
      </c>
      <c r="H10" s="12">
        <v>120</v>
      </c>
      <c r="I10" s="12" t="s">
        <v>35</v>
      </c>
      <c r="J10" s="12"/>
      <c r="K10" s="12">
        <v>11.4</v>
      </c>
      <c r="L10" s="12">
        <f t="shared" si="2"/>
        <v>-0.33900000000000041</v>
      </c>
      <c r="M10" s="12"/>
      <c r="N10" s="12"/>
      <c r="O10" s="12">
        <v>118</v>
      </c>
      <c r="P10" s="12">
        <f t="shared" si="3"/>
        <v>2.2122000000000002</v>
      </c>
      <c r="Q10" s="4"/>
      <c r="R10" s="4">
        <f t="shared" si="8"/>
        <v>0</v>
      </c>
      <c r="S10" s="16"/>
      <c r="T10" s="16"/>
      <c r="U10" s="12">
        <f t="shared" si="5"/>
        <v>70.569116716390923</v>
      </c>
      <c r="V10" s="12">
        <f t="shared" si="4"/>
        <v>70.569116716390923</v>
      </c>
      <c r="W10" s="12">
        <v>12.5686</v>
      </c>
      <c r="X10" s="12">
        <v>1.1908000000000001</v>
      </c>
      <c r="Y10" s="12">
        <v>6.0011999999999999</v>
      </c>
      <c r="Z10" s="12">
        <v>5.9808000000000003</v>
      </c>
      <c r="AA10" s="12">
        <v>1.9032</v>
      </c>
      <c r="AB10" s="12">
        <v>4.1360000000000001</v>
      </c>
      <c r="AC10" s="12">
        <v>5.2065999999999999</v>
      </c>
      <c r="AD10" s="12">
        <v>5.0554000000000006</v>
      </c>
      <c r="AE10" s="12">
        <v>3.4813999999999998</v>
      </c>
      <c r="AF10" s="12">
        <v>2.581</v>
      </c>
      <c r="AG10" s="15" t="s">
        <v>161</v>
      </c>
      <c r="AH10" s="12">
        <f t="shared" si="6"/>
        <v>0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x14ac:dyDescent="0.25">
      <c r="A11" s="12" t="s">
        <v>42</v>
      </c>
      <c r="B11" s="12" t="s">
        <v>37</v>
      </c>
      <c r="C11" s="12">
        <v>160.23400000000001</v>
      </c>
      <c r="D11" s="12">
        <v>216.22200000000001</v>
      </c>
      <c r="E11" s="12">
        <v>229.31899999999999</v>
      </c>
      <c r="F11" s="12">
        <v>119.843</v>
      </c>
      <c r="G11" s="6">
        <v>1</v>
      </c>
      <c r="H11" s="12">
        <v>60</v>
      </c>
      <c r="I11" s="11" t="s">
        <v>43</v>
      </c>
      <c r="J11" s="12"/>
      <c r="K11" s="12">
        <v>229</v>
      </c>
      <c r="L11" s="12">
        <f t="shared" si="2"/>
        <v>0.3189999999999884</v>
      </c>
      <c r="M11" s="12"/>
      <c r="N11" s="12"/>
      <c r="O11" s="12">
        <v>386</v>
      </c>
      <c r="P11" s="12">
        <f t="shared" si="3"/>
        <v>45.863799999999998</v>
      </c>
      <c r="Q11" s="4">
        <f t="shared" si="7"/>
        <v>182.11399999999998</v>
      </c>
      <c r="R11" s="4">
        <f t="shared" si="8"/>
        <v>182</v>
      </c>
      <c r="S11" s="16"/>
      <c r="T11" s="16"/>
      <c r="U11" s="12">
        <f t="shared" si="5"/>
        <v>14.997514379532443</v>
      </c>
      <c r="V11" s="12">
        <f t="shared" si="4"/>
        <v>11.029243106763941</v>
      </c>
      <c r="W11" s="12">
        <v>58.744199999999999</v>
      </c>
      <c r="X11" s="12">
        <v>34.620800000000003</v>
      </c>
      <c r="Y11" s="12">
        <v>39.8292</v>
      </c>
      <c r="Z11" s="12">
        <v>35.140799999999999</v>
      </c>
      <c r="AA11" s="12">
        <v>33.511200000000002</v>
      </c>
      <c r="AB11" s="12">
        <v>35.875999999999998</v>
      </c>
      <c r="AC11" s="12">
        <v>29.587199999999999</v>
      </c>
      <c r="AD11" s="12">
        <v>41.221200000000003</v>
      </c>
      <c r="AE11" s="12">
        <v>41.714599999999997</v>
      </c>
      <c r="AF11" s="12">
        <v>32.321800000000003</v>
      </c>
      <c r="AG11" s="12" t="s">
        <v>44</v>
      </c>
      <c r="AH11" s="12">
        <f t="shared" si="6"/>
        <v>182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x14ac:dyDescent="0.25">
      <c r="A12" s="12" t="s">
        <v>45</v>
      </c>
      <c r="B12" s="12" t="s">
        <v>37</v>
      </c>
      <c r="C12" s="12">
        <v>441.959</v>
      </c>
      <c r="D12" s="12">
        <v>130.16200000000001</v>
      </c>
      <c r="E12" s="12">
        <v>268.887</v>
      </c>
      <c r="F12" s="12">
        <v>268.67599999999999</v>
      </c>
      <c r="G12" s="6">
        <v>1</v>
      </c>
      <c r="H12" s="12">
        <v>60</v>
      </c>
      <c r="I12" s="12" t="s">
        <v>35</v>
      </c>
      <c r="J12" s="12"/>
      <c r="K12" s="12">
        <v>263.89999999999998</v>
      </c>
      <c r="L12" s="12">
        <f t="shared" si="2"/>
        <v>4.9870000000000232</v>
      </c>
      <c r="M12" s="12"/>
      <c r="N12" s="12"/>
      <c r="O12" s="12">
        <v>331</v>
      </c>
      <c r="P12" s="12">
        <f t="shared" si="3"/>
        <v>53.7774</v>
      </c>
      <c r="Q12" s="4">
        <f t="shared" si="7"/>
        <v>206.98500000000007</v>
      </c>
      <c r="R12" s="4">
        <f>ROUND(S12,0)</f>
        <v>307</v>
      </c>
      <c r="S12" s="16">
        <f>VLOOKUP(A12,[1]Sheet!$A:$S,18,0)</f>
        <v>307</v>
      </c>
      <c r="T12" s="16" t="str">
        <f>VLOOKUP(A12,[1]Sheet!$A:$AF,32,0)</f>
        <v>Потребность для ОТПа</v>
      </c>
      <c r="U12" s="12">
        <f t="shared" si="5"/>
        <v>16.859796122534743</v>
      </c>
      <c r="V12" s="12">
        <f t="shared" si="4"/>
        <v>11.151078334021353</v>
      </c>
      <c r="W12" s="12">
        <v>54.776000000000003</v>
      </c>
      <c r="X12" s="12">
        <v>52.153200000000012</v>
      </c>
      <c r="Y12" s="12">
        <v>61.439399999999999</v>
      </c>
      <c r="Z12" s="12">
        <v>52.1158</v>
      </c>
      <c r="AA12" s="12">
        <v>47.906799999999997</v>
      </c>
      <c r="AB12" s="12">
        <v>52.508600000000001</v>
      </c>
      <c r="AC12" s="12">
        <v>44.505399999999987</v>
      </c>
      <c r="AD12" s="12">
        <v>67.460999999999999</v>
      </c>
      <c r="AE12" s="12">
        <v>68.896199999999993</v>
      </c>
      <c r="AF12" s="12">
        <v>59.059800000000003</v>
      </c>
      <c r="AG12" s="12"/>
      <c r="AH12" s="12">
        <f t="shared" si="6"/>
        <v>307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x14ac:dyDescent="0.25">
      <c r="A13" s="12" t="s">
        <v>46</v>
      </c>
      <c r="B13" s="12" t="s">
        <v>34</v>
      </c>
      <c r="C13" s="12">
        <v>106</v>
      </c>
      <c r="D13" s="12"/>
      <c r="E13" s="12">
        <v>36</v>
      </c>
      <c r="F13" s="12">
        <v>66</v>
      </c>
      <c r="G13" s="6">
        <v>0.25</v>
      </c>
      <c r="H13" s="12">
        <v>120</v>
      </c>
      <c r="I13" s="12" t="s">
        <v>35</v>
      </c>
      <c r="J13" s="12"/>
      <c r="K13" s="12">
        <v>37</v>
      </c>
      <c r="L13" s="12">
        <f t="shared" si="2"/>
        <v>-1</v>
      </c>
      <c r="M13" s="12"/>
      <c r="N13" s="12"/>
      <c r="O13" s="12">
        <v>74</v>
      </c>
      <c r="P13" s="12">
        <f t="shared" si="3"/>
        <v>7.2</v>
      </c>
      <c r="Q13" s="4"/>
      <c r="R13" s="4">
        <f t="shared" si="8"/>
        <v>0</v>
      </c>
      <c r="S13" s="16"/>
      <c r="T13" s="16"/>
      <c r="U13" s="12">
        <f t="shared" si="5"/>
        <v>19.444444444444443</v>
      </c>
      <c r="V13" s="12">
        <f t="shared" si="4"/>
        <v>19.444444444444443</v>
      </c>
      <c r="W13" s="12">
        <v>11.8</v>
      </c>
      <c r="X13" s="12">
        <v>8.6</v>
      </c>
      <c r="Y13" s="12">
        <v>10.6</v>
      </c>
      <c r="Z13" s="12">
        <v>12.4</v>
      </c>
      <c r="AA13" s="12">
        <v>14.4</v>
      </c>
      <c r="AB13" s="12">
        <v>15.4</v>
      </c>
      <c r="AC13" s="12">
        <v>17.399999999999999</v>
      </c>
      <c r="AD13" s="12">
        <v>15.8</v>
      </c>
      <c r="AE13" s="12">
        <v>8.8000000000000007</v>
      </c>
      <c r="AF13" s="12">
        <v>11.6</v>
      </c>
      <c r="AG13" s="12" t="s">
        <v>38</v>
      </c>
      <c r="AH13" s="12">
        <f t="shared" si="6"/>
        <v>0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 x14ac:dyDescent="0.25">
      <c r="A14" s="12" t="s">
        <v>47</v>
      </c>
      <c r="B14" s="12" t="s">
        <v>37</v>
      </c>
      <c r="C14" s="12">
        <v>10.571999999999999</v>
      </c>
      <c r="D14" s="12">
        <v>114.694</v>
      </c>
      <c r="E14" s="12">
        <v>38.216999999999999</v>
      </c>
      <c r="F14" s="12">
        <v>73.501999999999995</v>
      </c>
      <c r="G14" s="6">
        <v>1</v>
      </c>
      <c r="H14" s="12">
        <v>60</v>
      </c>
      <c r="I14" s="12" t="s">
        <v>35</v>
      </c>
      <c r="J14" s="12"/>
      <c r="K14" s="12">
        <v>57.75</v>
      </c>
      <c r="L14" s="12">
        <f t="shared" si="2"/>
        <v>-19.533000000000001</v>
      </c>
      <c r="M14" s="12"/>
      <c r="N14" s="12"/>
      <c r="O14" s="12">
        <v>140</v>
      </c>
      <c r="P14" s="12">
        <f t="shared" si="3"/>
        <v>7.6433999999999997</v>
      </c>
      <c r="Q14" s="4"/>
      <c r="R14" s="4">
        <f>ROUND(S14,0)</f>
        <v>50</v>
      </c>
      <c r="S14" s="16">
        <f>VLOOKUP(A14,[1]Sheet!$A:$S,18,0)</f>
        <v>50</v>
      </c>
      <c r="T14" s="16" t="str">
        <f>VLOOKUP(A14,[1]Sheet!$A:$AF,32,0)</f>
        <v>Потребность для ОТПа</v>
      </c>
      <c r="U14" s="12">
        <f t="shared" si="5"/>
        <v>34.474448543841746</v>
      </c>
      <c r="V14" s="12">
        <f t="shared" si="4"/>
        <v>27.932857105476621</v>
      </c>
      <c r="W14" s="12">
        <v>14.446</v>
      </c>
      <c r="X14" s="12">
        <v>12.6616</v>
      </c>
      <c r="Y14" s="12">
        <v>8.7745999999999995</v>
      </c>
      <c r="Z14" s="12">
        <v>7.3464</v>
      </c>
      <c r="AA14" s="12">
        <v>9.1446000000000005</v>
      </c>
      <c r="AB14" s="12">
        <v>6.1369999999999996</v>
      </c>
      <c r="AC14" s="12">
        <v>15.6576</v>
      </c>
      <c r="AD14" s="12">
        <v>16.722799999999999</v>
      </c>
      <c r="AE14" s="12">
        <v>16.991</v>
      </c>
      <c r="AF14" s="12">
        <v>7.2417999999999996</v>
      </c>
      <c r="AG14" s="12"/>
      <c r="AH14" s="12">
        <f t="shared" si="6"/>
        <v>50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 x14ac:dyDescent="0.25">
      <c r="A15" s="12" t="s">
        <v>48</v>
      </c>
      <c r="B15" s="12" t="s">
        <v>34</v>
      </c>
      <c r="C15" s="12">
        <v>415</v>
      </c>
      <c r="D15" s="12">
        <v>248</v>
      </c>
      <c r="E15" s="12">
        <v>192</v>
      </c>
      <c r="F15" s="12">
        <v>462</v>
      </c>
      <c r="G15" s="6">
        <v>0.25</v>
      </c>
      <c r="H15" s="12">
        <v>120</v>
      </c>
      <c r="I15" s="11" t="s">
        <v>43</v>
      </c>
      <c r="J15" s="12"/>
      <c r="K15" s="12">
        <v>193</v>
      </c>
      <c r="L15" s="12">
        <f t="shared" si="2"/>
        <v>-1</v>
      </c>
      <c r="M15" s="12"/>
      <c r="N15" s="12"/>
      <c r="O15" s="12">
        <v>0</v>
      </c>
      <c r="P15" s="12">
        <f t="shared" si="3"/>
        <v>38.4</v>
      </c>
      <c r="Q15" s="4">
        <f>14*P15-O15-F15</f>
        <v>75.600000000000023</v>
      </c>
      <c r="R15" s="4">
        <f t="shared" si="8"/>
        <v>76</v>
      </c>
      <c r="S15" s="16"/>
      <c r="T15" s="16"/>
      <c r="U15" s="12">
        <f t="shared" si="5"/>
        <v>14.010416666666668</v>
      </c>
      <c r="V15" s="12">
        <f t="shared" si="4"/>
        <v>12.03125</v>
      </c>
      <c r="W15" s="12">
        <v>24.2</v>
      </c>
      <c r="X15" s="12">
        <v>15.6</v>
      </c>
      <c r="Y15" s="12">
        <v>29.6</v>
      </c>
      <c r="Z15" s="12">
        <v>22.2</v>
      </c>
      <c r="AA15" s="12">
        <v>26.8</v>
      </c>
      <c r="AB15" s="12">
        <v>19.600000000000001</v>
      </c>
      <c r="AC15" s="12">
        <v>19.8</v>
      </c>
      <c r="AD15" s="12">
        <v>15.4</v>
      </c>
      <c r="AE15" s="12">
        <v>22.2</v>
      </c>
      <c r="AF15" s="12">
        <v>16.2</v>
      </c>
      <c r="AG15" s="12" t="s">
        <v>162</v>
      </c>
      <c r="AH15" s="12">
        <f t="shared" si="6"/>
        <v>19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 x14ac:dyDescent="0.25">
      <c r="A16" s="12" t="s">
        <v>49</v>
      </c>
      <c r="B16" s="12" t="s">
        <v>34</v>
      </c>
      <c r="C16" s="12">
        <v>288</v>
      </c>
      <c r="D16" s="12"/>
      <c r="E16" s="12">
        <v>93</v>
      </c>
      <c r="F16" s="12">
        <v>184</v>
      </c>
      <c r="G16" s="6">
        <v>0.4</v>
      </c>
      <c r="H16" s="12">
        <v>60</v>
      </c>
      <c r="I16" s="12" t="s">
        <v>35</v>
      </c>
      <c r="J16" s="12"/>
      <c r="K16" s="12">
        <v>93</v>
      </c>
      <c r="L16" s="12">
        <f t="shared" si="2"/>
        <v>0</v>
      </c>
      <c r="M16" s="12"/>
      <c r="N16" s="12"/>
      <c r="O16" s="12">
        <v>68</v>
      </c>
      <c r="P16" s="12">
        <f t="shared" si="3"/>
        <v>18.600000000000001</v>
      </c>
      <c r="Q16" s="4">
        <f t="shared" si="7"/>
        <v>27</v>
      </c>
      <c r="R16" s="4">
        <f t="shared" si="8"/>
        <v>27</v>
      </c>
      <c r="S16" s="16"/>
      <c r="T16" s="16"/>
      <c r="U16" s="12">
        <f t="shared" si="5"/>
        <v>14.999999999999998</v>
      </c>
      <c r="V16" s="12">
        <f t="shared" si="4"/>
        <v>13.548387096774192</v>
      </c>
      <c r="W16" s="12">
        <v>22.4</v>
      </c>
      <c r="X16" s="12">
        <v>16.399999999999999</v>
      </c>
      <c r="Y16" s="12">
        <v>31.4</v>
      </c>
      <c r="Z16" s="12">
        <v>28.8</v>
      </c>
      <c r="AA16" s="12">
        <v>21</v>
      </c>
      <c r="AB16" s="12">
        <v>22.2</v>
      </c>
      <c r="AC16" s="12">
        <v>24.8</v>
      </c>
      <c r="AD16" s="12">
        <v>28.4</v>
      </c>
      <c r="AE16" s="12">
        <v>25.2</v>
      </c>
      <c r="AF16" s="12">
        <v>23.4</v>
      </c>
      <c r="AG16" s="12"/>
      <c r="AH16" s="12">
        <f t="shared" si="6"/>
        <v>10.8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x14ac:dyDescent="0.25">
      <c r="A17" s="12" t="s">
        <v>50</v>
      </c>
      <c r="B17" s="12" t="s">
        <v>37</v>
      </c>
      <c r="C17" s="12">
        <v>413.94099999999997</v>
      </c>
      <c r="D17" s="12"/>
      <c r="E17" s="12">
        <v>252.76400000000001</v>
      </c>
      <c r="F17" s="12">
        <v>76.027000000000001</v>
      </c>
      <c r="G17" s="6">
        <v>1</v>
      </c>
      <c r="H17" s="12">
        <v>45</v>
      </c>
      <c r="I17" s="12" t="s">
        <v>35</v>
      </c>
      <c r="J17" s="12"/>
      <c r="K17" s="12">
        <v>248</v>
      </c>
      <c r="L17" s="12">
        <f t="shared" si="2"/>
        <v>4.76400000000001</v>
      </c>
      <c r="M17" s="12"/>
      <c r="N17" s="12"/>
      <c r="O17" s="12">
        <v>704</v>
      </c>
      <c r="P17" s="12">
        <f t="shared" si="3"/>
        <v>50.552800000000005</v>
      </c>
      <c r="Q17" s="4"/>
      <c r="R17" s="4">
        <f>ROUND(S17,0)</f>
        <v>150</v>
      </c>
      <c r="S17" s="19">
        <f>VLOOKUP(A17,[1]Sheet!$A:$S,18,0)</f>
        <v>150</v>
      </c>
      <c r="T17" s="16"/>
      <c r="U17" s="12">
        <f t="shared" si="5"/>
        <v>18.397141206817427</v>
      </c>
      <c r="V17" s="12">
        <f t="shared" si="4"/>
        <v>15.429946511370289</v>
      </c>
      <c r="W17" s="12">
        <v>79.149000000000001</v>
      </c>
      <c r="X17" s="12">
        <v>31.593</v>
      </c>
      <c r="Y17" s="12">
        <v>57.8962</v>
      </c>
      <c r="Z17" s="12">
        <v>45.760599999999997</v>
      </c>
      <c r="AA17" s="12">
        <v>39.785200000000003</v>
      </c>
      <c r="AB17" s="12">
        <v>38.865600000000001</v>
      </c>
      <c r="AC17" s="12">
        <v>68.392799999999994</v>
      </c>
      <c r="AD17" s="12">
        <v>51.933999999999997</v>
      </c>
      <c r="AE17" s="12">
        <v>60.9788</v>
      </c>
      <c r="AF17" s="12">
        <v>39.086200000000012</v>
      </c>
      <c r="AG17" s="12"/>
      <c r="AH17" s="12">
        <f t="shared" si="6"/>
        <v>150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8" t="s">
        <v>51</v>
      </c>
      <c r="B18" s="8" t="s">
        <v>34</v>
      </c>
      <c r="C18" s="8">
        <v>-1</v>
      </c>
      <c r="D18" s="8"/>
      <c r="E18" s="8"/>
      <c r="F18" s="13">
        <v>-1</v>
      </c>
      <c r="G18" s="9">
        <v>0</v>
      </c>
      <c r="H18" s="8">
        <v>60</v>
      </c>
      <c r="I18" s="8" t="s">
        <v>52</v>
      </c>
      <c r="J18" s="8" t="s">
        <v>53</v>
      </c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4">
        <f t="shared" si="8"/>
        <v>0</v>
      </c>
      <c r="S18" s="16"/>
      <c r="T18" s="16"/>
      <c r="U18" s="12" t="e">
        <f t="shared" si="5"/>
        <v>#DIV/0!</v>
      </c>
      <c r="V18" s="8" t="e">
        <f t="shared" si="4"/>
        <v>#DIV/0!</v>
      </c>
      <c r="W18" s="8">
        <v>0.2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/>
      <c r="AH18" s="12">
        <f t="shared" si="6"/>
        <v>0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 x14ac:dyDescent="0.25">
      <c r="A19" s="12" t="s">
        <v>54</v>
      </c>
      <c r="B19" s="12" t="s">
        <v>37</v>
      </c>
      <c r="C19" s="12">
        <v>36.832999999999998</v>
      </c>
      <c r="D19" s="12">
        <v>56.359000000000002</v>
      </c>
      <c r="E19" s="12">
        <v>34.292999999999999</v>
      </c>
      <c r="F19" s="12">
        <v>57.878999999999998</v>
      </c>
      <c r="G19" s="6">
        <v>1</v>
      </c>
      <c r="H19" s="12">
        <v>120</v>
      </c>
      <c r="I19" s="12" t="s">
        <v>35</v>
      </c>
      <c r="J19" s="12"/>
      <c r="K19" s="12">
        <v>34.299999999999997</v>
      </c>
      <c r="L19" s="12">
        <f t="shared" si="2"/>
        <v>-6.9999999999978968E-3</v>
      </c>
      <c r="M19" s="12"/>
      <c r="N19" s="12"/>
      <c r="O19" s="12">
        <v>90</v>
      </c>
      <c r="P19" s="12">
        <f t="shared" si="3"/>
        <v>6.8586</v>
      </c>
      <c r="Q19" s="4"/>
      <c r="R19" s="4">
        <f t="shared" si="8"/>
        <v>0</v>
      </c>
      <c r="S19" s="16"/>
      <c r="T19" s="16"/>
      <c r="U19" s="12">
        <f t="shared" si="5"/>
        <v>21.56110576502493</v>
      </c>
      <c r="V19" s="12">
        <f t="shared" si="4"/>
        <v>21.56110576502493</v>
      </c>
      <c r="W19" s="12">
        <v>10.388</v>
      </c>
      <c r="X19" s="12">
        <v>6.5549999999999997</v>
      </c>
      <c r="Y19" s="12">
        <v>6.0965999999999996</v>
      </c>
      <c r="Z19" s="12">
        <v>6.2720000000000002</v>
      </c>
      <c r="AA19" s="12">
        <v>2.3835999999999999</v>
      </c>
      <c r="AB19" s="12">
        <v>3.8856000000000002</v>
      </c>
      <c r="AC19" s="12">
        <v>5.7060000000000004</v>
      </c>
      <c r="AD19" s="12">
        <v>6.0518000000000001</v>
      </c>
      <c r="AE19" s="12">
        <v>3.9136000000000002</v>
      </c>
      <c r="AF19" s="12">
        <v>2.1107999999999998</v>
      </c>
      <c r="AG19" s="12" t="s">
        <v>38</v>
      </c>
      <c r="AH19" s="12">
        <f t="shared" si="6"/>
        <v>0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 x14ac:dyDescent="0.25">
      <c r="A20" s="12" t="s">
        <v>55</v>
      </c>
      <c r="B20" s="12" t="s">
        <v>34</v>
      </c>
      <c r="C20" s="12"/>
      <c r="D20" s="12">
        <v>128</v>
      </c>
      <c r="E20" s="12">
        <v>52</v>
      </c>
      <c r="F20" s="12">
        <v>69</v>
      </c>
      <c r="G20" s="6">
        <v>0.4</v>
      </c>
      <c r="H20" s="12">
        <v>45</v>
      </c>
      <c r="I20" s="12" t="s">
        <v>35</v>
      </c>
      <c r="J20" s="12"/>
      <c r="K20" s="12">
        <v>73</v>
      </c>
      <c r="L20" s="12">
        <f t="shared" si="2"/>
        <v>-21</v>
      </c>
      <c r="M20" s="12"/>
      <c r="N20" s="12"/>
      <c r="O20" s="12">
        <v>120</v>
      </c>
      <c r="P20" s="12">
        <f t="shared" si="3"/>
        <v>10.4</v>
      </c>
      <c r="Q20" s="4"/>
      <c r="R20" s="4">
        <f t="shared" si="8"/>
        <v>0</v>
      </c>
      <c r="S20" s="16"/>
      <c r="T20" s="16"/>
      <c r="U20" s="12">
        <f t="shared" si="5"/>
        <v>18.173076923076923</v>
      </c>
      <c r="V20" s="12">
        <f t="shared" si="4"/>
        <v>18.173076923076923</v>
      </c>
      <c r="W20" s="12">
        <v>12</v>
      </c>
      <c r="X20" s="12">
        <v>13.4</v>
      </c>
      <c r="Y20" s="12">
        <v>8.4</v>
      </c>
      <c r="Z20" s="12">
        <v>10.8</v>
      </c>
      <c r="AA20" s="12">
        <v>9.1999999999999993</v>
      </c>
      <c r="AB20" s="12">
        <v>16.600000000000001</v>
      </c>
      <c r="AC20" s="12">
        <v>12.8</v>
      </c>
      <c r="AD20" s="12">
        <v>17.600000000000001</v>
      </c>
      <c r="AE20" s="12">
        <v>10.8</v>
      </c>
      <c r="AF20" s="12">
        <v>15.2</v>
      </c>
      <c r="AG20" s="12"/>
      <c r="AH20" s="12">
        <f t="shared" si="6"/>
        <v>0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 x14ac:dyDescent="0.25">
      <c r="A21" s="12" t="s">
        <v>56</v>
      </c>
      <c r="B21" s="12" t="s">
        <v>37</v>
      </c>
      <c r="C21" s="12">
        <v>217.67599999999999</v>
      </c>
      <c r="D21" s="12">
        <v>8.0920000000000005</v>
      </c>
      <c r="E21" s="12">
        <v>221.71799999999999</v>
      </c>
      <c r="F21" s="12">
        <v>2.2450000000000001</v>
      </c>
      <c r="G21" s="6">
        <v>1</v>
      </c>
      <c r="H21" s="12">
        <v>60</v>
      </c>
      <c r="I21" s="12" t="s">
        <v>35</v>
      </c>
      <c r="J21" s="12"/>
      <c r="K21" s="12">
        <v>268.24200000000002</v>
      </c>
      <c r="L21" s="12">
        <f t="shared" si="2"/>
        <v>-46.524000000000029</v>
      </c>
      <c r="M21" s="12"/>
      <c r="N21" s="12"/>
      <c r="O21" s="12">
        <v>489</v>
      </c>
      <c r="P21" s="12">
        <f t="shared" si="3"/>
        <v>44.343599999999995</v>
      </c>
      <c r="Q21" s="4">
        <f t="shared" ref="Q21:Q29" si="9">15*P21-O21-F21</f>
        <v>173.90899999999988</v>
      </c>
      <c r="R21" s="4">
        <f t="shared" ref="R21:R24" si="10">ROUND(S21,0)</f>
        <v>250</v>
      </c>
      <c r="S21" s="16">
        <f>VLOOKUP(A21,[1]Sheet!$A:$S,18,0)</f>
        <v>250</v>
      </c>
      <c r="T21" s="16" t="str">
        <f>VLOOKUP(A21,[1]Sheet!$A:$AF,32,0)</f>
        <v>Потребность для ОТПа</v>
      </c>
      <c r="U21" s="12">
        <f t="shared" si="5"/>
        <v>16.715940970061069</v>
      </c>
      <c r="V21" s="12">
        <f t="shared" si="4"/>
        <v>11.078148819671837</v>
      </c>
      <c r="W21" s="12">
        <v>53.409799999999997</v>
      </c>
      <c r="X21" s="12">
        <v>29.607600000000001</v>
      </c>
      <c r="Y21" s="12">
        <v>39.871600000000001</v>
      </c>
      <c r="Z21" s="12">
        <v>43.782400000000003</v>
      </c>
      <c r="AA21" s="12">
        <v>35.393999999999998</v>
      </c>
      <c r="AB21" s="12">
        <v>51.526599999999988</v>
      </c>
      <c r="AC21" s="12">
        <v>31.503599999999999</v>
      </c>
      <c r="AD21" s="12">
        <v>52.622599999999998</v>
      </c>
      <c r="AE21" s="12">
        <v>44.615600000000001</v>
      </c>
      <c r="AF21" s="12">
        <v>46.076799999999999</v>
      </c>
      <c r="AG21" s="12"/>
      <c r="AH21" s="12">
        <f t="shared" si="6"/>
        <v>250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 x14ac:dyDescent="0.25">
      <c r="A22" s="12" t="s">
        <v>57</v>
      </c>
      <c r="B22" s="12" t="s">
        <v>34</v>
      </c>
      <c r="C22" s="12">
        <v>878</v>
      </c>
      <c r="D22" s="12"/>
      <c r="E22" s="12">
        <v>477</v>
      </c>
      <c r="F22" s="12">
        <v>378</v>
      </c>
      <c r="G22" s="6">
        <v>0.22</v>
      </c>
      <c r="H22" s="12">
        <v>120</v>
      </c>
      <c r="I22" s="12" t="s">
        <v>35</v>
      </c>
      <c r="J22" s="12"/>
      <c r="K22" s="12">
        <v>477</v>
      </c>
      <c r="L22" s="12">
        <f t="shared" si="2"/>
        <v>0</v>
      </c>
      <c r="M22" s="12"/>
      <c r="N22" s="12"/>
      <c r="O22" s="12">
        <v>608</v>
      </c>
      <c r="P22" s="12">
        <f t="shared" si="3"/>
        <v>95.4</v>
      </c>
      <c r="Q22" s="4">
        <f t="shared" si="9"/>
        <v>445</v>
      </c>
      <c r="R22" s="4">
        <f t="shared" si="10"/>
        <v>600</v>
      </c>
      <c r="S22" s="16">
        <f>VLOOKUP(A22,[1]Sheet!$A:$S,18,0)</f>
        <v>600</v>
      </c>
      <c r="T22" s="16" t="str">
        <f>VLOOKUP(A22,[1]Sheet!$A:$AF,32,0)</f>
        <v xml:space="preserve">Главторг акция </v>
      </c>
      <c r="U22" s="12">
        <f t="shared" si="5"/>
        <v>16.624737945492662</v>
      </c>
      <c r="V22" s="12">
        <f t="shared" si="4"/>
        <v>10.335429769392032</v>
      </c>
      <c r="W22" s="12">
        <v>97.4</v>
      </c>
      <c r="X22" s="12">
        <v>81.8</v>
      </c>
      <c r="Y22" s="12">
        <v>78.400000000000006</v>
      </c>
      <c r="Z22" s="12">
        <v>92.2</v>
      </c>
      <c r="AA22" s="12">
        <v>66.2</v>
      </c>
      <c r="AB22" s="12">
        <v>109.8</v>
      </c>
      <c r="AC22" s="12">
        <v>89.8</v>
      </c>
      <c r="AD22" s="12">
        <v>30.6</v>
      </c>
      <c r="AE22" s="12">
        <v>80.599999999999994</v>
      </c>
      <c r="AF22" s="12">
        <v>37.799999999999997</v>
      </c>
      <c r="AG22" s="12" t="s">
        <v>38</v>
      </c>
      <c r="AH22" s="12">
        <f t="shared" si="6"/>
        <v>132</v>
      </c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x14ac:dyDescent="0.25">
      <c r="A23" s="12" t="s">
        <v>58</v>
      </c>
      <c r="B23" s="12" t="s">
        <v>37</v>
      </c>
      <c r="C23" s="12">
        <v>3.76</v>
      </c>
      <c r="D23" s="12">
        <v>38.018000000000001</v>
      </c>
      <c r="E23" s="12">
        <v>30.021000000000001</v>
      </c>
      <c r="F23" s="12">
        <v>4.7480000000000002</v>
      </c>
      <c r="G23" s="6">
        <v>1</v>
      </c>
      <c r="H23" s="12">
        <v>40</v>
      </c>
      <c r="I23" s="12" t="s">
        <v>35</v>
      </c>
      <c r="J23" s="12"/>
      <c r="K23" s="12">
        <v>36.167999999999999</v>
      </c>
      <c r="L23" s="12">
        <f t="shared" si="2"/>
        <v>-6.1469999999999985</v>
      </c>
      <c r="M23" s="12"/>
      <c r="N23" s="12"/>
      <c r="O23" s="12">
        <v>66</v>
      </c>
      <c r="P23" s="12">
        <f t="shared" si="3"/>
        <v>6.0042</v>
      </c>
      <c r="Q23" s="4">
        <f t="shared" si="9"/>
        <v>19.315000000000001</v>
      </c>
      <c r="R23" s="4">
        <v>40</v>
      </c>
      <c r="S23" s="16">
        <f>VLOOKUP(A23,[1]Sheet!$A:$S,18,0)</f>
        <v>50</v>
      </c>
      <c r="T23" s="16" t="str">
        <f>VLOOKUP(A23,[1]Sheet!$A:$AF,32,0)</f>
        <v xml:space="preserve">Есть потребность </v>
      </c>
      <c r="U23" s="12">
        <f t="shared" si="5"/>
        <v>18.445088438093336</v>
      </c>
      <c r="V23" s="12">
        <f t="shared" si="4"/>
        <v>11.783085173711736</v>
      </c>
      <c r="W23" s="12">
        <v>7.3087999999999997</v>
      </c>
      <c r="X23" s="12">
        <v>5.0584000000000007</v>
      </c>
      <c r="Y23" s="12">
        <v>-0.33040000000000003</v>
      </c>
      <c r="Z23" s="12">
        <v>8.4344000000000001</v>
      </c>
      <c r="AA23" s="12">
        <v>6.0996000000000006</v>
      </c>
      <c r="AB23" s="12">
        <v>4.2107999999999999</v>
      </c>
      <c r="AC23" s="12">
        <v>8.4651999999999994</v>
      </c>
      <c r="AD23" s="12">
        <v>2.464</v>
      </c>
      <c r="AE23" s="12">
        <v>0</v>
      </c>
      <c r="AF23" s="12">
        <v>0</v>
      </c>
      <c r="AG23" s="12" t="s">
        <v>59</v>
      </c>
      <c r="AH23" s="12">
        <f t="shared" si="6"/>
        <v>40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 x14ac:dyDescent="0.25">
      <c r="A24" s="12" t="s">
        <v>60</v>
      </c>
      <c r="B24" s="12" t="s">
        <v>37</v>
      </c>
      <c r="C24" s="12">
        <v>303.08199999999999</v>
      </c>
      <c r="D24" s="12"/>
      <c r="E24" s="12">
        <v>123.89100000000001</v>
      </c>
      <c r="F24" s="12">
        <v>162.756</v>
      </c>
      <c r="G24" s="6">
        <v>1</v>
      </c>
      <c r="H24" s="12">
        <v>60</v>
      </c>
      <c r="I24" s="12" t="s">
        <v>35</v>
      </c>
      <c r="J24" s="12"/>
      <c r="K24" s="12">
        <v>118.55</v>
      </c>
      <c r="L24" s="12">
        <f t="shared" si="2"/>
        <v>5.3410000000000082</v>
      </c>
      <c r="M24" s="12"/>
      <c r="N24" s="12"/>
      <c r="O24" s="12">
        <v>193</v>
      </c>
      <c r="P24" s="12">
        <f t="shared" si="3"/>
        <v>24.778200000000002</v>
      </c>
      <c r="Q24" s="4">
        <f t="shared" si="9"/>
        <v>15.917000000000002</v>
      </c>
      <c r="R24" s="4">
        <f t="shared" si="10"/>
        <v>60</v>
      </c>
      <c r="S24" s="16">
        <f>VLOOKUP(A24,[1]Sheet!$A:$S,18,0)</f>
        <v>60</v>
      </c>
      <c r="T24" s="16" t="str">
        <f>VLOOKUP(A24,[1]Sheet!$A:$AF,32,0)</f>
        <v>Потребность для ОТПа</v>
      </c>
      <c r="U24" s="12">
        <f t="shared" si="5"/>
        <v>16.779104212573955</v>
      </c>
      <c r="V24" s="12">
        <f t="shared" si="4"/>
        <v>14.357620811842667</v>
      </c>
      <c r="W24" s="12">
        <v>30.382400000000001</v>
      </c>
      <c r="X24" s="12">
        <v>12.019399999999999</v>
      </c>
      <c r="Y24" s="12">
        <v>32.415799999999997</v>
      </c>
      <c r="Z24" s="12">
        <v>26.765599999999999</v>
      </c>
      <c r="AA24" s="12">
        <v>20.123799999999999</v>
      </c>
      <c r="AB24" s="12">
        <v>23.693999999999999</v>
      </c>
      <c r="AC24" s="12">
        <v>38.83</v>
      </c>
      <c r="AD24" s="12">
        <v>48.142600000000002</v>
      </c>
      <c r="AE24" s="12">
        <v>29.606400000000001</v>
      </c>
      <c r="AF24" s="12">
        <v>15.874000000000001</v>
      </c>
      <c r="AG24" s="12"/>
      <c r="AH24" s="12">
        <f t="shared" si="6"/>
        <v>60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12" t="s">
        <v>61</v>
      </c>
      <c r="B25" s="12" t="s">
        <v>34</v>
      </c>
      <c r="C25" s="12">
        <v>154</v>
      </c>
      <c r="D25" s="12">
        <v>590</v>
      </c>
      <c r="E25" s="12">
        <v>224</v>
      </c>
      <c r="F25" s="12">
        <v>488</v>
      </c>
      <c r="G25" s="6">
        <v>0.09</v>
      </c>
      <c r="H25" s="12">
        <v>60</v>
      </c>
      <c r="I25" s="12" t="s">
        <v>35</v>
      </c>
      <c r="J25" s="12"/>
      <c r="K25" s="12">
        <v>227</v>
      </c>
      <c r="L25" s="12">
        <f t="shared" si="2"/>
        <v>-3</v>
      </c>
      <c r="M25" s="12"/>
      <c r="N25" s="12"/>
      <c r="O25" s="12">
        <v>302</v>
      </c>
      <c r="P25" s="12">
        <f t="shared" si="3"/>
        <v>44.8</v>
      </c>
      <c r="Q25" s="4"/>
      <c r="R25" s="4">
        <f t="shared" si="8"/>
        <v>0</v>
      </c>
      <c r="S25" s="16"/>
      <c r="T25" s="16"/>
      <c r="U25" s="12">
        <f t="shared" si="5"/>
        <v>17.633928571428573</v>
      </c>
      <c r="V25" s="12">
        <f t="shared" si="4"/>
        <v>17.633928571428573</v>
      </c>
      <c r="W25" s="12">
        <v>65.599999999999994</v>
      </c>
      <c r="X25" s="12">
        <v>69</v>
      </c>
      <c r="Y25" s="12">
        <v>42.2</v>
      </c>
      <c r="Z25" s="12">
        <v>62</v>
      </c>
      <c r="AA25" s="12">
        <v>41.8</v>
      </c>
      <c r="AB25" s="12">
        <v>53.6</v>
      </c>
      <c r="AC25" s="12">
        <v>55.6</v>
      </c>
      <c r="AD25" s="12">
        <v>39.799999999999997</v>
      </c>
      <c r="AE25" s="12">
        <v>53.8</v>
      </c>
      <c r="AF25" s="12">
        <v>30.6</v>
      </c>
      <c r="AG25" s="12"/>
      <c r="AH25" s="12">
        <f t="shared" si="6"/>
        <v>0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x14ac:dyDescent="0.25">
      <c r="A26" s="12" t="s">
        <v>62</v>
      </c>
      <c r="B26" s="12" t="s">
        <v>34</v>
      </c>
      <c r="C26" s="12">
        <v>174</v>
      </c>
      <c r="D26" s="12">
        <v>240</v>
      </c>
      <c r="E26" s="12">
        <v>196</v>
      </c>
      <c r="F26" s="12">
        <v>194</v>
      </c>
      <c r="G26" s="6">
        <v>0.09</v>
      </c>
      <c r="H26" s="12">
        <v>45</v>
      </c>
      <c r="I26" s="11" t="s">
        <v>43</v>
      </c>
      <c r="J26" s="12"/>
      <c r="K26" s="12">
        <v>202</v>
      </c>
      <c r="L26" s="12">
        <f t="shared" si="2"/>
        <v>-6</v>
      </c>
      <c r="M26" s="12"/>
      <c r="N26" s="12"/>
      <c r="O26" s="12">
        <v>170</v>
      </c>
      <c r="P26" s="12">
        <f t="shared" si="3"/>
        <v>39.200000000000003</v>
      </c>
      <c r="Q26" s="4">
        <f t="shared" si="9"/>
        <v>224</v>
      </c>
      <c r="R26" s="4">
        <f t="shared" si="8"/>
        <v>224</v>
      </c>
      <c r="S26" s="16"/>
      <c r="T26" s="16"/>
      <c r="U26" s="12">
        <f t="shared" si="5"/>
        <v>14.999999999999998</v>
      </c>
      <c r="V26" s="12">
        <f t="shared" si="4"/>
        <v>9.2857142857142847</v>
      </c>
      <c r="W26" s="12">
        <v>30.8</v>
      </c>
      <c r="X26" s="12">
        <v>20.6</v>
      </c>
      <c r="Y26" s="12">
        <v>27.4</v>
      </c>
      <c r="Z26" s="12">
        <v>31.8</v>
      </c>
      <c r="AA26" s="12">
        <v>26.2</v>
      </c>
      <c r="AB26" s="12">
        <v>23.6</v>
      </c>
      <c r="AC26" s="12">
        <v>24.4</v>
      </c>
      <c r="AD26" s="12">
        <v>24.8</v>
      </c>
      <c r="AE26" s="12">
        <v>20</v>
      </c>
      <c r="AF26" s="12">
        <v>22.8</v>
      </c>
      <c r="AG26" s="12" t="s">
        <v>44</v>
      </c>
      <c r="AH26" s="12">
        <f t="shared" si="6"/>
        <v>20.16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1" x14ac:dyDescent="0.25">
      <c r="A27" s="12" t="s">
        <v>63</v>
      </c>
      <c r="B27" s="12" t="s">
        <v>34</v>
      </c>
      <c r="C27" s="12">
        <v>104</v>
      </c>
      <c r="D27" s="12">
        <v>168</v>
      </c>
      <c r="E27" s="12">
        <v>161</v>
      </c>
      <c r="F27" s="12">
        <v>97</v>
      </c>
      <c r="G27" s="6">
        <v>0.15</v>
      </c>
      <c r="H27" s="12">
        <v>45</v>
      </c>
      <c r="I27" s="12" t="s">
        <v>35</v>
      </c>
      <c r="J27" s="12"/>
      <c r="K27" s="12">
        <v>161</v>
      </c>
      <c r="L27" s="12">
        <f t="shared" si="2"/>
        <v>0</v>
      </c>
      <c r="M27" s="12"/>
      <c r="N27" s="12"/>
      <c r="O27" s="12">
        <v>179</v>
      </c>
      <c r="P27" s="12">
        <f t="shared" si="3"/>
        <v>32.200000000000003</v>
      </c>
      <c r="Q27" s="4">
        <f t="shared" si="9"/>
        <v>207.00000000000006</v>
      </c>
      <c r="R27" s="4">
        <f t="shared" si="8"/>
        <v>207</v>
      </c>
      <c r="S27" s="16"/>
      <c r="T27" s="16"/>
      <c r="U27" s="12">
        <f t="shared" si="5"/>
        <v>14.999999999999998</v>
      </c>
      <c r="V27" s="12">
        <f t="shared" si="4"/>
        <v>8.5714285714285712</v>
      </c>
      <c r="W27" s="12">
        <v>24.6</v>
      </c>
      <c r="X27" s="12">
        <v>26.2</v>
      </c>
      <c r="Y27" s="12">
        <v>19.600000000000001</v>
      </c>
      <c r="Z27" s="12">
        <v>27.4</v>
      </c>
      <c r="AA27" s="12">
        <v>33.6</v>
      </c>
      <c r="AB27" s="12">
        <v>20.399999999999999</v>
      </c>
      <c r="AC27" s="12">
        <v>21.2</v>
      </c>
      <c r="AD27" s="12">
        <v>31.4</v>
      </c>
      <c r="AE27" s="12">
        <v>18.600000000000001</v>
      </c>
      <c r="AF27" s="12">
        <v>22.6</v>
      </c>
      <c r="AG27" s="12"/>
      <c r="AH27" s="12">
        <f t="shared" si="6"/>
        <v>31.049999999999997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51" x14ac:dyDescent="0.25">
      <c r="A28" s="12" t="s">
        <v>64</v>
      </c>
      <c r="B28" s="12" t="s">
        <v>37</v>
      </c>
      <c r="C28" s="12">
        <v>350.75</v>
      </c>
      <c r="D28" s="12">
        <v>408.952</v>
      </c>
      <c r="E28" s="12">
        <v>430.447</v>
      </c>
      <c r="F28" s="12">
        <v>172.98</v>
      </c>
      <c r="G28" s="6">
        <v>1</v>
      </c>
      <c r="H28" s="12">
        <v>45</v>
      </c>
      <c r="I28" s="12" t="s">
        <v>35</v>
      </c>
      <c r="J28" s="12"/>
      <c r="K28" s="12">
        <v>407.4</v>
      </c>
      <c r="L28" s="12">
        <f t="shared" si="2"/>
        <v>23.047000000000025</v>
      </c>
      <c r="M28" s="12"/>
      <c r="N28" s="12"/>
      <c r="O28" s="12">
        <v>886</v>
      </c>
      <c r="P28" s="12">
        <f t="shared" si="3"/>
        <v>86.089399999999998</v>
      </c>
      <c r="Q28" s="4">
        <f t="shared" si="9"/>
        <v>232.3609999999999</v>
      </c>
      <c r="R28" s="4">
        <f t="shared" si="8"/>
        <v>232</v>
      </c>
      <c r="S28" s="16"/>
      <c r="T28" s="16"/>
      <c r="U28" s="12">
        <f t="shared" si="5"/>
        <v>14.99580668467895</v>
      </c>
      <c r="V28" s="12">
        <f t="shared" si="4"/>
        <v>12.300933680569269</v>
      </c>
      <c r="W28" s="12">
        <v>101.1476</v>
      </c>
      <c r="X28" s="12">
        <v>72.8874</v>
      </c>
      <c r="Y28" s="12">
        <v>74.640999999999991</v>
      </c>
      <c r="Z28" s="12">
        <v>69.128200000000007</v>
      </c>
      <c r="AA28" s="12">
        <v>44.8872</v>
      </c>
      <c r="AB28" s="12">
        <v>61.028599999999997</v>
      </c>
      <c r="AC28" s="12">
        <v>80.06280000000001</v>
      </c>
      <c r="AD28" s="12">
        <v>71.776199999999989</v>
      </c>
      <c r="AE28" s="12">
        <v>53.404999999999987</v>
      </c>
      <c r="AF28" s="12">
        <v>45.937600000000003</v>
      </c>
      <c r="AG28" s="12"/>
      <c r="AH28" s="12">
        <f t="shared" si="6"/>
        <v>232</v>
      </c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1" x14ac:dyDescent="0.25">
      <c r="A29" s="12" t="s">
        <v>65</v>
      </c>
      <c r="B29" s="12" t="s">
        <v>34</v>
      </c>
      <c r="C29" s="12">
        <v>231</v>
      </c>
      <c r="D29" s="12">
        <v>208</v>
      </c>
      <c r="E29" s="12">
        <v>232</v>
      </c>
      <c r="F29" s="12">
        <v>190</v>
      </c>
      <c r="G29" s="6">
        <v>0.4</v>
      </c>
      <c r="H29" s="12">
        <v>60</v>
      </c>
      <c r="I29" s="12" t="s">
        <v>35</v>
      </c>
      <c r="J29" s="12"/>
      <c r="K29" s="12">
        <v>238</v>
      </c>
      <c r="L29" s="12">
        <f t="shared" si="2"/>
        <v>-6</v>
      </c>
      <c r="M29" s="12"/>
      <c r="N29" s="12"/>
      <c r="O29" s="12">
        <v>450</v>
      </c>
      <c r="P29" s="12">
        <f t="shared" si="3"/>
        <v>46.4</v>
      </c>
      <c r="Q29" s="4">
        <f t="shared" si="9"/>
        <v>56</v>
      </c>
      <c r="R29" s="4">
        <f t="shared" si="8"/>
        <v>56</v>
      </c>
      <c r="S29" s="16"/>
      <c r="T29" s="16"/>
      <c r="U29" s="12">
        <f t="shared" si="5"/>
        <v>15</v>
      </c>
      <c r="V29" s="12">
        <f t="shared" si="4"/>
        <v>13.793103448275863</v>
      </c>
      <c r="W29" s="12">
        <v>43.2</v>
      </c>
      <c r="X29" s="12">
        <v>44.2</v>
      </c>
      <c r="Y29" s="12">
        <v>37.4</v>
      </c>
      <c r="Z29" s="12">
        <v>47.6</v>
      </c>
      <c r="AA29" s="12">
        <v>25.8</v>
      </c>
      <c r="AB29" s="12">
        <v>56.8</v>
      </c>
      <c r="AC29" s="12">
        <v>29.8</v>
      </c>
      <c r="AD29" s="12">
        <v>17.2</v>
      </c>
      <c r="AE29" s="12">
        <v>27</v>
      </c>
      <c r="AF29" s="12">
        <v>13</v>
      </c>
      <c r="AG29" s="12" t="s">
        <v>44</v>
      </c>
      <c r="AH29" s="12">
        <f t="shared" si="6"/>
        <v>22.400000000000002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1:51" x14ac:dyDescent="0.25">
      <c r="A30" s="12" t="s">
        <v>66</v>
      </c>
      <c r="B30" s="12" t="s">
        <v>34</v>
      </c>
      <c r="C30" s="12">
        <v>161</v>
      </c>
      <c r="D30" s="12">
        <v>648</v>
      </c>
      <c r="E30" s="12">
        <v>225</v>
      </c>
      <c r="F30" s="12">
        <v>575</v>
      </c>
      <c r="G30" s="6">
        <v>0.4</v>
      </c>
      <c r="H30" s="12">
        <v>60</v>
      </c>
      <c r="I30" s="11" t="s">
        <v>43</v>
      </c>
      <c r="J30" s="12"/>
      <c r="K30" s="12">
        <v>228</v>
      </c>
      <c r="L30" s="12">
        <f t="shared" si="2"/>
        <v>-3</v>
      </c>
      <c r="M30" s="12"/>
      <c r="N30" s="12"/>
      <c r="O30" s="12">
        <v>200</v>
      </c>
      <c r="P30" s="12">
        <f t="shared" si="3"/>
        <v>45</v>
      </c>
      <c r="Q30" s="4"/>
      <c r="R30" s="4">
        <f t="shared" si="8"/>
        <v>0</v>
      </c>
      <c r="S30" s="16"/>
      <c r="T30" s="16"/>
      <c r="U30" s="12">
        <f t="shared" si="5"/>
        <v>17.222222222222221</v>
      </c>
      <c r="V30" s="12">
        <f t="shared" si="4"/>
        <v>17.222222222222221</v>
      </c>
      <c r="W30" s="12">
        <v>32</v>
      </c>
      <c r="X30" s="12">
        <v>37.200000000000003</v>
      </c>
      <c r="Y30" s="12">
        <v>30.4</v>
      </c>
      <c r="Z30" s="12">
        <v>43</v>
      </c>
      <c r="AA30" s="12">
        <v>48</v>
      </c>
      <c r="AB30" s="12">
        <v>44.6</v>
      </c>
      <c r="AC30" s="12">
        <v>38.799999999999997</v>
      </c>
      <c r="AD30" s="12">
        <v>49.6</v>
      </c>
      <c r="AE30" s="12">
        <v>47.6</v>
      </c>
      <c r="AF30" s="12">
        <v>41.6</v>
      </c>
      <c r="AG30" s="12" t="s">
        <v>44</v>
      </c>
      <c r="AH30" s="12">
        <f t="shared" si="6"/>
        <v>0</v>
      </c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1" x14ac:dyDescent="0.25">
      <c r="A31" s="8" t="s">
        <v>67</v>
      </c>
      <c r="B31" s="8" t="s">
        <v>34</v>
      </c>
      <c r="C31" s="8">
        <v>-104</v>
      </c>
      <c r="D31" s="8"/>
      <c r="E31" s="8"/>
      <c r="F31" s="13">
        <v>-104</v>
      </c>
      <c r="G31" s="9">
        <v>0</v>
      </c>
      <c r="H31" s="8">
        <v>60</v>
      </c>
      <c r="I31" s="8" t="s">
        <v>52</v>
      </c>
      <c r="J31" s="8" t="s">
        <v>68</v>
      </c>
      <c r="K31" s="8"/>
      <c r="L31" s="8">
        <f t="shared" si="2"/>
        <v>0</v>
      </c>
      <c r="M31" s="8"/>
      <c r="N31" s="8"/>
      <c r="O31" s="8">
        <v>0</v>
      </c>
      <c r="P31" s="8">
        <f t="shared" si="3"/>
        <v>0</v>
      </c>
      <c r="Q31" s="10"/>
      <c r="R31" s="4">
        <f t="shared" si="8"/>
        <v>0</v>
      </c>
      <c r="S31" s="16"/>
      <c r="T31" s="16"/>
      <c r="U31" s="12" t="e">
        <f t="shared" si="5"/>
        <v>#DIV/0!</v>
      </c>
      <c r="V31" s="8" t="e">
        <f t="shared" si="4"/>
        <v>#DIV/0!</v>
      </c>
      <c r="W31" s="8">
        <v>0</v>
      </c>
      <c r="X31" s="8">
        <v>20.8</v>
      </c>
      <c r="Y31" s="8">
        <v>-0.2</v>
      </c>
      <c r="Z31" s="8">
        <v>-0.6</v>
      </c>
      <c r="AA31" s="8">
        <v>14</v>
      </c>
      <c r="AB31" s="8">
        <v>25.2</v>
      </c>
      <c r="AC31" s="8">
        <v>36</v>
      </c>
      <c r="AD31" s="8">
        <v>37.799999999999997</v>
      </c>
      <c r="AE31" s="8">
        <v>33</v>
      </c>
      <c r="AF31" s="8">
        <v>1.4</v>
      </c>
      <c r="AG31" s="8" t="s">
        <v>69</v>
      </c>
      <c r="AH31" s="12">
        <f t="shared" si="6"/>
        <v>0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1:51" x14ac:dyDescent="0.25">
      <c r="A32" s="12" t="s">
        <v>70</v>
      </c>
      <c r="B32" s="12" t="s">
        <v>34</v>
      </c>
      <c r="C32" s="12">
        <v>292</v>
      </c>
      <c r="D32" s="12">
        <v>64</v>
      </c>
      <c r="E32" s="12">
        <v>214</v>
      </c>
      <c r="F32" s="12">
        <v>128</v>
      </c>
      <c r="G32" s="6">
        <v>0.4</v>
      </c>
      <c r="H32" s="12">
        <v>60</v>
      </c>
      <c r="I32" s="11" t="s">
        <v>43</v>
      </c>
      <c r="J32" s="12"/>
      <c r="K32" s="12">
        <v>218</v>
      </c>
      <c r="L32" s="12">
        <f t="shared" si="2"/>
        <v>-4</v>
      </c>
      <c r="M32" s="12"/>
      <c r="N32" s="12"/>
      <c r="O32" s="12">
        <v>150</v>
      </c>
      <c r="P32" s="12">
        <f t="shared" si="3"/>
        <v>42.8</v>
      </c>
      <c r="Q32" s="4">
        <f>14*P32-O32-F32</f>
        <v>321.19999999999993</v>
      </c>
      <c r="R32" s="4">
        <f t="shared" si="8"/>
        <v>321</v>
      </c>
      <c r="S32" s="16"/>
      <c r="T32" s="16"/>
      <c r="U32" s="12">
        <f t="shared" si="5"/>
        <v>13.995327102803738</v>
      </c>
      <c r="V32" s="12">
        <f t="shared" si="4"/>
        <v>6.4953271028037385</v>
      </c>
      <c r="W32" s="12">
        <v>27.4</v>
      </c>
      <c r="X32" s="12">
        <v>24.2</v>
      </c>
      <c r="Y32" s="12">
        <v>34.799999999999997</v>
      </c>
      <c r="Z32" s="12">
        <v>44.6</v>
      </c>
      <c r="AA32" s="12">
        <v>41.4</v>
      </c>
      <c r="AB32" s="12">
        <v>37.799999999999997</v>
      </c>
      <c r="AC32" s="12">
        <v>59.2</v>
      </c>
      <c r="AD32" s="12">
        <v>34.6</v>
      </c>
      <c r="AE32" s="12">
        <v>46.2</v>
      </c>
      <c r="AF32" s="12">
        <v>34.200000000000003</v>
      </c>
      <c r="AG32" s="12" t="s">
        <v>44</v>
      </c>
      <c r="AH32" s="12">
        <f t="shared" si="6"/>
        <v>128.4</v>
      </c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1" x14ac:dyDescent="0.25">
      <c r="A33" s="8" t="s">
        <v>71</v>
      </c>
      <c r="B33" s="8" t="s">
        <v>34</v>
      </c>
      <c r="C33" s="8"/>
      <c r="D33" s="8"/>
      <c r="E33" s="8"/>
      <c r="F33" s="8"/>
      <c r="G33" s="9">
        <v>0</v>
      </c>
      <c r="H33" s="8">
        <v>45</v>
      </c>
      <c r="I33" s="8" t="s">
        <v>35</v>
      </c>
      <c r="J33" s="8"/>
      <c r="K33" s="8"/>
      <c r="L33" s="8">
        <f t="shared" si="2"/>
        <v>0</v>
      </c>
      <c r="M33" s="8"/>
      <c r="N33" s="8"/>
      <c r="O33" s="8">
        <v>0</v>
      </c>
      <c r="P33" s="8">
        <f t="shared" si="3"/>
        <v>0</v>
      </c>
      <c r="Q33" s="10"/>
      <c r="R33" s="4">
        <f t="shared" si="8"/>
        <v>0</v>
      </c>
      <c r="S33" s="16"/>
      <c r="T33" s="16"/>
      <c r="U33" s="12" t="e">
        <f t="shared" si="5"/>
        <v>#DIV/0!</v>
      </c>
      <c r="V33" s="8" t="e">
        <f t="shared" si="4"/>
        <v>#DIV/0!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 t="s">
        <v>72</v>
      </c>
      <c r="AH33" s="12">
        <f t="shared" si="6"/>
        <v>0</v>
      </c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1" x14ac:dyDescent="0.25">
      <c r="A34" s="8" t="s">
        <v>73</v>
      </c>
      <c r="B34" s="8" t="s">
        <v>34</v>
      </c>
      <c r="C34" s="8">
        <v>-104</v>
      </c>
      <c r="D34" s="8"/>
      <c r="E34" s="8"/>
      <c r="F34" s="13">
        <v>-104</v>
      </c>
      <c r="G34" s="9">
        <v>0</v>
      </c>
      <c r="H34" s="8">
        <v>60</v>
      </c>
      <c r="I34" s="8" t="s">
        <v>52</v>
      </c>
      <c r="J34" s="8" t="s">
        <v>74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4">
        <f t="shared" si="8"/>
        <v>0</v>
      </c>
      <c r="S34" s="16"/>
      <c r="T34" s="16"/>
      <c r="U34" s="12" t="e">
        <f t="shared" si="5"/>
        <v>#DIV/0!</v>
      </c>
      <c r="V34" s="8" t="e">
        <f t="shared" si="4"/>
        <v>#DIV/0!</v>
      </c>
      <c r="W34" s="8">
        <v>0</v>
      </c>
      <c r="X34" s="8">
        <v>20.8</v>
      </c>
      <c r="Y34" s="8">
        <v>0</v>
      </c>
      <c r="Z34" s="8">
        <v>0</v>
      </c>
      <c r="AA34" s="8">
        <v>31.8</v>
      </c>
      <c r="AB34" s="8">
        <v>36</v>
      </c>
      <c r="AC34" s="8">
        <v>78.599999999999994</v>
      </c>
      <c r="AD34" s="8">
        <v>62.2</v>
      </c>
      <c r="AE34" s="8">
        <v>54.6</v>
      </c>
      <c r="AF34" s="8">
        <v>20.8</v>
      </c>
      <c r="AG34" s="8" t="s">
        <v>75</v>
      </c>
      <c r="AH34" s="12">
        <f t="shared" si="6"/>
        <v>0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51" x14ac:dyDescent="0.25">
      <c r="A35" s="8" t="s">
        <v>76</v>
      </c>
      <c r="B35" s="8" t="s">
        <v>34</v>
      </c>
      <c r="C35" s="8">
        <v>19</v>
      </c>
      <c r="D35" s="8">
        <v>145</v>
      </c>
      <c r="E35" s="13">
        <v>46</v>
      </c>
      <c r="F35" s="13">
        <v>-1</v>
      </c>
      <c r="G35" s="9">
        <v>0</v>
      </c>
      <c r="H35" s="8">
        <v>60</v>
      </c>
      <c r="I35" s="8" t="s">
        <v>52</v>
      </c>
      <c r="J35" s="8" t="s">
        <v>53</v>
      </c>
      <c r="K35" s="8">
        <v>85</v>
      </c>
      <c r="L35" s="8">
        <f t="shared" si="2"/>
        <v>-39</v>
      </c>
      <c r="M35" s="8"/>
      <c r="N35" s="8"/>
      <c r="O35" s="8">
        <v>0</v>
      </c>
      <c r="P35" s="8">
        <f t="shared" si="3"/>
        <v>9.1999999999999993</v>
      </c>
      <c r="Q35" s="10"/>
      <c r="R35" s="4">
        <f t="shared" si="8"/>
        <v>0</v>
      </c>
      <c r="S35" s="16"/>
      <c r="T35" s="16"/>
      <c r="U35" s="12">
        <f t="shared" si="5"/>
        <v>-0.10869565217391305</v>
      </c>
      <c r="V35" s="8">
        <f t="shared" si="4"/>
        <v>-0.10869565217391305</v>
      </c>
      <c r="W35" s="8">
        <v>45.4</v>
      </c>
      <c r="X35" s="8">
        <v>40.6</v>
      </c>
      <c r="Y35" s="8">
        <v>28.2</v>
      </c>
      <c r="Z35" s="8">
        <v>64</v>
      </c>
      <c r="AA35" s="8">
        <v>40.200000000000003</v>
      </c>
      <c r="AB35" s="8">
        <v>52.8</v>
      </c>
      <c r="AC35" s="8">
        <v>55.8</v>
      </c>
      <c r="AD35" s="8">
        <v>66.599999999999994</v>
      </c>
      <c r="AE35" s="8">
        <v>54.6</v>
      </c>
      <c r="AF35" s="8">
        <v>49.4</v>
      </c>
      <c r="AG35" s="8" t="s">
        <v>77</v>
      </c>
      <c r="AH35" s="12">
        <f t="shared" si="6"/>
        <v>0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1:51" x14ac:dyDescent="0.25">
      <c r="A36" s="12" t="s">
        <v>78</v>
      </c>
      <c r="B36" s="12" t="s">
        <v>34</v>
      </c>
      <c r="C36" s="12">
        <v>18</v>
      </c>
      <c r="D36" s="12">
        <v>199</v>
      </c>
      <c r="E36" s="12">
        <v>112</v>
      </c>
      <c r="F36" s="12">
        <v>79</v>
      </c>
      <c r="G36" s="6">
        <v>0.3</v>
      </c>
      <c r="H36" s="12">
        <v>45</v>
      </c>
      <c r="I36" s="12" t="s">
        <v>35</v>
      </c>
      <c r="J36" s="12"/>
      <c r="K36" s="12">
        <v>161</v>
      </c>
      <c r="L36" s="12">
        <f t="shared" si="2"/>
        <v>-49</v>
      </c>
      <c r="M36" s="12"/>
      <c r="N36" s="12"/>
      <c r="O36" s="12">
        <v>337</v>
      </c>
      <c r="P36" s="12">
        <f t="shared" si="3"/>
        <v>22.4</v>
      </c>
      <c r="Q36" s="4"/>
      <c r="R36" s="4">
        <f t="shared" si="8"/>
        <v>0</v>
      </c>
      <c r="S36" s="16"/>
      <c r="T36" s="16"/>
      <c r="U36" s="12">
        <f t="shared" si="5"/>
        <v>18.571428571428573</v>
      </c>
      <c r="V36" s="12">
        <f t="shared" si="4"/>
        <v>18.571428571428573</v>
      </c>
      <c r="W36" s="12">
        <v>36</v>
      </c>
      <c r="X36" s="12">
        <v>27.2</v>
      </c>
      <c r="Y36" s="12">
        <v>20.2</v>
      </c>
      <c r="Z36" s="12">
        <v>26.8</v>
      </c>
      <c r="AA36" s="12">
        <v>20.399999999999999</v>
      </c>
      <c r="AB36" s="12">
        <v>27</v>
      </c>
      <c r="AC36" s="12">
        <v>11.8</v>
      </c>
      <c r="AD36" s="12">
        <v>16</v>
      </c>
      <c r="AE36" s="12">
        <v>33.200000000000003</v>
      </c>
      <c r="AF36" s="12">
        <v>17.600000000000001</v>
      </c>
      <c r="AG36" s="12"/>
      <c r="AH36" s="12">
        <f t="shared" si="6"/>
        <v>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1" x14ac:dyDescent="0.25">
      <c r="A37" s="12" t="s">
        <v>79</v>
      </c>
      <c r="B37" s="12" t="s">
        <v>37</v>
      </c>
      <c r="C37" s="12">
        <v>95.698999999999998</v>
      </c>
      <c r="D37" s="12">
        <v>48.704999999999998</v>
      </c>
      <c r="E37" s="12">
        <v>99.206000000000003</v>
      </c>
      <c r="F37" s="12">
        <v>24.966000000000001</v>
      </c>
      <c r="G37" s="6">
        <v>1</v>
      </c>
      <c r="H37" s="12">
        <v>60</v>
      </c>
      <c r="I37" s="12" t="s">
        <v>35</v>
      </c>
      <c r="J37" s="12"/>
      <c r="K37" s="12">
        <v>102.1</v>
      </c>
      <c r="L37" s="12">
        <f t="shared" si="2"/>
        <v>-2.8939999999999912</v>
      </c>
      <c r="M37" s="12"/>
      <c r="N37" s="12"/>
      <c r="O37" s="12">
        <v>185</v>
      </c>
      <c r="P37" s="12">
        <f t="shared" si="3"/>
        <v>19.841200000000001</v>
      </c>
      <c r="Q37" s="4">
        <f t="shared" ref="Q37:Q52" si="11">15*P37-O37-F37</f>
        <v>87.651999999999987</v>
      </c>
      <c r="R37" s="4">
        <f t="shared" si="8"/>
        <v>88</v>
      </c>
      <c r="S37" s="16"/>
      <c r="T37" s="16"/>
      <c r="U37" s="12">
        <f t="shared" si="5"/>
        <v>15.017539261738202</v>
      </c>
      <c r="V37" s="12">
        <f t="shared" si="4"/>
        <v>10.582323649779248</v>
      </c>
      <c r="W37" s="12">
        <v>21.473199999999999</v>
      </c>
      <c r="X37" s="12">
        <v>16.648800000000001</v>
      </c>
      <c r="Y37" s="12">
        <v>18.3598</v>
      </c>
      <c r="Z37" s="12">
        <v>19.619599999999998</v>
      </c>
      <c r="AA37" s="12">
        <v>17.6358</v>
      </c>
      <c r="AB37" s="12">
        <v>18.295000000000002</v>
      </c>
      <c r="AC37" s="12">
        <v>17.577000000000002</v>
      </c>
      <c r="AD37" s="12">
        <v>25.6296</v>
      </c>
      <c r="AE37" s="12">
        <v>19.367000000000001</v>
      </c>
      <c r="AF37" s="12">
        <v>17.390799999999999</v>
      </c>
      <c r="AG37" s="12"/>
      <c r="AH37" s="12">
        <f t="shared" si="6"/>
        <v>88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1:51" x14ac:dyDescent="0.25">
      <c r="A38" s="12" t="s">
        <v>80</v>
      </c>
      <c r="B38" s="12" t="s">
        <v>37</v>
      </c>
      <c r="C38" s="12">
        <v>143.77799999999999</v>
      </c>
      <c r="D38" s="12"/>
      <c r="E38" s="12">
        <v>77.474000000000004</v>
      </c>
      <c r="F38" s="12">
        <v>54.777000000000001</v>
      </c>
      <c r="G38" s="6">
        <v>1</v>
      </c>
      <c r="H38" s="12">
        <v>45</v>
      </c>
      <c r="I38" s="12" t="s">
        <v>35</v>
      </c>
      <c r="J38" s="12"/>
      <c r="K38" s="12">
        <v>80.099999999999994</v>
      </c>
      <c r="L38" s="12">
        <f t="shared" ref="L38:L69" si="12">E38-K38</f>
        <v>-2.6259999999999906</v>
      </c>
      <c r="M38" s="12"/>
      <c r="N38" s="12"/>
      <c r="O38" s="12">
        <v>145</v>
      </c>
      <c r="P38" s="12">
        <f t="shared" ref="P38:P69" si="13">E38/5</f>
        <v>15.494800000000001</v>
      </c>
      <c r="Q38" s="4">
        <f t="shared" si="11"/>
        <v>32.645000000000024</v>
      </c>
      <c r="R38" s="4">
        <f t="shared" si="8"/>
        <v>33</v>
      </c>
      <c r="S38" s="16"/>
      <c r="T38" s="16"/>
      <c r="U38" s="12">
        <f t="shared" si="5"/>
        <v>15.022910912047911</v>
      </c>
      <c r="V38" s="12">
        <f t="shared" ref="V38:V69" si="14">(F38+O38)/P38</f>
        <v>12.893164158298266</v>
      </c>
      <c r="W38" s="12">
        <v>17.491800000000001</v>
      </c>
      <c r="X38" s="12">
        <v>8.7322000000000006</v>
      </c>
      <c r="Y38" s="12">
        <v>19.025200000000002</v>
      </c>
      <c r="Z38" s="12">
        <v>11.681800000000001</v>
      </c>
      <c r="AA38" s="12">
        <v>9.6796000000000006</v>
      </c>
      <c r="AB38" s="12">
        <v>10.3604</v>
      </c>
      <c r="AC38" s="12">
        <v>23.97</v>
      </c>
      <c r="AD38" s="12">
        <v>23.713999999999999</v>
      </c>
      <c r="AE38" s="12">
        <v>19.515799999999999</v>
      </c>
      <c r="AF38" s="12">
        <v>14.1944</v>
      </c>
      <c r="AG38" s="12"/>
      <c r="AH38" s="12">
        <f t="shared" si="6"/>
        <v>33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1:51" x14ac:dyDescent="0.25">
      <c r="A39" s="12" t="s">
        <v>81</v>
      </c>
      <c r="B39" s="12" t="s">
        <v>37</v>
      </c>
      <c r="C39" s="12">
        <v>114.01</v>
      </c>
      <c r="D39" s="12">
        <v>37.564</v>
      </c>
      <c r="E39" s="12">
        <v>101.82</v>
      </c>
      <c r="F39" s="12">
        <v>29.884</v>
      </c>
      <c r="G39" s="6">
        <v>1</v>
      </c>
      <c r="H39" s="12">
        <v>45</v>
      </c>
      <c r="I39" s="12" t="s">
        <v>35</v>
      </c>
      <c r="J39" s="12"/>
      <c r="K39" s="12">
        <v>106.7</v>
      </c>
      <c r="L39" s="12">
        <f t="shared" si="12"/>
        <v>-4.8800000000000097</v>
      </c>
      <c r="M39" s="12"/>
      <c r="N39" s="12"/>
      <c r="O39" s="12">
        <v>236</v>
      </c>
      <c r="P39" s="12">
        <f t="shared" si="13"/>
        <v>20.363999999999997</v>
      </c>
      <c r="Q39" s="4">
        <f t="shared" si="11"/>
        <v>39.575999999999979</v>
      </c>
      <c r="R39" s="4">
        <f t="shared" si="8"/>
        <v>40</v>
      </c>
      <c r="S39" s="16"/>
      <c r="T39" s="16"/>
      <c r="U39" s="12">
        <f t="shared" si="5"/>
        <v>15.020821056766847</v>
      </c>
      <c r="V39" s="12">
        <f t="shared" si="14"/>
        <v>13.056570418385389</v>
      </c>
      <c r="W39" s="12">
        <v>26.2212</v>
      </c>
      <c r="X39" s="12">
        <v>18.284400000000002</v>
      </c>
      <c r="Y39" s="12">
        <v>23.627800000000001</v>
      </c>
      <c r="Z39" s="12">
        <v>16.767800000000001</v>
      </c>
      <c r="AA39" s="12">
        <v>13.041600000000001</v>
      </c>
      <c r="AB39" s="12">
        <v>26.402999999999999</v>
      </c>
      <c r="AC39" s="12">
        <v>21.489599999999999</v>
      </c>
      <c r="AD39" s="12">
        <v>29.615600000000001</v>
      </c>
      <c r="AE39" s="12">
        <v>34.425600000000003</v>
      </c>
      <c r="AF39" s="12">
        <v>21.269600000000001</v>
      </c>
      <c r="AG39" s="12"/>
      <c r="AH39" s="12">
        <f t="shared" si="6"/>
        <v>40</v>
      </c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spans="1:51" x14ac:dyDescent="0.25">
      <c r="A40" s="14" t="s">
        <v>82</v>
      </c>
      <c r="B40" s="12" t="s">
        <v>34</v>
      </c>
      <c r="C40" s="12"/>
      <c r="D40" s="12"/>
      <c r="E40" s="12"/>
      <c r="F40" s="12"/>
      <c r="G40" s="6">
        <v>0.35</v>
      </c>
      <c r="H40" s="12"/>
      <c r="I40" s="12" t="s">
        <v>83</v>
      </c>
      <c r="J40" s="12"/>
      <c r="K40" s="12"/>
      <c r="L40" s="12">
        <f t="shared" si="12"/>
        <v>0</v>
      </c>
      <c r="M40" s="12"/>
      <c r="N40" s="12"/>
      <c r="O40" s="12">
        <v>0</v>
      </c>
      <c r="P40" s="12">
        <f t="shared" si="13"/>
        <v>0</v>
      </c>
      <c r="Q40" s="4">
        <v>300</v>
      </c>
      <c r="R40" s="4">
        <f t="shared" si="8"/>
        <v>300</v>
      </c>
      <c r="S40" s="16"/>
      <c r="T40" s="16"/>
      <c r="U40" s="12" t="e">
        <f t="shared" si="5"/>
        <v>#DIV/0!</v>
      </c>
      <c r="V40" s="12" t="e">
        <f t="shared" si="14"/>
        <v>#DIV/0!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 t="s">
        <v>84</v>
      </c>
      <c r="AH40" s="12">
        <f t="shared" si="6"/>
        <v>105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1:51" x14ac:dyDescent="0.25">
      <c r="A41" s="12" t="s">
        <v>85</v>
      </c>
      <c r="B41" s="12" t="s">
        <v>37</v>
      </c>
      <c r="C41" s="12">
        <v>279.83999999999997</v>
      </c>
      <c r="D41" s="12"/>
      <c r="E41" s="12">
        <v>135.822</v>
      </c>
      <c r="F41" s="12">
        <v>126.792</v>
      </c>
      <c r="G41" s="6">
        <v>1</v>
      </c>
      <c r="H41" s="12">
        <v>45</v>
      </c>
      <c r="I41" s="12" t="s">
        <v>35</v>
      </c>
      <c r="J41" s="12"/>
      <c r="K41" s="12">
        <v>143.30000000000001</v>
      </c>
      <c r="L41" s="12">
        <f t="shared" si="12"/>
        <v>-7.4780000000000086</v>
      </c>
      <c r="M41" s="12"/>
      <c r="N41" s="12"/>
      <c r="O41" s="12">
        <v>350</v>
      </c>
      <c r="P41" s="12">
        <f t="shared" si="13"/>
        <v>27.164400000000001</v>
      </c>
      <c r="Q41" s="4"/>
      <c r="R41" s="4">
        <f t="shared" si="8"/>
        <v>0</v>
      </c>
      <c r="S41" s="16"/>
      <c r="T41" s="16"/>
      <c r="U41" s="12">
        <f t="shared" si="5"/>
        <v>17.552090235749731</v>
      </c>
      <c r="V41" s="12">
        <f t="shared" si="14"/>
        <v>17.552090235749731</v>
      </c>
      <c r="W41" s="12">
        <v>49.6982</v>
      </c>
      <c r="X41" s="12">
        <v>26.753799999999998</v>
      </c>
      <c r="Y41" s="12">
        <v>42.905999999999999</v>
      </c>
      <c r="Z41" s="12">
        <v>40.457599999999999</v>
      </c>
      <c r="AA41" s="12">
        <v>38.383400000000002</v>
      </c>
      <c r="AB41" s="12">
        <v>37.244999999999997</v>
      </c>
      <c r="AC41" s="12">
        <v>34.216999999999999</v>
      </c>
      <c r="AD41" s="12">
        <v>44.957999999999998</v>
      </c>
      <c r="AE41" s="12">
        <v>38.369199999999999</v>
      </c>
      <c r="AF41" s="12">
        <v>34.367400000000004</v>
      </c>
      <c r="AG41" s="12"/>
      <c r="AH41" s="12">
        <f t="shared" si="6"/>
        <v>0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 spans="1:51" x14ac:dyDescent="0.25">
      <c r="A42" s="12" t="s">
        <v>86</v>
      </c>
      <c r="B42" s="12" t="s">
        <v>34</v>
      </c>
      <c r="C42" s="12">
        <v>96</v>
      </c>
      <c r="D42" s="12">
        <v>616</v>
      </c>
      <c r="E42" s="12">
        <v>242</v>
      </c>
      <c r="F42" s="12">
        <v>440</v>
      </c>
      <c r="G42" s="6">
        <v>0.3</v>
      </c>
      <c r="H42" s="12">
        <v>45</v>
      </c>
      <c r="I42" s="12" t="s">
        <v>35</v>
      </c>
      <c r="J42" s="12"/>
      <c r="K42" s="12">
        <v>263</v>
      </c>
      <c r="L42" s="12">
        <f t="shared" si="12"/>
        <v>-21</v>
      </c>
      <c r="M42" s="12"/>
      <c r="N42" s="12"/>
      <c r="O42" s="12">
        <v>680</v>
      </c>
      <c r="P42" s="12">
        <f t="shared" si="13"/>
        <v>48.4</v>
      </c>
      <c r="Q42" s="4"/>
      <c r="R42" s="4">
        <f t="shared" si="8"/>
        <v>0</v>
      </c>
      <c r="S42" s="16"/>
      <c r="T42" s="16"/>
      <c r="U42" s="12">
        <f t="shared" si="5"/>
        <v>23.140495867768596</v>
      </c>
      <c r="V42" s="12">
        <f t="shared" si="14"/>
        <v>23.140495867768596</v>
      </c>
      <c r="W42" s="12">
        <v>70.2</v>
      </c>
      <c r="X42" s="12">
        <v>69.8</v>
      </c>
      <c r="Y42" s="12">
        <v>41.6</v>
      </c>
      <c r="Z42" s="12">
        <v>43.2</v>
      </c>
      <c r="AA42" s="12">
        <v>18.8</v>
      </c>
      <c r="AB42" s="12">
        <v>58</v>
      </c>
      <c r="AC42" s="12">
        <v>42.8</v>
      </c>
      <c r="AD42" s="12">
        <v>21.2</v>
      </c>
      <c r="AE42" s="12">
        <v>22.8</v>
      </c>
      <c r="AF42" s="12">
        <v>28</v>
      </c>
      <c r="AG42" s="12"/>
      <c r="AH42" s="12">
        <f t="shared" si="6"/>
        <v>0</v>
      </c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1:51" x14ac:dyDescent="0.25">
      <c r="A43" s="12" t="s">
        <v>87</v>
      </c>
      <c r="B43" s="12" t="s">
        <v>37</v>
      </c>
      <c r="C43" s="12">
        <v>19.074000000000002</v>
      </c>
      <c r="D43" s="12">
        <v>103.17</v>
      </c>
      <c r="E43" s="12">
        <v>131.29599999999999</v>
      </c>
      <c r="F43" s="12">
        <v>-10.231999999999999</v>
      </c>
      <c r="G43" s="6">
        <v>1</v>
      </c>
      <c r="H43" s="12">
        <v>30</v>
      </c>
      <c r="I43" s="12" t="s">
        <v>35</v>
      </c>
      <c r="J43" s="12"/>
      <c r="K43" s="12">
        <v>128.352</v>
      </c>
      <c r="L43" s="12">
        <f t="shared" si="12"/>
        <v>2.9439999999999884</v>
      </c>
      <c r="M43" s="12"/>
      <c r="N43" s="12"/>
      <c r="O43" s="12">
        <v>265</v>
      </c>
      <c r="P43" s="12">
        <f t="shared" si="13"/>
        <v>26.2592</v>
      </c>
      <c r="Q43" s="4">
        <f t="shared" si="11"/>
        <v>139.11999999999998</v>
      </c>
      <c r="R43" s="4">
        <f t="shared" si="8"/>
        <v>139</v>
      </c>
      <c r="S43" s="16"/>
      <c r="T43" s="16"/>
      <c r="U43" s="12">
        <f t="shared" si="5"/>
        <v>14.995430173044115</v>
      </c>
      <c r="V43" s="12">
        <f t="shared" si="14"/>
        <v>9.7020472824762365</v>
      </c>
      <c r="W43" s="12">
        <v>36.895600000000002</v>
      </c>
      <c r="X43" s="12">
        <v>16.045200000000001</v>
      </c>
      <c r="Y43" s="12">
        <v>14.3528</v>
      </c>
      <c r="Z43" s="12">
        <v>22.1236</v>
      </c>
      <c r="AA43" s="12">
        <v>20.263999999999999</v>
      </c>
      <c r="AB43" s="12">
        <v>18.549600000000002</v>
      </c>
      <c r="AC43" s="12">
        <v>16.238800000000001</v>
      </c>
      <c r="AD43" s="12">
        <v>13.000400000000001</v>
      </c>
      <c r="AE43" s="12">
        <v>23.759599999999999</v>
      </c>
      <c r="AF43" s="12">
        <v>5.3927999999999994</v>
      </c>
      <c r="AG43" s="12"/>
      <c r="AH43" s="12">
        <f t="shared" si="6"/>
        <v>139</v>
      </c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1:51" x14ac:dyDescent="0.25">
      <c r="A44" s="12" t="s">
        <v>88</v>
      </c>
      <c r="B44" s="12" t="s">
        <v>37</v>
      </c>
      <c r="C44" s="12">
        <v>251.07400000000001</v>
      </c>
      <c r="D44" s="12">
        <v>129.98599999999999</v>
      </c>
      <c r="E44" s="12">
        <v>331.89</v>
      </c>
      <c r="F44" s="12">
        <v>-1.742</v>
      </c>
      <c r="G44" s="6">
        <v>1</v>
      </c>
      <c r="H44" s="12">
        <v>45</v>
      </c>
      <c r="I44" s="12" t="s">
        <v>35</v>
      </c>
      <c r="J44" s="12"/>
      <c r="K44" s="12">
        <v>326.89999999999998</v>
      </c>
      <c r="L44" s="12">
        <f t="shared" si="12"/>
        <v>4.9900000000000091</v>
      </c>
      <c r="M44" s="12"/>
      <c r="N44" s="12"/>
      <c r="O44" s="12">
        <v>474</v>
      </c>
      <c r="P44" s="12">
        <f t="shared" si="13"/>
        <v>66.378</v>
      </c>
      <c r="Q44" s="4">
        <f t="shared" si="11"/>
        <v>523.41199999999992</v>
      </c>
      <c r="R44" s="4">
        <f t="shared" si="8"/>
        <v>523</v>
      </c>
      <c r="S44" s="16"/>
      <c r="T44" s="16"/>
      <c r="U44" s="12">
        <f t="shared" si="5"/>
        <v>14.993793124227908</v>
      </c>
      <c r="V44" s="12">
        <f t="shared" si="14"/>
        <v>7.1146765494591575</v>
      </c>
      <c r="W44" s="12">
        <v>55.039200000000008</v>
      </c>
      <c r="X44" s="12">
        <v>42.236199999999997</v>
      </c>
      <c r="Y44" s="12">
        <v>44.667000000000002</v>
      </c>
      <c r="Z44" s="12">
        <v>51.484200000000001</v>
      </c>
      <c r="AA44" s="12">
        <v>34.043199999999999</v>
      </c>
      <c r="AB44" s="12">
        <v>46.182600000000001</v>
      </c>
      <c r="AC44" s="12">
        <v>36.746600000000001</v>
      </c>
      <c r="AD44" s="12">
        <v>52.787799999999997</v>
      </c>
      <c r="AE44" s="12">
        <v>34.78</v>
      </c>
      <c r="AF44" s="12">
        <v>33.724800000000002</v>
      </c>
      <c r="AG44" s="12"/>
      <c r="AH44" s="12">
        <f t="shared" si="6"/>
        <v>523</v>
      </c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1:51" x14ac:dyDescent="0.25">
      <c r="A45" s="12" t="s">
        <v>89</v>
      </c>
      <c r="B45" s="12" t="s">
        <v>34</v>
      </c>
      <c r="C45" s="12">
        <v>246</v>
      </c>
      <c r="D45" s="12">
        <v>88</v>
      </c>
      <c r="E45" s="12">
        <v>315</v>
      </c>
      <c r="F45" s="12">
        <v>-1</v>
      </c>
      <c r="G45" s="6">
        <v>0.35</v>
      </c>
      <c r="H45" s="12">
        <v>45</v>
      </c>
      <c r="I45" s="12" t="s">
        <v>35</v>
      </c>
      <c r="J45" s="12"/>
      <c r="K45" s="12">
        <v>332</v>
      </c>
      <c r="L45" s="12">
        <f t="shared" si="12"/>
        <v>-17</v>
      </c>
      <c r="M45" s="12"/>
      <c r="N45" s="12"/>
      <c r="O45" s="12">
        <v>868</v>
      </c>
      <c r="P45" s="12">
        <f t="shared" si="13"/>
        <v>63</v>
      </c>
      <c r="Q45" s="4">
        <f t="shared" si="11"/>
        <v>78</v>
      </c>
      <c r="R45" s="4">
        <f t="shared" si="8"/>
        <v>78</v>
      </c>
      <c r="S45" s="16"/>
      <c r="T45" s="16"/>
      <c r="U45" s="12">
        <f t="shared" si="5"/>
        <v>15</v>
      </c>
      <c r="V45" s="12">
        <f t="shared" si="14"/>
        <v>13.761904761904763</v>
      </c>
      <c r="W45" s="12">
        <v>93.8</v>
      </c>
      <c r="X45" s="12">
        <v>49.2</v>
      </c>
      <c r="Y45" s="12">
        <v>60.4</v>
      </c>
      <c r="Z45" s="12">
        <v>73</v>
      </c>
      <c r="AA45" s="12">
        <v>57.2</v>
      </c>
      <c r="AB45" s="12">
        <v>63.4</v>
      </c>
      <c r="AC45" s="12">
        <v>62.2</v>
      </c>
      <c r="AD45" s="12">
        <v>65.8</v>
      </c>
      <c r="AE45" s="12">
        <v>59.4</v>
      </c>
      <c r="AF45" s="12">
        <v>66.400000000000006</v>
      </c>
      <c r="AG45" s="12"/>
      <c r="AH45" s="12">
        <f t="shared" si="6"/>
        <v>27.299999999999997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1:51" x14ac:dyDescent="0.25">
      <c r="A46" s="12" t="s">
        <v>90</v>
      </c>
      <c r="B46" s="12" t="s">
        <v>34</v>
      </c>
      <c r="C46" s="12">
        <v>113</v>
      </c>
      <c r="D46" s="12">
        <v>432</v>
      </c>
      <c r="E46" s="12">
        <v>297</v>
      </c>
      <c r="F46" s="12">
        <v>200</v>
      </c>
      <c r="G46" s="6">
        <v>0.41</v>
      </c>
      <c r="H46" s="12">
        <v>45</v>
      </c>
      <c r="I46" s="12" t="s">
        <v>35</v>
      </c>
      <c r="J46" s="12"/>
      <c r="K46" s="12">
        <v>325</v>
      </c>
      <c r="L46" s="12">
        <f t="shared" si="12"/>
        <v>-28</v>
      </c>
      <c r="M46" s="12"/>
      <c r="N46" s="12"/>
      <c r="O46" s="12">
        <v>350</v>
      </c>
      <c r="P46" s="12">
        <f t="shared" si="13"/>
        <v>59.4</v>
      </c>
      <c r="Q46" s="4">
        <f t="shared" si="11"/>
        <v>341</v>
      </c>
      <c r="R46" s="4">
        <f t="shared" si="8"/>
        <v>341</v>
      </c>
      <c r="S46" s="16"/>
      <c r="T46" s="16"/>
      <c r="U46" s="12">
        <f t="shared" si="5"/>
        <v>15</v>
      </c>
      <c r="V46" s="12">
        <f t="shared" si="14"/>
        <v>9.2592592592592595</v>
      </c>
      <c r="W46" s="12">
        <v>44.8</v>
      </c>
      <c r="X46" s="12">
        <v>56</v>
      </c>
      <c r="Y46" s="12">
        <v>48.8</v>
      </c>
      <c r="Z46" s="12">
        <v>61</v>
      </c>
      <c r="AA46" s="12">
        <v>55.8</v>
      </c>
      <c r="AB46" s="12">
        <v>52.6</v>
      </c>
      <c r="AC46" s="12">
        <v>57.2</v>
      </c>
      <c r="AD46" s="12">
        <v>41.4</v>
      </c>
      <c r="AE46" s="12">
        <v>37.6</v>
      </c>
      <c r="AF46" s="12">
        <v>6.2</v>
      </c>
      <c r="AG46" s="12" t="s">
        <v>91</v>
      </c>
      <c r="AH46" s="12">
        <f t="shared" si="6"/>
        <v>139.81</v>
      </c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1:51" x14ac:dyDescent="0.25">
      <c r="A47" s="12" t="s">
        <v>92</v>
      </c>
      <c r="B47" s="12" t="s">
        <v>34</v>
      </c>
      <c r="C47" s="12">
        <v>211</v>
      </c>
      <c r="D47" s="12">
        <v>50</v>
      </c>
      <c r="E47" s="12">
        <v>171</v>
      </c>
      <c r="F47" s="12">
        <v>54</v>
      </c>
      <c r="G47" s="6">
        <v>0.41</v>
      </c>
      <c r="H47" s="12">
        <v>45</v>
      </c>
      <c r="I47" s="12" t="s">
        <v>35</v>
      </c>
      <c r="J47" s="12"/>
      <c r="K47" s="12">
        <v>181</v>
      </c>
      <c r="L47" s="12">
        <f t="shared" si="12"/>
        <v>-10</v>
      </c>
      <c r="M47" s="12"/>
      <c r="N47" s="12"/>
      <c r="O47" s="12">
        <v>354</v>
      </c>
      <c r="P47" s="12">
        <f t="shared" si="13"/>
        <v>34.200000000000003</v>
      </c>
      <c r="Q47" s="4">
        <f t="shared" si="11"/>
        <v>105</v>
      </c>
      <c r="R47" s="4">
        <f t="shared" si="8"/>
        <v>105</v>
      </c>
      <c r="S47" s="16"/>
      <c r="T47" s="16"/>
      <c r="U47" s="12">
        <f t="shared" si="5"/>
        <v>14.999999999999998</v>
      </c>
      <c r="V47" s="12">
        <f t="shared" si="14"/>
        <v>11.929824561403509</v>
      </c>
      <c r="W47" s="12">
        <v>40.6</v>
      </c>
      <c r="X47" s="12">
        <v>30.6</v>
      </c>
      <c r="Y47" s="12">
        <v>36.200000000000003</v>
      </c>
      <c r="Z47" s="12">
        <v>42.6</v>
      </c>
      <c r="AA47" s="12">
        <v>41.4</v>
      </c>
      <c r="AB47" s="12">
        <v>27.4</v>
      </c>
      <c r="AC47" s="12">
        <v>42.4</v>
      </c>
      <c r="AD47" s="12">
        <v>35.799999999999997</v>
      </c>
      <c r="AE47" s="12">
        <v>25.4</v>
      </c>
      <c r="AF47" s="12">
        <v>22.2</v>
      </c>
      <c r="AG47" s="12"/>
      <c r="AH47" s="12">
        <f t="shared" si="6"/>
        <v>43.05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 x14ac:dyDescent="0.25">
      <c r="A48" s="12" t="s">
        <v>93</v>
      </c>
      <c r="B48" s="12" t="s">
        <v>34</v>
      </c>
      <c r="C48" s="12">
        <v>4</v>
      </c>
      <c r="D48" s="12">
        <v>468</v>
      </c>
      <c r="E48" s="12">
        <v>116</v>
      </c>
      <c r="F48" s="12">
        <v>342</v>
      </c>
      <c r="G48" s="6">
        <v>0.36</v>
      </c>
      <c r="H48" s="12">
        <v>45</v>
      </c>
      <c r="I48" s="12" t="s">
        <v>35</v>
      </c>
      <c r="J48" s="12"/>
      <c r="K48" s="12">
        <v>311</v>
      </c>
      <c r="L48" s="12">
        <f t="shared" si="12"/>
        <v>-195</v>
      </c>
      <c r="M48" s="12"/>
      <c r="N48" s="12"/>
      <c r="O48" s="12">
        <v>600</v>
      </c>
      <c r="P48" s="12">
        <f t="shared" si="13"/>
        <v>23.2</v>
      </c>
      <c r="Q48" s="4"/>
      <c r="R48" s="4">
        <f t="shared" si="8"/>
        <v>0</v>
      </c>
      <c r="S48" s="16"/>
      <c r="T48" s="16"/>
      <c r="U48" s="12">
        <f t="shared" si="5"/>
        <v>40.603448275862071</v>
      </c>
      <c r="V48" s="12">
        <f t="shared" si="14"/>
        <v>40.603448275862071</v>
      </c>
      <c r="W48" s="12">
        <v>54.2</v>
      </c>
      <c r="X48" s="12">
        <v>49</v>
      </c>
      <c r="Y48" s="12">
        <v>25.4</v>
      </c>
      <c r="Z48" s="12">
        <v>43.4</v>
      </c>
      <c r="AA48" s="12">
        <v>59</v>
      </c>
      <c r="AB48" s="12">
        <v>28.8</v>
      </c>
      <c r="AC48" s="12">
        <v>43.8</v>
      </c>
      <c r="AD48" s="12">
        <v>41.6</v>
      </c>
      <c r="AE48" s="12">
        <v>39.200000000000003</v>
      </c>
      <c r="AF48" s="12">
        <v>2.6</v>
      </c>
      <c r="AG48" s="12" t="s">
        <v>44</v>
      </c>
      <c r="AH48" s="12">
        <f t="shared" si="6"/>
        <v>0</v>
      </c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51" x14ac:dyDescent="0.25">
      <c r="A49" s="12" t="s">
        <v>94</v>
      </c>
      <c r="B49" s="12" t="s">
        <v>34</v>
      </c>
      <c r="C49" s="12">
        <v>83</v>
      </c>
      <c r="D49" s="12"/>
      <c r="E49" s="12">
        <v>72</v>
      </c>
      <c r="F49" s="12">
        <v>5</v>
      </c>
      <c r="G49" s="6">
        <v>0.33</v>
      </c>
      <c r="H49" s="12">
        <v>45</v>
      </c>
      <c r="I49" s="12" t="s">
        <v>35</v>
      </c>
      <c r="J49" s="12"/>
      <c r="K49" s="12">
        <v>75</v>
      </c>
      <c r="L49" s="12">
        <f t="shared" si="12"/>
        <v>-3</v>
      </c>
      <c r="M49" s="12"/>
      <c r="N49" s="12"/>
      <c r="O49" s="12">
        <v>73</v>
      </c>
      <c r="P49" s="12">
        <f t="shared" si="13"/>
        <v>14.4</v>
      </c>
      <c r="Q49" s="4">
        <f>13*P49-O49-F49</f>
        <v>109.20000000000002</v>
      </c>
      <c r="R49" s="4">
        <f t="shared" si="8"/>
        <v>109</v>
      </c>
      <c r="S49" s="16"/>
      <c r="T49" s="16"/>
      <c r="U49" s="12">
        <f t="shared" si="5"/>
        <v>12.986111111111111</v>
      </c>
      <c r="V49" s="12">
        <f t="shared" si="14"/>
        <v>5.416666666666667</v>
      </c>
      <c r="W49" s="12">
        <v>9</v>
      </c>
      <c r="X49" s="12">
        <v>5.4</v>
      </c>
      <c r="Y49" s="12">
        <v>11.4</v>
      </c>
      <c r="Z49" s="12">
        <v>12.8</v>
      </c>
      <c r="AA49" s="12">
        <v>17.2</v>
      </c>
      <c r="AB49" s="12">
        <v>11.2</v>
      </c>
      <c r="AC49" s="12">
        <v>12.8</v>
      </c>
      <c r="AD49" s="12">
        <v>16</v>
      </c>
      <c r="AE49" s="12">
        <v>12.6</v>
      </c>
      <c r="AF49" s="12">
        <v>10.199999999999999</v>
      </c>
      <c r="AG49" s="12"/>
      <c r="AH49" s="12">
        <f t="shared" si="6"/>
        <v>35.97</v>
      </c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1:51" x14ac:dyDescent="0.25">
      <c r="A50" s="12" t="s">
        <v>95</v>
      </c>
      <c r="B50" s="12" t="s">
        <v>34</v>
      </c>
      <c r="C50" s="12">
        <v>82</v>
      </c>
      <c r="D50" s="12">
        <v>40</v>
      </c>
      <c r="E50" s="12">
        <v>122</v>
      </c>
      <c r="F50" s="12">
        <v>-1</v>
      </c>
      <c r="G50" s="6">
        <v>0.4</v>
      </c>
      <c r="H50" s="12">
        <v>60</v>
      </c>
      <c r="I50" s="12" t="s">
        <v>35</v>
      </c>
      <c r="J50" s="12"/>
      <c r="K50" s="12">
        <v>124</v>
      </c>
      <c r="L50" s="12">
        <f t="shared" si="12"/>
        <v>-2</v>
      </c>
      <c r="M50" s="12"/>
      <c r="N50" s="12"/>
      <c r="O50" s="12">
        <v>132</v>
      </c>
      <c r="P50" s="12">
        <f t="shared" si="13"/>
        <v>24.4</v>
      </c>
      <c r="Q50" s="4">
        <f>13*P50-O50-F50</f>
        <v>186.2</v>
      </c>
      <c r="R50" s="4">
        <f t="shared" si="8"/>
        <v>186</v>
      </c>
      <c r="S50" s="16"/>
      <c r="T50" s="16"/>
      <c r="U50" s="12">
        <f t="shared" si="5"/>
        <v>12.991803278688526</v>
      </c>
      <c r="V50" s="12">
        <f t="shared" si="14"/>
        <v>5.3688524590163942</v>
      </c>
      <c r="W50" s="12">
        <v>15.2</v>
      </c>
      <c r="X50" s="12">
        <v>13.2</v>
      </c>
      <c r="Y50" s="12">
        <v>14.6</v>
      </c>
      <c r="Z50" s="12">
        <v>18.399999999999999</v>
      </c>
      <c r="AA50" s="12">
        <v>13.4</v>
      </c>
      <c r="AB50" s="12">
        <v>21.4</v>
      </c>
      <c r="AC50" s="12">
        <v>21.6</v>
      </c>
      <c r="AD50" s="12">
        <v>10</v>
      </c>
      <c r="AE50" s="12">
        <v>25</v>
      </c>
      <c r="AF50" s="12">
        <v>35.6</v>
      </c>
      <c r="AG50" s="12"/>
      <c r="AH50" s="12">
        <f t="shared" si="6"/>
        <v>74.400000000000006</v>
      </c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1:51" x14ac:dyDescent="0.25">
      <c r="A51" s="12" t="s">
        <v>96</v>
      </c>
      <c r="B51" s="12" t="s">
        <v>34</v>
      </c>
      <c r="C51" s="12">
        <v>14</v>
      </c>
      <c r="D51" s="12">
        <v>16</v>
      </c>
      <c r="E51" s="12">
        <v>28</v>
      </c>
      <c r="F51" s="12"/>
      <c r="G51" s="6">
        <v>0.33</v>
      </c>
      <c r="H51" s="12">
        <v>45</v>
      </c>
      <c r="I51" s="12" t="s">
        <v>35</v>
      </c>
      <c r="J51" s="12"/>
      <c r="K51" s="12">
        <v>30</v>
      </c>
      <c r="L51" s="12">
        <f t="shared" si="12"/>
        <v>-2</v>
      </c>
      <c r="M51" s="12"/>
      <c r="N51" s="12"/>
      <c r="O51" s="12">
        <v>66</v>
      </c>
      <c r="P51" s="12">
        <f t="shared" si="13"/>
        <v>5.6</v>
      </c>
      <c r="Q51" s="4">
        <f t="shared" si="11"/>
        <v>18</v>
      </c>
      <c r="R51" s="4">
        <f t="shared" si="8"/>
        <v>18</v>
      </c>
      <c r="S51" s="16"/>
      <c r="T51" s="16"/>
      <c r="U51" s="12">
        <f t="shared" si="5"/>
        <v>15.000000000000002</v>
      </c>
      <c r="V51" s="12">
        <f t="shared" si="14"/>
        <v>11.785714285714286</v>
      </c>
      <c r="W51" s="12">
        <v>7</v>
      </c>
      <c r="X51" s="12">
        <v>4.4000000000000004</v>
      </c>
      <c r="Y51" s="12">
        <v>3.2</v>
      </c>
      <c r="Z51" s="12">
        <v>6.8</v>
      </c>
      <c r="AA51" s="12">
        <v>4.5999999999999996</v>
      </c>
      <c r="AB51" s="12">
        <v>5.4</v>
      </c>
      <c r="AC51" s="12">
        <v>8</v>
      </c>
      <c r="AD51" s="12">
        <v>4.5999999999999996</v>
      </c>
      <c r="AE51" s="12">
        <v>8.1999999999999993</v>
      </c>
      <c r="AF51" s="12">
        <v>11</v>
      </c>
      <c r="AG51" s="12"/>
      <c r="AH51" s="12">
        <f t="shared" si="6"/>
        <v>5.94</v>
      </c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1:51" x14ac:dyDescent="0.25">
      <c r="A52" s="12" t="s">
        <v>97</v>
      </c>
      <c r="B52" s="12" t="s">
        <v>37</v>
      </c>
      <c r="C52" s="12">
        <v>486.351</v>
      </c>
      <c r="D52" s="12"/>
      <c r="E52" s="12">
        <v>396.80200000000002</v>
      </c>
      <c r="F52" s="12">
        <v>61.265000000000001</v>
      </c>
      <c r="G52" s="6">
        <v>1</v>
      </c>
      <c r="H52" s="12">
        <v>45</v>
      </c>
      <c r="I52" s="12" t="s">
        <v>35</v>
      </c>
      <c r="J52" s="12"/>
      <c r="K52" s="12">
        <v>369.3</v>
      </c>
      <c r="L52" s="12">
        <f t="shared" si="12"/>
        <v>27.50200000000001</v>
      </c>
      <c r="M52" s="12"/>
      <c r="N52" s="12"/>
      <c r="O52" s="12">
        <v>721</v>
      </c>
      <c r="P52" s="12">
        <f t="shared" si="13"/>
        <v>79.360399999999998</v>
      </c>
      <c r="Q52" s="4">
        <f t="shared" si="11"/>
        <v>408.14099999999996</v>
      </c>
      <c r="R52" s="4">
        <f t="shared" si="8"/>
        <v>408</v>
      </c>
      <c r="S52" s="16"/>
      <c r="T52" s="16"/>
      <c r="U52" s="12">
        <f t="shared" si="5"/>
        <v>14.998223295245486</v>
      </c>
      <c r="V52" s="12">
        <f t="shared" si="14"/>
        <v>9.8571201758055658</v>
      </c>
      <c r="W52" s="12">
        <v>76.403599999999997</v>
      </c>
      <c r="X52" s="12">
        <v>34.4542</v>
      </c>
      <c r="Y52" s="12">
        <v>59.198400000000007</v>
      </c>
      <c r="Z52" s="12">
        <v>63.107399999999998</v>
      </c>
      <c r="AA52" s="12">
        <v>32.2164</v>
      </c>
      <c r="AB52" s="12">
        <v>50.428199999999997</v>
      </c>
      <c r="AC52" s="12">
        <v>56.484000000000002</v>
      </c>
      <c r="AD52" s="12">
        <v>47.937399999999997</v>
      </c>
      <c r="AE52" s="12">
        <v>73.170199999999994</v>
      </c>
      <c r="AF52" s="12">
        <v>43.623600000000003</v>
      </c>
      <c r="AG52" s="12"/>
      <c r="AH52" s="12">
        <f t="shared" si="6"/>
        <v>408</v>
      </c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 spans="1:51" x14ac:dyDescent="0.25">
      <c r="A53" s="12" t="s">
        <v>98</v>
      </c>
      <c r="B53" s="12" t="s">
        <v>34</v>
      </c>
      <c r="C53" s="12">
        <v>103</v>
      </c>
      <c r="D53" s="12">
        <v>54</v>
      </c>
      <c r="E53" s="12">
        <v>68</v>
      </c>
      <c r="F53" s="12">
        <v>63</v>
      </c>
      <c r="G53" s="6">
        <v>0.4</v>
      </c>
      <c r="H53" s="12">
        <v>45</v>
      </c>
      <c r="I53" s="12" t="s">
        <v>35</v>
      </c>
      <c r="J53" s="12"/>
      <c r="K53" s="12">
        <v>83</v>
      </c>
      <c r="L53" s="12">
        <f t="shared" si="12"/>
        <v>-15</v>
      </c>
      <c r="M53" s="12"/>
      <c r="N53" s="12"/>
      <c r="O53" s="12">
        <v>241</v>
      </c>
      <c r="P53" s="12">
        <f t="shared" si="13"/>
        <v>13.6</v>
      </c>
      <c r="Q53" s="4"/>
      <c r="R53" s="4">
        <f t="shared" si="8"/>
        <v>0</v>
      </c>
      <c r="S53" s="16"/>
      <c r="T53" s="16"/>
      <c r="U53" s="12">
        <f t="shared" si="5"/>
        <v>22.352941176470591</v>
      </c>
      <c r="V53" s="12">
        <f t="shared" si="14"/>
        <v>22.352941176470591</v>
      </c>
      <c r="W53" s="12">
        <v>25.4</v>
      </c>
      <c r="X53" s="12">
        <v>20.6</v>
      </c>
      <c r="Y53" s="12">
        <v>20.6</v>
      </c>
      <c r="Z53" s="12">
        <v>20.6</v>
      </c>
      <c r="AA53" s="12">
        <v>11</v>
      </c>
      <c r="AB53" s="12">
        <v>34.4</v>
      </c>
      <c r="AC53" s="12">
        <v>7.2</v>
      </c>
      <c r="AD53" s="12">
        <v>21.4</v>
      </c>
      <c r="AE53" s="12">
        <v>20.2</v>
      </c>
      <c r="AF53" s="12">
        <v>13.8</v>
      </c>
      <c r="AG53" s="12"/>
      <c r="AH53" s="12">
        <f t="shared" si="6"/>
        <v>0</v>
      </c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1:51" x14ac:dyDescent="0.25">
      <c r="A54" s="12" t="s">
        <v>99</v>
      </c>
      <c r="B54" s="12" t="s">
        <v>37</v>
      </c>
      <c r="C54" s="12">
        <v>35.308999999999997</v>
      </c>
      <c r="D54" s="12">
        <v>23.568000000000001</v>
      </c>
      <c r="E54" s="12">
        <v>26.74</v>
      </c>
      <c r="F54" s="12">
        <v>29.582000000000001</v>
      </c>
      <c r="G54" s="6">
        <v>1</v>
      </c>
      <c r="H54" s="12">
        <v>60</v>
      </c>
      <c r="I54" s="12" t="s">
        <v>35</v>
      </c>
      <c r="J54" s="12"/>
      <c r="K54" s="12">
        <v>23.9</v>
      </c>
      <c r="L54" s="12">
        <f t="shared" si="12"/>
        <v>2.84</v>
      </c>
      <c r="M54" s="12"/>
      <c r="N54" s="12"/>
      <c r="O54" s="12">
        <v>0</v>
      </c>
      <c r="P54" s="12">
        <f t="shared" si="13"/>
        <v>5.3479999999999999</v>
      </c>
      <c r="Q54" s="4">
        <f>14*P54-O54-F54</f>
        <v>45.29</v>
      </c>
      <c r="R54" s="4">
        <f t="shared" si="8"/>
        <v>45</v>
      </c>
      <c r="S54" s="16"/>
      <c r="T54" s="16"/>
      <c r="U54" s="12">
        <f t="shared" si="5"/>
        <v>13.94577412116679</v>
      </c>
      <c r="V54" s="12">
        <f t="shared" si="14"/>
        <v>5.5314136125654452</v>
      </c>
      <c r="W54" s="12">
        <v>2.3647999999999998</v>
      </c>
      <c r="X54" s="12">
        <v>4.6563999999999997</v>
      </c>
      <c r="Y54" s="12">
        <v>0.64419999999999999</v>
      </c>
      <c r="Z54" s="12">
        <v>4.7759999999999998</v>
      </c>
      <c r="AA54" s="12">
        <v>3.1307999999999998</v>
      </c>
      <c r="AB54" s="12">
        <v>0.29899999999999999</v>
      </c>
      <c r="AC54" s="12">
        <v>4.3317999999999994</v>
      </c>
      <c r="AD54" s="12">
        <v>6.2573999999999996</v>
      </c>
      <c r="AE54" s="12">
        <v>3.1316000000000002</v>
      </c>
      <c r="AF54" s="12">
        <v>4.6974</v>
      </c>
      <c r="AG54" s="12" t="s">
        <v>100</v>
      </c>
      <c r="AH54" s="12">
        <f t="shared" si="6"/>
        <v>45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 spans="1:51" x14ac:dyDescent="0.25">
      <c r="A55" s="12" t="s">
        <v>101</v>
      </c>
      <c r="B55" s="12" t="s">
        <v>37</v>
      </c>
      <c r="C55" s="12"/>
      <c r="D55" s="12">
        <v>47.914999999999999</v>
      </c>
      <c r="E55" s="12">
        <v>20.954999999999998</v>
      </c>
      <c r="F55" s="12">
        <v>22.45</v>
      </c>
      <c r="G55" s="6">
        <v>1</v>
      </c>
      <c r="H55" s="12">
        <v>60</v>
      </c>
      <c r="I55" s="12" t="s">
        <v>35</v>
      </c>
      <c r="J55" s="12"/>
      <c r="K55" s="12">
        <v>25.1</v>
      </c>
      <c r="L55" s="12">
        <f t="shared" si="12"/>
        <v>-4.1450000000000031</v>
      </c>
      <c r="M55" s="12"/>
      <c r="N55" s="12"/>
      <c r="O55" s="12">
        <v>70</v>
      </c>
      <c r="P55" s="12">
        <f t="shared" si="13"/>
        <v>4.1909999999999998</v>
      </c>
      <c r="Q55" s="4"/>
      <c r="R55" s="4">
        <f t="shared" si="8"/>
        <v>0</v>
      </c>
      <c r="S55" s="16"/>
      <c r="T55" s="16"/>
      <c r="U55" s="12">
        <f t="shared" si="5"/>
        <v>22.059174421379147</v>
      </c>
      <c r="V55" s="12">
        <f t="shared" si="14"/>
        <v>22.059174421379147</v>
      </c>
      <c r="W55" s="12">
        <v>3.3281999999999998</v>
      </c>
      <c r="X55" s="12">
        <v>5.4710000000000001</v>
      </c>
      <c r="Y55" s="12">
        <v>2.6920000000000002</v>
      </c>
      <c r="Z55" s="12">
        <v>3.8879999999999999</v>
      </c>
      <c r="AA55" s="12">
        <v>3.302</v>
      </c>
      <c r="AB55" s="12">
        <v>1.486</v>
      </c>
      <c r="AC55" s="12">
        <v>0</v>
      </c>
      <c r="AD55" s="12">
        <v>6.0140000000000002</v>
      </c>
      <c r="AE55" s="12">
        <v>2.7010000000000001</v>
      </c>
      <c r="AF55" s="12">
        <v>3.5880000000000001</v>
      </c>
      <c r="AG55" s="12"/>
      <c r="AH55" s="12">
        <f t="shared" si="6"/>
        <v>0</v>
      </c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 spans="1:51" x14ac:dyDescent="0.25">
      <c r="A56" s="8" t="s">
        <v>102</v>
      </c>
      <c r="B56" s="8" t="s">
        <v>34</v>
      </c>
      <c r="C56" s="8"/>
      <c r="D56" s="8"/>
      <c r="E56" s="8"/>
      <c r="F56" s="8"/>
      <c r="G56" s="9">
        <v>0</v>
      </c>
      <c r="H56" s="8"/>
      <c r="I56" s="8" t="s">
        <v>35</v>
      </c>
      <c r="J56" s="8"/>
      <c r="K56" s="8"/>
      <c r="L56" s="8">
        <f t="shared" si="12"/>
        <v>0</v>
      </c>
      <c r="M56" s="8"/>
      <c r="N56" s="8"/>
      <c r="O56" s="8">
        <v>0</v>
      </c>
      <c r="P56" s="8">
        <f t="shared" si="13"/>
        <v>0</v>
      </c>
      <c r="Q56" s="10"/>
      <c r="R56" s="4">
        <f t="shared" si="8"/>
        <v>0</v>
      </c>
      <c r="S56" s="16"/>
      <c r="T56" s="16"/>
      <c r="U56" s="12" t="e">
        <f t="shared" si="5"/>
        <v>#DIV/0!</v>
      </c>
      <c r="V56" s="8" t="e">
        <f t="shared" si="14"/>
        <v>#DIV/0!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 t="s">
        <v>72</v>
      </c>
      <c r="AH56" s="12">
        <f t="shared" si="6"/>
        <v>0</v>
      </c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 spans="1:51" x14ac:dyDescent="0.25">
      <c r="A57" s="8" t="s">
        <v>103</v>
      </c>
      <c r="B57" s="8" t="s">
        <v>37</v>
      </c>
      <c r="C57" s="8">
        <v>9.7000000000000003E-2</v>
      </c>
      <c r="D57" s="8"/>
      <c r="E57" s="8"/>
      <c r="F57" s="8">
        <v>9.7000000000000003E-2</v>
      </c>
      <c r="G57" s="9">
        <v>0</v>
      </c>
      <c r="H57" s="8">
        <v>45</v>
      </c>
      <c r="I57" s="8" t="s">
        <v>52</v>
      </c>
      <c r="J57" s="8"/>
      <c r="K57" s="8">
        <v>13.78</v>
      </c>
      <c r="L57" s="8">
        <f t="shared" si="12"/>
        <v>-13.78</v>
      </c>
      <c r="M57" s="8"/>
      <c r="N57" s="8"/>
      <c r="O57" s="8">
        <v>0</v>
      </c>
      <c r="P57" s="8">
        <f t="shared" si="13"/>
        <v>0</v>
      </c>
      <c r="Q57" s="10"/>
      <c r="R57" s="4">
        <f t="shared" si="8"/>
        <v>0</v>
      </c>
      <c r="S57" s="16"/>
      <c r="T57" s="16"/>
      <c r="U57" s="12" t="e">
        <f t="shared" si="5"/>
        <v>#DIV/0!</v>
      </c>
      <c r="V57" s="8" t="e">
        <f t="shared" si="14"/>
        <v>#DIV/0!</v>
      </c>
      <c r="W57" s="8">
        <v>-0.3402</v>
      </c>
      <c r="X57" s="8">
        <v>5.6259999999999986</v>
      </c>
      <c r="Y57" s="8">
        <v>5.7907999999999999</v>
      </c>
      <c r="Z57" s="8">
        <v>6.1466000000000003</v>
      </c>
      <c r="AA57" s="8">
        <v>6.798</v>
      </c>
      <c r="AB57" s="8">
        <v>9.2099999999999991</v>
      </c>
      <c r="AC57" s="8">
        <v>5.6738</v>
      </c>
      <c r="AD57" s="8">
        <v>0</v>
      </c>
      <c r="AE57" s="8">
        <v>0</v>
      </c>
      <c r="AF57" s="8">
        <v>0.17219999999999999</v>
      </c>
      <c r="AG57" s="8"/>
      <c r="AH57" s="12">
        <f t="shared" si="6"/>
        <v>0</v>
      </c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spans="1:51" x14ac:dyDescent="0.25">
      <c r="A58" s="12" t="s">
        <v>104</v>
      </c>
      <c r="B58" s="12" t="s">
        <v>34</v>
      </c>
      <c r="C58" s="12">
        <v>95</v>
      </c>
      <c r="D58" s="12"/>
      <c r="E58" s="12">
        <v>34</v>
      </c>
      <c r="F58" s="12">
        <v>54</v>
      </c>
      <c r="G58" s="6">
        <v>0.25</v>
      </c>
      <c r="H58" s="12">
        <v>120</v>
      </c>
      <c r="I58" s="12" t="s">
        <v>35</v>
      </c>
      <c r="J58" s="12"/>
      <c r="K58" s="12">
        <v>35</v>
      </c>
      <c r="L58" s="12">
        <f t="shared" si="12"/>
        <v>-1</v>
      </c>
      <c r="M58" s="12"/>
      <c r="N58" s="12"/>
      <c r="O58" s="12">
        <v>19</v>
      </c>
      <c r="P58" s="12">
        <f t="shared" si="13"/>
        <v>6.8</v>
      </c>
      <c r="Q58" s="4">
        <f t="shared" ref="Q58:Q62" si="15">15*P58-O58-F58</f>
        <v>29</v>
      </c>
      <c r="R58" s="4">
        <f t="shared" si="8"/>
        <v>29</v>
      </c>
      <c r="S58" s="16"/>
      <c r="T58" s="16"/>
      <c r="U58" s="12">
        <f t="shared" si="5"/>
        <v>15</v>
      </c>
      <c r="V58" s="12">
        <f t="shared" si="14"/>
        <v>10.73529411764706</v>
      </c>
      <c r="W58" s="12">
        <v>7</v>
      </c>
      <c r="X58" s="12">
        <v>5.8</v>
      </c>
      <c r="Y58" s="12">
        <v>8.1999999999999993</v>
      </c>
      <c r="Z58" s="12">
        <v>4.8</v>
      </c>
      <c r="AA58" s="12">
        <v>4.5999999999999996</v>
      </c>
      <c r="AB58" s="12">
        <v>7.8</v>
      </c>
      <c r="AC58" s="12">
        <v>5.6</v>
      </c>
      <c r="AD58" s="12">
        <v>6.2</v>
      </c>
      <c r="AE58" s="12">
        <v>3.8</v>
      </c>
      <c r="AF58" s="12">
        <v>4</v>
      </c>
      <c r="AG58" s="12" t="s">
        <v>38</v>
      </c>
      <c r="AH58" s="12">
        <f t="shared" si="6"/>
        <v>7.25</v>
      </c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 spans="1:51" x14ac:dyDescent="0.25">
      <c r="A59" s="12" t="s">
        <v>105</v>
      </c>
      <c r="B59" s="12" t="s">
        <v>37</v>
      </c>
      <c r="C59" s="12">
        <v>68.317999999999998</v>
      </c>
      <c r="D59" s="12">
        <v>28.344999999999999</v>
      </c>
      <c r="E59" s="12">
        <v>43.247</v>
      </c>
      <c r="F59" s="12">
        <v>41.247</v>
      </c>
      <c r="G59" s="6">
        <v>1</v>
      </c>
      <c r="H59" s="12">
        <v>45</v>
      </c>
      <c r="I59" s="12" t="s">
        <v>35</v>
      </c>
      <c r="J59" s="12"/>
      <c r="K59" s="12">
        <v>53.1</v>
      </c>
      <c r="L59" s="12">
        <f t="shared" si="12"/>
        <v>-9.8530000000000015</v>
      </c>
      <c r="M59" s="12"/>
      <c r="N59" s="12"/>
      <c r="O59" s="12">
        <v>54</v>
      </c>
      <c r="P59" s="12">
        <f t="shared" si="13"/>
        <v>8.6494</v>
      </c>
      <c r="Q59" s="4">
        <f t="shared" si="15"/>
        <v>34.493999999999986</v>
      </c>
      <c r="R59" s="4">
        <f t="shared" si="8"/>
        <v>34</v>
      </c>
      <c r="S59" s="16"/>
      <c r="T59" s="16"/>
      <c r="U59" s="12">
        <f t="shared" si="5"/>
        <v>14.942886211760355</v>
      </c>
      <c r="V59" s="12">
        <f t="shared" si="14"/>
        <v>11.011977709436493</v>
      </c>
      <c r="W59" s="12">
        <v>8.8480000000000008</v>
      </c>
      <c r="X59" s="12">
        <v>9.2843999999999998</v>
      </c>
      <c r="Y59" s="12">
        <v>10.0526</v>
      </c>
      <c r="Z59" s="12">
        <v>9.6641999999999992</v>
      </c>
      <c r="AA59" s="12">
        <v>9.517199999999999</v>
      </c>
      <c r="AB59" s="12">
        <v>8.8352000000000004</v>
      </c>
      <c r="AC59" s="12">
        <v>8.5221999999999998</v>
      </c>
      <c r="AD59" s="12">
        <v>10.96</v>
      </c>
      <c r="AE59" s="12">
        <v>7.5292000000000003</v>
      </c>
      <c r="AF59" s="12">
        <v>9.4152000000000005</v>
      </c>
      <c r="AG59" s="12"/>
      <c r="AH59" s="12">
        <f t="shared" si="6"/>
        <v>34</v>
      </c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 x14ac:dyDescent="0.25">
      <c r="A60" s="12" t="s">
        <v>106</v>
      </c>
      <c r="B60" s="12" t="s">
        <v>34</v>
      </c>
      <c r="C60" s="12">
        <v>91</v>
      </c>
      <c r="D60" s="12"/>
      <c r="E60" s="12">
        <v>87</v>
      </c>
      <c r="F60" s="12">
        <v>1</v>
      </c>
      <c r="G60" s="6">
        <v>0.27</v>
      </c>
      <c r="H60" s="12"/>
      <c r="I60" s="12" t="s">
        <v>35</v>
      </c>
      <c r="J60" s="12"/>
      <c r="K60" s="12">
        <v>178</v>
      </c>
      <c r="L60" s="12">
        <f t="shared" si="12"/>
        <v>-91</v>
      </c>
      <c r="M60" s="12"/>
      <c r="N60" s="12"/>
      <c r="O60" s="12">
        <v>180</v>
      </c>
      <c r="P60" s="12">
        <f t="shared" si="13"/>
        <v>17.399999999999999</v>
      </c>
      <c r="Q60" s="4">
        <f t="shared" si="15"/>
        <v>80</v>
      </c>
      <c r="R60" s="4">
        <f t="shared" si="8"/>
        <v>80</v>
      </c>
      <c r="S60" s="16"/>
      <c r="T60" s="16"/>
      <c r="U60" s="12">
        <f t="shared" si="5"/>
        <v>15.000000000000002</v>
      </c>
      <c r="V60" s="12">
        <f t="shared" si="14"/>
        <v>10.402298850574713</v>
      </c>
      <c r="W60" s="12">
        <v>20.2</v>
      </c>
      <c r="X60" s="12">
        <v>-0.2</v>
      </c>
      <c r="Y60" s="12">
        <v>19.2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 t="s">
        <v>107</v>
      </c>
      <c r="AH60" s="12">
        <f t="shared" si="6"/>
        <v>21.6</v>
      </c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 spans="1:51" x14ac:dyDescent="0.25">
      <c r="A61" s="12" t="s">
        <v>108</v>
      </c>
      <c r="B61" s="12" t="s">
        <v>34</v>
      </c>
      <c r="C61" s="12">
        <v>77</v>
      </c>
      <c r="D61" s="12"/>
      <c r="E61" s="12">
        <v>77</v>
      </c>
      <c r="F61" s="12"/>
      <c r="G61" s="6">
        <v>0.3</v>
      </c>
      <c r="H61" s="12">
        <v>60</v>
      </c>
      <c r="I61" s="12" t="s">
        <v>35</v>
      </c>
      <c r="J61" s="12"/>
      <c r="K61" s="12">
        <v>161</v>
      </c>
      <c r="L61" s="12">
        <f t="shared" si="12"/>
        <v>-84</v>
      </c>
      <c r="M61" s="12"/>
      <c r="N61" s="12"/>
      <c r="O61" s="12">
        <v>300</v>
      </c>
      <c r="P61" s="12">
        <f t="shared" si="13"/>
        <v>15.4</v>
      </c>
      <c r="Q61" s="4"/>
      <c r="R61" s="4">
        <f>ROUND(S61,0)</f>
        <v>300</v>
      </c>
      <c r="S61" s="16">
        <f>VLOOKUP(A61,[1]Sheet!$A:$S,18,0)</f>
        <v>300</v>
      </c>
      <c r="T61" s="16" t="str">
        <f>VLOOKUP(A61,[1]Sheet!$A:$AF,32,0)</f>
        <v>не пришли 25.08</v>
      </c>
      <c r="U61" s="12">
        <f t="shared" si="5"/>
        <v>38.961038961038959</v>
      </c>
      <c r="V61" s="12">
        <f t="shared" si="14"/>
        <v>19.480519480519479</v>
      </c>
      <c r="W61" s="12">
        <v>43.2</v>
      </c>
      <c r="X61" s="12">
        <v>52.8</v>
      </c>
      <c r="Y61" s="12">
        <v>25.6</v>
      </c>
      <c r="Z61" s="12">
        <v>31</v>
      </c>
      <c r="AA61" s="12">
        <v>31.8</v>
      </c>
      <c r="AB61" s="12">
        <v>25.4</v>
      </c>
      <c r="AC61" s="12">
        <v>38.799999999999997</v>
      </c>
      <c r="AD61" s="12">
        <v>37.200000000000003</v>
      </c>
      <c r="AE61" s="12">
        <v>39.799999999999997</v>
      </c>
      <c r="AF61" s="12">
        <v>16.600000000000001</v>
      </c>
      <c r="AG61" s="12" t="s">
        <v>44</v>
      </c>
      <c r="AH61" s="12">
        <f t="shared" si="6"/>
        <v>90</v>
      </c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1:51" x14ac:dyDescent="0.25">
      <c r="A62" s="12" t="s">
        <v>109</v>
      </c>
      <c r="B62" s="12" t="s">
        <v>34</v>
      </c>
      <c r="C62" s="12">
        <v>504</v>
      </c>
      <c r="D62" s="12">
        <v>530</v>
      </c>
      <c r="E62" s="12">
        <v>588</v>
      </c>
      <c r="F62" s="13">
        <f>398+F63</f>
        <v>448</v>
      </c>
      <c r="G62" s="6">
        <v>0.41</v>
      </c>
      <c r="H62" s="12">
        <v>50</v>
      </c>
      <c r="I62" s="11" t="s">
        <v>43</v>
      </c>
      <c r="J62" s="12"/>
      <c r="K62" s="12">
        <v>600</v>
      </c>
      <c r="L62" s="12">
        <f t="shared" si="12"/>
        <v>-12</v>
      </c>
      <c r="M62" s="12"/>
      <c r="N62" s="12"/>
      <c r="O62" s="12">
        <v>700</v>
      </c>
      <c r="P62" s="12">
        <f t="shared" si="13"/>
        <v>117.6</v>
      </c>
      <c r="Q62" s="4">
        <f t="shared" si="15"/>
        <v>616</v>
      </c>
      <c r="R62" s="4">
        <f t="shared" si="8"/>
        <v>616</v>
      </c>
      <c r="S62" s="16"/>
      <c r="T62" s="16"/>
      <c r="U62" s="12">
        <f t="shared" si="5"/>
        <v>15</v>
      </c>
      <c r="V62" s="12">
        <f t="shared" si="14"/>
        <v>9.7619047619047628</v>
      </c>
      <c r="W62" s="12">
        <v>103</v>
      </c>
      <c r="X62" s="12">
        <v>73</v>
      </c>
      <c r="Y62" s="12">
        <v>87.4</v>
      </c>
      <c r="Z62" s="12">
        <v>83.2</v>
      </c>
      <c r="AA62" s="12">
        <v>100.8</v>
      </c>
      <c r="AB62" s="12">
        <v>87</v>
      </c>
      <c r="AC62" s="12">
        <v>90.4</v>
      </c>
      <c r="AD62" s="12">
        <v>84</v>
      </c>
      <c r="AE62" s="12">
        <v>77.2</v>
      </c>
      <c r="AF62" s="12">
        <v>68.2</v>
      </c>
      <c r="AG62" s="12" t="s">
        <v>44</v>
      </c>
      <c r="AH62" s="12">
        <f t="shared" si="6"/>
        <v>252.55999999999997</v>
      </c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 spans="1:51" x14ac:dyDescent="0.25">
      <c r="A63" s="8" t="s">
        <v>110</v>
      </c>
      <c r="B63" s="8" t="s">
        <v>34</v>
      </c>
      <c r="C63" s="8">
        <v>50</v>
      </c>
      <c r="D63" s="8"/>
      <c r="E63" s="8"/>
      <c r="F63" s="13">
        <v>50</v>
      </c>
      <c r="G63" s="9">
        <v>0</v>
      </c>
      <c r="H63" s="8"/>
      <c r="I63" s="8" t="s">
        <v>111</v>
      </c>
      <c r="J63" s="8" t="s">
        <v>109</v>
      </c>
      <c r="K63" s="8">
        <v>2</v>
      </c>
      <c r="L63" s="8">
        <f t="shared" si="12"/>
        <v>-2</v>
      </c>
      <c r="M63" s="8"/>
      <c r="N63" s="8"/>
      <c r="O63" s="8">
        <v>0</v>
      </c>
      <c r="P63" s="8">
        <f t="shared" si="13"/>
        <v>0</v>
      </c>
      <c r="Q63" s="10"/>
      <c r="R63" s="4">
        <f t="shared" si="8"/>
        <v>0</v>
      </c>
      <c r="S63" s="16"/>
      <c r="T63" s="16"/>
      <c r="U63" s="12" t="e">
        <f t="shared" si="5"/>
        <v>#DIV/0!</v>
      </c>
      <c r="V63" s="8" t="e">
        <f t="shared" si="14"/>
        <v>#DIV/0!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 t="s">
        <v>112</v>
      </c>
      <c r="AH63" s="12">
        <f t="shared" si="6"/>
        <v>0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 spans="1:51" x14ac:dyDescent="0.25">
      <c r="A64" s="12" t="s">
        <v>113</v>
      </c>
      <c r="B64" s="12" t="s">
        <v>37</v>
      </c>
      <c r="C64" s="12">
        <v>1221.056</v>
      </c>
      <c r="D64" s="12">
        <v>203.84899999999999</v>
      </c>
      <c r="E64" s="12">
        <v>616.6</v>
      </c>
      <c r="F64" s="12">
        <v>795.87599999999998</v>
      </c>
      <c r="G64" s="6">
        <v>1</v>
      </c>
      <c r="H64" s="12">
        <v>50</v>
      </c>
      <c r="I64" s="12" t="s">
        <v>35</v>
      </c>
      <c r="J64" s="12"/>
      <c r="K64" s="12">
        <v>604.5</v>
      </c>
      <c r="L64" s="12">
        <f t="shared" si="12"/>
        <v>12.100000000000023</v>
      </c>
      <c r="M64" s="12"/>
      <c r="N64" s="12"/>
      <c r="O64" s="12">
        <v>501</v>
      </c>
      <c r="P64" s="12">
        <f t="shared" si="13"/>
        <v>123.32000000000001</v>
      </c>
      <c r="Q64" s="4">
        <f t="shared" ref="Q64:Q82" si="16">15*P64-O64-F64</f>
        <v>552.92400000000021</v>
      </c>
      <c r="R64" s="4">
        <f t="shared" si="8"/>
        <v>553</v>
      </c>
      <c r="S64" s="16"/>
      <c r="T64" s="16"/>
      <c r="U64" s="12">
        <f t="shared" si="5"/>
        <v>15.000616282841387</v>
      </c>
      <c r="V64" s="12">
        <f t="shared" si="14"/>
        <v>10.516347713266299</v>
      </c>
      <c r="W64" s="12">
        <v>98.82820000000001</v>
      </c>
      <c r="X64" s="12">
        <v>121.4474</v>
      </c>
      <c r="Y64" s="12">
        <v>124.7012</v>
      </c>
      <c r="Z64" s="12">
        <v>114.2328</v>
      </c>
      <c r="AA64" s="12">
        <v>69.064999999999998</v>
      </c>
      <c r="AB64" s="12">
        <v>43.75</v>
      </c>
      <c r="AC64" s="12">
        <v>103.5904</v>
      </c>
      <c r="AD64" s="12">
        <v>84.347999999999999</v>
      </c>
      <c r="AE64" s="12">
        <v>76.303599999999989</v>
      </c>
      <c r="AF64" s="12">
        <v>43.255000000000003</v>
      </c>
      <c r="AG64" s="12"/>
      <c r="AH64" s="12">
        <f t="shared" si="6"/>
        <v>553</v>
      </c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 spans="1:51" x14ac:dyDescent="0.25">
      <c r="A65" s="12" t="s">
        <v>114</v>
      </c>
      <c r="B65" s="12" t="s">
        <v>34</v>
      </c>
      <c r="C65" s="12">
        <v>8</v>
      </c>
      <c r="D65" s="12">
        <v>56</v>
      </c>
      <c r="E65" s="12">
        <v>46</v>
      </c>
      <c r="F65" s="12">
        <v>12</v>
      </c>
      <c r="G65" s="6">
        <v>0.35</v>
      </c>
      <c r="H65" s="12">
        <v>50</v>
      </c>
      <c r="I65" s="12" t="s">
        <v>35</v>
      </c>
      <c r="J65" s="12"/>
      <c r="K65" s="12">
        <v>46</v>
      </c>
      <c r="L65" s="12">
        <f t="shared" si="12"/>
        <v>0</v>
      </c>
      <c r="M65" s="12"/>
      <c r="N65" s="12"/>
      <c r="O65" s="12">
        <v>40</v>
      </c>
      <c r="P65" s="12">
        <f t="shared" si="13"/>
        <v>9.1999999999999993</v>
      </c>
      <c r="Q65" s="4">
        <f>14*P65-O65-F65</f>
        <v>76.799999999999983</v>
      </c>
      <c r="R65" s="4">
        <f t="shared" si="8"/>
        <v>77</v>
      </c>
      <c r="S65" s="16"/>
      <c r="T65" s="16"/>
      <c r="U65" s="12">
        <f t="shared" si="5"/>
        <v>14.021739130434783</v>
      </c>
      <c r="V65" s="12">
        <f t="shared" si="14"/>
        <v>5.6521739130434785</v>
      </c>
      <c r="W65" s="12">
        <v>6</v>
      </c>
      <c r="X65" s="12">
        <v>8.1999999999999993</v>
      </c>
      <c r="Y65" s="12">
        <v>4.2</v>
      </c>
      <c r="Z65" s="12">
        <v>7.8</v>
      </c>
      <c r="AA65" s="12">
        <v>5.6</v>
      </c>
      <c r="AB65" s="12">
        <v>10.199999999999999</v>
      </c>
      <c r="AC65" s="12">
        <v>9.6</v>
      </c>
      <c r="AD65" s="12">
        <v>12.6</v>
      </c>
      <c r="AE65" s="12">
        <v>10.6</v>
      </c>
      <c r="AF65" s="12">
        <v>13.4</v>
      </c>
      <c r="AG65" s="12"/>
      <c r="AH65" s="12">
        <f t="shared" si="6"/>
        <v>26.95</v>
      </c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 spans="1:51" x14ac:dyDescent="0.25">
      <c r="A66" s="12" t="s">
        <v>115</v>
      </c>
      <c r="B66" s="12" t="s">
        <v>37</v>
      </c>
      <c r="C66" s="12">
        <v>35.613999999999997</v>
      </c>
      <c r="D66" s="12">
        <v>99.424999999999997</v>
      </c>
      <c r="E66" s="12">
        <v>66.774000000000001</v>
      </c>
      <c r="F66" s="12">
        <v>62.023000000000003</v>
      </c>
      <c r="G66" s="6">
        <v>1</v>
      </c>
      <c r="H66" s="12">
        <v>50</v>
      </c>
      <c r="I66" s="12" t="s">
        <v>35</v>
      </c>
      <c r="J66" s="12"/>
      <c r="K66" s="12">
        <v>63.5</v>
      </c>
      <c r="L66" s="12">
        <f t="shared" si="12"/>
        <v>3.2740000000000009</v>
      </c>
      <c r="M66" s="12"/>
      <c r="N66" s="12"/>
      <c r="O66" s="12">
        <v>70</v>
      </c>
      <c r="P66" s="12">
        <f t="shared" si="13"/>
        <v>13.354800000000001</v>
      </c>
      <c r="Q66" s="4">
        <f t="shared" si="16"/>
        <v>68.299000000000007</v>
      </c>
      <c r="R66" s="4">
        <f t="shared" si="8"/>
        <v>68</v>
      </c>
      <c r="S66" s="16"/>
      <c r="T66" s="16"/>
      <c r="U66" s="12">
        <f t="shared" si="5"/>
        <v>14.977611046215591</v>
      </c>
      <c r="V66" s="12">
        <f t="shared" si="14"/>
        <v>9.8858088477551131</v>
      </c>
      <c r="W66" s="12">
        <v>11.995200000000001</v>
      </c>
      <c r="X66" s="12">
        <v>12.410600000000001</v>
      </c>
      <c r="Y66" s="12">
        <v>8.0703999999999994</v>
      </c>
      <c r="Z66" s="12">
        <v>14.8842</v>
      </c>
      <c r="AA66" s="12">
        <v>5.8064</v>
      </c>
      <c r="AB66" s="12">
        <v>5.6052</v>
      </c>
      <c r="AC66" s="12">
        <v>12.7126</v>
      </c>
      <c r="AD66" s="12">
        <v>15.461600000000001</v>
      </c>
      <c r="AE66" s="12">
        <v>11.281599999999999</v>
      </c>
      <c r="AF66" s="12">
        <v>18.711600000000001</v>
      </c>
      <c r="AG66" s="12"/>
      <c r="AH66" s="12">
        <f t="shared" si="6"/>
        <v>68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 spans="1:51" x14ac:dyDescent="0.25">
      <c r="A67" s="12" t="s">
        <v>116</v>
      </c>
      <c r="B67" s="12" t="s">
        <v>34</v>
      </c>
      <c r="C67" s="12">
        <v>390</v>
      </c>
      <c r="D67" s="12">
        <v>510</v>
      </c>
      <c r="E67" s="12">
        <v>357</v>
      </c>
      <c r="F67" s="12">
        <v>519</v>
      </c>
      <c r="G67" s="6">
        <v>0.41</v>
      </c>
      <c r="H67" s="12">
        <v>50</v>
      </c>
      <c r="I67" s="11" t="s">
        <v>43</v>
      </c>
      <c r="J67" s="12"/>
      <c r="K67" s="12">
        <v>359</v>
      </c>
      <c r="L67" s="12">
        <f t="shared" si="12"/>
        <v>-2</v>
      </c>
      <c r="M67" s="12"/>
      <c r="N67" s="12"/>
      <c r="O67" s="12">
        <v>200</v>
      </c>
      <c r="P67" s="12">
        <f t="shared" si="13"/>
        <v>71.400000000000006</v>
      </c>
      <c r="Q67" s="4">
        <f t="shared" si="16"/>
        <v>352</v>
      </c>
      <c r="R67" s="4">
        <f t="shared" si="8"/>
        <v>352</v>
      </c>
      <c r="S67" s="16"/>
      <c r="T67" s="16"/>
      <c r="U67" s="12">
        <f t="shared" si="5"/>
        <v>14.999999999999998</v>
      </c>
      <c r="V67" s="12">
        <f t="shared" si="14"/>
        <v>10.070028011204482</v>
      </c>
      <c r="W67" s="12">
        <v>52.4</v>
      </c>
      <c r="X67" s="12">
        <v>50.2</v>
      </c>
      <c r="Y67" s="12">
        <v>55</v>
      </c>
      <c r="Z67" s="12">
        <v>45.2</v>
      </c>
      <c r="AA67" s="12">
        <v>48.8</v>
      </c>
      <c r="AB67" s="12">
        <v>35.200000000000003</v>
      </c>
      <c r="AC67" s="12">
        <v>51.4</v>
      </c>
      <c r="AD67" s="12">
        <v>56.6</v>
      </c>
      <c r="AE67" s="12">
        <v>45.8</v>
      </c>
      <c r="AF67" s="12">
        <v>48.4</v>
      </c>
      <c r="AG67" s="12" t="s">
        <v>44</v>
      </c>
      <c r="AH67" s="12">
        <f t="shared" si="6"/>
        <v>144.32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 spans="1:51" x14ac:dyDescent="0.25">
      <c r="A68" s="12" t="s">
        <v>117</v>
      </c>
      <c r="B68" s="12" t="s">
        <v>37</v>
      </c>
      <c r="C68" s="12">
        <v>383.38299999999998</v>
      </c>
      <c r="D68" s="12"/>
      <c r="E68" s="12">
        <v>186.34899999999999</v>
      </c>
      <c r="F68" s="12">
        <v>178.07300000000001</v>
      </c>
      <c r="G68" s="6">
        <v>1</v>
      </c>
      <c r="H68" s="12">
        <v>50</v>
      </c>
      <c r="I68" s="12" t="s">
        <v>35</v>
      </c>
      <c r="J68" s="12"/>
      <c r="K68" s="12">
        <v>177</v>
      </c>
      <c r="L68" s="12">
        <f t="shared" si="12"/>
        <v>9.3489999999999895</v>
      </c>
      <c r="M68" s="12"/>
      <c r="N68" s="12"/>
      <c r="O68" s="12">
        <v>335</v>
      </c>
      <c r="P68" s="12">
        <f t="shared" si="13"/>
        <v>37.269799999999996</v>
      </c>
      <c r="Q68" s="4">
        <f t="shared" si="16"/>
        <v>45.973999999999904</v>
      </c>
      <c r="R68" s="4">
        <f t="shared" si="8"/>
        <v>46</v>
      </c>
      <c r="S68" s="16"/>
      <c r="T68" s="16"/>
      <c r="U68" s="12">
        <f t="shared" si="5"/>
        <v>15.00069761576397</v>
      </c>
      <c r="V68" s="12">
        <f t="shared" si="14"/>
        <v>13.766454341048249</v>
      </c>
      <c r="W68" s="12">
        <v>44.215200000000003</v>
      </c>
      <c r="X68" s="12">
        <v>23.197399999999998</v>
      </c>
      <c r="Y68" s="12">
        <v>44.723799999999997</v>
      </c>
      <c r="Z68" s="12">
        <v>29.232600000000001</v>
      </c>
      <c r="AA68" s="12">
        <v>14.500999999999999</v>
      </c>
      <c r="AB68" s="12">
        <v>26.771000000000001</v>
      </c>
      <c r="AC68" s="12">
        <v>37.538600000000002</v>
      </c>
      <c r="AD68" s="12">
        <v>40.284599999999998</v>
      </c>
      <c r="AE68" s="12">
        <v>27.845199999999998</v>
      </c>
      <c r="AF68" s="12">
        <v>4.649</v>
      </c>
      <c r="AG68" s="12"/>
      <c r="AH68" s="12">
        <f t="shared" si="6"/>
        <v>46</v>
      </c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 spans="1:51" x14ac:dyDescent="0.25">
      <c r="A69" s="12" t="s">
        <v>118</v>
      </c>
      <c r="B69" s="12" t="s">
        <v>34</v>
      </c>
      <c r="C69" s="12">
        <v>85</v>
      </c>
      <c r="D69" s="12"/>
      <c r="E69" s="12">
        <v>78</v>
      </c>
      <c r="F69" s="12"/>
      <c r="G69" s="6">
        <v>0.3</v>
      </c>
      <c r="H69" s="12">
        <v>50</v>
      </c>
      <c r="I69" s="12" t="s">
        <v>35</v>
      </c>
      <c r="J69" s="12"/>
      <c r="K69" s="12">
        <v>97</v>
      </c>
      <c r="L69" s="12">
        <f t="shared" si="12"/>
        <v>-19</v>
      </c>
      <c r="M69" s="12"/>
      <c r="N69" s="12"/>
      <c r="O69" s="12">
        <v>168</v>
      </c>
      <c r="P69" s="12">
        <f t="shared" si="13"/>
        <v>15.6</v>
      </c>
      <c r="Q69" s="4">
        <f t="shared" si="16"/>
        <v>66</v>
      </c>
      <c r="R69" s="4">
        <f t="shared" si="8"/>
        <v>66</v>
      </c>
      <c r="S69" s="16"/>
      <c r="T69" s="16"/>
      <c r="U69" s="12">
        <f t="shared" si="5"/>
        <v>15</v>
      </c>
      <c r="V69" s="12">
        <f t="shared" si="14"/>
        <v>10.76923076923077</v>
      </c>
      <c r="W69" s="12">
        <v>18.600000000000001</v>
      </c>
      <c r="X69" s="12">
        <v>11.2</v>
      </c>
      <c r="Y69" s="12">
        <v>10.199999999999999</v>
      </c>
      <c r="Z69" s="12">
        <v>19.600000000000001</v>
      </c>
      <c r="AA69" s="12">
        <v>12.6</v>
      </c>
      <c r="AB69" s="12">
        <v>11.4</v>
      </c>
      <c r="AC69" s="12">
        <v>12.4</v>
      </c>
      <c r="AD69" s="12">
        <v>19.2</v>
      </c>
      <c r="AE69" s="12">
        <v>19.600000000000001</v>
      </c>
      <c r="AF69" s="12">
        <v>25.4</v>
      </c>
      <c r="AG69" s="12"/>
      <c r="AH69" s="12">
        <f t="shared" si="6"/>
        <v>19.8</v>
      </c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 spans="1:51" x14ac:dyDescent="0.25">
      <c r="A70" s="12" t="s">
        <v>119</v>
      </c>
      <c r="B70" s="12" t="s">
        <v>34</v>
      </c>
      <c r="C70" s="12">
        <v>187</v>
      </c>
      <c r="D70" s="12">
        <v>530</v>
      </c>
      <c r="E70" s="12">
        <v>243</v>
      </c>
      <c r="F70" s="12">
        <v>442</v>
      </c>
      <c r="G70" s="6">
        <v>0.18</v>
      </c>
      <c r="H70" s="12">
        <v>50</v>
      </c>
      <c r="I70" s="12" t="s">
        <v>35</v>
      </c>
      <c r="J70" s="12"/>
      <c r="K70" s="12">
        <v>261</v>
      </c>
      <c r="L70" s="12">
        <f t="shared" ref="L70:L101" si="17">E70-K70</f>
        <v>-18</v>
      </c>
      <c r="M70" s="12"/>
      <c r="N70" s="12"/>
      <c r="O70" s="12">
        <v>316</v>
      </c>
      <c r="P70" s="12">
        <f t="shared" ref="P70:P105" si="18">E70/5</f>
        <v>48.6</v>
      </c>
      <c r="Q70" s="4"/>
      <c r="R70" s="4">
        <f t="shared" si="8"/>
        <v>0</v>
      </c>
      <c r="S70" s="16"/>
      <c r="T70" s="16"/>
      <c r="U70" s="12">
        <f t="shared" si="5"/>
        <v>15.596707818930041</v>
      </c>
      <c r="V70" s="12">
        <f t="shared" ref="V70:V105" si="19">(F70+O70)/P70</f>
        <v>15.596707818930041</v>
      </c>
      <c r="W70" s="12">
        <v>62</v>
      </c>
      <c r="X70" s="12">
        <v>67.8</v>
      </c>
      <c r="Y70" s="12">
        <v>38.6</v>
      </c>
      <c r="Z70" s="12">
        <v>70</v>
      </c>
      <c r="AA70" s="12">
        <v>55.8</v>
      </c>
      <c r="AB70" s="12">
        <v>40.6</v>
      </c>
      <c r="AC70" s="12">
        <v>79.400000000000006</v>
      </c>
      <c r="AD70" s="12">
        <v>54.4</v>
      </c>
      <c r="AE70" s="12">
        <v>59.4</v>
      </c>
      <c r="AF70" s="12">
        <v>21.4</v>
      </c>
      <c r="AG70" s="12"/>
      <c r="AH70" s="12">
        <f t="shared" si="6"/>
        <v>0</v>
      </c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1:51" x14ac:dyDescent="0.25">
      <c r="A71" s="12" t="s">
        <v>120</v>
      </c>
      <c r="B71" s="12" t="s">
        <v>34</v>
      </c>
      <c r="C71" s="12">
        <v>127</v>
      </c>
      <c r="D71" s="12"/>
      <c r="E71" s="12">
        <v>71</v>
      </c>
      <c r="F71" s="12">
        <v>49</v>
      </c>
      <c r="G71" s="6">
        <v>0.84</v>
      </c>
      <c r="H71" s="12">
        <v>50</v>
      </c>
      <c r="I71" s="12" t="s">
        <v>35</v>
      </c>
      <c r="J71" s="12"/>
      <c r="K71" s="12">
        <v>73</v>
      </c>
      <c r="L71" s="12">
        <f t="shared" si="17"/>
        <v>-2</v>
      </c>
      <c r="M71" s="12"/>
      <c r="N71" s="12"/>
      <c r="O71" s="12">
        <v>0</v>
      </c>
      <c r="P71" s="12">
        <f t="shared" si="18"/>
        <v>14.2</v>
      </c>
      <c r="Q71" s="4">
        <f>11*P71-O71-F71</f>
        <v>107.19999999999999</v>
      </c>
      <c r="R71" s="4">
        <f>ROUND(S71,0)</f>
        <v>50</v>
      </c>
      <c r="S71" s="16">
        <f>VLOOKUP(A71,[1]Sheet!$A:$S,18,0)</f>
        <v>50</v>
      </c>
      <c r="T71" s="16" t="str">
        <f>VLOOKUP(A71,[1]Sheet!$A:$AF,32,0)</f>
        <v xml:space="preserve">нет потребности </v>
      </c>
      <c r="U71" s="12">
        <f t="shared" ref="U71:U105" si="20">(F71+O71+R71)/P71</f>
        <v>6.971830985915493</v>
      </c>
      <c r="V71" s="12">
        <f t="shared" si="19"/>
        <v>3.450704225352113</v>
      </c>
      <c r="W71" s="12">
        <v>4.5999999999999996</v>
      </c>
      <c r="X71" s="12">
        <v>1.6</v>
      </c>
      <c r="Y71" s="12">
        <v>11.4</v>
      </c>
      <c r="Z71" s="12">
        <v>7</v>
      </c>
      <c r="AA71" s="12">
        <v>7.4</v>
      </c>
      <c r="AB71" s="12">
        <v>9.6</v>
      </c>
      <c r="AC71" s="12">
        <v>11.6</v>
      </c>
      <c r="AD71" s="12">
        <v>12.2</v>
      </c>
      <c r="AE71" s="12">
        <v>16</v>
      </c>
      <c r="AF71" s="12">
        <v>4</v>
      </c>
      <c r="AG71" s="12"/>
      <c r="AH71" s="12">
        <f t="shared" ref="AH71:AH105" si="21">G71*R71</f>
        <v>42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 spans="1:51" x14ac:dyDescent="0.25">
      <c r="A72" s="12" t="s">
        <v>121</v>
      </c>
      <c r="B72" s="12" t="s">
        <v>34</v>
      </c>
      <c r="C72" s="12">
        <v>686</v>
      </c>
      <c r="D72" s="12">
        <v>56</v>
      </c>
      <c r="E72" s="12">
        <v>453</v>
      </c>
      <c r="F72" s="12">
        <v>256</v>
      </c>
      <c r="G72" s="6">
        <v>0.35</v>
      </c>
      <c r="H72" s="12">
        <v>50</v>
      </c>
      <c r="I72" s="12" t="s">
        <v>35</v>
      </c>
      <c r="J72" s="12"/>
      <c r="K72" s="12">
        <v>460</v>
      </c>
      <c r="L72" s="12">
        <f t="shared" si="17"/>
        <v>-7</v>
      </c>
      <c r="M72" s="12"/>
      <c r="N72" s="12"/>
      <c r="O72" s="12">
        <v>943</v>
      </c>
      <c r="P72" s="12">
        <f t="shared" si="18"/>
        <v>90.6</v>
      </c>
      <c r="Q72" s="4">
        <f t="shared" si="16"/>
        <v>160</v>
      </c>
      <c r="R72" s="4">
        <f t="shared" ref="R71:R105" si="22">ROUND(Q72,0)</f>
        <v>160</v>
      </c>
      <c r="S72" s="16"/>
      <c r="T72" s="16"/>
      <c r="U72" s="12">
        <f t="shared" si="20"/>
        <v>15.000000000000002</v>
      </c>
      <c r="V72" s="12">
        <f t="shared" si="19"/>
        <v>13.233995584988964</v>
      </c>
      <c r="W72" s="12">
        <v>105.6</v>
      </c>
      <c r="X72" s="12">
        <v>81.599999999999994</v>
      </c>
      <c r="Y72" s="12">
        <v>96</v>
      </c>
      <c r="Z72" s="12">
        <v>93</v>
      </c>
      <c r="AA72" s="12">
        <v>73.400000000000006</v>
      </c>
      <c r="AB72" s="12">
        <v>90</v>
      </c>
      <c r="AC72" s="12">
        <v>64.8</v>
      </c>
      <c r="AD72" s="12">
        <v>43.8</v>
      </c>
      <c r="AE72" s="12">
        <v>96</v>
      </c>
      <c r="AF72" s="12">
        <v>50.4</v>
      </c>
      <c r="AG72" s="12"/>
      <c r="AH72" s="12">
        <f t="shared" si="21"/>
        <v>56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 spans="1:51" x14ac:dyDescent="0.25">
      <c r="A73" s="12" t="s">
        <v>122</v>
      </c>
      <c r="B73" s="12" t="s">
        <v>34</v>
      </c>
      <c r="C73" s="12"/>
      <c r="D73" s="12"/>
      <c r="E73" s="12"/>
      <c r="F73" s="12"/>
      <c r="G73" s="6">
        <v>0.35</v>
      </c>
      <c r="H73" s="12"/>
      <c r="I73" s="12" t="s">
        <v>35</v>
      </c>
      <c r="J73" s="12"/>
      <c r="K73" s="12"/>
      <c r="L73" s="12">
        <f t="shared" si="17"/>
        <v>0</v>
      </c>
      <c r="M73" s="12"/>
      <c r="N73" s="12"/>
      <c r="O73" s="12">
        <v>300</v>
      </c>
      <c r="P73" s="12">
        <f t="shared" si="18"/>
        <v>0</v>
      </c>
      <c r="Q73" s="4"/>
      <c r="R73" s="4">
        <f>ROUND(S73,0)</f>
        <v>100</v>
      </c>
      <c r="S73" s="16">
        <f>VLOOKUP(A73,[1]Sheet!$A:$S,18,0)</f>
        <v>100</v>
      </c>
      <c r="T73" s="16" t="str">
        <f>VLOOKUP(A73,[1]Sheet!$A:$AF,32,0)</f>
        <v xml:space="preserve">Для розница </v>
      </c>
      <c r="U73" s="12" t="e">
        <f t="shared" si="20"/>
        <v>#DIV/0!</v>
      </c>
      <c r="V73" s="12" t="e">
        <f t="shared" si="19"/>
        <v>#DIV/0!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 t="s">
        <v>123</v>
      </c>
      <c r="AH73" s="12">
        <f t="shared" si="21"/>
        <v>35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 spans="1:51" x14ac:dyDescent="0.25">
      <c r="A74" s="12" t="s">
        <v>124</v>
      </c>
      <c r="B74" s="12" t="s">
        <v>37</v>
      </c>
      <c r="C74" s="12">
        <v>333.98599999999999</v>
      </c>
      <c r="D74" s="12"/>
      <c r="E74" s="12">
        <v>175.947</v>
      </c>
      <c r="F74" s="12">
        <v>77.674999999999997</v>
      </c>
      <c r="G74" s="6">
        <v>1</v>
      </c>
      <c r="H74" s="12">
        <v>50</v>
      </c>
      <c r="I74" s="12" t="s">
        <v>35</v>
      </c>
      <c r="J74" s="12"/>
      <c r="K74" s="12">
        <v>168.7</v>
      </c>
      <c r="L74" s="12">
        <f t="shared" si="17"/>
        <v>7.2470000000000141</v>
      </c>
      <c r="M74" s="12"/>
      <c r="N74" s="12"/>
      <c r="O74" s="12">
        <v>604</v>
      </c>
      <c r="P74" s="12">
        <f t="shared" si="18"/>
        <v>35.189399999999999</v>
      </c>
      <c r="Q74" s="4"/>
      <c r="R74" s="4">
        <f t="shared" si="22"/>
        <v>0</v>
      </c>
      <c r="S74" s="16"/>
      <c r="T74" s="16"/>
      <c r="U74" s="12">
        <f t="shared" si="20"/>
        <v>19.371600538798614</v>
      </c>
      <c r="V74" s="12">
        <f t="shared" si="19"/>
        <v>19.371600538798614</v>
      </c>
      <c r="W74" s="12">
        <v>67.367999999999995</v>
      </c>
      <c r="X74" s="12">
        <v>35.150799999999997</v>
      </c>
      <c r="Y74" s="12">
        <v>52.886000000000003</v>
      </c>
      <c r="Z74" s="12">
        <v>31.279</v>
      </c>
      <c r="AA74" s="12">
        <v>28.452000000000002</v>
      </c>
      <c r="AB74" s="12">
        <v>33.644199999999998</v>
      </c>
      <c r="AC74" s="12">
        <v>35.037400000000012</v>
      </c>
      <c r="AD74" s="12">
        <v>33.808399999999999</v>
      </c>
      <c r="AE74" s="12">
        <v>32.193199999999997</v>
      </c>
      <c r="AF74" s="12">
        <v>26.458200000000001</v>
      </c>
      <c r="AG74" s="12"/>
      <c r="AH74" s="12">
        <f t="shared" si="21"/>
        <v>0</v>
      </c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1:51" x14ac:dyDescent="0.25">
      <c r="A75" s="12" t="s">
        <v>125</v>
      </c>
      <c r="B75" s="12" t="s">
        <v>37</v>
      </c>
      <c r="C75" s="12">
        <v>334.08199999999999</v>
      </c>
      <c r="D75" s="12"/>
      <c r="E75" s="12">
        <v>281.12099999999998</v>
      </c>
      <c r="F75" s="12">
        <v>27.789000000000001</v>
      </c>
      <c r="G75" s="6">
        <v>1</v>
      </c>
      <c r="H75" s="12">
        <v>50</v>
      </c>
      <c r="I75" s="12" t="s">
        <v>35</v>
      </c>
      <c r="J75" s="12"/>
      <c r="K75" s="12">
        <v>263</v>
      </c>
      <c r="L75" s="12">
        <f t="shared" si="17"/>
        <v>18.120999999999981</v>
      </c>
      <c r="M75" s="12"/>
      <c r="N75" s="12"/>
      <c r="O75" s="12">
        <v>704</v>
      </c>
      <c r="P75" s="12">
        <f t="shared" si="18"/>
        <v>56.224199999999996</v>
      </c>
      <c r="Q75" s="4">
        <f t="shared" si="16"/>
        <v>111.57399999999994</v>
      </c>
      <c r="R75" s="4">
        <f t="shared" si="22"/>
        <v>112</v>
      </c>
      <c r="S75" s="16"/>
      <c r="T75" s="16"/>
      <c r="U75" s="12">
        <f t="shared" si="20"/>
        <v>15.007576808562861</v>
      </c>
      <c r="V75" s="12">
        <f t="shared" si="19"/>
        <v>13.015552022083018</v>
      </c>
      <c r="W75" s="12">
        <v>77.818399999999997</v>
      </c>
      <c r="X75" s="12">
        <v>32.770200000000003</v>
      </c>
      <c r="Y75" s="12">
        <v>55.198</v>
      </c>
      <c r="Z75" s="12">
        <v>53.136600000000001</v>
      </c>
      <c r="AA75" s="12">
        <v>30.6296</v>
      </c>
      <c r="AB75" s="12">
        <v>26.934999999999999</v>
      </c>
      <c r="AC75" s="12">
        <v>48.299799999999998</v>
      </c>
      <c r="AD75" s="12">
        <v>57.070000000000007</v>
      </c>
      <c r="AE75" s="12">
        <v>45.7622</v>
      </c>
      <c r="AF75" s="12">
        <v>39.1586</v>
      </c>
      <c r="AG75" s="12"/>
      <c r="AH75" s="12">
        <f t="shared" si="21"/>
        <v>112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1:51" x14ac:dyDescent="0.25">
      <c r="A76" s="12" t="s">
        <v>126</v>
      </c>
      <c r="B76" s="12" t="s">
        <v>34</v>
      </c>
      <c r="C76" s="12">
        <v>280</v>
      </c>
      <c r="D76" s="12"/>
      <c r="E76" s="12">
        <v>209</v>
      </c>
      <c r="F76" s="12">
        <v>37</v>
      </c>
      <c r="G76" s="6">
        <v>0.35</v>
      </c>
      <c r="H76" s="12">
        <v>50</v>
      </c>
      <c r="I76" s="12" t="s">
        <v>35</v>
      </c>
      <c r="J76" s="12"/>
      <c r="K76" s="12">
        <v>219</v>
      </c>
      <c r="L76" s="12">
        <f t="shared" si="17"/>
        <v>-10</v>
      </c>
      <c r="M76" s="12"/>
      <c r="N76" s="12"/>
      <c r="O76" s="12">
        <v>569</v>
      </c>
      <c r="P76" s="12">
        <f t="shared" si="18"/>
        <v>41.8</v>
      </c>
      <c r="Q76" s="4">
        <f t="shared" si="16"/>
        <v>21</v>
      </c>
      <c r="R76" s="4">
        <f t="shared" si="22"/>
        <v>21</v>
      </c>
      <c r="S76" s="16"/>
      <c r="T76" s="16"/>
      <c r="U76" s="12">
        <f t="shared" si="20"/>
        <v>15.000000000000002</v>
      </c>
      <c r="V76" s="12">
        <f t="shared" si="19"/>
        <v>14.497607655502394</v>
      </c>
      <c r="W76" s="12">
        <v>65.599999999999994</v>
      </c>
      <c r="X76" s="12">
        <v>34.200000000000003</v>
      </c>
      <c r="Y76" s="12">
        <v>34.4</v>
      </c>
      <c r="Z76" s="12">
        <v>63.8</v>
      </c>
      <c r="AA76" s="12">
        <v>44.2</v>
      </c>
      <c r="AB76" s="12">
        <v>39.200000000000003</v>
      </c>
      <c r="AC76" s="12">
        <v>50.6</v>
      </c>
      <c r="AD76" s="12">
        <v>56.2</v>
      </c>
      <c r="AE76" s="12">
        <v>35.6</v>
      </c>
      <c r="AF76" s="12">
        <v>12.6</v>
      </c>
      <c r="AG76" s="12"/>
      <c r="AH76" s="12">
        <f t="shared" si="21"/>
        <v>7.35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1:51" x14ac:dyDescent="0.25">
      <c r="A77" s="12" t="s">
        <v>127</v>
      </c>
      <c r="B77" s="12" t="s">
        <v>34</v>
      </c>
      <c r="C77" s="12">
        <v>40</v>
      </c>
      <c r="D77" s="12">
        <v>90</v>
      </c>
      <c r="E77" s="12">
        <v>66</v>
      </c>
      <c r="F77" s="12">
        <v>37</v>
      </c>
      <c r="G77" s="6">
        <v>0.3</v>
      </c>
      <c r="H77" s="12">
        <v>50</v>
      </c>
      <c r="I77" s="12" t="s">
        <v>35</v>
      </c>
      <c r="J77" s="12"/>
      <c r="K77" s="12">
        <v>70</v>
      </c>
      <c r="L77" s="12">
        <f t="shared" si="17"/>
        <v>-4</v>
      </c>
      <c r="M77" s="12"/>
      <c r="N77" s="12"/>
      <c r="O77" s="12">
        <v>90</v>
      </c>
      <c r="P77" s="12">
        <f t="shared" si="18"/>
        <v>13.2</v>
      </c>
      <c r="Q77" s="4">
        <f t="shared" si="16"/>
        <v>71</v>
      </c>
      <c r="R77" s="4">
        <f t="shared" si="22"/>
        <v>71</v>
      </c>
      <c r="S77" s="16"/>
      <c r="T77" s="16"/>
      <c r="U77" s="12">
        <f t="shared" si="20"/>
        <v>15</v>
      </c>
      <c r="V77" s="12">
        <f t="shared" si="19"/>
        <v>9.6212121212121211</v>
      </c>
      <c r="W77" s="12">
        <v>13.4</v>
      </c>
      <c r="X77" s="12">
        <v>12.4</v>
      </c>
      <c r="Y77" s="12">
        <v>9</v>
      </c>
      <c r="Z77" s="12">
        <v>14.2</v>
      </c>
      <c r="AA77" s="12">
        <v>17.600000000000001</v>
      </c>
      <c r="AB77" s="12">
        <v>9.6</v>
      </c>
      <c r="AC77" s="12">
        <v>13.8</v>
      </c>
      <c r="AD77" s="12">
        <v>7.4</v>
      </c>
      <c r="AE77" s="12">
        <v>16.8</v>
      </c>
      <c r="AF77" s="12">
        <v>10.199999999999999</v>
      </c>
      <c r="AG77" s="12"/>
      <c r="AH77" s="12">
        <f t="shared" si="21"/>
        <v>21.3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1:51" x14ac:dyDescent="0.25">
      <c r="A78" s="12" t="s">
        <v>128</v>
      </c>
      <c r="B78" s="12" t="s">
        <v>34</v>
      </c>
      <c r="C78" s="12">
        <v>110</v>
      </c>
      <c r="D78" s="12">
        <v>48</v>
      </c>
      <c r="E78" s="12">
        <v>81</v>
      </c>
      <c r="F78" s="12">
        <v>61</v>
      </c>
      <c r="G78" s="6">
        <v>0.3</v>
      </c>
      <c r="H78" s="12">
        <v>60</v>
      </c>
      <c r="I78" s="12" t="s">
        <v>35</v>
      </c>
      <c r="J78" s="12"/>
      <c r="K78" s="12">
        <v>81</v>
      </c>
      <c r="L78" s="12">
        <f t="shared" si="17"/>
        <v>0</v>
      </c>
      <c r="M78" s="12"/>
      <c r="N78" s="12"/>
      <c r="O78" s="12">
        <v>116</v>
      </c>
      <c r="P78" s="12">
        <f t="shared" si="18"/>
        <v>16.2</v>
      </c>
      <c r="Q78" s="4">
        <f t="shared" si="16"/>
        <v>66</v>
      </c>
      <c r="R78" s="4">
        <f t="shared" si="22"/>
        <v>66</v>
      </c>
      <c r="S78" s="16"/>
      <c r="T78" s="16"/>
      <c r="U78" s="12">
        <f t="shared" si="20"/>
        <v>15</v>
      </c>
      <c r="V78" s="12">
        <f t="shared" si="19"/>
        <v>10.925925925925926</v>
      </c>
      <c r="W78" s="12">
        <v>17.2</v>
      </c>
      <c r="X78" s="12">
        <v>16.600000000000001</v>
      </c>
      <c r="Y78" s="12">
        <v>17</v>
      </c>
      <c r="Z78" s="12">
        <v>19.600000000000001</v>
      </c>
      <c r="AA78" s="12">
        <v>15.6</v>
      </c>
      <c r="AB78" s="12">
        <v>14.8</v>
      </c>
      <c r="AC78" s="12">
        <v>13.4</v>
      </c>
      <c r="AD78" s="12">
        <v>6.6</v>
      </c>
      <c r="AE78" s="12">
        <v>13.6</v>
      </c>
      <c r="AF78" s="12">
        <v>13.8</v>
      </c>
      <c r="AG78" s="12"/>
      <c r="AH78" s="12">
        <f t="shared" si="21"/>
        <v>19.8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1:51" x14ac:dyDescent="0.25">
      <c r="A79" s="12" t="s">
        <v>129</v>
      </c>
      <c r="B79" s="12" t="s">
        <v>34</v>
      </c>
      <c r="C79" s="12">
        <v>218</v>
      </c>
      <c r="D79" s="12">
        <v>104</v>
      </c>
      <c r="E79" s="12">
        <v>139</v>
      </c>
      <c r="F79" s="12">
        <v>160</v>
      </c>
      <c r="G79" s="6">
        <v>0.28000000000000003</v>
      </c>
      <c r="H79" s="12">
        <v>50</v>
      </c>
      <c r="I79" s="12" t="s">
        <v>35</v>
      </c>
      <c r="J79" s="12"/>
      <c r="K79" s="12">
        <v>146</v>
      </c>
      <c r="L79" s="12">
        <f t="shared" si="17"/>
        <v>-7</v>
      </c>
      <c r="M79" s="12"/>
      <c r="N79" s="12"/>
      <c r="O79" s="12">
        <v>144</v>
      </c>
      <c r="P79" s="12">
        <f t="shared" si="18"/>
        <v>27.8</v>
      </c>
      <c r="Q79" s="4">
        <f t="shared" si="16"/>
        <v>113</v>
      </c>
      <c r="R79" s="4">
        <f t="shared" si="22"/>
        <v>113</v>
      </c>
      <c r="S79" s="16"/>
      <c r="T79" s="16"/>
      <c r="U79" s="12">
        <f t="shared" si="20"/>
        <v>15</v>
      </c>
      <c r="V79" s="12">
        <f t="shared" si="19"/>
        <v>10.935251798561151</v>
      </c>
      <c r="W79" s="12">
        <v>28.6</v>
      </c>
      <c r="X79" s="12">
        <v>31</v>
      </c>
      <c r="Y79" s="12">
        <v>33.799999999999997</v>
      </c>
      <c r="Z79" s="12">
        <v>38.6</v>
      </c>
      <c r="AA79" s="12">
        <v>27.8</v>
      </c>
      <c r="AB79" s="12">
        <v>31.2</v>
      </c>
      <c r="AC79" s="12">
        <v>27.4</v>
      </c>
      <c r="AD79" s="12">
        <v>42.8</v>
      </c>
      <c r="AE79" s="12">
        <v>29.6</v>
      </c>
      <c r="AF79" s="12">
        <v>22</v>
      </c>
      <c r="AG79" s="12"/>
      <c r="AH79" s="12">
        <f t="shared" si="21"/>
        <v>31.640000000000004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1:51" x14ac:dyDescent="0.25">
      <c r="A80" s="12" t="s">
        <v>130</v>
      </c>
      <c r="B80" s="12" t="s">
        <v>34</v>
      </c>
      <c r="C80" s="12">
        <v>163</v>
      </c>
      <c r="D80" s="12">
        <v>96</v>
      </c>
      <c r="E80" s="12">
        <v>167</v>
      </c>
      <c r="F80" s="12">
        <v>68</v>
      </c>
      <c r="G80" s="6">
        <v>0.28000000000000003</v>
      </c>
      <c r="H80" s="12">
        <v>45</v>
      </c>
      <c r="I80" s="12" t="s">
        <v>35</v>
      </c>
      <c r="J80" s="12"/>
      <c r="K80" s="12">
        <v>173</v>
      </c>
      <c r="L80" s="12">
        <f t="shared" si="17"/>
        <v>-6</v>
      </c>
      <c r="M80" s="12"/>
      <c r="N80" s="12"/>
      <c r="O80" s="12">
        <v>376</v>
      </c>
      <c r="P80" s="12">
        <f t="shared" si="18"/>
        <v>33.4</v>
      </c>
      <c r="Q80" s="4">
        <f t="shared" si="16"/>
        <v>57</v>
      </c>
      <c r="R80" s="4">
        <f t="shared" si="22"/>
        <v>57</v>
      </c>
      <c r="S80" s="16"/>
      <c r="T80" s="16"/>
      <c r="U80" s="12">
        <f t="shared" si="20"/>
        <v>15</v>
      </c>
      <c r="V80" s="12">
        <f t="shared" si="19"/>
        <v>13.293413173652695</v>
      </c>
      <c r="W80" s="12">
        <v>42.8</v>
      </c>
      <c r="X80" s="12">
        <v>31.2</v>
      </c>
      <c r="Y80" s="12">
        <v>33.6</v>
      </c>
      <c r="Z80" s="12">
        <v>43.8</v>
      </c>
      <c r="AA80" s="12">
        <v>38</v>
      </c>
      <c r="AB80" s="12">
        <v>34.4</v>
      </c>
      <c r="AC80" s="12">
        <v>35.6</v>
      </c>
      <c r="AD80" s="12">
        <v>30.2</v>
      </c>
      <c r="AE80" s="12">
        <v>39.799999999999997</v>
      </c>
      <c r="AF80" s="12">
        <v>29</v>
      </c>
      <c r="AG80" s="12"/>
      <c r="AH80" s="12">
        <f t="shared" si="21"/>
        <v>15.96</v>
      </c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1:51" x14ac:dyDescent="0.25">
      <c r="A81" s="12" t="s">
        <v>131</v>
      </c>
      <c r="B81" s="12" t="s">
        <v>34</v>
      </c>
      <c r="C81" s="12">
        <v>629</v>
      </c>
      <c r="D81" s="12">
        <v>341</v>
      </c>
      <c r="E81" s="12">
        <v>486</v>
      </c>
      <c r="F81" s="12">
        <v>456</v>
      </c>
      <c r="G81" s="6">
        <v>0.28000000000000003</v>
      </c>
      <c r="H81" s="12">
        <v>45</v>
      </c>
      <c r="I81" s="12" t="s">
        <v>35</v>
      </c>
      <c r="J81" s="12"/>
      <c r="K81" s="12">
        <v>491</v>
      </c>
      <c r="L81" s="12">
        <f t="shared" si="17"/>
        <v>-5</v>
      </c>
      <c r="M81" s="12"/>
      <c r="N81" s="12"/>
      <c r="O81" s="12">
        <v>509</v>
      </c>
      <c r="P81" s="12">
        <f t="shared" si="18"/>
        <v>97.2</v>
      </c>
      <c r="Q81" s="4">
        <f t="shared" si="16"/>
        <v>493</v>
      </c>
      <c r="R81" s="4">
        <f t="shared" si="22"/>
        <v>493</v>
      </c>
      <c r="S81" s="16"/>
      <c r="T81" s="16"/>
      <c r="U81" s="12">
        <f t="shared" si="20"/>
        <v>15</v>
      </c>
      <c r="V81" s="12">
        <f t="shared" si="19"/>
        <v>9.9279835390946491</v>
      </c>
      <c r="W81" s="12">
        <v>82.4</v>
      </c>
      <c r="X81" s="12">
        <v>91.8</v>
      </c>
      <c r="Y81" s="12">
        <v>89.8</v>
      </c>
      <c r="Z81" s="12">
        <v>101</v>
      </c>
      <c r="AA81" s="12">
        <v>72.400000000000006</v>
      </c>
      <c r="AB81" s="12">
        <v>66.8</v>
      </c>
      <c r="AC81" s="12">
        <v>49.4</v>
      </c>
      <c r="AD81" s="12">
        <v>83</v>
      </c>
      <c r="AE81" s="12">
        <v>47.2</v>
      </c>
      <c r="AF81" s="12">
        <v>55.6</v>
      </c>
      <c r="AG81" s="12"/>
      <c r="AH81" s="12">
        <f t="shared" si="21"/>
        <v>138.04000000000002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1:51" x14ac:dyDescent="0.25">
      <c r="A82" s="12" t="s">
        <v>132</v>
      </c>
      <c r="B82" s="12" t="s">
        <v>34</v>
      </c>
      <c r="C82" s="12">
        <v>94</v>
      </c>
      <c r="D82" s="12">
        <v>294</v>
      </c>
      <c r="E82" s="12">
        <v>201</v>
      </c>
      <c r="F82" s="12">
        <v>167</v>
      </c>
      <c r="G82" s="6">
        <v>0.4</v>
      </c>
      <c r="H82" s="12">
        <v>50</v>
      </c>
      <c r="I82" s="12" t="s">
        <v>35</v>
      </c>
      <c r="J82" s="12"/>
      <c r="K82" s="12">
        <v>208</v>
      </c>
      <c r="L82" s="12">
        <f t="shared" si="17"/>
        <v>-7</v>
      </c>
      <c r="M82" s="12"/>
      <c r="N82" s="12"/>
      <c r="O82" s="12">
        <v>229</v>
      </c>
      <c r="P82" s="12">
        <f t="shared" si="18"/>
        <v>40.200000000000003</v>
      </c>
      <c r="Q82" s="4">
        <f t="shared" si="16"/>
        <v>207</v>
      </c>
      <c r="R82" s="4">
        <f t="shared" si="22"/>
        <v>207</v>
      </c>
      <c r="S82" s="16"/>
      <c r="T82" s="16"/>
      <c r="U82" s="12">
        <f t="shared" si="20"/>
        <v>14.999999999999998</v>
      </c>
      <c r="V82" s="12">
        <f t="shared" si="19"/>
        <v>9.8507462686567155</v>
      </c>
      <c r="W82" s="12">
        <v>36.200000000000003</v>
      </c>
      <c r="X82" s="12">
        <v>36.799999999999997</v>
      </c>
      <c r="Y82" s="12">
        <v>26.6</v>
      </c>
      <c r="Z82" s="12">
        <v>27.8</v>
      </c>
      <c r="AA82" s="12">
        <v>37.4</v>
      </c>
      <c r="AB82" s="12">
        <v>28.2</v>
      </c>
      <c r="AC82" s="12">
        <v>30.4</v>
      </c>
      <c r="AD82" s="12">
        <v>43.6</v>
      </c>
      <c r="AE82" s="12">
        <v>34.200000000000003</v>
      </c>
      <c r="AF82" s="12">
        <v>31.2</v>
      </c>
      <c r="AG82" s="12"/>
      <c r="AH82" s="12">
        <f t="shared" si="21"/>
        <v>82.800000000000011</v>
      </c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1:51" x14ac:dyDescent="0.25">
      <c r="A83" s="8" t="s">
        <v>133</v>
      </c>
      <c r="B83" s="8" t="s">
        <v>34</v>
      </c>
      <c r="C83" s="8">
        <v>-1</v>
      </c>
      <c r="D83" s="8"/>
      <c r="E83" s="8"/>
      <c r="F83" s="13">
        <v>-1</v>
      </c>
      <c r="G83" s="9">
        <v>0</v>
      </c>
      <c r="H83" s="8">
        <v>60</v>
      </c>
      <c r="I83" s="8" t="s">
        <v>52</v>
      </c>
      <c r="J83" s="8" t="s">
        <v>134</v>
      </c>
      <c r="K83" s="8"/>
      <c r="L83" s="8">
        <f t="shared" si="17"/>
        <v>0</v>
      </c>
      <c r="M83" s="8"/>
      <c r="N83" s="8"/>
      <c r="O83" s="8">
        <v>0</v>
      </c>
      <c r="P83" s="8">
        <f t="shared" si="18"/>
        <v>0</v>
      </c>
      <c r="Q83" s="10"/>
      <c r="R83" s="4">
        <f t="shared" si="22"/>
        <v>0</v>
      </c>
      <c r="S83" s="16"/>
      <c r="T83" s="16"/>
      <c r="U83" s="12" t="e">
        <f t="shared" si="20"/>
        <v>#DIV/0!</v>
      </c>
      <c r="V83" s="8" t="e">
        <f t="shared" si="19"/>
        <v>#DIV/0!</v>
      </c>
      <c r="W83" s="8">
        <v>0.6</v>
      </c>
      <c r="X83" s="8">
        <v>8.4</v>
      </c>
      <c r="Y83" s="8">
        <v>3.6</v>
      </c>
      <c r="Z83" s="8">
        <v>6.4</v>
      </c>
      <c r="AA83" s="8">
        <v>6.4</v>
      </c>
      <c r="AB83" s="8">
        <v>5.2</v>
      </c>
      <c r="AC83" s="8">
        <v>6.2</v>
      </c>
      <c r="AD83" s="8">
        <v>8</v>
      </c>
      <c r="AE83" s="8">
        <v>6</v>
      </c>
      <c r="AF83" s="8">
        <v>12.4</v>
      </c>
      <c r="AG83" s="8" t="s">
        <v>135</v>
      </c>
      <c r="AH83" s="12">
        <f t="shared" si="21"/>
        <v>0</v>
      </c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1:51" x14ac:dyDescent="0.25">
      <c r="A84" s="12" t="s">
        <v>136</v>
      </c>
      <c r="B84" s="12" t="s">
        <v>37</v>
      </c>
      <c r="C84" s="12">
        <v>23.559000000000001</v>
      </c>
      <c r="D84" s="12">
        <v>36.956000000000003</v>
      </c>
      <c r="E84" s="12">
        <v>59.728999999999999</v>
      </c>
      <c r="F84" s="12">
        <v>0.78600000000000003</v>
      </c>
      <c r="G84" s="6">
        <v>1</v>
      </c>
      <c r="H84" s="12">
        <v>30</v>
      </c>
      <c r="I84" s="12" t="s">
        <v>35</v>
      </c>
      <c r="J84" s="12"/>
      <c r="K84" s="12">
        <v>90.795000000000002</v>
      </c>
      <c r="L84" s="12">
        <f t="shared" si="17"/>
        <v>-31.066000000000003</v>
      </c>
      <c r="M84" s="12"/>
      <c r="N84" s="12"/>
      <c r="O84" s="12">
        <v>128</v>
      </c>
      <c r="P84" s="12">
        <f t="shared" si="18"/>
        <v>11.9458</v>
      </c>
      <c r="Q84" s="4">
        <f>15*P84-O84-F84</f>
        <v>50.40100000000001</v>
      </c>
      <c r="R84" s="4">
        <v>110</v>
      </c>
      <c r="S84" s="16">
        <f>VLOOKUP(A84,[1]Sheet!$A:$S,18,0)</f>
        <v>150</v>
      </c>
      <c r="T84" s="16" t="str">
        <f>VLOOKUP(A84,[1]Sheet!$A:$AF,32,0)</f>
        <v>Задача для ТП</v>
      </c>
      <c r="U84" s="12">
        <f t="shared" si="20"/>
        <v>19.989117514105377</v>
      </c>
      <c r="V84" s="12">
        <f t="shared" si="19"/>
        <v>10.780860218654254</v>
      </c>
      <c r="W84" s="12">
        <v>14.8004</v>
      </c>
      <c r="X84" s="12">
        <v>8.9665999999999997</v>
      </c>
      <c r="Y84" s="12">
        <v>8.8193999999999999</v>
      </c>
      <c r="Z84" s="12">
        <v>10.5128</v>
      </c>
      <c r="AA84" s="12">
        <v>9.5676000000000005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 t="s">
        <v>107</v>
      </c>
      <c r="AH84" s="12">
        <f t="shared" si="21"/>
        <v>110</v>
      </c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1:51" x14ac:dyDescent="0.25">
      <c r="A85" s="8" t="s">
        <v>137</v>
      </c>
      <c r="B85" s="8" t="s">
        <v>34</v>
      </c>
      <c r="C85" s="8"/>
      <c r="D85" s="8"/>
      <c r="E85" s="8"/>
      <c r="F85" s="8"/>
      <c r="G85" s="9">
        <v>0</v>
      </c>
      <c r="H85" s="8"/>
      <c r="I85" s="8" t="s">
        <v>35</v>
      </c>
      <c r="J85" s="8"/>
      <c r="K85" s="8">
        <v>2</v>
      </c>
      <c r="L85" s="8">
        <f t="shared" si="17"/>
        <v>-2</v>
      </c>
      <c r="M85" s="8"/>
      <c r="N85" s="8"/>
      <c r="O85" s="8">
        <v>0</v>
      </c>
      <c r="P85" s="8">
        <f t="shared" si="18"/>
        <v>0</v>
      </c>
      <c r="Q85" s="10"/>
      <c r="R85" s="4">
        <f t="shared" si="22"/>
        <v>0</v>
      </c>
      <c r="S85" s="16"/>
      <c r="T85" s="16"/>
      <c r="U85" s="12" t="e">
        <f t="shared" si="20"/>
        <v>#DIV/0!</v>
      </c>
      <c r="V85" s="8" t="e">
        <f t="shared" si="19"/>
        <v>#DIV/0!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 t="s">
        <v>72</v>
      </c>
      <c r="AH85" s="12">
        <f t="shared" si="21"/>
        <v>0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1:51" x14ac:dyDescent="0.25">
      <c r="A86" s="8" t="s">
        <v>138</v>
      </c>
      <c r="B86" s="8" t="s">
        <v>34</v>
      </c>
      <c r="C86" s="8">
        <v>1</v>
      </c>
      <c r="D86" s="8"/>
      <c r="E86" s="8">
        <v>-3</v>
      </c>
      <c r="F86" s="8">
        <v>1</v>
      </c>
      <c r="G86" s="9">
        <v>0</v>
      </c>
      <c r="H86" s="8">
        <v>60</v>
      </c>
      <c r="I86" s="8" t="s">
        <v>52</v>
      </c>
      <c r="J86" s="8"/>
      <c r="K86" s="8">
        <v>40</v>
      </c>
      <c r="L86" s="8">
        <f t="shared" si="17"/>
        <v>-43</v>
      </c>
      <c r="M86" s="8"/>
      <c r="N86" s="8"/>
      <c r="O86" s="8">
        <v>0</v>
      </c>
      <c r="P86" s="8">
        <f t="shared" si="18"/>
        <v>-0.6</v>
      </c>
      <c r="Q86" s="10"/>
      <c r="R86" s="4">
        <f t="shared" si="22"/>
        <v>0</v>
      </c>
      <c r="S86" s="16"/>
      <c r="T86" s="16"/>
      <c r="U86" s="12">
        <f t="shared" si="20"/>
        <v>-1.6666666666666667</v>
      </c>
      <c r="V86" s="8">
        <f t="shared" si="19"/>
        <v>-1.6666666666666667</v>
      </c>
      <c r="W86" s="8">
        <v>-1.2</v>
      </c>
      <c r="X86" s="8">
        <v>0.6</v>
      </c>
      <c r="Y86" s="8">
        <v>5.4</v>
      </c>
      <c r="Z86" s="8">
        <v>11.6</v>
      </c>
      <c r="AA86" s="8">
        <v>9.4</v>
      </c>
      <c r="AB86" s="8">
        <v>8.8000000000000007</v>
      </c>
      <c r="AC86" s="8">
        <v>6.4</v>
      </c>
      <c r="AD86" s="8">
        <v>8.4</v>
      </c>
      <c r="AE86" s="8">
        <v>9.6</v>
      </c>
      <c r="AF86" s="8">
        <v>4.4000000000000004</v>
      </c>
      <c r="AG86" s="8"/>
      <c r="AH86" s="12">
        <f t="shared" si="21"/>
        <v>0</v>
      </c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1:51" x14ac:dyDescent="0.25">
      <c r="A87" s="12" t="s">
        <v>139</v>
      </c>
      <c r="B87" s="12" t="s">
        <v>34</v>
      </c>
      <c r="C87" s="12">
        <v>142</v>
      </c>
      <c r="D87" s="12">
        <v>64</v>
      </c>
      <c r="E87" s="12">
        <v>137</v>
      </c>
      <c r="F87" s="12">
        <v>46</v>
      </c>
      <c r="G87" s="6">
        <v>0.12</v>
      </c>
      <c r="H87" s="12">
        <v>60</v>
      </c>
      <c r="I87" s="12" t="s">
        <v>35</v>
      </c>
      <c r="J87" s="12"/>
      <c r="K87" s="12">
        <v>137</v>
      </c>
      <c r="L87" s="12">
        <f t="shared" si="17"/>
        <v>0</v>
      </c>
      <c r="M87" s="12"/>
      <c r="N87" s="12"/>
      <c r="O87" s="12">
        <v>264</v>
      </c>
      <c r="P87" s="12">
        <f t="shared" si="18"/>
        <v>27.4</v>
      </c>
      <c r="Q87" s="4">
        <f t="shared" ref="Q87:Q88" si="23">15*P87-O87-F87</f>
        <v>101</v>
      </c>
      <c r="R87" s="4">
        <f t="shared" si="22"/>
        <v>101</v>
      </c>
      <c r="S87" s="16"/>
      <c r="T87" s="16"/>
      <c r="U87" s="12">
        <f t="shared" si="20"/>
        <v>15</v>
      </c>
      <c r="V87" s="12">
        <f t="shared" si="19"/>
        <v>11.313868613138686</v>
      </c>
      <c r="W87" s="12">
        <v>28.2</v>
      </c>
      <c r="X87" s="12">
        <v>22.2</v>
      </c>
      <c r="Y87" s="12">
        <v>25</v>
      </c>
      <c r="Z87" s="12">
        <v>29</v>
      </c>
      <c r="AA87" s="12">
        <v>27.4</v>
      </c>
      <c r="AB87" s="12">
        <v>27</v>
      </c>
      <c r="AC87" s="12">
        <v>17.399999999999999</v>
      </c>
      <c r="AD87" s="12">
        <v>24.4</v>
      </c>
      <c r="AE87" s="12">
        <v>19.2</v>
      </c>
      <c r="AF87" s="12">
        <v>23</v>
      </c>
      <c r="AG87" s="12"/>
      <c r="AH87" s="12">
        <f t="shared" si="21"/>
        <v>12.12</v>
      </c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1:51" x14ac:dyDescent="0.25">
      <c r="A88" s="12" t="s">
        <v>140</v>
      </c>
      <c r="B88" s="12" t="s">
        <v>34</v>
      </c>
      <c r="C88" s="12">
        <v>29</v>
      </c>
      <c r="D88" s="12">
        <v>48</v>
      </c>
      <c r="E88" s="12">
        <v>75</v>
      </c>
      <c r="F88" s="12"/>
      <c r="G88" s="6">
        <v>0.33</v>
      </c>
      <c r="H88" s="12">
        <v>30</v>
      </c>
      <c r="I88" s="12" t="s">
        <v>35</v>
      </c>
      <c r="J88" s="12"/>
      <c r="K88" s="12">
        <v>117</v>
      </c>
      <c r="L88" s="12">
        <f t="shared" si="17"/>
        <v>-42</v>
      </c>
      <c r="M88" s="12"/>
      <c r="N88" s="12"/>
      <c r="O88" s="12">
        <v>160</v>
      </c>
      <c r="P88" s="12">
        <f t="shared" si="18"/>
        <v>15</v>
      </c>
      <c r="Q88" s="4">
        <f t="shared" si="23"/>
        <v>65</v>
      </c>
      <c r="R88" s="4">
        <v>120</v>
      </c>
      <c r="S88" s="16">
        <f>VLOOKUP(A88,[1]Sheet!$A:$S,18,0)</f>
        <v>200</v>
      </c>
      <c r="T88" s="16" t="str">
        <f>VLOOKUP(A88,[1]Sheet!$A:$AF,32,0)</f>
        <v>Задача для ТП</v>
      </c>
      <c r="U88" s="12">
        <f t="shared" si="20"/>
        <v>18.666666666666668</v>
      </c>
      <c r="V88" s="12">
        <f t="shared" si="19"/>
        <v>10.666666666666666</v>
      </c>
      <c r="W88" s="12">
        <v>17</v>
      </c>
      <c r="X88" s="12">
        <v>9.8000000000000007</v>
      </c>
      <c r="Y88" s="12">
        <v>5</v>
      </c>
      <c r="Z88" s="12">
        <v>13</v>
      </c>
      <c r="AA88" s="12">
        <v>9.4</v>
      </c>
      <c r="AB88" s="12">
        <v>-1</v>
      </c>
      <c r="AC88" s="12">
        <v>-0.8</v>
      </c>
      <c r="AD88" s="12">
        <v>2</v>
      </c>
      <c r="AE88" s="12">
        <v>15.6</v>
      </c>
      <c r="AF88" s="12">
        <v>16.399999999999999</v>
      </c>
      <c r="AG88" s="12"/>
      <c r="AH88" s="12">
        <f t="shared" si="21"/>
        <v>39.6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1:51" x14ac:dyDescent="0.25">
      <c r="A89" s="12" t="s">
        <v>141</v>
      </c>
      <c r="B89" s="12" t="s">
        <v>34</v>
      </c>
      <c r="C89" s="12">
        <v>-1</v>
      </c>
      <c r="D89" s="12">
        <v>90</v>
      </c>
      <c r="E89" s="12">
        <v>90</v>
      </c>
      <c r="F89" s="12">
        <v>-1</v>
      </c>
      <c r="G89" s="6">
        <v>0.15</v>
      </c>
      <c r="H89" s="12">
        <v>60</v>
      </c>
      <c r="I89" s="12" t="s">
        <v>35</v>
      </c>
      <c r="J89" s="12"/>
      <c r="K89" s="12">
        <v>194</v>
      </c>
      <c r="L89" s="12">
        <f t="shared" si="17"/>
        <v>-104</v>
      </c>
      <c r="M89" s="12"/>
      <c r="N89" s="12"/>
      <c r="O89" s="12">
        <v>422</v>
      </c>
      <c r="P89" s="12">
        <f t="shared" si="18"/>
        <v>18</v>
      </c>
      <c r="Q89" s="4"/>
      <c r="R89" s="4">
        <v>250</v>
      </c>
      <c r="S89" s="16">
        <f>VLOOKUP(A89,[1]Sheet!$A:$S,18,0)</f>
        <v>300</v>
      </c>
      <c r="T89" s="16" t="str">
        <f>VLOOKUP(A89,[1]Sheet!$A:$AF,32,0)</f>
        <v>Задача для ТП</v>
      </c>
      <c r="U89" s="12">
        <f t="shared" si="20"/>
        <v>37.277777777777779</v>
      </c>
      <c r="V89" s="12">
        <f t="shared" si="19"/>
        <v>23.388888888888889</v>
      </c>
      <c r="W89" s="12">
        <v>47.4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 t="s">
        <v>107</v>
      </c>
      <c r="AH89" s="12">
        <f t="shared" si="21"/>
        <v>37.5</v>
      </c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1:51" x14ac:dyDescent="0.25">
      <c r="A90" s="8" t="s">
        <v>142</v>
      </c>
      <c r="B90" s="8" t="s">
        <v>34</v>
      </c>
      <c r="C90" s="8">
        <v>1</v>
      </c>
      <c r="D90" s="8"/>
      <c r="E90" s="8">
        <v>-11</v>
      </c>
      <c r="F90" s="8"/>
      <c r="G90" s="9">
        <v>0</v>
      </c>
      <c r="H90" s="8">
        <v>45</v>
      </c>
      <c r="I90" s="8" t="s">
        <v>143</v>
      </c>
      <c r="J90" s="8"/>
      <c r="K90" s="8">
        <v>86</v>
      </c>
      <c r="L90" s="8">
        <f t="shared" si="17"/>
        <v>-97</v>
      </c>
      <c r="M90" s="8"/>
      <c r="N90" s="8"/>
      <c r="O90" s="8">
        <v>0</v>
      </c>
      <c r="P90" s="8">
        <f t="shared" si="18"/>
        <v>-2.2000000000000002</v>
      </c>
      <c r="Q90" s="10"/>
      <c r="R90" s="4">
        <f t="shared" si="22"/>
        <v>0</v>
      </c>
      <c r="S90" s="16"/>
      <c r="T90" s="16"/>
      <c r="U90" s="12">
        <f t="shared" si="20"/>
        <v>0</v>
      </c>
      <c r="V90" s="8">
        <f t="shared" si="19"/>
        <v>0</v>
      </c>
      <c r="W90" s="8">
        <v>0.2</v>
      </c>
      <c r="X90" s="8">
        <v>10.8</v>
      </c>
      <c r="Y90" s="8">
        <v>13.4</v>
      </c>
      <c r="Z90" s="8">
        <v>25.2</v>
      </c>
      <c r="AA90" s="8">
        <v>13.2</v>
      </c>
      <c r="AB90" s="8">
        <v>15</v>
      </c>
      <c r="AC90" s="8">
        <v>28.2</v>
      </c>
      <c r="AD90" s="8">
        <v>7</v>
      </c>
      <c r="AE90" s="8">
        <v>0</v>
      </c>
      <c r="AF90" s="8">
        <v>0</v>
      </c>
      <c r="AG90" s="8" t="s">
        <v>143</v>
      </c>
      <c r="AH90" s="12">
        <f t="shared" si="21"/>
        <v>0</v>
      </c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1:51" x14ac:dyDescent="0.25">
      <c r="A91" s="8" t="s">
        <v>144</v>
      </c>
      <c r="B91" s="8" t="s">
        <v>34</v>
      </c>
      <c r="C91" s="8"/>
      <c r="D91" s="8"/>
      <c r="E91" s="8"/>
      <c r="F91" s="8"/>
      <c r="G91" s="9">
        <v>0</v>
      </c>
      <c r="H91" s="8">
        <v>45</v>
      </c>
      <c r="I91" s="8" t="s">
        <v>35</v>
      </c>
      <c r="J91" s="8"/>
      <c r="K91" s="8"/>
      <c r="L91" s="8">
        <f t="shared" si="17"/>
        <v>0</v>
      </c>
      <c r="M91" s="8"/>
      <c r="N91" s="8"/>
      <c r="O91" s="8">
        <v>0</v>
      </c>
      <c r="P91" s="8">
        <f t="shared" si="18"/>
        <v>0</v>
      </c>
      <c r="Q91" s="10"/>
      <c r="R91" s="4">
        <f t="shared" si="22"/>
        <v>0</v>
      </c>
      <c r="S91" s="16"/>
      <c r="T91" s="16"/>
      <c r="U91" s="12" t="e">
        <f t="shared" si="20"/>
        <v>#DIV/0!</v>
      </c>
      <c r="V91" s="8" t="e">
        <f t="shared" si="19"/>
        <v>#DIV/0!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 t="s">
        <v>72</v>
      </c>
      <c r="AH91" s="12">
        <f t="shared" si="21"/>
        <v>0</v>
      </c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1:51" x14ac:dyDescent="0.25">
      <c r="A92" s="8" t="s">
        <v>145</v>
      </c>
      <c r="B92" s="8" t="s">
        <v>34</v>
      </c>
      <c r="C92" s="8"/>
      <c r="D92" s="8"/>
      <c r="E92" s="8"/>
      <c r="F92" s="8"/>
      <c r="G92" s="9">
        <v>0</v>
      </c>
      <c r="H92" s="8">
        <v>45</v>
      </c>
      <c r="I92" s="8" t="s">
        <v>35</v>
      </c>
      <c r="J92" s="8"/>
      <c r="K92" s="8"/>
      <c r="L92" s="8">
        <f t="shared" si="17"/>
        <v>0</v>
      </c>
      <c r="M92" s="8"/>
      <c r="N92" s="8"/>
      <c r="O92" s="8">
        <v>0</v>
      </c>
      <c r="P92" s="8">
        <f t="shared" si="18"/>
        <v>0</v>
      </c>
      <c r="Q92" s="10"/>
      <c r="R92" s="4">
        <f t="shared" si="22"/>
        <v>0</v>
      </c>
      <c r="S92" s="16"/>
      <c r="T92" s="16"/>
      <c r="U92" s="12" t="e">
        <f t="shared" si="20"/>
        <v>#DIV/0!</v>
      </c>
      <c r="V92" s="8" t="e">
        <f t="shared" si="19"/>
        <v>#DIV/0!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 t="s">
        <v>72</v>
      </c>
      <c r="AH92" s="12">
        <f t="shared" si="21"/>
        <v>0</v>
      </c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1:51" x14ac:dyDescent="0.25">
      <c r="A93" s="12" t="s">
        <v>146</v>
      </c>
      <c r="B93" s="12" t="s">
        <v>34</v>
      </c>
      <c r="C93" s="12">
        <v>88</v>
      </c>
      <c r="D93" s="12">
        <v>240</v>
      </c>
      <c r="E93" s="12">
        <v>128</v>
      </c>
      <c r="F93" s="12">
        <v>197</v>
      </c>
      <c r="G93" s="6">
        <v>0.4</v>
      </c>
      <c r="H93" s="12">
        <v>60</v>
      </c>
      <c r="I93" s="12" t="s">
        <v>35</v>
      </c>
      <c r="J93" s="12"/>
      <c r="K93" s="12">
        <v>124</v>
      </c>
      <c r="L93" s="12">
        <f t="shared" si="17"/>
        <v>4</v>
      </c>
      <c r="M93" s="12"/>
      <c r="N93" s="12"/>
      <c r="O93" s="12">
        <v>100</v>
      </c>
      <c r="P93" s="12">
        <f t="shared" si="18"/>
        <v>25.6</v>
      </c>
      <c r="Q93" s="4">
        <f t="shared" ref="Q93" si="24">15*P93-O93-F93</f>
        <v>87</v>
      </c>
      <c r="R93" s="4">
        <f t="shared" si="22"/>
        <v>87</v>
      </c>
      <c r="S93" s="16"/>
      <c r="T93" s="16"/>
      <c r="U93" s="12">
        <f t="shared" si="20"/>
        <v>15</v>
      </c>
      <c r="V93" s="12">
        <f t="shared" si="19"/>
        <v>11.6015625</v>
      </c>
      <c r="W93" s="12">
        <v>19.8</v>
      </c>
      <c r="X93" s="12">
        <v>28.6</v>
      </c>
      <c r="Y93" s="12">
        <v>18.600000000000001</v>
      </c>
      <c r="Z93" s="12">
        <v>18.8</v>
      </c>
      <c r="AA93" s="12">
        <v>19.600000000000001</v>
      </c>
      <c r="AB93" s="12">
        <v>23.8</v>
      </c>
      <c r="AC93" s="12">
        <v>19.399999999999999</v>
      </c>
      <c r="AD93" s="12">
        <v>2.4</v>
      </c>
      <c r="AE93" s="12">
        <v>16.8</v>
      </c>
      <c r="AF93" s="12">
        <v>0.2</v>
      </c>
      <c r="AG93" s="12" t="s">
        <v>44</v>
      </c>
      <c r="AH93" s="12">
        <f t="shared" si="21"/>
        <v>34.800000000000004</v>
      </c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1:51" x14ac:dyDescent="0.25">
      <c r="A94" s="8" t="s">
        <v>147</v>
      </c>
      <c r="B94" s="8" t="s">
        <v>34</v>
      </c>
      <c r="C94" s="8">
        <v>-2</v>
      </c>
      <c r="D94" s="8">
        <v>18</v>
      </c>
      <c r="E94" s="8">
        <v>8</v>
      </c>
      <c r="F94" s="8">
        <v>8</v>
      </c>
      <c r="G94" s="9">
        <v>0</v>
      </c>
      <c r="H94" s="8">
        <v>60</v>
      </c>
      <c r="I94" s="8" t="s">
        <v>35</v>
      </c>
      <c r="J94" s="8"/>
      <c r="K94" s="8">
        <v>13</v>
      </c>
      <c r="L94" s="8">
        <f t="shared" si="17"/>
        <v>-5</v>
      </c>
      <c r="M94" s="8"/>
      <c r="N94" s="8"/>
      <c r="O94" s="8">
        <v>0</v>
      </c>
      <c r="P94" s="8">
        <f t="shared" si="18"/>
        <v>1.6</v>
      </c>
      <c r="Q94" s="10">
        <v>0</v>
      </c>
      <c r="R94" s="4">
        <f t="shared" si="22"/>
        <v>0</v>
      </c>
      <c r="S94" s="17"/>
      <c r="T94" s="17" t="str">
        <f>VLOOKUP(A94,[1]Sheet!$A:$AF,32,0)</f>
        <v xml:space="preserve">нет потребности, позиция заведена для Донецка </v>
      </c>
      <c r="U94" s="12">
        <f t="shared" si="20"/>
        <v>5</v>
      </c>
      <c r="V94" s="8">
        <f t="shared" si="19"/>
        <v>5</v>
      </c>
      <c r="W94" s="8">
        <v>2.4</v>
      </c>
      <c r="X94" s="8">
        <v>2.8</v>
      </c>
      <c r="Y94" s="8">
        <v>2</v>
      </c>
      <c r="Z94" s="8">
        <v>3.8</v>
      </c>
      <c r="AA94" s="8">
        <v>4.2</v>
      </c>
      <c r="AB94" s="8">
        <v>8.6</v>
      </c>
      <c r="AC94" s="8">
        <v>8.8000000000000007</v>
      </c>
      <c r="AD94" s="8">
        <v>3.8</v>
      </c>
      <c r="AE94" s="8">
        <v>3</v>
      </c>
      <c r="AF94" s="8">
        <v>0.4</v>
      </c>
      <c r="AG94" s="8" t="s">
        <v>72</v>
      </c>
      <c r="AH94" s="12">
        <f t="shared" si="21"/>
        <v>0</v>
      </c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1:51" x14ac:dyDescent="0.25">
      <c r="A95" s="8" t="s">
        <v>148</v>
      </c>
      <c r="B95" s="8" t="s">
        <v>37</v>
      </c>
      <c r="C95" s="8"/>
      <c r="D95" s="8"/>
      <c r="E95" s="8"/>
      <c r="F95" s="8"/>
      <c r="G95" s="9">
        <v>0</v>
      </c>
      <c r="H95" s="8">
        <v>45</v>
      </c>
      <c r="I95" s="8" t="s">
        <v>35</v>
      </c>
      <c r="J95" s="8"/>
      <c r="K95" s="8"/>
      <c r="L95" s="8">
        <f t="shared" si="17"/>
        <v>0</v>
      </c>
      <c r="M95" s="8"/>
      <c r="N95" s="8"/>
      <c r="O95" s="8">
        <v>0</v>
      </c>
      <c r="P95" s="8">
        <f t="shared" si="18"/>
        <v>0</v>
      </c>
      <c r="Q95" s="10"/>
      <c r="R95" s="4">
        <f t="shared" si="22"/>
        <v>0</v>
      </c>
      <c r="S95" s="16"/>
      <c r="T95" s="16"/>
      <c r="U95" s="12" t="e">
        <f t="shared" si="20"/>
        <v>#DIV/0!</v>
      </c>
      <c r="V95" s="8" t="e">
        <f t="shared" si="19"/>
        <v>#DIV/0!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 t="s">
        <v>72</v>
      </c>
      <c r="AH95" s="12">
        <f t="shared" si="21"/>
        <v>0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1:51" x14ac:dyDescent="0.25">
      <c r="A96" s="8" t="s">
        <v>149</v>
      </c>
      <c r="B96" s="8" t="s">
        <v>37</v>
      </c>
      <c r="C96" s="8"/>
      <c r="D96" s="8"/>
      <c r="E96" s="8"/>
      <c r="F96" s="8"/>
      <c r="G96" s="9">
        <v>0</v>
      </c>
      <c r="H96" s="8"/>
      <c r="I96" s="8" t="s">
        <v>35</v>
      </c>
      <c r="J96" s="8"/>
      <c r="K96" s="8">
        <v>0.8</v>
      </c>
      <c r="L96" s="8">
        <f t="shared" si="17"/>
        <v>-0.8</v>
      </c>
      <c r="M96" s="8"/>
      <c r="N96" s="8"/>
      <c r="O96" s="8">
        <v>0</v>
      </c>
      <c r="P96" s="8">
        <f t="shared" si="18"/>
        <v>0</v>
      </c>
      <c r="Q96" s="10"/>
      <c r="R96" s="4">
        <f t="shared" si="22"/>
        <v>0</v>
      </c>
      <c r="S96" s="16"/>
      <c r="T96" s="16"/>
      <c r="U96" s="12" t="e">
        <f t="shared" si="20"/>
        <v>#DIV/0!</v>
      </c>
      <c r="V96" s="8" t="e">
        <f t="shared" si="19"/>
        <v>#DIV/0!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 t="s">
        <v>72</v>
      </c>
      <c r="AH96" s="12">
        <f t="shared" si="21"/>
        <v>0</v>
      </c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1:51" x14ac:dyDescent="0.25">
      <c r="A97" s="12" t="s">
        <v>150</v>
      </c>
      <c r="B97" s="12" t="s">
        <v>34</v>
      </c>
      <c r="C97" s="12">
        <v>28</v>
      </c>
      <c r="D97" s="12">
        <v>96</v>
      </c>
      <c r="E97" s="12">
        <v>99</v>
      </c>
      <c r="F97" s="12">
        <v>11</v>
      </c>
      <c r="G97" s="6">
        <v>0.33</v>
      </c>
      <c r="H97" s="12">
        <v>45</v>
      </c>
      <c r="I97" s="12" t="s">
        <v>35</v>
      </c>
      <c r="J97" s="12"/>
      <c r="K97" s="12">
        <v>107</v>
      </c>
      <c r="L97" s="12">
        <f t="shared" si="17"/>
        <v>-8</v>
      </c>
      <c r="M97" s="12"/>
      <c r="N97" s="12"/>
      <c r="O97" s="12">
        <v>169</v>
      </c>
      <c r="P97" s="12">
        <f t="shared" si="18"/>
        <v>19.8</v>
      </c>
      <c r="Q97" s="4">
        <f t="shared" ref="Q97:Q103" si="25">15*P97-O97-F97</f>
        <v>117</v>
      </c>
      <c r="R97" s="4">
        <f t="shared" si="22"/>
        <v>117</v>
      </c>
      <c r="S97" s="16"/>
      <c r="T97" s="16"/>
      <c r="U97" s="12">
        <f t="shared" si="20"/>
        <v>15</v>
      </c>
      <c r="V97" s="12">
        <f t="shared" si="19"/>
        <v>9.0909090909090899</v>
      </c>
      <c r="W97" s="12">
        <v>18</v>
      </c>
      <c r="X97" s="12">
        <v>14.6</v>
      </c>
      <c r="Y97" s="12">
        <v>12</v>
      </c>
      <c r="Z97" s="12">
        <v>15.6</v>
      </c>
      <c r="AA97" s="12">
        <v>10.8</v>
      </c>
      <c r="AB97" s="12">
        <v>2</v>
      </c>
      <c r="AC97" s="12">
        <v>12</v>
      </c>
      <c r="AD97" s="12">
        <v>3.4</v>
      </c>
      <c r="AE97" s="12">
        <v>1.6</v>
      </c>
      <c r="AF97" s="12">
        <v>0</v>
      </c>
      <c r="AG97" s="12"/>
      <c r="AH97" s="12">
        <f t="shared" si="21"/>
        <v>38.61</v>
      </c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 spans="1:51" x14ac:dyDescent="0.25">
      <c r="A98" s="8" t="s">
        <v>151</v>
      </c>
      <c r="B98" s="8" t="s">
        <v>34</v>
      </c>
      <c r="C98" s="8">
        <v>22</v>
      </c>
      <c r="D98" s="8">
        <v>10</v>
      </c>
      <c r="E98" s="8">
        <v>26</v>
      </c>
      <c r="F98" s="8"/>
      <c r="G98" s="9">
        <v>0</v>
      </c>
      <c r="H98" s="8">
        <v>45</v>
      </c>
      <c r="I98" s="8" t="s">
        <v>35</v>
      </c>
      <c r="J98" s="8"/>
      <c r="K98" s="8">
        <v>26</v>
      </c>
      <c r="L98" s="8">
        <f t="shared" si="17"/>
        <v>0</v>
      </c>
      <c r="M98" s="8"/>
      <c r="N98" s="8"/>
      <c r="O98" s="8">
        <v>16</v>
      </c>
      <c r="P98" s="8">
        <f t="shared" si="18"/>
        <v>5.2</v>
      </c>
      <c r="Q98" s="10">
        <v>0</v>
      </c>
      <c r="R98" s="4">
        <f t="shared" si="22"/>
        <v>0</v>
      </c>
      <c r="S98" s="17"/>
      <c r="T98" s="17" t="str">
        <f>VLOOKUP(A98,[1]Sheet!$A:$AF,32,0)</f>
        <v xml:space="preserve">нет потребности, данная позиции уходит в уценку </v>
      </c>
      <c r="U98" s="12">
        <f t="shared" si="20"/>
        <v>3.0769230769230766</v>
      </c>
      <c r="V98" s="8">
        <f t="shared" si="19"/>
        <v>3.0769230769230766</v>
      </c>
      <c r="W98" s="8">
        <v>3.2</v>
      </c>
      <c r="X98" s="8">
        <v>3.6</v>
      </c>
      <c r="Y98" s="8">
        <v>0.4</v>
      </c>
      <c r="Z98" s="8">
        <v>3.4</v>
      </c>
      <c r="AA98" s="8">
        <v>7.2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 t="s">
        <v>152</v>
      </c>
      <c r="AH98" s="12">
        <f t="shared" si="21"/>
        <v>0</v>
      </c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1:51" x14ac:dyDescent="0.25">
      <c r="A99" s="12" t="s">
        <v>134</v>
      </c>
      <c r="B99" s="12" t="s">
        <v>34</v>
      </c>
      <c r="C99" s="12">
        <v>26</v>
      </c>
      <c r="D99" s="12">
        <v>80</v>
      </c>
      <c r="E99" s="12">
        <v>37</v>
      </c>
      <c r="F99" s="13">
        <f>60+F83</f>
        <v>59</v>
      </c>
      <c r="G99" s="6">
        <v>0.1</v>
      </c>
      <c r="H99" s="12">
        <v>60</v>
      </c>
      <c r="I99" s="12" t="s">
        <v>35</v>
      </c>
      <c r="J99" s="12"/>
      <c r="K99" s="12">
        <v>37</v>
      </c>
      <c r="L99" s="12">
        <f t="shared" si="17"/>
        <v>0</v>
      </c>
      <c r="M99" s="12"/>
      <c r="N99" s="12"/>
      <c r="O99" s="12">
        <v>0</v>
      </c>
      <c r="P99" s="12">
        <f t="shared" si="18"/>
        <v>7.4</v>
      </c>
      <c r="Q99" s="4">
        <f t="shared" si="25"/>
        <v>52</v>
      </c>
      <c r="R99" s="4">
        <f t="shared" si="22"/>
        <v>52</v>
      </c>
      <c r="S99" s="16"/>
      <c r="T99" s="16"/>
      <c r="U99" s="12">
        <f t="shared" si="20"/>
        <v>15</v>
      </c>
      <c r="V99" s="12">
        <f t="shared" si="19"/>
        <v>7.9729729729729728</v>
      </c>
      <c r="W99" s="12">
        <v>1.4</v>
      </c>
      <c r="X99" s="12">
        <v>8.4</v>
      </c>
      <c r="Y99" s="12">
        <v>3.6</v>
      </c>
      <c r="Z99" s="12">
        <v>6.4</v>
      </c>
      <c r="AA99" s="12">
        <v>6.4</v>
      </c>
      <c r="AB99" s="12">
        <v>5.2</v>
      </c>
      <c r="AC99" s="12">
        <v>0</v>
      </c>
      <c r="AD99" s="12">
        <v>0</v>
      </c>
      <c r="AE99" s="12">
        <v>0</v>
      </c>
      <c r="AF99" s="12">
        <v>0</v>
      </c>
      <c r="AG99" s="12" t="s">
        <v>153</v>
      </c>
      <c r="AH99" s="12">
        <f t="shared" si="21"/>
        <v>5.2</v>
      </c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1:51" x14ac:dyDescent="0.25">
      <c r="A100" s="12" t="s">
        <v>53</v>
      </c>
      <c r="B100" s="12" t="s">
        <v>34</v>
      </c>
      <c r="C100" s="12">
        <v>297</v>
      </c>
      <c r="D100" s="12">
        <v>130</v>
      </c>
      <c r="E100" s="13">
        <f>128+E35</f>
        <v>174</v>
      </c>
      <c r="F100" s="13">
        <f>251+F18+F35</f>
        <v>249</v>
      </c>
      <c r="G100" s="6">
        <v>0.1</v>
      </c>
      <c r="H100" s="12">
        <v>60</v>
      </c>
      <c r="I100" s="12" t="s">
        <v>35</v>
      </c>
      <c r="J100" s="12"/>
      <c r="K100" s="12">
        <v>128</v>
      </c>
      <c r="L100" s="12">
        <f t="shared" si="17"/>
        <v>46</v>
      </c>
      <c r="M100" s="12"/>
      <c r="N100" s="12"/>
      <c r="O100" s="12">
        <v>403</v>
      </c>
      <c r="P100" s="12">
        <f t="shared" si="18"/>
        <v>34.799999999999997</v>
      </c>
      <c r="Q100" s="4"/>
      <c r="R100" s="4">
        <f t="shared" si="22"/>
        <v>0</v>
      </c>
      <c r="S100" s="16"/>
      <c r="T100" s="16"/>
      <c r="U100" s="12">
        <f t="shared" si="20"/>
        <v>18.735632183908049</v>
      </c>
      <c r="V100" s="12">
        <f t="shared" si="19"/>
        <v>18.735632183908049</v>
      </c>
      <c r="W100" s="12">
        <v>53.8</v>
      </c>
      <c r="X100" s="12">
        <v>47</v>
      </c>
      <c r="Y100" s="12">
        <v>28.2</v>
      </c>
      <c r="Z100" s="12">
        <v>64</v>
      </c>
      <c r="AA100" s="12">
        <v>40.200000000000003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 t="s">
        <v>154</v>
      </c>
      <c r="AH100" s="12">
        <f t="shared" si="21"/>
        <v>0</v>
      </c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1:51" x14ac:dyDescent="0.25">
      <c r="A101" s="12" t="s">
        <v>74</v>
      </c>
      <c r="B101" s="12" t="s">
        <v>34</v>
      </c>
      <c r="C101" s="12">
        <v>104</v>
      </c>
      <c r="D101" s="12">
        <v>730</v>
      </c>
      <c r="E101" s="12">
        <v>153</v>
      </c>
      <c r="F101" s="13">
        <f>663+F34</f>
        <v>559</v>
      </c>
      <c r="G101" s="6">
        <v>0.1</v>
      </c>
      <c r="H101" s="12">
        <v>60</v>
      </c>
      <c r="I101" s="12" t="s">
        <v>35</v>
      </c>
      <c r="J101" s="12"/>
      <c r="K101" s="12">
        <v>290</v>
      </c>
      <c r="L101" s="12">
        <f t="shared" si="17"/>
        <v>-137</v>
      </c>
      <c r="M101" s="12"/>
      <c r="N101" s="12"/>
      <c r="O101" s="12">
        <v>216</v>
      </c>
      <c r="P101" s="12">
        <f t="shared" si="18"/>
        <v>30.6</v>
      </c>
      <c r="Q101" s="4"/>
      <c r="R101" s="4">
        <f t="shared" si="22"/>
        <v>0</v>
      </c>
      <c r="S101" s="16"/>
      <c r="T101" s="16"/>
      <c r="U101" s="12">
        <f t="shared" si="20"/>
        <v>25.326797385620914</v>
      </c>
      <c r="V101" s="12">
        <f t="shared" si="19"/>
        <v>25.326797385620914</v>
      </c>
      <c r="W101" s="12">
        <v>63.6</v>
      </c>
      <c r="X101" s="12">
        <v>73.599999999999994</v>
      </c>
      <c r="Y101" s="12">
        <v>36.200000000000003</v>
      </c>
      <c r="Z101" s="12">
        <v>50</v>
      </c>
      <c r="AA101" s="12">
        <v>47.8</v>
      </c>
      <c r="AB101" s="12">
        <v>36</v>
      </c>
      <c r="AC101" s="12">
        <v>0</v>
      </c>
      <c r="AD101" s="12">
        <v>0</v>
      </c>
      <c r="AE101" s="12">
        <v>0</v>
      </c>
      <c r="AF101" s="12">
        <v>0</v>
      </c>
      <c r="AG101" s="12" t="s">
        <v>155</v>
      </c>
      <c r="AH101" s="12">
        <f t="shared" si="21"/>
        <v>0</v>
      </c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1:51" x14ac:dyDescent="0.25">
      <c r="A102" s="12" t="s">
        <v>68</v>
      </c>
      <c r="B102" s="12" t="s">
        <v>34</v>
      </c>
      <c r="C102" s="12">
        <v>186</v>
      </c>
      <c r="D102" s="12">
        <v>280</v>
      </c>
      <c r="E102" s="12">
        <v>151</v>
      </c>
      <c r="F102" s="13">
        <f>312+F31</f>
        <v>208</v>
      </c>
      <c r="G102" s="6">
        <v>0.4</v>
      </c>
      <c r="H102" s="12">
        <v>60</v>
      </c>
      <c r="I102" s="12" t="s">
        <v>35</v>
      </c>
      <c r="J102" s="12"/>
      <c r="K102" s="12">
        <v>189</v>
      </c>
      <c r="L102" s="12">
        <f t="shared" ref="L102:L105" si="26">E102-K102</f>
        <v>-38</v>
      </c>
      <c r="M102" s="12"/>
      <c r="N102" s="12"/>
      <c r="O102" s="12">
        <v>243</v>
      </c>
      <c r="P102" s="12">
        <f t="shared" si="18"/>
        <v>30.2</v>
      </c>
      <c r="Q102" s="4">
        <v>16</v>
      </c>
      <c r="R102" s="4">
        <f t="shared" si="22"/>
        <v>16</v>
      </c>
      <c r="S102" s="16"/>
      <c r="T102" s="16"/>
      <c r="U102" s="12">
        <f t="shared" si="20"/>
        <v>15.463576158940398</v>
      </c>
      <c r="V102" s="12">
        <f t="shared" si="19"/>
        <v>14.933774834437086</v>
      </c>
      <c r="W102" s="12">
        <v>28.8</v>
      </c>
      <c r="X102" s="12">
        <v>34.4</v>
      </c>
      <c r="Y102" s="12">
        <v>19.8</v>
      </c>
      <c r="Z102" s="12">
        <v>30</v>
      </c>
      <c r="AA102" s="12">
        <v>20.8</v>
      </c>
      <c r="AB102" s="12">
        <v>25.2</v>
      </c>
      <c r="AC102" s="12">
        <v>0</v>
      </c>
      <c r="AD102" s="12">
        <v>0</v>
      </c>
      <c r="AE102" s="12">
        <v>0</v>
      </c>
      <c r="AF102" s="12">
        <v>0</v>
      </c>
      <c r="AG102" s="12" t="s">
        <v>156</v>
      </c>
      <c r="AH102" s="12">
        <f t="shared" si="21"/>
        <v>6.4</v>
      </c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1:51" x14ac:dyDescent="0.25">
      <c r="A103" s="12" t="s">
        <v>157</v>
      </c>
      <c r="B103" s="12" t="s">
        <v>34</v>
      </c>
      <c r="C103" s="12">
        <v>115</v>
      </c>
      <c r="D103" s="12">
        <v>96</v>
      </c>
      <c r="E103" s="12">
        <v>73</v>
      </c>
      <c r="F103" s="12">
        <v>125</v>
      </c>
      <c r="G103" s="6">
        <v>0.1</v>
      </c>
      <c r="H103" s="12"/>
      <c r="I103" s="12" t="s">
        <v>35</v>
      </c>
      <c r="J103" s="12"/>
      <c r="K103" s="12">
        <v>77</v>
      </c>
      <c r="L103" s="12">
        <f t="shared" si="26"/>
        <v>-4</v>
      </c>
      <c r="M103" s="12"/>
      <c r="N103" s="12"/>
      <c r="O103" s="12">
        <v>80</v>
      </c>
      <c r="P103" s="12">
        <f t="shared" si="18"/>
        <v>14.6</v>
      </c>
      <c r="Q103" s="4">
        <f t="shared" si="25"/>
        <v>14</v>
      </c>
      <c r="R103" s="4">
        <f t="shared" si="22"/>
        <v>14</v>
      </c>
      <c r="S103" s="16"/>
      <c r="T103" s="16"/>
      <c r="U103" s="12">
        <f t="shared" si="20"/>
        <v>15</v>
      </c>
      <c r="V103" s="12">
        <f t="shared" si="19"/>
        <v>14.04109589041096</v>
      </c>
      <c r="W103" s="12">
        <v>15.4</v>
      </c>
      <c r="X103" s="12">
        <v>8.4</v>
      </c>
      <c r="Y103" s="12">
        <v>10.8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 t="s">
        <v>107</v>
      </c>
      <c r="AH103" s="12">
        <f t="shared" si="21"/>
        <v>1.4000000000000001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1:51" x14ac:dyDescent="0.25">
      <c r="A104" s="12" t="s">
        <v>158</v>
      </c>
      <c r="B104" s="12" t="s">
        <v>34</v>
      </c>
      <c r="C104" s="12">
        <v>97</v>
      </c>
      <c r="D104" s="12">
        <v>96</v>
      </c>
      <c r="E104" s="12">
        <v>78</v>
      </c>
      <c r="F104" s="12">
        <v>111</v>
      </c>
      <c r="G104" s="6">
        <v>0.1</v>
      </c>
      <c r="H104" s="12"/>
      <c r="I104" s="12" t="s">
        <v>35</v>
      </c>
      <c r="J104" s="12"/>
      <c r="K104" s="12">
        <v>79</v>
      </c>
      <c r="L104" s="12">
        <f t="shared" si="26"/>
        <v>-1</v>
      </c>
      <c r="M104" s="12"/>
      <c r="N104" s="12"/>
      <c r="O104" s="12">
        <v>125</v>
      </c>
      <c r="P104" s="12">
        <f t="shared" si="18"/>
        <v>15.6</v>
      </c>
      <c r="Q104" s="4"/>
      <c r="R104" s="4">
        <f t="shared" si="22"/>
        <v>0</v>
      </c>
      <c r="S104" s="16"/>
      <c r="T104" s="16"/>
      <c r="U104" s="12">
        <f t="shared" si="20"/>
        <v>15.128205128205128</v>
      </c>
      <c r="V104" s="12">
        <f t="shared" si="19"/>
        <v>15.128205128205128</v>
      </c>
      <c r="W104" s="12">
        <v>20</v>
      </c>
      <c r="X104" s="12">
        <v>7</v>
      </c>
      <c r="Y104" s="12">
        <v>11.8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 t="s">
        <v>107</v>
      </c>
      <c r="AH104" s="12">
        <f t="shared" si="21"/>
        <v>0</v>
      </c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1:51" x14ac:dyDescent="0.25">
      <c r="A105" s="12" t="s">
        <v>159</v>
      </c>
      <c r="B105" s="12" t="s">
        <v>37</v>
      </c>
      <c r="C105" s="12"/>
      <c r="D105" s="12"/>
      <c r="E105" s="12"/>
      <c r="F105" s="12"/>
      <c r="G105" s="6">
        <v>1</v>
      </c>
      <c r="H105" s="12"/>
      <c r="I105" s="12" t="s">
        <v>35</v>
      </c>
      <c r="J105" s="12"/>
      <c r="K105" s="12"/>
      <c r="L105" s="12">
        <f t="shared" si="26"/>
        <v>0</v>
      </c>
      <c r="M105" s="12"/>
      <c r="N105" s="12"/>
      <c r="O105" s="12">
        <v>100</v>
      </c>
      <c r="P105" s="12">
        <f t="shared" si="18"/>
        <v>0</v>
      </c>
      <c r="Q105" s="4"/>
      <c r="R105" s="4">
        <f t="shared" si="22"/>
        <v>0</v>
      </c>
      <c r="S105" s="16"/>
      <c r="T105" s="16"/>
      <c r="U105" s="12" t="e">
        <f t="shared" si="20"/>
        <v>#DIV/0!</v>
      </c>
      <c r="V105" s="12" t="e">
        <f t="shared" si="19"/>
        <v>#DIV/0!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 t="s">
        <v>160</v>
      </c>
      <c r="AH105" s="12">
        <f t="shared" si="21"/>
        <v>0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 spans="1:51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 spans="1:51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 spans="1:51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 spans="1:51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 spans="1:51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 spans="1:51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 spans="1:51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13" spans="1:51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</row>
    <row r="114" spans="1:51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</row>
    <row r="115" spans="1:51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</row>
    <row r="116" spans="1:51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</row>
    <row r="117" spans="1:51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</row>
    <row r="118" spans="1:51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</row>
    <row r="119" spans="1:51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</row>
    <row r="120" spans="1:51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</row>
    <row r="121" spans="1:51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</row>
    <row r="122" spans="1:51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</row>
    <row r="123" spans="1:51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</row>
    <row r="124" spans="1:51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</row>
    <row r="125" spans="1:51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</row>
    <row r="126" spans="1:51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</row>
    <row r="127" spans="1:51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</row>
    <row r="128" spans="1:51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</row>
    <row r="129" spans="1:51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</row>
    <row r="130" spans="1:51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 spans="1:51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</row>
    <row r="132" spans="1:51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</row>
    <row r="133" spans="1:51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</row>
    <row r="134" spans="1:51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</row>
    <row r="135" spans="1:51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</row>
    <row r="136" spans="1:51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</row>
    <row r="137" spans="1:51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</row>
    <row r="138" spans="1:51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</row>
    <row r="139" spans="1:51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</row>
    <row r="140" spans="1:51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</row>
    <row r="141" spans="1:51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</row>
    <row r="142" spans="1:51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</row>
    <row r="143" spans="1:51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</row>
    <row r="144" spans="1:51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</row>
    <row r="145" spans="1:51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</row>
    <row r="146" spans="1:51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</row>
    <row r="147" spans="1:51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</row>
    <row r="148" spans="1:51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</row>
    <row r="149" spans="1:51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</row>
    <row r="150" spans="1:51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</row>
    <row r="151" spans="1:51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</row>
    <row r="152" spans="1:51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</row>
    <row r="153" spans="1:51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</row>
    <row r="154" spans="1:51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</row>
    <row r="155" spans="1:51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</row>
    <row r="156" spans="1:51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</row>
    <row r="157" spans="1:51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</row>
    <row r="158" spans="1:51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</row>
    <row r="159" spans="1:51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</row>
    <row r="160" spans="1:51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</row>
    <row r="161" spans="1:51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</row>
    <row r="162" spans="1:51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</row>
    <row r="163" spans="1:51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</row>
    <row r="164" spans="1:51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</row>
    <row r="165" spans="1:51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</row>
    <row r="166" spans="1:51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</row>
    <row r="167" spans="1:51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</row>
    <row r="168" spans="1:51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</row>
    <row r="169" spans="1:51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</row>
    <row r="170" spans="1:51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</row>
    <row r="171" spans="1:51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</row>
    <row r="172" spans="1:51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</row>
    <row r="173" spans="1:51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</row>
    <row r="174" spans="1:51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</row>
    <row r="175" spans="1:51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</row>
    <row r="176" spans="1:51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</row>
    <row r="177" spans="1:51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</row>
    <row r="178" spans="1:51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</row>
    <row r="179" spans="1:51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</row>
    <row r="180" spans="1:51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</row>
    <row r="181" spans="1:51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</row>
    <row r="182" spans="1:51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</row>
    <row r="183" spans="1:51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</row>
    <row r="184" spans="1:51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</row>
    <row r="185" spans="1:51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</row>
    <row r="186" spans="1:51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</row>
    <row r="187" spans="1:51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</row>
    <row r="188" spans="1:51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</row>
    <row r="189" spans="1:51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</row>
    <row r="190" spans="1:51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</row>
    <row r="191" spans="1:51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</row>
    <row r="192" spans="1:51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</row>
    <row r="193" spans="1:51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</row>
    <row r="194" spans="1:51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</row>
    <row r="195" spans="1:51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</row>
    <row r="196" spans="1:51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</row>
    <row r="197" spans="1:51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</row>
    <row r="198" spans="1:51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</row>
    <row r="199" spans="1:51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</row>
    <row r="200" spans="1:51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</row>
    <row r="201" spans="1:51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</row>
    <row r="202" spans="1:51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</row>
    <row r="203" spans="1:51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</row>
    <row r="204" spans="1:51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</row>
    <row r="205" spans="1:51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</row>
    <row r="206" spans="1:51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</row>
    <row r="207" spans="1:51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</row>
    <row r="208" spans="1:51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</row>
    <row r="209" spans="1:51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</row>
    <row r="210" spans="1:51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</row>
    <row r="211" spans="1:51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</row>
    <row r="212" spans="1:51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</row>
    <row r="213" spans="1:51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</row>
    <row r="214" spans="1:51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</row>
    <row r="215" spans="1:51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</row>
    <row r="216" spans="1:51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</row>
    <row r="217" spans="1:51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</row>
    <row r="218" spans="1:51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</row>
    <row r="219" spans="1:51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 spans="1:51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</row>
    <row r="221" spans="1:51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</row>
    <row r="222" spans="1:51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</row>
    <row r="223" spans="1:51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</row>
    <row r="224" spans="1:51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</row>
    <row r="225" spans="1:51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</row>
    <row r="226" spans="1:51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</row>
    <row r="227" spans="1:51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</row>
    <row r="228" spans="1:51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</row>
    <row r="229" spans="1:51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</row>
    <row r="230" spans="1:51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</row>
    <row r="231" spans="1:51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</row>
    <row r="232" spans="1:51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</row>
    <row r="233" spans="1:51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</row>
    <row r="234" spans="1:51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</row>
    <row r="235" spans="1:51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</row>
    <row r="236" spans="1:51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</row>
    <row r="237" spans="1:51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</row>
    <row r="238" spans="1:51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</row>
    <row r="239" spans="1:51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</row>
    <row r="240" spans="1:51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</row>
    <row r="241" spans="1:51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</row>
    <row r="242" spans="1:51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</row>
    <row r="243" spans="1:51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</row>
    <row r="244" spans="1:51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 spans="1:51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 spans="1:51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</row>
    <row r="247" spans="1:51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</row>
    <row r="248" spans="1:51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 spans="1:51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 spans="1:51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 spans="1:51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 spans="1:51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 spans="1:51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 spans="1:51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</row>
    <row r="255" spans="1:51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</row>
    <row r="256" spans="1:51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</row>
    <row r="257" spans="1:51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</row>
    <row r="258" spans="1:51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</row>
    <row r="259" spans="1:51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</row>
    <row r="260" spans="1:51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</row>
    <row r="261" spans="1:51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</row>
    <row r="262" spans="1:51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</row>
    <row r="263" spans="1:51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</row>
    <row r="264" spans="1:51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</row>
    <row r="265" spans="1:51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</row>
    <row r="266" spans="1:51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</row>
    <row r="267" spans="1:51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</row>
    <row r="268" spans="1:51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</row>
    <row r="269" spans="1:51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</row>
    <row r="270" spans="1:51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</row>
    <row r="271" spans="1:51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</row>
    <row r="272" spans="1:51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</row>
    <row r="273" spans="1:51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</row>
    <row r="274" spans="1:51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</row>
    <row r="275" spans="1:51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</row>
    <row r="276" spans="1:51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</row>
    <row r="277" spans="1:51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</row>
    <row r="278" spans="1:51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</row>
    <row r="279" spans="1:51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</row>
    <row r="280" spans="1:51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</row>
    <row r="281" spans="1:51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</row>
    <row r="282" spans="1:51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</row>
    <row r="283" spans="1:51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</row>
    <row r="284" spans="1:51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</row>
    <row r="285" spans="1:51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</row>
    <row r="286" spans="1:51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</row>
    <row r="287" spans="1:51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</row>
    <row r="288" spans="1:51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</row>
    <row r="289" spans="1:51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</row>
    <row r="290" spans="1:51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</row>
    <row r="291" spans="1:51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</row>
    <row r="292" spans="1:51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</row>
    <row r="293" spans="1:51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</row>
    <row r="294" spans="1:51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</row>
    <row r="295" spans="1:51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</row>
    <row r="296" spans="1:51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</row>
    <row r="297" spans="1:51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</row>
    <row r="298" spans="1:51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</row>
    <row r="299" spans="1:51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</row>
    <row r="300" spans="1:51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</row>
    <row r="301" spans="1:51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</row>
    <row r="302" spans="1:51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</row>
    <row r="303" spans="1:51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</row>
    <row r="304" spans="1:51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</row>
    <row r="305" spans="1:51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</row>
    <row r="306" spans="1:51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</row>
    <row r="307" spans="1:51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</row>
    <row r="308" spans="1:51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</row>
    <row r="309" spans="1:51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</row>
    <row r="310" spans="1:51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</row>
    <row r="311" spans="1:51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</row>
    <row r="312" spans="1:51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</row>
    <row r="313" spans="1:51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</row>
    <row r="314" spans="1:51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</row>
    <row r="315" spans="1:51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</row>
    <row r="316" spans="1:51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</row>
    <row r="317" spans="1:51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</row>
    <row r="318" spans="1:51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</row>
    <row r="319" spans="1:51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</row>
    <row r="320" spans="1:51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</row>
    <row r="321" spans="1:51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</row>
    <row r="322" spans="1:51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</row>
    <row r="323" spans="1:51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</row>
    <row r="324" spans="1:51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</row>
    <row r="325" spans="1:51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</row>
    <row r="326" spans="1:51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</row>
    <row r="327" spans="1:51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</row>
    <row r="328" spans="1:51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</row>
    <row r="329" spans="1:51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</row>
    <row r="330" spans="1:51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</row>
    <row r="331" spans="1:51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</row>
    <row r="332" spans="1:51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</row>
    <row r="333" spans="1:51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</row>
    <row r="334" spans="1:51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</row>
    <row r="335" spans="1:51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</row>
    <row r="336" spans="1:51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</row>
    <row r="337" spans="1:51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</row>
    <row r="338" spans="1:51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</row>
    <row r="339" spans="1:51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</row>
    <row r="340" spans="1:51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</row>
    <row r="341" spans="1:51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</row>
    <row r="342" spans="1:51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</row>
    <row r="343" spans="1:51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</row>
    <row r="344" spans="1:51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</row>
    <row r="345" spans="1:51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</row>
    <row r="346" spans="1:51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</row>
    <row r="347" spans="1:51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</row>
    <row r="348" spans="1:51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</row>
    <row r="349" spans="1:51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</row>
    <row r="350" spans="1:51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</row>
    <row r="351" spans="1:51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</row>
    <row r="352" spans="1:51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</row>
    <row r="353" spans="1:51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</row>
    <row r="354" spans="1:51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</row>
    <row r="355" spans="1:51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</row>
    <row r="356" spans="1:51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</row>
    <row r="357" spans="1:51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</row>
    <row r="358" spans="1:51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</row>
    <row r="359" spans="1:51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</row>
    <row r="360" spans="1:51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</row>
    <row r="361" spans="1:51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</row>
    <row r="362" spans="1:51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</row>
    <row r="363" spans="1:51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</row>
    <row r="364" spans="1:51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</row>
    <row r="365" spans="1:51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</row>
    <row r="366" spans="1:51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</row>
    <row r="367" spans="1:51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</row>
    <row r="368" spans="1:51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</row>
    <row r="369" spans="1:51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</row>
    <row r="370" spans="1:51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</row>
    <row r="371" spans="1:51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</row>
    <row r="372" spans="1:51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</row>
    <row r="373" spans="1:51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</row>
    <row r="374" spans="1:51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</row>
    <row r="375" spans="1:51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</row>
    <row r="376" spans="1:51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</row>
    <row r="377" spans="1:51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</row>
    <row r="378" spans="1:51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</row>
    <row r="379" spans="1:51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</row>
    <row r="380" spans="1:51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</row>
    <row r="381" spans="1:51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</row>
    <row r="382" spans="1:51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</row>
    <row r="383" spans="1:51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</row>
    <row r="384" spans="1:51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</row>
    <row r="385" spans="1:51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</row>
    <row r="386" spans="1:51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</row>
    <row r="387" spans="1:51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</row>
    <row r="388" spans="1:51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</row>
    <row r="389" spans="1:51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</row>
    <row r="390" spans="1:51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</row>
    <row r="391" spans="1:51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</row>
    <row r="392" spans="1:51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</row>
    <row r="393" spans="1:51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</row>
    <row r="394" spans="1:51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</row>
    <row r="395" spans="1:51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</row>
    <row r="396" spans="1:51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</row>
    <row r="397" spans="1:51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</row>
    <row r="398" spans="1:51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</row>
    <row r="399" spans="1:51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</row>
    <row r="400" spans="1:51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</row>
    <row r="401" spans="1:51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</row>
    <row r="402" spans="1:51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</row>
    <row r="403" spans="1:51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</row>
    <row r="404" spans="1:51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</row>
    <row r="405" spans="1:51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</row>
    <row r="406" spans="1:51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</row>
    <row r="407" spans="1:51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</row>
    <row r="408" spans="1:51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</row>
    <row r="409" spans="1:51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</row>
    <row r="410" spans="1:51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</row>
    <row r="411" spans="1:51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</row>
    <row r="412" spans="1:51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</row>
    <row r="413" spans="1:51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</row>
    <row r="414" spans="1:51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</row>
    <row r="415" spans="1:51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</row>
    <row r="416" spans="1:51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</row>
    <row r="417" spans="1:51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</row>
    <row r="418" spans="1:51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</row>
    <row r="419" spans="1:51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</row>
    <row r="420" spans="1:51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</row>
    <row r="421" spans="1:51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</row>
    <row r="422" spans="1:51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</row>
    <row r="423" spans="1:51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</row>
    <row r="424" spans="1:51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</row>
    <row r="425" spans="1:51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</row>
    <row r="426" spans="1:51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</row>
    <row r="427" spans="1:51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</row>
    <row r="428" spans="1:51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</row>
    <row r="429" spans="1:51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</row>
    <row r="430" spans="1:51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</row>
    <row r="431" spans="1:51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</row>
    <row r="432" spans="1:51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</row>
    <row r="433" spans="1:51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</row>
    <row r="434" spans="1:51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</row>
    <row r="435" spans="1:51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</row>
    <row r="436" spans="1:51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</row>
    <row r="437" spans="1:51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</row>
    <row r="438" spans="1:51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</row>
    <row r="439" spans="1:51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</row>
    <row r="440" spans="1:51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</row>
    <row r="441" spans="1:51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</row>
    <row r="442" spans="1:51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</row>
    <row r="443" spans="1:51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</row>
    <row r="444" spans="1:51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</row>
    <row r="445" spans="1:51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</row>
    <row r="446" spans="1:51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</row>
    <row r="447" spans="1:51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</row>
    <row r="448" spans="1:51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</row>
    <row r="449" spans="1:51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</row>
    <row r="450" spans="1:51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</row>
    <row r="451" spans="1:51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</row>
    <row r="452" spans="1:51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</row>
    <row r="453" spans="1:51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</row>
    <row r="454" spans="1:51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</row>
    <row r="455" spans="1:51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</row>
    <row r="456" spans="1:51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</row>
    <row r="457" spans="1:51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</row>
    <row r="458" spans="1:51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</row>
    <row r="459" spans="1:51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</row>
    <row r="460" spans="1:51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</row>
    <row r="461" spans="1:51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</row>
    <row r="462" spans="1:51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</row>
    <row r="463" spans="1:51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</row>
    <row r="464" spans="1:51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</row>
    <row r="465" spans="1:51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</row>
    <row r="466" spans="1:51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</row>
    <row r="467" spans="1:51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</row>
    <row r="468" spans="1:51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</row>
    <row r="469" spans="1:51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</row>
    <row r="470" spans="1:51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</row>
    <row r="471" spans="1:51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</row>
    <row r="472" spans="1:51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</row>
    <row r="473" spans="1:51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</row>
    <row r="474" spans="1:51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</row>
    <row r="475" spans="1:51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</row>
    <row r="476" spans="1:51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</row>
    <row r="477" spans="1:51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</row>
    <row r="478" spans="1:51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</row>
    <row r="479" spans="1:51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</row>
    <row r="480" spans="1:51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</row>
    <row r="481" spans="1:51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</row>
    <row r="482" spans="1:51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</row>
    <row r="483" spans="1:51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</row>
    <row r="484" spans="1:51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</row>
    <row r="485" spans="1:51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</row>
    <row r="486" spans="1:51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</row>
    <row r="487" spans="1:51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</row>
    <row r="488" spans="1:51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</row>
    <row r="489" spans="1:51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</row>
    <row r="490" spans="1:51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</row>
    <row r="491" spans="1:51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</row>
    <row r="492" spans="1:51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</row>
    <row r="493" spans="1:51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</row>
    <row r="494" spans="1:51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</row>
    <row r="495" spans="1:51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</row>
    <row r="496" spans="1:51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</row>
    <row r="497" spans="1:51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</row>
    <row r="498" spans="1:51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</row>
    <row r="499" spans="1:51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</row>
    <row r="500" spans="1:51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</row>
  </sheetData>
  <autoFilter ref="A3:AH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2026-08-24T13:14:16Z</dcterms:created>
  <dcterms:modified xsi:type="dcterms:W3CDTF">2026-08-26T11:10:11Z</dcterms:modified>
</cp:coreProperties>
</file>