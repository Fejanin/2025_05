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7406C878-FBE3-4F3C-A30E-7873A2562E7C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<sst xmlns="http://schemas.openxmlformats.org/spreadsheetml/2006/main" count="83" uniqueCount="78">
  <si>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</si>
  <si>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</si>
  <si>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</si>
  <si>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</si>
  <si>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</si>
  <si>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</si>
  <si>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</si>
  <si>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</si>
  <si>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</si>
  <si>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</si>
  <si>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</si>
  <si>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</si>
  <si>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</si>
  <si>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</si>
  <si>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</si>
  <si>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</si>
  <si>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</si>
  <si>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</si>
  <si>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</si>
  <si>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</si>
  <si>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</si>
  <si>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</si>
  <si>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</si>
  <si>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</si>
  <si>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</si>
  <si>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</si>
  <si>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</si>
  <si>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</si>
  <si>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</si>
  <si>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</si>
  <si>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</si>
  <si>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</si>
  <si>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</si>
  <si>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</si>
  <si>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</si>
  <si>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</si>
  <si>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</si>
  <si>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</si>
  <si>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</si>
  <si>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</si>
  <si>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</si>
  <si>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</si>
  <si>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</si>
  <si>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</si>
  <si>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</si>
  <si>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</si>
  <si>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</si>
  <si>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</si>
  <si>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</si>
  <si>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Спред растительно-сливочный «Сливочный вкус» 82,5% 180гр</t>
  </si>
  <si>
    <t>Спред растительно-сливочный «Сливочный вкус» 72,5% 180гр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</si>
  <si>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</si>
  <si>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</si>
  <si>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</si>
  <si>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</si>
  <si>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</si>
  <si>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</si>
  <si>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</si>
  <si>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</si>
  <si>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</si>
  <si>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</si>
  <si>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</si>
  <si>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</si>
  <si>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</si>
  <si>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</si>
  <si>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</si>
  <si>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</si>
  <si>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</si>
  <si>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</si>
  <si>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</si>
  <si>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</si>
  <si>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ЛП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</si>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</sst>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40" activePane="bottomLeft" state="frozen"/>
      <selection activeCell="B1" sqref="B1"/>
      <selection pane="bottomLeft" activeCell="G62" sqref="G62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71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>
        <v>90</v>
      </c>
      <c r="E4" s="14"/>
      <c r="F4" s="8">
        <f>D4/C4</f>
        <v>9</v>
      </c>
      <c r="G4" s="12">
        <v>0.18</v>
      </c>
      <c r="H4" s="8">
        <f>G4*D4</f>
        <v>16.2</v>
      </c>
      <c r="I4" s="8"/>
    </row>
    <row r="5" spans="1:9" ht="25.5">
      <c r="A5" s="33">
        <v>8783323</v>
      </c>
      <c r="B5" s="34" t="s">
        <v>72</v>
      </c>
      <c r="C5" s="31">
        <v>4</v>
      </c>
      <c r="D5" s="21"/>
      <c r="E5" s="21">
        <v>85</v>
      </c>
      <c r="F5" s="8">
        <f>E5/5</f>
        <v>17</v>
      </c>
      <c r="G5" s="22">
        <v>1.8</v>
      </c>
      <c r="H5" s="23">
        <f>E5</f>
        <v>85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73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>
        <v>210</v>
      </c>
      <c r="E8" s="14"/>
      <c r="F8" s="8">
        <f>D8/C8</f>
        <v>21</v>
      </c>
      <c r="G8" s="12">
        <v>0.18</v>
      </c>
      <c r="H8" s="8">
        <f>G8*D8</f>
        <v>37.799999999999997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>
        <v>60</v>
      </c>
      <c r="E12" s="14"/>
      <c r="F12" s="8">
        <f>D12/C12</f>
        <v>6</v>
      </c>
      <c r="G12" s="12">
        <v>0.2</v>
      </c>
      <c r="H12" s="8">
        <f>G12*D12</f>
        <v>12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74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100</v>
      </c>
      <c r="E15" s="14"/>
      <c r="F15" s="8">
        <f t="shared" ref="F15:F23" si="0">D15/C15</f>
        <v>10</v>
      </c>
      <c r="G15" s="12">
        <v>0.18</v>
      </c>
      <c r="H15" s="8">
        <f t="shared" ref="H15:H23" si="1">G15*D15</f>
        <v>18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280</v>
      </c>
      <c r="E16" s="14"/>
      <c r="F16" s="8">
        <f t="shared" si="0"/>
        <v>28</v>
      </c>
      <c r="G16" s="12">
        <v>0.18</v>
      </c>
      <c r="H16" s="8">
        <f t="shared" si="1"/>
        <v>50.4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126</v>
      </c>
      <c r="E17" s="14"/>
      <c r="F17" s="8">
        <f t="shared" si="0"/>
        <v>21</v>
      </c>
      <c r="G17" s="12">
        <v>0.1</v>
      </c>
      <c r="H17" s="8">
        <f t="shared" si="1"/>
        <v>12.600000000000001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48</v>
      </c>
      <c r="E18" s="14"/>
      <c r="F18" s="8">
        <f t="shared" si="0"/>
        <v>8</v>
      </c>
      <c r="G18" s="12">
        <v>0.1</v>
      </c>
      <c r="H18" s="8">
        <f t="shared" si="1"/>
        <v>4.8000000000000007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54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>
        <v>32</v>
      </c>
      <c r="E22" s="14"/>
      <c r="F22" s="8">
        <f t="shared" si="0"/>
        <v>2</v>
      </c>
      <c r="G22" s="12">
        <v>0.14000000000000001</v>
      </c>
      <c r="H22" s="8">
        <f t="shared" si="1"/>
        <v>4.4800000000000004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24</v>
      </c>
      <c r="E23" s="14"/>
      <c r="F23" s="8">
        <f t="shared" si="0"/>
        <v>4</v>
      </c>
      <c r="G23" s="12">
        <v>0.18</v>
      </c>
      <c r="H23" s="8">
        <f t="shared" si="1"/>
        <v>4.32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>
        <v>64</v>
      </c>
      <c r="E28" s="14"/>
      <c r="F28" s="8">
        <f t="shared" si="2"/>
        <v>4</v>
      </c>
      <c r="G28" s="12">
        <v>0.18</v>
      </c>
      <c r="H28" s="8">
        <f t="shared" si="3"/>
        <v>11.52</v>
      </c>
      <c r="I28" s="8"/>
    </row>
    <row r="29" spans="1:9">
      <c r="A29" s="11">
        <v>9988438</v>
      </c>
      <c r="B29" s="27" t="s">
        <v>25</v>
      </c>
      <c r="C29" s="13">
        <v>16</v>
      </c>
      <c r="D29" s="14">
        <v>48</v>
      </c>
      <c r="E29" s="14"/>
      <c r="F29" s="8">
        <f t="shared" si="2"/>
        <v>3</v>
      </c>
      <c r="G29" s="12">
        <v>0.18</v>
      </c>
      <c r="H29" s="8">
        <f t="shared" si="3"/>
        <v>8.64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69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70</v>
      </c>
      <c r="C37" s="13">
        <v>8</v>
      </c>
      <c r="D37" s="14">
        <v>64</v>
      </c>
      <c r="E37" s="14"/>
      <c r="F37" s="8">
        <f t="shared" si="2"/>
        <v>8</v>
      </c>
      <c r="G37" s="12">
        <v>0.1</v>
      </c>
      <c r="H37" s="8">
        <f>G37*D37</f>
        <v>6.4</v>
      </c>
      <c r="I37" s="8"/>
    </row>
    <row r="38" spans="1:9">
      <c r="A38" s="11" t="s">
        <v>60</v>
      </c>
      <c r="B38" s="12" t="s">
        <v>61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62</v>
      </c>
      <c r="B39" s="12" t="s">
        <v>63</v>
      </c>
      <c r="C39" s="13">
        <v>4</v>
      </c>
      <c r="D39" s="14"/>
      <c r="E39" s="14">
        <v>15</v>
      </c>
      <c r="F39" s="8">
        <f>E39/15</f>
        <v>1</v>
      </c>
      <c r="G39" s="12">
        <v>3.5</v>
      </c>
      <c r="H39" s="8">
        <f>E39</f>
        <v>15</v>
      </c>
      <c r="I39" s="8" t="s">
        <v>64</v>
      </c>
    </row>
    <row r="40" spans="1:9" s="10" customFormat="1">
      <c r="A40" s="11" t="s">
        <v>65</v>
      </c>
      <c r="B40" s="12" t="s">
        <v>66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67</v>
      </c>
      <c r="B41" s="12" t="s">
        <v>68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64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4421584</v>
      </c>
      <c r="B46" s="27" t="s">
        <v>50</v>
      </c>
      <c r="C46" s="13">
        <v>12</v>
      </c>
      <c r="D46" s="14">
        <v>24</v>
      </c>
      <c r="E46" s="14"/>
      <c r="F46" s="8">
        <f>D46/C46</f>
        <v>2</v>
      </c>
      <c r="G46" s="12">
        <v>0.18</v>
      </c>
      <c r="H46" s="8">
        <f>G46*D46</f>
        <v>4.32</v>
      </c>
      <c r="I46" s="8"/>
    </row>
    <row r="47" spans="1:9">
      <c r="A47" s="11">
        <v>4421577</v>
      </c>
      <c r="B47" s="27" t="s">
        <v>49</v>
      </c>
      <c r="C47" s="13">
        <v>12</v>
      </c>
      <c r="D47" s="14">
        <v>24</v>
      </c>
      <c r="E47" s="14"/>
      <c r="F47" s="8">
        <f>D47/C47</f>
        <v>2</v>
      </c>
      <c r="G47" s="12">
        <v>0.18</v>
      </c>
      <c r="H47" s="8">
        <f>G47*D47</f>
        <v>4.32</v>
      </c>
      <c r="I47" s="8"/>
    </row>
    <row r="48" spans="1:9">
      <c r="A48" s="11">
        <v>9985949</v>
      </c>
      <c r="B48" s="27" t="s">
        <v>51</v>
      </c>
      <c r="C48" s="13">
        <v>10</v>
      </c>
      <c r="D48" s="14"/>
      <c r="E48" s="14"/>
      <c r="F48" s="8">
        <f>D48/C48</f>
        <v>0</v>
      </c>
      <c r="G48" s="32">
        <v>1</v>
      </c>
      <c r="H48" s="8">
        <f>G48*D48</f>
        <v>0</v>
      </c>
      <c r="I48" s="8"/>
    </row>
    <row r="49" spans="1:9">
      <c r="A49" s="11">
        <v>8786928</v>
      </c>
      <c r="B49" s="27" t="s">
        <v>52</v>
      </c>
      <c r="C49" s="13">
        <v>4</v>
      </c>
      <c r="D49" s="14"/>
      <c r="E49" s="14"/>
      <c r="F49" s="8">
        <f>E49/6</f>
        <v>0</v>
      </c>
      <c r="G49" s="12">
        <v>1.5</v>
      </c>
      <c r="H49" s="8">
        <f>E49</f>
        <v>0</v>
      </c>
      <c r="I49" s="8" t="s">
        <v>53</v>
      </c>
    </row>
    <row r="50" spans="1:9">
      <c r="A50" s="11">
        <v>6948270</v>
      </c>
      <c r="B50" s="27" t="s">
        <v>55</v>
      </c>
      <c r="C50" s="13">
        <v>12</v>
      </c>
      <c r="D50" s="14"/>
      <c r="E50" s="14"/>
      <c r="F50" s="8">
        <f t="shared" ref="F50:F57" si="4">D50/C50</f>
        <v>0</v>
      </c>
      <c r="G50" s="12">
        <v>0.372</v>
      </c>
      <c r="H50" s="8">
        <f t="shared" ref="H50:H57" si="5">G50*D50</f>
        <v>0</v>
      </c>
      <c r="I50" s="8"/>
    </row>
    <row r="51" spans="1:9">
      <c r="A51" s="11">
        <v>6948287</v>
      </c>
      <c r="B51" s="27" t="s">
        <v>56</v>
      </c>
      <c r="C51" s="13">
        <v>12</v>
      </c>
      <c r="D51" s="14">
        <v>348</v>
      </c>
      <c r="E51" s="14"/>
      <c r="F51" s="8">
        <f t="shared" si="4"/>
        <v>29</v>
      </c>
      <c r="G51" s="12">
        <v>0.74399999999999999</v>
      </c>
      <c r="H51" s="8">
        <f t="shared" si="5"/>
        <v>258.91199999999998</v>
      </c>
      <c r="I51" s="8"/>
    </row>
    <row r="52" spans="1:9">
      <c r="A52" s="11">
        <v>6948256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0.372</v>
      </c>
      <c r="H52" s="8">
        <f t="shared" si="5"/>
        <v>0</v>
      </c>
      <c r="I52" s="8"/>
    </row>
    <row r="53" spans="1:9">
      <c r="A53" s="11">
        <v>6948263</v>
      </c>
      <c r="B53" s="27" t="s">
        <v>58</v>
      </c>
      <c r="C53" s="13">
        <v>12</v>
      </c>
      <c r="D53" s="14"/>
      <c r="E53" s="14"/>
      <c r="F53" s="8">
        <f t="shared" si="4"/>
        <v>0</v>
      </c>
      <c r="G53" s="12">
        <v>0.74399999999999999</v>
      </c>
      <c r="H53" s="8">
        <f t="shared" si="5"/>
        <v>0</v>
      </c>
      <c r="I53" s="8"/>
    </row>
    <row r="54" spans="1:9">
      <c r="A54" s="11">
        <v>6948249</v>
      </c>
      <c r="B54" s="27" t="s">
        <v>59</v>
      </c>
      <c r="C54" s="13">
        <v>12</v>
      </c>
      <c r="D54" s="14"/>
      <c r="E54" s="14"/>
      <c r="F54" s="8">
        <f t="shared" si="4"/>
        <v>0</v>
      </c>
      <c r="G54" s="12">
        <v>0.82499999999999996</v>
      </c>
      <c r="H54" s="8">
        <f t="shared" si="5"/>
        <v>0</v>
      </c>
      <c r="I54" s="8"/>
    </row>
    <row r="55" spans="1:9">
      <c r="A55" s="26">
        <v>2105201</v>
      </c>
      <c r="B55" s="30" t="s">
        <v>75</v>
      </c>
      <c r="C55" s="13">
        <v>24</v>
      </c>
      <c r="D55" s="14">
        <v>72</v>
      </c>
      <c r="E55" s="14"/>
      <c r="F55" s="8">
        <f t="shared" si="4"/>
        <v>3</v>
      </c>
      <c r="G55" s="12">
        <v>0.1</v>
      </c>
      <c r="H55" s="8">
        <f t="shared" si="5"/>
        <v>7.2</v>
      </c>
      <c r="I55" s="8"/>
    </row>
    <row r="56" spans="1:9">
      <c r="A56" s="26">
        <v>2103201</v>
      </c>
      <c r="B56" s="30" t="s">
        <v>76</v>
      </c>
      <c r="C56" s="13">
        <v>24</v>
      </c>
      <c r="D56" s="14">
        <v>72</v>
      </c>
      <c r="E56" s="14"/>
      <c r="F56" s="8">
        <f t="shared" si="4"/>
        <v>3</v>
      </c>
      <c r="G56" s="12">
        <v>0.1</v>
      </c>
      <c r="H56" s="8">
        <f t="shared" si="5"/>
        <v>7.2</v>
      </c>
      <c r="I56" s="8"/>
    </row>
    <row r="57" spans="1:9">
      <c r="A57" s="26">
        <v>1103201</v>
      </c>
      <c r="B57" s="30" t="s">
        <v>77</v>
      </c>
      <c r="C57" s="13">
        <v>24</v>
      </c>
      <c r="D57" s="14"/>
      <c r="E57" s="14"/>
      <c r="F57" s="8">
        <f t="shared" si="4"/>
        <v>0</v>
      </c>
      <c r="G57" s="12">
        <v>5.5E-2</v>
      </c>
      <c r="H57" s="8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569.11200000000008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2026-08-27T09:02:02Z</dcterms:modified>
</cp:coreProperties>
</file>