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Останкино\филиалы НВ\08,26\25,08,26 Останкино СЫРЫ\"/>
    </mc:Choice>
  </mc:AlternateContent>
  <xr:revisionPtr revIDLastSave="0" documentId="13_ncr:1_{CB8D95C1-01AF-43B7-9DBD-88D16082862C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definedNames>
    <definedName name="_xlnm._FilterDatabase" localSheetId="0" hidden="1">Sheet!$A$3:$AG$55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17" i="1" l="1"/>
  <c r="S5" i="1" s="1"/>
  <c r="S20" i="1"/>
  <c r="S22" i="1"/>
  <c r="S32" i="1"/>
  <c r="S33" i="1"/>
  <c r="S35" i="1"/>
  <c r="S38" i="1"/>
  <c r="S39" i="1"/>
  <c r="S40" i="1"/>
  <c r="S41" i="1"/>
  <c r="S42" i="1"/>
  <c r="S44" i="1"/>
  <c r="S46" i="1"/>
  <c r="S49" i="1"/>
  <c r="S50" i="1"/>
  <c r="S51" i="1"/>
  <c r="S53" i="1"/>
  <c r="AG48" i="1" l="1"/>
  <c r="AG36" i="1"/>
  <c r="AG34" i="1"/>
  <c r="AG30" i="1"/>
  <c r="AG27" i="1"/>
  <c r="AG24" i="1"/>
  <c r="AG16" i="1"/>
  <c r="AG15" i="1"/>
  <c r="AG14" i="1"/>
  <c r="AG8" i="1"/>
  <c r="AG7" i="1"/>
  <c r="Q55" i="1"/>
  <c r="U55" i="1" s="1"/>
  <c r="L55" i="1"/>
  <c r="Q54" i="1"/>
  <c r="T54" i="1" s="1"/>
  <c r="L54" i="1"/>
  <c r="F53" i="1"/>
  <c r="E53" i="1"/>
  <c r="L53" i="1" s="1"/>
  <c r="Q52" i="1"/>
  <c r="U52" i="1" s="1"/>
  <c r="L52" i="1"/>
  <c r="Q51" i="1"/>
  <c r="U51" i="1" s="1"/>
  <c r="L51" i="1"/>
  <c r="Q50" i="1"/>
  <c r="U50" i="1" s="1"/>
  <c r="L50" i="1"/>
  <c r="Q49" i="1"/>
  <c r="U49" i="1" s="1"/>
  <c r="L49" i="1"/>
  <c r="Q48" i="1"/>
  <c r="U48" i="1" s="1"/>
  <c r="L48" i="1"/>
  <c r="Q47" i="1"/>
  <c r="U47" i="1" s="1"/>
  <c r="L47" i="1"/>
  <c r="Q46" i="1"/>
  <c r="U46" i="1" s="1"/>
  <c r="L46" i="1"/>
  <c r="Q45" i="1"/>
  <c r="U45" i="1" s="1"/>
  <c r="L45" i="1"/>
  <c r="Q44" i="1"/>
  <c r="U44" i="1" s="1"/>
  <c r="L44" i="1"/>
  <c r="AG43" i="1"/>
  <c r="Q43" i="1"/>
  <c r="U43" i="1" s="1"/>
  <c r="L43" i="1"/>
  <c r="Q42" i="1"/>
  <c r="L42" i="1"/>
  <c r="Q41" i="1"/>
  <c r="U41" i="1" s="1"/>
  <c r="L41" i="1"/>
  <c r="Q40" i="1"/>
  <c r="U40" i="1" s="1"/>
  <c r="L40" i="1"/>
  <c r="Q39" i="1"/>
  <c r="U39" i="1" s="1"/>
  <c r="L39" i="1"/>
  <c r="Q38" i="1"/>
  <c r="R38" i="1" s="1"/>
  <c r="AG38" i="1" s="1"/>
  <c r="L38" i="1"/>
  <c r="AG37" i="1"/>
  <c r="Q37" i="1"/>
  <c r="U37" i="1" s="1"/>
  <c r="L37" i="1"/>
  <c r="Q36" i="1"/>
  <c r="U36" i="1" s="1"/>
  <c r="L36" i="1"/>
  <c r="Q35" i="1"/>
  <c r="U35" i="1" s="1"/>
  <c r="L35" i="1"/>
  <c r="Q34" i="1"/>
  <c r="L34" i="1"/>
  <c r="Q33" i="1"/>
  <c r="U33" i="1" s="1"/>
  <c r="L33" i="1"/>
  <c r="Q32" i="1"/>
  <c r="U32" i="1" s="1"/>
  <c r="L32" i="1"/>
  <c r="Q31" i="1"/>
  <c r="U31" i="1" s="1"/>
  <c r="L31" i="1"/>
  <c r="Q30" i="1"/>
  <c r="L30" i="1"/>
  <c r="Q29" i="1"/>
  <c r="U29" i="1" s="1"/>
  <c r="L29" i="1"/>
  <c r="Q28" i="1"/>
  <c r="U28" i="1" s="1"/>
  <c r="L28" i="1"/>
  <c r="Q27" i="1"/>
  <c r="U27" i="1" s="1"/>
  <c r="L27" i="1"/>
  <c r="Q26" i="1"/>
  <c r="U26" i="1" s="1"/>
  <c r="L26" i="1"/>
  <c r="Q25" i="1"/>
  <c r="U25" i="1" s="1"/>
  <c r="L25" i="1"/>
  <c r="Q24" i="1"/>
  <c r="U24" i="1" s="1"/>
  <c r="L24" i="1"/>
  <c r="AG23" i="1"/>
  <c r="Q23" i="1"/>
  <c r="U23" i="1" s="1"/>
  <c r="L23" i="1"/>
  <c r="Q22" i="1"/>
  <c r="R22" i="1" s="1"/>
  <c r="AG22" i="1" s="1"/>
  <c r="L22" i="1"/>
  <c r="Q21" i="1"/>
  <c r="U21" i="1" s="1"/>
  <c r="L21" i="1"/>
  <c r="Q20" i="1"/>
  <c r="L20" i="1"/>
  <c r="Q19" i="1"/>
  <c r="U19" i="1" s="1"/>
  <c r="L19" i="1"/>
  <c r="Q18" i="1"/>
  <c r="L18" i="1"/>
  <c r="Q17" i="1"/>
  <c r="U17" i="1" s="1"/>
  <c r="L17" i="1"/>
  <c r="Q16" i="1"/>
  <c r="U16" i="1" s="1"/>
  <c r="L16" i="1"/>
  <c r="Q15" i="1"/>
  <c r="U15" i="1" s="1"/>
  <c r="L15" i="1"/>
  <c r="Q14" i="1"/>
  <c r="U14" i="1" s="1"/>
  <c r="L14" i="1"/>
  <c r="Q13" i="1"/>
  <c r="U13" i="1" s="1"/>
  <c r="L13" i="1"/>
  <c r="Q12" i="1"/>
  <c r="U12" i="1" s="1"/>
  <c r="L12" i="1"/>
  <c r="Q11" i="1"/>
  <c r="U11" i="1" s="1"/>
  <c r="L11" i="1"/>
  <c r="Q10" i="1"/>
  <c r="L10" i="1"/>
  <c r="F9" i="1"/>
  <c r="E9" i="1"/>
  <c r="Q8" i="1"/>
  <c r="L8" i="1"/>
  <c r="Q7" i="1"/>
  <c r="L7" i="1"/>
  <c r="Q6" i="1"/>
  <c r="U6" i="1" s="1"/>
  <c r="L6" i="1"/>
  <c r="AE5" i="1"/>
  <c r="AD5" i="1"/>
  <c r="AC5" i="1"/>
  <c r="AB5" i="1"/>
  <c r="AA5" i="1"/>
  <c r="Z5" i="1"/>
  <c r="Y5" i="1"/>
  <c r="X5" i="1"/>
  <c r="W5" i="1"/>
  <c r="V5" i="1"/>
  <c r="P5" i="1"/>
  <c r="O5" i="1"/>
  <c r="N5" i="1"/>
  <c r="M5" i="1"/>
  <c r="K5" i="1"/>
  <c r="R42" i="1" l="1"/>
  <c r="AG42" i="1" s="1"/>
  <c r="R35" i="1"/>
  <c r="AG35" i="1" s="1"/>
  <c r="R46" i="1"/>
  <c r="AG46" i="1" s="1"/>
  <c r="R20" i="1"/>
  <c r="AG20" i="1" s="1"/>
  <c r="R39" i="1"/>
  <c r="R51" i="1"/>
  <c r="AG51" i="1" s="1"/>
  <c r="U54" i="1"/>
  <c r="R40" i="1"/>
  <c r="AG40" i="1" s="1"/>
  <c r="R44" i="1"/>
  <c r="AG44" i="1" s="1"/>
  <c r="T37" i="1"/>
  <c r="R50" i="1"/>
  <c r="AG50" i="1" s="1"/>
  <c r="R17" i="1"/>
  <c r="AG17" i="1" s="1"/>
  <c r="U38" i="1"/>
  <c r="AG18" i="1"/>
  <c r="U18" i="1"/>
  <c r="T45" i="1"/>
  <c r="AG19" i="1"/>
  <c r="AG39" i="1"/>
  <c r="R41" i="1"/>
  <c r="T10" i="1"/>
  <c r="T34" i="1"/>
  <c r="U34" i="1"/>
  <c r="AG6" i="1"/>
  <c r="AG26" i="1"/>
  <c r="AG47" i="1"/>
  <c r="R49" i="1"/>
  <c r="AG49" i="1" s="1"/>
  <c r="AG28" i="1"/>
  <c r="AG29" i="1"/>
  <c r="AG10" i="1"/>
  <c r="T22" i="1"/>
  <c r="AG11" i="1"/>
  <c r="AG31" i="1"/>
  <c r="AG52" i="1"/>
  <c r="E5" i="1"/>
  <c r="T30" i="1"/>
  <c r="AG12" i="1"/>
  <c r="R32" i="1"/>
  <c r="AG32" i="1" s="1"/>
  <c r="AG13" i="1"/>
  <c r="R33" i="1"/>
  <c r="AG33" i="1" s="1"/>
  <c r="AG55" i="1"/>
  <c r="T38" i="1"/>
  <c r="T14" i="1"/>
  <c r="T8" i="1"/>
  <c r="U10" i="1"/>
  <c r="U22" i="1"/>
  <c r="T29" i="1"/>
  <c r="Q53" i="1"/>
  <c r="R53" i="1" s="1"/>
  <c r="U30" i="1"/>
  <c r="U42" i="1"/>
  <c r="T7" i="1"/>
  <c r="U7" i="1"/>
  <c r="U8" i="1"/>
  <c r="U20" i="1"/>
  <c r="Q9" i="1"/>
  <c r="T48" i="1"/>
  <c r="T16" i="1"/>
  <c r="T24" i="1"/>
  <c r="T36" i="1"/>
  <c r="L9" i="1"/>
  <c r="L5" i="1" s="1"/>
  <c r="F5" i="1"/>
  <c r="T15" i="1"/>
  <c r="T23" i="1"/>
  <c r="T11" i="1"/>
  <c r="T19" i="1"/>
  <c r="T27" i="1"/>
  <c r="T31" i="1"/>
  <c r="T43" i="1"/>
  <c r="T35" i="1" l="1"/>
  <c r="T20" i="1"/>
  <c r="T51" i="1"/>
  <c r="T42" i="1"/>
  <c r="T50" i="1"/>
  <c r="T46" i="1"/>
  <c r="T40" i="1"/>
  <c r="T44" i="1"/>
  <c r="T49" i="1"/>
  <c r="T17" i="1"/>
  <c r="AG25" i="1"/>
  <c r="T25" i="1"/>
  <c r="U9" i="1"/>
  <c r="AG9" i="1"/>
  <c r="T21" i="1"/>
  <c r="AG21" i="1"/>
  <c r="T41" i="1"/>
  <c r="AG41" i="1"/>
  <c r="T26" i="1"/>
  <c r="U53" i="1"/>
  <c r="R5" i="1"/>
  <c r="T47" i="1"/>
  <c r="T55" i="1"/>
  <c r="T39" i="1"/>
  <c r="T12" i="1"/>
  <c r="T33" i="1"/>
  <c r="T18" i="1"/>
  <c r="T6" i="1"/>
  <c r="T13" i="1"/>
  <c r="T52" i="1"/>
  <c r="T32" i="1"/>
  <c r="T28" i="1"/>
  <c r="Q5" i="1"/>
  <c r="T9" i="1" l="1"/>
  <c r="AG53" i="1"/>
  <c r="AG5" i="1" s="1"/>
  <c r="T53" i="1"/>
</calcChain>
</file>

<file path=xl/sharedStrings.xml><?xml version="1.0" encoding="utf-8"?>
<sst xmlns="http://schemas.openxmlformats.org/spreadsheetml/2006/main" count="199" uniqueCount="101">
  <si>
    <t>не оприходавано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</si>
  <si>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</si>
  <si>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</si>
  <si>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</si>
  <si>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</si>
  <si>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</si>
  <si>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</si>
  <si>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</si>
  <si>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</si>
  <si>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</si>
  <si>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</si>
  <si>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</si>
  <si>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</si>
  <si>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</si>
  <si>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</si>
  <si>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</si>
  <si>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</si>
  <si>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кон ост</t>
  </si>
  <si>
    <t>факт</t>
  </si>
  <si>
    <t>ср</t>
  </si>
  <si>
    <t>комментарии</t>
  </si>
  <si>
    <t>вес</t>
  </si>
  <si>
    <t>17,08,</t>
  </si>
  <si>
    <t>24,08,</t>
  </si>
  <si>
    <t>25,08,</t>
  </si>
  <si>
    <t>18,08,</t>
  </si>
  <si>
    <t>11,08,</t>
  </si>
  <si>
    <t>04,08,</t>
  </si>
  <si>
    <t>28,07,</t>
  </si>
  <si>
    <t>21,07,</t>
  </si>
  <si>
    <t>14,07,</t>
  </si>
  <si>
    <t>07,07,</t>
  </si>
  <si>
    <t>29,06,</t>
  </si>
  <si>
    <t>22,06,</t>
  </si>
  <si>
    <t>15,06,</t>
  </si>
  <si>
    <t>1103201 Сыр копченый "Косичка" мини ПАПА МОЖЕТ 55г лоток  ОСТАНКИНО</t>
  </si>
  <si>
    <t>шт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</si>
  <si>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</si>
  <si>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</si>
  <si>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нужно увеличить продажи!!! / новинка</t>
  </si>
  <si>
    <t>3323 Сыр Российский цилиндр 1/4 пленка ЮКМП м.д.ж. 50%  ОСТАНКИНО</t>
  </si>
  <si>
    <t>кг</t>
  </si>
  <si>
    <t>нужно увеличить продажи!!!</t>
  </si>
  <si>
    <t>4421577 Спред растительно-сливочный "Сливочный вкус" 82,5% 180гр  Останкино</t>
  </si>
  <si>
    <t>ВНИМАНИЕ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</si>
  <si>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</si>
  <si>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</si>
  <si>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</si>
  <si>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</si>
  <si>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</si>
  <si>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</si>
  <si>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</si>
  <si>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24,08,26 - отсутствует на заводе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</si>
  <si>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</si>
  <si>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</si>
  <si>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</si>
  <si>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со вкусом Васаби 40% 100гр (8шт)  Останкино</t>
  </si>
  <si>
    <t>нужно увеличить продажи</t>
  </si>
  <si>
    <t>Масло "Папа может" 82,5% 180гр  Останкино</t>
  </si>
  <si>
    <t>Масло сливочное 72,5 % 180 гр.(10 шт) СЛАВЯНА  Останкино</t>
  </si>
  <si>
    <t>1345шт разовая продажа (11,08,26)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</si>
  <si>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</si>
  <si>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</si>
  <si>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</si>
  <si>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</si>
  <si>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</si>
  <si>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Продукт белково-жировой Сметанковый 50% ВЕС Коровино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</si>
  <si>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</si>
  <si>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</si>
  <si>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</si>
  <si>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</si>
  <si>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</si>
  <si>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</si>
  <si>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</si>
  <si>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</si>
  <si>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</si>
  <si>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</si>
  <si>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Скаморца свежий 100 гр.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</si>
  <si>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</si>
  <si>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</si>
  <si>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</si>
  <si>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</si>
  <si>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</si>
  <si>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дубль</t>
  </si>
  <si>
    <t>Сыр полутвердый "Сметанковый", с масс долей жира в пересчете на сухое вещес50%, брус  Останкино</t>
  </si>
  <si>
    <t>20кг сети Деликатес (06,08,26)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</si>
  <si>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</si>
  <si>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</si>
  <si>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</si>
  <si>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</si>
  <si>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</si>
  <si>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</si>
  <si>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78 кг разовая продажа (11,08,26) / 20кг сети Деликатес (06,08,26) / 14,07,26 разовая продажа 295 кг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</si>
  <si>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</si>
  <si>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</si>
  <si>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НОВАЯ (5 кг брус) СЗМЖ  ОСТАНКИНО</t>
  </si>
  <si>
    <r>
      <t>нужно увеличить продажи!!! /</t>
    </r>
    <r>
      <rPr>
        <sz val="10"/>
        <rFont val="Arial"/>
        <family val="2"/>
        <charset val="204"/>
      </rPr>
      <t xml:space="preserve"> не стабильные продажи</t>
    </r>
  </si>
  <si>
    <t>итого</t>
  </si>
  <si>
    <t>заказ</t>
  </si>
  <si>
    <t>31,08,</t>
  </si>
  <si>
    <t>27,08,26 - нет на заводе / ТК сделали заказ под клиента (помощь заводу)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</si>
</sst>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9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4" fillId="4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5" fillId="6" borderId="1" xfId="1" applyNumberFormat="1" applyFont="1" applyFill="1"/>
    <xf numFmtId="164" fontId="6" fillId="7" borderId="1" xfId="1" applyNumberFormat="1" applyFont="1" applyFill="1"/>
    <xf numFmtId="164" fontId="4" fillId="0" borderId="1" xfId="1" applyNumberFormat="1" applyFont="1"/>
    <xf numFmtId="164" fontId="4" fillId="7" borderId="1" xfId="1" applyNumberFormat="1" applyFont="1" applyFill="1"/>
    <xf numFmtId="164" fontId="1" fillId="8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K9" sqref="AK9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1.42578125" customWidth="1"/>
    <col min="10" max="10" width="1" customWidth="1"/>
    <col min="11" max="12" width="7" customWidth="1"/>
    <col min="13" max="14" width="1" customWidth="1"/>
    <col min="15" max="19" width="7" customWidth="1"/>
    <col min="20" max="21" width="5" customWidth="1"/>
    <col min="22" max="31" width="6" customWidth="1"/>
    <col min="32" max="32" width="50.5703125" customWidth="1"/>
    <col min="33" max="33" width="7" customWidth="1"/>
    <col min="34" max="50" width="3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0" t="s">
        <v>0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8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15</v>
      </c>
      <c r="Q3" s="2" t="s">
        <v>16</v>
      </c>
      <c r="R3" s="3" t="s">
        <v>97</v>
      </c>
      <c r="S3" s="3" t="s">
        <v>98</v>
      </c>
      <c r="T3" s="2" t="s">
        <v>17</v>
      </c>
      <c r="U3" s="2" t="s">
        <v>18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20</v>
      </c>
      <c r="AG3" s="2" t="s">
        <v>21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/>
      <c r="S4" s="1" t="s">
        <v>99</v>
      </c>
      <c r="T4" s="1"/>
      <c r="U4" s="1"/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SUM(E6:E500)</f>
        <v>3067.6750000000002</v>
      </c>
      <c r="F5" s="4">
        <f>SUM(F6:F500)</f>
        <v>5289.7110000000002</v>
      </c>
      <c r="G5" s="7"/>
      <c r="H5" s="1"/>
      <c r="I5" s="1"/>
      <c r="J5" s="1"/>
      <c r="K5" s="4">
        <f t="shared" ref="K5:S5" si="0">SUM(K6:K500)</f>
        <v>4644.3359999999993</v>
      </c>
      <c r="L5" s="4">
        <f t="shared" si="0"/>
        <v>-1576.6610000000003</v>
      </c>
      <c r="M5" s="4">
        <f t="shared" si="0"/>
        <v>0</v>
      </c>
      <c r="N5" s="4">
        <f t="shared" si="0"/>
        <v>0</v>
      </c>
      <c r="O5" s="4">
        <f t="shared" si="0"/>
        <v>530</v>
      </c>
      <c r="P5" s="4">
        <f t="shared" si="0"/>
        <v>1864</v>
      </c>
      <c r="Q5" s="4">
        <f t="shared" si="0"/>
        <v>613.53500000000008</v>
      </c>
      <c r="R5" s="4">
        <f t="shared" si="0"/>
        <v>2438.2184000000002</v>
      </c>
      <c r="S5" s="4">
        <f t="shared" si="0"/>
        <v>2434</v>
      </c>
      <c r="T5" s="1"/>
      <c r="U5" s="1"/>
      <c r="V5" s="4">
        <f t="shared" ref="V5:AE5" si="1">SUM(V6:V500)</f>
        <v>554.01200000000017</v>
      </c>
      <c r="W5" s="4">
        <f t="shared" si="1"/>
        <v>803.35120000000006</v>
      </c>
      <c r="X5" s="4">
        <f t="shared" si="1"/>
        <v>614.32119999999998</v>
      </c>
      <c r="Y5" s="4">
        <f t="shared" si="1"/>
        <v>721.64419999999996</v>
      </c>
      <c r="Z5" s="4">
        <f t="shared" si="1"/>
        <v>865.60019999999997</v>
      </c>
      <c r="AA5" s="4">
        <f t="shared" si="1"/>
        <v>773.1673999999997</v>
      </c>
      <c r="AB5" s="4">
        <f t="shared" si="1"/>
        <v>839.99680000000001</v>
      </c>
      <c r="AC5" s="4">
        <f t="shared" si="1"/>
        <v>764.26639999999998</v>
      </c>
      <c r="AD5" s="4">
        <f t="shared" si="1"/>
        <v>652.70920000000001</v>
      </c>
      <c r="AE5" s="4">
        <f t="shared" si="1"/>
        <v>702.91539999999986</v>
      </c>
      <c r="AF5" s="1"/>
      <c r="AG5" s="4">
        <f>SUM(AG6:AG500)</f>
        <v>609.97840000000008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35</v>
      </c>
      <c r="B6" s="1" t="s">
        <v>36</v>
      </c>
      <c r="C6" s="1">
        <v>30</v>
      </c>
      <c r="D6" s="1"/>
      <c r="E6" s="1">
        <v>2</v>
      </c>
      <c r="F6" s="1">
        <v>28</v>
      </c>
      <c r="G6" s="7">
        <v>5.5E-2</v>
      </c>
      <c r="H6" s="1">
        <v>120</v>
      </c>
      <c r="I6" s="1"/>
      <c r="J6" s="1"/>
      <c r="K6" s="1">
        <v>2</v>
      </c>
      <c r="L6" s="1">
        <f t="shared" ref="L6:L37" si="2">E6-K6</f>
        <v>0</v>
      </c>
      <c r="M6" s="1"/>
      <c r="N6" s="1"/>
      <c r="O6" s="1"/>
      <c r="P6" s="1"/>
      <c r="Q6" s="1">
        <f t="shared" ref="Q6:Q37" si="3">E6/5</f>
        <v>0.4</v>
      </c>
      <c r="R6" s="5"/>
      <c r="S6" s="5"/>
      <c r="T6" s="1">
        <f t="shared" ref="T6:T37" si="4">(F6+O6+P6+R6)/Q6</f>
        <v>70</v>
      </c>
      <c r="U6" s="1">
        <f t="shared" ref="U6:U37" si="5">(F6+O6+P6)/Q6</f>
        <v>70</v>
      </c>
      <c r="V6" s="1">
        <v>1.2</v>
      </c>
      <c r="W6" s="1">
        <v>1</v>
      </c>
      <c r="X6" s="1">
        <v>1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5" t="s">
        <v>39</v>
      </c>
      <c r="AG6" s="1">
        <f t="shared" ref="AG6:AG44" si="6">G6*R6</f>
        <v>0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37</v>
      </c>
      <c r="B7" s="1" t="s">
        <v>36</v>
      </c>
      <c r="C7" s="1">
        <v>31</v>
      </c>
      <c r="D7" s="1"/>
      <c r="E7" s="1">
        <v>2</v>
      </c>
      <c r="F7" s="1">
        <v>29</v>
      </c>
      <c r="G7" s="7">
        <v>0.1</v>
      </c>
      <c r="H7" s="1">
        <v>120</v>
      </c>
      <c r="I7" s="1"/>
      <c r="J7" s="1"/>
      <c r="K7" s="1">
        <v>2</v>
      </c>
      <c r="L7" s="1">
        <f t="shared" si="2"/>
        <v>0</v>
      </c>
      <c r="M7" s="1"/>
      <c r="N7" s="1"/>
      <c r="O7" s="1"/>
      <c r="P7" s="1"/>
      <c r="Q7" s="1">
        <f t="shared" si="3"/>
        <v>0.4</v>
      </c>
      <c r="R7" s="5"/>
      <c r="S7" s="5"/>
      <c r="T7" s="1">
        <f t="shared" si="4"/>
        <v>72.5</v>
      </c>
      <c r="U7" s="1">
        <f t="shared" si="5"/>
        <v>72.5</v>
      </c>
      <c r="V7" s="1">
        <v>1.6</v>
      </c>
      <c r="W7" s="1">
        <v>1.2</v>
      </c>
      <c r="X7" s="1">
        <v>1.2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5" t="s">
        <v>39</v>
      </c>
      <c r="AG7" s="1">
        <f t="shared" si="6"/>
        <v>0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38</v>
      </c>
      <c r="B8" s="1" t="s">
        <v>36</v>
      </c>
      <c r="C8" s="1">
        <v>31</v>
      </c>
      <c r="D8" s="1"/>
      <c r="E8" s="1"/>
      <c r="F8" s="1">
        <v>31</v>
      </c>
      <c r="G8" s="7">
        <v>0.1</v>
      </c>
      <c r="H8" s="1">
        <v>120</v>
      </c>
      <c r="I8" s="1"/>
      <c r="J8" s="1"/>
      <c r="K8" s="1"/>
      <c r="L8" s="1">
        <f t="shared" si="2"/>
        <v>0</v>
      </c>
      <c r="M8" s="1"/>
      <c r="N8" s="1"/>
      <c r="O8" s="1"/>
      <c r="P8" s="1"/>
      <c r="Q8" s="1">
        <f t="shared" si="3"/>
        <v>0</v>
      </c>
      <c r="R8" s="5"/>
      <c r="S8" s="5"/>
      <c r="T8" s="1" t="e">
        <f t="shared" si="4"/>
        <v>#DIV/0!</v>
      </c>
      <c r="U8" s="1" t="e">
        <f t="shared" si="5"/>
        <v>#DIV/0!</v>
      </c>
      <c r="V8" s="1">
        <v>0.8</v>
      </c>
      <c r="W8" s="1">
        <v>1.2</v>
      </c>
      <c r="X8" s="1">
        <v>1.6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5" t="s">
        <v>39</v>
      </c>
      <c r="AG8" s="1">
        <f t="shared" si="6"/>
        <v>0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40</v>
      </c>
      <c r="B9" s="1" t="s">
        <v>41</v>
      </c>
      <c r="C9" s="1">
        <v>341.76</v>
      </c>
      <c r="D9" s="1">
        <v>1.262</v>
      </c>
      <c r="E9" s="14">
        <f>46.654+E45</f>
        <v>49.160000000000004</v>
      </c>
      <c r="F9" s="14">
        <f>277.7+F45</f>
        <v>272.572</v>
      </c>
      <c r="G9" s="7">
        <v>1</v>
      </c>
      <c r="H9" s="1">
        <v>120</v>
      </c>
      <c r="I9" s="1"/>
      <c r="J9" s="1"/>
      <c r="K9" s="1">
        <v>53.235999999999997</v>
      </c>
      <c r="L9" s="1">
        <f t="shared" si="2"/>
        <v>-4.0759999999999934</v>
      </c>
      <c r="M9" s="1"/>
      <c r="N9" s="1"/>
      <c r="O9" s="1"/>
      <c r="P9" s="1"/>
      <c r="Q9" s="1">
        <f t="shared" si="3"/>
        <v>9.8320000000000007</v>
      </c>
      <c r="R9" s="5"/>
      <c r="S9" s="5"/>
      <c r="T9" s="1">
        <f t="shared" si="4"/>
        <v>27.72294548413344</v>
      </c>
      <c r="U9" s="1">
        <f t="shared" si="5"/>
        <v>27.72294548413344</v>
      </c>
      <c r="V9" s="1">
        <v>7.8068</v>
      </c>
      <c r="W9" s="1">
        <v>12.0304</v>
      </c>
      <c r="X9" s="1">
        <v>13.2544</v>
      </c>
      <c r="Y9" s="1">
        <v>23.414999999999999</v>
      </c>
      <c r="Z9" s="1">
        <v>16.726800000000001</v>
      </c>
      <c r="AA9" s="1">
        <v>14.728400000000001</v>
      </c>
      <c r="AB9" s="1">
        <v>13.632400000000001</v>
      </c>
      <c r="AC9" s="1">
        <v>9.0015999999999998</v>
      </c>
      <c r="AD9" s="1">
        <v>20.434799999999999</v>
      </c>
      <c r="AE9" s="1">
        <v>20.461600000000001</v>
      </c>
      <c r="AF9" s="15" t="s">
        <v>42</v>
      </c>
      <c r="AG9" s="1">
        <f t="shared" si="6"/>
        <v>0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43</v>
      </c>
      <c r="B10" s="1" t="s">
        <v>36</v>
      </c>
      <c r="C10" s="1">
        <v>631</v>
      </c>
      <c r="D10" s="1"/>
      <c r="E10" s="1">
        <v>594</v>
      </c>
      <c r="F10" s="1">
        <v>32</v>
      </c>
      <c r="G10" s="7">
        <v>0.18</v>
      </c>
      <c r="H10" s="1">
        <v>180</v>
      </c>
      <c r="I10" s="1" t="s">
        <v>44</v>
      </c>
      <c r="J10" s="1"/>
      <c r="K10" s="1">
        <v>590</v>
      </c>
      <c r="L10" s="1">
        <f t="shared" si="2"/>
        <v>4</v>
      </c>
      <c r="M10" s="1"/>
      <c r="N10" s="1"/>
      <c r="O10" s="1"/>
      <c r="P10" s="1"/>
      <c r="Q10" s="1">
        <f t="shared" si="3"/>
        <v>118.8</v>
      </c>
      <c r="R10" s="5">
        <v>20</v>
      </c>
      <c r="S10" s="18">
        <v>0</v>
      </c>
      <c r="T10" s="1">
        <f t="shared" si="4"/>
        <v>0.43771043771043772</v>
      </c>
      <c r="U10" s="1">
        <f t="shared" si="5"/>
        <v>0.26936026936026936</v>
      </c>
      <c r="V10" s="1">
        <v>0.6</v>
      </c>
      <c r="W10" s="1">
        <v>-0.4</v>
      </c>
      <c r="X10" s="1">
        <v>0</v>
      </c>
      <c r="Y10" s="1">
        <v>2.4</v>
      </c>
      <c r="Z10" s="1">
        <v>6.4</v>
      </c>
      <c r="AA10" s="1">
        <v>5.2</v>
      </c>
      <c r="AB10" s="1">
        <v>4.5999999999999996</v>
      </c>
      <c r="AC10" s="1">
        <v>6.8</v>
      </c>
      <c r="AD10" s="1">
        <v>6.6</v>
      </c>
      <c r="AE10" s="1">
        <v>7.4</v>
      </c>
      <c r="AF10" s="16" t="s">
        <v>100</v>
      </c>
      <c r="AG10" s="1">
        <f t="shared" si="6"/>
        <v>3.5999999999999996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45</v>
      </c>
      <c r="B11" s="1" t="s">
        <v>36</v>
      </c>
      <c r="C11" s="1">
        <v>137</v>
      </c>
      <c r="D11" s="1"/>
      <c r="E11" s="1">
        <v>-1</v>
      </c>
      <c r="F11" s="1">
        <v>135</v>
      </c>
      <c r="G11" s="7">
        <v>0.18</v>
      </c>
      <c r="H11" s="1">
        <v>180</v>
      </c>
      <c r="I11" s="1"/>
      <c r="J11" s="1"/>
      <c r="K11" s="1"/>
      <c r="L11" s="1">
        <f t="shared" si="2"/>
        <v>-1</v>
      </c>
      <c r="M11" s="1"/>
      <c r="N11" s="1"/>
      <c r="O11" s="1"/>
      <c r="P11" s="1"/>
      <c r="Q11" s="1">
        <f t="shared" si="3"/>
        <v>-0.2</v>
      </c>
      <c r="R11" s="5"/>
      <c r="S11" s="5"/>
      <c r="T11" s="1">
        <f t="shared" si="4"/>
        <v>-675</v>
      </c>
      <c r="U11" s="1">
        <f t="shared" si="5"/>
        <v>-675</v>
      </c>
      <c r="V11" s="1">
        <v>1.2</v>
      </c>
      <c r="W11" s="1">
        <v>23.4</v>
      </c>
      <c r="X11" s="1">
        <v>-0.4</v>
      </c>
      <c r="Y11" s="1">
        <v>-1.2</v>
      </c>
      <c r="Z11" s="1">
        <v>3.6</v>
      </c>
      <c r="AA11" s="1">
        <v>3</v>
      </c>
      <c r="AB11" s="1">
        <v>7.2</v>
      </c>
      <c r="AC11" s="1">
        <v>8</v>
      </c>
      <c r="AD11" s="1">
        <v>4.4000000000000004</v>
      </c>
      <c r="AE11" s="1">
        <v>11.2</v>
      </c>
      <c r="AF11" s="15" t="s">
        <v>42</v>
      </c>
      <c r="AG11" s="1">
        <f t="shared" si="6"/>
        <v>0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46</v>
      </c>
      <c r="B12" s="1" t="s">
        <v>41</v>
      </c>
      <c r="C12" s="1">
        <v>47.781999999999996</v>
      </c>
      <c r="D12" s="1"/>
      <c r="E12" s="1">
        <v>6.226</v>
      </c>
      <c r="F12" s="1">
        <v>41.555999999999997</v>
      </c>
      <c r="G12" s="7">
        <v>1</v>
      </c>
      <c r="H12" s="1">
        <v>180</v>
      </c>
      <c r="I12" s="1"/>
      <c r="J12" s="1"/>
      <c r="K12" s="1">
        <v>7</v>
      </c>
      <c r="L12" s="1">
        <f t="shared" si="2"/>
        <v>-0.77400000000000002</v>
      </c>
      <c r="M12" s="1"/>
      <c r="N12" s="1"/>
      <c r="O12" s="1"/>
      <c r="P12" s="1"/>
      <c r="Q12" s="1">
        <f t="shared" si="3"/>
        <v>1.2452000000000001</v>
      </c>
      <c r="R12" s="5"/>
      <c r="S12" s="5"/>
      <c r="T12" s="1">
        <f t="shared" si="4"/>
        <v>33.372952136203018</v>
      </c>
      <c r="U12" s="1">
        <f t="shared" si="5"/>
        <v>33.372952136203018</v>
      </c>
      <c r="V12" s="1">
        <v>0.61959999999999993</v>
      </c>
      <c r="W12" s="1">
        <v>2.4516</v>
      </c>
      <c r="X12" s="1">
        <v>3.2412000000000001</v>
      </c>
      <c r="Y12" s="1">
        <v>0</v>
      </c>
      <c r="Z12" s="1">
        <v>0.68120000000000003</v>
      </c>
      <c r="AA12" s="1">
        <v>4.0174000000000003</v>
      </c>
      <c r="AB12" s="1">
        <v>6.1176000000000004</v>
      </c>
      <c r="AC12" s="1">
        <v>5.7628000000000004</v>
      </c>
      <c r="AD12" s="1">
        <v>5.9207999999999998</v>
      </c>
      <c r="AE12" s="1">
        <v>6.5167999999999999</v>
      </c>
      <c r="AF12" s="15" t="s">
        <v>42</v>
      </c>
      <c r="AG12" s="1">
        <f t="shared" si="6"/>
        <v>0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47</v>
      </c>
      <c r="B13" s="1" t="s">
        <v>36</v>
      </c>
      <c r="C13" s="1">
        <v>65</v>
      </c>
      <c r="D13" s="1"/>
      <c r="E13" s="1">
        <v>1</v>
      </c>
      <c r="F13" s="1">
        <v>64</v>
      </c>
      <c r="G13" s="7">
        <v>0.82450000000000001</v>
      </c>
      <c r="H13" s="1">
        <v>180</v>
      </c>
      <c r="I13" s="1"/>
      <c r="J13" s="1"/>
      <c r="K13" s="1">
        <v>12</v>
      </c>
      <c r="L13" s="1">
        <f t="shared" si="2"/>
        <v>-11</v>
      </c>
      <c r="M13" s="1"/>
      <c r="N13" s="1"/>
      <c r="O13" s="1"/>
      <c r="P13" s="1">
        <v>72</v>
      </c>
      <c r="Q13" s="1">
        <f t="shared" si="3"/>
        <v>0.2</v>
      </c>
      <c r="R13" s="5"/>
      <c r="S13" s="5"/>
      <c r="T13" s="1">
        <f t="shared" si="4"/>
        <v>680</v>
      </c>
      <c r="U13" s="1">
        <f t="shared" si="5"/>
        <v>680</v>
      </c>
      <c r="V13" s="1">
        <v>9.6</v>
      </c>
      <c r="W13" s="1">
        <v>0.4</v>
      </c>
      <c r="X13" s="1">
        <v>0.6</v>
      </c>
      <c r="Y13" s="1">
        <v>0</v>
      </c>
      <c r="Z13" s="1">
        <v>1.8</v>
      </c>
      <c r="AA13" s="1">
        <v>2.8</v>
      </c>
      <c r="AB13" s="1">
        <v>2.8</v>
      </c>
      <c r="AC13" s="1">
        <v>3.8</v>
      </c>
      <c r="AD13" s="1">
        <v>1.6</v>
      </c>
      <c r="AE13" s="1">
        <v>3.8</v>
      </c>
      <c r="AF13" s="15" t="s">
        <v>42</v>
      </c>
      <c r="AG13" s="1">
        <f t="shared" si="6"/>
        <v>0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48</v>
      </c>
      <c r="B14" s="1" t="s">
        <v>36</v>
      </c>
      <c r="C14" s="1">
        <v>240</v>
      </c>
      <c r="D14" s="1"/>
      <c r="E14" s="1">
        <v>81</v>
      </c>
      <c r="F14" s="1">
        <v>115</v>
      </c>
      <c r="G14" s="7">
        <v>0.372</v>
      </c>
      <c r="H14" s="1">
        <v>180</v>
      </c>
      <c r="I14" s="1"/>
      <c r="J14" s="1"/>
      <c r="K14" s="1">
        <v>82</v>
      </c>
      <c r="L14" s="1">
        <f t="shared" si="2"/>
        <v>-1</v>
      </c>
      <c r="M14" s="1"/>
      <c r="N14" s="1"/>
      <c r="O14" s="1"/>
      <c r="P14" s="1">
        <v>156</v>
      </c>
      <c r="Q14" s="1">
        <f t="shared" si="3"/>
        <v>16.2</v>
      </c>
      <c r="R14" s="5"/>
      <c r="S14" s="5"/>
      <c r="T14" s="1">
        <f t="shared" si="4"/>
        <v>16.728395061728396</v>
      </c>
      <c r="U14" s="1">
        <f t="shared" si="5"/>
        <v>16.728395061728396</v>
      </c>
      <c r="V14" s="1">
        <v>25.8</v>
      </c>
      <c r="W14" s="1">
        <v>10</v>
      </c>
      <c r="X14" s="1">
        <v>15.2</v>
      </c>
      <c r="Y14" s="1">
        <v>29</v>
      </c>
      <c r="Z14" s="1">
        <v>14.6</v>
      </c>
      <c r="AA14" s="1">
        <v>26.2</v>
      </c>
      <c r="AB14" s="1">
        <v>40.6</v>
      </c>
      <c r="AC14" s="1">
        <v>29.2</v>
      </c>
      <c r="AD14" s="1">
        <v>21</v>
      </c>
      <c r="AE14" s="1">
        <v>20.6</v>
      </c>
      <c r="AF14" s="1"/>
      <c r="AG14" s="1">
        <f t="shared" si="6"/>
        <v>0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49</v>
      </c>
      <c r="B15" s="1" t="s">
        <v>36</v>
      </c>
      <c r="C15" s="1">
        <v>349</v>
      </c>
      <c r="D15" s="1"/>
      <c r="E15" s="1">
        <v>38</v>
      </c>
      <c r="F15" s="1">
        <v>287</v>
      </c>
      <c r="G15" s="7">
        <v>0.74399999999999999</v>
      </c>
      <c r="H15" s="1">
        <v>180</v>
      </c>
      <c r="I15" s="1"/>
      <c r="J15" s="1"/>
      <c r="K15" s="1">
        <v>38</v>
      </c>
      <c r="L15" s="1">
        <f t="shared" si="2"/>
        <v>0</v>
      </c>
      <c r="M15" s="1"/>
      <c r="N15" s="1"/>
      <c r="O15" s="1"/>
      <c r="P15" s="1"/>
      <c r="Q15" s="1">
        <f t="shared" si="3"/>
        <v>7.6</v>
      </c>
      <c r="R15" s="5"/>
      <c r="S15" s="5"/>
      <c r="T15" s="1">
        <f t="shared" si="4"/>
        <v>37.763157894736842</v>
      </c>
      <c r="U15" s="1">
        <f t="shared" si="5"/>
        <v>37.763157894736842</v>
      </c>
      <c r="V15" s="1">
        <v>7.4</v>
      </c>
      <c r="W15" s="1">
        <v>3.2</v>
      </c>
      <c r="X15" s="1">
        <v>21.8</v>
      </c>
      <c r="Y15" s="1">
        <v>17.8</v>
      </c>
      <c r="Z15" s="1">
        <v>5.6</v>
      </c>
      <c r="AA15" s="1">
        <v>21.2</v>
      </c>
      <c r="AB15" s="1">
        <v>30.2</v>
      </c>
      <c r="AC15" s="1">
        <v>24</v>
      </c>
      <c r="AD15" s="1">
        <v>20</v>
      </c>
      <c r="AE15" s="1">
        <v>19</v>
      </c>
      <c r="AF15" s="15" t="s">
        <v>42</v>
      </c>
      <c r="AG15" s="1">
        <f t="shared" si="6"/>
        <v>0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50</v>
      </c>
      <c r="B16" s="1" t="s">
        <v>36</v>
      </c>
      <c r="C16" s="1">
        <v>606</v>
      </c>
      <c r="D16" s="1">
        <v>2</v>
      </c>
      <c r="E16" s="1">
        <v>132</v>
      </c>
      <c r="F16" s="1">
        <v>419</v>
      </c>
      <c r="G16" s="7">
        <v>0.372</v>
      </c>
      <c r="H16" s="1">
        <v>180</v>
      </c>
      <c r="I16" s="1"/>
      <c r="J16" s="1"/>
      <c r="K16" s="1">
        <v>134</v>
      </c>
      <c r="L16" s="1">
        <f t="shared" si="2"/>
        <v>-2</v>
      </c>
      <c r="M16" s="1"/>
      <c r="N16" s="1"/>
      <c r="O16" s="1"/>
      <c r="P16" s="1"/>
      <c r="Q16" s="1">
        <f t="shared" si="3"/>
        <v>26.4</v>
      </c>
      <c r="R16" s="5"/>
      <c r="S16" s="5"/>
      <c r="T16" s="1">
        <f t="shared" si="4"/>
        <v>15.871212121212123</v>
      </c>
      <c r="U16" s="1">
        <f t="shared" si="5"/>
        <v>15.871212121212123</v>
      </c>
      <c r="V16" s="1">
        <v>39</v>
      </c>
      <c r="W16" s="1">
        <v>23</v>
      </c>
      <c r="X16" s="1">
        <v>32.6</v>
      </c>
      <c r="Y16" s="1">
        <v>49.6</v>
      </c>
      <c r="Z16" s="1">
        <v>62.6</v>
      </c>
      <c r="AA16" s="1">
        <v>42.2</v>
      </c>
      <c r="AB16" s="1">
        <v>83.8</v>
      </c>
      <c r="AC16" s="1">
        <v>64.8</v>
      </c>
      <c r="AD16" s="1">
        <v>50</v>
      </c>
      <c r="AE16" s="1">
        <v>61.2</v>
      </c>
      <c r="AF16" s="1"/>
      <c r="AG16" s="1">
        <f t="shared" si="6"/>
        <v>0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51</v>
      </c>
      <c r="B17" s="1" t="s">
        <v>36</v>
      </c>
      <c r="C17" s="1">
        <v>550</v>
      </c>
      <c r="D17" s="1">
        <v>2</v>
      </c>
      <c r="E17" s="1">
        <v>177</v>
      </c>
      <c r="F17" s="1">
        <v>348</v>
      </c>
      <c r="G17" s="7">
        <v>0.74399999999999999</v>
      </c>
      <c r="H17" s="1">
        <v>180</v>
      </c>
      <c r="I17" s="1"/>
      <c r="J17" s="1"/>
      <c r="K17" s="1">
        <v>181</v>
      </c>
      <c r="L17" s="1">
        <f t="shared" si="2"/>
        <v>-4</v>
      </c>
      <c r="M17" s="1"/>
      <c r="N17" s="1"/>
      <c r="O17" s="1"/>
      <c r="P17" s="1">
        <v>0</v>
      </c>
      <c r="Q17" s="1">
        <f t="shared" si="3"/>
        <v>35.4</v>
      </c>
      <c r="R17" s="5">
        <f t="shared" ref="R17:R44" si="7">15*Q17-P17-O17-F17</f>
        <v>183</v>
      </c>
      <c r="S17" s="5">
        <f>VLOOKUP(A17,заказ!A:B,2,0)</f>
        <v>180</v>
      </c>
      <c r="T17" s="1">
        <f t="shared" si="4"/>
        <v>15</v>
      </c>
      <c r="U17" s="1">
        <f t="shared" si="5"/>
        <v>9.8305084745762716</v>
      </c>
      <c r="V17" s="1">
        <v>38.799999999999997</v>
      </c>
      <c r="W17" s="1">
        <v>30.8</v>
      </c>
      <c r="X17" s="1">
        <v>20.6</v>
      </c>
      <c r="Y17" s="1">
        <v>48</v>
      </c>
      <c r="Z17" s="1">
        <v>52.8</v>
      </c>
      <c r="AA17" s="1">
        <v>34.200000000000003</v>
      </c>
      <c r="AB17" s="1">
        <v>70.599999999999994</v>
      </c>
      <c r="AC17" s="1">
        <v>39.799999999999997</v>
      </c>
      <c r="AD17" s="1">
        <v>36.4</v>
      </c>
      <c r="AE17" s="1">
        <v>48.8</v>
      </c>
      <c r="AF17" s="1" t="s">
        <v>52</v>
      </c>
      <c r="AG17" s="1">
        <f t="shared" si="6"/>
        <v>136.15199999999999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53</v>
      </c>
      <c r="B18" s="1" t="s">
        <v>36</v>
      </c>
      <c r="C18" s="1">
        <v>50</v>
      </c>
      <c r="D18" s="1"/>
      <c r="E18" s="1">
        <v>14</v>
      </c>
      <c r="F18" s="1">
        <v>27</v>
      </c>
      <c r="G18" s="7">
        <v>0.14000000000000001</v>
      </c>
      <c r="H18" s="1">
        <v>180</v>
      </c>
      <c r="I18" s="1"/>
      <c r="J18" s="1"/>
      <c r="K18" s="1">
        <v>15</v>
      </c>
      <c r="L18" s="1">
        <f t="shared" si="2"/>
        <v>-1</v>
      </c>
      <c r="M18" s="1"/>
      <c r="N18" s="1"/>
      <c r="O18" s="1"/>
      <c r="P18" s="1">
        <v>16</v>
      </c>
      <c r="Q18" s="1">
        <f t="shared" si="3"/>
        <v>2.8</v>
      </c>
      <c r="R18" s="5"/>
      <c r="S18" s="5"/>
      <c r="T18" s="1">
        <f t="shared" si="4"/>
        <v>15.357142857142858</v>
      </c>
      <c r="U18" s="1">
        <f t="shared" si="5"/>
        <v>15.357142857142858</v>
      </c>
      <c r="V18" s="1">
        <v>3.6</v>
      </c>
      <c r="W18" s="1">
        <v>0.8</v>
      </c>
      <c r="X18" s="1">
        <v>3.8</v>
      </c>
      <c r="Y18" s="1">
        <v>3.8</v>
      </c>
      <c r="Z18" s="1">
        <v>2.2000000000000002</v>
      </c>
      <c r="AA18" s="1">
        <v>4.5999999999999996</v>
      </c>
      <c r="AB18" s="1">
        <v>3.4</v>
      </c>
      <c r="AC18" s="1">
        <v>1.6</v>
      </c>
      <c r="AD18" s="1">
        <v>3.8</v>
      </c>
      <c r="AE18" s="1">
        <v>0.4</v>
      </c>
      <c r="AF18" s="1"/>
      <c r="AG18" s="1">
        <f t="shared" si="6"/>
        <v>0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54</v>
      </c>
      <c r="B19" s="1" t="s">
        <v>36</v>
      </c>
      <c r="C19" s="1">
        <v>2</v>
      </c>
      <c r="D19" s="1">
        <v>81</v>
      </c>
      <c r="E19" s="1">
        <v>5</v>
      </c>
      <c r="F19" s="1">
        <v>59</v>
      </c>
      <c r="G19" s="7">
        <v>0.18</v>
      </c>
      <c r="H19" s="1">
        <v>270</v>
      </c>
      <c r="I19" s="1"/>
      <c r="J19" s="1"/>
      <c r="K19" s="1">
        <v>62</v>
      </c>
      <c r="L19" s="1">
        <f t="shared" si="2"/>
        <v>-57</v>
      </c>
      <c r="M19" s="1"/>
      <c r="N19" s="1"/>
      <c r="O19" s="1"/>
      <c r="P19" s="1"/>
      <c r="Q19" s="1">
        <f t="shared" si="3"/>
        <v>1</v>
      </c>
      <c r="R19" s="5"/>
      <c r="S19" s="5"/>
      <c r="T19" s="1">
        <f t="shared" si="4"/>
        <v>59</v>
      </c>
      <c r="U19" s="1">
        <f t="shared" si="5"/>
        <v>59</v>
      </c>
      <c r="V19" s="1">
        <v>3.2</v>
      </c>
      <c r="W19" s="1">
        <v>11</v>
      </c>
      <c r="X19" s="1">
        <v>2.6</v>
      </c>
      <c r="Y19" s="1">
        <v>0</v>
      </c>
      <c r="Z19" s="1">
        <v>5.2</v>
      </c>
      <c r="AA19" s="1">
        <v>0.2</v>
      </c>
      <c r="AB19" s="1">
        <v>0</v>
      </c>
      <c r="AC19" s="1">
        <v>-0.4</v>
      </c>
      <c r="AD19" s="1">
        <v>0</v>
      </c>
      <c r="AE19" s="1">
        <v>0</v>
      </c>
      <c r="AF19" s="1"/>
      <c r="AG19" s="1">
        <f t="shared" si="6"/>
        <v>0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55</v>
      </c>
      <c r="B20" s="1" t="s">
        <v>36</v>
      </c>
      <c r="C20" s="1">
        <v>110</v>
      </c>
      <c r="D20" s="1">
        <v>16</v>
      </c>
      <c r="E20" s="1">
        <v>61</v>
      </c>
      <c r="F20" s="1">
        <v>50</v>
      </c>
      <c r="G20" s="7">
        <v>0.18</v>
      </c>
      <c r="H20" s="1">
        <v>270</v>
      </c>
      <c r="I20" s="1"/>
      <c r="J20" s="1"/>
      <c r="K20" s="1">
        <v>64</v>
      </c>
      <c r="L20" s="1">
        <f t="shared" si="2"/>
        <v>-3</v>
      </c>
      <c r="M20" s="1"/>
      <c r="N20" s="1"/>
      <c r="O20" s="1"/>
      <c r="P20" s="1"/>
      <c r="Q20" s="1">
        <f t="shared" si="3"/>
        <v>12.2</v>
      </c>
      <c r="R20" s="5">
        <f>12*Q20-P20-O20-F20</f>
        <v>96.399999999999977</v>
      </c>
      <c r="S20" s="5">
        <f>VLOOKUP(A20,заказ!A:B,2,0)</f>
        <v>96</v>
      </c>
      <c r="T20" s="1">
        <f t="shared" si="4"/>
        <v>11.999999999999998</v>
      </c>
      <c r="U20" s="1">
        <f t="shared" si="5"/>
        <v>4.0983606557377055</v>
      </c>
      <c r="V20" s="1">
        <v>8</v>
      </c>
      <c r="W20" s="1">
        <v>9.6</v>
      </c>
      <c r="X20" s="1">
        <v>11</v>
      </c>
      <c r="Y20" s="1">
        <v>7.4</v>
      </c>
      <c r="Z20" s="1">
        <v>13</v>
      </c>
      <c r="AA20" s="1">
        <v>9.1999999999999993</v>
      </c>
      <c r="AB20" s="1">
        <v>7.4</v>
      </c>
      <c r="AC20" s="1">
        <v>7.2</v>
      </c>
      <c r="AD20" s="1">
        <v>8.4</v>
      </c>
      <c r="AE20" s="1">
        <v>8.8000000000000007</v>
      </c>
      <c r="AF20" s="1"/>
      <c r="AG20" s="1">
        <f t="shared" si="6"/>
        <v>17.351999999999997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56</v>
      </c>
      <c r="B21" s="1" t="s">
        <v>36</v>
      </c>
      <c r="C21" s="1">
        <v>104</v>
      </c>
      <c r="D21" s="1"/>
      <c r="E21" s="1">
        <v>12</v>
      </c>
      <c r="F21" s="1">
        <v>87</v>
      </c>
      <c r="G21" s="7">
        <v>0.1</v>
      </c>
      <c r="H21" s="1">
        <v>60</v>
      </c>
      <c r="I21" s="1"/>
      <c r="J21" s="1"/>
      <c r="K21" s="1">
        <v>14</v>
      </c>
      <c r="L21" s="1">
        <f t="shared" si="2"/>
        <v>-2</v>
      </c>
      <c r="M21" s="1"/>
      <c r="N21" s="1"/>
      <c r="O21" s="1"/>
      <c r="P21" s="1"/>
      <c r="Q21" s="1">
        <f t="shared" si="3"/>
        <v>2.4</v>
      </c>
      <c r="R21" s="5"/>
      <c r="S21" s="5"/>
      <c r="T21" s="1">
        <f t="shared" si="4"/>
        <v>36.25</v>
      </c>
      <c r="U21" s="1">
        <f t="shared" si="5"/>
        <v>36.25</v>
      </c>
      <c r="V21" s="1">
        <v>4</v>
      </c>
      <c r="W21" s="1">
        <v>2.6</v>
      </c>
      <c r="X21" s="1">
        <v>-0.6</v>
      </c>
      <c r="Y21" s="1">
        <v>4.5999999999999996</v>
      </c>
      <c r="Z21" s="1">
        <v>9.1999999999999993</v>
      </c>
      <c r="AA21" s="1">
        <v>2</v>
      </c>
      <c r="AB21" s="1">
        <v>6.4</v>
      </c>
      <c r="AC21" s="1">
        <v>2.8</v>
      </c>
      <c r="AD21" s="1">
        <v>5.4</v>
      </c>
      <c r="AE21" s="1">
        <v>8.6</v>
      </c>
      <c r="AF21" s="15" t="s">
        <v>42</v>
      </c>
      <c r="AG21" s="1">
        <f t="shared" si="6"/>
        <v>0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58</v>
      </c>
      <c r="B22" s="1" t="s">
        <v>36</v>
      </c>
      <c r="C22" s="1">
        <v>596</v>
      </c>
      <c r="D22" s="1">
        <v>5</v>
      </c>
      <c r="E22" s="1">
        <v>301</v>
      </c>
      <c r="F22" s="1">
        <v>154</v>
      </c>
      <c r="G22" s="7">
        <v>0.18</v>
      </c>
      <c r="H22" s="1">
        <v>180</v>
      </c>
      <c r="I22" s="1"/>
      <c r="J22" s="1"/>
      <c r="K22" s="1">
        <v>314</v>
      </c>
      <c r="L22" s="1">
        <f t="shared" si="2"/>
        <v>-13</v>
      </c>
      <c r="M22" s="1"/>
      <c r="N22" s="1"/>
      <c r="O22" s="9">
        <v>30</v>
      </c>
      <c r="P22" s="1">
        <v>500</v>
      </c>
      <c r="Q22" s="1">
        <f t="shared" si="3"/>
        <v>60.2</v>
      </c>
      <c r="R22" s="5">
        <f t="shared" si="7"/>
        <v>219</v>
      </c>
      <c r="S22" s="5">
        <f>VLOOKUP(A22,заказ!A:B,2,0)</f>
        <v>220</v>
      </c>
      <c r="T22" s="1">
        <f t="shared" si="4"/>
        <v>15</v>
      </c>
      <c r="U22" s="1">
        <f t="shared" si="5"/>
        <v>11.362126245847175</v>
      </c>
      <c r="V22" s="1">
        <v>74.599999999999994</v>
      </c>
      <c r="W22" s="1">
        <v>55.2</v>
      </c>
      <c r="X22" s="1">
        <v>65.8</v>
      </c>
      <c r="Y22" s="1">
        <v>79</v>
      </c>
      <c r="Z22" s="1">
        <v>93</v>
      </c>
      <c r="AA22" s="1">
        <v>72.599999999999994</v>
      </c>
      <c r="AB22" s="1">
        <v>37.4</v>
      </c>
      <c r="AC22" s="1">
        <v>18.399999999999999</v>
      </c>
      <c r="AD22" s="1">
        <v>80.8</v>
      </c>
      <c r="AE22" s="1">
        <v>1.4</v>
      </c>
      <c r="AF22" s="1"/>
      <c r="AG22" s="1">
        <f t="shared" si="6"/>
        <v>39.42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59</v>
      </c>
      <c r="B23" s="1" t="s">
        <v>36</v>
      </c>
      <c r="C23" s="1">
        <v>70</v>
      </c>
      <c r="D23" s="1">
        <v>5</v>
      </c>
      <c r="E23" s="1">
        <v>37</v>
      </c>
      <c r="F23" s="1">
        <v>-103</v>
      </c>
      <c r="G23" s="7">
        <v>0.18</v>
      </c>
      <c r="H23" s="1">
        <v>180</v>
      </c>
      <c r="I23" s="1"/>
      <c r="J23" s="1"/>
      <c r="K23" s="1">
        <v>324</v>
      </c>
      <c r="L23" s="1">
        <f t="shared" si="2"/>
        <v>-287</v>
      </c>
      <c r="M23" s="1"/>
      <c r="N23" s="1"/>
      <c r="O23" s="9">
        <v>500</v>
      </c>
      <c r="P23" s="1">
        <v>300</v>
      </c>
      <c r="Q23" s="1">
        <f t="shared" si="3"/>
        <v>7.4</v>
      </c>
      <c r="R23" s="5"/>
      <c r="S23" s="5"/>
      <c r="T23" s="1">
        <f t="shared" si="4"/>
        <v>94.189189189189179</v>
      </c>
      <c r="U23" s="1">
        <f t="shared" si="5"/>
        <v>94.189189189189179</v>
      </c>
      <c r="V23" s="1">
        <v>1.6</v>
      </c>
      <c r="W23" s="1">
        <v>330.4</v>
      </c>
      <c r="X23" s="1">
        <v>83.4</v>
      </c>
      <c r="Y23" s="1">
        <v>102.2</v>
      </c>
      <c r="Z23" s="1">
        <v>110.8</v>
      </c>
      <c r="AA23" s="1">
        <v>97.8</v>
      </c>
      <c r="AB23" s="1">
        <v>126.6</v>
      </c>
      <c r="AC23" s="1">
        <v>138.80000000000001</v>
      </c>
      <c r="AD23" s="1">
        <v>42</v>
      </c>
      <c r="AE23" s="1">
        <v>156</v>
      </c>
      <c r="AF23" s="1" t="s">
        <v>60</v>
      </c>
      <c r="AG23" s="1">
        <f t="shared" si="6"/>
        <v>0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61</v>
      </c>
      <c r="B24" s="1" t="s">
        <v>36</v>
      </c>
      <c r="C24" s="1">
        <v>60</v>
      </c>
      <c r="D24" s="1"/>
      <c r="E24" s="1">
        <v>5</v>
      </c>
      <c r="F24" s="1">
        <v>50</v>
      </c>
      <c r="G24" s="7">
        <v>0.4</v>
      </c>
      <c r="H24" s="1">
        <v>270</v>
      </c>
      <c r="I24" s="1"/>
      <c r="J24" s="1"/>
      <c r="K24" s="1">
        <v>5</v>
      </c>
      <c r="L24" s="1">
        <f t="shared" si="2"/>
        <v>0</v>
      </c>
      <c r="M24" s="1"/>
      <c r="N24" s="1"/>
      <c r="O24" s="1"/>
      <c r="P24" s="1"/>
      <c r="Q24" s="1">
        <f t="shared" si="3"/>
        <v>1</v>
      </c>
      <c r="R24" s="5"/>
      <c r="S24" s="5"/>
      <c r="T24" s="1">
        <f t="shared" si="4"/>
        <v>50</v>
      </c>
      <c r="U24" s="1">
        <f t="shared" si="5"/>
        <v>50</v>
      </c>
      <c r="V24" s="1">
        <v>-0.2</v>
      </c>
      <c r="W24" s="1">
        <v>1.2</v>
      </c>
      <c r="X24" s="1">
        <v>0.6</v>
      </c>
      <c r="Y24" s="1">
        <v>1</v>
      </c>
      <c r="Z24" s="1">
        <v>3.2</v>
      </c>
      <c r="AA24" s="1">
        <v>2.6</v>
      </c>
      <c r="AB24" s="1">
        <v>0</v>
      </c>
      <c r="AC24" s="1">
        <v>2.2000000000000002</v>
      </c>
      <c r="AD24" s="1">
        <v>0.8</v>
      </c>
      <c r="AE24" s="1">
        <v>2.8</v>
      </c>
      <c r="AF24" s="15" t="s">
        <v>42</v>
      </c>
      <c r="AG24" s="1">
        <f t="shared" si="6"/>
        <v>0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62</v>
      </c>
      <c r="B25" s="1" t="s">
        <v>36</v>
      </c>
      <c r="C25" s="1">
        <v>88</v>
      </c>
      <c r="D25" s="1"/>
      <c r="E25" s="1"/>
      <c r="F25" s="1">
        <v>87</v>
      </c>
      <c r="G25" s="7">
        <v>0.4</v>
      </c>
      <c r="H25" s="1">
        <v>270</v>
      </c>
      <c r="I25" s="1"/>
      <c r="J25" s="1"/>
      <c r="K25" s="1"/>
      <c r="L25" s="1">
        <f t="shared" si="2"/>
        <v>0</v>
      </c>
      <c r="M25" s="1"/>
      <c r="N25" s="1"/>
      <c r="O25" s="1"/>
      <c r="P25" s="1"/>
      <c r="Q25" s="1">
        <f t="shared" si="3"/>
        <v>0</v>
      </c>
      <c r="R25" s="5"/>
      <c r="S25" s="5"/>
      <c r="T25" s="1" t="e">
        <f t="shared" si="4"/>
        <v>#DIV/0!</v>
      </c>
      <c r="U25" s="1" t="e">
        <f t="shared" si="5"/>
        <v>#DIV/0!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0.2</v>
      </c>
      <c r="AB25" s="1">
        <v>0</v>
      </c>
      <c r="AC25" s="1">
        <v>0</v>
      </c>
      <c r="AD25" s="1">
        <v>0.2</v>
      </c>
      <c r="AE25" s="1">
        <v>0.2</v>
      </c>
      <c r="AF25" s="15" t="s">
        <v>42</v>
      </c>
      <c r="AG25" s="1">
        <f t="shared" si="6"/>
        <v>0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63</v>
      </c>
      <c r="B26" s="1" t="s">
        <v>36</v>
      </c>
      <c r="C26" s="1">
        <v>68</v>
      </c>
      <c r="D26" s="1"/>
      <c r="E26" s="1">
        <v>1</v>
      </c>
      <c r="F26" s="1">
        <v>61</v>
      </c>
      <c r="G26" s="7">
        <v>0.18</v>
      </c>
      <c r="H26" s="1">
        <v>270</v>
      </c>
      <c r="I26" s="1"/>
      <c r="J26" s="1"/>
      <c r="K26" s="1">
        <v>1</v>
      </c>
      <c r="L26" s="1">
        <f t="shared" si="2"/>
        <v>0</v>
      </c>
      <c r="M26" s="1"/>
      <c r="N26" s="1"/>
      <c r="O26" s="1"/>
      <c r="P26" s="1">
        <v>144</v>
      </c>
      <c r="Q26" s="1">
        <f t="shared" si="3"/>
        <v>0.2</v>
      </c>
      <c r="R26" s="5"/>
      <c r="S26" s="5"/>
      <c r="T26" s="1">
        <f t="shared" si="4"/>
        <v>1025</v>
      </c>
      <c r="U26" s="1">
        <f t="shared" si="5"/>
        <v>1025</v>
      </c>
      <c r="V26" s="1">
        <v>19.600000000000001</v>
      </c>
      <c r="W26" s="1">
        <v>1.4</v>
      </c>
      <c r="X26" s="1">
        <v>1</v>
      </c>
      <c r="Y26" s="1">
        <v>0.2</v>
      </c>
      <c r="Z26" s="1">
        <v>2.8</v>
      </c>
      <c r="AA26" s="1">
        <v>3.6</v>
      </c>
      <c r="AB26" s="1">
        <v>1.8</v>
      </c>
      <c r="AC26" s="1">
        <v>1</v>
      </c>
      <c r="AD26" s="1">
        <v>1</v>
      </c>
      <c r="AE26" s="1">
        <v>1.4</v>
      </c>
      <c r="AF26" s="15" t="s">
        <v>42</v>
      </c>
      <c r="AG26" s="1">
        <f t="shared" si="6"/>
        <v>0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64</v>
      </c>
      <c r="B27" s="1" t="s">
        <v>36</v>
      </c>
      <c r="C27" s="1">
        <v>24</v>
      </c>
      <c r="D27" s="1"/>
      <c r="E27" s="1"/>
      <c r="F27" s="1">
        <v>24</v>
      </c>
      <c r="G27" s="7">
        <v>0.2</v>
      </c>
      <c r="H27" s="1">
        <v>120</v>
      </c>
      <c r="I27" s="1"/>
      <c r="J27" s="1"/>
      <c r="K27" s="1"/>
      <c r="L27" s="1">
        <f t="shared" si="2"/>
        <v>0</v>
      </c>
      <c r="M27" s="1"/>
      <c r="N27" s="1"/>
      <c r="O27" s="1"/>
      <c r="P27" s="1"/>
      <c r="Q27" s="1">
        <f t="shared" si="3"/>
        <v>0</v>
      </c>
      <c r="R27" s="5"/>
      <c r="S27" s="5"/>
      <c r="T27" s="1" t="e">
        <f t="shared" si="4"/>
        <v>#DIV/0!</v>
      </c>
      <c r="U27" s="1" t="e">
        <f t="shared" si="5"/>
        <v>#DIV/0!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5" t="s">
        <v>42</v>
      </c>
      <c r="AG27" s="1">
        <f t="shared" si="6"/>
        <v>0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65</v>
      </c>
      <c r="B28" s="1" t="s">
        <v>41</v>
      </c>
      <c r="C28" s="1">
        <v>14.645</v>
      </c>
      <c r="D28" s="1"/>
      <c r="E28" s="1"/>
      <c r="F28" s="1">
        <v>14.645</v>
      </c>
      <c r="G28" s="7">
        <v>1</v>
      </c>
      <c r="H28" s="1">
        <v>180</v>
      </c>
      <c r="I28" s="1"/>
      <c r="J28" s="1"/>
      <c r="K28" s="1"/>
      <c r="L28" s="1">
        <f t="shared" si="2"/>
        <v>0</v>
      </c>
      <c r="M28" s="1"/>
      <c r="N28" s="1"/>
      <c r="O28" s="1"/>
      <c r="P28" s="1"/>
      <c r="Q28" s="1">
        <f t="shared" si="3"/>
        <v>0</v>
      </c>
      <c r="R28" s="5"/>
      <c r="S28" s="5"/>
      <c r="T28" s="1" t="e">
        <f t="shared" si="4"/>
        <v>#DIV/0!</v>
      </c>
      <c r="U28" s="1" t="e">
        <f t="shared" si="5"/>
        <v>#DIV/0!</v>
      </c>
      <c r="V28" s="1">
        <v>0</v>
      </c>
      <c r="W28" s="1">
        <v>0</v>
      </c>
      <c r="X28" s="1">
        <v>0</v>
      </c>
      <c r="Y28" s="1">
        <v>0.46300000000000002</v>
      </c>
      <c r="Z28" s="1">
        <v>0.88900000000000001</v>
      </c>
      <c r="AA28" s="1">
        <v>0.34799999999999998</v>
      </c>
      <c r="AB28" s="1">
        <v>0.56299999999999994</v>
      </c>
      <c r="AC28" s="1">
        <v>0</v>
      </c>
      <c r="AD28" s="1">
        <v>0</v>
      </c>
      <c r="AE28" s="1">
        <v>0</v>
      </c>
      <c r="AF28" s="15" t="s">
        <v>42</v>
      </c>
      <c r="AG28" s="1">
        <f t="shared" si="6"/>
        <v>0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66</v>
      </c>
      <c r="B29" s="1" t="s">
        <v>41</v>
      </c>
      <c r="C29" s="1">
        <v>59.395000000000003</v>
      </c>
      <c r="D29" s="1"/>
      <c r="E29" s="1"/>
      <c r="F29" s="1">
        <v>59.395000000000003</v>
      </c>
      <c r="G29" s="7">
        <v>1</v>
      </c>
      <c r="H29" s="1">
        <v>180</v>
      </c>
      <c r="I29" s="1"/>
      <c r="J29" s="1"/>
      <c r="K29" s="1"/>
      <c r="L29" s="1">
        <f t="shared" si="2"/>
        <v>0</v>
      </c>
      <c r="M29" s="1"/>
      <c r="N29" s="1"/>
      <c r="O29" s="1"/>
      <c r="P29" s="1"/>
      <c r="Q29" s="1">
        <f t="shared" si="3"/>
        <v>0</v>
      </c>
      <c r="R29" s="5"/>
      <c r="S29" s="5"/>
      <c r="T29" s="1" t="e">
        <f t="shared" si="4"/>
        <v>#DIV/0!</v>
      </c>
      <c r="U29" s="1" t="e">
        <f t="shared" si="5"/>
        <v>#DIV/0!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1.7669999999999999</v>
      </c>
      <c r="AF29" s="15" t="s">
        <v>42</v>
      </c>
      <c r="AG29" s="1">
        <f t="shared" si="6"/>
        <v>0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67</v>
      </c>
      <c r="B30" s="1" t="s">
        <v>36</v>
      </c>
      <c r="C30" s="1">
        <v>113</v>
      </c>
      <c r="D30" s="1"/>
      <c r="E30" s="1"/>
      <c r="F30" s="1">
        <v>112</v>
      </c>
      <c r="G30" s="7">
        <v>0.18</v>
      </c>
      <c r="H30" s="1">
        <v>150</v>
      </c>
      <c r="I30" s="1"/>
      <c r="J30" s="1"/>
      <c r="K30" s="1">
        <v>119</v>
      </c>
      <c r="L30" s="1">
        <f t="shared" si="2"/>
        <v>-119</v>
      </c>
      <c r="M30" s="1"/>
      <c r="N30" s="1"/>
      <c r="O30" s="1"/>
      <c r="P30" s="1"/>
      <c r="Q30" s="1">
        <f t="shared" si="3"/>
        <v>0</v>
      </c>
      <c r="R30" s="5"/>
      <c r="S30" s="5"/>
      <c r="T30" s="1" t="e">
        <f t="shared" si="4"/>
        <v>#DIV/0!</v>
      </c>
      <c r="U30" s="1" t="e">
        <f t="shared" si="5"/>
        <v>#DIV/0!</v>
      </c>
      <c r="V30" s="1">
        <v>2.8</v>
      </c>
      <c r="W30" s="1">
        <v>4.8</v>
      </c>
      <c r="X30" s="1">
        <v>8.4</v>
      </c>
      <c r="Y30" s="1">
        <v>7.2</v>
      </c>
      <c r="Z30" s="1">
        <v>12</v>
      </c>
      <c r="AA30" s="1">
        <v>4.2</v>
      </c>
      <c r="AB30" s="1">
        <v>5.4</v>
      </c>
      <c r="AC30" s="1">
        <v>0</v>
      </c>
      <c r="AD30" s="1">
        <v>0</v>
      </c>
      <c r="AE30" s="1">
        <v>-0.2</v>
      </c>
      <c r="AF30" s="15" t="s">
        <v>42</v>
      </c>
      <c r="AG30" s="1">
        <f t="shared" si="6"/>
        <v>0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68</v>
      </c>
      <c r="B31" s="1" t="s">
        <v>36</v>
      </c>
      <c r="C31" s="1">
        <v>273</v>
      </c>
      <c r="D31" s="1"/>
      <c r="E31" s="1">
        <v>45</v>
      </c>
      <c r="F31" s="1">
        <v>192</v>
      </c>
      <c r="G31" s="7">
        <v>0.1</v>
      </c>
      <c r="H31" s="1">
        <v>90</v>
      </c>
      <c r="I31" s="1"/>
      <c r="J31" s="1"/>
      <c r="K31" s="1">
        <v>46</v>
      </c>
      <c r="L31" s="1">
        <f t="shared" si="2"/>
        <v>-1</v>
      </c>
      <c r="M31" s="1"/>
      <c r="N31" s="1"/>
      <c r="O31" s="1"/>
      <c r="P31" s="1"/>
      <c r="Q31" s="1">
        <f t="shared" si="3"/>
        <v>9</v>
      </c>
      <c r="R31" s="5"/>
      <c r="S31" s="5"/>
      <c r="T31" s="1">
        <f t="shared" si="4"/>
        <v>21.333333333333332</v>
      </c>
      <c r="U31" s="1">
        <f t="shared" si="5"/>
        <v>21.333333333333332</v>
      </c>
      <c r="V31" s="1">
        <v>9.1999999999999993</v>
      </c>
      <c r="W31" s="1">
        <v>12.4</v>
      </c>
      <c r="X31" s="1">
        <v>18.600000000000001</v>
      </c>
      <c r="Y31" s="1">
        <v>6</v>
      </c>
      <c r="Z31" s="1">
        <v>16</v>
      </c>
      <c r="AA31" s="1">
        <v>13.8</v>
      </c>
      <c r="AB31" s="1">
        <v>0.2</v>
      </c>
      <c r="AC31" s="1">
        <v>7.4</v>
      </c>
      <c r="AD31" s="1">
        <v>12.2</v>
      </c>
      <c r="AE31" s="1">
        <v>-0.6</v>
      </c>
      <c r="AF31" s="15" t="s">
        <v>42</v>
      </c>
      <c r="AG31" s="1">
        <f t="shared" si="6"/>
        <v>0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69</v>
      </c>
      <c r="B32" s="1" t="s">
        <v>36</v>
      </c>
      <c r="C32" s="1">
        <v>553</v>
      </c>
      <c r="D32" s="1">
        <v>12</v>
      </c>
      <c r="E32" s="1">
        <v>177</v>
      </c>
      <c r="F32" s="1">
        <v>333</v>
      </c>
      <c r="G32" s="7">
        <v>0.1</v>
      </c>
      <c r="H32" s="1">
        <v>60</v>
      </c>
      <c r="I32" s="1"/>
      <c r="J32" s="1"/>
      <c r="K32" s="1">
        <v>185</v>
      </c>
      <c r="L32" s="1">
        <f t="shared" si="2"/>
        <v>-8</v>
      </c>
      <c r="M32" s="1"/>
      <c r="N32" s="1"/>
      <c r="O32" s="1"/>
      <c r="P32" s="1"/>
      <c r="Q32" s="1">
        <f t="shared" si="3"/>
        <v>35.4</v>
      </c>
      <c r="R32" s="5">
        <f t="shared" si="7"/>
        <v>198</v>
      </c>
      <c r="S32" s="5">
        <f>VLOOKUP(A32,заказ!A:B,2,0)</f>
        <v>200</v>
      </c>
      <c r="T32" s="1">
        <f t="shared" si="4"/>
        <v>15</v>
      </c>
      <c r="U32" s="1">
        <f t="shared" si="5"/>
        <v>9.4067796610169498</v>
      </c>
      <c r="V32" s="1">
        <v>27</v>
      </c>
      <c r="W32" s="1">
        <v>16.2</v>
      </c>
      <c r="X32" s="1">
        <v>21.6</v>
      </c>
      <c r="Y32" s="1">
        <v>43.4</v>
      </c>
      <c r="Z32" s="1">
        <v>29.8</v>
      </c>
      <c r="AA32" s="1">
        <v>18.399999999999999</v>
      </c>
      <c r="AB32" s="1">
        <v>30.4</v>
      </c>
      <c r="AC32" s="1">
        <v>37.4</v>
      </c>
      <c r="AD32" s="1">
        <v>2</v>
      </c>
      <c r="AE32" s="1">
        <v>24.8</v>
      </c>
      <c r="AF32" s="1"/>
      <c r="AG32" s="1">
        <f t="shared" si="6"/>
        <v>19.8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70</v>
      </c>
      <c r="B33" s="1" t="s">
        <v>36</v>
      </c>
      <c r="C33" s="1">
        <v>202</v>
      </c>
      <c r="D33" s="1">
        <v>8</v>
      </c>
      <c r="E33" s="1">
        <v>113</v>
      </c>
      <c r="F33" s="1">
        <v>53</v>
      </c>
      <c r="G33" s="7">
        <v>0.1</v>
      </c>
      <c r="H33" s="1">
        <v>90</v>
      </c>
      <c r="I33" s="1"/>
      <c r="J33" s="1"/>
      <c r="K33" s="1">
        <v>117</v>
      </c>
      <c r="L33" s="1">
        <f t="shared" si="2"/>
        <v>-4</v>
      </c>
      <c r="M33" s="1"/>
      <c r="N33" s="1"/>
      <c r="O33" s="1"/>
      <c r="P33" s="1">
        <v>160</v>
      </c>
      <c r="Q33" s="1">
        <f t="shared" si="3"/>
        <v>22.6</v>
      </c>
      <c r="R33" s="5">
        <f t="shared" si="7"/>
        <v>126</v>
      </c>
      <c r="S33" s="5">
        <f>VLOOKUP(A33,заказ!A:B,2,0)</f>
        <v>128</v>
      </c>
      <c r="T33" s="1">
        <f t="shared" si="4"/>
        <v>14.999999999999998</v>
      </c>
      <c r="U33" s="1">
        <f t="shared" si="5"/>
        <v>9.4247787610619458</v>
      </c>
      <c r="V33" s="1">
        <v>23.8</v>
      </c>
      <c r="W33" s="1">
        <v>16.600000000000001</v>
      </c>
      <c r="X33" s="1">
        <v>13.8</v>
      </c>
      <c r="Y33" s="1">
        <v>35.6</v>
      </c>
      <c r="Z33" s="1">
        <v>30.6</v>
      </c>
      <c r="AA33" s="1">
        <v>18.8</v>
      </c>
      <c r="AB33" s="1">
        <v>21</v>
      </c>
      <c r="AC33" s="1">
        <v>26.6</v>
      </c>
      <c r="AD33" s="1">
        <v>20.6</v>
      </c>
      <c r="AE33" s="1">
        <v>21.4</v>
      </c>
      <c r="AF33" s="1"/>
      <c r="AG33" s="1">
        <f t="shared" si="6"/>
        <v>12.600000000000001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71</v>
      </c>
      <c r="B34" s="1" t="s">
        <v>36</v>
      </c>
      <c r="C34" s="1">
        <v>95</v>
      </c>
      <c r="D34" s="1">
        <v>1</v>
      </c>
      <c r="E34" s="1">
        <v>-4</v>
      </c>
      <c r="F34" s="1">
        <v>95</v>
      </c>
      <c r="G34" s="7">
        <v>0.18</v>
      </c>
      <c r="H34" s="1">
        <v>150</v>
      </c>
      <c r="I34" s="1"/>
      <c r="J34" s="1"/>
      <c r="K34" s="1">
        <v>206</v>
      </c>
      <c r="L34" s="1">
        <f t="shared" si="2"/>
        <v>-210</v>
      </c>
      <c r="M34" s="1"/>
      <c r="N34" s="1"/>
      <c r="O34" s="1"/>
      <c r="P34" s="1"/>
      <c r="Q34" s="1">
        <f t="shared" si="3"/>
        <v>-0.8</v>
      </c>
      <c r="R34" s="5"/>
      <c r="S34" s="5"/>
      <c r="T34" s="1">
        <f t="shared" si="4"/>
        <v>-118.75</v>
      </c>
      <c r="U34" s="1">
        <f t="shared" si="5"/>
        <v>-118.75</v>
      </c>
      <c r="V34" s="1">
        <v>-2.8</v>
      </c>
      <c r="W34" s="1">
        <v>6</v>
      </c>
      <c r="X34" s="1">
        <v>34.799999999999997</v>
      </c>
      <c r="Y34" s="1">
        <v>21.2</v>
      </c>
      <c r="Z34" s="1">
        <v>39.6</v>
      </c>
      <c r="AA34" s="1">
        <v>29</v>
      </c>
      <c r="AB34" s="1">
        <v>34.799999999999997</v>
      </c>
      <c r="AC34" s="1">
        <v>33.200000000000003</v>
      </c>
      <c r="AD34" s="1">
        <v>23.2</v>
      </c>
      <c r="AE34" s="1">
        <v>15</v>
      </c>
      <c r="AF34" s="15" t="s">
        <v>42</v>
      </c>
      <c r="AG34" s="1">
        <f t="shared" si="6"/>
        <v>0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72</v>
      </c>
      <c r="B35" s="1" t="s">
        <v>36</v>
      </c>
      <c r="C35" s="1">
        <v>174</v>
      </c>
      <c r="D35" s="1">
        <v>191</v>
      </c>
      <c r="E35" s="1">
        <v>184</v>
      </c>
      <c r="F35" s="1">
        <v>48</v>
      </c>
      <c r="G35" s="7">
        <v>0.18</v>
      </c>
      <c r="H35" s="1">
        <v>150</v>
      </c>
      <c r="I35" s="1"/>
      <c r="J35" s="1"/>
      <c r="K35" s="1">
        <v>427</v>
      </c>
      <c r="L35" s="1">
        <f t="shared" si="2"/>
        <v>-243</v>
      </c>
      <c r="M35" s="1"/>
      <c r="N35" s="1"/>
      <c r="O35" s="1"/>
      <c r="P35" s="1">
        <v>120</v>
      </c>
      <c r="Q35" s="1">
        <f t="shared" si="3"/>
        <v>36.799999999999997</v>
      </c>
      <c r="R35" s="5">
        <f>13*Q35-P35-O35-F35</f>
        <v>310.39999999999998</v>
      </c>
      <c r="S35" s="5">
        <f>VLOOKUP(A35,заказ!A:B,2,0)</f>
        <v>310</v>
      </c>
      <c r="T35" s="1">
        <f t="shared" si="4"/>
        <v>13</v>
      </c>
      <c r="U35" s="1">
        <f t="shared" si="5"/>
        <v>4.5652173913043486</v>
      </c>
      <c r="V35" s="1">
        <v>32</v>
      </c>
      <c r="W35" s="1">
        <v>29.2</v>
      </c>
      <c r="X35" s="1">
        <v>29.2</v>
      </c>
      <c r="Y35" s="1">
        <v>55.6</v>
      </c>
      <c r="Z35" s="1">
        <v>68</v>
      </c>
      <c r="AA35" s="1">
        <v>72</v>
      </c>
      <c r="AB35" s="1">
        <v>60.2</v>
      </c>
      <c r="AC35" s="1">
        <v>84.2</v>
      </c>
      <c r="AD35" s="1">
        <v>19.8</v>
      </c>
      <c r="AE35" s="1">
        <v>15.8</v>
      </c>
      <c r="AF35" s="1"/>
      <c r="AG35" s="1">
        <f t="shared" si="6"/>
        <v>55.871999999999993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73</v>
      </c>
      <c r="B36" s="1" t="s">
        <v>36</v>
      </c>
      <c r="C36" s="1">
        <v>124</v>
      </c>
      <c r="D36" s="1">
        <v>1</v>
      </c>
      <c r="E36" s="1"/>
      <c r="F36" s="1">
        <v>123</v>
      </c>
      <c r="G36" s="7">
        <v>0.18</v>
      </c>
      <c r="H36" s="1">
        <v>150</v>
      </c>
      <c r="I36" s="1"/>
      <c r="J36" s="1"/>
      <c r="K36" s="1">
        <v>50</v>
      </c>
      <c r="L36" s="1">
        <f t="shared" si="2"/>
        <v>-50</v>
      </c>
      <c r="M36" s="1"/>
      <c r="N36" s="1"/>
      <c r="O36" s="1"/>
      <c r="P36" s="1"/>
      <c r="Q36" s="1">
        <f t="shared" si="3"/>
        <v>0</v>
      </c>
      <c r="R36" s="5"/>
      <c r="S36" s="5"/>
      <c r="T36" s="1" t="e">
        <f t="shared" si="4"/>
        <v>#DIV/0!</v>
      </c>
      <c r="U36" s="1" t="e">
        <f t="shared" si="5"/>
        <v>#DIV/0!</v>
      </c>
      <c r="V36" s="1">
        <v>0</v>
      </c>
      <c r="W36" s="1">
        <v>-0.2</v>
      </c>
      <c r="X36" s="1">
        <v>0</v>
      </c>
      <c r="Y36" s="1">
        <v>0</v>
      </c>
      <c r="Z36" s="1">
        <v>0</v>
      </c>
      <c r="AA36" s="1">
        <v>0.4</v>
      </c>
      <c r="AB36" s="1">
        <v>0</v>
      </c>
      <c r="AC36" s="1">
        <v>-0.2</v>
      </c>
      <c r="AD36" s="1">
        <v>0</v>
      </c>
      <c r="AE36" s="1">
        <v>-0.4</v>
      </c>
      <c r="AF36" s="15" t="s">
        <v>42</v>
      </c>
      <c r="AG36" s="1">
        <f t="shared" si="6"/>
        <v>0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74</v>
      </c>
      <c r="B37" s="1" t="s">
        <v>36</v>
      </c>
      <c r="C37" s="1">
        <v>183</v>
      </c>
      <c r="D37" s="1"/>
      <c r="E37" s="1">
        <v>40</v>
      </c>
      <c r="F37" s="1">
        <v>127</v>
      </c>
      <c r="G37" s="7">
        <v>0.18</v>
      </c>
      <c r="H37" s="1">
        <v>150</v>
      </c>
      <c r="I37" s="1"/>
      <c r="J37" s="1"/>
      <c r="K37" s="1">
        <v>111</v>
      </c>
      <c r="L37" s="1">
        <f t="shared" si="2"/>
        <v>-71</v>
      </c>
      <c r="M37" s="1"/>
      <c r="N37" s="1"/>
      <c r="O37" s="1"/>
      <c r="P37" s="1"/>
      <c r="Q37" s="1">
        <f t="shared" si="3"/>
        <v>8</v>
      </c>
      <c r="R37" s="5"/>
      <c r="S37" s="5"/>
      <c r="T37" s="1">
        <f t="shared" si="4"/>
        <v>15.875</v>
      </c>
      <c r="U37" s="1">
        <f t="shared" si="5"/>
        <v>15.875</v>
      </c>
      <c r="V37" s="1">
        <v>3.8</v>
      </c>
      <c r="W37" s="1">
        <v>5</v>
      </c>
      <c r="X37" s="1">
        <v>7.2</v>
      </c>
      <c r="Y37" s="1">
        <v>9</v>
      </c>
      <c r="Z37" s="1">
        <v>10.6</v>
      </c>
      <c r="AA37" s="1">
        <v>17.2</v>
      </c>
      <c r="AB37" s="1">
        <v>14.4</v>
      </c>
      <c r="AC37" s="1">
        <v>14.6</v>
      </c>
      <c r="AD37" s="1">
        <v>27</v>
      </c>
      <c r="AE37" s="1">
        <v>22.4</v>
      </c>
      <c r="AF37" s="17" t="s">
        <v>57</v>
      </c>
      <c r="AG37" s="1">
        <f t="shared" si="6"/>
        <v>0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75</v>
      </c>
      <c r="B38" s="1" t="s">
        <v>36</v>
      </c>
      <c r="C38" s="1">
        <v>905</v>
      </c>
      <c r="D38" s="1">
        <v>4</v>
      </c>
      <c r="E38" s="1">
        <v>329</v>
      </c>
      <c r="F38" s="1">
        <v>472</v>
      </c>
      <c r="G38" s="7">
        <v>0.18</v>
      </c>
      <c r="H38" s="1">
        <v>150</v>
      </c>
      <c r="I38" s="1"/>
      <c r="J38" s="1"/>
      <c r="K38" s="1">
        <v>350</v>
      </c>
      <c r="L38" s="1">
        <f t="shared" ref="L38:L55" si="8">E38-K38</f>
        <v>-21</v>
      </c>
      <c r="M38" s="1"/>
      <c r="N38" s="1"/>
      <c r="O38" s="1"/>
      <c r="P38" s="1"/>
      <c r="Q38" s="1">
        <f t="shared" ref="Q38:Q55" si="9">E38/5</f>
        <v>65.8</v>
      </c>
      <c r="R38" s="5">
        <f t="shared" si="7"/>
        <v>515</v>
      </c>
      <c r="S38" s="5">
        <f>VLOOKUP(A38,заказ!A:B,2,0)</f>
        <v>520</v>
      </c>
      <c r="T38" s="1">
        <f t="shared" ref="T38:T55" si="10">(F38+O38+P38+R38)/Q38</f>
        <v>15</v>
      </c>
      <c r="U38" s="1">
        <f t="shared" ref="U38:U55" si="11">(F38+O38+P38)/Q38</f>
        <v>7.1732522796352587</v>
      </c>
      <c r="V38" s="1">
        <v>47.8</v>
      </c>
      <c r="W38" s="1">
        <v>28.6</v>
      </c>
      <c r="X38" s="1">
        <v>50.4</v>
      </c>
      <c r="Y38" s="1">
        <v>52.6</v>
      </c>
      <c r="Z38" s="1">
        <v>88</v>
      </c>
      <c r="AA38" s="1">
        <v>14</v>
      </c>
      <c r="AB38" s="1">
        <v>62.6</v>
      </c>
      <c r="AC38" s="1">
        <v>65</v>
      </c>
      <c r="AD38" s="1">
        <v>24.4</v>
      </c>
      <c r="AE38" s="1">
        <v>46</v>
      </c>
      <c r="AF38" s="1"/>
      <c r="AG38" s="1">
        <f t="shared" si="6"/>
        <v>92.7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76</v>
      </c>
      <c r="B39" s="1" t="s">
        <v>36</v>
      </c>
      <c r="C39" s="1">
        <v>2</v>
      </c>
      <c r="D39" s="1">
        <v>104</v>
      </c>
      <c r="E39" s="1">
        <v>83</v>
      </c>
      <c r="F39" s="1">
        <v>-32</v>
      </c>
      <c r="G39" s="7">
        <v>0.18</v>
      </c>
      <c r="H39" s="1">
        <v>150</v>
      </c>
      <c r="I39" s="1"/>
      <c r="J39" s="1"/>
      <c r="K39" s="1">
        <v>208</v>
      </c>
      <c r="L39" s="1">
        <f t="shared" si="8"/>
        <v>-125</v>
      </c>
      <c r="M39" s="1"/>
      <c r="N39" s="1"/>
      <c r="O39" s="1"/>
      <c r="P39" s="1">
        <v>70</v>
      </c>
      <c r="Q39" s="1">
        <f t="shared" si="9"/>
        <v>16.600000000000001</v>
      </c>
      <c r="R39" s="5">
        <f>10*Q39-P39-O39-F39</f>
        <v>128</v>
      </c>
      <c r="S39" s="5">
        <f>VLOOKUP(A39,заказ!A:B,2,0)</f>
        <v>130</v>
      </c>
      <c r="T39" s="1">
        <f t="shared" si="10"/>
        <v>10</v>
      </c>
      <c r="U39" s="1">
        <f t="shared" si="11"/>
        <v>2.2891566265060237</v>
      </c>
      <c r="V39" s="1">
        <v>11.2</v>
      </c>
      <c r="W39" s="1">
        <v>12.2</v>
      </c>
      <c r="X39" s="1">
        <v>15.8</v>
      </c>
      <c r="Y39" s="1">
        <v>13</v>
      </c>
      <c r="Z39" s="1">
        <v>18.399999999999999</v>
      </c>
      <c r="AA39" s="1">
        <v>27.4</v>
      </c>
      <c r="AB39" s="1">
        <v>23.8</v>
      </c>
      <c r="AC39" s="1">
        <v>17</v>
      </c>
      <c r="AD39" s="1">
        <v>36.799999999999997</v>
      </c>
      <c r="AE39" s="1">
        <v>22.6</v>
      </c>
      <c r="AF39" s="1"/>
      <c r="AG39" s="1">
        <f t="shared" si="6"/>
        <v>23.04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77</v>
      </c>
      <c r="B40" s="1" t="s">
        <v>36</v>
      </c>
      <c r="C40" s="1">
        <v>38</v>
      </c>
      <c r="D40" s="1"/>
      <c r="E40" s="1">
        <v>11</v>
      </c>
      <c r="F40" s="1">
        <v>25</v>
      </c>
      <c r="G40" s="7">
        <v>0.1</v>
      </c>
      <c r="H40" s="1">
        <v>60</v>
      </c>
      <c r="I40" s="1"/>
      <c r="J40" s="1"/>
      <c r="K40" s="1">
        <v>11</v>
      </c>
      <c r="L40" s="1">
        <f t="shared" si="8"/>
        <v>0</v>
      </c>
      <c r="M40" s="1"/>
      <c r="N40" s="1"/>
      <c r="O40" s="1"/>
      <c r="P40" s="1"/>
      <c r="Q40" s="1">
        <f t="shared" si="9"/>
        <v>2.2000000000000002</v>
      </c>
      <c r="R40" s="5">
        <f t="shared" si="7"/>
        <v>8</v>
      </c>
      <c r="S40" s="5">
        <f>VLOOKUP(A40,заказ!A:B,2,0)</f>
        <v>8</v>
      </c>
      <c r="T40" s="1">
        <f t="shared" si="10"/>
        <v>14.999999999999998</v>
      </c>
      <c r="U40" s="1">
        <f t="shared" si="11"/>
        <v>11.363636363636363</v>
      </c>
      <c r="V40" s="1">
        <v>0.2</v>
      </c>
      <c r="W40" s="1">
        <v>2</v>
      </c>
      <c r="X40" s="1">
        <v>-0.4</v>
      </c>
      <c r="Y40" s="1">
        <v>-0.2</v>
      </c>
      <c r="Z40" s="1">
        <v>0.2</v>
      </c>
      <c r="AA40" s="1">
        <v>2.8</v>
      </c>
      <c r="AB40" s="1">
        <v>3</v>
      </c>
      <c r="AC40" s="1">
        <v>1.8</v>
      </c>
      <c r="AD40" s="1">
        <v>7.4</v>
      </c>
      <c r="AE40" s="1">
        <v>7.2</v>
      </c>
      <c r="AF40" s="1"/>
      <c r="AG40" s="1">
        <f t="shared" si="6"/>
        <v>0.8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78</v>
      </c>
      <c r="B41" s="1" t="s">
        <v>36</v>
      </c>
      <c r="C41" s="1">
        <v>70</v>
      </c>
      <c r="D41" s="1"/>
      <c r="E41" s="1">
        <v>20</v>
      </c>
      <c r="F41" s="1">
        <v>43</v>
      </c>
      <c r="G41" s="7">
        <v>0.14000000000000001</v>
      </c>
      <c r="H41" s="1">
        <v>180</v>
      </c>
      <c r="I41" s="1"/>
      <c r="J41" s="1"/>
      <c r="K41" s="1">
        <v>21</v>
      </c>
      <c r="L41" s="1">
        <f t="shared" si="8"/>
        <v>-1</v>
      </c>
      <c r="M41" s="1"/>
      <c r="N41" s="1"/>
      <c r="O41" s="1"/>
      <c r="P41" s="1"/>
      <c r="Q41" s="1">
        <f t="shared" si="9"/>
        <v>4</v>
      </c>
      <c r="R41" s="5">
        <f t="shared" si="7"/>
        <v>17</v>
      </c>
      <c r="S41" s="5">
        <f>VLOOKUP(A41,заказ!A:B,2,0)</f>
        <v>16</v>
      </c>
      <c r="T41" s="1">
        <f t="shared" si="10"/>
        <v>15</v>
      </c>
      <c r="U41" s="1">
        <f t="shared" si="11"/>
        <v>10.75</v>
      </c>
      <c r="V41" s="1">
        <v>4.5999999999999996</v>
      </c>
      <c r="W41" s="1">
        <v>1.6</v>
      </c>
      <c r="X41" s="1">
        <v>4.5999999999999996</v>
      </c>
      <c r="Y41" s="1">
        <v>5.8</v>
      </c>
      <c r="Z41" s="1">
        <v>3.4</v>
      </c>
      <c r="AA41" s="1">
        <v>6.8</v>
      </c>
      <c r="AB41" s="1">
        <v>5.4</v>
      </c>
      <c r="AC41" s="1">
        <v>3.4</v>
      </c>
      <c r="AD41" s="1">
        <v>5.6</v>
      </c>
      <c r="AE41" s="1">
        <v>1.8</v>
      </c>
      <c r="AF41" s="1"/>
      <c r="AG41" s="1">
        <f t="shared" si="6"/>
        <v>2.3800000000000003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79</v>
      </c>
      <c r="B42" s="1" t="s">
        <v>36</v>
      </c>
      <c r="C42" s="1">
        <v>224</v>
      </c>
      <c r="D42" s="1"/>
      <c r="E42" s="1">
        <v>96</v>
      </c>
      <c r="F42" s="1">
        <v>109</v>
      </c>
      <c r="G42" s="7">
        <v>0.18</v>
      </c>
      <c r="H42" s="1">
        <v>270</v>
      </c>
      <c r="I42" s="1"/>
      <c r="J42" s="1"/>
      <c r="K42" s="1">
        <v>97</v>
      </c>
      <c r="L42" s="1">
        <f t="shared" si="8"/>
        <v>-1</v>
      </c>
      <c r="M42" s="1"/>
      <c r="N42" s="1"/>
      <c r="O42" s="1"/>
      <c r="P42" s="1"/>
      <c r="Q42" s="1">
        <f t="shared" si="9"/>
        <v>19.2</v>
      </c>
      <c r="R42" s="5">
        <f>14*Q42-P42-O42-F42</f>
        <v>159.80000000000001</v>
      </c>
      <c r="S42" s="5">
        <f>VLOOKUP(A42,заказ!A:B,2,0)</f>
        <v>160</v>
      </c>
      <c r="T42" s="1">
        <f t="shared" si="10"/>
        <v>14.000000000000002</v>
      </c>
      <c r="U42" s="1">
        <f t="shared" si="11"/>
        <v>5.6770833333333339</v>
      </c>
      <c r="V42" s="1">
        <v>10.8</v>
      </c>
      <c r="W42" s="1">
        <v>12.8</v>
      </c>
      <c r="X42" s="1">
        <v>18</v>
      </c>
      <c r="Y42" s="1">
        <v>20</v>
      </c>
      <c r="Z42" s="1">
        <v>16.8</v>
      </c>
      <c r="AA42" s="1">
        <v>14.2</v>
      </c>
      <c r="AB42" s="1">
        <v>11.6</v>
      </c>
      <c r="AC42" s="1">
        <v>20.2</v>
      </c>
      <c r="AD42" s="1">
        <v>18.600000000000001</v>
      </c>
      <c r="AE42" s="1">
        <v>15.4</v>
      </c>
      <c r="AF42" s="1"/>
      <c r="AG42" s="1">
        <f t="shared" si="6"/>
        <v>28.763999999999999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80</v>
      </c>
      <c r="B43" s="1" t="s">
        <v>41</v>
      </c>
      <c r="C43" s="1">
        <v>123.976</v>
      </c>
      <c r="D43" s="1"/>
      <c r="E43" s="1">
        <v>6.4640000000000004</v>
      </c>
      <c r="F43" s="1">
        <v>117.512</v>
      </c>
      <c r="G43" s="7">
        <v>1</v>
      </c>
      <c r="H43" s="1">
        <v>180</v>
      </c>
      <c r="I43" s="16" t="s">
        <v>44</v>
      </c>
      <c r="J43" s="1"/>
      <c r="K43" s="1">
        <v>6.2</v>
      </c>
      <c r="L43" s="1">
        <f t="shared" si="8"/>
        <v>0.26400000000000023</v>
      </c>
      <c r="M43" s="1"/>
      <c r="N43" s="1"/>
      <c r="O43" s="1"/>
      <c r="P43" s="1">
        <v>66</v>
      </c>
      <c r="Q43" s="1">
        <f t="shared" si="9"/>
        <v>1.2928000000000002</v>
      </c>
      <c r="R43" s="5"/>
      <c r="S43" s="5"/>
      <c r="T43" s="1">
        <f t="shared" si="10"/>
        <v>141.94925742574256</v>
      </c>
      <c r="U43" s="1">
        <f t="shared" si="11"/>
        <v>141.94925742574256</v>
      </c>
      <c r="V43" s="1">
        <v>17.328800000000001</v>
      </c>
      <c r="W43" s="1">
        <v>2.5156000000000001</v>
      </c>
      <c r="X43" s="1">
        <v>2.64</v>
      </c>
      <c r="Y43" s="1">
        <v>1.3726</v>
      </c>
      <c r="Z43" s="1">
        <v>0.75600000000000001</v>
      </c>
      <c r="AA43" s="1">
        <v>1.2356</v>
      </c>
      <c r="AB43" s="1">
        <v>4.1204000000000001</v>
      </c>
      <c r="AC43" s="1">
        <v>1.3091999999999999</v>
      </c>
      <c r="AD43" s="1">
        <v>4.6416000000000004</v>
      </c>
      <c r="AE43" s="1">
        <v>1.8744000000000001</v>
      </c>
      <c r="AF43" s="15" t="s">
        <v>96</v>
      </c>
      <c r="AG43" s="1">
        <f t="shared" si="6"/>
        <v>0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81</v>
      </c>
      <c r="B44" s="1" t="s">
        <v>41</v>
      </c>
      <c r="C44" s="1">
        <v>62.823999999999998</v>
      </c>
      <c r="D44" s="1">
        <v>3.48</v>
      </c>
      <c r="E44" s="1">
        <v>16.824000000000002</v>
      </c>
      <c r="F44" s="1">
        <v>23.213999999999999</v>
      </c>
      <c r="G44" s="7">
        <v>1</v>
      </c>
      <c r="H44" s="1">
        <v>180</v>
      </c>
      <c r="I44" s="1"/>
      <c r="J44" s="1"/>
      <c r="K44" s="1">
        <v>43</v>
      </c>
      <c r="L44" s="1">
        <f t="shared" si="8"/>
        <v>-26.175999999999998</v>
      </c>
      <c r="M44" s="1"/>
      <c r="N44" s="1"/>
      <c r="O44" s="1"/>
      <c r="P44" s="1"/>
      <c r="Q44" s="1">
        <f t="shared" si="9"/>
        <v>3.3648000000000002</v>
      </c>
      <c r="R44" s="5">
        <f t="shared" si="7"/>
        <v>27.258000000000003</v>
      </c>
      <c r="S44" s="5">
        <f>VLOOKUP(A44,заказ!A:B,2,0)</f>
        <v>33</v>
      </c>
      <c r="T44" s="1">
        <f t="shared" si="10"/>
        <v>15</v>
      </c>
      <c r="U44" s="1">
        <f t="shared" si="11"/>
        <v>6.8990727532096994</v>
      </c>
      <c r="V44" s="1">
        <v>1.3460000000000001</v>
      </c>
      <c r="W44" s="1">
        <v>2.5680000000000001</v>
      </c>
      <c r="X44" s="1">
        <v>5.9256000000000002</v>
      </c>
      <c r="Y44" s="1">
        <v>2.5728</v>
      </c>
      <c r="Z44" s="1">
        <v>2.0804</v>
      </c>
      <c r="AA44" s="1">
        <v>3.9416000000000002</v>
      </c>
      <c r="AB44" s="1">
        <v>3.7991999999999999</v>
      </c>
      <c r="AC44" s="1">
        <v>2.6511999999999998</v>
      </c>
      <c r="AD44" s="1">
        <v>1.9648000000000001</v>
      </c>
      <c r="AE44" s="1">
        <v>5.1787999999999998</v>
      </c>
      <c r="AF44" s="16" t="s">
        <v>85</v>
      </c>
      <c r="AG44" s="1">
        <f t="shared" si="6"/>
        <v>27.258000000000003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1" t="s">
        <v>82</v>
      </c>
      <c r="B45" s="11" t="s">
        <v>41</v>
      </c>
      <c r="C45" s="11">
        <v>-2.6219999999999999</v>
      </c>
      <c r="D45" s="11"/>
      <c r="E45" s="14">
        <v>2.5059999999999998</v>
      </c>
      <c r="F45" s="14">
        <v>-5.1280000000000001</v>
      </c>
      <c r="G45" s="12">
        <v>0</v>
      </c>
      <c r="H45" s="11"/>
      <c r="I45" s="11" t="s">
        <v>83</v>
      </c>
      <c r="J45" s="11" t="s">
        <v>40</v>
      </c>
      <c r="K45" s="11">
        <v>2.8</v>
      </c>
      <c r="L45" s="11">
        <f t="shared" si="8"/>
        <v>-0.29400000000000004</v>
      </c>
      <c r="M45" s="11"/>
      <c r="N45" s="11"/>
      <c r="O45" s="11"/>
      <c r="P45" s="11"/>
      <c r="Q45" s="11">
        <f t="shared" si="9"/>
        <v>0.50119999999999998</v>
      </c>
      <c r="R45" s="13"/>
      <c r="S45" s="5"/>
      <c r="T45" s="11">
        <f t="shared" si="10"/>
        <v>-10.231444533120511</v>
      </c>
      <c r="U45" s="11">
        <f t="shared" si="11"/>
        <v>-10.231444533120511</v>
      </c>
      <c r="V45" s="11">
        <v>0.52439999999999998</v>
      </c>
      <c r="W45" s="11">
        <v>0.71760000000000002</v>
      </c>
      <c r="X45" s="11">
        <v>0</v>
      </c>
      <c r="Y45" s="11">
        <v>0.2276</v>
      </c>
      <c r="Z45" s="11">
        <v>0</v>
      </c>
      <c r="AA45" s="11">
        <v>0</v>
      </c>
      <c r="AB45" s="11">
        <v>0.66239999999999999</v>
      </c>
      <c r="AC45" s="11">
        <v>0.248</v>
      </c>
      <c r="AD45" s="11">
        <v>0</v>
      </c>
      <c r="AE45" s="11">
        <v>0</v>
      </c>
      <c r="AF45" s="11"/>
      <c r="AG45" s="1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84</v>
      </c>
      <c r="B46" s="1" t="s">
        <v>41</v>
      </c>
      <c r="C46" s="1">
        <v>159.33799999999999</v>
      </c>
      <c r="D46" s="1"/>
      <c r="E46" s="1">
        <v>67.534000000000006</v>
      </c>
      <c r="F46" s="1">
        <v>73.227999999999994</v>
      </c>
      <c r="G46" s="7">
        <v>1</v>
      </c>
      <c r="H46" s="1">
        <v>180</v>
      </c>
      <c r="I46" s="1"/>
      <c r="J46" s="1"/>
      <c r="K46" s="1">
        <v>68.599999999999994</v>
      </c>
      <c r="L46" s="1">
        <f t="shared" si="8"/>
        <v>-1.0659999999999883</v>
      </c>
      <c r="M46" s="1"/>
      <c r="N46" s="1"/>
      <c r="O46" s="1"/>
      <c r="P46" s="1"/>
      <c r="Q46" s="1">
        <f t="shared" si="9"/>
        <v>13.506800000000002</v>
      </c>
      <c r="R46" s="5">
        <f>13*Q46-P46-O46-F46</f>
        <v>102.36040000000004</v>
      </c>
      <c r="S46" s="5">
        <f>VLOOKUP(A46,заказ!A:B,2,0)</f>
        <v>99</v>
      </c>
      <c r="T46" s="1">
        <f t="shared" si="10"/>
        <v>13</v>
      </c>
      <c r="U46" s="1">
        <f t="shared" si="11"/>
        <v>5.4215654337074648</v>
      </c>
      <c r="V46" s="1">
        <v>9.5599999999999987</v>
      </c>
      <c r="W46" s="1">
        <v>6.8563999999999989</v>
      </c>
      <c r="X46" s="1">
        <v>12.1096</v>
      </c>
      <c r="Y46" s="1">
        <v>9.7519999999999989</v>
      </c>
      <c r="Z46" s="1">
        <v>12.651199999999999</v>
      </c>
      <c r="AA46" s="1">
        <v>5.6836000000000002</v>
      </c>
      <c r="AB46" s="1">
        <v>12.961399999999999</v>
      </c>
      <c r="AC46" s="1">
        <v>7.6576000000000004</v>
      </c>
      <c r="AD46" s="1">
        <v>5.2435999999999998</v>
      </c>
      <c r="AE46" s="1">
        <v>8.76</v>
      </c>
      <c r="AF46" s="1" t="s">
        <v>85</v>
      </c>
      <c r="AG46" s="1">
        <f t="shared" ref="AG46:AG53" si="12">G46*R46</f>
        <v>102.36040000000004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86</v>
      </c>
      <c r="B47" s="1" t="s">
        <v>41</v>
      </c>
      <c r="C47" s="1">
        <v>37.667999999999999</v>
      </c>
      <c r="D47" s="1">
        <v>15.082000000000001</v>
      </c>
      <c r="E47" s="1">
        <v>6.37</v>
      </c>
      <c r="F47" s="1">
        <v>46.38</v>
      </c>
      <c r="G47" s="7">
        <v>1</v>
      </c>
      <c r="H47" s="1">
        <v>180</v>
      </c>
      <c r="I47" s="1"/>
      <c r="J47" s="1"/>
      <c r="K47" s="1">
        <v>7</v>
      </c>
      <c r="L47" s="1">
        <f t="shared" si="8"/>
        <v>-0.62999999999999989</v>
      </c>
      <c r="M47" s="1"/>
      <c r="N47" s="1"/>
      <c r="O47" s="1"/>
      <c r="P47" s="1">
        <v>16</v>
      </c>
      <c r="Q47" s="1">
        <f t="shared" si="9"/>
        <v>1.274</v>
      </c>
      <c r="R47" s="5"/>
      <c r="S47" s="5"/>
      <c r="T47" s="1">
        <f t="shared" si="10"/>
        <v>48.963893249607537</v>
      </c>
      <c r="U47" s="1">
        <f t="shared" si="11"/>
        <v>48.963893249607537</v>
      </c>
      <c r="V47" s="1">
        <v>3.7267999999999999</v>
      </c>
      <c r="W47" s="1">
        <v>3.8944000000000001</v>
      </c>
      <c r="X47" s="1">
        <v>3.7183999999999999</v>
      </c>
      <c r="Y47" s="1">
        <v>2.5583999999999998</v>
      </c>
      <c r="Z47" s="1">
        <v>3.859599999999999</v>
      </c>
      <c r="AA47" s="1">
        <v>0.60640000000000005</v>
      </c>
      <c r="AB47" s="1">
        <v>5.1560000000000006</v>
      </c>
      <c r="AC47" s="1">
        <v>0.63280000000000003</v>
      </c>
      <c r="AD47" s="1">
        <v>2.4144000000000001</v>
      </c>
      <c r="AE47" s="1">
        <v>3.694</v>
      </c>
      <c r="AF47" s="1"/>
      <c r="AG47" s="1">
        <f t="shared" si="12"/>
        <v>0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87</v>
      </c>
      <c r="B48" s="1" t="s">
        <v>36</v>
      </c>
      <c r="C48" s="1">
        <v>10</v>
      </c>
      <c r="D48" s="1">
        <v>446</v>
      </c>
      <c r="E48" s="1">
        <v>24</v>
      </c>
      <c r="F48" s="1">
        <v>323</v>
      </c>
      <c r="G48" s="7">
        <v>0.1</v>
      </c>
      <c r="H48" s="1">
        <v>60</v>
      </c>
      <c r="I48" s="1"/>
      <c r="J48" s="1"/>
      <c r="K48" s="1">
        <v>314</v>
      </c>
      <c r="L48" s="1">
        <f t="shared" si="8"/>
        <v>-290</v>
      </c>
      <c r="M48" s="1"/>
      <c r="N48" s="1"/>
      <c r="O48" s="1"/>
      <c r="P48" s="1">
        <v>234</v>
      </c>
      <c r="Q48" s="1">
        <f t="shared" si="9"/>
        <v>4.8</v>
      </c>
      <c r="R48" s="5"/>
      <c r="S48" s="5"/>
      <c r="T48" s="1">
        <f t="shared" si="10"/>
        <v>116.04166666666667</v>
      </c>
      <c r="U48" s="1">
        <f t="shared" si="11"/>
        <v>116.04166666666667</v>
      </c>
      <c r="V48" s="1">
        <v>45.8</v>
      </c>
      <c r="W48" s="1">
        <v>54</v>
      </c>
      <c r="X48" s="1">
        <v>18.8</v>
      </c>
      <c r="Y48" s="1">
        <v>3.8</v>
      </c>
      <c r="Z48" s="1">
        <v>41</v>
      </c>
      <c r="AA48" s="1">
        <v>51</v>
      </c>
      <c r="AB48" s="1">
        <v>54</v>
      </c>
      <c r="AC48" s="1">
        <v>0.6</v>
      </c>
      <c r="AD48" s="1">
        <v>34</v>
      </c>
      <c r="AE48" s="1">
        <v>68</v>
      </c>
      <c r="AF48" s="1"/>
      <c r="AG48" s="1">
        <f t="shared" si="12"/>
        <v>0</v>
      </c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88</v>
      </c>
      <c r="B49" s="1" t="s">
        <v>36</v>
      </c>
      <c r="C49" s="1">
        <v>607</v>
      </c>
      <c r="D49" s="1"/>
      <c r="E49" s="1">
        <v>167</v>
      </c>
      <c r="F49" s="1">
        <v>340</v>
      </c>
      <c r="G49" s="7">
        <v>0.1</v>
      </c>
      <c r="H49" s="1">
        <v>90</v>
      </c>
      <c r="I49" s="1"/>
      <c r="J49" s="1"/>
      <c r="K49" s="1">
        <v>203</v>
      </c>
      <c r="L49" s="1">
        <f t="shared" si="8"/>
        <v>-36</v>
      </c>
      <c r="M49" s="1"/>
      <c r="N49" s="1"/>
      <c r="O49" s="1"/>
      <c r="P49" s="1"/>
      <c r="Q49" s="1">
        <f t="shared" si="9"/>
        <v>33.4</v>
      </c>
      <c r="R49" s="5">
        <f t="shared" ref="R49:R50" si="13">15*Q49-P49-O49-F49</f>
        <v>161</v>
      </c>
      <c r="S49" s="5">
        <f>VLOOKUP(A49,заказ!A:B,2,0)</f>
        <v>162</v>
      </c>
      <c r="T49" s="1">
        <f t="shared" si="10"/>
        <v>15</v>
      </c>
      <c r="U49" s="1">
        <f t="shared" si="11"/>
        <v>10.179640718562874</v>
      </c>
      <c r="V49" s="1">
        <v>34</v>
      </c>
      <c r="W49" s="1">
        <v>30</v>
      </c>
      <c r="X49" s="1">
        <v>49.2</v>
      </c>
      <c r="Y49" s="1">
        <v>36.4</v>
      </c>
      <c r="Z49" s="1">
        <v>40.6</v>
      </c>
      <c r="AA49" s="1">
        <v>36.4</v>
      </c>
      <c r="AB49" s="1">
        <v>15.2</v>
      </c>
      <c r="AC49" s="1">
        <v>49.6</v>
      </c>
      <c r="AD49" s="1">
        <v>33.200000000000003</v>
      </c>
      <c r="AE49" s="1">
        <v>22.2</v>
      </c>
      <c r="AF49" s="1"/>
      <c r="AG49" s="1">
        <f t="shared" si="12"/>
        <v>16.100000000000001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89</v>
      </c>
      <c r="B50" s="1" t="s">
        <v>36</v>
      </c>
      <c r="C50" s="1">
        <v>114</v>
      </c>
      <c r="D50" s="1"/>
      <c r="E50" s="1">
        <v>33</v>
      </c>
      <c r="F50" s="1">
        <v>72</v>
      </c>
      <c r="G50" s="7">
        <v>0.14000000000000001</v>
      </c>
      <c r="H50" s="1">
        <v>180</v>
      </c>
      <c r="I50" s="1"/>
      <c r="J50" s="1"/>
      <c r="K50" s="1">
        <v>33</v>
      </c>
      <c r="L50" s="1">
        <f t="shared" si="8"/>
        <v>0</v>
      </c>
      <c r="M50" s="1"/>
      <c r="N50" s="1"/>
      <c r="O50" s="1"/>
      <c r="P50" s="1"/>
      <c r="Q50" s="1">
        <f t="shared" si="9"/>
        <v>6.6</v>
      </c>
      <c r="R50" s="5">
        <f t="shared" si="13"/>
        <v>27</v>
      </c>
      <c r="S50" s="5">
        <f>VLOOKUP(A50,заказ!A:B,2,0)</f>
        <v>32</v>
      </c>
      <c r="T50" s="1">
        <f t="shared" si="10"/>
        <v>15</v>
      </c>
      <c r="U50" s="1">
        <f t="shared" si="11"/>
        <v>10.90909090909091</v>
      </c>
      <c r="V50" s="1">
        <v>6.2</v>
      </c>
      <c r="W50" s="1">
        <v>3.2</v>
      </c>
      <c r="X50" s="1">
        <v>8.4</v>
      </c>
      <c r="Y50" s="1">
        <v>8.1999999999999993</v>
      </c>
      <c r="Z50" s="1">
        <v>6.6</v>
      </c>
      <c r="AA50" s="1">
        <v>11.4</v>
      </c>
      <c r="AB50" s="1">
        <v>8.1999999999999993</v>
      </c>
      <c r="AC50" s="1">
        <v>4.8</v>
      </c>
      <c r="AD50" s="1">
        <v>10.6</v>
      </c>
      <c r="AE50" s="1">
        <v>3.4</v>
      </c>
      <c r="AF50" s="1"/>
      <c r="AG50" s="1">
        <f t="shared" si="12"/>
        <v>3.7800000000000002</v>
      </c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90</v>
      </c>
      <c r="B51" s="1" t="s">
        <v>36</v>
      </c>
      <c r="C51" s="1">
        <v>24</v>
      </c>
      <c r="D51" s="1">
        <v>20</v>
      </c>
      <c r="E51" s="1">
        <v>41</v>
      </c>
      <c r="F51" s="1">
        <v>3</v>
      </c>
      <c r="G51" s="7">
        <v>0.2</v>
      </c>
      <c r="H51" s="1">
        <v>120</v>
      </c>
      <c r="I51" s="1"/>
      <c r="J51" s="1"/>
      <c r="K51" s="1">
        <v>41</v>
      </c>
      <c r="L51" s="1">
        <f t="shared" si="8"/>
        <v>0</v>
      </c>
      <c r="M51" s="1"/>
      <c r="N51" s="1"/>
      <c r="O51" s="1"/>
      <c r="P51" s="1">
        <v>10</v>
      </c>
      <c r="Q51" s="1">
        <f t="shared" si="9"/>
        <v>8.1999999999999993</v>
      </c>
      <c r="R51" s="5">
        <f>10*Q51-P51-O51-F51</f>
        <v>69</v>
      </c>
      <c r="S51" s="5">
        <f>VLOOKUP(A51,заказ!A:B,2,0)</f>
        <v>70</v>
      </c>
      <c r="T51" s="1">
        <f t="shared" si="10"/>
        <v>10</v>
      </c>
      <c r="U51" s="1">
        <f t="shared" si="11"/>
        <v>1.5853658536585367</v>
      </c>
      <c r="V51" s="1">
        <v>3.6</v>
      </c>
      <c r="W51" s="1">
        <v>4</v>
      </c>
      <c r="X51" s="1">
        <v>1.6</v>
      </c>
      <c r="Y51" s="1">
        <v>3.4</v>
      </c>
      <c r="Z51" s="1">
        <v>4.8</v>
      </c>
      <c r="AA51" s="1">
        <v>3.8</v>
      </c>
      <c r="AB51" s="1">
        <v>5.2</v>
      </c>
      <c r="AC51" s="1">
        <v>4.8</v>
      </c>
      <c r="AD51" s="1">
        <v>7.8</v>
      </c>
      <c r="AE51" s="1">
        <v>7.4</v>
      </c>
      <c r="AF51" s="1"/>
      <c r="AG51" s="1">
        <f t="shared" si="12"/>
        <v>13.8</v>
      </c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 t="s">
        <v>91</v>
      </c>
      <c r="B52" s="1" t="s">
        <v>41</v>
      </c>
      <c r="C52" s="1">
        <v>15.912000000000001</v>
      </c>
      <c r="D52" s="1">
        <v>98.66</v>
      </c>
      <c r="E52" s="1">
        <v>4.1749999999999998</v>
      </c>
      <c r="F52" s="1">
        <v>110.39700000000001</v>
      </c>
      <c r="G52" s="7">
        <v>1</v>
      </c>
      <c r="H52" s="1">
        <v>120</v>
      </c>
      <c r="I52" s="1"/>
      <c r="J52" s="1"/>
      <c r="K52" s="1">
        <v>3</v>
      </c>
      <c r="L52" s="1">
        <f t="shared" si="8"/>
        <v>1.1749999999999998</v>
      </c>
      <c r="M52" s="1"/>
      <c r="N52" s="1"/>
      <c r="O52" s="1"/>
      <c r="P52" s="1"/>
      <c r="Q52" s="1">
        <f t="shared" si="9"/>
        <v>0.83499999999999996</v>
      </c>
      <c r="R52" s="5"/>
      <c r="S52" s="5"/>
      <c r="T52" s="1">
        <f t="shared" si="10"/>
        <v>132.21197604790422</v>
      </c>
      <c r="U52" s="1">
        <f t="shared" si="11"/>
        <v>132.21197604790422</v>
      </c>
      <c r="V52" s="1">
        <v>0</v>
      </c>
      <c r="W52" s="1">
        <v>15.537599999999999</v>
      </c>
      <c r="X52" s="1">
        <v>0.63040000000000007</v>
      </c>
      <c r="Y52" s="1">
        <v>0</v>
      </c>
      <c r="Z52" s="1">
        <v>0</v>
      </c>
      <c r="AA52" s="1">
        <v>64.421999999999997</v>
      </c>
      <c r="AB52" s="1">
        <v>0.6492</v>
      </c>
      <c r="AC52" s="1">
        <v>6.3916000000000004</v>
      </c>
      <c r="AD52" s="1">
        <v>34.374000000000002</v>
      </c>
      <c r="AE52" s="1">
        <v>1.9136</v>
      </c>
      <c r="AF52" s="1" t="s">
        <v>92</v>
      </c>
      <c r="AG52" s="1">
        <f t="shared" si="12"/>
        <v>0</v>
      </c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93</v>
      </c>
      <c r="B53" s="1" t="s">
        <v>36</v>
      </c>
      <c r="C53" s="1">
        <v>66</v>
      </c>
      <c r="D53" s="1"/>
      <c r="E53" s="14">
        <f>29+E54</f>
        <v>43</v>
      </c>
      <c r="F53" s="14">
        <f>30+F54</f>
        <v>15</v>
      </c>
      <c r="G53" s="7">
        <v>0.2</v>
      </c>
      <c r="H53" s="1">
        <v>120</v>
      </c>
      <c r="I53" s="1"/>
      <c r="J53" s="1"/>
      <c r="K53" s="1">
        <v>30</v>
      </c>
      <c r="L53" s="1">
        <f t="shared" si="8"/>
        <v>13</v>
      </c>
      <c r="M53" s="1"/>
      <c r="N53" s="1"/>
      <c r="O53" s="1"/>
      <c r="P53" s="1"/>
      <c r="Q53" s="1">
        <f t="shared" si="9"/>
        <v>8.6</v>
      </c>
      <c r="R53" s="5">
        <f>10*Q53-P53-O53-F53</f>
        <v>71</v>
      </c>
      <c r="S53" s="5">
        <f>VLOOKUP(A53,заказ!A:B,2,0)</f>
        <v>70</v>
      </c>
      <c r="T53" s="1">
        <f t="shared" si="10"/>
        <v>10</v>
      </c>
      <c r="U53" s="1">
        <f t="shared" si="11"/>
        <v>1.7441860465116279</v>
      </c>
      <c r="V53" s="1">
        <v>3.6</v>
      </c>
      <c r="W53" s="1">
        <v>3.2</v>
      </c>
      <c r="X53" s="1">
        <v>5.4</v>
      </c>
      <c r="Y53" s="1">
        <v>3.2</v>
      </c>
      <c r="Z53" s="1">
        <v>3.6</v>
      </c>
      <c r="AA53" s="1">
        <v>5.4</v>
      </c>
      <c r="AB53" s="1">
        <v>4</v>
      </c>
      <c r="AC53" s="1">
        <v>0.6</v>
      </c>
      <c r="AD53" s="1">
        <v>5.4</v>
      </c>
      <c r="AE53" s="1">
        <v>3.8</v>
      </c>
      <c r="AF53" s="1"/>
      <c r="AG53" s="1">
        <f t="shared" si="12"/>
        <v>14.200000000000001</v>
      </c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1" t="s">
        <v>94</v>
      </c>
      <c r="B54" s="11" t="s">
        <v>36</v>
      </c>
      <c r="C54" s="11"/>
      <c r="D54" s="11"/>
      <c r="E54" s="14">
        <v>14</v>
      </c>
      <c r="F54" s="14">
        <v>-15</v>
      </c>
      <c r="G54" s="12">
        <v>0</v>
      </c>
      <c r="H54" s="11"/>
      <c r="I54" s="11" t="s">
        <v>83</v>
      </c>
      <c r="J54" s="11" t="s">
        <v>93</v>
      </c>
      <c r="K54" s="11">
        <v>14</v>
      </c>
      <c r="L54" s="11">
        <f t="shared" si="8"/>
        <v>0</v>
      </c>
      <c r="M54" s="11"/>
      <c r="N54" s="11"/>
      <c r="O54" s="11"/>
      <c r="P54" s="11"/>
      <c r="Q54" s="11">
        <f t="shared" si="9"/>
        <v>2.8</v>
      </c>
      <c r="R54" s="13"/>
      <c r="S54" s="5"/>
      <c r="T54" s="11">
        <f t="shared" si="10"/>
        <v>-5.3571428571428577</v>
      </c>
      <c r="U54" s="11">
        <f t="shared" si="11"/>
        <v>-5.3571428571428577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/>
      <c r="AG54" s="1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95</v>
      </c>
      <c r="B55" s="1" t="s">
        <v>41</v>
      </c>
      <c r="C55" s="1">
        <v>147.65799999999999</v>
      </c>
      <c r="D55" s="1"/>
      <c r="E55" s="1">
        <v>30.416</v>
      </c>
      <c r="F55" s="1">
        <v>113.94</v>
      </c>
      <c r="G55" s="7">
        <v>1</v>
      </c>
      <c r="H55" s="1">
        <v>120</v>
      </c>
      <c r="I55" s="1"/>
      <c r="J55" s="1"/>
      <c r="K55" s="1">
        <v>30.5</v>
      </c>
      <c r="L55" s="1">
        <f t="shared" si="8"/>
        <v>-8.3999999999999631E-2</v>
      </c>
      <c r="M55" s="1"/>
      <c r="N55" s="1"/>
      <c r="O55" s="1"/>
      <c r="P55" s="1"/>
      <c r="Q55" s="1">
        <f t="shared" si="9"/>
        <v>6.0831999999999997</v>
      </c>
      <c r="R55" s="5"/>
      <c r="S55" s="5"/>
      <c r="T55" s="1">
        <f t="shared" si="10"/>
        <v>18.730273540241978</v>
      </c>
      <c r="U55" s="1">
        <f t="shared" si="11"/>
        <v>18.730273540241978</v>
      </c>
      <c r="V55" s="1">
        <v>9.0995999999999988</v>
      </c>
      <c r="W55" s="1">
        <v>9.1796000000000006</v>
      </c>
      <c r="X55" s="1">
        <v>5.6015999999999986</v>
      </c>
      <c r="Y55" s="1">
        <v>13.2828</v>
      </c>
      <c r="Z55" s="1">
        <v>11.156000000000001</v>
      </c>
      <c r="AA55" s="1">
        <v>3.5844</v>
      </c>
      <c r="AB55" s="1">
        <v>10.135199999999999</v>
      </c>
      <c r="AC55" s="1">
        <v>11.611599999999999</v>
      </c>
      <c r="AD55" s="1">
        <v>6.7152000000000003</v>
      </c>
      <c r="AE55" s="1">
        <v>5.1492000000000004</v>
      </c>
      <c r="AF55" s="1"/>
      <c r="AG55" s="1">
        <f>G55*R55</f>
        <v>0</v>
      </c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1:50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</sheetData>
  <autoFilter ref="A3:AG55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3511E-025E-403A-B506-8329A2DA0246}">
  <dimension ref="A1:B18"/>
  <sheetViews>
    <sheetView workbookViewId="0">
      <selection activeCell="F5" sqref="F5"/>
    </sheetView>
  </sheetViews>
  <sheetFormatPr defaultRowHeight="15" x14ac:dyDescent="0.25"/>
  <cols>
    <col min="1" max="1" width="98.140625" bestFit="1" customWidth="1"/>
  </cols>
  <sheetData>
    <row r="1" spans="1:2" x14ac:dyDescent="0.25">
      <c r="A1" t="s">
        <v>43</v>
      </c>
      <c r="B1">
        <v>24</v>
      </c>
    </row>
    <row r="2" spans="1:2" x14ac:dyDescent="0.25">
      <c r="A2" t="s">
        <v>51</v>
      </c>
      <c r="B2">
        <v>180</v>
      </c>
    </row>
    <row r="3" spans="1:2" x14ac:dyDescent="0.25">
      <c r="A3" t="s">
        <v>55</v>
      </c>
      <c r="B3">
        <v>96</v>
      </c>
    </row>
    <row r="4" spans="1:2" x14ac:dyDescent="0.25">
      <c r="A4" t="s">
        <v>58</v>
      </c>
      <c r="B4">
        <v>220</v>
      </c>
    </row>
    <row r="5" spans="1:2" x14ac:dyDescent="0.25">
      <c r="A5" t="s">
        <v>69</v>
      </c>
      <c r="B5">
        <v>200</v>
      </c>
    </row>
    <row r="6" spans="1:2" x14ac:dyDescent="0.25">
      <c r="A6" t="s">
        <v>70</v>
      </c>
      <c r="B6">
        <v>128</v>
      </c>
    </row>
    <row r="7" spans="1:2" x14ac:dyDescent="0.25">
      <c r="A7" t="s">
        <v>72</v>
      </c>
      <c r="B7">
        <v>310</v>
      </c>
    </row>
    <row r="8" spans="1:2" x14ac:dyDescent="0.25">
      <c r="A8" t="s">
        <v>75</v>
      </c>
      <c r="B8">
        <v>520</v>
      </c>
    </row>
    <row r="9" spans="1:2" x14ac:dyDescent="0.25">
      <c r="A9" t="s">
        <v>76</v>
      </c>
      <c r="B9">
        <v>130</v>
      </c>
    </row>
    <row r="10" spans="1:2" x14ac:dyDescent="0.25">
      <c r="A10" t="s">
        <v>77</v>
      </c>
      <c r="B10">
        <v>8</v>
      </c>
    </row>
    <row r="11" spans="1:2" x14ac:dyDescent="0.25">
      <c r="A11" t="s">
        <v>78</v>
      </c>
      <c r="B11">
        <v>16</v>
      </c>
    </row>
    <row r="12" spans="1:2" x14ac:dyDescent="0.25">
      <c r="A12" t="s">
        <v>79</v>
      </c>
      <c r="B12">
        <v>160</v>
      </c>
    </row>
    <row r="13" spans="1:2" x14ac:dyDescent="0.25">
      <c r="A13" t="s">
        <v>81</v>
      </c>
      <c r="B13">
        <v>33</v>
      </c>
    </row>
    <row r="14" spans="1:2" x14ac:dyDescent="0.25">
      <c r="A14" t="s">
        <v>84</v>
      </c>
      <c r="B14">
        <v>99</v>
      </c>
    </row>
    <row r="15" spans="1:2" x14ac:dyDescent="0.25">
      <c r="A15" t="s">
        <v>88</v>
      </c>
      <c r="B15">
        <v>162</v>
      </c>
    </row>
    <row r="16" spans="1:2" x14ac:dyDescent="0.25">
      <c r="A16" t="s">
        <v>89</v>
      </c>
      <c r="B16">
        <v>32</v>
      </c>
    </row>
    <row r="17" spans="1:2" x14ac:dyDescent="0.25">
      <c r="A17" t="s">
        <v>90</v>
      </c>
      <c r="B17">
        <v>70</v>
      </c>
    </row>
    <row r="18" spans="1:2" x14ac:dyDescent="0.25">
      <c r="A18" t="s">
        <v>93</v>
      </c>
      <c r="B18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2026-08-25T16:32:04Z</dcterms:created>
  <dcterms:modified xsi:type="dcterms:W3CDTF">2026-08-27T13:26:33Z</dcterms:modified>
</cp:coreProperties>
</file>