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955FACEA-3489-4259-AEA9-74F08532CB8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Sheet!$A$3:$AH$59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2" i="1" l="1"/>
  <c r="S15" i="1"/>
  <c r="S18" i="1"/>
  <c r="S20" i="1"/>
  <c r="S31" i="1"/>
  <c r="S32" i="1"/>
  <c r="S35" i="1"/>
  <c r="S45" i="1"/>
  <c r="S47" i="1"/>
  <c r="S49" i="1"/>
  <c r="S52" i="1"/>
  <c r="S53" i="1"/>
  <c r="S55" i="1"/>
  <c r="S5" i="1" l="1"/>
  <c r="R55" i="1"/>
  <c r="R47" i="1"/>
  <c r="AH47" i="1" s="1"/>
  <c r="AH55" i="1"/>
  <c r="R7" i="1"/>
  <c r="AH7" i="1" s="1"/>
  <c r="R8" i="1"/>
  <c r="R9" i="1"/>
  <c r="AH9" i="1" s="1"/>
  <c r="R10" i="1"/>
  <c r="R11" i="1"/>
  <c r="AH11" i="1" s="1"/>
  <c r="R13" i="1"/>
  <c r="AH13" i="1" s="1"/>
  <c r="R14" i="1"/>
  <c r="R16" i="1"/>
  <c r="R17" i="1"/>
  <c r="AH17" i="1" s="1"/>
  <c r="R19" i="1"/>
  <c r="AH19" i="1" s="1"/>
  <c r="R21" i="1"/>
  <c r="AH21" i="1" s="1"/>
  <c r="R22" i="1"/>
  <c r="R23" i="1"/>
  <c r="AH23" i="1" s="1"/>
  <c r="R24" i="1"/>
  <c r="R25" i="1"/>
  <c r="AH25" i="1" s="1"/>
  <c r="R26" i="1"/>
  <c r="R27" i="1"/>
  <c r="AH27" i="1" s="1"/>
  <c r="R28" i="1"/>
  <c r="R29" i="1"/>
  <c r="AH29" i="1" s="1"/>
  <c r="R30" i="1"/>
  <c r="R33" i="1"/>
  <c r="AH33" i="1" s="1"/>
  <c r="R34" i="1"/>
  <c r="R36" i="1"/>
  <c r="R37" i="1"/>
  <c r="AH37" i="1" s="1"/>
  <c r="R38" i="1"/>
  <c r="AH38" i="1" s="1"/>
  <c r="R39" i="1"/>
  <c r="AH39" i="1" s="1"/>
  <c r="R40" i="1"/>
  <c r="R41" i="1"/>
  <c r="AH41" i="1" s="1"/>
  <c r="R42" i="1"/>
  <c r="R43" i="1"/>
  <c r="AH43" i="1" s="1"/>
  <c r="R44" i="1"/>
  <c r="R45" i="1"/>
  <c r="AH45" i="1" s="1"/>
  <c r="R46" i="1"/>
  <c r="R48" i="1"/>
  <c r="AH48" i="1" s="1"/>
  <c r="R50" i="1"/>
  <c r="R51" i="1"/>
  <c r="AH51" i="1" s="1"/>
  <c r="R54" i="1"/>
  <c r="R56" i="1"/>
  <c r="AH56" i="1" s="1"/>
  <c r="R57" i="1"/>
  <c r="AH57" i="1" s="1"/>
  <c r="R58" i="1"/>
  <c r="AH58" i="1" s="1"/>
  <c r="R59" i="1"/>
  <c r="AH59" i="1" s="1"/>
  <c r="R6" i="1"/>
  <c r="AH6" i="1" s="1"/>
  <c r="AH54" i="1" l="1"/>
  <c r="AH34" i="1"/>
  <c r="AH14" i="1"/>
  <c r="AH10" i="1"/>
  <c r="AH8" i="1"/>
  <c r="AH50" i="1"/>
  <c r="AH46" i="1"/>
  <c r="AH44" i="1"/>
  <c r="AH42" i="1"/>
  <c r="AH40" i="1"/>
  <c r="AH36" i="1"/>
  <c r="AH30" i="1"/>
  <c r="AH28" i="1"/>
  <c r="AH26" i="1"/>
  <c r="AH24" i="1"/>
  <c r="AH22" i="1"/>
  <c r="AH16" i="1"/>
  <c r="T5" i="1"/>
  <c r="P47" i="1" l="1"/>
  <c r="U47" i="1" s="1"/>
  <c r="F59" i="1" l="1"/>
  <c r="E59" i="1"/>
  <c r="L59" i="1" s="1"/>
  <c r="P58" i="1"/>
  <c r="U58" i="1" s="1"/>
  <c r="L58" i="1"/>
  <c r="P57" i="1"/>
  <c r="U57" i="1" s="1"/>
  <c r="L57" i="1"/>
  <c r="F56" i="1"/>
  <c r="E56" i="1"/>
  <c r="P56" i="1" s="1"/>
  <c r="P55" i="1"/>
  <c r="U55" i="1" s="1"/>
  <c r="L55" i="1"/>
  <c r="P54" i="1"/>
  <c r="L54" i="1"/>
  <c r="P53" i="1"/>
  <c r="L53" i="1"/>
  <c r="P52" i="1"/>
  <c r="V52" i="1" s="1"/>
  <c r="L52" i="1"/>
  <c r="P51" i="1"/>
  <c r="U51" i="1" s="1"/>
  <c r="L51" i="1"/>
  <c r="P50" i="1"/>
  <c r="L50" i="1"/>
  <c r="P49" i="1"/>
  <c r="L49" i="1"/>
  <c r="P48" i="1"/>
  <c r="U48" i="1" s="1"/>
  <c r="L48" i="1"/>
  <c r="V47" i="1"/>
  <c r="L47" i="1"/>
  <c r="P46" i="1"/>
  <c r="U46" i="1" s="1"/>
  <c r="L46" i="1"/>
  <c r="P45" i="1"/>
  <c r="L45" i="1"/>
  <c r="F45" i="1"/>
  <c r="P44" i="1"/>
  <c r="L44" i="1"/>
  <c r="P43" i="1"/>
  <c r="U43" i="1" s="1"/>
  <c r="L43" i="1"/>
  <c r="P42" i="1"/>
  <c r="U42" i="1" s="1"/>
  <c r="L42" i="1"/>
  <c r="P41" i="1"/>
  <c r="U41" i="1" s="1"/>
  <c r="L41" i="1"/>
  <c r="P40" i="1"/>
  <c r="L40" i="1"/>
  <c r="P39" i="1"/>
  <c r="U39" i="1" s="1"/>
  <c r="L39" i="1"/>
  <c r="P38" i="1"/>
  <c r="L38" i="1"/>
  <c r="F38" i="1"/>
  <c r="U38" i="1" s="1"/>
  <c r="P37" i="1"/>
  <c r="L37" i="1"/>
  <c r="P36" i="1"/>
  <c r="U36" i="1" s="1"/>
  <c r="L36" i="1"/>
  <c r="P35" i="1"/>
  <c r="V35" i="1" s="1"/>
  <c r="L35" i="1"/>
  <c r="P34" i="1"/>
  <c r="U34" i="1" s="1"/>
  <c r="L34" i="1"/>
  <c r="P33" i="1"/>
  <c r="L33" i="1"/>
  <c r="P32" i="1"/>
  <c r="L32" i="1"/>
  <c r="P31" i="1"/>
  <c r="V31" i="1" s="1"/>
  <c r="L31" i="1"/>
  <c r="P30" i="1"/>
  <c r="U30" i="1" s="1"/>
  <c r="L30" i="1"/>
  <c r="P29" i="1"/>
  <c r="L29" i="1"/>
  <c r="P28" i="1"/>
  <c r="U28" i="1" s="1"/>
  <c r="L28" i="1"/>
  <c r="P27" i="1"/>
  <c r="U27" i="1" s="1"/>
  <c r="L27" i="1"/>
  <c r="P26" i="1"/>
  <c r="U26" i="1" s="1"/>
  <c r="L26" i="1"/>
  <c r="P25" i="1"/>
  <c r="U25" i="1" s="1"/>
  <c r="L25" i="1"/>
  <c r="P24" i="1"/>
  <c r="U24" i="1" s="1"/>
  <c r="L24" i="1"/>
  <c r="P23" i="1"/>
  <c r="U23" i="1" s="1"/>
  <c r="L23" i="1"/>
  <c r="P22" i="1"/>
  <c r="L22" i="1"/>
  <c r="P21" i="1"/>
  <c r="U21" i="1" s="1"/>
  <c r="L21" i="1"/>
  <c r="P20" i="1"/>
  <c r="L20" i="1"/>
  <c r="P19" i="1"/>
  <c r="U19" i="1" s="1"/>
  <c r="L19" i="1"/>
  <c r="P18" i="1"/>
  <c r="L18" i="1"/>
  <c r="P17" i="1"/>
  <c r="U17" i="1" s="1"/>
  <c r="L17" i="1"/>
  <c r="P16" i="1"/>
  <c r="U16" i="1" s="1"/>
  <c r="L16" i="1"/>
  <c r="P15" i="1"/>
  <c r="Q15" i="1" s="1"/>
  <c r="R15" i="1" s="1"/>
  <c r="L15" i="1"/>
  <c r="P14" i="1"/>
  <c r="U14" i="1" s="1"/>
  <c r="L14" i="1"/>
  <c r="P13" i="1"/>
  <c r="U13" i="1" s="1"/>
  <c r="L13" i="1"/>
  <c r="P12" i="1"/>
  <c r="V12" i="1" s="1"/>
  <c r="L12" i="1"/>
  <c r="P11" i="1"/>
  <c r="U11" i="1" s="1"/>
  <c r="L11" i="1"/>
  <c r="P10" i="1"/>
  <c r="L10" i="1"/>
  <c r="P9" i="1"/>
  <c r="L9" i="1"/>
  <c r="F9" i="1"/>
  <c r="U9" i="1" s="1"/>
  <c r="P8" i="1"/>
  <c r="U8" i="1" s="1"/>
  <c r="L8" i="1"/>
  <c r="P7" i="1"/>
  <c r="U7" i="1" s="1"/>
  <c r="L7" i="1"/>
  <c r="P6" i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6" i="1" l="1"/>
  <c r="U6" i="1"/>
  <c r="V40" i="1"/>
  <c r="U40" i="1"/>
  <c r="V44" i="1"/>
  <c r="U44" i="1"/>
  <c r="V10" i="1"/>
  <c r="U10" i="1"/>
  <c r="AH15" i="1"/>
  <c r="U15" i="1"/>
  <c r="V22" i="1"/>
  <c r="U22" i="1"/>
  <c r="V29" i="1"/>
  <c r="U29" i="1"/>
  <c r="V33" i="1"/>
  <c r="U33" i="1"/>
  <c r="V37" i="1"/>
  <c r="U37" i="1"/>
  <c r="V45" i="1"/>
  <c r="U45" i="1"/>
  <c r="V50" i="1"/>
  <c r="U50" i="1"/>
  <c r="V54" i="1"/>
  <c r="U54" i="1"/>
  <c r="U56" i="1"/>
  <c r="V38" i="1"/>
  <c r="Q31" i="1"/>
  <c r="R31" i="1" s="1"/>
  <c r="Q35" i="1"/>
  <c r="R35" i="1" s="1"/>
  <c r="Q12" i="1"/>
  <c r="R12" i="1" s="1"/>
  <c r="V8" i="1"/>
  <c r="V16" i="1"/>
  <c r="V20" i="1"/>
  <c r="Q20" i="1"/>
  <c r="R20" i="1" s="1"/>
  <c r="V25" i="1"/>
  <c r="V7" i="1"/>
  <c r="V14" i="1"/>
  <c r="V18" i="1"/>
  <c r="Q18" i="1"/>
  <c r="R18" i="1" s="1"/>
  <c r="V23" i="1"/>
  <c r="V27" i="1"/>
  <c r="Q52" i="1"/>
  <c r="R52" i="1" s="1"/>
  <c r="Q32" i="1"/>
  <c r="R32" i="1" s="1"/>
  <c r="Q49" i="1"/>
  <c r="R49" i="1" s="1"/>
  <c r="Q53" i="1"/>
  <c r="R53" i="1" s="1"/>
  <c r="P59" i="1"/>
  <c r="U59" i="1" s="1"/>
  <c r="V11" i="1"/>
  <c r="F5" i="1"/>
  <c r="V9" i="1"/>
  <c r="V56" i="1"/>
  <c r="V13" i="1"/>
  <c r="V15" i="1"/>
  <c r="V17" i="1"/>
  <c r="V19" i="1"/>
  <c r="V21" i="1"/>
  <c r="V24" i="1"/>
  <c r="V26" i="1"/>
  <c r="V28" i="1"/>
  <c r="V30" i="1"/>
  <c r="V32" i="1"/>
  <c r="V34" i="1"/>
  <c r="V36" i="1"/>
  <c r="V39" i="1"/>
  <c r="V41" i="1"/>
  <c r="V42" i="1"/>
  <c r="V43" i="1"/>
  <c r="V46" i="1"/>
  <c r="V48" i="1"/>
  <c r="V49" i="1"/>
  <c r="V51" i="1"/>
  <c r="V53" i="1"/>
  <c r="V55" i="1"/>
  <c r="L56" i="1"/>
  <c r="L5" i="1" s="1"/>
  <c r="V57" i="1"/>
  <c r="V58" i="1"/>
  <c r="E5" i="1"/>
  <c r="AH53" i="1" l="1"/>
  <c r="U53" i="1"/>
  <c r="AH32" i="1"/>
  <c r="U32" i="1"/>
  <c r="AH18" i="1"/>
  <c r="U18" i="1"/>
  <c r="AH35" i="1"/>
  <c r="U35" i="1"/>
  <c r="AH49" i="1"/>
  <c r="U49" i="1"/>
  <c r="U52" i="1"/>
  <c r="AH52" i="1"/>
  <c r="AH20" i="1"/>
  <c r="U20" i="1"/>
  <c r="AH12" i="1"/>
  <c r="U12" i="1"/>
  <c r="R5" i="1"/>
  <c r="AH31" i="1"/>
  <c r="U31" i="1"/>
  <c r="P5" i="1"/>
  <c r="Q5" i="1"/>
  <c r="V59" i="1"/>
  <c r="AH5" i="1" l="1"/>
</calcChain>
</file>

<file path=xl/sharedStrings.xml><?xml version="1.0" encoding="utf-8"?>
<sst xmlns="http://schemas.openxmlformats.org/spreadsheetml/2006/main" count="207" uniqueCount="104">
  <si>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</si>
  <si>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</si>
  <si>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</si>
  <si>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</si>
  <si>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</si>
  <si>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</si>
  <si>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</si>
  <si>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</si>
  <si>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</si>
  <si>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</si>
  <si>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</si>
  <si>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</si>
  <si>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</si>
  <si>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</si>
  <si>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</si>
  <si>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</si>
  <si>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</si>
  <si>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</si>
  <si>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</si>
  <si>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</si>
  <si>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</si>
  <si>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</si>
  <si>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</si>
  <si>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</si>
  <si>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</si>
  <si>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</si>
  <si>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</si>
  <si>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</si>
  <si>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</si>
  <si>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</si>
  <si>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</si>
  <si>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</si>
  <si>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</si>
  <si>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</si>
  <si>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</si>
  <si>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</si>
  <si>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</si>
  <si>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</si>
  <si>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</si>
  <si>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</si>
  <si>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</si>
  <si>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</si>
  <si>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</si>
  <si>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</si>
  <si>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</si>
  <si>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</si>
  <si>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</si>
  <si>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</si>
  <si>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</si>
  <si>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</si>
  <si>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</si>
  <si>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</si>
  <si>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</si>
  <si>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</si>
  <si>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</si>
  <si>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</si>
  <si>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</si>
  <si>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</si>
  <si>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</si>
  <si>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</si>
  <si>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</si>
  <si>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</si>
  <si>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</si>
  <si>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</si>
  <si>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</si>
  <si>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</si>
  <si>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</si>
  <si>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</si>
  <si>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</si>
  <si>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</si>
  <si>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</si>
  <si>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</si>
  <si>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</si>
  <si>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</si>
  <si>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</si>
  <si>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дубль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</si>
  <si>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</si>
  <si>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</si>
  <si>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</si>
  <si>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</si>
  <si>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</si>
  <si>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</si>
  <si>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нужно увеличить продажи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</si>
  <si>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</si>
  <si>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</si>
  <si>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</si>
  <si>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</si>
  <si>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</si>
  <si>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</si>
  <si>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</si>
  <si>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</si>
  <si>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</si>
  <si>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</si>
  <si>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</si>
  <si>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</si>
  <si>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</si>
  <si>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ТК сделали заказ под клиента</t>
    </r>
  </si>
  <si>
    <t>ТК</t>
  </si>
  <si>
    <t>Титенко (сети)</t>
  </si>
  <si>
    <t>20кг сети Деликатес (06,08,26)</t>
  </si>
  <si>
    <t>20кг сети Деликатес (06,08,26) / 14,07,26 разовая продажа 295 кг</t>
  </si>
  <si>
    <t>итого</t>
  </si>
  <si>
    <t>заказ</t>
  </si>
  <si>
    <t>10,08,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</si>
</sst>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I6" sqref="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1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19" customWidth="1"/>
    <col min="21" max="22" width="5" customWidth="1"/>
    <col min="23" max="32" width="6" customWidth="1"/>
    <col min="33" max="33" width="52.7109375" customWidth="1"/>
    <col min="34" max="34" width="7" customWidth="1"/>
    <col min="35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101</v>
      </c>
      <c r="S3" s="3" t="s">
        <v>102</v>
      </c>
      <c r="T3" s="3" t="s">
        <v>97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103</v>
      </c>
      <c r="T4" s="1" t="s">
        <v>98</v>
      </c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3074.0060000000003</v>
      </c>
      <c r="F5" s="4">
        <f>SUM(F6:F500)</f>
        <v>12654.466</v>
      </c>
      <c r="G5" s="7"/>
      <c r="H5" s="1"/>
      <c r="I5" s="1"/>
      <c r="J5" s="1"/>
      <c r="K5" s="4">
        <f t="shared" ref="K5:T5" si="0">SUM(K6:K500)</f>
        <v>4024.2000000000003</v>
      </c>
      <c r="L5" s="4">
        <f t="shared" si="0"/>
        <v>-950.19399999999996</v>
      </c>
      <c r="M5" s="4">
        <f t="shared" si="0"/>
        <v>0</v>
      </c>
      <c r="N5" s="4">
        <f t="shared" si="0"/>
        <v>0</v>
      </c>
      <c r="O5" s="4">
        <f t="shared" si="0"/>
        <v>2295</v>
      </c>
      <c r="P5" s="4">
        <f t="shared" si="0"/>
        <v>614.80119999999988</v>
      </c>
      <c r="Q5" s="4">
        <f t="shared" si="0"/>
        <v>1131.4404000000002</v>
      </c>
      <c r="R5" s="4">
        <f t="shared" si="0"/>
        <v>1191.4404000000002</v>
      </c>
      <c r="S5" s="4">
        <f t="shared" si="0"/>
        <v>1197</v>
      </c>
      <c r="T5" s="4">
        <f t="shared" si="0"/>
        <v>60</v>
      </c>
      <c r="U5" s="1"/>
      <c r="V5" s="1"/>
      <c r="W5" s="4">
        <f t="shared" ref="W5:AF5" si="1">SUM(W6:W500)</f>
        <v>722.8442</v>
      </c>
      <c r="X5" s="4">
        <f t="shared" si="1"/>
        <v>868.13460000000009</v>
      </c>
      <c r="Y5" s="4">
        <f t="shared" si="1"/>
        <v>775.56739999999968</v>
      </c>
      <c r="Z5" s="4">
        <f t="shared" si="1"/>
        <v>842.99680000000001</v>
      </c>
      <c r="AA5" s="4">
        <f t="shared" si="1"/>
        <v>764.8664</v>
      </c>
      <c r="AB5" s="4">
        <f t="shared" si="1"/>
        <v>655.10919999999999</v>
      </c>
      <c r="AC5" s="4">
        <f t="shared" si="1"/>
        <v>702.91539999999986</v>
      </c>
      <c r="AD5" s="4">
        <f t="shared" si="1"/>
        <v>878.79880000000003</v>
      </c>
      <c r="AE5" s="4">
        <f t="shared" si="1"/>
        <v>528.02279999999996</v>
      </c>
      <c r="AF5" s="4">
        <f t="shared" si="1"/>
        <v>881.30419999999981</v>
      </c>
      <c r="AG5" s="1"/>
      <c r="AH5" s="4">
        <f>SUM(AH6:AH500)</f>
        <v>337.08840000000004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34</v>
      </c>
      <c r="B6" s="1" t="s">
        <v>35</v>
      </c>
      <c r="C6" s="1">
        <v>48</v>
      </c>
      <c r="D6" s="1"/>
      <c r="E6" s="1">
        <v>5</v>
      </c>
      <c r="F6" s="1">
        <v>43</v>
      </c>
      <c r="G6" s="7">
        <v>5.5E-2</v>
      </c>
      <c r="H6" s="1">
        <v>120</v>
      </c>
      <c r="I6" s="1"/>
      <c r="J6" s="1"/>
      <c r="K6" s="1">
        <v>5</v>
      </c>
      <c r="L6" s="1">
        <f t="shared" ref="L6:L37" si="2">E6-K6</f>
        <v>0</v>
      </c>
      <c r="M6" s="1"/>
      <c r="N6" s="1"/>
      <c r="O6" s="1"/>
      <c r="P6" s="1">
        <f t="shared" ref="P6:P37" si="3">E6/5</f>
        <v>1</v>
      </c>
      <c r="Q6" s="5"/>
      <c r="R6" s="5">
        <f>Q6</f>
        <v>0</v>
      </c>
      <c r="S6" s="5"/>
      <c r="T6" s="17"/>
      <c r="U6" s="1">
        <f>(F6+O6+R6)/P6</f>
        <v>43</v>
      </c>
      <c r="V6" s="1">
        <f t="shared" ref="V6:V37" si="4">(F6+O6)/P6</f>
        <v>43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4" t="s">
        <v>95</v>
      </c>
      <c r="AH6" s="1">
        <f>G6*R6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36</v>
      </c>
      <c r="B7" s="1" t="s">
        <v>35</v>
      </c>
      <c r="C7" s="1">
        <v>48</v>
      </c>
      <c r="D7" s="1"/>
      <c r="E7" s="1">
        <v>6</v>
      </c>
      <c r="F7" s="1">
        <v>42</v>
      </c>
      <c r="G7" s="7">
        <v>0.1</v>
      </c>
      <c r="H7" s="1">
        <v>120</v>
      </c>
      <c r="I7" s="1"/>
      <c r="J7" s="1"/>
      <c r="K7" s="1">
        <v>6</v>
      </c>
      <c r="L7" s="1">
        <f t="shared" si="2"/>
        <v>0</v>
      </c>
      <c r="M7" s="1"/>
      <c r="N7" s="1"/>
      <c r="O7" s="1"/>
      <c r="P7" s="1">
        <f t="shared" si="3"/>
        <v>1.2</v>
      </c>
      <c r="Q7" s="5"/>
      <c r="R7" s="5">
        <f t="shared" ref="R7:R59" si="5">Q7</f>
        <v>0</v>
      </c>
      <c r="S7" s="5"/>
      <c r="T7" s="17"/>
      <c r="U7" s="1">
        <f t="shared" ref="U7:U59" si="6">(F7+O7+R7)/P7</f>
        <v>35</v>
      </c>
      <c r="V7" s="1">
        <f t="shared" si="4"/>
        <v>35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4" t="s">
        <v>95</v>
      </c>
      <c r="AH7" s="1">
        <f t="shared" ref="AH7:AH59" si="7">G7*R7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37</v>
      </c>
      <c r="B8" s="1" t="s">
        <v>35</v>
      </c>
      <c r="C8" s="1">
        <v>48</v>
      </c>
      <c r="D8" s="1"/>
      <c r="E8" s="1">
        <v>8</v>
      </c>
      <c r="F8" s="1">
        <v>40</v>
      </c>
      <c r="G8" s="7">
        <v>0.1</v>
      </c>
      <c r="H8" s="1">
        <v>120</v>
      </c>
      <c r="I8" s="1"/>
      <c r="J8" s="1"/>
      <c r="K8" s="1">
        <v>8</v>
      </c>
      <c r="L8" s="1">
        <f t="shared" si="2"/>
        <v>0</v>
      </c>
      <c r="M8" s="1"/>
      <c r="N8" s="1"/>
      <c r="O8" s="1"/>
      <c r="P8" s="1">
        <f t="shared" si="3"/>
        <v>1.6</v>
      </c>
      <c r="Q8" s="5"/>
      <c r="R8" s="5">
        <f t="shared" si="5"/>
        <v>0</v>
      </c>
      <c r="S8" s="5"/>
      <c r="T8" s="17"/>
      <c r="U8" s="1">
        <f t="shared" si="6"/>
        <v>25</v>
      </c>
      <c r="V8" s="1">
        <f t="shared" si="4"/>
        <v>25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4" t="s">
        <v>95</v>
      </c>
      <c r="AH8" s="1">
        <f t="shared" si="7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38</v>
      </c>
      <c r="B9" s="1" t="s">
        <v>39</v>
      </c>
      <c r="C9" s="1">
        <v>84.638999999999996</v>
      </c>
      <c r="D9" s="1">
        <v>157.90199999999999</v>
      </c>
      <c r="E9" s="1">
        <v>66.272000000000006</v>
      </c>
      <c r="F9" s="13">
        <f>174.563+F48</f>
        <v>173.42499999999998</v>
      </c>
      <c r="G9" s="7">
        <v>1</v>
      </c>
      <c r="H9" s="1">
        <v>120</v>
      </c>
      <c r="I9" s="1"/>
      <c r="J9" s="1"/>
      <c r="K9" s="1">
        <v>76.400000000000006</v>
      </c>
      <c r="L9" s="1">
        <f t="shared" si="2"/>
        <v>-10.128</v>
      </c>
      <c r="M9" s="1"/>
      <c r="N9" s="1"/>
      <c r="O9" s="1">
        <v>250</v>
      </c>
      <c r="P9" s="1">
        <f t="shared" si="3"/>
        <v>13.2544</v>
      </c>
      <c r="Q9" s="5"/>
      <c r="R9" s="5">
        <f t="shared" si="5"/>
        <v>0</v>
      </c>
      <c r="S9" s="5"/>
      <c r="T9" s="17"/>
      <c r="U9" s="1">
        <f t="shared" si="6"/>
        <v>31.945995292129403</v>
      </c>
      <c r="V9" s="1">
        <f t="shared" si="4"/>
        <v>31.945995292129403</v>
      </c>
      <c r="W9" s="1">
        <v>23.414999999999999</v>
      </c>
      <c r="X9" s="1">
        <v>16.726800000000001</v>
      </c>
      <c r="Y9" s="1">
        <v>14.728400000000001</v>
      </c>
      <c r="Z9" s="1">
        <v>13.632400000000001</v>
      </c>
      <c r="AA9" s="1">
        <v>9.0015999999999998</v>
      </c>
      <c r="AB9" s="1">
        <v>20.434799999999999</v>
      </c>
      <c r="AC9" s="1">
        <v>20.461600000000001</v>
      </c>
      <c r="AD9" s="1">
        <v>14.24</v>
      </c>
      <c r="AE9" s="1">
        <v>16.459399999999999</v>
      </c>
      <c r="AF9" s="1">
        <v>5.8540000000000001</v>
      </c>
      <c r="AG9" s="14" t="s">
        <v>82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40</v>
      </c>
      <c r="B10" s="1" t="s">
        <v>35</v>
      </c>
      <c r="C10" s="1">
        <v>658</v>
      </c>
      <c r="D10" s="1"/>
      <c r="E10" s="1"/>
      <c r="F10" s="1">
        <v>658</v>
      </c>
      <c r="G10" s="7">
        <v>0.18</v>
      </c>
      <c r="H10" s="1">
        <v>180</v>
      </c>
      <c r="I10" s="1" t="s">
        <v>41</v>
      </c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5">
        <f t="shared" si="5"/>
        <v>0</v>
      </c>
      <c r="S10" s="5"/>
      <c r="T10" s="17"/>
      <c r="U10" s="1" t="e">
        <f t="shared" si="6"/>
        <v>#DIV/0!</v>
      </c>
      <c r="V10" s="1" t="e">
        <f t="shared" si="4"/>
        <v>#DIV/0!</v>
      </c>
      <c r="W10" s="1">
        <v>2.4</v>
      </c>
      <c r="X10" s="1">
        <v>6.4</v>
      </c>
      <c r="Y10" s="1">
        <v>5.2</v>
      </c>
      <c r="Z10" s="1">
        <v>4.5999999999999996</v>
      </c>
      <c r="AA10" s="1">
        <v>6.8</v>
      </c>
      <c r="AB10" s="1">
        <v>6.6</v>
      </c>
      <c r="AC10" s="1">
        <v>7.4</v>
      </c>
      <c r="AD10" s="1">
        <v>1</v>
      </c>
      <c r="AE10" s="1">
        <v>0</v>
      </c>
      <c r="AF10" s="1">
        <v>62</v>
      </c>
      <c r="AG10" s="16" t="s">
        <v>96</v>
      </c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42</v>
      </c>
      <c r="B11" s="1" t="s">
        <v>35</v>
      </c>
      <c r="C11" s="1">
        <v>255</v>
      </c>
      <c r="D11" s="1"/>
      <c r="E11" s="1">
        <v>-2</v>
      </c>
      <c r="F11" s="1">
        <v>255</v>
      </c>
      <c r="G11" s="7">
        <v>0.18</v>
      </c>
      <c r="H11" s="1">
        <v>180</v>
      </c>
      <c r="I11" s="1"/>
      <c r="J11" s="1"/>
      <c r="K11" s="1"/>
      <c r="L11" s="1">
        <f t="shared" si="2"/>
        <v>-2</v>
      </c>
      <c r="M11" s="1"/>
      <c r="N11" s="1"/>
      <c r="O11" s="1"/>
      <c r="P11" s="1">
        <f t="shared" si="3"/>
        <v>-0.4</v>
      </c>
      <c r="Q11" s="5"/>
      <c r="R11" s="5">
        <f t="shared" si="5"/>
        <v>0</v>
      </c>
      <c r="S11" s="5"/>
      <c r="T11" s="17"/>
      <c r="U11" s="1">
        <f t="shared" si="6"/>
        <v>-637.5</v>
      </c>
      <c r="V11" s="1">
        <f t="shared" si="4"/>
        <v>-637.5</v>
      </c>
      <c r="W11" s="1">
        <v>-1.2</v>
      </c>
      <c r="X11" s="1">
        <v>3.6</v>
      </c>
      <c r="Y11" s="1">
        <v>3</v>
      </c>
      <c r="Z11" s="1">
        <v>7.2</v>
      </c>
      <c r="AA11" s="1">
        <v>8</v>
      </c>
      <c r="AB11" s="1">
        <v>4.4000000000000004</v>
      </c>
      <c r="AC11" s="1">
        <v>11.2</v>
      </c>
      <c r="AD11" s="1">
        <v>9.1999999999999993</v>
      </c>
      <c r="AE11" s="1">
        <v>5.6</v>
      </c>
      <c r="AF11" s="1">
        <v>81</v>
      </c>
      <c r="AG11" s="15" t="s">
        <v>43</v>
      </c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44</v>
      </c>
      <c r="B12" s="1" t="s">
        <v>39</v>
      </c>
      <c r="C12" s="1">
        <v>47.32</v>
      </c>
      <c r="D12" s="1"/>
      <c r="E12" s="1">
        <v>16.206</v>
      </c>
      <c r="F12" s="1">
        <v>31.114000000000001</v>
      </c>
      <c r="G12" s="7">
        <v>1</v>
      </c>
      <c r="H12" s="1">
        <v>180</v>
      </c>
      <c r="I12" s="1"/>
      <c r="J12" s="1"/>
      <c r="K12" s="1">
        <v>17</v>
      </c>
      <c r="L12" s="1">
        <f t="shared" si="2"/>
        <v>-0.79400000000000048</v>
      </c>
      <c r="M12" s="1"/>
      <c r="N12" s="1"/>
      <c r="O12" s="1"/>
      <c r="P12" s="1">
        <f t="shared" si="3"/>
        <v>3.2412000000000001</v>
      </c>
      <c r="Q12" s="5">
        <f t="shared" ref="Q12:Q20" si="8">18*P12-O12-F12</f>
        <v>27.227599999999999</v>
      </c>
      <c r="R12" s="5">
        <f t="shared" si="5"/>
        <v>27.227599999999999</v>
      </c>
      <c r="S12" s="5">
        <f>VLOOKUP(A12,заказ!A:B,2,0)</f>
        <v>33</v>
      </c>
      <c r="T12" s="17"/>
      <c r="U12" s="1">
        <f t="shared" si="6"/>
        <v>18</v>
      </c>
      <c r="V12" s="1">
        <f t="shared" si="4"/>
        <v>9.5995310378872016</v>
      </c>
      <c r="W12" s="1">
        <v>0</v>
      </c>
      <c r="X12" s="1">
        <v>0.68120000000000003</v>
      </c>
      <c r="Y12" s="1">
        <v>4.0174000000000003</v>
      </c>
      <c r="Z12" s="1">
        <v>6.1176000000000004</v>
      </c>
      <c r="AA12" s="1">
        <v>5.7628000000000004</v>
      </c>
      <c r="AB12" s="1">
        <v>5.9207999999999998</v>
      </c>
      <c r="AC12" s="1">
        <v>6.5167999999999999</v>
      </c>
      <c r="AD12" s="1">
        <v>0.61439999999999995</v>
      </c>
      <c r="AE12" s="1">
        <v>0</v>
      </c>
      <c r="AF12" s="1">
        <v>0</v>
      </c>
      <c r="AG12" s="1"/>
      <c r="AH12" s="1">
        <f t="shared" si="7"/>
        <v>27.227599999999999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45</v>
      </c>
      <c r="B13" s="1" t="s">
        <v>35</v>
      </c>
      <c r="C13" s="1">
        <v>119</v>
      </c>
      <c r="D13" s="1"/>
      <c r="E13" s="1">
        <v>3</v>
      </c>
      <c r="F13" s="1">
        <v>116</v>
      </c>
      <c r="G13" s="7">
        <v>0.82450000000000001</v>
      </c>
      <c r="H13" s="1">
        <v>180</v>
      </c>
      <c r="I13" s="1"/>
      <c r="J13" s="1"/>
      <c r="K13" s="1">
        <v>3</v>
      </c>
      <c r="L13" s="1">
        <f t="shared" si="2"/>
        <v>0</v>
      </c>
      <c r="M13" s="1"/>
      <c r="N13" s="1"/>
      <c r="O13" s="1"/>
      <c r="P13" s="1">
        <f t="shared" si="3"/>
        <v>0.6</v>
      </c>
      <c r="Q13" s="5"/>
      <c r="R13" s="5">
        <f t="shared" si="5"/>
        <v>0</v>
      </c>
      <c r="S13" s="5"/>
      <c r="T13" s="17"/>
      <c r="U13" s="1">
        <f t="shared" si="6"/>
        <v>193.33333333333334</v>
      </c>
      <c r="V13" s="1">
        <f t="shared" si="4"/>
        <v>193.33333333333334</v>
      </c>
      <c r="W13" s="1">
        <v>0</v>
      </c>
      <c r="X13" s="1">
        <v>1.8</v>
      </c>
      <c r="Y13" s="1">
        <v>2.8</v>
      </c>
      <c r="Z13" s="1">
        <v>2.8</v>
      </c>
      <c r="AA13" s="1">
        <v>3.8</v>
      </c>
      <c r="AB13" s="1">
        <v>1.6</v>
      </c>
      <c r="AC13" s="1">
        <v>3.8</v>
      </c>
      <c r="AD13" s="1">
        <v>2.2000000000000002</v>
      </c>
      <c r="AE13" s="1">
        <v>1</v>
      </c>
      <c r="AF13" s="1">
        <v>7.6</v>
      </c>
      <c r="AG13" s="15" t="s">
        <v>43</v>
      </c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46</v>
      </c>
      <c r="B14" s="1" t="s">
        <v>35</v>
      </c>
      <c r="C14" s="1">
        <v>459</v>
      </c>
      <c r="D14" s="1">
        <v>6</v>
      </c>
      <c r="E14" s="1">
        <v>76</v>
      </c>
      <c r="F14" s="1">
        <v>383</v>
      </c>
      <c r="G14" s="7">
        <v>0.372</v>
      </c>
      <c r="H14" s="1">
        <v>180</v>
      </c>
      <c r="I14" s="1"/>
      <c r="J14" s="1"/>
      <c r="K14" s="1">
        <v>106</v>
      </c>
      <c r="L14" s="1">
        <f t="shared" si="2"/>
        <v>-30</v>
      </c>
      <c r="M14" s="1"/>
      <c r="N14" s="1"/>
      <c r="O14" s="1">
        <v>72</v>
      </c>
      <c r="P14" s="1">
        <f t="shared" si="3"/>
        <v>15.2</v>
      </c>
      <c r="Q14" s="5"/>
      <c r="R14" s="5">
        <f t="shared" si="5"/>
        <v>0</v>
      </c>
      <c r="S14" s="5"/>
      <c r="T14" s="17"/>
      <c r="U14" s="1">
        <f t="shared" si="6"/>
        <v>29.934210526315791</v>
      </c>
      <c r="V14" s="1">
        <f t="shared" si="4"/>
        <v>29.934210526315791</v>
      </c>
      <c r="W14" s="1">
        <v>29</v>
      </c>
      <c r="X14" s="1">
        <v>14.6</v>
      </c>
      <c r="Y14" s="1">
        <v>26.2</v>
      </c>
      <c r="Z14" s="1">
        <v>40.6</v>
      </c>
      <c r="AA14" s="1">
        <v>29.2</v>
      </c>
      <c r="AB14" s="1">
        <v>21</v>
      </c>
      <c r="AC14" s="1">
        <v>20.6</v>
      </c>
      <c r="AD14" s="1">
        <v>44.4</v>
      </c>
      <c r="AE14" s="1">
        <v>21.8</v>
      </c>
      <c r="AF14" s="1">
        <v>32.200000000000003</v>
      </c>
      <c r="AG14" s="14" t="s">
        <v>82</v>
      </c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47</v>
      </c>
      <c r="B15" s="1" t="s">
        <v>35</v>
      </c>
      <c r="C15" s="1">
        <v>390</v>
      </c>
      <c r="D15" s="1"/>
      <c r="E15" s="1">
        <v>109</v>
      </c>
      <c r="F15" s="1">
        <v>280</v>
      </c>
      <c r="G15" s="7">
        <v>0.74399999999999999</v>
      </c>
      <c r="H15" s="1">
        <v>180</v>
      </c>
      <c r="I15" s="1"/>
      <c r="J15" s="1"/>
      <c r="K15" s="1">
        <v>199</v>
      </c>
      <c r="L15" s="1">
        <f t="shared" si="2"/>
        <v>-90</v>
      </c>
      <c r="M15" s="1"/>
      <c r="N15" s="1"/>
      <c r="O15" s="1"/>
      <c r="P15" s="1">
        <f t="shared" si="3"/>
        <v>21.8</v>
      </c>
      <c r="Q15" s="5">
        <f>15*P15-O15-F15</f>
        <v>47</v>
      </c>
      <c r="R15" s="5">
        <f t="shared" si="5"/>
        <v>47</v>
      </c>
      <c r="S15" s="5">
        <f>VLOOKUP(A15,заказ!A:B,2,0)</f>
        <v>48</v>
      </c>
      <c r="T15" s="17"/>
      <c r="U15" s="1">
        <f t="shared" si="6"/>
        <v>15</v>
      </c>
      <c r="V15" s="1">
        <f t="shared" si="4"/>
        <v>12.844036697247706</v>
      </c>
      <c r="W15" s="1">
        <v>17.8</v>
      </c>
      <c r="X15" s="1">
        <v>5.6</v>
      </c>
      <c r="Y15" s="1">
        <v>21.2</v>
      </c>
      <c r="Z15" s="1">
        <v>30.2</v>
      </c>
      <c r="AA15" s="1">
        <v>24</v>
      </c>
      <c r="AB15" s="1">
        <v>20</v>
      </c>
      <c r="AC15" s="1">
        <v>19</v>
      </c>
      <c r="AD15" s="1">
        <v>23.4</v>
      </c>
      <c r="AE15" s="1">
        <v>21.2</v>
      </c>
      <c r="AF15" s="1">
        <v>6.2</v>
      </c>
      <c r="AG15" s="1"/>
      <c r="AH15" s="1">
        <f t="shared" si="7"/>
        <v>34.967999999999996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48</v>
      </c>
      <c r="B16" s="1" t="s">
        <v>35</v>
      </c>
      <c r="C16" s="1">
        <v>924</v>
      </c>
      <c r="D16" s="1">
        <v>103</v>
      </c>
      <c r="E16" s="1">
        <v>163</v>
      </c>
      <c r="F16" s="1">
        <v>845</v>
      </c>
      <c r="G16" s="7">
        <v>0.372</v>
      </c>
      <c r="H16" s="1">
        <v>180</v>
      </c>
      <c r="I16" s="1"/>
      <c r="J16" s="1"/>
      <c r="K16" s="1">
        <v>184</v>
      </c>
      <c r="L16" s="1">
        <f t="shared" si="2"/>
        <v>-21</v>
      </c>
      <c r="M16" s="1"/>
      <c r="N16" s="1"/>
      <c r="O16" s="1">
        <v>12</v>
      </c>
      <c r="P16" s="1">
        <f t="shared" si="3"/>
        <v>32.6</v>
      </c>
      <c r="Q16" s="5"/>
      <c r="R16" s="5">
        <f t="shared" si="5"/>
        <v>0</v>
      </c>
      <c r="S16" s="5"/>
      <c r="T16" s="17"/>
      <c r="U16" s="1">
        <f t="shared" si="6"/>
        <v>26.288343558282207</v>
      </c>
      <c r="V16" s="1">
        <f t="shared" si="4"/>
        <v>26.288343558282207</v>
      </c>
      <c r="W16" s="1">
        <v>49.6</v>
      </c>
      <c r="X16" s="1">
        <v>62.6</v>
      </c>
      <c r="Y16" s="1">
        <v>42.2</v>
      </c>
      <c r="Z16" s="1">
        <v>83.8</v>
      </c>
      <c r="AA16" s="1">
        <v>64.8</v>
      </c>
      <c r="AB16" s="1">
        <v>50</v>
      </c>
      <c r="AC16" s="1">
        <v>61.2</v>
      </c>
      <c r="AD16" s="1">
        <v>70.8</v>
      </c>
      <c r="AE16" s="1">
        <v>48</v>
      </c>
      <c r="AF16" s="1">
        <v>54.4</v>
      </c>
      <c r="AG16" s="14" t="s">
        <v>82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49</v>
      </c>
      <c r="B17" s="1" t="s">
        <v>35</v>
      </c>
      <c r="C17" s="1">
        <v>767</v>
      </c>
      <c r="D17" s="1">
        <v>86</v>
      </c>
      <c r="E17" s="1">
        <v>103</v>
      </c>
      <c r="F17" s="1">
        <v>748</v>
      </c>
      <c r="G17" s="7">
        <v>0.74399999999999999</v>
      </c>
      <c r="H17" s="1">
        <v>180</v>
      </c>
      <c r="I17" s="1"/>
      <c r="J17" s="1"/>
      <c r="K17" s="1">
        <v>116</v>
      </c>
      <c r="L17" s="1">
        <f t="shared" si="2"/>
        <v>-13</v>
      </c>
      <c r="M17" s="1"/>
      <c r="N17" s="1"/>
      <c r="O17" s="1">
        <v>132</v>
      </c>
      <c r="P17" s="1">
        <f t="shared" si="3"/>
        <v>20.6</v>
      </c>
      <c r="Q17" s="5"/>
      <c r="R17" s="5">
        <f t="shared" si="5"/>
        <v>0</v>
      </c>
      <c r="S17" s="5"/>
      <c r="T17" s="17"/>
      <c r="U17" s="1">
        <f t="shared" si="6"/>
        <v>42.718446601941743</v>
      </c>
      <c r="V17" s="1">
        <f t="shared" si="4"/>
        <v>42.718446601941743</v>
      </c>
      <c r="W17" s="1">
        <v>48</v>
      </c>
      <c r="X17" s="1">
        <v>52.8</v>
      </c>
      <c r="Y17" s="1">
        <v>34.200000000000003</v>
      </c>
      <c r="Z17" s="1">
        <v>70.599999999999994</v>
      </c>
      <c r="AA17" s="1">
        <v>39.799999999999997</v>
      </c>
      <c r="AB17" s="1">
        <v>36.4</v>
      </c>
      <c r="AC17" s="1">
        <v>48.8</v>
      </c>
      <c r="AD17" s="1">
        <v>39</v>
      </c>
      <c r="AE17" s="1">
        <v>32.200000000000003</v>
      </c>
      <c r="AF17" s="1">
        <v>31</v>
      </c>
      <c r="AG17" s="14" t="s">
        <v>82</v>
      </c>
      <c r="AH17" s="1">
        <f t="shared" si="7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50</v>
      </c>
      <c r="B18" s="1" t="s">
        <v>35</v>
      </c>
      <c r="C18" s="1">
        <v>56</v>
      </c>
      <c r="D18" s="1">
        <v>5</v>
      </c>
      <c r="E18" s="1">
        <v>19</v>
      </c>
      <c r="F18" s="1">
        <v>42</v>
      </c>
      <c r="G18" s="7">
        <v>0.14000000000000001</v>
      </c>
      <c r="H18" s="1">
        <v>180</v>
      </c>
      <c r="I18" s="1"/>
      <c r="J18" s="1"/>
      <c r="K18" s="1">
        <v>19</v>
      </c>
      <c r="L18" s="1">
        <f t="shared" si="2"/>
        <v>0</v>
      </c>
      <c r="M18" s="1"/>
      <c r="N18" s="1"/>
      <c r="O18" s="1">
        <v>16</v>
      </c>
      <c r="P18" s="1">
        <f t="shared" si="3"/>
        <v>3.8</v>
      </c>
      <c r="Q18" s="5">
        <f t="shared" si="8"/>
        <v>10.399999999999991</v>
      </c>
      <c r="R18" s="5">
        <f t="shared" si="5"/>
        <v>10.399999999999991</v>
      </c>
      <c r="S18" s="5">
        <f>VLOOKUP(A18,заказ!A:B,2,0)</f>
        <v>16</v>
      </c>
      <c r="T18" s="17"/>
      <c r="U18" s="1">
        <f t="shared" si="6"/>
        <v>18</v>
      </c>
      <c r="V18" s="1">
        <f t="shared" si="4"/>
        <v>15.263157894736842</v>
      </c>
      <c r="W18" s="1">
        <v>3.8</v>
      </c>
      <c r="X18" s="1">
        <v>2.2000000000000002</v>
      </c>
      <c r="Y18" s="1">
        <v>4.5999999999999996</v>
      </c>
      <c r="Z18" s="1">
        <v>3.4</v>
      </c>
      <c r="AA18" s="1">
        <v>1.6</v>
      </c>
      <c r="AB18" s="1">
        <v>3.8</v>
      </c>
      <c r="AC18" s="1">
        <v>0.4</v>
      </c>
      <c r="AD18" s="1">
        <v>2.2000000000000002</v>
      </c>
      <c r="AE18" s="1">
        <v>3.4</v>
      </c>
      <c r="AF18" s="1">
        <v>1.4</v>
      </c>
      <c r="AG18" s="1"/>
      <c r="AH18" s="1">
        <f t="shared" si="7"/>
        <v>1.4559999999999989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51</v>
      </c>
      <c r="B19" s="1" t="s">
        <v>35</v>
      </c>
      <c r="C19" s="1">
        <v>1</v>
      </c>
      <c r="D19" s="1">
        <v>80</v>
      </c>
      <c r="E19" s="1">
        <v>13</v>
      </c>
      <c r="F19" s="1">
        <v>67</v>
      </c>
      <c r="G19" s="7">
        <v>0.18</v>
      </c>
      <c r="H19" s="1">
        <v>270</v>
      </c>
      <c r="I19" s="1"/>
      <c r="J19" s="1"/>
      <c r="K19" s="1">
        <v>31</v>
      </c>
      <c r="L19" s="1">
        <f t="shared" si="2"/>
        <v>-18</v>
      </c>
      <c r="M19" s="1"/>
      <c r="N19" s="1"/>
      <c r="O19" s="1"/>
      <c r="P19" s="1">
        <f t="shared" si="3"/>
        <v>2.6</v>
      </c>
      <c r="Q19" s="5"/>
      <c r="R19" s="5">
        <f t="shared" si="5"/>
        <v>0</v>
      </c>
      <c r="S19" s="5"/>
      <c r="T19" s="17"/>
      <c r="U19" s="1">
        <f t="shared" si="6"/>
        <v>25.76923076923077</v>
      </c>
      <c r="V19" s="1">
        <f t="shared" si="4"/>
        <v>25.76923076923077</v>
      </c>
      <c r="W19" s="1">
        <v>0</v>
      </c>
      <c r="X19" s="1">
        <v>5.2</v>
      </c>
      <c r="Y19" s="1">
        <v>0.2</v>
      </c>
      <c r="Z19" s="1">
        <v>0</v>
      </c>
      <c r="AA19" s="1">
        <v>-0.4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/>
      <c r="AH19" s="1">
        <f t="shared" si="7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52</v>
      </c>
      <c r="B20" s="1" t="s">
        <v>35</v>
      </c>
      <c r="C20" s="1">
        <v>89</v>
      </c>
      <c r="D20" s="1">
        <v>144</v>
      </c>
      <c r="E20" s="1">
        <v>55</v>
      </c>
      <c r="F20" s="1">
        <v>176</v>
      </c>
      <c r="G20" s="7">
        <v>0.18</v>
      </c>
      <c r="H20" s="1">
        <v>270</v>
      </c>
      <c r="I20" s="1"/>
      <c r="J20" s="1"/>
      <c r="K20" s="1">
        <v>56</v>
      </c>
      <c r="L20" s="1">
        <f t="shared" si="2"/>
        <v>-1</v>
      </c>
      <c r="M20" s="1"/>
      <c r="N20" s="1"/>
      <c r="O20" s="1"/>
      <c r="P20" s="1">
        <f t="shared" si="3"/>
        <v>11</v>
      </c>
      <c r="Q20" s="5">
        <f t="shared" si="8"/>
        <v>22</v>
      </c>
      <c r="R20" s="5">
        <f t="shared" si="5"/>
        <v>22</v>
      </c>
      <c r="S20" s="5">
        <f>VLOOKUP(A20,заказ!A:B,2,0)</f>
        <v>16</v>
      </c>
      <c r="T20" s="17"/>
      <c r="U20" s="1">
        <f t="shared" si="6"/>
        <v>18</v>
      </c>
      <c r="V20" s="1">
        <f t="shared" si="4"/>
        <v>16</v>
      </c>
      <c r="W20" s="1">
        <v>7.4</v>
      </c>
      <c r="X20" s="1">
        <v>13</v>
      </c>
      <c r="Y20" s="1">
        <v>9.1999999999999993</v>
      </c>
      <c r="Z20" s="1">
        <v>7.4</v>
      </c>
      <c r="AA20" s="1">
        <v>7.2</v>
      </c>
      <c r="AB20" s="1">
        <v>8.4</v>
      </c>
      <c r="AC20" s="1">
        <v>8.8000000000000007</v>
      </c>
      <c r="AD20" s="1">
        <v>12</v>
      </c>
      <c r="AE20" s="1">
        <v>11</v>
      </c>
      <c r="AF20" s="1">
        <v>10.8</v>
      </c>
      <c r="AG20" s="1"/>
      <c r="AH20" s="1">
        <f t="shared" si="7"/>
        <v>3.96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53</v>
      </c>
      <c r="B21" s="1" t="s">
        <v>35</v>
      </c>
      <c r="C21" s="1">
        <v>30</v>
      </c>
      <c r="D21" s="1">
        <v>128</v>
      </c>
      <c r="E21" s="1">
        <v>-3</v>
      </c>
      <c r="F21" s="1">
        <v>151</v>
      </c>
      <c r="G21" s="7">
        <v>0.1</v>
      </c>
      <c r="H21" s="1">
        <v>60</v>
      </c>
      <c r="I21" s="1"/>
      <c r="J21" s="1"/>
      <c r="K21" s="1">
        <v>7</v>
      </c>
      <c r="L21" s="1">
        <f t="shared" si="2"/>
        <v>-10</v>
      </c>
      <c r="M21" s="1"/>
      <c r="N21" s="1"/>
      <c r="O21" s="1"/>
      <c r="P21" s="1">
        <f t="shared" si="3"/>
        <v>-0.6</v>
      </c>
      <c r="Q21" s="5"/>
      <c r="R21" s="5">
        <f t="shared" si="5"/>
        <v>0</v>
      </c>
      <c r="S21" s="5"/>
      <c r="T21" s="17"/>
      <c r="U21" s="1">
        <f t="shared" si="6"/>
        <v>-251.66666666666669</v>
      </c>
      <c r="V21" s="1">
        <f t="shared" si="4"/>
        <v>-251.66666666666669</v>
      </c>
      <c r="W21" s="1">
        <v>4.5999999999999996</v>
      </c>
      <c r="X21" s="1">
        <v>9.1999999999999993</v>
      </c>
      <c r="Y21" s="1">
        <v>2</v>
      </c>
      <c r="Z21" s="1">
        <v>6.4</v>
      </c>
      <c r="AA21" s="1">
        <v>2.8</v>
      </c>
      <c r="AB21" s="1">
        <v>5.4</v>
      </c>
      <c r="AC21" s="1">
        <v>8.6</v>
      </c>
      <c r="AD21" s="1">
        <v>9</v>
      </c>
      <c r="AE21" s="1">
        <v>5.2</v>
      </c>
      <c r="AF21" s="1">
        <v>11.6</v>
      </c>
      <c r="AG21" s="15" t="s">
        <v>43</v>
      </c>
      <c r="AH21" s="1">
        <f t="shared" si="7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0" t="s">
        <v>54</v>
      </c>
      <c r="B22" s="10" t="s">
        <v>35</v>
      </c>
      <c r="C22" s="10">
        <v>34</v>
      </c>
      <c r="D22" s="10"/>
      <c r="E22" s="10"/>
      <c r="F22" s="10">
        <v>34</v>
      </c>
      <c r="G22" s="11">
        <v>0</v>
      </c>
      <c r="H22" s="10"/>
      <c r="I22" s="10" t="s">
        <v>55</v>
      </c>
      <c r="J22" s="10"/>
      <c r="K22" s="10"/>
      <c r="L22" s="10">
        <f t="shared" si="2"/>
        <v>0</v>
      </c>
      <c r="M22" s="10"/>
      <c r="N22" s="10"/>
      <c r="O22" s="10"/>
      <c r="P22" s="10">
        <f t="shared" si="3"/>
        <v>0</v>
      </c>
      <c r="Q22" s="12"/>
      <c r="R22" s="5">
        <f t="shared" si="5"/>
        <v>0</v>
      </c>
      <c r="S22" s="5"/>
      <c r="T22" s="18"/>
      <c r="U22" s="1" t="e">
        <f t="shared" si="6"/>
        <v>#DIV/0!</v>
      </c>
      <c r="V22" s="10" t="e">
        <f t="shared" si="4"/>
        <v>#DIV/0!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2</v>
      </c>
      <c r="AC22" s="10">
        <v>0</v>
      </c>
      <c r="AD22" s="10">
        <v>0</v>
      </c>
      <c r="AE22" s="10">
        <v>0</v>
      </c>
      <c r="AF22" s="10">
        <v>0</v>
      </c>
      <c r="AG22" s="10"/>
      <c r="AH22" s="1">
        <f t="shared" si="7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56</v>
      </c>
      <c r="B23" s="1" t="s">
        <v>35</v>
      </c>
      <c r="C23" s="1">
        <v>351</v>
      </c>
      <c r="D23" s="1">
        <v>1175</v>
      </c>
      <c r="E23" s="1">
        <v>329</v>
      </c>
      <c r="F23" s="1">
        <v>1152</v>
      </c>
      <c r="G23" s="7">
        <v>0.18</v>
      </c>
      <c r="H23" s="1">
        <v>180</v>
      </c>
      <c r="I23" s="1"/>
      <c r="J23" s="1"/>
      <c r="K23" s="1">
        <v>380</v>
      </c>
      <c r="L23" s="1">
        <f t="shared" si="2"/>
        <v>-51</v>
      </c>
      <c r="M23" s="1"/>
      <c r="N23" s="1"/>
      <c r="O23" s="1">
        <v>130</v>
      </c>
      <c r="P23" s="1">
        <f t="shared" si="3"/>
        <v>65.8</v>
      </c>
      <c r="Q23" s="5"/>
      <c r="R23" s="5">
        <f t="shared" si="5"/>
        <v>0</v>
      </c>
      <c r="S23" s="5"/>
      <c r="T23" s="17"/>
      <c r="U23" s="1">
        <f t="shared" si="6"/>
        <v>19.483282674772038</v>
      </c>
      <c r="V23" s="1">
        <f t="shared" si="4"/>
        <v>19.483282674772038</v>
      </c>
      <c r="W23" s="1">
        <v>79</v>
      </c>
      <c r="X23" s="1">
        <v>93</v>
      </c>
      <c r="Y23" s="1">
        <v>72.599999999999994</v>
      </c>
      <c r="Z23" s="1">
        <v>37.4</v>
      </c>
      <c r="AA23" s="1">
        <v>18.399999999999999</v>
      </c>
      <c r="AB23" s="1">
        <v>80.8</v>
      </c>
      <c r="AC23" s="1">
        <v>1.4</v>
      </c>
      <c r="AD23" s="1">
        <v>32</v>
      </c>
      <c r="AE23" s="1">
        <v>35.200000000000003</v>
      </c>
      <c r="AF23" s="1">
        <v>41</v>
      </c>
      <c r="AG23" s="1"/>
      <c r="AH23" s="1">
        <f t="shared" si="7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57</v>
      </c>
      <c r="B24" s="1" t="s">
        <v>35</v>
      </c>
      <c r="C24" s="1">
        <v>966</v>
      </c>
      <c r="D24" s="1">
        <v>830</v>
      </c>
      <c r="E24" s="1">
        <v>417</v>
      </c>
      <c r="F24" s="1">
        <v>1324</v>
      </c>
      <c r="G24" s="7">
        <v>0.18</v>
      </c>
      <c r="H24" s="1">
        <v>180</v>
      </c>
      <c r="I24" s="1"/>
      <c r="J24" s="1"/>
      <c r="K24" s="1">
        <v>432</v>
      </c>
      <c r="L24" s="1">
        <f t="shared" si="2"/>
        <v>-15</v>
      </c>
      <c r="M24" s="1"/>
      <c r="N24" s="1"/>
      <c r="O24" s="1">
        <v>350</v>
      </c>
      <c r="P24" s="1">
        <f t="shared" si="3"/>
        <v>83.4</v>
      </c>
      <c r="Q24" s="5"/>
      <c r="R24" s="5">
        <f t="shared" si="5"/>
        <v>0</v>
      </c>
      <c r="S24" s="5"/>
      <c r="T24" s="17"/>
      <c r="U24" s="1">
        <f t="shared" si="6"/>
        <v>20.071942446043163</v>
      </c>
      <c r="V24" s="1">
        <f t="shared" si="4"/>
        <v>20.071942446043163</v>
      </c>
      <c r="W24" s="1">
        <v>102.2</v>
      </c>
      <c r="X24" s="1">
        <v>110.8</v>
      </c>
      <c r="Y24" s="1">
        <v>97.8</v>
      </c>
      <c r="Z24" s="1">
        <v>126.6</v>
      </c>
      <c r="AA24" s="1">
        <v>138.80000000000001</v>
      </c>
      <c r="AB24" s="1">
        <v>42</v>
      </c>
      <c r="AC24" s="1">
        <v>156</v>
      </c>
      <c r="AD24" s="1">
        <v>193.8</v>
      </c>
      <c r="AE24" s="1">
        <v>94.6</v>
      </c>
      <c r="AF24" s="1">
        <v>137.6</v>
      </c>
      <c r="AG24" s="1"/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58</v>
      </c>
      <c r="B25" s="1" t="s">
        <v>35</v>
      </c>
      <c r="C25" s="1">
        <v>39</v>
      </c>
      <c r="D25" s="1">
        <v>32</v>
      </c>
      <c r="E25" s="1">
        <v>3</v>
      </c>
      <c r="F25" s="1">
        <v>68</v>
      </c>
      <c r="G25" s="7">
        <v>0.4</v>
      </c>
      <c r="H25" s="1">
        <v>270</v>
      </c>
      <c r="I25" s="1"/>
      <c r="J25" s="1"/>
      <c r="K25" s="1">
        <v>9</v>
      </c>
      <c r="L25" s="1">
        <f t="shared" si="2"/>
        <v>-6</v>
      </c>
      <c r="M25" s="1"/>
      <c r="N25" s="1"/>
      <c r="O25" s="1"/>
      <c r="P25" s="1">
        <f t="shared" si="3"/>
        <v>0.6</v>
      </c>
      <c r="Q25" s="5"/>
      <c r="R25" s="5">
        <f t="shared" si="5"/>
        <v>0</v>
      </c>
      <c r="S25" s="5"/>
      <c r="T25" s="17"/>
      <c r="U25" s="1">
        <f t="shared" si="6"/>
        <v>113.33333333333334</v>
      </c>
      <c r="V25" s="1">
        <f t="shared" si="4"/>
        <v>113.33333333333334</v>
      </c>
      <c r="W25" s="1">
        <v>1</v>
      </c>
      <c r="X25" s="1">
        <v>3.2</v>
      </c>
      <c r="Y25" s="1">
        <v>2.6</v>
      </c>
      <c r="Z25" s="1">
        <v>0</v>
      </c>
      <c r="AA25" s="1">
        <v>2.2000000000000002</v>
      </c>
      <c r="AB25" s="1">
        <v>0.8</v>
      </c>
      <c r="AC25" s="1">
        <v>2.8</v>
      </c>
      <c r="AD25" s="1">
        <v>0.6</v>
      </c>
      <c r="AE25" s="1">
        <v>0.6</v>
      </c>
      <c r="AF25" s="1">
        <v>0.4</v>
      </c>
      <c r="AG25" s="15" t="s">
        <v>43</v>
      </c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59</v>
      </c>
      <c r="B26" s="1" t="s">
        <v>35</v>
      </c>
      <c r="C26" s="1">
        <v>86</v>
      </c>
      <c r="D26" s="1"/>
      <c r="E26" s="1"/>
      <c r="F26" s="1">
        <v>86</v>
      </c>
      <c r="G26" s="7">
        <v>0.4</v>
      </c>
      <c r="H26" s="1">
        <v>270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>
        <f t="shared" si="5"/>
        <v>0</v>
      </c>
      <c r="S26" s="5"/>
      <c r="T26" s="17"/>
      <c r="U26" s="1" t="e">
        <f t="shared" si="6"/>
        <v>#DIV/0!</v>
      </c>
      <c r="V26" s="1" t="e">
        <f t="shared" si="4"/>
        <v>#DIV/0!</v>
      </c>
      <c r="W26" s="1">
        <v>0</v>
      </c>
      <c r="X26" s="1">
        <v>0</v>
      </c>
      <c r="Y26" s="1">
        <v>0.2</v>
      </c>
      <c r="Z26" s="1">
        <v>0</v>
      </c>
      <c r="AA26" s="1">
        <v>0</v>
      </c>
      <c r="AB26" s="1">
        <v>0.2</v>
      </c>
      <c r="AC26" s="1">
        <v>0.2</v>
      </c>
      <c r="AD26" s="1">
        <v>0.2</v>
      </c>
      <c r="AE26" s="1">
        <v>0</v>
      </c>
      <c r="AF26" s="1">
        <v>1</v>
      </c>
      <c r="AG26" s="15" t="s">
        <v>43</v>
      </c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60</v>
      </c>
      <c r="B27" s="1" t="s">
        <v>35</v>
      </c>
      <c r="C27" s="1">
        <v>176</v>
      </c>
      <c r="D27" s="1"/>
      <c r="E27" s="1">
        <v>5</v>
      </c>
      <c r="F27" s="1">
        <v>171</v>
      </c>
      <c r="G27" s="7">
        <v>0.18</v>
      </c>
      <c r="H27" s="1">
        <v>270</v>
      </c>
      <c r="I27" s="1"/>
      <c r="J27" s="1"/>
      <c r="K27" s="1">
        <v>5</v>
      </c>
      <c r="L27" s="1">
        <f t="shared" si="2"/>
        <v>0</v>
      </c>
      <c r="M27" s="1"/>
      <c r="N27" s="1"/>
      <c r="O27" s="1"/>
      <c r="P27" s="1">
        <f t="shared" si="3"/>
        <v>1</v>
      </c>
      <c r="Q27" s="5"/>
      <c r="R27" s="5">
        <f t="shared" si="5"/>
        <v>0</v>
      </c>
      <c r="S27" s="5"/>
      <c r="T27" s="17"/>
      <c r="U27" s="1">
        <f t="shared" si="6"/>
        <v>171</v>
      </c>
      <c r="V27" s="1">
        <f t="shared" si="4"/>
        <v>171</v>
      </c>
      <c r="W27" s="1">
        <v>0.2</v>
      </c>
      <c r="X27" s="1">
        <v>2.8</v>
      </c>
      <c r="Y27" s="1">
        <v>3.6</v>
      </c>
      <c r="Z27" s="1">
        <v>1.8</v>
      </c>
      <c r="AA27" s="1">
        <v>1</v>
      </c>
      <c r="AB27" s="1">
        <v>1</v>
      </c>
      <c r="AC27" s="1">
        <v>1.4</v>
      </c>
      <c r="AD27" s="1">
        <v>0.6</v>
      </c>
      <c r="AE27" s="1">
        <v>3.2</v>
      </c>
      <c r="AF27" s="1">
        <v>3.6</v>
      </c>
      <c r="AG27" s="15" t="s">
        <v>43</v>
      </c>
      <c r="AH27" s="1">
        <f t="shared" si="7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61</v>
      </c>
      <c r="B28" s="1" t="s">
        <v>35</v>
      </c>
      <c r="C28" s="1">
        <v>21</v>
      </c>
      <c r="D28" s="1"/>
      <c r="E28" s="1"/>
      <c r="F28" s="1">
        <v>21</v>
      </c>
      <c r="G28" s="7">
        <v>0.2</v>
      </c>
      <c r="H28" s="1">
        <v>120</v>
      </c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5">
        <f t="shared" si="5"/>
        <v>0</v>
      </c>
      <c r="S28" s="5"/>
      <c r="T28" s="17"/>
      <c r="U28" s="1" t="e">
        <f t="shared" si="6"/>
        <v>#DIV/0!</v>
      </c>
      <c r="V28" s="1" t="e">
        <f t="shared" si="4"/>
        <v>#DIV/0!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5" t="s">
        <v>43</v>
      </c>
      <c r="AH28" s="1">
        <f t="shared" si="7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62</v>
      </c>
      <c r="B29" s="1" t="s">
        <v>39</v>
      </c>
      <c r="C29" s="1">
        <v>14.645</v>
      </c>
      <c r="D29" s="1"/>
      <c r="E29" s="1"/>
      <c r="F29" s="1">
        <v>14.645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5">
        <f t="shared" si="5"/>
        <v>0</v>
      </c>
      <c r="S29" s="5"/>
      <c r="T29" s="17"/>
      <c r="U29" s="1" t="e">
        <f t="shared" si="6"/>
        <v>#DIV/0!</v>
      </c>
      <c r="V29" s="1" t="e">
        <f t="shared" si="4"/>
        <v>#DIV/0!</v>
      </c>
      <c r="W29" s="1">
        <v>0.46300000000000002</v>
      </c>
      <c r="X29" s="1">
        <v>0.88900000000000001</v>
      </c>
      <c r="Y29" s="1">
        <v>0.34799999999999998</v>
      </c>
      <c r="Z29" s="1">
        <v>0.56299999999999994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5" t="s">
        <v>43</v>
      </c>
      <c r="AH29" s="1">
        <f t="shared" si="7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63</v>
      </c>
      <c r="B30" s="1" t="s">
        <v>39</v>
      </c>
      <c r="C30" s="1">
        <v>54.895000000000003</v>
      </c>
      <c r="D30" s="1"/>
      <c r="E30" s="1"/>
      <c r="F30" s="1">
        <v>54.895000000000003</v>
      </c>
      <c r="G30" s="7">
        <v>1</v>
      </c>
      <c r="H30" s="1">
        <v>180</v>
      </c>
      <c r="I30" s="1"/>
      <c r="J30" s="1"/>
      <c r="K30" s="1"/>
      <c r="L30" s="1">
        <f t="shared" si="2"/>
        <v>0</v>
      </c>
      <c r="M30" s="1"/>
      <c r="N30" s="1"/>
      <c r="O30" s="1"/>
      <c r="P30" s="1">
        <f t="shared" si="3"/>
        <v>0</v>
      </c>
      <c r="Q30" s="5"/>
      <c r="R30" s="5">
        <f t="shared" si="5"/>
        <v>0</v>
      </c>
      <c r="S30" s="5"/>
      <c r="T30" s="17"/>
      <c r="U30" s="1" t="e">
        <f t="shared" si="6"/>
        <v>#DIV/0!</v>
      </c>
      <c r="V30" s="1" t="e">
        <f t="shared" si="4"/>
        <v>#DIV/0!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1.7669999999999999</v>
      </c>
      <c r="AD30" s="1">
        <v>0</v>
      </c>
      <c r="AE30" s="1">
        <v>0.97499999999999998</v>
      </c>
      <c r="AF30" s="1">
        <v>0.44500000000000001</v>
      </c>
      <c r="AG30" s="15" t="s">
        <v>43</v>
      </c>
      <c r="AH30" s="1">
        <f t="shared" si="7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64</v>
      </c>
      <c r="B31" s="1" t="s">
        <v>35</v>
      </c>
      <c r="C31" s="1">
        <v>170</v>
      </c>
      <c r="D31" s="1">
        <v>15</v>
      </c>
      <c r="E31" s="1">
        <v>42</v>
      </c>
      <c r="F31" s="1">
        <v>139</v>
      </c>
      <c r="G31" s="7">
        <v>0.18</v>
      </c>
      <c r="H31" s="1">
        <v>150</v>
      </c>
      <c r="I31" s="1"/>
      <c r="J31" s="1"/>
      <c r="K31" s="1">
        <v>69</v>
      </c>
      <c r="L31" s="1">
        <f t="shared" si="2"/>
        <v>-27</v>
      </c>
      <c r="M31" s="1"/>
      <c r="N31" s="1"/>
      <c r="O31" s="1"/>
      <c r="P31" s="1">
        <f t="shared" si="3"/>
        <v>8.4</v>
      </c>
      <c r="Q31" s="5">
        <f t="shared" ref="Q31:Q32" si="9">18*P31-O31-F31</f>
        <v>12.200000000000017</v>
      </c>
      <c r="R31" s="5">
        <f t="shared" si="5"/>
        <v>12.200000000000017</v>
      </c>
      <c r="S31" s="5">
        <f>VLOOKUP(A31,заказ!A:B,2,0)</f>
        <v>12</v>
      </c>
      <c r="T31" s="17"/>
      <c r="U31" s="1">
        <f t="shared" si="6"/>
        <v>18</v>
      </c>
      <c r="V31" s="1">
        <f t="shared" si="4"/>
        <v>16.547619047619047</v>
      </c>
      <c r="W31" s="1">
        <v>7.2</v>
      </c>
      <c r="X31" s="1">
        <v>12</v>
      </c>
      <c r="Y31" s="1">
        <v>4.2</v>
      </c>
      <c r="Z31" s="1">
        <v>5.4</v>
      </c>
      <c r="AA31" s="1">
        <v>0</v>
      </c>
      <c r="AB31" s="1">
        <v>0</v>
      </c>
      <c r="AC31" s="1">
        <v>-0.2</v>
      </c>
      <c r="AD31" s="1">
        <v>-0.6</v>
      </c>
      <c r="AE31" s="1">
        <v>-0.6</v>
      </c>
      <c r="AF31" s="1">
        <v>0</v>
      </c>
      <c r="AG31" s="1"/>
      <c r="AH31" s="1">
        <f t="shared" si="7"/>
        <v>2.1960000000000028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65</v>
      </c>
      <c r="B32" s="1" t="s">
        <v>35</v>
      </c>
      <c r="C32" s="1">
        <v>48</v>
      </c>
      <c r="D32" s="1">
        <v>237</v>
      </c>
      <c r="E32" s="1">
        <v>93</v>
      </c>
      <c r="F32" s="1">
        <v>192</v>
      </c>
      <c r="G32" s="7">
        <v>0.1</v>
      </c>
      <c r="H32" s="1">
        <v>90</v>
      </c>
      <c r="I32" s="1"/>
      <c r="J32" s="1"/>
      <c r="K32" s="1">
        <v>93</v>
      </c>
      <c r="L32" s="1">
        <f t="shared" si="2"/>
        <v>0</v>
      </c>
      <c r="M32" s="1"/>
      <c r="N32" s="1"/>
      <c r="O32" s="1"/>
      <c r="P32" s="1">
        <f t="shared" si="3"/>
        <v>18.600000000000001</v>
      </c>
      <c r="Q32" s="5">
        <f t="shared" si="9"/>
        <v>142.80000000000001</v>
      </c>
      <c r="R32" s="5">
        <f t="shared" si="5"/>
        <v>142.80000000000001</v>
      </c>
      <c r="S32" s="5">
        <f>VLOOKUP(A32,заказ!A:B,2,0)</f>
        <v>144</v>
      </c>
      <c r="T32" s="17"/>
      <c r="U32" s="1">
        <f t="shared" si="6"/>
        <v>18</v>
      </c>
      <c r="V32" s="1">
        <f t="shared" si="4"/>
        <v>10.32258064516129</v>
      </c>
      <c r="W32" s="1">
        <v>6</v>
      </c>
      <c r="X32" s="1">
        <v>16</v>
      </c>
      <c r="Y32" s="1">
        <v>13.8</v>
      </c>
      <c r="Z32" s="1">
        <v>0.2</v>
      </c>
      <c r="AA32" s="1">
        <v>7.4</v>
      </c>
      <c r="AB32" s="1">
        <v>12.2</v>
      </c>
      <c r="AC32" s="1">
        <v>-0.6</v>
      </c>
      <c r="AD32" s="1">
        <v>0</v>
      </c>
      <c r="AE32" s="1">
        <v>0</v>
      </c>
      <c r="AF32" s="1">
        <v>0</v>
      </c>
      <c r="AG32" s="1"/>
      <c r="AH32" s="1">
        <f t="shared" si="7"/>
        <v>14.280000000000001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66</v>
      </c>
      <c r="B33" s="1" t="s">
        <v>35</v>
      </c>
      <c r="C33" s="1">
        <v>137</v>
      </c>
      <c r="D33" s="1">
        <v>288</v>
      </c>
      <c r="E33" s="1">
        <v>108</v>
      </c>
      <c r="F33" s="1">
        <v>306</v>
      </c>
      <c r="G33" s="7">
        <v>0.1</v>
      </c>
      <c r="H33" s="1">
        <v>60</v>
      </c>
      <c r="I33" s="1"/>
      <c r="J33" s="1"/>
      <c r="K33" s="1">
        <v>108</v>
      </c>
      <c r="L33" s="1">
        <f t="shared" si="2"/>
        <v>0</v>
      </c>
      <c r="M33" s="1"/>
      <c r="N33" s="1"/>
      <c r="O33" s="1">
        <v>464</v>
      </c>
      <c r="P33" s="1">
        <f t="shared" si="3"/>
        <v>21.6</v>
      </c>
      <c r="Q33" s="5"/>
      <c r="R33" s="5">
        <f t="shared" si="5"/>
        <v>0</v>
      </c>
      <c r="S33" s="5"/>
      <c r="T33" s="17"/>
      <c r="U33" s="1">
        <f t="shared" si="6"/>
        <v>35.648148148148145</v>
      </c>
      <c r="V33" s="1">
        <f t="shared" si="4"/>
        <v>35.648148148148145</v>
      </c>
      <c r="W33" s="1">
        <v>43.4</v>
      </c>
      <c r="X33" s="1">
        <v>29.8</v>
      </c>
      <c r="Y33" s="1">
        <v>18.399999999999999</v>
      </c>
      <c r="Z33" s="1">
        <v>30.4</v>
      </c>
      <c r="AA33" s="1">
        <v>37.4</v>
      </c>
      <c r="AB33" s="1">
        <v>2</v>
      </c>
      <c r="AC33" s="1">
        <v>24.8</v>
      </c>
      <c r="AD33" s="1">
        <v>44.2</v>
      </c>
      <c r="AE33" s="1">
        <v>5.2</v>
      </c>
      <c r="AF33" s="1">
        <v>14</v>
      </c>
      <c r="AG33" s="1"/>
      <c r="AH33" s="1">
        <f t="shared" si="7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67</v>
      </c>
      <c r="B34" s="1" t="s">
        <v>35</v>
      </c>
      <c r="C34" s="1">
        <v>43</v>
      </c>
      <c r="D34" s="1">
        <v>450</v>
      </c>
      <c r="E34" s="1">
        <v>69</v>
      </c>
      <c r="F34" s="1">
        <v>401</v>
      </c>
      <c r="G34" s="7">
        <v>0.1</v>
      </c>
      <c r="H34" s="1">
        <v>90</v>
      </c>
      <c r="I34" s="1"/>
      <c r="J34" s="1"/>
      <c r="K34" s="1">
        <v>97</v>
      </c>
      <c r="L34" s="1">
        <f t="shared" si="2"/>
        <v>-28</v>
      </c>
      <c r="M34" s="1"/>
      <c r="N34" s="1"/>
      <c r="O34" s="1">
        <v>256</v>
      </c>
      <c r="P34" s="1">
        <f t="shared" si="3"/>
        <v>13.8</v>
      </c>
      <c r="Q34" s="5"/>
      <c r="R34" s="5">
        <f t="shared" si="5"/>
        <v>0</v>
      </c>
      <c r="S34" s="5"/>
      <c r="T34" s="17"/>
      <c r="U34" s="1">
        <f t="shared" si="6"/>
        <v>47.608695652173914</v>
      </c>
      <c r="V34" s="1">
        <f t="shared" si="4"/>
        <v>47.608695652173914</v>
      </c>
      <c r="W34" s="1">
        <v>35.6</v>
      </c>
      <c r="X34" s="1">
        <v>30.6</v>
      </c>
      <c r="Y34" s="1">
        <v>18.8</v>
      </c>
      <c r="Z34" s="1">
        <v>21</v>
      </c>
      <c r="AA34" s="1">
        <v>26.6</v>
      </c>
      <c r="AB34" s="1">
        <v>20.6</v>
      </c>
      <c r="AC34" s="1">
        <v>21.4</v>
      </c>
      <c r="AD34" s="1">
        <v>28</v>
      </c>
      <c r="AE34" s="1">
        <v>2.2000000000000002</v>
      </c>
      <c r="AF34" s="1">
        <v>16.2</v>
      </c>
      <c r="AG34" s="1"/>
      <c r="AH34" s="1">
        <f t="shared" si="7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68</v>
      </c>
      <c r="B35" s="1" t="s">
        <v>35</v>
      </c>
      <c r="C35" s="1">
        <v>279</v>
      </c>
      <c r="D35" s="1">
        <v>8</v>
      </c>
      <c r="E35" s="1">
        <v>174</v>
      </c>
      <c r="F35" s="1">
        <v>103</v>
      </c>
      <c r="G35" s="7">
        <v>0.18</v>
      </c>
      <c r="H35" s="1">
        <v>150</v>
      </c>
      <c r="I35" s="1"/>
      <c r="J35" s="1"/>
      <c r="K35" s="1">
        <v>182</v>
      </c>
      <c r="L35" s="1">
        <f t="shared" si="2"/>
        <v>-8</v>
      </c>
      <c r="M35" s="1"/>
      <c r="N35" s="1"/>
      <c r="O35" s="1"/>
      <c r="P35" s="1">
        <f t="shared" si="3"/>
        <v>34.799999999999997</v>
      </c>
      <c r="Q35" s="5">
        <f>15*P35-O35-F35</f>
        <v>419</v>
      </c>
      <c r="R35" s="5">
        <f t="shared" si="5"/>
        <v>419</v>
      </c>
      <c r="S35" s="5">
        <f>VLOOKUP(A35,заказ!A:B,2,0)</f>
        <v>420</v>
      </c>
      <c r="T35" s="17"/>
      <c r="U35" s="1">
        <f t="shared" si="6"/>
        <v>15.000000000000002</v>
      </c>
      <c r="V35" s="1">
        <f t="shared" si="4"/>
        <v>2.9597701149425291</v>
      </c>
      <c r="W35" s="1">
        <v>21.2</v>
      </c>
      <c r="X35" s="1">
        <v>39.6</v>
      </c>
      <c r="Y35" s="1">
        <v>29</v>
      </c>
      <c r="Z35" s="1">
        <v>34.799999999999997</v>
      </c>
      <c r="AA35" s="1">
        <v>33.200000000000003</v>
      </c>
      <c r="AB35" s="1">
        <v>23.2</v>
      </c>
      <c r="AC35" s="1">
        <v>15</v>
      </c>
      <c r="AD35" s="1">
        <v>35</v>
      </c>
      <c r="AE35" s="1">
        <v>37.799999999999997</v>
      </c>
      <c r="AF35" s="1">
        <v>39.4</v>
      </c>
      <c r="AG35" s="1"/>
      <c r="AH35" s="1">
        <f t="shared" si="7"/>
        <v>75.42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69</v>
      </c>
      <c r="B36" s="1" t="s">
        <v>35</v>
      </c>
      <c r="C36" s="1">
        <v>654</v>
      </c>
      <c r="D36" s="1">
        <v>37</v>
      </c>
      <c r="E36" s="1">
        <v>146</v>
      </c>
      <c r="F36" s="1">
        <v>530</v>
      </c>
      <c r="G36" s="7">
        <v>0.18</v>
      </c>
      <c r="H36" s="1">
        <v>150</v>
      </c>
      <c r="I36" s="1"/>
      <c r="J36" s="1"/>
      <c r="K36" s="1">
        <v>320</v>
      </c>
      <c r="L36" s="1">
        <f t="shared" si="2"/>
        <v>-174</v>
      </c>
      <c r="M36" s="1"/>
      <c r="N36" s="1"/>
      <c r="O36" s="1">
        <v>20</v>
      </c>
      <c r="P36" s="1">
        <f t="shared" si="3"/>
        <v>29.2</v>
      </c>
      <c r="Q36" s="5"/>
      <c r="R36" s="5">
        <f t="shared" si="5"/>
        <v>0</v>
      </c>
      <c r="S36" s="5"/>
      <c r="T36" s="17"/>
      <c r="U36" s="1">
        <f t="shared" si="6"/>
        <v>18.835616438356166</v>
      </c>
      <c r="V36" s="1">
        <f t="shared" si="4"/>
        <v>18.835616438356166</v>
      </c>
      <c r="W36" s="1">
        <v>55.6</v>
      </c>
      <c r="X36" s="1">
        <v>68</v>
      </c>
      <c r="Y36" s="1">
        <v>72</v>
      </c>
      <c r="Z36" s="1">
        <v>60.2</v>
      </c>
      <c r="AA36" s="1">
        <v>84.2</v>
      </c>
      <c r="AB36" s="1">
        <v>19.8</v>
      </c>
      <c r="AC36" s="1">
        <v>15.8</v>
      </c>
      <c r="AD36" s="1">
        <v>83.6</v>
      </c>
      <c r="AE36" s="1">
        <v>2</v>
      </c>
      <c r="AF36" s="1">
        <v>26.4</v>
      </c>
      <c r="AG36" s="1"/>
      <c r="AH36" s="1">
        <f t="shared" si="7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70</v>
      </c>
      <c r="B37" s="1" t="s">
        <v>35</v>
      </c>
      <c r="C37" s="1">
        <v>130</v>
      </c>
      <c r="D37" s="1">
        <v>3</v>
      </c>
      <c r="E37" s="1"/>
      <c r="F37" s="1">
        <v>130</v>
      </c>
      <c r="G37" s="7">
        <v>0.18</v>
      </c>
      <c r="H37" s="1">
        <v>150</v>
      </c>
      <c r="I37" s="1"/>
      <c r="J37" s="1"/>
      <c r="K37" s="1">
        <v>62</v>
      </c>
      <c r="L37" s="1">
        <f t="shared" si="2"/>
        <v>-62</v>
      </c>
      <c r="M37" s="1"/>
      <c r="N37" s="1"/>
      <c r="O37" s="1"/>
      <c r="P37" s="1">
        <f t="shared" si="3"/>
        <v>0</v>
      </c>
      <c r="Q37" s="5"/>
      <c r="R37" s="5">
        <f t="shared" si="5"/>
        <v>0</v>
      </c>
      <c r="S37" s="5"/>
      <c r="T37" s="17"/>
      <c r="U37" s="1" t="e">
        <f t="shared" si="6"/>
        <v>#DIV/0!</v>
      </c>
      <c r="V37" s="1" t="e">
        <f t="shared" si="4"/>
        <v>#DIV/0!</v>
      </c>
      <c r="W37" s="1">
        <v>0</v>
      </c>
      <c r="X37" s="1">
        <v>0</v>
      </c>
      <c r="Y37" s="1">
        <v>0.4</v>
      </c>
      <c r="Z37" s="1">
        <v>0</v>
      </c>
      <c r="AA37" s="1">
        <v>-0.2</v>
      </c>
      <c r="AB37" s="1">
        <v>0</v>
      </c>
      <c r="AC37" s="1">
        <v>-0.4</v>
      </c>
      <c r="AD37" s="1">
        <v>-0.4</v>
      </c>
      <c r="AE37" s="1">
        <v>0</v>
      </c>
      <c r="AF37" s="1">
        <v>0.2</v>
      </c>
      <c r="AG37" s="15" t="s">
        <v>43</v>
      </c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71</v>
      </c>
      <c r="B38" s="1" t="s">
        <v>35</v>
      </c>
      <c r="C38" s="1">
        <v>277</v>
      </c>
      <c r="D38" s="1">
        <v>4</v>
      </c>
      <c r="E38" s="1">
        <v>36</v>
      </c>
      <c r="F38" s="13">
        <f>242+F41</f>
        <v>241</v>
      </c>
      <c r="G38" s="7">
        <v>0.18</v>
      </c>
      <c r="H38" s="1">
        <v>150</v>
      </c>
      <c r="I38" s="1"/>
      <c r="J38" s="1"/>
      <c r="K38" s="1">
        <v>39</v>
      </c>
      <c r="L38" s="1">
        <f t="shared" ref="L38:L59" si="10">E38-K38</f>
        <v>-3</v>
      </c>
      <c r="M38" s="1"/>
      <c r="N38" s="1"/>
      <c r="O38" s="1"/>
      <c r="P38" s="1">
        <f t="shared" ref="P38:P59" si="11">E38/5</f>
        <v>7.2</v>
      </c>
      <c r="Q38" s="5"/>
      <c r="R38" s="5">
        <f t="shared" si="5"/>
        <v>0</v>
      </c>
      <c r="S38" s="5"/>
      <c r="T38" s="17"/>
      <c r="U38" s="1">
        <f t="shared" si="6"/>
        <v>33.472222222222221</v>
      </c>
      <c r="V38" s="1">
        <f t="shared" ref="V38:V59" si="12">(F38+O38)/P38</f>
        <v>33.472222222222221</v>
      </c>
      <c r="W38" s="1">
        <v>9</v>
      </c>
      <c r="X38" s="1">
        <v>10.6</v>
      </c>
      <c r="Y38" s="1">
        <v>17.2</v>
      </c>
      <c r="Z38" s="1">
        <v>14.4</v>
      </c>
      <c r="AA38" s="1">
        <v>14.6</v>
      </c>
      <c r="AB38" s="1">
        <v>27</v>
      </c>
      <c r="AC38" s="1">
        <v>22.4</v>
      </c>
      <c r="AD38" s="1">
        <v>19.2</v>
      </c>
      <c r="AE38" s="1">
        <v>19.2</v>
      </c>
      <c r="AF38" s="1">
        <v>17.399999999999999</v>
      </c>
      <c r="AG38" s="15" t="s">
        <v>43</v>
      </c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72</v>
      </c>
      <c r="B39" s="1" t="s">
        <v>35</v>
      </c>
      <c r="C39" s="1">
        <v>484</v>
      </c>
      <c r="D39" s="1">
        <v>1090</v>
      </c>
      <c r="E39" s="1">
        <v>252</v>
      </c>
      <c r="F39" s="1">
        <v>1314</v>
      </c>
      <c r="G39" s="7">
        <v>0.18</v>
      </c>
      <c r="H39" s="1">
        <v>150</v>
      </c>
      <c r="I39" s="1"/>
      <c r="J39" s="1"/>
      <c r="K39" s="1">
        <v>267</v>
      </c>
      <c r="L39" s="1">
        <f t="shared" si="10"/>
        <v>-15</v>
      </c>
      <c r="M39" s="1"/>
      <c r="N39" s="1"/>
      <c r="O39" s="1"/>
      <c r="P39" s="1">
        <f t="shared" si="11"/>
        <v>50.4</v>
      </c>
      <c r="Q39" s="5"/>
      <c r="R39" s="5">
        <f t="shared" si="5"/>
        <v>0</v>
      </c>
      <c r="S39" s="5"/>
      <c r="T39" s="17"/>
      <c r="U39" s="1">
        <f t="shared" si="6"/>
        <v>26.071428571428573</v>
      </c>
      <c r="V39" s="1">
        <f t="shared" si="12"/>
        <v>26.071428571428573</v>
      </c>
      <c r="W39" s="1">
        <v>52.6</v>
      </c>
      <c r="X39" s="1">
        <v>88</v>
      </c>
      <c r="Y39" s="1">
        <v>14</v>
      </c>
      <c r="Z39" s="1">
        <v>62.6</v>
      </c>
      <c r="AA39" s="1">
        <v>65</v>
      </c>
      <c r="AB39" s="1">
        <v>24.4</v>
      </c>
      <c r="AC39" s="1">
        <v>46</v>
      </c>
      <c r="AD39" s="1">
        <v>78</v>
      </c>
      <c r="AE39" s="1">
        <v>1.2</v>
      </c>
      <c r="AF39" s="1">
        <v>47.8</v>
      </c>
      <c r="AG39" s="1"/>
      <c r="AH39" s="1">
        <f t="shared" si="7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73</v>
      </c>
      <c r="B40" s="1" t="s">
        <v>35</v>
      </c>
      <c r="C40" s="1">
        <v>408</v>
      </c>
      <c r="D40" s="1">
        <v>11</v>
      </c>
      <c r="E40" s="1">
        <v>79</v>
      </c>
      <c r="F40" s="1">
        <v>328</v>
      </c>
      <c r="G40" s="7">
        <v>0.18</v>
      </c>
      <c r="H40" s="1">
        <v>150</v>
      </c>
      <c r="I40" s="1"/>
      <c r="J40" s="1"/>
      <c r="K40" s="1">
        <v>141</v>
      </c>
      <c r="L40" s="1">
        <f t="shared" si="10"/>
        <v>-62</v>
      </c>
      <c r="M40" s="1"/>
      <c r="N40" s="1"/>
      <c r="O40" s="1"/>
      <c r="P40" s="1">
        <f t="shared" si="11"/>
        <v>15.8</v>
      </c>
      <c r="Q40" s="5"/>
      <c r="R40" s="5">
        <f t="shared" si="5"/>
        <v>0</v>
      </c>
      <c r="S40" s="5"/>
      <c r="T40" s="17"/>
      <c r="U40" s="1">
        <f t="shared" si="6"/>
        <v>20.759493670886076</v>
      </c>
      <c r="V40" s="1">
        <f t="shared" si="12"/>
        <v>20.759493670886076</v>
      </c>
      <c r="W40" s="1">
        <v>13</v>
      </c>
      <c r="X40" s="1">
        <v>18.399999999999999</v>
      </c>
      <c r="Y40" s="1">
        <v>27.4</v>
      </c>
      <c r="Z40" s="1">
        <v>23.8</v>
      </c>
      <c r="AA40" s="1">
        <v>17</v>
      </c>
      <c r="AB40" s="1">
        <v>36.799999999999997</v>
      </c>
      <c r="AC40" s="1">
        <v>22.6</v>
      </c>
      <c r="AD40" s="1">
        <v>22</v>
      </c>
      <c r="AE40" s="1">
        <v>28.4</v>
      </c>
      <c r="AF40" s="1">
        <v>31.4</v>
      </c>
      <c r="AG40" s="1"/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0" t="s">
        <v>74</v>
      </c>
      <c r="B41" s="10" t="s">
        <v>35</v>
      </c>
      <c r="C41" s="10">
        <v>-1</v>
      </c>
      <c r="D41" s="10"/>
      <c r="E41" s="10"/>
      <c r="F41" s="13">
        <v>-1</v>
      </c>
      <c r="G41" s="11">
        <v>0</v>
      </c>
      <c r="H41" s="10"/>
      <c r="I41" s="10" t="s">
        <v>75</v>
      </c>
      <c r="J41" s="10" t="s">
        <v>71</v>
      </c>
      <c r="K41" s="10">
        <v>1</v>
      </c>
      <c r="L41" s="10">
        <f t="shared" si="10"/>
        <v>-1</v>
      </c>
      <c r="M41" s="10"/>
      <c r="N41" s="10"/>
      <c r="O41" s="10"/>
      <c r="P41" s="10">
        <f t="shared" si="11"/>
        <v>0</v>
      </c>
      <c r="Q41" s="12"/>
      <c r="R41" s="5">
        <f t="shared" si="5"/>
        <v>0</v>
      </c>
      <c r="S41" s="5"/>
      <c r="T41" s="18"/>
      <c r="U41" s="1" t="e">
        <f t="shared" si="6"/>
        <v>#DIV/0!</v>
      </c>
      <c r="V41" s="10" t="e">
        <f t="shared" si="12"/>
        <v>#DIV/0!</v>
      </c>
      <c r="W41" s="10">
        <v>0</v>
      </c>
      <c r="X41" s="10">
        <v>1.2</v>
      </c>
      <c r="Y41" s="10">
        <v>1.2</v>
      </c>
      <c r="Z41" s="10">
        <v>0.4</v>
      </c>
      <c r="AA41" s="10">
        <v>0</v>
      </c>
      <c r="AB41" s="10">
        <v>0.4</v>
      </c>
      <c r="AC41" s="10">
        <v>0</v>
      </c>
      <c r="AD41" s="10">
        <v>0</v>
      </c>
      <c r="AE41" s="10">
        <v>0</v>
      </c>
      <c r="AF41" s="10">
        <v>0</v>
      </c>
      <c r="AG41" s="10"/>
      <c r="AH41" s="1">
        <f t="shared" si="7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0" t="s">
        <v>76</v>
      </c>
      <c r="B42" s="10" t="s">
        <v>35</v>
      </c>
      <c r="C42" s="10">
        <v>-3</v>
      </c>
      <c r="D42" s="10"/>
      <c r="E42" s="10"/>
      <c r="F42" s="13">
        <v>-3</v>
      </c>
      <c r="G42" s="11">
        <v>0</v>
      </c>
      <c r="H42" s="10"/>
      <c r="I42" s="10" t="s">
        <v>75</v>
      </c>
      <c r="J42" s="10" t="s">
        <v>77</v>
      </c>
      <c r="K42" s="10"/>
      <c r="L42" s="10">
        <f t="shared" si="10"/>
        <v>0</v>
      </c>
      <c r="M42" s="10"/>
      <c r="N42" s="10"/>
      <c r="O42" s="10"/>
      <c r="P42" s="10">
        <f t="shared" si="11"/>
        <v>0</v>
      </c>
      <c r="Q42" s="12"/>
      <c r="R42" s="5">
        <f t="shared" si="5"/>
        <v>0</v>
      </c>
      <c r="S42" s="5"/>
      <c r="T42" s="18"/>
      <c r="U42" s="1" t="e">
        <f t="shared" si="6"/>
        <v>#DIV/0!</v>
      </c>
      <c r="V42" s="10" t="e">
        <f t="shared" si="12"/>
        <v>#DIV/0!</v>
      </c>
      <c r="W42" s="10">
        <v>0.6</v>
      </c>
      <c r="X42" s="10">
        <v>0</v>
      </c>
      <c r="Y42" s="10">
        <v>0.8</v>
      </c>
      <c r="Z42" s="10">
        <v>0.2</v>
      </c>
      <c r="AA42" s="10">
        <v>0.6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/>
      <c r="AH42" s="1">
        <f t="shared" si="7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78</v>
      </c>
      <c r="B43" s="1" t="s">
        <v>35</v>
      </c>
      <c r="C43" s="1"/>
      <c r="D43" s="1">
        <v>5</v>
      </c>
      <c r="E43" s="1">
        <v>-2</v>
      </c>
      <c r="F43" s="1">
        <v>5</v>
      </c>
      <c r="G43" s="7">
        <v>0.1</v>
      </c>
      <c r="H43" s="1">
        <v>60</v>
      </c>
      <c r="I43" s="1"/>
      <c r="J43" s="1"/>
      <c r="K43" s="1">
        <v>10</v>
      </c>
      <c r="L43" s="1">
        <f t="shared" si="10"/>
        <v>-12</v>
      </c>
      <c r="M43" s="1"/>
      <c r="N43" s="1"/>
      <c r="O43" s="1">
        <v>48</v>
      </c>
      <c r="P43" s="1">
        <f t="shared" si="11"/>
        <v>-0.4</v>
      </c>
      <c r="Q43" s="5"/>
      <c r="R43" s="5">
        <f t="shared" si="5"/>
        <v>0</v>
      </c>
      <c r="S43" s="5"/>
      <c r="T43" s="17"/>
      <c r="U43" s="1">
        <f t="shared" si="6"/>
        <v>-132.5</v>
      </c>
      <c r="V43" s="1">
        <f t="shared" si="12"/>
        <v>-132.5</v>
      </c>
      <c r="W43" s="1">
        <v>-0.2</v>
      </c>
      <c r="X43" s="1">
        <v>0.2</v>
      </c>
      <c r="Y43" s="1">
        <v>2.8</v>
      </c>
      <c r="Z43" s="1">
        <v>3</v>
      </c>
      <c r="AA43" s="1">
        <v>1.8</v>
      </c>
      <c r="AB43" s="1">
        <v>7.4</v>
      </c>
      <c r="AC43" s="1">
        <v>7.2</v>
      </c>
      <c r="AD43" s="1">
        <v>10.4</v>
      </c>
      <c r="AE43" s="1">
        <v>3.8</v>
      </c>
      <c r="AF43" s="1">
        <v>3.2</v>
      </c>
      <c r="AG43" s="1"/>
      <c r="AH43" s="1">
        <f t="shared" si="7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79</v>
      </c>
      <c r="B44" s="1" t="s">
        <v>35</v>
      </c>
      <c r="C44" s="1">
        <v>88</v>
      </c>
      <c r="D44" s="1"/>
      <c r="E44" s="1">
        <v>23</v>
      </c>
      <c r="F44" s="1">
        <v>66</v>
      </c>
      <c r="G44" s="7">
        <v>0.14000000000000001</v>
      </c>
      <c r="H44" s="1">
        <v>180</v>
      </c>
      <c r="I44" s="1"/>
      <c r="J44" s="1"/>
      <c r="K44" s="1">
        <v>22</v>
      </c>
      <c r="L44" s="1">
        <f t="shared" si="10"/>
        <v>1</v>
      </c>
      <c r="M44" s="1"/>
      <c r="N44" s="1"/>
      <c r="O44" s="1">
        <v>32</v>
      </c>
      <c r="P44" s="1">
        <f t="shared" si="11"/>
        <v>4.5999999999999996</v>
      </c>
      <c r="Q44" s="5"/>
      <c r="R44" s="5">
        <f t="shared" si="5"/>
        <v>0</v>
      </c>
      <c r="S44" s="5"/>
      <c r="T44" s="17"/>
      <c r="U44" s="1">
        <f t="shared" si="6"/>
        <v>21.304347826086957</v>
      </c>
      <c r="V44" s="1">
        <f t="shared" si="12"/>
        <v>21.304347826086957</v>
      </c>
      <c r="W44" s="1">
        <v>5.8</v>
      </c>
      <c r="X44" s="1">
        <v>3.4</v>
      </c>
      <c r="Y44" s="1">
        <v>6.8</v>
      </c>
      <c r="Z44" s="1">
        <v>5.4</v>
      </c>
      <c r="AA44" s="1">
        <v>3.4</v>
      </c>
      <c r="AB44" s="1">
        <v>5.6</v>
      </c>
      <c r="AC44" s="1">
        <v>1.8</v>
      </c>
      <c r="AD44" s="1">
        <v>5.4</v>
      </c>
      <c r="AE44" s="1">
        <v>7</v>
      </c>
      <c r="AF44" s="1">
        <v>2.4</v>
      </c>
      <c r="AG44" s="1"/>
      <c r="AH44" s="1">
        <f t="shared" si="7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77</v>
      </c>
      <c r="B45" s="1" t="s">
        <v>35</v>
      </c>
      <c r="C45" s="1">
        <v>95</v>
      </c>
      <c r="D45" s="1">
        <v>160</v>
      </c>
      <c r="E45" s="1">
        <v>90</v>
      </c>
      <c r="F45" s="13">
        <f>160+F42</f>
        <v>157</v>
      </c>
      <c r="G45" s="7">
        <v>0.18</v>
      </c>
      <c r="H45" s="1">
        <v>270</v>
      </c>
      <c r="I45" s="1"/>
      <c r="J45" s="1"/>
      <c r="K45" s="1">
        <v>90</v>
      </c>
      <c r="L45" s="1">
        <f t="shared" si="10"/>
        <v>0</v>
      </c>
      <c r="M45" s="1"/>
      <c r="N45" s="1"/>
      <c r="O45" s="1">
        <v>160</v>
      </c>
      <c r="P45" s="1">
        <f t="shared" si="11"/>
        <v>18</v>
      </c>
      <c r="Q45" s="5">
        <v>16</v>
      </c>
      <c r="R45" s="5">
        <f t="shared" si="5"/>
        <v>16</v>
      </c>
      <c r="S45" s="5">
        <f>VLOOKUP(A45,заказ!A:B,2,0)</f>
        <v>16</v>
      </c>
      <c r="T45" s="17"/>
      <c r="U45" s="1">
        <f t="shared" si="6"/>
        <v>18.5</v>
      </c>
      <c r="V45" s="1">
        <f t="shared" si="12"/>
        <v>17.611111111111111</v>
      </c>
      <c r="W45" s="1">
        <v>20</v>
      </c>
      <c r="X45" s="1">
        <v>16.8</v>
      </c>
      <c r="Y45" s="1">
        <v>14.2</v>
      </c>
      <c r="Z45" s="1">
        <v>11.6</v>
      </c>
      <c r="AA45" s="1">
        <v>20.2</v>
      </c>
      <c r="AB45" s="1">
        <v>18.600000000000001</v>
      </c>
      <c r="AC45" s="1">
        <v>15.4</v>
      </c>
      <c r="AD45" s="1">
        <v>13.4</v>
      </c>
      <c r="AE45" s="1">
        <v>17</v>
      </c>
      <c r="AF45" s="1">
        <v>8.8000000000000007</v>
      </c>
      <c r="AG45" s="1"/>
      <c r="AH45" s="1">
        <f t="shared" si="7"/>
        <v>2.88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80</v>
      </c>
      <c r="B46" s="1" t="s">
        <v>39</v>
      </c>
      <c r="C46" s="1">
        <v>233.06100000000001</v>
      </c>
      <c r="D46" s="1"/>
      <c r="E46" s="1">
        <v>13.2</v>
      </c>
      <c r="F46" s="1">
        <v>219.86099999999999</v>
      </c>
      <c r="G46" s="7">
        <v>1</v>
      </c>
      <c r="H46" s="1">
        <v>180</v>
      </c>
      <c r="I46" s="1"/>
      <c r="J46" s="1"/>
      <c r="K46" s="1">
        <v>15</v>
      </c>
      <c r="L46" s="1">
        <f t="shared" si="10"/>
        <v>-1.8000000000000007</v>
      </c>
      <c r="M46" s="1"/>
      <c r="N46" s="1"/>
      <c r="O46" s="1"/>
      <c r="P46" s="1">
        <f t="shared" si="11"/>
        <v>2.6399999999999997</v>
      </c>
      <c r="Q46" s="5"/>
      <c r="R46" s="5">
        <f t="shared" si="5"/>
        <v>0</v>
      </c>
      <c r="S46" s="5"/>
      <c r="T46" s="17"/>
      <c r="U46" s="1">
        <f t="shared" si="6"/>
        <v>83.280681818181819</v>
      </c>
      <c r="V46" s="1">
        <f t="shared" si="12"/>
        <v>83.280681818181819</v>
      </c>
      <c r="W46" s="1">
        <v>1.3726</v>
      </c>
      <c r="X46" s="1">
        <v>0.75600000000000001</v>
      </c>
      <c r="Y46" s="1">
        <v>1.2356</v>
      </c>
      <c r="Z46" s="1">
        <v>4.1204000000000001</v>
      </c>
      <c r="AA46" s="1">
        <v>1.3091999999999999</v>
      </c>
      <c r="AB46" s="1">
        <v>4.6416000000000004</v>
      </c>
      <c r="AC46" s="1">
        <v>1.8744000000000001</v>
      </c>
      <c r="AD46" s="1">
        <v>3.3104</v>
      </c>
      <c r="AE46" s="1">
        <v>5.3731999999999998</v>
      </c>
      <c r="AF46" s="1">
        <v>10.0892</v>
      </c>
      <c r="AG46" s="15" t="s">
        <v>43</v>
      </c>
      <c r="AH46" s="1">
        <f t="shared" si="7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9" t="s">
        <v>81</v>
      </c>
      <c r="B47" s="1" t="s">
        <v>39</v>
      </c>
      <c r="C47" s="1">
        <v>75.087999999999994</v>
      </c>
      <c r="D47" s="1"/>
      <c r="E47" s="1">
        <v>29.628</v>
      </c>
      <c r="F47" s="1">
        <v>45.46</v>
      </c>
      <c r="G47" s="7">
        <v>1</v>
      </c>
      <c r="H47" s="1">
        <v>180</v>
      </c>
      <c r="I47" s="1"/>
      <c r="J47" s="1"/>
      <c r="K47" s="1">
        <v>30.5</v>
      </c>
      <c r="L47" s="1">
        <f t="shared" si="10"/>
        <v>-0.87199999999999989</v>
      </c>
      <c r="M47" s="1"/>
      <c r="N47" s="1"/>
      <c r="O47" s="1"/>
      <c r="P47" s="1">
        <f t="shared" si="11"/>
        <v>5.9256000000000002</v>
      </c>
      <c r="Q47" s="5">
        <v>15</v>
      </c>
      <c r="R47" s="5">
        <f>Q47+T47</f>
        <v>35</v>
      </c>
      <c r="S47" s="5">
        <f>VLOOKUP(A47,заказ!A:B,2,0)</f>
        <v>33</v>
      </c>
      <c r="T47" s="17">
        <v>20</v>
      </c>
      <c r="U47" s="1">
        <f t="shared" si="6"/>
        <v>13.578371810449575</v>
      </c>
      <c r="V47" s="1">
        <f t="shared" si="12"/>
        <v>7.6717969488321858</v>
      </c>
      <c r="W47" s="1">
        <v>2.5728</v>
      </c>
      <c r="X47" s="1">
        <v>2.0804</v>
      </c>
      <c r="Y47" s="1">
        <v>3.9416000000000002</v>
      </c>
      <c r="Z47" s="1">
        <v>3.7991999999999999</v>
      </c>
      <c r="AA47" s="1">
        <v>2.6511999999999998</v>
      </c>
      <c r="AB47" s="1">
        <v>1.9648000000000001</v>
      </c>
      <c r="AC47" s="1">
        <v>5.1787999999999998</v>
      </c>
      <c r="AD47" s="1">
        <v>3.278</v>
      </c>
      <c r="AE47" s="1">
        <v>0</v>
      </c>
      <c r="AF47" s="1">
        <v>0</v>
      </c>
      <c r="AG47" s="1" t="s">
        <v>99</v>
      </c>
      <c r="AH47" s="1">
        <f t="shared" si="7"/>
        <v>35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0" t="s">
        <v>83</v>
      </c>
      <c r="B48" s="10" t="s">
        <v>39</v>
      </c>
      <c r="C48" s="10">
        <v>-1.1379999999999999</v>
      </c>
      <c r="D48" s="10"/>
      <c r="E48" s="10"/>
      <c r="F48" s="13">
        <v>-1.1379999999999999</v>
      </c>
      <c r="G48" s="11">
        <v>0</v>
      </c>
      <c r="H48" s="10"/>
      <c r="I48" s="10" t="s">
        <v>75</v>
      </c>
      <c r="J48" s="10" t="s">
        <v>38</v>
      </c>
      <c r="K48" s="10"/>
      <c r="L48" s="10">
        <f t="shared" si="10"/>
        <v>0</v>
      </c>
      <c r="M48" s="10"/>
      <c r="N48" s="10"/>
      <c r="O48" s="10"/>
      <c r="P48" s="10">
        <f t="shared" si="11"/>
        <v>0</v>
      </c>
      <c r="Q48" s="12"/>
      <c r="R48" s="5">
        <f t="shared" si="5"/>
        <v>0</v>
      </c>
      <c r="S48" s="5"/>
      <c r="T48" s="18"/>
      <c r="U48" s="1" t="e">
        <f t="shared" si="6"/>
        <v>#DIV/0!</v>
      </c>
      <c r="V48" s="10" t="e">
        <f t="shared" si="12"/>
        <v>#DIV/0!</v>
      </c>
      <c r="W48" s="10">
        <v>0.2276</v>
      </c>
      <c r="X48" s="10">
        <v>0</v>
      </c>
      <c r="Y48" s="10">
        <v>0</v>
      </c>
      <c r="Z48" s="10">
        <v>0.66239999999999999</v>
      </c>
      <c r="AA48" s="10">
        <v>0.248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/>
      <c r="AH48" s="1">
        <f t="shared" si="7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84</v>
      </c>
      <c r="B49" s="1" t="s">
        <v>39</v>
      </c>
      <c r="C49" s="1">
        <v>87.712000000000003</v>
      </c>
      <c r="D49" s="1">
        <v>127.79600000000001</v>
      </c>
      <c r="E49" s="1">
        <v>60.548000000000002</v>
      </c>
      <c r="F49" s="1">
        <v>154.96</v>
      </c>
      <c r="G49" s="7">
        <v>1</v>
      </c>
      <c r="H49" s="1">
        <v>180</v>
      </c>
      <c r="I49" s="1"/>
      <c r="J49" s="1"/>
      <c r="K49" s="1">
        <v>75.5</v>
      </c>
      <c r="L49" s="1">
        <f t="shared" si="10"/>
        <v>-14.951999999999998</v>
      </c>
      <c r="M49" s="1"/>
      <c r="N49" s="1"/>
      <c r="O49" s="1"/>
      <c r="P49" s="1">
        <f t="shared" si="11"/>
        <v>12.1096</v>
      </c>
      <c r="Q49" s="5">
        <f t="shared" ref="Q49:Q53" si="13">18*P49-O49-F49</f>
        <v>63.012799999999999</v>
      </c>
      <c r="R49" s="5">
        <f>Q49+T49</f>
        <v>83.012799999999999</v>
      </c>
      <c r="S49" s="5">
        <f>VLOOKUP(A49,заказ!A:B,2,0)</f>
        <v>82</v>
      </c>
      <c r="T49" s="17">
        <v>20</v>
      </c>
      <c r="U49" s="1">
        <f t="shared" si="6"/>
        <v>19.651582215762701</v>
      </c>
      <c r="V49" s="1">
        <f t="shared" si="12"/>
        <v>12.796459007729405</v>
      </c>
      <c r="W49" s="1">
        <v>9.7519999999999989</v>
      </c>
      <c r="X49" s="1">
        <v>12.651199999999999</v>
      </c>
      <c r="Y49" s="1">
        <v>5.6836000000000002</v>
      </c>
      <c r="Z49" s="1">
        <v>12.961399999999999</v>
      </c>
      <c r="AA49" s="1">
        <v>7.6576000000000004</v>
      </c>
      <c r="AB49" s="1">
        <v>5.2435999999999998</v>
      </c>
      <c r="AC49" s="1">
        <v>8.76</v>
      </c>
      <c r="AD49" s="1">
        <v>11.757999999999999</v>
      </c>
      <c r="AE49" s="1">
        <v>13.148400000000001</v>
      </c>
      <c r="AF49" s="1">
        <v>6.5208000000000004</v>
      </c>
      <c r="AG49" s="1" t="s">
        <v>99</v>
      </c>
      <c r="AH49" s="1">
        <f t="shared" si="7"/>
        <v>83.012799999999999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85</v>
      </c>
      <c r="B50" s="1" t="s">
        <v>39</v>
      </c>
      <c r="C50" s="1">
        <v>91.28</v>
      </c>
      <c r="D50" s="1"/>
      <c r="E50" s="1">
        <v>18.591999999999999</v>
      </c>
      <c r="F50" s="1">
        <v>72.688000000000002</v>
      </c>
      <c r="G50" s="7">
        <v>1</v>
      </c>
      <c r="H50" s="1">
        <v>180</v>
      </c>
      <c r="I50" s="1"/>
      <c r="J50" s="1"/>
      <c r="K50" s="1">
        <v>20</v>
      </c>
      <c r="L50" s="1">
        <f t="shared" si="10"/>
        <v>-1.4080000000000013</v>
      </c>
      <c r="M50" s="1"/>
      <c r="N50" s="1"/>
      <c r="O50" s="1"/>
      <c r="P50" s="1">
        <f t="shared" si="11"/>
        <v>3.7183999999999999</v>
      </c>
      <c r="Q50" s="5"/>
      <c r="R50" s="5">
        <f t="shared" si="5"/>
        <v>0</v>
      </c>
      <c r="S50" s="5"/>
      <c r="T50" s="17"/>
      <c r="U50" s="1">
        <f t="shared" si="6"/>
        <v>19.548192771084338</v>
      </c>
      <c r="V50" s="1">
        <f t="shared" si="12"/>
        <v>19.548192771084338</v>
      </c>
      <c r="W50" s="1">
        <v>2.5583999999999998</v>
      </c>
      <c r="X50" s="1">
        <v>3.859599999999999</v>
      </c>
      <c r="Y50" s="1">
        <v>0.60640000000000005</v>
      </c>
      <c r="Z50" s="1">
        <v>5.1560000000000006</v>
      </c>
      <c r="AA50" s="1">
        <v>0.63280000000000003</v>
      </c>
      <c r="AB50" s="1">
        <v>2.4144000000000001</v>
      </c>
      <c r="AC50" s="1">
        <v>3.694</v>
      </c>
      <c r="AD50" s="1">
        <v>1.24</v>
      </c>
      <c r="AE50" s="1">
        <v>0.59599999999999997</v>
      </c>
      <c r="AF50" s="1">
        <v>6.4363999999999999</v>
      </c>
      <c r="AG50" s="14" t="s">
        <v>82</v>
      </c>
      <c r="AH50" s="1">
        <f t="shared" si="7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86</v>
      </c>
      <c r="B51" s="1" t="s">
        <v>35</v>
      </c>
      <c r="C51" s="1">
        <v>53</v>
      </c>
      <c r="D51" s="1">
        <v>546</v>
      </c>
      <c r="E51" s="1">
        <v>94</v>
      </c>
      <c r="F51" s="1">
        <v>472</v>
      </c>
      <c r="G51" s="7">
        <v>0.1</v>
      </c>
      <c r="H51" s="1">
        <v>60</v>
      </c>
      <c r="I51" s="1"/>
      <c r="J51" s="1"/>
      <c r="K51" s="1">
        <v>357</v>
      </c>
      <c r="L51" s="1">
        <f t="shared" si="10"/>
        <v>-263</v>
      </c>
      <c r="M51" s="1"/>
      <c r="N51" s="1"/>
      <c r="O51" s="1"/>
      <c r="P51" s="1">
        <f t="shared" si="11"/>
        <v>18.8</v>
      </c>
      <c r="Q51" s="5"/>
      <c r="R51" s="5">
        <f t="shared" si="5"/>
        <v>0</v>
      </c>
      <c r="S51" s="5"/>
      <c r="T51" s="17"/>
      <c r="U51" s="1">
        <f t="shared" si="6"/>
        <v>25.106382978723403</v>
      </c>
      <c r="V51" s="1">
        <f t="shared" si="12"/>
        <v>25.106382978723403</v>
      </c>
      <c r="W51" s="1">
        <v>3.8</v>
      </c>
      <c r="X51" s="1">
        <v>41</v>
      </c>
      <c r="Y51" s="1">
        <v>51</v>
      </c>
      <c r="Z51" s="1">
        <v>54</v>
      </c>
      <c r="AA51" s="1">
        <v>0.6</v>
      </c>
      <c r="AB51" s="1">
        <v>34</v>
      </c>
      <c r="AC51" s="1">
        <v>68</v>
      </c>
      <c r="AD51" s="1">
        <v>12.8</v>
      </c>
      <c r="AE51" s="1">
        <v>13</v>
      </c>
      <c r="AF51" s="1">
        <v>87.8</v>
      </c>
      <c r="AG51" s="1"/>
      <c r="AH51" s="1">
        <f t="shared" si="7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87</v>
      </c>
      <c r="B52" s="1" t="s">
        <v>35</v>
      </c>
      <c r="C52" s="1">
        <v>366</v>
      </c>
      <c r="D52" s="1">
        <v>235</v>
      </c>
      <c r="E52" s="1">
        <v>246</v>
      </c>
      <c r="F52" s="1">
        <v>338</v>
      </c>
      <c r="G52" s="7">
        <v>0.1</v>
      </c>
      <c r="H52" s="1">
        <v>90</v>
      </c>
      <c r="I52" s="1"/>
      <c r="J52" s="1"/>
      <c r="K52" s="1">
        <v>252</v>
      </c>
      <c r="L52" s="1">
        <f t="shared" si="10"/>
        <v>-6</v>
      </c>
      <c r="M52" s="1"/>
      <c r="N52" s="1"/>
      <c r="O52" s="1">
        <v>216</v>
      </c>
      <c r="P52" s="1">
        <f t="shared" si="11"/>
        <v>49.2</v>
      </c>
      <c r="Q52" s="5">
        <f t="shared" si="13"/>
        <v>331.6</v>
      </c>
      <c r="R52" s="5">
        <f t="shared" si="5"/>
        <v>331.6</v>
      </c>
      <c r="S52" s="5">
        <f>VLOOKUP(A52,заказ!A:B,2,0)</f>
        <v>330</v>
      </c>
      <c r="T52" s="17"/>
      <c r="U52" s="1">
        <f t="shared" si="6"/>
        <v>18</v>
      </c>
      <c r="V52" s="1">
        <f t="shared" si="12"/>
        <v>11.260162601626016</v>
      </c>
      <c r="W52" s="1">
        <v>36.4</v>
      </c>
      <c r="X52" s="1">
        <v>40.6</v>
      </c>
      <c r="Y52" s="1">
        <v>36.4</v>
      </c>
      <c r="Z52" s="1">
        <v>15.2</v>
      </c>
      <c r="AA52" s="1">
        <v>49.6</v>
      </c>
      <c r="AB52" s="1">
        <v>33.200000000000003</v>
      </c>
      <c r="AC52" s="1">
        <v>22.2</v>
      </c>
      <c r="AD52" s="1">
        <v>30.2</v>
      </c>
      <c r="AE52" s="1">
        <v>35.799999999999997</v>
      </c>
      <c r="AF52" s="1">
        <v>48.4</v>
      </c>
      <c r="AG52" s="1"/>
      <c r="AH52" s="1">
        <f t="shared" si="7"/>
        <v>33.160000000000004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88</v>
      </c>
      <c r="B53" s="1" t="s">
        <v>35</v>
      </c>
      <c r="C53" s="1">
        <v>136</v>
      </c>
      <c r="D53" s="1"/>
      <c r="E53" s="1">
        <v>42</v>
      </c>
      <c r="F53" s="1">
        <v>94</v>
      </c>
      <c r="G53" s="7">
        <v>0.14000000000000001</v>
      </c>
      <c r="H53" s="1">
        <v>180</v>
      </c>
      <c r="I53" s="1"/>
      <c r="J53" s="1"/>
      <c r="K53" s="1">
        <v>44</v>
      </c>
      <c r="L53" s="1">
        <f t="shared" si="10"/>
        <v>-2</v>
      </c>
      <c r="M53" s="1"/>
      <c r="N53" s="1"/>
      <c r="O53" s="1">
        <v>32</v>
      </c>
      <c r="P53" s="1">
        <f t="shared" si="11"/>
        <v>8.4</v>
      </c>
      <c r="Q53" s="5">
        <f t="shared" si="13"/>
        <v>25.200000000000017</v>
      </c>
      <c r="R53" s="5">
        <f t="shared" si="5"/>
        <v>25.200000000000017</v>
      </c>
      <c r="S53" s="5">
        <f>VLOOKUP(A53,заказ!A:B,2,0)</f>
        <v>32</v>
      </c>
      <c r="T53" s="17"/>
      <c r="U53" s="1">
        <f t="shared" si="6"/>
        <v>18</v>
      </c>
      <c r="V53" s="1">
        <f t="shared" si="12"/>
        <v>15</v>
      </c>
      <c r="W53" s="1">
        <v>8.1999999999999993</v>
      </c>
      <c r="X53" s="1">
        <v>6.6</v>
      </c>
      <c r="Y53" s="1">
        <v>11.4</v>
      </c>
      <c r="Z53" s="1">
        <v>8.1999999999999993</v>
      </c>
      <c r="AA53" s="1">
        <v>4.8</v>
      </c>
      <c r="AB53" s="1">
        <v>10.6</v>
      </c>
      <c r="AC53" s="1">
        <v>3.4</v>
      </c>
      <c r="AD53" s="1">
        <v>6.2</v>
      </c>
      <c r="AE53" s="1">
        <v>13.4</v>
      </c>
      <c r="AF53" s="1">
        <v>5</v>
      </c>
      <c r="AG53" s="1"/>
      <c r="AH53" s="1">
        <f t="shared" si="7"/>
        <v>3.5280000000000027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89</v>
      </c>
      <c r="B54" s="1" t="s">
        <v>35</v>
      </c>
      <c r="C54" s="1">
        <v>42</v>
      </c>
      <c r="D54" s="1">
        <v>31</v>
      </c>
      <c r="E54" s="1">
        <v>8</v>
      </c>
      <c r="F54" s="1">
        <v>64</v>
      </c>
      <c r="G54" s="7">
        <v>0.2</v>
      </c>
      <c r="H54" s="1">
        <v>120</v>
      </c>
      <c r="I54" s="1"/>
      <c r="J54" s="1"/>
      <c r="K54" s="1">
        <v>9</v>
      </c>
      <c r="L54" s="1">
        <f t="shared" si="10"/>
        <v>-1</v>
      </c>
      <c r="M54" s="1"/>
      <c r="N54" s="1"/>
      <c r="O54" s="1"/>
      <c r="P54" s="1">
        <f t="shared" si="11"/>
        <v>1.6</v>
      </c>
      <c r="Q54" s="5"/>
      <c r="R54" s="5">
        <f t="shared" si="5"/>
        <v>0</v>
      </c>
      <c r="S54" s="5"/>
      <c r="T54" s="17"/>
      <c r="U54" s="1">
        <f t="shared" si="6"/>
        <v>40</v>
      </c>
      <c r="V54" s="1">
        <f t="shared" si="12"/>
        <v>40</v>
      </c>
      <c r="W54" s="1">
        <v>3.4</v>
      </c>
      <c r="X54" s="1">
        <v>4.8</v>
      </c>
      <c r="Y54" s="1">
        <v>3.8</v>
      </c>
      <c r="Z54" s="1">
        <v>5.2</v>
      </c>
      <c r="AA54" s="1">
        <v>4.8</v>
      </c>
      <c r="AB54" s="1">
        <v>7.8</v>
      </c>
      <c r="AC54" s="1">
        <v>7.4</v>
      </c>
      <c r="AD54" s="1">
        <v>2.2000000000000002</v>
      </c>
      <c r="AE54" s="1">
        <v>12</v>
      </c>
      <c r="AF54" s="1">
        <v>9.1999999999999993</v>
      </c>
      <c r="AG54" s="15" t="s">
        <v>43</v>
      </c>
      <c r="AH54" s="1">
        <f t="shared" si="7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90</v>
      </c>
      <c r="B55" s="1" t="s">
        <v>39</v>
      </c>
      <c r="C55" s="1">
        <v>80.84</v>
      </c>
      <c r="D55" s="1"/>
      <c r="E55" s="1">
        <v>3.1520000000000001</v>
      </c>
      <c r="F55" s="1">
        <v>77.688000000000002</v>
      </c>
      <c r="G55" s="7">
        <v>1</v>
      </c>
      <c r="H55" s="1">
        <v>120</v>
      </c>
      <c r="I55" s="1"/>
      <c r="J55" s="1"/>
      <c r="K55" s="1">
        <v>3</v>
      </c>
      <c r="L55" s="1">
        <f t="shared" si="10"/>
        <v>0.15200000000000014</v>
      </c>
      <c r="M55" s="1"/>
      <c r="N55" s="1"/>
      <c r="O55" s="1"/>
      <c r="P55" s="1">
        <f t="shared" si="11"/>
        <v>0.63040000000000007</v>
      </c>
      <c r="Q55" s="5"/>
      <c r="R55" s="5">
        <f>Q55+T55</f>
        <v>20</v>
      </c>
      <c r="S55" s="5">
        <f>VLOOKUP(A55,заказ!A:B,2,0)</f>
        <v>15</v>
      </c>
      <c r="T55" s="17">
        <v>20</v>
      </c>
      <c r="U55" s="1">
        <f t="shared" si="6"/>
        <v>154.96192893401013</v>
      </c>
      <c r="V55" s="1">
        <f t="shared" si="12"/>
        <v>123.23604060913705</v>
      </c>
      <c r="W55" s="1">
        <v>0</v>
      </c>
      <c r="X55" s="1">
        <v>0</v>
      </c>
      <c r="Y55" s="1">
        <v>64.421999999999997</v>
      </c>
      <c r="Z55" s="1">
        <v>0.6492</v>
      </c>
      <c r="AA55" s="1">
        <v>6.3916000000000004</v>
      </c>
      <c r="AB55" s="1">
        <v>34.374000000000002</v>
      </c>
      <c r="AC55" s="1">
        <v>1.9136</v>
      </c>
      <c r="AD55" s="1">
        <v>2.6507999999999998</v>
      </c>
      <c r="AE55" s="1">
        <v>1.1095999999999999</v>
      </c>
      <c r="AF55" s="1">
        <v>2.7692000000000001</v>
      </c>
      <c r="AG55" s="1" t="s">
        <v>100</v>
      </c>
      <c r="AH55" s="1">
        <f t="shared" si="7"/>
        <v>20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91</v>
      </c>
      <c r="B56" s="1" t="s">
        <v>35</v>
      </c>
      <c r="C56" s="1">
        <v>133</v>
      </c>
      <c r="D56" s="1">
        <v>5</v>
      </c>
      <c r="E56" s="13">
        <f>28+E57</f>
        <v>27</v>
      </c>
      <c r="F56" s="13">
        <f>110+F57</f>
        <v>104</v>
      </c>
      <c r="G56" s="7">
        <v>0.2</v>
      </c>
      <c r="H56" s="1">
        <v>120</v>
      </c>
      <c r="I56" s="1"/>
      <c r="J56" s="1"/>
      <c r="K56" s="1">
        <v>28</v>
      </c>
      <c r="L56" s="1">
        <f t="shared" si="10"/>
        <v>-1</v>
      </c>
      <c r="M56" s="1"/>
      <c r="N56" s="1"/>
      <c r="O56" s="1"/>
      <c r="P56" s="1">
        <f t="shared" si="11"/>
        <v>5.4</v>
      </c>
      <c r="Q56" s="5"/>
      <c r="R56" s="5">
        <f t="shared" si="5"/>
        <v>0</v>
      </c>
      <c r="S56" s="5"/>
      <c r="T56" s="17"/>
      <c r="U56" s="1">
        <f t="shared" si="6"/>
        <v>19.25925925925926</v>
      </c>
      <c r="V56" s="1">
        <f t="shared" si="12"/>
        <v>19.25925925925926</v>
      </c>
      <c r="W56" s="1">
        <v>3.2</v>
      </c>
      <c r="X56" s="1">
        <v>3.6</v>
      </c>
      <c r="Y56" s="1">
        <v>5.4</v>
      </c>
      <c r="Z56" s="1">
        <v>4</v>
      </c>
      <c r="AA56" s="1">
        <v>0.6</v>
      </c>
      <c r="AB56" s="1">
        <v>5.4</v>
      </c>
      <c r="AC56" s="1">
        <v>3.8</v>
      </c>
      <c r="AD56" s="1">
        <v>2</v>
      </c>
      <c r="AE56" s="1">
        <v>2.4</v>
      </c>
      <c r="AF56" s="1">
        <v>3.4</v>
      </c>
      <c r="AG56" s="14" t="s">
        <v>82</v>
      </c>
      <c r="AH56" s="1">
        <f t="shared" si="7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0" t="s">
        <v>92</v>
      </c>
      <c r="B57" s="10" t="s">
        <v>35</v>
      </c>
      <c r="C57" s="10">
        <v>-6</v>
      </c>
      <c r="D57" s="10"/>
      <c r="E57" s="13">
        <v>-1</v>
      </c>
      <c r="F57" s="13">
        <v>-6</v>
      </c>
      <c r="G57" s="11">
        <v>0</v>
      </c>
      <c r="H57" s="10"/>
      <c r="I57" s="10" t="s">
        <v>75</v>
      </c>
      <c r="J57" s="10" t="s">
        <v>91</v>
      </c>
      <c r="K57" s="10"/>
      <c r="L57" s="10">
        <f t="shared" si="10"/>
        <v>-1</v>
      </c>
      <c r="M57" s="10"/>
      <c r="N57" s="10"/>
      <c r="O57" s="10"/>
      <c r="P57" s="10">
        <f t="shared" si="11"/>
        <v>-0.2</v>
      </c>
      <c r="Q57" s="12"/>
      <c r="R57" s="5">
        <f t="shared" si="5"/>
        <v>0</v>
      </c>
      <c r="S57" s="5"/>
      <c r="T57" s="18"/>
      <c r="U57" s="1">
        <f t="shared" si="6"/>
        <v>30</v>
      </c>
      <c r="V57" s="10">
        <f t="shared" si="12"/>
        <v>30</v>
      </c>
      <c r="W57" s="10">
        <v>0.6</v>
      </c>
      <c r="X57" s="10">
        <v>0.6</v>
      </c>
      <c r="Y57" s="10">
        <v>0.4</v>
      </c>
      <c r="Z57" s="10">
        <v>2.4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/>
      <c r="AH57" s="1">
        <f t="shared" si="7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0" t="s">
        <v>93</v>
      </c>
      <c r="B58" s="10" t="s">
        <v>39</v>
      </c>
      <c r="C58" s="10">
        <v>-3.6720000000000002</v>
      </c>
      <c r="D58" s="10"/>
      <c r="E58" s="13">
        <v>3.4</v>
      </c>
      <c r="F58" s="13">
        <v>-7.0720000000000001</v>
      </c>
      <c r="G58" s="11">
        <v>0</v>
      </c>
      <c r="H58" s="10"/>
      <c r="I58" s="10" t="s">
        <v>75</v>
      </c>
      <c r="J58" s="10" t="s">
        <v>94</v>
      </c>
      <c r="K58" s="10">
        <v>3.5</v>
      </c>
      <c r="L58" s="10">
        <f t="shared" si="10"/>
        <v>-0.10000000000000009</v>
      </c>
      <c r="M58" s="10"/>
      <c r="N58" s="10"/>
      <c r="O58" s="10"/>
      <c r="P58" s="10">
        <f t="shared" si="11"/>
        <v>0.67999999999999994</v>
      </c>
      <c r="Q58" s="12"/>
      <c r="R58" s="5">
        <f t="shared" si="5"/>
        <v>0</v>
      </c>
      <c r="S58" s="5"/>
      <c r="T58" s="18"/>
      <c r="U58" s="1">
        <f t="shared" si="6"/>
        <v>-10.4</v>
      </c>
      <c r="V58" s="10">
        <f t="shared" si="12"/>
        <v>-10.4</v>
      </c>
      <c r="W58" s="10">
        <v>0</v>
      </c>
      <c r="X58" s="10">
        <v>0.73440000000000005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/>
      <c r="AH58" s="1">
        <f t="shared" si="7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94</v>
      </c>
      <c r="B59" s="1" t="s">
        <v>39</v>
      </c>
      <c r="C59" s="1">
        <v>77.468000000000004</v>
      </c>
      <c r="D59" s="1">
        <v>99.152000000000001</v>
      </c>
      <c r="E59" s="13">
        <f>24.608+E58</f>
        <v>28.007999999999999</v>
      </c>
      <c r="F59" s="13">
        <f>149.012+F58</f>
        <v>141.94</v>
      </c>
      <c r="G59" s="7">
        <v>1</v>
      </c>
      <c r="H59" s="1">
        <v>120</v>
      </c>
      <c r="I59" s="1"/>
      <c r="J59" s="1"/>
      <c r="K59" s="1">
        <v>26.3</v>
      </c>
      <c r="L59" s="1">
        <f t="shared" si="10"/>
        <v>1.7079999999999984</v>
      </c>
      <c r="M59" s="1"/>
      <c r="N59" s="1"/>
      <c r="O59" s="1">
        <v>105</v>
      </c>
      <c r="P59" s="1">
        <f t="shared" si="11"/>
        <v>5.6015999999999995</v>
      </c>
      <c r="Q59" s="5"/>
      <c r="R59" s="5">
        <f t="shared" si="5"/>
        <v>0</v>
      </c>
      <c r="S59" s="5"/>
      <c r="T59" s="17"/>
      <c r="U59" s="1">
        <f t="shared" si="6"/>
        <v>44.083833190516998</v>
      </c>
      <c r="V59" s="1">
        <f t="shared" si="12"/>
        <v>44.083833190516998</v>
      </c>
      <c r="W59" s="1">
        <v>13.2828</v>
      </c>
      <c r="X59" s="1">
        <v>11.156000000000001</v>
      </c>
      <c r="Y59" s="1">
        <v>3.5844</v>
      </c>
      <c r="Z59" s="1">
        <v>10.135199999999999</v>
      </c>
      <c r="AA59" s="1">
        <v>11.611599999999999</v>
      </c>
      <c r="AB59" s="1">
        <v>6.7152000000000003</v>
      </c>
      <c r="AC59" s="1">
        <v>5.1492000000000004</v>
      </c>
      <c r="AD59" s="1">
        <v>9.7072000000000003</v>
      </c>
      <c r="AE59" s="1">
        <v>6.5612000000000004</v>
      </c>
      <c r="AF59" s="1">
        <v>6.3895999999999997</v>
      </c>
      <c r="AG59" s="1"/>
      <c r="AH59" s="1">
        <f t="shared" si="7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H59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4F91-46DB-4F53-8AC5-111E050C95C0}">
  <dimension ref="A1:B1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44</v>
      </c>
      <c r="B1">
        <v>33</v>
      </c>
    </row>
    <row r="2" spans="1:2" x14ac:dyDescent="0.25">
      <c r="A2" t="s">
        <v>47</v>
      </c>
      <c r="B2">
        <v>48</v>
      </c>
    </row>
    <row r="3" spans="1:2" x14ac:dyDescent="0.25">
      <c r="A3" t="s">
        <v>50</v>
      </c>
      <c r="B3">
        <v>16</v>
      </c>
    </row>
    <row r="4" spans="1:2" x14ac:dyDescent="0.25">
      <c r="A4" t="s">
        <v>52</v>
      </c>
      <c r="B4">
        <v>16</v>
      </c>
    </row>
    <row r="5" spans="1:2" x14ac:dyDescent="0.25">
      <c r="A5" t="s">
        <v>64</v>
      </c>
      <c r="B5">
        <v>12</v>
      </c>
    </row>
    <row r="6" spans="1:2" x14ac:dyDescent="0.25">
      <c r="A6" t="s">
        <v>65</v>
      </c>
      <c r="B6">
        <v>144</v>
      </c>
    </row>
    <row r="7" spans="1:2" x14ac:dyDescent="0.25">
      <c r="A7" t="s">
        <v>68</v>
      </c>
      <c r="B7">
        <v>420</v>
      </c>
    </row>
    <row r="8" spans="1:2" x14ac:dyDescent="0.25">
      <c r="A8" t="s">
        <v>77</v>
      </c>
      <c r="B8">
        <v>16</v>
      </c>
    </row>
    <row r="9" spans="1:2" x14ac:dyDescent="0.25">
      <c r="A9" t="s">
        <v>81</v>
      </c>
      <c r="B9">
        <v>33</v>
      </c>
    </row>
    <row r="10" spans="1:2" x14ac:dyDescent="0.25">
      <c r="A10" t="s">
        <v>84</v>
      </c>
      <c r="B10">
        <v>82</v>
      </c>
    </row>
    <row r="11" spans="1:2" x14ac:dyDescent="0.25">
      <c r="A11" t="s">
        <v>87</v>
      </c>
      <c r="B11">
        <v>330</v>
      </c>
    </row>
    <row r="12" spans="1:2" x14ac:dyDescent="0.25">
      <c r="A12" t="s">
        <v>88</v>
      </c>
      <c r="B12">
        <v>32</v>
      </c>
    </row>
    <row r="13" spans="1:2" x14ac:dyDescent="0.25">
      <c r="A13" t="s">
        <v>90</v>
      </c>
      <c r="B1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2026-08-04T13:12:34Z</dcterms:created>
  <dcterms:modified xsi:type="dcterms:W3CDTF">2026-08-06T08:19:48Z</dcterms:modified>
</cp:coreProperties>
</file>