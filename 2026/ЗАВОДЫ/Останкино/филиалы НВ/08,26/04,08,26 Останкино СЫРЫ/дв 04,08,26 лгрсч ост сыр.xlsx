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CB93D5E2-0435-49B6-B0AC-1D3EB37130C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/>
  <c r="R10" i="1"/>
  <c r="R11" i="1"/>
  <c r="R12" i="1"/>
  <c r="R13" i="1"/>
  <c r="R15" i="1"/>
  <c r="R17" i="1"/>
  <c r="R18" i="1"/>
  <c r="R19" i="1"/>
  <c r="R20" i="1"/>
  <c r="R24" i="1"/>
  <c r="R25" i="1"/>
  <c r="R26" i="1"/>
  <c r="R28" i="1"/>
  <c r="R29" i="1"/>
  <c r="R32" i="1"/>
  <c r="R33" i="1"/>
  <c r="R34" i="1"/>
  <c r="R35" i="1"/>
  <c r="R36" i="1"/>
  <c r="R38" i="1"/>
  <c r="R6" i="1"/>
  <c r="R5" i="1" l="1"/>
  <c r="AF40" i="1"/>
  <c r="AF27" i="1"/>
  <c r="AF23" i="1"/>
  <c r="P43" i="1"/>
  <c r="T43" i="1" s="1"/>
  <c r="L43" i="1"/>
  <c r="P42" i="1"/>
  <c r="S42" i="1" s="1"/>
  <c r="L42" i="1"/>
  <c r="F41" i="1"/>
  <c r="F5" i="1" s="1"/>
  <c r="E41" i="1"/>
  <c r="L41" i="1" s="1"/>
  <c r="P40" i="1"/>
  <c r="T40" i="1" s="1"/>
  <c r="L40" i="1"/>
  <c r="P39" i="1"/>
  <c r="AF39" i="1" s="1"/>
  <c r="L39" i="1"/>
  <c r="P38" i="1"/>
  <c r="T38" i="1" s="1"/>
  <c r="L38" i="1"/>
  <c r="P37" i="1"/>
  <c r="T37" i="1" s="1"/>
  <c r="L37" i="1"/>
  <c r="P36" i="1"/>
  <c r="T36" i="1" s="1"/>
  <c r="L36" i="1"/>
  <c r="P35" i="1"/>
  <c r="L35" i="1"/>
  <c r="P34" i="1"/>
  <c r="T34" i="1" s="1"/>
  <c r="L34" i="1"/>
  <c r="P33" i="1"/>
  <c r="T33" i="1" s="1"/>
  <c r="L33" i="1"/>
  <c r="P32" i="1"/>
  <c r="T32" i="1" s="1"/>
  <c r="L32" i="1"/>
  <c r="P31" i="1"/>
  <c r="T31" i="1" s="1"/>
  <c r="L31" i="1"/>
  <c r="P30" i="1"/>
  <c r="T30" i="1" s="1"/>
  <c r="L30" i="1"/>
  <c r="P29" i="1"/>
  <c r="T29" i="1" s="1"/>
  <c r="L29" i="1"/>
  <c r="P28" i="1"/>
  <c r="T28" i="1" s="1"/>
  <c r="L28" i="1"/>
  <c r="P27" i="1"/>
  <c r="L27" i="1"/>
  <c r="P26" i="1"/>
  <c r="T26" i="1" s="1"/>
  <c r="L26" i="1"/>
  <c r="P25" i="1"/>
  <c r="T25" i="1" s="1"/>
  <c r="L25" i="1"/>
  <c r="P24" i="1"/>
  <c r="T24" i="1" s="1"/>
  <c r="L24" i="1"/>
  <c r="P23" i="1"/>
  <c r="T23" i="1" s="1"/>
  <c r="L23" i="1"/>
  <c r="P22" i="1"/>
  <c r="T22" i="1" s="1"/>
  <c r="L22" i="1"/>
  <c r="P21" i="1"/>
  <c r="T21" i="1" s="1"/>
  <c r="L21" i="1"/>
  <c r="P20" i="1"/>
  <c r="T20" i="1" s="1"/>
  <c r="L20" i="1"/>
  <c r="P19" i="1"/>
  <c r="L19" i="1"/>
  <c r="P18" i="1"/>
  <c r="T18" i="1" s="1"/>
  <c r="L18" i="1"/>
  <c r="P17" i="1"/>
  <c r="T17" i="1" s="1"/>
  <c r="L17" i="1"/>
  <c r="P16" i="1"/>
  <c r="T16" i="1" s="1"/>
  <c r="L16" i="1"/>
  <c r="P15" i="1"/>
  <c r="Q15" i="1" s="1"/>
  <c r="L15" i="1"/>
  <c r="P14" i="1"/>
  <c r="T14" i="1" s="1"/>
  <c r="L14" i="1"/>
  <c r="P13" i="1"/>
  <c r="T13" i="1" s="1"/>
  <c r="L13" i="1"/>
  <c r="P12" i="1"/>
  <c r="T12" i="1" s="1"/>
  <c r="L12" i="1"/>
  <c r="AF11" i="1"/>
  <c r="P11" i="1"/>
  <c r="S11" i="1" s="1"/>
  <c r="L11" i="1"/>
  <c r="AF10" i="1"/>
  <c r="P10" i="1"/>
  <c r="T10" i="1" s="1"/>
  <c r="L10" i="1"/>
  <c r="P9" i="1"/>
  <c r="T9" i="1" s="1"/>
  <c r="L9" i="1"/>
  <c r="P8" i="1"/>
  <c r="T8" i="1" s="1"/>
  <c r="L8" i="1"/>
  <c r="P7" i="1"/>
  <c r="Q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34" i="1" l="1"/>
  <c r="AF34" i="1" s="1"/>
  <c r="Q38" i="1"/>
  <c r="AF38" i="1" s="1"/>
  <c r="Q19" i="1"/>
  <c r="AF19" i="1" s="1"/>
  <c r="Q6" i="1"/>
  <c r="AF6" i="1" s="1"/>
  <c r="Q8" i="1"/>
  <c r="AF8" i="1" s="1"/>
  <c r="AF7" i="1"/>
  <c r="Q20" i="1"/>
  <c r="AF20" i="1" s="1"/>
  <c r="Q24" i="1"/>
  <c r="AF24" i="1" s="1"/>
  <c r="T39" i="1"/>
  <c r="Q25" i="1"/>
  <c r="AF25" i="1" s="1"/>
  <c r="Q26" i="1"/>
  <c r="AF26" i="1" s="1"/>
  <c r="E5" i="1"/>
  <c r="Q28" i="1"/>
  <c r="AF28" i="1" s="1"/>
  <c r="Q32" i="1"/>
  <c r="AF32" i="1" s="1"/>
  <c r="Q29" i="1"/>
  <c r="AF29" i="1" s="1"/>
  <c r="AF30" i="1"/>
  <c r="AF9" i="1"/>
  <c r="AF31" i="1"/>
  <c r="Q12" i="1"/>
  <c r="AF12" i="1" s="1"/>
  <c r="Q13" i="1"/>
  <c r="AF13" i="1" s="1"/>
  <c r="Q33" i="1"/>
  <c r="AF33" i="1" s="1"/>
  <c r="AF14" i="1"/>
  <c r="AF15" i="1"/>
  <c r="Q35" i="1"/>
  <c r="AF35" i="1" s="1"/>
  <c r="AF16" i="1"/>
  <c r="Q36" i="1"/>
  <c r="AF36" i="1" s="1"/>
  <c r="Q17" i="1"/>
  <c r="AF17" i="1" s="1"/>
  <c r="AF37" i="1"/>
  <c r="S40" i="1"/>
  <c r="Q18" i="1"/>
  <c r="AF18" i="1" s="1"/>
  <c r="AF21" i="1"/>
  <c r="AF22" i="1"/>
  <c r="AF43" i="1"/>
  <c r="S39" i="1"/>
  <c r="S7" i="1"/>
  <c r="S27" i="1"/>
  <c r="S23" i="1"/>
  <c r="T35" i="1"/>
  <c r="L5" i="1"/>
  <c r="T11" i="1"/>
  <c r="P41" i="1"/>
  <c r="AF41" i="1" s="1"/>
  <c r="T15" i="1"/>
  <c r="T27" i="1"/>
  <c r="T42" i="1"/>
  <c r="T19" i="1"/>
  <c r="T7" i="1"/>
  <c r="S9" i="1"/>
  <c r="S21" i="1"/>
  <c r="S25" i="1"/>
  <c r="S10" i="1"/>
  <c r="S22" i="1"/>
  <c r="S30" i="1"/>
  <c r="S6" i="1" l="1"/>
  <c r="S28" i="1"/>
  <c r="S19" i="1"/>
  <c r="S29" i="1"/>
  <c r="S18" i="1"/>
  <c r="S32" i="1"/>
  <c r="S24" i="1"/>
  <c r="S26" i="1"/>
  <c r="S13" i="1"/>
  <c r="S8" i="1"/>
  <c r="S20" i="1"/>
  <c r="S38" i="1"/>
  <c r="AF5" i="1"/>
  <c r="T41" i="1"/>
  <c r="S36" i="1"/>
  <c r="S16" i="1"/>
  <c r="Q5" i="1"/>
  <c r="S17" i="1"/>
  <c r="S12" i="1"/>
  <c r="S31" i="1"/>
  <c r="P5" i="1"/>
  <c r="S34" i="1"/>
  <c r="S14" i="1"/>
  <c r="S43" i="1"/>
  <c r="S41" i="1"/>
  <c r="S37" i="1"/>
  <c r="S15" i="1"/>
  <c r="S33" i="1"/>
  <c r="S35" i="1"/>
</calcChain>
</file>

<file path=xl/sharedStrings.xml><?xml version="1.0" encoding="utf-8"?>
<sst xmlns="http://schemas.openxmlformats.org/spreadsheetml/2006/main" count="156" uniqueCount="81">
  <si>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</si>
  <si>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</si>
  <si>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</si>
  <si>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</si>
  <si>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</si>
  <si>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</si>
  <si>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</si>
  <si>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</si>
  <si>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</si>
  <si>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</si>
  <si>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</si>
  <si>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</si>
  <si>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</si>
  <si>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</si>
  <si>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</si>
  <si>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</si>
  <si>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</si>
  <si>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</si>
  <si>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</si>
  <si>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</si>
  <si>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</si>
  <si>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</si>
  <si>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</si>
  <si>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</si>
  <si>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</si>
  <si>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</si>
  <si>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</si>
  <si>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</si>
  <si>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</si>
  <si>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</si>
  <si>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01,06,</t>
  </si>
  <si>
    <t>25,05,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</si>
  <si>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</si>
  <si>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</si>
  <si>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</si>
  <si>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</si>
  <si>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</si>
  <si>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</si>
  <si>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</si>
  <si>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нужно увеличить продажи / плюс 320кг пересчет (25,07,26)</t>
  </si>
  <si>
    <t>4421577 Спред растительно-сливочный "Сливочный вкус" 82,5% 180гр  Останкино</t>
  </si>
  <si>
    <t>30,07,26 - нет на заводе / 175шт в уценку (24,07,26)</t>
  </si>
  <si>
    <t>4421584 Спред растительно-сливочный "Сливочный вкус" 72,5% 180гр  Останкино</t>
  </si>
  <si>
    <t>30,07,26 - нет на заводе / 145шт в уценку (24,07,26)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</si>
  <si>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</si>
  <si>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</si>
  <si>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</si>
  <si>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</si>
  <si>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нужно увеличить продажи!!!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</si>
  <si>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</si>
  <si>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</si>
  <si>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</si>
  <si>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</si>
  <si>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</si>
  <si>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</si>
  <si>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</si>
  <si>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</si>
  <si>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</si>
  <si>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</si>
  <si>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</si>
  <si>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</si>
  <si>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</si>
  <si>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</si>
  <si>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</si>
  <si>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</si>
  <si>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</si>
  <si>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</si>
  <si>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</si>
  <si>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</si>
  <si>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</si>
  <si>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</si>
  <si>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</si>
  <si>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</si>
  <si>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</si>
  <si>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</si>
  <si>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</si>
  <si>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</si>
  <si>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</si>
  <si>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</si>
  <si>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итого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</si>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</sst>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14" sqref="AI1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5703125" bestFit="1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30" width="6" customWidth="1"/>
    <col min="31" max="31" width="50.4257812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79</v>
      </c>
      <c r="R3" s="3" t="s">
        <v>80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21</v>
      </c>
      <c r="Q4" s="1"/>
      <c r="R4" s="1"/>
      <c r="S4" s="1"/>
      <c r="T4" s="1"/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2121.136</v>
      </c>
      <c r="F5" s="4">
        <f>SUM(F6:F498)</f>
        <v>3836.9789999999998</v>
      </c>
      <c r="G5" s="7"/>
      <c r="H5" s="1"/>
      <c r="I5" s="1"/>
      <c r="J5" s="1"/>
      <c r="K5" s="4">
        <f t="shared" ref="K5:R5" si="0">SUM(K6:K498)</f>
        <v>2271.5600000000004</v>
      </c>
      <c r="L5" s="4">
        <f t="shared" si="0"/>
        <v>-150.42400000000004</v>
      </c>
      <c r="M5" s="4">
        <f t="shared" si="0"/>
        <v>0</v>
      </c>
      <c r="N5" s="4">
        <f t="shared" si="0"/>
        <v>0</v>
      </c>
      <c r="O5" s="4">
        <f t="shared" si="0"/>
        <v>2590</v>
      </c>
      <c r="P5" s="4">
        <f t="shared" si="0"/>
        <v>424.2272000000001</v>
      </c>
      <c r="Q5" s="4">
        <f t="shared" si="0"/>
        <v>2563.3191999999999</v>
      </c>
      <c r="R5" s="4">
        <f t="shared" si="0"/>
        <v>2581</v>
      </c>
      <c r="S5" s="1"/>
      <c r="T5" s="1"/>
      <c r="U5" s="4">
        <f t="shared" ref="U5:AD5" si="1">SUM(U6:U498)</f>
        <v>407.03879999999987</v>
      </c>
      <c r="V5" s="4">
        <f t="shared" si="1"/>
        <v>324.46199999999999</v>
      </c>
      <c r="W5" s="4">
        <f t="shared" si="1"/>
        <v>381.00680000000006</v>
      </c>
      <c r="X5" s="4">
        <f t="shared" si="1"/>
        <v>402.34719999999999</v>
      </c>
      <c r="Y5" s="4">
        <f t="shared" si="1"/>
        <v>299.13160000000005</v>
      </c>
      <c r="Z5" s="4">
        <f t="shared" si="1"/>
        <v>358.81580000000002</v>
      </c>
      <c r="AA5" s="4">
        <f t="shared" si="1"/>
        <v>346.77240000000006</v>
      </c>
      <c r="AB5" s="4">
        <f t="shared" si="1"/>
        <v>374.9812</v>
      </c>
      <c r="AC5" s="4">
        <f t="shared" si="1"/>
        <v>347.31840000000011</v>
      </c>
      <c r="AD5" s="4">
        <f t="shared" si="1"/>
        <v>357.3904</v>
      </c>
      <c r="AE5" s="1"/>
      <c r="AF5" s="4">
        <f>SUM(AF6:AF498)</f>
        <v>895.96429999999998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32</v>
      </c>
      <c r="B6" s="1" t="s">
        <v>33</v>
      </c>
      <c r="C6" s="1">
        <v>46</v>
      </c>
      <c r="D6" s="1"/>
      <c r="E6" s="1">
        <v>37</v>
      </c>
      <c r="F6" s="1">
        <v>8</v>
      </c>
      <c r="G6" s="7">
        <v>5.5E-2</v>
      </c>
      <c r="H6" s="1">
        <v>120</v>
      </c>
      <c r="I6" s="1"/>
      <c r="J6" s="1"/>
      <c r="K6" s="1">
        <v>38</v>
      </c>
      <c r="L6" s="1">
        <f t="shared" ref="L6:L43" si="2">E6-K6</f>
        <v>-1</v>
      </c>
      <c r="M6" s="1"/>
      <c r="N6" s="1"/>
      <c r="O6" s="1"/>
      <c r="P6" s="1">
        <f t="shared" ref="P6:P43" si="3">E6/5</f>
        <v>7.4</v>
      </c>
      <c r="Q6" s="5">
        <f>13*P6-O6-F6</f>
        <v>88.2</v>
      </c>
      <c r="R6" s="5">
        <f>VLOOKUP(A6,заказ!A:B,2,0)</f>
        <v>96</v>
      </c>
      <c r="S6" s="1">
        <f t="shared" ref="S6:S43" si="4">(F6+O6+Q6)/P6</f>
        <v>13</v>
      </c>
      <c r="T6" s="1">
        <f t="shared" ref="T6:T43" si="5">(F6+O6)/P6</f>
        <v>1.0810810810810809</v>
      </c>
      <c r="U6" s="1">
        <v>0.4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34</v>
      </c>
      <c r="AF6" s="1">
        <f t="shared" ref="AF6:AF41" si="6">G6*Q6</f>
        <v>4.851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35</v>
      </c>
      <c r="B7" s="1" t="s">
        <v>33</v>
      </c>
      <c r="C7" s="1">
        <v>46</v>
      </c>
      <c r="D7" s="1"/>
      <c r="E7" s="1">
        <v>46</v>
      </c>
      <c r="F7" s="1"/>
      <c r="G7" s="7">
        <v>0.1</v>
      </c>
      <c r="H7" s="1">
        <v>120</v>
      </c>
      <c r="I7" s="1"/>
      <c r="J7" s="1"/>
      <c r="K7" s="1">
        <v>51</v>
      </c>
      <c r="L7" s="1">
        <f t="shared" si="2"/>
        <v>-5</v>
      </c>
      <c r="M7" s="1"/>
      <c r="N7" s="1"/>
      <c r="O7" s="1"/>
      <c r="P7" s="1">
        <f t="shared" si="3"/>
        <v>9.1999999999999993</v>
      </c>
      <c r="Q7" s="5">
        <f>12*P7-O7-F7</f>
        <v>110.39999999999999</v>
      </c>
      <c r="R7" s="5">
        <f>VLOOKUP(A7,заказ!A:B,2,0)</f>
        <v>120</v>
      </c>
      <c r="S7" s="1">
        <f t="shared" si="4"/>
        <v>12</v>
      </c>
      <c r="T7" s="1">
        <f t="shared" si="5"/>
        <v>0</v>
      </c>
      <c r="U7" s="1">
        <v>0.4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34</v>
      </c>
      <c r="AF7" s="1">
        <f t="shared" si="6"/>
        <v>11.04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36</v>
      </c>
      <c r="B8" s="1" t="s">
        <v>33</v>
      </c>
      <c r="C8" s="1">
        <v>46</v>
      </c>
      <c r="D8" s="1"/>
      <c r="E8" s="1">
        <v>45</v>
      </c>
      <c r="F8" s="1"/>
      <c r="G8" s="7">
        <v>0.1</v>
      </c>
      <c r="H8" s="1">
        <v>120</v>
      </c>
      <c r="I8" s="1"/>
      <c r="J8" s="1"/>
      <c r="K8" s="1">
        <v>48</v>
      </c>
      <c r="L8" s="1">
        <f t="shared" si="2"/>
        <v>-3</v>
      </c>
      <c r="M8" s="1"/>
      <c r="N8" s="1"/>
      <c r="O8" s="1"/>
      <c r="P8" s="1">
        <f t="shared" si="3"/>
        <v>9</v>
      </c>
      <c r="Q8" s="5">
        <f>12*P8-O8-F8</f>
        <v>108</v>
      </c>
      <c r="R8" s="5">
        <f>VLOOKUP(A8,заказ!A:B,2,0)</f>
        <v>96</v>
      </c>
      <c r="S8" s="1">
        <f t="shared" si="4"/>
        <v>12</v>
      </c>
      <c r="T8" s="1">
        <f t="shared" si="5"/>
        <v>0</v>
      </c>
      <c r="U8" s="1">
        <v>0.4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34</v>
      </c>
      <c r="AF8" s="1">
        <f t="shared" si="6"/>
        <v>10.8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37</v>
      </c>
      <c r="B9" s="1" t="s">
        <v>38</v>
      </c>
      <c r="C9" s="1">
        <v>416.661</v>
      </c>
      <c r="D9" s="1"/>
      <c r="E9" s="1">
        <v>61.52</v>
      </c>
      <c r="F9" s="1">
        <v>352.73700000000002</v>
      </c>
      <c r="G9" s="7">
        <v>1</v>
      </c>
      <c r="H9" s="1">
        <v>120</v>
      </c>
      <c r="I9" s="1"/>
      <c r="J9" s="1"/>
      <c r="K9" s="1">
        <v>66.260000000000005</v>
      </c>
      <c r="L9" s="1">
        <f t="shared" si="2"/>
        <v>-4.740000000000002</v>
      </c>
      <c r="M9" s="1"/>
      <c r="N9" s="1"/>
      <c r="O9" s="1"/>
      <c r="P9" s="1">
        <f t="shared" si="3"/>
        <v>12.304</v>
      </c>
      <c r="Q9" s="5"/>
      <c r="R9" s="5"/>
      <c r="S9" s="1">
        <f t="shared" si="4"/>
        <v>28.668481794538362</v>
      </c>
      <c r="T9" s="1">
        <f t="shared" si="5"/>
        <v>28.668481794538362</v>
      </c>
      <c r="U9" s="1">
        <v>7.5140000000000002</v>
      </c>
      <c r="V9" s="1">
        <v>11.027200000000001</v>
      </c>
      <c r="W9" s="1">
        <v>9.781600000000001</v>
      </c>
      <c r="X9" s="1">
        <v>9.0831999999999997</v>
      </c>
      <c r="Y9" s="1">
        <v>6.6611999999999991</v>
      </c>
      <c r="Z9" s="1">
        <v>7.8073999999999986</v>
      </c>
      <c r="AA9" s="1">
        <v>5.952</v>
      </c>
      <c r="AB9" s="1">
        <v>15.026400000000001</v>
      </c>
      <c r="AC9" s="1">
        <v>12.090400000000001</v>
      </c>
      <c r="AD9" s="1">
        <v>19.646799999999999</v>
      </c>
      <c r="AE9" s="14" t="s">
        <v>39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40</v>
      </c>
      <c r="B10" s="1" t="s">
        <v>33</v>
      </c>
      <c r="C10" s="1">
        <v>-5</v>
      </c>
      <c r="D10" s="1"/>
      <c r="E10" s="1">
        <v>-3</v>
      </c>
      <c r="F10" s="1">
        <v>-7</v>
      </c>
      <c r="G10" s="7">
        <v>0.18</v>
      </c>
      <c r="H10" s="1">
        <v>180</v>
      </c>
      <c r="I10" s="1"/>
      <c r="J10" s="1"/>
      <c r="K10" s="1">
        <v>6</v>
      </c>
      <c r="L10" s="1">
        <f t="shared" si="2"/>
        <v>-9</v>
      </c>
      <c r="M10" s="1"/>
      <c r="N10" s="1"/>
      <c r="O10" s="9">
        <v>0</v>
      </c>
      <c r="P10" s="1">
        <f t="shared" si="3"/>
        <v>-0.6</v>
      </c>
      <c r="Q10" s="5">
        <v>30</v>
      </c>
      <c r="R10" s="5">
        <f>VLOOKUP(A10,заказ!A:B,2,0)</f>
        <v>24</v>
      </c>
      <c r="S10" s="1">
        <f t="shared" si="4"/>
        <v>-38.333333333333336</v>
      </c>
      <c r="T10" s="1">
        <f t="shared" si="5"/>
        <v>11.666666666666668</v>
      </c>
      <c r="U10" s="1">
        <v>2.4</v>
      </c>
      <c r="V10" s="1">
        <v>4.5999999999999996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9" t="s">
        <v>41</v>
      </c>
      <c r="AF10" s="1">
        <f t="shared" si="6"/>
        <v>5.3999999999999995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33</v>
      </c>
      <c r="C11" s="1">
        <v>-5</v>
      </c>
      <c r="D11" s="1"/>
      <c r="E11" s="1">
        <v>-4</v>
      </c>
      <c r="F11" s="1">
        <v>-5</v>
      </c>
      <c r="G11" s="7">
        <v>0.18</v>
      </c>
      <c r="H11" s="1">
        <v>180</v>
      </c>
      <c r="I11" s="1"/>
      <c r="J11" s="1"/>
      <c r="K11" s="1">
        <v>6</v>
      </c>
      <c r="L11" s="1">
        <f t="shared" si="2"/>
        <v>-10</v>
      </c>
      <c r="M11" s="1"/>
      <c r="N11" s="1"/>
      <c r="O11" s="9">
        <v>0</v>
      </c>
      <c r="P11" s="1">
        <f t="shared" si="3"/>
        <v>-0.8</v>
      </c>
      <c r="Q11" s="5">
        <v>30</v>
      </c>
      <c r="R11" s="5">
        <f>VLOOKUP(A11,заказ!A:B,2,0)</f>
        <v>24</v>
      </c>
      <c r="S11" s="1">
        <f t="shared" si="4"/>
        <v>-31.25</v>
      </c>
      <c r="T11" s="1">
        <f t="shared" si="5"/>
        <v>6.25</v>
      </c>
      <c r="U11" s="1">
        <v>0.8</v>
      </c>
      <c r="V11" s="1">
        <v>5.6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9" t="s">
        <v>43</v>
      </c>
      <c r="AF11" s="1">
        <f t="shared" si="6"/>
        <v>5.3999999999999995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38</v>
      </c>
      <c r="C12" s="1">
        <v>100.108</v>
      </c>
      <c r="D12" s="1"/>
      <c r="E12" s="1">
        <v>41.533000000000001</v>
      </c>
      <c r="F12" s="1">
        <v>58.575000000000003</v>
      </c>
      <c r="G12" s="7">
        <v>1</v>
      </c>
      <c r="H12" s="1">
        <v>180</v>
      </c>
      <c r="I12" s="1"/>
      <c r="J12" s="1"/>
      <c r="K12" s="1">
        <v>48.6</v>
      </c>
      <c r="L12" s="1">
        <f t="shared" si="2"/>
        <v>-7.0670000000000002</v>
      </c>
      <c r="M12" s="1"/>
      <c r="N12" s="1"/>
      <c r="O12" s="1"/>
      <c r="P12" s="1">
        <f t="shared" si="3"/>
        <v>8.3065999999999995</v>
      </c>
      <c r="Q12" s="5">
        <f t="shared" ref="Q12:Q36" si="7">18*P12-O12-F12</f>
        <v>90.943799999999996</v>
      </c>
      <c r="R12" s="5">
        <f>VLOOKUP(A12,заказ!A:B,2,0)</f>
        <v>99</v>
      </c>
      <c r="S12" s="1">
        <f t="shared" si="4"/>
        <v>18</v>
      </c>
      <c r="T12" s="1">
        <f t="shared" si="5"/>
        <v>7.0516216020995364</v>
      </c>
      <c r="U12" s="1">
        <v>3.7275999999999998</v>
      </c>
      <c r="V12" s="1">
        <v>2.6724000000000001</v>
      </c>
      <c r="W12" s="1">
        <v>0.63600000000000001</v>
      </c>
      <c r="X12" s="1">
        <v>2.7296</v>
      </c>
      <c r="Y12" s="1">
        <v>0</v>
      </c>
      <c r="Z12" s="1">
        <v>3.2768000000000002</v>
      </c>
      <c r="AA12" s="1">
        <v>4.0444000000000004</v>
      </c>
      <c r="AB12" s="1">
        <v>1.9536</v>
      </c>
      <c r="AC12" s="1">
        <v>0</v>
      </c>
      <c r="AD12" s="1">
        <v>0</v>
      </c>
      <c r="AE12" s="1"/>
      <c r="AF12" s="1">
        <f t="shared" si="6"/>
        <v>90.943799999999996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33</v>
      </c>
      <c r="C13" s="1">
        <v>20</v>
      </c>
      <c r="D13" s="1"/>
      <c r="E13" s="1">
        <v>15</v>
      </c>
      <c r="F13" s="1">
        <v>5</v>
      </c>
      <c r="G13" s="7">
        <v>0.82450000000000001</v>
      </c>
      <c r="H13" s="1">
        <v>180</v>
      </c>
      <c r="I13" s="1"/>
      <c r="J13" s="1"/>
      <c r="K13" s="1">
        <v>15</v>
      </c>
      <c r="L13" s="1">
        <f t="shared" si="2"/>
        <v>0</v>
      </c>
      <c r="M13" s="1"/>
      <c r="N13" s="1"/>
      <c r="O13" s="1">
        <v>24</v>
      </c>
      <c r="P13" s="1">
        <f t="shared" si="3"/>
        <v>3</v>
      </c>
      <c r="Q13" s="5">
        <f t="shared" si="7"/>
        <v>25</v>
      </c>
      <c r="R13" s="5">
        <f>VLOOKUP(A13,заказ!A:B,2,0)</f>
        <v>24</v>
      </c>
      <c r="S13" s="1">
        <f t="shared" si="4"/>
        <v>18</v>
      </c>
      <c r="T13" s="1">
        <f t="shared" si="5"/>
        <v>9.6666666666666661</v>
      </c>
      <c r="U13" s="1">
        <v>1.8</v>
      </c>
      <c r="V13" s="1">
        <v>0.8</v>
      </c>
      <c r="W13" s="1">
        <v>0.8</v>
      </c>
      <c r="X13" s="1">
        <v>1</v>
      </c>
      <c r="Y13" s="1">
        <v>1</v>
      </c>
      <c r="Z13" s="1">
        <v>2.4</v>
      </c>
      <c r="AA13" s="1">
        <v>0.4</v>
      </c>
      <c r="AB13" s="1">
        <v>0.6</v>
      </c>
      <c r="AC13" s="1">
        <v>1.2</v>
      </c>
      <c r="AD13" s="1">
        <v>1.4</v>
      </c>
      <c r="AE13" s="1"/>
      <c r="AF13" s="1">
        <f t="shared" si="6"/>
        <v>20.612500000000001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33</v>
      </c>
      <c r="C14" s="1">
        <v>307</v>
      </c>
      <c r="D14" s="1"/>
      <c r="E14" s="1">
        <v>67</v>
      </c>
      <c r="F14" s="1">
        <v>238</v>
      </c>
      <c r="G14" s="7">
        <v>0.372</v>
      </c>
      <c r="H14" s="1">
        <v>180</v>
      </c>
      <c r="I14" s="1"/>
      <c r="J14" s="1"/>
      <c r="K14" s="1">
        <v>69</v>
      </c>
      <c r="L14" s="1">
        <f t="shared" si="2"/>
        <v>-2</v>
      </c>
      <c r="M14" s="1"/>
      <c r="N14" s="1"/>
      <c r="O14" s="1">
        <v>192</v>
      </c>
      <c r="P14" s="1">
        <f t="shared" si="3"/>
        <v>13.4</v>
      </c>
      <c r="Q14" s="5"/>
      <c r="R14" s="5"/>
      <c r="S14" s="1">
        <f t="shared" si="4"/>
        <v>32.089552238805972</v>
      </c>
      <c r="T14" s="1">
        <f t="shared" si="5"/>
        <v>32.089552238805972</v>
      </c>
      <c r="U14" s="1">
        <v>24.4</v>
      </c>
      <c r="V14" s="1">
        <v>11.6</v>
      </c>
      <c r="W14" s="1">
        <v>25.2</v>
      </c>
      <c r="X14" s="1">
        <v>28.2</v>
      </c>
      <c r="Y14" s="1">
        <v>10.4</v>
      </c>
      <c r="Z14" s="1">
        <v>15.4</v>
      </c>
      <c r="AA14" s="1">
        <v>20.2</v>
      </c>
      <c r="AB14" s="1">
        <v>21.8</v>
      </c>
      <c r="AC14" s="1">
        <v>30.8</v>
      </c>
      <c r="AD14" s="1">
        <v>3.4</v>
      </c>
      <c r="AE14" s="1"/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47</v>
      </c>
      <c r="B15" s="1" t="s">
        <v>33</v>
      </c>
      <c r="C15" s="1">
        <v>407</v>
      </c>
      <c r="D15" s="1"/>
      <c r="E15" s="1">
        <v>160</v>
      </c>
      <c r="F15" s="1">
        <v>246</v>
      </c>
      <c r="G15" s="7">
        <v>0.74399999999999999</v>
      </c>
      <c r="H15" s="1">
        <v>180</v>
      </c>
      <c r="I15" s="1"/>
      <c r="J15" s="1"/>
      <c r="K15" s="1">
        <v>162</v>
      </c>
      <c r="L15" s="1">
        <f t="shared" si="2"/>
        <v>-2</v>
      </c>
      <c r="M15" s="1"/>
      <c r="N15" s="1"/>
      <c r="O15" s="1"/>
      <c r="P15" s="1">
        <f t="shared" si="3"/>
        <v>32</v>
      </c>
      <c r="Q15" s="5">
        <f>15*P15-O15-F15</f>
        <v>234</v>
      </c>
      <c r="R15" s="5">
        <f>VLOOKUP(A15,заказ!A:B,2,0)</f>
        <v>240</v>
      </c>
      <c r="S15" s="1">
        <f t="shared" si="4"/>
        <v>15</v>
      </c>
      <c r="T15" s="1">
        <f t="shared" si="5"/>
        <v>7.6875</v>
      </c>
      <c r="U15" s="1">
        <v>5.8</v>
      </c>
      <c r="V15" s="1">
        <v>5.2</v>
      </c>
      <c r="W15" s="1">
        <v>23</v>
      </c>
      <c r="X15" s="1">
        <v>16.8</v>
      </c>
      <c r="Y15" s="1">
        <v>10.8</v>
      </c>
      <c r="Z15" s="1">
        <v>8</v>
      </c>
      <c r="AA15" s="1">
        <v>19.399999999999999</v>
      </c>
      <c r="AB15" s="1">
        <v>20.2</v>
      </c>
      <c r="AC15" s="1">
        <v>30.2</v>
      </c>
      <c r="AD15" s="1">
        <v>17.399999999999999</v>
      </c>
      <c r="AE15" s="1"/>
      <c r="AF15" s="1">
        <f t="shared" si="6"/>
        <v>174.096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33</v>
      </c>
      <c r="C16" s="1">
        <v>452</v>
      </c>
      <c r="D16" s="1">
        <v>196</v>
      </c>
      <c r="E16" s="1">
        <v>131</v>
      </c>
      <c r="F16" s="1">
        <v>432</v>
      </c>
      <c r="G16" s="7">
        <v>0.372</v>
      </c>
      <c r="H16" s="1">
        <v>180</v>
      </c>
      <c r="I16" s="1"/>
      <c r="J16" s="1"/>
      <c r="K16" s="1">
        <v>151</v>
      </c>
      <c r="L16" s="1">
        <f t="shared" si="2"/>
        <v>-20</v>
      </c>
      <c r="M16" s="1"/>
      <c r="N16" s="1"/>
      <c r="O16" s="1">
        <v>324</v>
      </c>
      <c r="P16" s="1">
        <f t="shared" si="3"/>
        <v>26.2</v>
      </c>
      <c r="Q16" s="5"/>
      <c r="R16" s="5"/>
      <c r="S16" s="1">
        <f t="shared" si="4"/>
        <v>28.854961832061068</v>
      </c>
      <c r="T16" s="1">
        <f t="shared" si="5"/>
        <v>28.854961832061068</v>
      </c>
      <c r="U16" s="1">
        <v>47.4</v>
      </c>
      <c r="V16" s="1">
        <v>41.4</v>
      </c>
      <c r="W16" s="1">
        <v>44.2</v>
      </c>
      <c r="X16" s="1">
        <v>38.6</v>
      </c>
      <c r="Y16" s="1">
        <v>32.4</v>
      </c>
      <c r="Z16" s="1">
        <v>35</v>
      </c>
      <c r="AA16" s="1">
        <v>33.6</v>
      </c>
      <c r="AB16" s="1">
        <v>70.400000000000006</v>
      </c>
      <c r="AC16" s="1">
        <v>10.4</v>
      </c>
      <c r="AD16" s="1">
        <v>33.6</v>
      </c>
      <c r="AE16" s="1"/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50</v>
      </c>
      <c r="B17" s="1" t="s">
        <v>33</v>
      </c>
      <c r="C17" s="1">
        <v>678</v>
      </c>
      <c r="D17" s="1"/>
      <c r="E17" s="1">
        <v>219</v>
      </c>
      <c r="F17" s="1">
        <v>436</v>
      </c>
      <c r="G17" s="7">
        <v>0.74399999999999999</v>
      </c>
      <c r="H17" s="1">
        <v>180</v>
      </c>
      <c r="I17" s="1"/>
      <c r="J17" s="1"/>
      <c r="K17" s="1">
        <v>223</v>
      </c>
      <c r="L17" s="1">
        <f t="shared" si="2"/>
        <v>-4</v>
      </c>
      <c r="M17" s="1"/>
      <c r="N17" s="1"/>
      <c r="O17" s="1"/>
      <c r="P17" s="1">
        <f t="shared" si="3"/>
        <v>43.8</v>
      </c>
      <c r="Q17" s="5">
        <f t="shared" si="7"/>
        <v>352.4</v>
      </c>
      <c r="R17" s="5">
        <f>VLOOKUP(A17,заказ!A:B,2,0)</f>
        <v>348</v>
      </c>
      <c r="S17" s="1">
        <f t="shared" si="4"/>
        <v>18</v>
      </c>
      <c r="T17" s="1">
        <f t="shared" si="5"/>
        <v>9.9543378995433791</v>
      </c>
      <c r="U17" s="1">
        <v>26.2</v>
      </c>
      <c r="V17" s="1">
        <v>30.2</v>
      </c>
      <c r="W17" s="1">
        <v>41.4</v>
      </c>
      <c r="X17" s="1">
        <v>58.6</v>
      </c>
      <c r="Y17" s="1">
        <v>46.2</v>
      </c>
      <c r="Z17" s="1">
        <v>25.4</v>
      </c>
      <c r="AA17" s="1">
        <v>41.2</v>
      </c>
      <c r="AB17" s="1">
        <v>14.2</v>
      </c>
      <c r="AC17" s="1">
        <v>40.6</v>
      </c>
      <c r="AD17" s="1">
        <v>41.2</v>
      </c>
      <c r="AE17" s="1"/>
      <c r="AF17" s="1">
        <f t="shared" si="6"/>
        <v>262.18559999999997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51</v>
      </c>
      <c r="B18" s="1" t="s">
        <v>33</v>
      </c>
      <c r="C18" s="1">
        <v>101</v>
      </c>
      <c r="D18" s="1"/>
      <c r="E18" s="1">
        <v>51</v>
      </c>
      <c r="F18" s="1">
        <v>46</v>
      </c>
      <c r="G18" s="7">
        <v>0.18</v>
      </c>
      <c r="H18" s="1">
        <v>270</v>
      </c>
      <c r="I18" s="1"/>
      <c r="J18" s="1"/>
      <c r="K18" s="1">
        <v>51</v>
      </c>
      <c r="L18" s="1">
        <f t="shared" si="2"/>
        <v>0</v>
      </c>
      <c r="M18" s="1"/>
      <c r="N18" s="1"/>
      <c r="O18" s="1">
        <v>48</v>
      </c>
      <c r="P18" s="1">
        <f t="shared" si="3"/>
        <v>10.199999999999999</v>
      </c>
      <c r="Q18" s="5">
        <f t="shared" si="7"/>
        <v>89.6</v>
      </c>
      <c r="R18" s="5">
        <f>VLOOKUP(A18,заказ!A:B,2,0)</f>
        <v>96</v>
      </c>
      <c r="S18" s="1">
        <f t="shared" si="4"/>
        <v>18</v>
      </c>
      <c r="T18" s="1">
        <f t="shared" si="5"/>
        <v>9.2156862745098049</v>
      </c>
      <c r="U18" s="1">
        <v>8.1999999999999993</v>
      </c>
      <c r="V18" s="1">
        <v>3.4</v>
      </c>
      <c r="W18" s="1">
        <v>2.2000000000000002</v>
      </c>
      <c r="X18" s="1">
        <v>9.6</v>
      </c>
      <c r="Y18" s="1">
        <v>1.8</v>
      </c>
      <c r="Z18" s="1">
        <v>5.8</v>
      </c>
      <c r="AA18" s="1">
        <v>7.8</v>
      </c>
      <c r="AB18" s="1">
        <v>2.8</v>
      </c>
      <c r="AC18" s="1">
        <v>6</v>
      </c>
      <c r="AD18" s="1">
        <v>9.8000000000000007</v>
      </c>
      <c r="AE18" s="1"/>
      <c r="AF18" s="1">
        <f t="shared" si="6"/>
        <v>16.128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52</v>
      </c>
      <c r="B19" s="1" t="s">
        <v>33</v>
      </c>
      <c r="C19" s="1">
        <v>142</v>
      </c>
      <c r="D19" s="1"/>
      <c r="E19" s="1">
        <v>87</v>
      </c>
      <c r="F19" s="1">
        <v>49</v>
      </c>
      <c r="G19" s="7">
        <v>0.18</v>
      </c>
      <c r="H19" s="1">
        <v>180</v>
      </c>
      <c r="I19" s="1"/>
      <c r="J19" s="1"/>
      <c r="K19" s="1">
        <v>89</v>
      </c>
      <c r="L19" s="1">
        <f t="shared" si="2"/>
        <v>-2</v>
      </c>
      <c r="M19" s="1"/>
      <c r="N19" s="1"/>
      <c r="O19" s="1"/>
      <c r="P19" s="1">
        <f t="shared" si="3"/>
        <v>17.399999999999999</v>
      </c>
      <c r="Q19" s="5">
        <f>15*P19-O19-F19</f>
        <v>212</v>
      </c>
      <c r="R19" s="5">
        <f>VLOOKUP(A19,заказ!A:B,2,0)</f>
        <v>210</v>
      </c>
      <c r="S19" s="1">
        <f t="shared" si="4"/>
        <v>15.000000000000002</v>
      </c>
      <c r="T19" s="1">
        <f t="shared" si="5"/>
        <v>2.8160919540229887</v>
      </c>
      <c r="U19" s="1">
        <v>26.2</v>
      </c>
      <c r="V19" s="1">
        <v>11.8</v>
      </c>
      <c r="W19" s="1">
        <v>17.399999999999999</v>
      </c>
      <c r="X19" s="1">
        <v>20</v>
      </c>
      <c r="Y19" s="1">
        <v>15.4</v>
      </c>
      <c r="Z19" s="1">
        <v>15</v>
      </c>
      <c r="AA19" s="1">
        <v>21.6</v>
      </c>
      <c r="AB19" s="1">
        <v>20</v>
      </c>
      <c r="AC19" s="1">
        <v>13.8</v>
      </c>
      <c r="AD19" s="1">
        <v>6.2</v>
      </c>
      <c r="AE19" s="1"/>
      <c r="AF19" s="1">
        <f t="shared" si="6"/>
        <v>38.159999999999997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53</v>
      </c>
      <c r="B20" s="1" t="s">
        <v>33</v>
      </c>
      <c r="C20" s="1">
        <v>275</v>
      </c>
      <c r="D20" s="1"/>
      <c r="E20" s="1">
        <v>42</v>
      </c>
      <c r="F20" s="1"/>
      <c r="G20" s="7">
        <v>0.18</v>
      </c>
      <c r="H20" s="1">
        <v>180</v>
      </c>
      <c r="I20" s="1"/>
      <c r="J20" s="1"/>
      <c r="K20" s="1">
        <v>80</v>
      </c>
      <c r="L20" s="1">
        <f t="shared" si="2"/>
        <v>-38</v>
      </c>
      <c r="M20" s="1"/>
      <c r="N20" s="1"/>
      <c r="O20" s="1"/>
      <c r="P20" s="1">
        <f t="shared" si="3"/>
        <v>8.4</v>
      </c>
      <c r="Q20" s="5">
        <f>10*P20-O20-F20</f>
        <v>84</v>
      </c>
      <c r="R20" s="5">
        <f>VLOOKUP(A20,заказ!A:B,2,0)</f>
        <v>80</v>
      </c>
      <c r="S20" s="1">
        <f t="shared" si="4"/>
        <v>10</v>
      </c>
      <c r="T20" s="1">
        <f t="shared" si="5"/>
        <v>0</v>
      </c>
      <c r="U20" s="1">
        <v>15.2</v>
      </c>
      <c r="V20" s="1">
        <v>22.4</v>
      </c>
      <c r="W20" s="1">
        <v>20.8</v>
      </c>
      <c r="X20" s="1">
        <v>22.8</v>
      </c>
      <c r="Y20" s="1">
        <v>22.8</v>
      </c>
      <c r="Z20" s="1">
        <v>20.8</v>
      </c>
      <c r="AA20" s="1">
        <v>25</v>
      </c>
      <c r="AB20" s="1">
        <v>25</v>
      </c>
      <c r="AC20" s="1">
        <v>19</v>
      </c>
      <c r="AD20" s="1">
        <v>4.8</v>
      </c>
      <c r="AE20" s="1" t="s">
        <v>54</v>
      </c>
      <c r="AF20" s="1">
        <f t="shared" si="6"/>
        <v>15.12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55</v>
      </c>
      <c r="B21" s="1" t="s">
        <v>33</v>
      </c>
      <c r="C21" s="1">
        <v>21</v>
      </c>
      <c r="D21" s="1"/>
      <c r="E21" s="1"/>
      <c r="F21" s="1">
        <v>21</v>
      </c>
      <c r="G21" s="7">
        <v>0.4</v>
      </c>
      <c r="H21" s="1">
        <v>270</v>
      </c>
      <c r="I21" s="1"/>
      <c r="J21" s="1"/>
      <c r="K21" s="1"/>
      <c r="L21" s="1">
        <f t="shared" si="2"/>
        <v>0</v>
      </c>
      <c r="M21" s="1"/>
      <c r="N21" s="1"/>
      <c r="O21" s="1"/>
      <c r="P21" s="1">
        <f t="shared" si="3"/>
        <v>0</v>
      </c>
      <c r="Q21" s="5"/>
      <c r="R21" s="5"/>
      <c r="S21" s="1" t="e">
        <f t="shared" si="4"/>
        <v>#DIV/0!</v>
      </c>
      <c r="T21" s="1" t="e">
        <f t="shared" si="5"/>
        <v>#DIV/0!</v>
      </c>
      <c r="U21" s="1">
        <v>0.6</v>
      </c>
      <c r="V21" s="1">
        <v>0.2</v>
      </c>
      <c r="W21" s="1">
        <v>0</v>
      </c>
      <c r="X21" s="1">
        <v>1.2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5" t="s">
        <v>48</v>
      </c>
      <c r="AF21" s="1">
        <f t="shared" si="6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56</v>
      </c>
      <c r="B22" s="1" t="s">
        <v>33</v>
      </c>
      <c r="C22" s="1">
        <v>85</v>
      </c>
      <c r="D22" s="1"/>
      <c r="E22" s="1">
        <v>7</v>
      </c>
      <c r="F22" s="1">
        <v>75</v>
      </c>
      <c r="G22" s="7">
        <v>0.4</v>
      </c>
      <c r="H22" s="1">
        <v>270</v>
      </c>
      <c r="I22" s="1"/>
      <c r="J22" s="1"/>
      <c r="K22" s="1">
        <v>7</v>
      </c>
      <c r="L22" s="1">
        <f t="shared" si="2"/>
        <v>0</v>
      </c>
      <c r="M22" s="1"/>
      <c r="N22" s="1"/>
      <c r="O22" s="1">
        <v>28</v>
      </c>
      <c r="P22" s="1">
        <f t="shared" si="3"/>
        <v>1.4</v>
      </c>
      <c r="Q22" s="5"/>
      <c r="R22" s="5"/>
      <c r="S22" s="1">
        <f t="shared" si="4"/>
        <v>73.571428571428569</v>
      </c>
      <c r="T22" s="1">
        <f t="shared" si="5"/>
        <v>73.571428571428569</v>
      </c>
      <c r="U22" s="1">
        <v>6</v>
      </c>
      <c r="V22" s="1">
        <v>1.6</v>
      </c>
      <c r="W22" s="1">
        <v>1.4</v>
      </c>
      <c r="X22" s="1">
        <v>3.2</v>
      </c>
      <c r="Y22" s="1">
        <v>1.2</v>
      </c>
      <c r="Z22" s="1">
        <v>4.5999999999999996</v>
      </c>
      <c r="AA22" s="1">
        <v>2.4</v>
      </c>
      <c r="AB22" s="1">
        <v>1.8</v>
      </c>
      <c r="AC22" s="1">
        <v>0</v>
      </c>
      <c r="AD22" s="1">
        <v>10</v>
      </c>
      <c r="AE22" s="15" t="s">
        <v>48</v>
      </c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57</v>
      </c>
      <c r="B23" s="1" t="s">
        <v>33</v>
      </c>
      <c r="C23" s="1">
        <v>44</v>
      </c>
      <c r="D23" s="1">
        <v>24</v>
      </c>
      <c r="E23" s="1">
        <v>16</v>
      </c>
      <c r="F23" s="1">
        <v>42</v>
      </c>
      <c r="G23" s="7">
        <v>0.18</v>
      </c>
      <c r="H23" s="1">
        <v>150</v>
      </c>
      <c r="I23" s="1"/>
      <c r="J23" s="1"/>
      <c r="K23" s="1">
        <v>16</v>
      </c>
      <c r="L23" s="1">
        <f t="shared" si="2"/>
        <v>0</v>
      </c>
      <c r="M23" s="1"/>
      <c r="N23" s="1"/>
      <c r="O23" s="1">
        <v>18</v>
      </c>
      <c r="P23" s="1">
        <f t="shared" si="3"/>
        <v>3.2</v>
      </c>
      <c r="Q23" s="5"/>
      <c r="R23" s="5"/>
      <c r="S23" s="1">
        <f t="shared" si="4"/>
        <v>18.75</v>
      </c>
      <c r="T23" s="1">
        <f t="shared" si="5"/>
        <v>18.75</v>
      </c>
      <c r="U23" s="1">
        <v>4.2</v>
      </c>
      <c r="V23" s="1">
        <v>3.4</v>
      </c>
      <c r="W23" s="1">
        <v>2.6</v>
      </c>
      <c r="X23" s="1">
        <v>4.4000000000000004</v>
      </c>
      <c r="Y23" s="1">
        <v>1.6</v>
      </c>
      <c r="Z23" s="1">
        <v>1.4</v>
      </c>
      <c r="AA23" s="1">
        <v>3.2</v>
      </c>
      <c r="AB23" s="1">
        <v>3.8</v>
      </c>
      <c r="AC23" s="1">
        <v>4.8</v>
      </c>
      <c r="AD23" s="1">
        <v>7.4</v>
      </c>
      <c r="AE23" s="1"/>
      <c r="AF23" s="1">
        <f t="shared" si="6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58</v>
      </c>
      <c r="B24" s="1" t="s">
        <v>33</v>
      </c>
      <c r="C24" s="1">
        <v>188</v>
      </c>
      <c r="D24" s="1"/>
      <c r="E24" s="1">
        <v>49</v>
      </c>
      <c r="F24" s="1">
        <v>138</v>
      </c>
      <c r="G24" s="7">
        <v>0.1</v>
      </c>
      <c r="H24" s="1">
        <v>90</v>
      </c>
      <c r="I24" s="1"/>
      <c r="J24" s="1"/>
      <c r="K24" s="1">
        <v>50</v>
      </c>
      <c r="L24" s="1">
        <f t="shared" si="2"/>
        <v>-1</v>
      </c>
      <c r="M24" s="1"/>
      <c r="N24" s="1"/>
      <c r="O24" s="1"/>
      <c r="P24" s="1">
        <f t="shared" si="3"/>
        <v>9.8000000000000007</v>
      </c>
      <c r="Q24" s="5">
        <f t="shared" si="7"/>
        <v>38.400000000000006</v>
      </c>
      <c r="R24" s="5">
        <f>VLOOKUP(A24,заказ!A:B,2,0)</f>
        <v>40</v>
      </c>
      <c r="S24" s="1">
        <f t="shared" si="4"/>
        <v>18</v>
      </c>
      <c r="T24" s="1">
        <f t="shared" si="5"/>
        <v>14.081632653061224</v>
      </c>
      <c r="U24" s="1">
        <v>7</v>
      </c>
      <c r="V24" s="1">
        <v>6</v>
      </c>
      <c r="W24" s="1">
        <v>14</v>
      </c>
      <c r="X24" s="1">
        <v>7.2</v>
      </c>
      <c r="Y24" s="1">
        <v>4.8</v>
      </c>
      <c r="Z24" s="1">
        <v>8.8000000000000007</v>
      </c>
      <c r="AA24" s="1">
        <v>8.8000000000000007</v>
      </c>
      <c r="AB24" s="1">
        <v>6.2</v>
      </c>
      <c r="AC24" s="1">
        <v>0.4</v>
      </c>
      <c r="AD24" s="1">
        <v>9.1999999999999993</v>
      </c>
      <c r="AE24" s="1"/>
      <c r="AF24" s="1">
        <f t="shared" si="6"/>
        <v>3.8400000000000007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59</v>
      </c>
      <c r="B25" s="1" t="s">
        <v>33</v>
      </c>
      <c r="C25" s="1">
        <v>314</v>
      </c>
      <c r="D25" s="1">
        <v>111</v>
      </c>
      <c r="E25" s="1">
        <v>194</v>
      </c>
      <c r="F25" s="1">
        <v>195</v>
      </c>
      <c r="G25" s="7">
        <v>0.18</v>
      </c>
      <c r="H25" s="1">
        <v>150</v>
      </c>
      <c r="I25" s="1"/>
      <c r="J25" s="1"/>
      <c r="K25" s="1">
        <v>198</v>
      </c>
      <c r="L25" s="1">
        <f t="shared" si="2"/>
        <v>-4</v>
      </c>
      <c r="M25" s="1"/>
      <c r="N25" s="1"/>
      <c r="O25" s="1">
        <v>230</v>
      </c>
      <c r="P25" s="1">
        <f t="shared" si="3"/>
        <v>38.799999999999997</v>
      </c>
      <c r="Q25" s="5">
        <f t="shared" si="7"/>
        <v>273.39999999999998</v>
      </c>
      <c r="R25" s="5">
        <f>VLOOKUP(A25,заказ!A:B,2,0)</f>
        <v>270</v>
      </c>
      <c r="S25" s="1">
        <f t="shared" si="4"/>
        <v>18</v>
      </c>
      <c r="T25" s="1">
        <f t="shared" si="5"/>
        <v>10.953608247422681</v>
      </c>
      <c r="U25" s="1">
        <v>31.4</v>
      </c>
      <c r="V25" s="1">
        <v>28.2</v>
      </c>
      <c r="W25" s="1">
        <v>30.4</v>
      </c>
      <c r="X25" s="1">
        <v>20.8</v>
      </c>
      <c r="Y25" s="1">
        <v>18.2</v>
      </c>
      <c r="Z25" s="1">
        <v>23.8</v>
      </c>
      <c r="AA25" s="1">
        <v>13</v>
      </c>
      <c r="AB25" s="1">
        <v>27.6</v>
      </c>
      <c r="AC25" s="1">
        <v>27.2</v>
      </c>
      <c r="AD25" s="1">
        <v>19</v>
      </c>
      <c r="AE25" s="1"/>
      <c r="AF25" s="1">
        <f t="shared" si="6"/>
        <v>49.211999999999996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60</v>
      </c>
      <c r="B26" s="1" t="s">
        <v>33</v>
      </c>
      <c r="C26" s="1">
        <v>311</v>
      </c>
      <c r="D26" s="1">
        <v>11</v>
      </c>
      <c r="E26" s="1">
        <v>117</v>
      </c>
      <c r="F26" s="1">
        <v>182</v>
      </c>
      <c r="G26" s="7">
        <v>0.18</v>
      </c>
      <c r="H26" s="1">
        <v>150</v>
      </c>
      <c r="I26" s="1"/>
      <c r="J26" s="1"/>
      <c r="K26" s="1">
        <v>121</v>
      </c>
      <c r="L26" s="1">
        <f t="shared" si="2"/>
        <v>-4</v>
      </c>
      <c r="M26" s="1"/>
      <c r="N26" s="1"/>
      <c r="O26" s="1">
        <v>80</v>
      </c>
      <c r="P26" s="1">
        <f t="shared" si="3"/>
        <v>23.4</v>
      </c>
      <c r="Q26" s="5">
        <f t="shared" si="7"/>
        <v>159.19999999999999</v>
      </c>
      <c r="R26" s="5">
        <f>VLOOKUP(A26,заказ!A:B,2,0)</f>
        <v>160</v>
      </c>
      <c r="S26" s="1">
        <f t="shared" si="4"/>
        <v>18</v>
      </c>
      <c r="T26" s="1">
        <f t="shared" si="5"/>
        <v>11.196581196581198</v>
      </c>
      <c r="U26" s="1">
        <v>19</v>
      </c>
      <c r="V26" s="1">
        <v>19.399999999999999</v>
      </c>
      <c r="W26" s="1">
        <v>25</v>
      </c>
      <c r="X26" s="1">
        <v>20.2</v>
      </c>
      <c r="Y26" s="1">
        <v>19.600000000000001</v>
      </c>
      <c r="Z26" s="1">
        <v>25.6</v>
      </c>
      <c r="AA26" s="1">
        <v>19.399999999999999</v>
      </c>
      <c r="AB26" s="1">
        <v>23.4</v>
      </c>
      <c r="AC26" s="1">
        <v>29.6</v>
      </c>
      <c r="AD26" s="1">
        <v>23.2</v>
      </c>
      <c r="AE26" s="1"/>
      <c r="AF26" s="1">
        <f t="shared" si="6"/>
        <v>28.655999999999995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61</v>
      </c>
      <c r="B27" s="1" t="s">
        <v>33</v>
      </c>
      <c r="C27" s="1">
        <v>49</v>
      </c>
      <c r="D27" s="1">
        <v>101</v>
      </c>
      <c r="E27" s="1">
        <v>34</v>
      </c>
      <c r="F27" s="1">
        <v>109</v>
      </c>
      <c r="G27" s="7">
        <v>0.18</v>
      </c>
      <c r="H27" s="1">
        <v>150</v>
      </c>
      <c r="I27" s="1"/>
      <c r="J27" s="1"/>
      <c r="K27" s="1">
        <v>35</v>
      </c>
      <c r="L27" s="1">
        <f t="shared" si="2"/>
        <v>-1</v>
      </c>
      <c r="M27" s="1"/>
      <c r="N27" s="1"/>
      <c r="O27" s="1">
        <v>50</v>
      </c>
      <c r="P27" s="1">
        <f t="shared" si="3"/>
        <v>6.8</v>
      </c>
      <c r="Q27" s="5"/>
      <c r="R27" s="5"/>
      <c r="S27" s="1">
        <f t="shared" si="4"/>
        <v>23.382352941176471</v>
      </c>
      <c r="T27" s="1">
        <f t="shared" si="5"/>
        <v>23.382352941176471</v>
      </c>
      <c r="U27" s="1">
        <v>9.4</v>
      </c>
      <c r="V27" s="1">
        <v>9.4</v>
      </c>
      <c r="W27" s="1">
        <v>8</v>
      </c>
      <c r="X27" s="1">
        <v>7.4</v>
      </c>
      <c r="Y27" s="1">
        <v>9</v>
      </c>
      <c r="Z27" s="1">
        <v>8.6</v>
      </c>
      <c r="AA27" s="1">
        <v>11.8</v>
      </c>
      <c r="AB27" s="1">
        <v>9.6</v>
      </c>
      <c r="AC27" s="1">
        <v>15.2</v>
      </c>
      <c r="AD27" s="1">
        <v>13.2</v>
      </c>
      <c r="AE27" s="1"/>
      <c r="AF27" s="1">
        <f t="shared" si="6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62</v>
      </c>
      <c r="B28" s="1" t="s">
        <v>33</v>
      </c>
      <c r="C28" s="1">
        <v>86</v>
      </c>
      <c r="D28" s="1">
        <v>21</v>
      </c>
      <c r="E28" s="1">
        <v>44</v>
      </c>
      <c r="F28" s="1">
        <v>53</v>
      </c>
      <c r="G28" s="7">
        <v>0.18</v>
      </c>
      <c r="H28" s="1">
        <v>150</v>
      </c>
      <c r="I28" s="1"/>
      <c r="J28" s="1"/>
      <c r="K28" s="1">
        <v>48</v>
      </c>
      <c r="L28" s="1">
        <f t="shared" si="2"/>
        <v>-4</v>
      </c>
      <c r="M28" s="1"/>
      <c r="N28" s="1"/>
      <c r="O28" s="1">
        <v>30</v>
      </c>
      <c r="P28" s="1">
        <f t="shared" si="3"/>
        <v>8.8000000000000007</v>
      </c>
      <c r="Q28" s="5">
        <f t="shared" si="7"/>
        <v>75.400000000000006</v>
      </c>
      <c r="R28" s="5">
        <f>VLOOKUP(A28,заказ!A:B,2,0)</f>
        <v>80</v>
      </c>
      <c r="S28" s="1">
        <f t="shared" si="4"/>
        <v>18</v>
      </c>
      <c r="T28" s="1">
        <f t="shared" si="5"/>
        <v>9.4318181818181817</v>
      </c>
      <c r="U28" s="1">
        <v>6.6</v>
      </c>
      <c r="V28" s="1">
        <v>6.8</v>
      </c>
      <c r="W28" s="1">
        <v>7.8</v>
      </c>
      <c r="X28" s="1">
        <v>9.4</v>
      </c>
      <c r="Y28" s="1">
        <v>7.8</v>
      </c>
      <c r="Z28" s="1">
        <v>7.2</v>
      </c>
      <c r="AA28" s="1">
        <v>9</v>
      </c>
      <c r="AB28" s="1">
        <v>9.8000000000000007</v>
      </c>
      <c r="AC28" s="1">
        <v>6.2</v>
      </c>
      <c r="AD28" s="1">
        <v>0</v>
      </c>
      <c r="AE28" s="1"/>
      <c r="AF28" s="1">
        <f t="shared" si="6"/>
        <v>13.572000000000001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63</v>
      </c>
      <c r="B29" s="1" t="s">
        <v>33</v>
      </c>
      <c r="C29" s="1">
        <v>384</v>
      </c>
      <c r="D29" s="1">
        <v>41</v>
      </c>
      <c r="E29" s="1">
        <v>134</v>
      </c>
      <c r="F29" s="1">
        <v>256</v>
      </c>
      <c r="G29" s="7">
        <v>0.18</v>
      </c>
      <c r="H29" s="1">
        <v>150</v>
      </c>
      <c r="I29" s="1"/>
      <c r="J29" s="1"/>
      <c r="K29" s="1">
        <v>137</v>
      </c>
      <c r="L29" s="1">
        <f t="shared" si="2"/>
        <v>-3</v>
      </c>
      <c r="M29" s="1"/>
      <c r="N29" s="1"/>
      <c r="O29" s="1">
        <v>130</v>
      </c>
      <c r="P29" s="1">
        <f t="shared" si="3"/>
        <v>26.8</v>
      </c>
      <c r="Q29" s="5">
        <f t="shared" si="7"/>
        <v>96.400000000000034</v>
      </c>
      <c r="R29" s="5">
        <f>VLOOKUP(A29,заказ!A:B,2,0)</f>
        <v>100</v>
      </c>
      <c r="S29" s="1">
        <f t="shared" si="4"/>
        <v>18</v>
      </c>
      <c r="T29" s="1">
        <f t="shared" si="5"/>
        <v>14.402985074626866</v>
      </c>
      <c r="U29" s="1">
        <v>26.2</v>
      </c>
      <c r="V29" s="1">
        <v>26.6</v>
      </c>
      <c r="W29" s="1">
        <v>32.6</v>
      </c>
      <c r="X29" s="1">
        <v>15.6</v>
      </c>
      <c r="Y29" s="1">
        <v>24.6</v>
      </c>
      <c r="Z29" s="1">
        <v>27.4</v>
      </c>
      <c r="AA29" s="1">
        <v>25.4</v>
      </c>
      <c r="AB29" s="1">
        <v>20.8</v>
      </c>
      <c r="AC29" s="1">
        <v>24.6</v>
      </c>
      <c r="AD29" s="1">
        <v>32.4</v>
      </c>
      <c r="AE29" s="1"/>
      <c r="AF29" s="1">
        <f t="shared" si="6"/>
        <v>17.352000000000004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64</v>
      </c>
      <c r="B30" s="1" t="s">
        <v>33</v>
      </c>
      <c r="C30" s="1">
        <v>125</v>
      </c>
      <c r="D30" s="1">
        <v>1</v>
      </c>
      <c r="E30" s="1">
        <v>23</v>
      </c>
      <c r="F30" s="1">
        <v>91</v>
      </c>
      <c r="G30" s="7">
        <v>0.18</v>
      </c>
      <c r="H30" s="1">
        <v>150</v>
      </c>
      <c r="I30" s="1"/>
      <c r="J30" s="1"/>
      <c r="K30" s="1">
        <v>26</v>
      </c>
      <c r="L30" s="1">
        <f t="shared" si="2"/>
        <v>-3</v>
      </c>
      <c r="M30" s="1"/>
      <c r="N30" s="1"/>
      <c r="O30" s="1">
        <v>270</v>
      </c>
      <c r="P30" s="1">
        <f t="shared" si="3"/>
        <v>4.5999999999999996</v>
      </c>
      <c r="Q30" s="5"/>
      <c r="R30" s="5"/>
      <c r="S30" s="1">
        <f t="shared" si="4"/>
        <v>78.478260869565219</v>
      </c>
      <c r="T30" s="1">
        <f t="shared" si="5"/>
        <v>78.478260869565219</v>
      </c>
      <c r="U30" s="1">
        <v>19.600000000000001</v>
      </c>
      <c r="V30" s="1">
        <v>8.1999999999999993</v>
      </c>
      <c r="W30" s="1">
        <v>14</v>
      </c>
      <c r="X30" s="1">
        <v>12.4</v>
      </c>
      <c r="Y30" s="1">
        <v>10.8</v>
      </c>
      <c r="Z30" s="1">
        <v>11.6</v>
      </c>
      <c r="AA30" s="1">
        <v>9.4</v>
      </c>
      <c r="AB30" s="1">
        <v>13.2</v>
      </c>
      <c r="AC30" s="1">
        <v>12.8</v>
      </c>
      <c r="AD30" s="1">
        <v>4.8</v>
      </c>
      <c r="AE30" s="1"/>
      <c r="AF30" s="1">
        <f t="shared" si="6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65</v>
      </c>
      <c r="B31" s="1" t="s">
        <v>38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>
        <f t="shared" si="3"/>
        <v>0</v>
      </c>
      <c r="Q31" s="5"/>
      <c r="R31" s="5"/>
      <c r="S31" s="1" t="e">
        <f t="shared" si="4"/>
        <v>#DIV/0!</v>
      </c>
      <c r="T31" s="1" t="e">
        <f t="shared" si="5"/>
        <v>#DIV/0!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5" t="s">
        <v>48</v>
      </c>
      <c r="AF31" s="1">
        <f t="shared" si="6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66</v>
      </c>
      <c r="B32" s="1" t="s">
        <v>33</v>
      </c>
      <c r="C32" s="1">
        <v>121</v>
      </c>
      <c r="D32" s="1"/>
      <c r="E32" s="1">
        <v>45</v>
      </c>
      <c r="F32" s="1">
        <v>72</v>
      </c>
      <c r="G32" s="7">
        <v>0.14000000000000001</v>
      </c>
      <c r="H32" s="1">
        <v>180</v>
      </c>
      <c r="I32" s="1"/>
      <c r="J32" s="1"/>
      <c r="K32" s="1">
        <v>47</v>
      </c>
      <c r="L32" s="1">
        <f t="shared" si="2"/>
        <v>-2</v>
      </c>
      <c r="M32" s="1"/>
      <c r="N32" s="1"/>
      <c r="O32" s="1"/>
      <c r="P32" s="1">
        <f t="shared" si="3"/>
        <v>9</v>
      </c>
      <c r="Q32" s="5">
        <f t="shared" si="7"/>
        <v>90</v>
      </c>
      <c r="R32" s="5">
        <f>VLOOKUP(A32,заказ!A:B,2,0)</f>
        <v>96</v>
      </c>
      <c r="S32" s="1">
        <f t="shared" si="4"/>
        <v>18</v>
      </c>
      <c r="T32" s="1">
        <f t="shared" si="5"/>
        <v>8</v>
      </c>
      <c r="U32" s="1">
        <v>6.4</v>
      </c>
      <c r="V32" s="1">
        <v>2.4</v>
      </c>
      <c r="W32" s="1">
        <v>2.2000000000000002</v>
      </c>
      <c r="X32" s="1">
        <v>9.1999999999999993</v>
      </c>
      <c r="Y32" s="1">
        <v>3</v>
      </c>
      <c r="Z32" s="1">
        <v>6.2</v>
      </c>
      <c r="AA32" s="1">
        <v>7</v>
      </c>
      <c r="AB32" s="1">
        <v>7</v>
      </c>
      <c r="AC32" s="1">
        <v>3.6</v>
      </c>
      <c r="AD32" s="1">
        <v>1</v>
      </c>
      <c r="AE32" s="1"/>
      <c r="AF32" s="1">
        <f t="shared" si="6"/>
        <v>12.600000000000001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67</v>
      </c>
      <c r="B33" s="1" t="s">
        <v>33</v>
      </c>
      <c r="C33" s="1">
        <v>95</v>
      </c>
      <c r="D33" s="1"/>
      <c r="E33" s="1">
        <v>55</v>
      </c>
      <c r="F33" s="1">
        <v>36</v>
      </c>
      <c r="G33" s="7">
        <v>0.18</v>
      </c>
      <c r="H33" s="1">
        <v>270</v>
      </c>
      <c r="I33" s="1"/>
      <c r="J33" s="1"/>
      <c r="K33" s="1">
        <v>55</v>
      </c>
      <c r="L33" s="1">
        <f t="shared" si="2"/>
        <v>0</v>
      </c>
      <c r="M33" s="1"/>
      <c r="N33" s="1"/>
      <c r="O33" s="1">
        <v>80</v>
      </c>
      <c r="P33" s="1">
        <f t="shared" si="3"/>
        <v>11</v>
      </c>
      <c r="Q33" s="5">
        <f t="shared" si="7"/>
        <v>82</v>
      </c>
      <c r="R33" s="5">
        <f>VLOOKUP(A33,заказ!A:B,2,0)</f>
        <v>80</v>
      </c>
      <c r="S33" s="1">
        <f t="shared" si="4"/>
        <v>18</v>
      </c>
      <c r="T33" s="1">
        <f t="shared" si="5"/>
        <v>10.545454545454545</v>
      </c>
      <c r="U33" s="1">
        <v>8.4</v>
      </c>
      <c r="V33" s="1">
        <v>6.2</v>
      </c>
      <c r="W33" s="1">
        <v>2.4</v>
      </c>
      <c r="X33" s="1">
        <v>9.8000000000000007</v>
      </c>
      <c r="Y33" s="1">
        <v>2.2000000000000002</v>
      </c>
      <c r="Z33" s="1">
        <v>8.1999999999999993</v>
      </c>
      <c r="AA33" s="1">
        <v>8.6</v>
      </c>
      <c r="AB33" s="1">
        <v>7.4</v>
      </c>
      <c r="AC33" s="1">
        <v>5.8</v>
      </c>
      <c r="AD33" s="1">
        <v>12.4</v>
      </c>
      <c r="AE33" s="1"/>
      <c r="AF33" s="1">
        <f t="shared" si="6"/>
        <v>14.76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68</v>
      </c>
      <c r="B34" s="1" t="s">
        <v>38</v>
      </c>
      <c r="C34" s="1">
        <v>22.72</v>
      </c>
      <c r="D34" s="1"/>
      <c r="E34" s="1">
        <v>9.5239999999999991</v>
      </c>
      <c r="F34" s="1">
        <v>13.196</v>
      </c>
      <c r="G34" s="7">
        <v>1</v>
      </c>
      <c r="H34" s="1">
        <v>180</v>
      </c>
      <c r="I34" s="1"/>
      <c r="J34" s="1"/>
      <c r="K34" s="1">
        <v>9.9</v>
      </c>
      <c r="L34" s="1">
        <f t="shared" si="2"/>
        <v>-0.37600000000000122</v>
      </c>
      <c r="M34" s="1"/>
      <c r="N34" s="1"/>
      <c r="O34" s="1"/>
      <c r="P34" s="1">
        <f t="shared" si="3"/>
        <v>1.9047999999999998</v>
      </c>
      <c r="Q34" s="5">
        <f>16*P34-O34-F34</f>
        <v>17.280799999999999</v>
      </c>
      <c r="R34" s="5">
        <f>VLOOKUP(A34,заказ!A:B,2,0)</f>
        <v>16</v>
      </c>
      <c r="S34" s="1">
        <f t="shared" si="4"/>
        <v>16</v>
      </c>
      <c r="T34" s="1">
        <f t="shared" si="5"/>
        <v>6.9277614447711047</v>
      </c>
      <c r="U34" s="1">
        <v>0</v>
      </c>
      <c r="V34" s="1">
        <v>1.4072</v>
      </c>
      <c r="W34" s="1">
        <v>1.3271999999999999</v>
      </c>
      <c r="X34" s="1">
        <v>1.9408000000000001</v>
      </c>
      <c r="Y34" s="1">
        <v>0.68840000000000001</v>
      </c>
      <c r="Z34" s="1">
        <v>1.3236000000000001</v>
      </c>
      <c r="AA34" s="1">
        <v>0.68840000000000001</v>
      </c>
      <c r="AB34" s="1">
        <v>2.0207999999999999</v>
      </c>
      <c r="AC34" s="1">
        <v>1.988</v>
      </c>
      <c r="AD34" s="1">
        <v>1.3355999999999999</v>
      </c>
      <c r="AE34" s="1"/>
      <c r="AF34" s="1">
        <f t="shared" si="6"/>
        <v>17.280799999999999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69</v>
      </c>
      <c r="B35" s="1" t="s">
        <v>38</v>
      </c>
      <c r="C35" s="1">
        <v>35.450000000000003</v>
      </c>
      <c r="D35" s="1">
        <v>17.238</v>
      </c>
      <c r="E35" s="1">
        <v>26.210999999999999</v>
      </c>
      <c r="F35" s="1">
        <v>20.265000000000001</v>
      </c>
      <c r="G35" s="7">
        <v>1</v>
      </c>
      <c r="H35" s="1">
        <v>180</v>
      </c>
      <c r="I35" s="1"/>
      <c r="J35" s="1"/>
      <c r="K35" s="1">
        <v>26.8</v>
      </c>
      <c r="L35" s="1">
        <f t="shared" si="2"/>
        <v>-0.58900000000000219</v>
      </c>
      <c r="M35" s="1"/>
      <c r="N35" s="1"/>
      <c r="O35" s="1">
        <v>16</v>
      </c>
      <c r="P35" s="1">
        <f t="shared" si="3"/>
        <v>5.2421999999999995</v>
      </c>
      <c r="Q35" s="5">
        <f t="shared" si="7"/>
        <v>58.094599999999986</v>
      </c>
      <c r="R35" s="5">
        <f>VLOOKUP(A35,заказ!A:B,2,0)</f>
        <v>66</v>
      </c>
      <c r="S35" s="1">
        <f t="shared" si="4"/>
        <v>18</v>
      </c>
      <c r="T35" s="1">
        <f t="shared" si="5"/>
        <v>6.9178970661172796</v>
      </c>
      <c r="U35" s="1">
        <v>3.0844</v>
      </c>
      <c r="V35" s="1">
        <v>3.2427999999999999</v>
      </c>
      <c r="W35" s="1">
        <v>4.4512</v>
      </c>
      <c r="X35" s="1">
        <v>4.6284000000000001</v>
      </c>
      <c r="Y35" s="1">
        <v>2.6107999999999998</v>
      </c>
      <c r="Z35" s="1">
        <v>3.7959999999999998</v>
      </c>
      <c r="AA35" s="1">
        <v>0</v>
      </c>
      <c r="AB35" s="1">
        <v>0.71599999999999997</v>
      </c>
      <c r="AC35" s="1">
        <v>3.9607999999999999</v>
      </c>
      <c r="AD35" s="1">
        <v>3.8763999999999998</v>
      </c>
      <c r="AE35" s="1"/>
      <c r="AF35" s="1">
        <f t="shared" si="6"/>
        <v>58.094599999999986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70</v>
      </c>
      <c r="B36" s="1" t="s">
        <v>33</v>
      </c>
      <c r="C36" s="1">
        <v>95</v>
      </c>
      <c r="D36" s="1"/>
      <c r="E36" s="1">
        <v>46</v>
      </c>
      <c r="F36" s="1">
        <v>47</v>
      </c>
      <c r="G36" s="7">
        <v>0.1</v>
      </c>
      <c r="H36" s="1">
        <v>60</v>
      </c>
      <c r="I36" s="1"/>
      <c r="J36" s="1"/>
      <c r="K36" s="1">
        <v>52</v>
      </c>
      <c r="L36" s="1">
        <f t="shared" si="2"/>
        <v>-6</v>
      </c>
      <c r="M36" s="1"/>
      <c r="N36" s="1"/>
      <c r="O36" s="1"/>
      <c r="P36" s="1">
        <f t="shared" si="3"/>
        <v>9.1999999999999993</v>
      </c>
      <c r="Q36" s="5">
        <f t="shared" si="7"/>
        <v>118.6</v>
      </c>
      <c r="R36" s="5">
        <f>VLOOKUP(A36,заказ!A:B,2,0)</f>
        <v>120</v>
      </c>
      <c r="S36" s="1">
        <f t="shared" si="4"/>
        <v>18</v>
      </c>
      <c r="T36" s="1">
        <f t="shared" si="5"/>
        <v>5.1086956521739131</v>
      </c>
      <c r="U36" s="1">
        <v>1.4</v>
      </c>
      <c r="V36" s="1">
        <v>0</v>
      </c>
      <c r="W36" s="1">
        <v>-0.2</v>
      </c>
      <c r="X36" s="1">
        <v>-0.2</v>
      </c>
      <c r="Y36" s="1">
        <v>8.1999999999999993</v>
      </c>
      <c r="Z36" s="1">
        <v>13.6</v>
      </c>
      <c r="AA36" s="1">
        <v>8.1999999999999993</v>
      </c>
      <c r="AB36" s="1">
        <v>4.8</v>
      </c>
      <c r="AC36" s="1">
        <v>-0.4</v>
      </c>
      <c r="AD36" s="1">
        <v>8.6</v>
      </c>
      <c r="AE36" s="1"/>
      <c r="AF36" s="1">
        <f t="shared" si="6"/>
        <v>11.86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71</v>
      </c>
      <c r="B37" s="1" t="s">
        <v>33</v>
      </c>
      <c r="C37" s="1">
        <v>85</v>
      </c>
      <c r="D37" s="1">
        <v>114</v>
      </c>
      <c r="E37" s="1">
        <v>39</v>
      </c>
      <c r="F37" s="1">
        <v>158</v>
      </c>
      <c r="G37" s="7">
        <v>0.1</v>
      </c>
      <c r="H37" s="1">
        <v>90</v>
      </c>
      <c r="I37" s="1"/>
      <c r="J37" s="1"/>
      <c r="K37" s="1">
        <v>43</v>
      </c>
      <c r="L37" s="1">
        <f t="shared" si="2"/>
        <v>-4</v>
      </c>
      <c r="M37" s="1"/>
      <c r="N37" s="1"/>
      <c r="O37" s="1"/>
      <c r="P37" s="1">
        <f t="shared" si="3"/>
        <v>7.8</v>
      </c>
      <c r="Q37" s="5"/>
      <c r="R37" s="5"/>
      <c r="S37" s="1">
        <f t="shared" si="4"/>
        <v>20.256410256410255</v>
      </c>
      <c r="T37" s="1">
        <f t="shared" si="5"/>
        <v>20.256410256410255</v>
      </c>
      <c r="U37" s="1">
        <v>8.4</v>
      </c>
      <c r="V37" s="1">
        <v>11</v>
      </c>
      <c r="W37" s="1">
        <v>9.1999999999999993</v>
      </c>
      <c r="X37" s="1">
        <v>8.4</v>
      </c>
      <c r="Y37" s="1">
        <v>7</v>
      </c>
      <c r="Z37" s="1">
        <v>14.2</v>
      </c>
      <c r="AA37" s="1">
        <v>7.6</v>
      </c>
      <c r="AB37" s="1">
        <v>7.4</v>
      </c>
      <c r="AC37" s="1">
        <v>2.6</v>
      </c>
      <c r="AD37" s="1">
        <v>12.6</v>
      </c>
      <c r="AE37" s="1"/>
      <c r="AF37" s="1">
        <f t="shared" si="6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72</v>
      </c>
      <c r="B38" s="1" t="s">
        <v>33</v>
      </c>
      <c r="C38" s="1">
        <v>156</v>
      </c>
      <c r="D38" s="1"/>
      <c r="E38" s="1">
        <v>60</v>
      </c>
      <c r="F38" s="1">
        <v>92</v>
      </c>
      <c r="G38" s="7">
        <v>0.14000000000000001</v>
      </c>
      <c r="H38" s="1">
        <v>180</v>
      </c>
      <c r="I38" s="1"/>
      <c r="J38" s="1"/>
      <c r="K38" s="1">
        <v>61</v>
      </c>
      <c r="L38" s="1">
        <f t="shared" si="2"/>
        <v>-1</v>
      </c>
      <c r="M38" s="1"/>
      <c r="N38" s="1"/>
      <c r="O38" s="1"/>
      <c r="P38" s="1">
        <f t="shared" si="3"/>
        <v>12</v>
      </c>
      <c r="Q38" s="5">
        <f>16*P38-O38-F38</f>
        <v>100</v>
      </c>
      <c r="R38" s="5">
        <f>VLOOKUP(A38,заказ!A:B,2,0)</f>
        <v>96</v>
      </c>
      <c r="S38" s="1">
        <f t="shared" si="4"/>
        <v>16</v>
      </c>
      <c r="T38" s="1">
        <f t="shared" si="5"/>
        <v>7.666666666666667</v>
      </c>
      <c r="U38" s="1">
        <v>5</v>
      </c>
      <c r="V38" s="1">
        <v>3.6</v>
      </c>
      <c r="W38" s="1">
        <v>3.6</v>
      </c>
      <c r="X38" s="1">
        <v>10</v>
      </c>
      <c r="Y38" s="1">
        <v>4</v>
      </c>
      <c r="Z38" s="1">
        <v>8</v>
      </c>
      <c r="AA38" s="1">
        <v>7.6</v>
      </c>
      <c r="AB38" s="1">
        <v>7.4</v>
      </c>
      <c r="AC38" s="1">
        <v>7.4</v>
      </c>
      <c r="AD38" s="1">
        <v>5.2</v>
      </c>
      <c r="AE38" s="1"/>
      <c r="AF38" s="1">
        <f t="shared" si="6"/>
        <v>14.000000000000002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73</v>
      </c>
      <c r="B39" s="1" t="s">
        <v>33</v>
      </c>
      <c r="C39" s="1">
        <v>161</v>
      </c>
      <c r="D39" s="1">
        <v>40</v>
      </c>
      <c r="E39" s="1">
        <v>124</v>
      </c>
      <c r="F39" s="1">
        <v>69</v>
      </c>
      <c r="G39" s="7">
        <v>0.2</v>
      </c>
      <c r="H39" s="1">
        <v>120</v>
      </c>
      <c r="I39" s="1"/>
      <c r="J39" s="1"/>
      <c r="K39" s="1">
        <v>127</v>
      </c>
      <c r="L39" s="1">
        <f t="shared" si="2"/>
        <v>-3</v>
      </c>
      <c r="M39" s="1"/>
      <c r="N39" s="1"/>
      <c r="O39" s="1">
        <v>580</v>
      </c>
      <c r="P39" s="1">
        <f t="shared" si="3"/>
        <v>24.8</v>
      </c>
      <c r="Q39" s="5"/>
      <c r="R39" s="5"/>
      <c r="S39" s="1">
        <f t="shared" si="4"/>
        <v>26.169354838709676</v>
      </c>
      <c r="T39" s="1">
        <f t="shared" si="5"/>
        <v>26.169354838709676</v>
      </c>
      <c r="U39" s="1">
        <v>38.799999999999997</v>
      </c>
      <c r="V39" s="1">
        <v>18.600000000000001</v>
      </c>
      <c r="W39" s="1">
        <v>21.8</v>
      </c>
      <c r="X39" s="1">
        <v>28</v>
      </c>
      <c r="Y39" s="1">
        <v>12</v>
      </c>
      <c r="Z39" s="1">
        <v>24.6</v>
      </c>
      <c r="AA39" s="1">
        <v>13.2</v>
      </c>
      <c r="AB39" s="1">
        <v>8.1999999999999993</v>
      </c>
      <c r="AC39" s="1">
        <v>13.8</v>
      </c>
      <c r="AD39" s="1">
        <v>31.8</v>
      </c>
      <c r="AE39" s="1"/>
      <c r="AF39" s="1">
        <f t="shared" si="6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74</v>
      </c>
      <c r="B40" s="1" t="s">
        <v>38</v>
      </c>
      <c r="C40" s="1">
        <v>50.231999999999999</v>
      </c>
      <c r="D40" s="1"/>
      <c r="E40" s="1">
        <v>16.027999999999999</v>
      </c>
      <c r="F40" s="1">
        <v>31.13</v>
      </c>
      <c r="G40" s="7">
        <v>1</v>
      </c>
      <c r="H40" s="1">
        <v>120</v>
      </c>
      <c r="I40" s="1"/>
      <c r="J40" s="1"/>
      <c r="K40" s="1">
        <v>21</v>
      </c>
      <c r="L40" s="1">
        <f t="shared" si="2"/>
        <v>-4.9720000000000013</v>
      </c>
      <c r="M40" s="1"/>
      <c r="N40" s="1"/>
      <c r="O40" s="1">
        <v>30</v>
      </c>
      <c r="P40" s="1">
        <f t="shared" si="3"/>
        <v>3.2055999999999996</v>
      </c>
      <c r="Q40" s="5"/>
      <c r="R40" s="5"/>
      <c r="S40" s="1">
        <f t="shared" si="4"/>
        <v>19.069752932368356</v>
      </c>
      <c r="T40" s="1">
        <f t="shared" si="5"/>
        <v>19.069752932368356</v>
      </c>
      <c r="U40" s="1">
        <v>3.8132000000000001</v>
      </c>
      <c r="V40" s="1">
        <v>1.9352</v>
      </c>
      <c r="W40" s="1">
        <v>2.5895999999999999</v>
      </c>
      <c r="X40" s="1">
        <v>3.7652000000000001</v>
      </c>
      <c r="Y40" s="1">
        <v>3.7711999999999999</v>
      </c>
      <c r="Z40" s="1">
        <v>3.0623999999999998</v>
      </c>
      <c r="AA40" s="1">
        <v>3.6636000000000002</v>
      </c>
      <c r="AB40" s="1">
        <v>7.4767999999999999</v>
      </c>
      <c r="AC40" s="1">
        <v>1.1104000000000001</v>
      </c>
      <c r="AD40" s="1">
        <v>3.8748</v>
      </c>
      <c r="AE40" s="1"/>
      <c r="AF40" s="1">
        <f t="shared" si="6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75</v>
      </c>
      <c r="B41" s="1" t="s">
        <v>33</v>
      </c>
      <c r="C41" s="1">
        <v>32</v>
      </c>
      <c r="D41" s="1">
        <v>100</v>
      </c>
      <c r="E41" s="13">
        <f>66+E42</f>
        <v>69</v>
      </c>
      <c r="F41" s="13">
        <f>63+F42</f>
        <v>60</v>
      </c>
      <c r="G41" s="7">
        <v>0.2</v>
      </c>
      <c r="H41" s="1">
        <v>120</v>
      </c>
      <c r="I41" s="1"/>
      <c r="J41" s="1"/>
      <c r="K41" s="1">
        <v>70</v>
      </c>
      <c r="L41" s="1">
        <f t="shared" si="2"/>
        <v>-1</v>
      </c>
      <c r="M41" s="1"/>
      <c r="N41" s="1"/>
      <c r="O41" s="1">
        <v>460</v>
      </c>
      <c r="P41" s="1">
        <f t="shared" si="3"/>
        <v>13.8</v>
      </c>
      <c r="Q41" s="5"/>
      <c r="R41" s="5"/>
      <c r="S41" s="1">
        <f t="shared" si="4"/>
        <v>37.681159420289852</v>
      </c>
      <c r="T41" s="1">
        <f t="shared" si="5"/>
        <v>37.681159420289852</v>
      </c>
      <c r="U41" s="1">
        <v>29.4</v>
      </c>
      <c r="V41" s="1">
        <v>13.4</v>
      </c>
      <c r="W41" s="1">
        <v>11</v>
      </c>
      <c r="X41" s="1">
        <v>17.600000000000001</v>
      </c>
      <c r="Y41" s="1">
        <v>10.6</v>
      </c>
      <c r="Z41" s="1">
        <v>15</v>
      </c>
      <c r="AA41" s="1">
        <v>8.6</v>
      </c>
      <c r="AB41" s="1">
        <v>12.2</v>
      </c>
      <c r="AC41" s="1">
        <v>14</v>
      </c>
      <c r="AD41" s="1">
        <v>18.600000000000001</v>
      </c>
      <c r="AE41" s="1"/>
      <c r="AF41" s="1">
        <f t="shared" si="6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0" t="s">
        <v>76</v>
      </c>
      <c r="B42" s="10" t="s">
        <v>33</v>
      </c>
      <c r="C42" s="10"/>
      <c r="D42" s="10"/>
      <c r="E42" s="13">
        <v>3</v>
      </c>
      <c r="F42" s="13">
        <v>-3</v>
      </c>
      <c r="G42" s="11">
        <v>0</v>
      </c>
      <c r="H42" s="10"/>
      <c r="I42" s="10" t="s">
        <v>77</v>
      </c>
      <c r="J42" s="10" t="s">
        <v>75</v>
      </c>
      <c r="K42" s="10">
        <v>3</v>
      </c>
      <c r="L42" s="10">
        <f t="shared" si="2"/>
        <v>0</v>
      </c>
      <c r="M42" s="10"/>
      <c r="N42" s="10"/>
      <c r="O42" s="10"/>
      <c r="P42" s="10">
        <f t="shared" si="3"/>
        <v>0.6</v>
      </c>
      <c r="Q42" s="12"/>
      <c r="R42" s="5"/>
      <c r="S42" s="10">
        <f t="shared" si="4"/>
        <v>-5</v>
      </c>
      <c r="T42" s="10">
        <f t="shared" si="5"/>
        <v>-5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/>
      <c r="AF42" s="10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78</v>
      </c>
      <c r="B43" s="1" t="s">
        <v>38</v>
      </c>
      <c r="C43" s="1">
        <v>201.80799999999999</v>
      </c>
      <c r="D43" s="1"/>
      <c r="E43" s="1">
        <v>14.32</v>
      </c>
      <c r="F43" s="1">
        <v>183.71199999999999</v>
      </c>
      <c r="G43" s="7">
        <v>1</v>
      </c>
      <c r="H43" s="1">
        <v>120</v>
      </c>
      <c r="I43" s="1"/>
      <c r="J43" s="1"/>
      <c r="K43" s="1">
        <v>14</v>
      </c>
      <c r="L43" s="1">
        <f t="shared" si="2"/>
        <v>0.32000000000000028</v>
      </c>
      <c r="M43" s="1"/>
      <c r="N43" s="1"/>
      <c r="O43" s="1"/>
      <c r="P43" s="1">
        <f t="shared" si="3"/>
        <v>2.8639999999999999</v>
      </c>
      <c r="Q43" s="5"/>
      <c r="R43" s="5"/>
      <c r="S43" s="1">
        <f t="shared" si="4"/>
        <v>64.14525139664805</v>
      </c>
      <c r="T43" s="1">
        <f t="shared" si="5"/>
        <v>64.14525139664805</v>
      </c>
      <c r="U43" s="1">
        <v>1.4996</v>
      </c>
      <c r="V43" s="1">
        <v>2.1772</v>
      </c>
      <c r="W43" s="1">
        <v>1.4212</v>
      </c>
      <c r="X43" s="1">
        <v>0</v>
      </c>
      <c r="Y43" s="1">
        <v>0</v>
      </c>
      <c r="Z43" s="1">
        <v>2.9496000000000002</v>
      </c>
      <c r="AA43" s="1">
        <v>2.4E-2</v>
      </c>
      <c r="AB43" s="1">
        <v>2.1876000000000002</v>
      </c>
      <c r="AC43" s="1">
        <v>8.5687999999999995</v>
      </c>
      <c r="AD43" s="1">
        <v>1.4568000000000001</v>
      </c>
      <c r="AE43" s="15" t="s">
        <v>48</v>
      </c>
      <c r="AF43" s="1">
        <f>G43*Q43</f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F43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CBD4-6DFD-4ED4-B819-1EA058FA4658}">
  <dimension ref="A1:B2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32</v>
      </c>
      <c r="B1">
        <v>96</v>
      </c>
    </row>
    <row r="2" spans="1:2" x14ac:dyDescent="0.25">
      <c r="A2" t="s">
        <v>35</v>
      </c>
      <c r="B2">
        <v>120</v>
      </c>
    </row>
    <row r="3" spans="1:2" x14ac:dyDescent="0.25">
      <c r="A3" t="s">
        <v>36</v>
      </c>
      <c r="B3">
        <v>96</v>
      </c>
    </row>
    <row r="4" spans="1:2" x14ac:dyDescent="0.25">
      <c r="A4" t="s">
        <v>40</v>
      </c>
      <c r="B4">
        <v>24</v>
      </c>
    </row>
    <row r="5" spans="1:2" x14ac:dyDescent="0.25">
      <c r="A5" t="s">
        <v>42</v>
      </c>
      <c r="B5">
        <v>24</v>
      </c>
    </row>
    <row r="6" spans="1:2" x14ac:dyDescent="0.25">
      <c r="A6" t="s">
        <v>44</v>
      </c>
      <c r="B6">
        <v>99</v>
      </c>
    </row>
    <row r="7" spans="1:2" x14ac:dyDescent="0.25">
      <c r="A7" t="s">
        <v>45</v>
      </c>
      <c r="B7">
        <v>24</v>
      </c>
    </row>
    <row r="8" spans="1:2" x14ac:dyDescent="0.25">
      <c r="A8" t="s">
        <v>47</v>
      </c>
      <c r="B8">
        <v>240</v>
      </c>
    </row>
    <row r="9" spans="1:2" x14ac:dyDescent="0.25">
      <c r="A9" t="s">
        <v>50</v>
      </c>
      <c r="B9">
        <v>348</v>
      </c>
    </row>
    <row r="10" spans="1:2" x14ac:dyDescent="0.25">
      <c r="A10" t="s">
        <v>51</v>
      </c>
      <c r="B10">
        <v>96</v>
      </c>
    </row>
    <row r="11" spans="1:2" x14ac:dyDescent="0.25">
      <c r="A11" t="s">
        <v>52</v>
      </c>
      <c r="B11">
        <v>210</v>
      </c>
    </row>
    <row r="12" spans="1:2" x14ac:dyDescent="0.25">
      <c r="A12" t="s">
        <v>53</v>
      </c>
      <c r="B12">
        <v>80</v>
      </c>
    </row>
    <row r="13" spans="1:2" x14ac:dyDescent="0.25">
      <c r="A13" t="s">
        <v>58</v>
      </c>
      <c r="B13">
        <v>40</v>
      </c>
    </row>
    <row r="14" spans="1:2" x14ac:dyDescent="0.25">
      <c r="A14" t="s">
        <v>59</v>
      </c>
      <c r="B14">
        <v>270</v>
      </c>
    </row>
    <row r="15" spans="1:2" x14ac:dyDescent="0.25">
      <c r="A15" t="s">
        <v>60</v>
      </c>
      <c r="B15">
        <v>160</v>
      </c>
    </row>
    <row r="16" spans="1:2" x14ac:dyDescent="0.25">
      <c r="A16" t="s">
        <v>62</v>
      </c>
      <c r="B16">
        <v>80</v>
      </c>
    </row>
    <row r="17" spans="1:2" x14ac:dyDescent="0.25">
      <c r="A17" t="s">
        <v>63</v>
      </c>
      <c r="B17">
        <v>100</v>
      </c>
    </row>
    <row r="18" spans="1:2" x14ac:dyDescent="0.25">
      <c r="A18" t="s">
        <v>66</v>
      </c>
      <c r="B18">
        <v>96</v>
      </c>
    </row>
    <row r="19" spans="1:2" x14ac:dyDescent="0.25">
      <c r="A19" t="s">
        <v>67</v>
      </c>
      <c r="B19">
        <v>80</v>
      </c>
    </row>
    <row r="20" spans="1:2" x14ac:dyDescent="0.25">
      <c r="A20" t="s">
        <v>68</v>
      </c>
      <c r="B20">
        <v>16</v>
      </c>
    </row>
    <row r="21" spans="1:2" x14ac:dyDescent="0.25">
      <c r="A21" t="s">
        <v>69</v>
      </c>
      <c r="B21">
        <v>66</v>
      </c>
    </row>
    <row r="22" spans="1:2" x14ac:dyDescent="0.25">
      <c r="A22" t="s">
        <v>70</v>
      </c>
      <c r="B22">
        <v>120</v>
      </c>
    </row>
    <row r="23" spans="1:2" x14ac:dyDescent="0.25">
      <c r="A23" t="s">
        <v>72</v>
      </c>
      <c r="B23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2026-08-04T16:36:20Z</dcterms:created>
  <dcterms:modified xsi:type="dcterms:W3CDTF">2026-08-06T08:21:57Z</dcterms:modified>
</cp:coreProperties>
</file>