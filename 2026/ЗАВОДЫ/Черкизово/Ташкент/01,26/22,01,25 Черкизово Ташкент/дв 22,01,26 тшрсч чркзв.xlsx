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"/>
    </mc:Choice>
  </mc:AlternateContent>
  <xr:revisionPtr revIDLastSave="0" documentId="13_ncr:1_{A0AAC989-AE67-469C-913C-936A5C07E5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Sheet!$A$3:$AE$43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6" i="1"/>
  <c r="P7" i="1" l="1"/>
  <c r="P8" i="1"/>
  <c r="Q8" i="1" s="1"/>
  <c r="P9" i="1"/>
  <c r="Q9" i="1" s="1"/>
  <c r="P10" i="1"/>
  <c r="Q10" i="1" s="1"/>
  <c r="P11" i="1"/>
  <c r="P12" i="1"/>
  <c r="Q12" i="1" s="1"/>
  <c r="P13" i="1"/>
  <c r="P14" i="1"/>
  <c r="Q14" i="1" s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6" i="1"/>
  <c r="U28" i="1" l="1"/>
  <c r="U26" i="1"/>
  <c r="U21" i="1"/>
  <c r="U17" i="1"/>
  <c r="U6" i="1"/>
  <c r="T6" i="1"/>
  <c r="T42" i="1"/>
  <c r="U42" i="1"/>
  <c r="T40" i="1"/>
  <c r="U40" i="1"/>
  <c r="T38" i="1"/>
  <c r="U38" i="1"/>
  <c r="T36" i="1"/>
  <c r="U36" i="1"/>
  <c r="T34" i="1"/>
  <c r="U34" i="1"/>
  <c r="U32" i="1"/>
  <c r="T32" i="1"/>
  <c r="T30" i="1"/>
  <c r="U30" i="1"/>
  <c r="U24" i="1"/>
  <c r="T24" i="1"/>
  <c r="T22" i="1"/>
  <c r="U22" i="1"/>
  <c r="T20" i="1"/>
  <c r="U20" i="1"/>
  <c r="T18" i="1"/>
  <c r="U18" i="1"/>
  <c r="U16" i="1"/>
  <c r="T16" i="1"/>
  <c r="T14" i="1"/>
  <c r="U14" i="1"/>
  <c r="T12" i="1"/>
  <c r="U12" i="1"/>
  <c r="T10" i="1"/>
  <c r="U10" i="1"/>
  <c r="T8" i="1"/>
  <c r="U8" i="1"/>
  <c r="U43" i="1"/>
  <c r="T43" i="1"/>
  <c r="U41" i="1"/>
  <c r="T41" i="1"/>
  <c r="T39" i="1"/>
  <c r="U39" i="1"/>
  <c r="T37" i="1"/>
  <c r="U37" i="1"/>
  <c r="T35" i="1"/>
  <c r="U35" i="1"/>
  <c r="T33" i="1"/>
  <c r="U33" i="1"/>
  <c r="T31" i="1"/>
  <c r="U31" i="1"/>
  <c r="T29" i="1"/>
  <c r="U29" i="1"/>
  <c r="T27" i="1"/>
  <c r="U27" i="1"/>
  <c r="T25" i="1"/>
  <c r="U25" i="1"/>
  <c r="T23" i="1"/>
  <c r="U23" i="1"/>
  <c r="T19" i="1"/>
  <c r="U19" i="1"/>
  <c r="T15" i="1"/>
  <c r="U15" i="1"/>
  <c r="T13" i="1"/>
  <c r="U13" i="1"/>
  <c r="T11" i="1"/>
  <c r="U11" i="1"/>
  <c r="T9" i="1"/>
  <c r="U9" i="1"/>
  <c r="T7" i="1"/>
  <c r="U7" i="1"/>
  <c r="AE30" i="1"/>
  <c r="T28" i="1"/>
  <c r="T26" i="1"/>
  <c r="T21" i="1"/>
  <c r="T17" i="1"/>
  <c r="AE39" i="1" l="1"/>
  <c r="AE38" i="1"/>
  <c r="AE37" i="1"/>
  <c r="AE36" i="1"/>
  <c r="AE34" i="1"/>
  <c r="AE28" i="1"/>
  <c r="AE27" i="1"/>
  <c r="AE21" i="1"/>
  <c r="AE17" i="1"/>
  <c r="AE13" i="1"/>
  <c r="V39" i="1" l="1"/>
  <c r="L39" i="1"/>
  <c r="V38" i="1"/>
  <c r="L38" i="1"/>
  <c r="V37" i="1"/>
  <c r="L37" i="1"/>
  <c r="V36" i="1"/>
  <c r="L36" i="1"/>
  <c r="V43" i="1"/>
  <c r="L43" i="1"/>
  <c r="V42" i="1"/>
  <c r="L42" i="1"/>
  <c r="V41" i="1"/>
  <c r="L41" i="1"/>
  <c r="V40" i="1"/>
  <c r="L40" i="1"/>
  <c r="AE35" i="1"/>
  <c r="V35" i="1"/>
  <c r="L35" i="1"/>
  <c r="V34" i="1"/>
  <c r="L34" i="1"/>
  <c r="AE33" i="1"/>
  <c r="V33" i="1"/>
  <c r="L33" i="1"/>
  <c r="V32" i="1"/>
  <c r="L32" i="1"/>
  <c r="AE31" i="1"/>
  <c r="V31" i="1"/>
  <c r="L31" i="1"/>
  <c r="V30" i="1"/>
  <c r="L30" i="1"/>
  <c r="AE29" i="1"/>
  <c r="V29" i="1"/>
  <c r="L29" i="1"/>
  <c r="V28" i="1"/>
  <c r="L28" i="1"/>
  <c r="V27" i="1"/>
  <c r="L27" i="1"/>
  <c r="AE26" i="1"/>
  <c r="V26" i="1"/>
  <c r="L26" i="1"/>
  <c r="V25" i="1"/>
  <c r="L25" i="1"/>
  <c r="V24" i="1"/>
  <c r="L24" i="1"/>
  <c r="V23" i="1"/>
  <c r="L23" i="1"/>
  <c r="V22" i="1"/>
  <c r="L22" i="1"/>
  <c r="V21" i="1"/>
  <c r="L21" i="1"/>
  <c r="AE20" i="1"/>
  <c r="V20" i="1"/>
  <c r="L20" i="1"/>
  <c r="AE19" i="1"/>
  <c r="V19" i="1"/>
  <c r="L19" i="1"/>
  <c r="AE18" i="1"/>
  <c r="V18" i="1"/>
  <c r="L18" i="1"/>
  <c r="V17" i="1"/>
  <c r="L17" i="1"/>
  <c r="AE16" i="1"/>
  <c r="V16" i="1"/>
  <c r="L16" i="1"/>
  <c r="V15" i="1"/>
  <c r="L15" i="1"/>
  <c r="AE14" i="1"/>
  <c r="V14" i="1"/>
  <c r="L14" i="1"/>
  <c r="V13" i="1"/>
  <c r="L13" i="1"/>
  <c r="AE12" i="1"/>
  <c r="V12" i="1"/>
  <c r="L12" i="1"/>
  <c r="V11" i="1"/>
  <c r="L11" i="1"/>
  <c r="AE10" i="1"/>
  <c r="V10" i="1"/>
  <c r="L10" i="1"/>
  <c r="AE9" i="1"/>
  <c r="V9" i="1"/>
  <c r="L9" i="1"/>
  <c r="AE8" i="1"/>
  <c r="V8" i="1"/>
  <c r="L8" i="1"/>
  <c r="AE7" i="1"/>
  <c r="V7" i="1"/>
  <c r="L7" i="1"/>
  <c r="AE6" i="1"/>
  <c r="V6" i="1"/>
  <c r="L6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F5" i="1"/>
  <c r="E5" i="1"/>
  <c r="L5" i="1" l="1"/>
  <c r="AE5" i="1"/>
  <c r="V5" i="1"/>
</calcChain>
</file>

<file path=xl/sharedStrings.xml><?xml version="1.0" encoding="utf-8"?>
<sst xmlns="http://schemas.openxmlformats.org/spreadsheetml/2006/main" count="150" uniqueCount="80">
  <si>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</si>
  <si>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</si>
  <si>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</si>
  <si>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</si>
  <si>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</si>
  <si>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</si>
  <si>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</si>
  <si>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</si>
  <si>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</si>
  <si>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</si>
  <si>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</si>
  <si>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</si>
  <si>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</si>
  <si>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</si>
  <si>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</si>
  <si>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</si>
  <si>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</si>
  <si>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</si>
  <si>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</si>
  <si>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</si>
  <si>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</si>
  <si>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</si>
  <si>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</si>
  <si>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</si>
  <si>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25,12,</t>
  </si>
  <si>
    <t>22,01,</t>
  </si>
  <si>
    <t>15,01,</t>
  </si>
  <si>
    <t>18,12,</t>
  </si>
  <si>
    <t>11,12,</t>
  </si>
  <si>
    <t>04,12,</t>
  </si>
  <si>
    <t>27,11,</t>
  </si>
  <si>
    <t>20,11,</t>
  </si>
  <si>
    <t>13,11,</t>
  </si>
  <si>
    <t>ВАР АРОМАТНАЯ ПО-Ч ЦО ЗА 1.6КГ K3.2 ЧЕРКИЗОВО</t>
  </si>
  <si>
    <t>кг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</si>
  <si>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</si>
  <si>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</si>
  <si>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</si>
  <si>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шт</t>
  </si>
  <si>
    <t>ВЕТЧ МРАМОРНАЯ ПО-ЧЕРКИЗОВСКИ ШТ 0,4 КГ  ЧЕРКИЗОВО</t>
  </si>
  <si>
    <t>ВК БАЛЫКОВАЯ ПО-ЧЕРКИЗ СРЕЗ ШТ0,3 К1,8  ЧЕРКИЗОВО</t>
  </si>
  <si>
    <t>11,08,25 завод не отгрузил / 28,07,25 завод не отгрузил</t>
  </si>
  <si>
    <t>ВК СЕРВ ГОСТ СРЕЗ ФИБ ВУ ШТ 0.5КГ К2  ЧЕРКИЗОВО</t>
  </si>
  <si>
    <t>ВК СЕРВЕЛАТ ЗЕРНИСНЫЙ СРЕЗ ФИБ ВУ ШТ 0.3КГ К1.8  ЧЕРКИЗОВО</t>
  </si>
  <si>
    <t>новинка</t>
  </si>
  <si>
    <t>новинка / нет в бланке</t>
  </si>
  <si>
    <t>КОПЧ БЕКОН НАР ВУ ШТ 0.18КГ К1.8  ЧЕРКИЗОВО</t>
  </si>
  <si>
    <t>КОПЧ ГРУДИНКА ПО-ЧЕРК ВУ ШТ 0.3КГ К1.8  ЧЕРКИЗОВО</t>
  </si>
  <si>
    <t>Клб ПолуКпч Чесн/ТСБ/ТУ/охл/-/гк380т</t>
  </si>
  <si>
    <t>СК АССОРТИ СЕРВЕЛЕТТИ И ПРОШУТТО НАР ФИБ ЗА ШТ 0.085КГ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</si>
  <si>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</si>
  <si>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</si>
  <si>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</si>
  <si>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КЛАССИКО ИТАЛИАНО НАР ФИБ ЗА ШТ 0.085КГ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</si>
  <si>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</si>
  <si>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</si>
  <si>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</si>
  <si>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</si>
  <si>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</si>
  <si>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 АСТОРИЯ СРЕЗ ФИБ ВУ ШТ 0.225КГ К1.35  ЧЕРКИЗОВО</t>
  </si>
  <si>
    <t>СК СВИНАЯ ПО-ЧЕРКИЗОВСКИ СРЕЗ ФИБ ВУ ШТ 0.225КГ К1.35  ЧЕРКИЗОВО</t>
  </si>
  <si>
    <t>СК СЕРВЕЛЕТТИ ПРЕСС СРЕЗ БО ВУ ШТ 0.25КГ  ЧЕРКИЗОВО</t>
  </si>
  <si>
    <t>СОС ВЕНСКИЕ БО ЗА ПАК 1.25КГ K5 ЧЕРКИЗОВО</t>
  </si>
  <si>
    <t>СОС КОПЧ ПО-Ч ЛОТ ПМО ЗА ШТ 0.4КГ K1.6  ЧЕРКИЗОВО</t>
  </si>
  <si>
    <t>СОС МОЛОЧНЫЕ ПО-Ч ПМО ЗА ЛОТ ШТ 0.45КГ K1.8 ЧЕРКИЗОВО</t>
  </si>
  <si>
    <t>СОС СЛИВОЧНЫЕ ГОСТ ЦО ЗА ЛОТ ШТ 0.45КГ K1.8 ЧЕРКИЗОВО</t>
  </si>
  <si>
    <t>СОС СЛИВОЧНЫЕ ПО-ЧЕРКИЗОВСКИ ПМО ЗА ПАК 1.5КГ К6  ЧЕРКИЗОВО</t>
  </si>
  <si>
    <t>Сосиски Мусульм/ЛТФ/ТУ/охл/TF/гк254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</si>
  <si>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</si>
  <si>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</si>
  <si>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</si>
  <si>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</si>
  <si>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</si>
  <si>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ЦБ/Колбаса/-/Мусульм с говядиной/Лтф/ТУ/охл/-/6шт/-/шт 0.4/гк329  ЧЕРКИЗОВО</t>
  </si>
  <si>
    <t>ЦБ/Колбаса/-/ПолуКпч с Говяд/ЛТФ/ТУ/охл/-/6шт/1шп/шт 0.4/гк329  ЧЕРКИЗОВО</t>
  </si>
  <si>
    <t>ЦБ/Колбаса/ЭКС СЕРВЕЛАТ С ГОВЯДИНОЙ/Лтф/-/охл/-/6шт/-/шт 0.4/гк329  ЧЕРКИЗОВО</t>
  </si>
  <si>
    <t>ЦБ/РУЛЕТ/-/НЕЖНЫЙ/ИВ/-/ОХЛ/-/6шт/-/0,4/гк329  ЧЕРКИЗОВО</t>
  </si>
  <si>
    <t>заблокировано на 2026</t>
  </si>
  <si>
    <t/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</si>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</sst>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164" fontId="4" fillId="0" borderId="1" xfId="1" applyNumberFormat="1" applyFont="1"/>
    <xf numFmtId="164" fontId="4" fillId="0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164" fontId="1" fillId="5" borderId="2" xfId="1" applyNumberFormat="1" applyFill="1" applyBorder="1"/>
    <xf numFmtId="164" fontId="5" fillId="5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5" borderId="1" xfId="1" applyNumberFormat="1" applyFill="1"/>
    <xf numFmtId="165" fontId="0" fillId="0" borderId="0" xfId="0" applyNumberFormat="1" applyBorder="1"/>
    <xf numFmtId="164" fontId="1" fillId="6" borderId="1" xfId="1" applyNumberFormat="1" applyFill="1"/>
    <xf numFmtId="165" fontId="1" fillId="6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25,12,25%20&#1090;&#1096;&#1088;&#1089;&#1095;%20&#1095;&#1088;&#1082;&#1079;&#1074;%20&#1076;&#1072;&#1085;&#1085;&#1099;&#1077;%20&#1086;&#1090;%20&#1064;&#1091;&#1074;&#1072;&#1083;&#1086;&#1074;&#1086;&#108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09,01,26-15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заказ"/>
    </sheetNames>
    <sheetDataSet>
      <sheetData sheetId="0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</v>
          </cell>
        </row>
        <row r="4">
          <cell r="O4" t="str">
            <v>25,12,</v>
          </cell>
          <cell r="P4" t="str">
            <v>25,12,</v>
          </cell>
          <cell r="R4" t="str">
            <v>12,01,</v>
          </cell>
        </row>
        <row r="5">
          <cell r="K5">
            <v>0</v>
          </cell>
          <cell r="L5">
            <v>5659.268</v>
          </cell>
          <cell r="M5">
            <v>0</v>
          </cell>
          <cell r="N5">
            <v>0</v>
          </cell>
          <cell r="O5">
            <v>3521</v>
          </cell>
          <cell r="P5">
            <v>1131.8536000000001</v>
          </cell>
          <cell r="Q5">
            <v>12593.497200000002</v>
          </cell>
          <cell r="R5">
            <v>8935</v>
          </cell>
        </row>
        <row r="6">
          <cell r="I6" t="str">
            <v>бонус</v>
          </cell>
          <cell r="J6" t="str">
            <v>ВАР МОЛОЧНАЯ ПО-Ч НМО 1 КГ К3  ЧЕРКИЗОВО</v>
          </cell>
          <cell r="L6">
            <v>23.776</v>
          </cell>
          <cell r="P6">
            <v>4.7552000000000003</v>
          </cell>
          <cell r="R6">
            <v>0</v>
          </cell>
        </row>
        <row r="7">
          <cell r="I7" t="str">
            <v>бонус</v>
          </cell>
          <cell r="J7" t="str">
            <v>ВЕТЧ МРАМОРНАЯ ПО-ЧЕРКИЗОВСКИ ШТ 0,4 КГ  ЧЕРКИЗОВО</v>
          </cell>
          <cell r="L7">
            <v>6</v>
          </cell>
          <cell r="P7">
            <v>1.2</v>
          </cell>
          <cell r="R7">
            <v>0</v>
          </cell>
        </row>
        <row r="8">
          <cell r="I8" t="str">
            <v>бонус</v>
          </cell>
          <cell r="J8" t="str">
            <v>КОПЧ БЕКОН НАР ВУ ШТ 0.18КГ К1.8  ЧЕРКИЗОВО</v>
          </cell>
          <cell r="L8">
            <v>31</v>
          </cell>
          <cell r="P8">
            <v>6.2</v>
          </cell>
          <cell r="R8">
            <v>0</v>
          </cell>
        </row>
        <row r="9">
          <cell r="I9" t="str">
            <v>бонус</v>
          </cell>
          <cell r="J9" t="str">
            <v>СК БОРОДИНСКАЯ СРЕЗ ФИБ ВУ 0.3КГ ШТ К3.6  ЧЕРКИЗОВО</v>
          </cell>
          <cell r="L9">
            <v>12</v>
          </cell>
          <cell r="P9">
            <v>2.4</v>
          </cell>
          <cell r="R9">
            <v>0</v>
          </cell>
        </row>
        <row r="10">
          <cell r="I10" t="str">
            <v>бонус</v>
          </cell>
          <cell r="J10" t="str">
            <v>СОС КОПЧ ПО-Ч ЛОТ ПМО ЗА ШТ 0.4КГ K1.6  ЧЕРКИЗОВО</v>
          </cell>
          <cell r="L10">
            <v>21</v>
          </cell>
          <cell r="P10">
            <v>4.2</v>
          </cell>
          <cell r="R10">
            <v>0</v>
          </cell>
        </row>
        <row r="11">
          <cell r="I11">
            <v>1030112235</v>
          </cell>
          <cell r="L11">
            <v>96.123000000000005</v>
          </cell>
          <cell r="O11">
            <v>3</v>
          </cell>
          <cell r="P11">
            <v>19.224600000000002</v>
          </cell>
          <cell r="Q11">
            <v>247.11080000000004</v>
          </cell>
          <cell r="R11">
            <v>130</v>
          </cell>
        </row>
        <row r="12">
          <cell r="I12">
            <v>1030112635</v>
          </cell>
          <cell r="L12">
            <v>158.93899999999999</v>
          </cell>
          <cell r="O12">
            <v>3</v>
          </cell>
          <cell r="P12">
            <v>31.787799999999997</v>
          </cell>
          <cell r="Q12">
            <v>406.21639999999996</v>
          </cell>
          <cell r="R12">
            <v>160</v>
          </cell>
        </row>
        <row r="13">
          <cell r="I13">
            <v>1030115552</v>
          </cell>
          <cell r="L13">
            <v>242.53300000000002</v>
          </cell>
          <cell r="O13">
            <v>300</v>
          </cell>
          <cell r="P13">
            <v>48.506600000000006</v>
          </cell>
          <cell r="Q13">
            <v>646.17000000000007</v>
          </cell>
          <cell r="R13">
            <v>250</v>
          </cell>
        </row>
        <row r="14">
          <cell r="I14">
            <v>1030115404</v>
          </cell>
          <cell r="L14">
            <v>496</v>
          </cell>
          <cell r="O14">
            <v>400</v>
          </cell>
          <cell r="P14">
            <v>99.2</v>
          </cell>
          <cell r="Q14">
            <v>1289.4000000000001</v>
          </cell>
          <cell r="R14">
            <v>600</v>
          </cell>
        </row>
        <row r="15">
          <cell r="I15">
            <v>1030804004</v>
          </cell>
          <cell r="L15">
            <v>55</v>
          </cell>
          <cell r="O15">
            <v>200</v>
          </cell>
          <cell r="P15">
            <v>11</v>
          </cell>
          <cell r="Q15">
            <v>63</v>
          </cell>
          <cell r="R15">
            <v>300</v>
          </cell>
        </row>
        <row r="16">
          <cell r="I16">
            <v>1030419235</v>
          </cell>
          <cell r="L16">
            <v>110</v>
          </cell>
          <cell r="O16">
            <v>0</v>
          </cell>
          <cell r="P16">
            <v>22</v>
          </cell>
          <cell r="R16">
            <v>0</v>
          </cell>
        </row>
        <row r="17">
          <cell r="I17">
            <v>1030412236</v>
          </cell>
          <cell r="L17">
            <v>254</v>
          </cell>
          <cell r="O17">
            <v>150</v>
          </cell>
          <cell r="P17">
            <v>50.8</v>
          </cell>
          <cell r="Q17">
            <v>662.8</v>
          </cell>
          <cell r="R17">
            <v>250</v>
          </cell>
        </row>
        <row r="18">
          <cell r="I18">
            <v>1030419435</v>
          </cell>
          <cell r="L18">
            <v>0</v>
          </cell>
          <cell r="O18">
            <v>60</v>
          </cell>
          <cell r="P18">
            <v>0</v>
          </cell>
          <cell r="R18">
            <v>250</v>
          </cell>
        </row>
        <row r="19">
          <cell r="I19">
            <v>1030503997</v>
          </cell>
          <cell r="L19">
            <v>0</v>
          </cell>
          <cell r="O19">
            <v>10</v>
          </cell>
          <cell r="P19">
            <v>0</v>
          </cell>
          <cell r="R19">
            <v>180</v>
          </cell>
        </row>
        <row r="20">
          <cell r="I20">
            <v>1030712385</v>
          </cell>
          <cell r="L20">
            <v>751</v>
          </cell>
          <cell r="O20">
            <v>400</v>
          </cell>
          <cell r="P20">
            <v>150.19999999999999</v>
          </cell>
          <cell r="Q20">
            <v>1998.1999999999998</v>
          </cell>
          <cell r="R20">
            <v>800</v>
          </cell>
        </row>
        <row r="21">
          <cell r="I21">
            <v>1030709904</v>
          </cell>
          <cell r="L21">
            <v>0</v>
          </cell>
          <cell r="O21">
            <v>0</v>
          </cell>
          <cell r="P21">
            <v>0</v>
          </cell>
          <cell r="R21">
            <v>0</v>
          </cell>
        </row>
        <row r="22">
          <cell r="I22">
            <v>1030518197</v>
          </cell>
          <cell r="L22">
            <v>0</v>
          </cell>
          <cell r="O22">
            <v>40</v>
          </cell>
          <cell r="P22">
            <v>0</v>
          </cell>
          <cell r="R22">
            <v>200</v>
          </cell>
        </row>
        <row r="23">
          <cell r="I23">
            <v>1030517871</v>
          </cell>
          <cell r="L23">
            <v>0</v>
          </cell>
          <cell r="O23">
            <v>40</v>
          </cell>
          <cell r="P23">
            <v>0</v>
          </cell>
          <cell r="R23">
            <v>0</v>
          </cell>
        </row>
        <row r="24">
          <cell r="I24">
            <v>1030129697</v>
          </cell>
          <cell r="L24">
            <v>0</v>
          </cell>
          <cell r="O24">
            <v>40</v>
          </cell>
          <cell r="P24">
            <v>0</v>
          </cell>
          <cell r="R24">
            <v>200</v>
          </cell>
        </row>
        <row r="25">
          <cell r="I25">
            <v>1030680328</v>
          </cell>
          <cell r="L25">
            <v>0</v>
          </cell>
          <cell r="O25">
            <v>50</v>
          </cell>
          <cell r="P25">
            <v>0</v>
          </cell>
          <cell r="R25">
            <v>200</v>
          </cell>
        </row>
        <row r="26">
          <cell r="I26">
            <v>1030686740</v>
          </cell>
          <cell r="L26">
            <v>606</v>
          </cell>
          <cell r="O26">
            <v>500</v>
          </cell>
          <cell r="P26">
            <v>121.2</v>
          </cell>
          <cell r="Q26">
            <v>1559.4</v>
          </cell>
          <cell r="R26">
            <v>900</v>
          </cell>
        </row>
        <row r="27">
          <cell r="I27">
            <v>1030686857</v>
          </cell>
          <cell r="L27">
            <v>427</v>
          </cell>
          <cell r="O27">
            <v>400</v>
          </cell>
          <cell r="P27">
            <v>85.4</v>
          </cell>
          <cell r="Q27">
            <v>1067.8000000000002</v>
          </cell>
          <cell r="R27">
            <v>800</v>
          </cell>
        </row>
        <row r="28">
          <cell r="I28">
            <v>1030654104</v>
          </cell>
          <cell r="L28">
            <v>272</v>
          </cell>
          <cell r="O28">
            <v>120</v>
          </cell>
          <cell r="P28">
            <v>54.4</v>
          </cell>
          <cell r="Q28">
            <v>733.4</v>
          </cell>
          <cell r="R28">
            <v>600</v>
          </cell>
        </row>
        <row r="29">
          <cell r="I29">
            <v>1030683928</v>
          </cell>
          <cell r="L29">
            <v>0</v>
          </cell>
          <cell r="O29">
            <v>50</v>
          </cell>
          <cell r="P29">
            <v>0</v>
          </cell>
          <cell r="R29">
            <v>200</v>
          </cell>
        </row>
        <row r="30">
          <cell r="I30">
            <v>1030686241</v>
          </cell>
          <cell r="L30">
            <v>171</v>
          </cell>
          <cell r="O30">
            <v>0</v>
          </cell>
          <cell r="P30">
            <v>34.200000000000003</v>
          </cell>
          <cell r="Q30">
            <v>446.6</v>
          </cell>
          <cell r="R30">
            <v>0</v>
          </cell>
        </row>
        <row r="31">
          <cell r="I31">
            <v>1030650028</v>
          </cell>
          <cell r="L31">
            <v>196</v>
          </cell>
          <cell r="O31">
            <v>0</v>
          </cell>
          <cell r="P31">
            <v>39.200000000000003</v>
          </cell>
          <cell r="Q31">
            <v>525.6</v>
          </cell>
          <cell r="R31">
            <v>0</v>
          </cell>
        </row>
        <row r="32">
          <cell r="I32">
            <v>1030657419</v>
          </cell>
          <cell r="L32">
            <v>139</v>
          </cell>
          <cell r="O32">
            <v>0</v>
          </cell>
          <cell r="P32">
            <v>27.8</v>
          </cell>
          <cell r="R32">
            <v>0</v>
          </cell>
        </row>
        <row r="33">
          <cell r="I33">
            <v>1030657628</v>
          </cell>
          <cell r="L33">
            <v>181</v>
          </cell>
          <cell r="O33">
            <v>0</v>
          </cell>
          <cell r="P33">
            <v>36.200000000000003</v>
          </cell>
          <cell r="R33">
            <v>0</v>
          </cell>
        </row>
        <row r="34">
          <cell r="I34">
            <v>1030679319</v>
          </cell>
          <cell r="L34">
            <v>47</v>
          </cell>
          <cell r="O34">
            <v>250</v>
          </cell>
          <cell r="P34">
            <v>9.4</v>
          </cell>
          <cell r="R34">
            <v>400</v>
          </cell>
        </row>
        <row r="35">
          <cell r="I35">
            <v>1030671534</v>
          </cell>
          <cell r="L35">
            <v>0</v>
          </cell>
          <cell r="O35">
            <v>120</v>
          </cell>
          <cell r="P35">
            <v>0</v>
          </cell>
          <cell r="R35">
            <v>300</v>
          </cell>
        </row>
        <row r="36">
          <cell r="I36">
            <v>1030688634</v>
          </cell>
          <cell r="L36">
            <v>0</v>
          </cell>
          <cell r="O36">
            <v>80</v>
          </cell>
          <cell r="P36">
            <v>0</v>
          </cell>
          <cell r="R36">
            <v>300</v>
          </cell>
        </row>
        <row r="37">
          <cell r="I37">
            <v>1030670803</v>
          </cell>
          <cell r="L37">
            <v>555</v>
          </cell>
          <cell r="O37">
            <v>200</v>
          </cell>
          <cell r="P37">
            <v>111</v>
          </cell>
          <cell r="Q37">
            <v>1459</v>
          </cell>
          <cell r="R37">
            <v>800</v>
          </cell>
        </row>
        <row r="38">
          <cell r="I38">
            <v>1030228316</v>
          </cell>
          <cell r="L38">
            <v>65.968999999999994</v>
          </cell>
          <cell r="O38">
            <v>5</v>
          </cell>
          <cell r="P38">
            <v>13.1938</v>
          </cell>
          <cell r="R38">
            <v>80</v>
          </cell>
        </row>
        <row r="39">
          <cell r="I39">
            <v>1030234120</v>
          </cell>
          <cell r="L39">
            <v>362</v>
          </cell>
          <cell r="O39">
            <v>80</v>
          </cell>
          <cell r="P39">
            <v>72.400000000000006</v>
          </cell>
          <cell r="Q39">
            <v>974</v>
          </cell>
          <cell r="R39">
            <v>500</v>
          </cell>
        </row>
        <row r="40">
          <cell r="I40">
            <v>1030228620</v>
          </cell>
          <cell r="L40">
            <v>172</v>
          </cell>
          <cell r="O40">
            <v>0</v>
          </cell>
          <cell r="P40">
            <v>34.4</v>
          </cell>
          <cell r="R40">
            <v>0</v>
          </cell>
        </row>
        <row r="41">
          <cell r="I41">
            <v>1030228855</v>
          </cell>
          <cell r="L41">
            <v>0</v>
          </cell>
          <cell r="O41">
            <v>6</v>
          </cell>
          <cell r="P41">
            <v>0</v>
          </cell>
          <cell r="R41">
            <v>105</v>
          </cell>
        </row>
        <row r="42">
          <cell r="I42">
            <v>1030212603</v>
          </cell>
          <cell r="L42">
            <v>198</v>
          </cell>
          <cell r="O42">
            <v>4</v>
          </cell>
          <cell r="P42">
            <v>39.6</v>
          </cell>
          <cell r="Q42">
            <v>514.80000000000007</v>
          </cell>
          <cell r="R42">
            <v>250</v>
          </cell>
        </row>
        <row r="43">
          <cell r="I43">
            <v>1030236957</v>
          </cell>
          <cell r="L43">
            <v>0</v>
          </cell>
          <cell r="O43">
            <v>5</v>
          </cell>
          <cell r="P43">
            <v>0</v>
          </cell>
          <cell r="R43">
            <v>80</v>
          </cell>
        </row>
        <row r="44">
          <cell r="I44" t="str">
            <v>уценка</v>
          </cell>
          <cell r="L44">
            <v>0</v>
          </cell>
          <cell r="P44">
            <v>0</v>
          </cell>
          <cell r="R44">
            <v>0</v>
          </cell>
        </row>
        <row r="45">
          <cell r="I45" t="str">
            <v>уценка</v>
          </cell>
          <cell r="L45">
            <v>9.9280000000000008</v>
          </cell>
          <cell r="P45">
            <v>1.9856000000000003</v>
          </cell>
          <cell r="R45">
            <v>0</v>
          </cell>
        </row>
        <row r="46">
          <cell r="I46" t="str">
            <v>уценка</v>
          </cell>
          <cell r="L46">
            <v>0</v>
          </cell>
          <cell r="P46">
            <v>0</v>
          </cell>
          <cell r="R46">
            <v>0</v>
          </cell>
        </row>
        <row r="47">
          <cell r="I47" t="str">
            <v>уценка</v>
          </cell>
          <cell r="L47">
            <v>0</v>
          </cell>
          <cell r="P47">
            <v>0</v>
          </cell>
          <cell r="R47">
            <v>0</v>
          </cell>
        </row>
        <row r="48">
          <cell r="I48">
            <v>1030707697</v>
          </cell>
          <cell r="L48">
            <v>0</v>
          </cell>
          <cell r="O48">
            <v>5</v>
          </cell>
          <cell r="P48">
            <v>0</v>
          </cell>
          <cell r="R48">
            <v>100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09.01.2026 - 15.01.2026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09.01.26</v>
          </cell>
          <cell r="E6" t="str">
            <v>10.01.26</v>
          </cell>
          <cell r="F6" t="str">
            <v>11.01.26</v>
          </cell>
        </row>
        <row r="8">
          <cell r="A8" t="str">
            <v>2074-Сосиски Молочные для завтрака Особый рецепт</v>
          </cell>
          <cell r="C8">
            <v>919.12400000000002</v>
          </cell>
          <cell r="D8">
            <v>191.09700000000001</v>
          </cell>
          <cell r="E8">
            <v>115.557</v>
          </cell>
        </row>
        <row r="9">
          <cell r="A9" t="str">
            <v>1721-Сосиски Вязанка Сливочные ТМ Стародворские колбасы</v>
          </cell>
          <cell r="C9">
            <v>453.62799999999999</v>
          </cell>
          <cell r="D9">
            <v>84.06</v>
          </cell>
          <cell r="E9">
            <v>13.199</v>
          </cell>
        </row>
        <row r="10">
          <cell r="A10" t="str">
            <v>7187 ГРУДИНКА ПРЕМИУМ к/в мл/к в/у 0.3кг_50с  ОСТАНКИНО</v>
          </cell>
          <cell r="C10">
            <v>972</v>
          </cell>
          <cell r="D10">
            <v>244</v>
          </cell>
          <cell r="E10">
            <v>304</v>
          </cell>
        </row>
        <row r="11">
          <cell r="A11" t="str">
            <v>7070 СОЧНЫЕ ПМ сос п/о мгс 1.5*4_А_50с  ОСТАНКИНО</v>
          </cell>
          <cell r="C11">
            <v>380.774</v>
          </cell>
          <cell r="D11">
            <v>94.299000000000007</v>
          </cell>
          <cell r="E11">
            <v>105.197</v>
          </cell>
        </row>
        <row r="12">
          <cell r="A12" t="str">
            <v>1875-Колбаса Филейная оригинальная ТМ Особый рецепт в оболочке полиамид.  ПОКОМ</v>
          </cell>
          <cell r="C12">
            <v>395.63499999999999</v>
          </cell>
          <cell r="D12">
            <v>28.834</v>
          </cell>
          <cell r="E12">
            <v>64.674999999999997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487.60700000000003</v>
          </cell>
          <cell r="D13">
            <v>26.997</v>
          </cell>
          <cell r="E13">
            <v>46.792999999999999</v>
          </cell>
        </row>
        <row r="14">
          <cell r="A14" t="str">
            <v>7058 ШПИКАЧКИ СОЧНЫЕ С БЕКОНОМ п/о мгс 1*3_60с  ОСТАНКИНО</v>
          </cell>
          <cell r="C14">
            <v>288.81900000000002</v>
          </cell>
          <cell r="D14">
            <v>73.554000000000002</v>
          </cell>
          <cell r="E14">
            <v>41.771000000000001</v>
          </cell>
        </row>
        <row r="15">
          <cell r="A15" t="str">
            <v>1867-Колбаса Филейная ТМ Особый рецепт в оболочке полиамид большой батон.  ПОКОМ</v>
          </cell>
          <cell r="C15">
            <v>396.27199999999999</v>
          </cell>
          <cell r="D15">
            <v>103.345</v>
          </cell>
          <cell r="E15">
            <v>47.860999999999997</v>
          </cell>
        </row>
        <row r="16">
          <cell r="A16" t="str">
            <v>0178 Ветчины Нежная Особая Особая Весовые П/а Особый рецепт большой батон  ПОКОМ</v>
          </cell>
          <cell r="C16">
            <v>211.506</v>
          </cell>
          <cell r="D16">
            <v>55.203000000000003</v>
          </cell>
          <cell r="E16">
            <v>9.907</v>
          </cell>
        </row>
        <row r="17">
          <cell r="A17" t="str">
            <v>0222-Ветчины Дугушка Дугушка б/о Стародворье, 1кг</v>
          </cell>
          <cell r="C17">
            <v>205.64500000000001</v>
          </cell>
          <cell r="D17">
            <v>39.450000000000003</v>
          </cell>
          <cell r="E17">
            <v>31.558</v>
          </cell>
        </row>
        <row r="18">
          <cell r="A18" t="str">
            <v>ГРУДИНКА ОХОТНИЧЬЯ порц  ГРОДНО</v>
          </cell>
          <cell r="C18">
            <v>120.242</v>
          </cell>
        </row>
        <row r="19">
          <cell r="A19" t="str">
            <v>1870-Колбаса Со шпиком ТМ Особый рецепт в оболочке полиамид большой батон.  ПОКОМ</v>
          </cell>
          <cell r="C19">
            <v>329.54300000000001</v>
          </cell>
          <cell r="D19">
            <v>52.764000000000003</v>
          </cell>
          <cell r="E19">
            <v>27.69</v>
          </cell>
        </row>
        <row r="20">
          <cell r="A20" t="str">
            <v>6093 САЛЯМИ ИТАЛЬЯНСКАЯ с/к в/у 1/250 8шт_UZ</v>
          </cell>
          <cell r="C20">
            <v>328</v>
          </cell>
          <cell r="D20">
            <v>62</v>
          </cell>
          <cell r="E20">
            <v>41</v>
          </cell>
        </row>
        <row r="21">
          <cell r="A21" t="str">
            <v>СК БОГОРОДСКАЯ ПРЕСС ФИБ ВУ ШТ0.3КГ К3.6  ЧЕРКИЗОВО</v>
          </cell>
          <cell r="C21">
            <v>242</v>
          </cell>
        </row>
        <row r="22">
          <cell r="A22" t="str">
            <v>4087   СЕРВЕЛАТ КОПЧЕНЫЙ НА БУКЕ в/к в/К 0,35</v>
          </cell>
          <cell r="C22">
            <v>413</v>
          </cell>
          <cell r="D22">
            <v>90</v>
          </cell>
          <cell r="E22">
            <v>47</v>
          </cell>
        </row>
        <row r="23">
          <cell r="A23" t="str">
            <v>1120 В/к колбасы Сервелат Запеченный Дугушка Вес Вектор Стародворье, вес 1кг</v>
          </cell>
          <cell r="C23">
            <v>145.422</v>
          </cell>
          <cell r="D23">
            <v>8.1460000000000008</v>
          </cell>
          <cell r="E23">
            <v>14.481999999999999</v>
          </cell>
        </row>
        <row r="24">
          <cell r="A24" t="str">
            <v>1411 Сосиски «Сочинки Сливочные» Весовые ТМ «Стародворье» 1,35 кг  ПОКОМ</v>
          </cell>
          <cell r="C24">
            <v>175.071</v>
          </cell>
          <cell r="D24">
            <v>42.781999999999996</v>
          </cell>
          <cell r="E24">
            <v>57.521999999999998</v>
          </cell>
        </row>
        <row r="25">
          <cell r="A25" t="str">
            <v>Сервелат полусухой с/к ВУ ОХЛ 300гр МИРАТОРГ</v>
          </cell>
          <cell r="C25">
            <v>147</v>
          </cell>
          <cell r="D25">
            <v>8</v>
          </cell>
          <cell r="E25">
            <v>34</v>
          </cell>
        </row>
        <row r="26">
          <cell r="A26" t="str">
            <v>Вареные колбасы Сливушка Вязанка Фикс.вес 0,45 П/а Вязанка  ПОКОМ</v>
          </cell>
          <cell r="C26">
            <v>274</v>
          </cell>
          <cell r="D26">
            <v>-1</v>
          </cell>
          <cell r="E26">
            <v>-2</v>
          </cell>
        </row>
        <row r="27">
          <cell r="A27" t="str">
            <v>1720-Сосиски Вязанка Сливочные ТМ Стародворские колбасы ТС Вязанка амицел в мод газов.среде 0,45кг</v>
          </cell>
          <cell r="C27">
            <v>224</v>
          </cell>
          <cell r="D27">
            <v>65</v>
          </cell>
          <cell r="E27">
            <v>70</v>
          </cell>
        </row>
        <row r="28">
          <cell r="A28" t="str">
            <v>2634 Колбаса Дугушка Стародворская ТМ Стародворье ТС Дугушка  ПОКОМ</v>
          </cell>
          <cell r="C28">
            <v>160.16200000000001</v>
          </cell>
          <cell r="D28">
            <v>51.734999999999999</v>
          </cell>
          <cell r="E28">
            <v>24.539000000000001</v>
          </cell>
        </row>
        <row r="29">
          <cell r="A29" t="str">
            <v>1204 Копченые колбасы Салями Мясорубская с рубленым шпиком Бордо Весовой фиброуз Стародворье  ПОКОМ</v>
          </cell>
          <cell r="C29">
            <v>128.88200000000001</v>
          </cell>
          <cell r="D29">
            <v>18.661000000000001</v>
          </cell>
          <cell r="E29">
            <v>16.466000000000001</v>
          </cell>
        </row>
        <row r="30">
          <cell r="A30" t="str">
            <v>СК БОРОДИНСКАЯ СРЕЗ ФИБ ВУ 0.3КГ ШТ К3.6  ЧЕРКИЗОВО</v>
          </cell>
          <cell r="C30">
            <v>186</v>
          </cell>
        </row>
        <row r="31">
          <cell r="A31" t="str">
            <v>4079 СЕРВЕЛАТ КОПЧЕНЫЙ НА БУКЕ в/к в/у_СНГ</v>
          </cell>
          <cell r="C31">
            <v>119.55800000000001</v>
          </cell>
          <cell r="D31">
            <v>21.707000000000001</v>
          </cell>
          <cell r="E31">
            <v>14.19</v>
          </cell>
        </row>
        <row r="32">
          <cell r="A32" t="str">
            <v>1370-Сосиски Сочинки Бордо Весовой п/а Стародворье</v>
          </cell>
          <cell r="C32">
            <v>157.637</v>
          </cell>
          <cell r="D32">
            <v>47.57</v>
          </cell>
        </row>
        <row r="33">
          <cell r="A33" t="str">
            <v>ВАР МОЛОЧНАЯ ПО-Ч НМО 1 КГ К3  ЧЕРКИЗОВО</v>
          </cell>
          <cell r="C33">
            <v>112.624</v>
          </cell>
        </row>
        <row r="34">
          <cell r="A34" t="str">
            <v>2150 В/к колбасы Рубленая Запеченная Дугушка Весовые Вектор Стародворье, вес 1кг</v>
          </cell>
          <cell r="C34">
            <v>101.015</v>
          </cell>
          <cell r="D34">
            <v>16.803000000000001</v>
          </cell>
          <cell r="E34">
            <v>9.7490000000000006</v>
          </cell>
        </row>
        <row r="35">
          <cell r="A35" t="str">
            <v>7075 МОЛОЧ.ПРЕМИУМ ПМ сос п/о мгс 1.5*4_О_50с  ОСТАНКИНО</v>
          </cell>
          <cell r="C35">
            <v>132.26599999999999</v>
          </cell>
          <cell r="D35">
            <v>47.585999999999999</v>
          </cell>
          <cell r="E35">
            <v>12.622</v>
          </cell>
        </row>
        <row r="36">
          <cell r="A36" t="str">
            <v>ВАР МОЛОЧНАЯ ПО-ЧЕ НМО ШТ 0.4КГ К2.4  ЧЕРКИЗОВО</v>
          </cell>
          <cell r="C36">
            <v>243</v>
          </cell>
          <cell r="E36">
            <v>-1</v>
          </cell>
        </row>
        <row r="37">
          <cell r="A37" t="str">
            <v>СК СЕРВЕЛЕТТИ ПРЕСС СРЕЗ БО ВУ ШТ 0.25КГ  ЧЕРКИЗОВО</v>
          </cell>
          <cell r="C37">
            <v>127</v>
          </cell>
        </row>
        <row r="38">
          <cell r="A38" t="str">
            <v>6787 СЕРВЕЛАТ КРЕМЛЕВСКИЙ в/к в/у 0.33кг 8шт.  ОСТАНКИНО</v>
          </cell>
          <cell r="C38">
            <v>189</v>
          </cell>
          <cell r="D38">
            <v>33</v>
          </cell>
          <cell r="E38">
            <v>52</v>
          </cell>
        </row>
        <row r="39">
          <cell r="A39" t="str">
            <v>5608 СЕРВЕЛАТ ФИНСКИЙ в/к в/у срез 0.35кг_СНГ</v>
          </cell>
          <cell r="C39">
            <v>239</v>
          </cell>
          <cell r="D39">
            <v>87</v>
          </cell>
          <cell r="E39">
            <v>23</v>
          </cell>
        </row>
        <row r="40">
          <cell r="A40" t="str">
            <v>1118 В/к колбасы Салями Запеченая Дугушка  Вектор Стародворье, 1кг</v>
          </cell>
          <cell r="C40">
            <v>79.224000000000004</v>
          </cell>
          <cell r="D40">
            <v>20.86</v>
          </cell>
          <cell r="E40">
            <v>11.342000000000001</v>
          </cell>
        </row>
        <row r="41">
          <cell r="A41" t="str">
            <v>5096   СЕРВЕЛАТ КРЕМЛЕВСКИЙ в/к в/у_СНГ</v>
          </cell>
          <cell r="C41">
            <v>64.305000000000007</v>
          </cell>
          <cell r="D41">
            <v>35.679000000000002</v>
          </cell>
          <cell r="E41">
            <v>4.1989999999999998</v>
          </cell>
        </row>
        <row r="42">
          <cell r="A42" t="str">
            <v>1523-Сосиски Вязанка Молочные ТМ Стародворские колбасы</v>
          </cell>
          <cell r="C42">
            <v>87.531999999999996</v>
          </cell>
          <cell r="D42">
            <v>9.6050000000000004</v>
          </cell>
        </row>
        <row r="43">
          <cell r="A43" t="str">
            <v>КОЛБАСА ОРИГИНАЛЬНАЯ РУБЛЕВСКАЯ с/в  ГРОДНО</v>
          </cell>
          <cell r="C43">
            <v>41.01</v>
          </cell>
        </row>
        <row r="44">
          <cell r="A44" t="str">
            <v>1205 Копченые колбасы Салями Мясорубская с рубленым шпиком срез Бордо ф/в 0,35 фиброуз Стародворье  ПОКОМ</v>
          </cell>
          <cell r="C44">
            <v>232</v>
          </cell>
          <cell r="D44">
            <v>60</v>
          </cell>
          <cell r="E44">
            <v>28</v>
          </cell>
        </row>
        <row r="45">
          <cell r="A45" t="str">
            <v>КОЛБАСА ОРИГИНАЛЬНАЯ МИНСКАЯ с/к  ГРОДНО</v>
          </cell>
          <cell r="C45">
            <v>40.502000000000002</v>
          </cell>
        </row>
        <row r="46">
          <cell r="A46" t="str">
            <v>1202 В/к колбасы Сервелат Мясорубский с мелкорубленным окороком срез Бордо Фикс.вес 0,35 фиброуз Ста</v>
          </cell>
          <cell r="C46">
            <v>230</v>
          </cell>
          <cell r="D46">
            <v>60</v>
          </cell>
          <cell r="E46">
            <v>25</v>
          </cell>
        </row>
        <row r="47">
          <cell r="A47" t="str">
            <v>6092 АРОМАТНАЯ с/к в/у 1/250 8шт_UZ</v>
          </cell>
          <cell r="C47">
            <v>152</v>
          </cell>
          <cell r="D47">
            <v>48</v>
          </cell>
          <cell r="E47">
            <v>25</v>
          </cell>
        </row>
        <row r="48">
          <cell r="A48" t="str">
            <v>6095 ЮБИЛЕЙНАЯ с/к в/у 1/250 8шт_UZ</v>
          </cell>
          <cell r="C48">
            <v>151</v>
          </cell>
          <cell r="D48">
            <v>28</v>
          </cell>
          <cell r="E48">
            <v>28</v>
          </cell>
        </row>
        <row r="49">
          <cell r="A49" t="str">
            <v>6094 ЮБИЛЕЙНАЯ с/к в/у_UZ</v>
          </cell>
          <cell r="C49">
            <v>37.561999999999998</v>
          </cell>
          <cell r="D49">
            <v>6.3570000000000002</v>
          </cell>
          <cell r="E49">
            <v>5.827</v>
          </cell>
        </row>
        <row r="50">
          <cell r="A50" t="str">
            <v>КОПЧ БЕКОН НАР ВУ ШТ 0.18КГ К1.8  ЧЕРКИЗОВО</v>
          </cell>
          <cell r="C50">
            <v>148</v>
          </cell>
          <cell r="D50">
            <v>-6</v>
          </cell>
        </row>
        <row r="51">
          <cell r="A51" t="str">
            <v>6268 ГОВЯЖЬЯ Папа может вар п/о 0.4кг 8шт.  ОСТАНКИНО</v>
          </cell>
          <cell r="C51">
            <v>220</v>
          </cell>
          <cell r="D51">
            <v>72</v>
          </cell>
          <cell r="E51">
            <v>27</v>
          </cell>
        </row>
        <row r="52">
          <cell r="A52" t="str">
            <v>1201 В/к колбасы Сервелат Мясорубский с мелкорубленным окороком Бордо Весовой фиброуз Стародворье  П</v>
          </cell>
          <cell r="C52">
            <v>69.382999999999996</v>
          </cell>
        </row>
        <row r="53">
          <cell r="A53" t="str">
            <v>Вареные колбасы «Филейская» Весовые Вектор ТМ «Вязанка»  ПОКОМ</v>
          </cell>
          <cell r="C53">
            <v>71.617999999999995</v>
          </cell>
          <cell r="D53">
            <v>16.105</v>
          </cell>
          <cell r="E53">
            <v>21.404</v>
          </cell>
        </row>
        <row r="54">
          <cell r="A54" t="str">
            <v>1372-Сосиски Сочинки с сочным окороком Бордо Фикс.вес 0,4 П/а мгс Стародворье</v>
          </cell>
          <cell r="C54">
            <v>202</v>
          </cell>
          <cell r="D54">
            <v>57</v>
          </cell>
          <cell r="E54">
            <v>23</v>
          </cell>
        </row>
        <row r="55">
          <cell r="A55" t="str">
            <v>6076 МЯСНАЯ Папа может вар п/о 0.4кг_UZ</v>
          </cell>
          <cell r="C55">
            <v>235</v>
          </cell>
          <cell r="D55">
            <v>54</v>
          </cell>
          <cell r="E55">
            <v>41</v>
          </cell>
        </row>
        <row r="56">
          <cell r="A56" t="str">
            <v>1371-Сосиски Сочинки с сочной грудинкой Бордо Фикс.вес 0,4 П/а мгс Стародворье</v>
          </cell>
          <cell r="C56">
            <v>197</v>
          </cell>
          <cell r="D56">
            <v>38</v>
          </cell>
          <cell r="E56">
            <v>35</v>
          </cell>
        </row>
        <row r="57">
          <cell r="A57" t="str">
            <v>Вареные колбасы Молокуша Вязанка Вес п/а Вязанка  ПОКОМ</v>
          </cell>
          <cell r="C57">
            <v>70.477000000000004</v>
          </cell>
          <cell r="D57">
            <v>18.806999999999999</v>
          </cell>
          <cell r="E57">
            <v>-1.3740000000000001</v>
          </cell>
        </row>
        <row r="58">
          <cell r="A58" t="str">
            <v>КОЛБАСА ОРИГИНАЛЬНАЯ ЗАСТОЛЬНАЯ с/к  ГРОДНО</v>
          </cell>
          <cell r="C58">
            <v>40.441000000000003</v>
          </cell>
        </row>
        <row r="59">
          <cell r="A59" t="str">
            <v>7067 СОЧНЫЕ ПМ сос п/о мгс 0.41кг_СНГ_50с  ОСТАНКИНО</v>
          </cell>
          <cell r="C59">
            <v>192</v>
          </cell>
          <cell r="D59">
            <v>34</v>
          </cell>
          <cell r="E59">
            <v>10</v>
          </cell>
        </row>
        <row r="60">
          <cell r="A60" t="str">
            <v>7077 МЯСНЫЕ С ГОВЯД.ПМ сос п/о мгс 0.4кг_50с ОСТАНКИНО</v>
          </cell>
          <cell r="C60">
            <v>198</v>
          </cell>
          <cell r="D60">
            <v>42</v>
          </cell>
          <cell r="E60">
            <v>22</v>
          </cell>
        </row>
        <row r="61">
          <cell r="A61" t="str">
            <v>6765 РУБЛЕНЫЕ сос ц/о мгс 0.36кг 6шт.  ОСТАНКИНО</v>
          </cell>
          <cell r="C61">
            <v>128</v>
          </cell>
          <cell r="D61">
            <v>39</v>
          </cell>
          <cell r="E61">
            <v>38</v>
          </cell>
        </row>
        <row r="62">
          <cell r="A62" t="str">
            <v>7104 БЕКОН Останкино с/к с/н в/у 1/180_СНГ_50 ОСТАНКИНО</v>
          </cell>
          <cell r="C62">
            <v>144</v>
          </cell>
          <cell r="D62">
            <v>19</v>
          </cell>
          <cell r="E62">
            <v>40</v>
          </cell>
        </row>
        <row r="63">
          <cell r="A63" t="str">
            <v>Вареные колбасы Докторская ГОСТ Вязанка Фикс.вес 0,4 Вектор Вязанка  ПОКОМ</v>
          </cell>
          <cell r="C63">
            <v>107</v>
          </cell>
          <cell r="E63">
            <v>-5</v>
          </cell>
        </row>
        <row r="64">
          <cell r="A64" t="str">
            <v>СК САЛЬЧИЧОН СРЕЗ ФИБ ВУ ШТ 0,3 КГ ЧЕРКИЗОВО (ПРЕМИУМ)</v>
          </cell>
          <cell r="C64">
            <v>75</v>
          </cell>
        </row>
        <row r="65">
          <cell r="A65" t="str">
            <v>Колбаса п/к Краковская ОХЛ ВУ 330г*5 (1,65 кг)  МИРАТОРГ</v>
          </cell>
          <cell r="C65">
            <v>80</v>
          </cell>
          <cell r="D65">
            <v>25</v>
          </cell>
          <cell r="E65">
            <v>22</v>
          </cell>
        </row>
        <row r="66">
          <cell r="A66" t="str">
            <v>ВК СЕРВ ГОСТ СРЕЗ ФИБ ВУ ШТ 0.5КГ К2  ЧЕРКИЗОВО</v>
          </cell>
          <cell r="C66">
            <v>53</v>
          </cell>
          <cell r="D66">
            <v>-1</v>
          </cell>
        </row>
        <row r="67">
          <cell r="A67" t="str">
            <v>Фарш куриный "Домашний",зам,в/у0,75кг*8(6кг)  МИРАТОРГ</v>
          </cell>
          <cell r="C67">
            <v>123</v>
          </cell>
          <cell r="E67">
            <v>18</v>
          </cell>
        </row>
        <row r="68">
          <cell r="A68" t="str">
            <v>КОЛБАСА ОРИГИНАЛЬНАЯ МЯСНОЙ СОЮЗ с/к  ГРОДНО</v>
          </cell>
          <cell r="C68">
            <v>19.113</v>
          </cell>
        </row>
        <row r="69">
          <cell r="A69" t="str">
            <v>6091 АРОМАТНАЯ с/к в/у_UZ</v>
          </cell>
          <cell r="C69">
            <v>25.259</v>
          </cell>
          <cell r="D69">
            <v>4.9610000000000003</v>
          </cell>
          <cell r="E69">
            <v>1.49</v>
          </cell>
        </row>
        <row r="70">
          <cell r="A70" t="str">
            <v>1224 В/к колбасы «Сочинка по-европейски с сочной грудинкой» Весовой фиброуз ТМ «Стародворье»  ПОКОМ</v>
          </cell>
          <cell r="C70">
            <v>52.146000000000001</v>
          </cell>
          <cell r="D70">
            <v>8.2919999999999998</v>
          </cell>
          <cell r="E70">
            <v>16.475999999999999</v>
          </cell>
        </row>
        <row r="71">
          <cell r="A71" t="str">
            <v>КОЛБАСА ОРИГИНАЛЬНАЯ ГРОДНЕНСКАЯ с/к  ГРОДНО</v>
          </cell>
          <cell r="C71">
            <v>20.577000000000002</v>
          </cell>
        </row>
        <row r="72">
          <cell r="A72" t="str">
            <v>МХБ Сервелат Мраморный ШТ. в/к ВУ ОХЛ 330г*6 (1,98кг)  МИРАТОРГ</v>
          </cell>
          <cell r="C72">
            <v>76</v>
          </cell>
          <cell r="D72">
            <v>24</v>
          </cell>
          <cell r="E72">
            <v>21</v>
          </cell>
        </row>
        <row r="73">
          <cell r="A73" t="str">
            <v>КП Колбаса в/к Балыковая ВУ охл 300г*6  МИРАТОРГ</v>
          </cell>
          <cell r="C73">
            <v>96</v>
          </cell>
          <cell r="D73">
            <v>6</v>
          </cell>
          <cell r="E73">
            <v>12</v>
          </cell>
        </row>
        <row r="74">
          <cell r="A74" t="str">
            <v>МХБ Колбаса варено-копченая Сервелат Коньячный Ф/О ОХЛ В/У 300г*6 (1,8кг)  МИРАТОРГ</v>
          </cell>
          <cell r="C74">
            <v>94</v>
          </cell>
          <cell r="D74">
            <v>17</v>
          </cell>
          <cell r="E74">
            <v>22</v>
          </cell>
        </row>
        <row r="75">
          <cell r="A75" t="str">
            <v>КОЛБАСА САЛЯМИ ФАВОРИТ С ОЛИВКАМИ 0,41кг в/к  ГРОДНО</v>
          </cell>
          <cell r="C75">
            <v>46</v>
          </cell>
        </row>
        <row r="76">
          <cell r="A76" t="str">
            <v>7333 СЕРВЕЛАТ ОХОТНИЧИЙ ПМ в/к в/у 0.28кг_СНГ  ОСТАНКИНО</v>
          </cell>
          <cell r="C76">
            <v>126</v>
          </cell>
          <cell r="D76">
            <v>23</v>
          </cell>
          <cell r="E76">
            <v>19</v>
          </cell>
        </row>
        <row r="77">
          <cell r="A77" t="str">
            <v>0262 Ветчина «Сочинка с сочным окороком» Весовой п/а ТМ «Стародворье»  ПОКОМ</v>
          </cell>
          <cell r="C77">
            <v>44.953000000000003</v>
          </cell>
          <cell r="D77">
            <v>24.445</v>
          </cell>
          <cell r="E77">
            <v>1.3720000000000001</v>
          </cell>
        </row>
        <row r="78">
          <cell r="A78" t="str">
            <v>СК БРАУНШВЕЙГСКАЯ ГОСТ БО СРЕЗ ШТ 0,2КГ  ЧЕРКИЗОВО</v>
          </cell>
          <cell r="C78">
            <v>73</v>
          </cell>
          <cell r="E78">
            <v>-1</v>
          </cell>
        </row>
        <row r="79">
          <cell r="A79" t="str">
            <v>КОЛБАСА ОРИГИНАЛЬНАЯ ЕВРОПЕЙСКАЯ с/к  ГРОДНО</v>
          </cell>
          <cell r="C79">
            <v>21.227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83</v>
          </cell>
          <cell r="D80">
            <v>12</v>
          </cell>
          <cell r="E80">
            <v>-2</v>
          </cell>
        </row>
        <row r="81">
          <cell r="A81" t="str">
            <v>КОЛБАСА ОРИГИНАЛЬНАЯ АНТОНОВСКАЯ с/в  ГРОДНО</v>
          </cell>
          <cell r="C81">
            <v>18.855</v>
          </cell>
        </row>
        <row r="82">
          <cell r="A82" t="str">
            <v>1851-Колбаса Филедворская по-стародворски ТМ Стародворье в оболочке полиамид 0,4 кг.  ПОКОМ</v>
          </cell>
          <cell r="C82">
            <v>115</v>
          </cell>
          <cell r="D82">
            <v>52</v>
          </cell>
          <cell r="E82">
            <v>14</v>
          </cell>
        </row>
        <row r="83">
          <cell r="A83" t="str">
            <v>6837 ФИЛЕЙНЫЕ Папа Может сос ц/о мгс 0.4кг  ОСТАНКИНО</v>
          </cell>
          <cell r="C83">
            <v>106</v>
          </cell>
          <cell r="D83">
            <v>20</v>
          </cell>
          <cell r="E83">
            <v>11</v>
          </cell>
        </row>
        <row r="84">
          <cell r="A84" t="str">
            <v>КОЛБАСА САЛЯМИ ФАВОРИТ С СЫРОМ 0,41кг в/к  ГРОДНО</v>
          </cell>
          <cell r="C84">
            <v>43</v>
          </cell>
        </row>
        <row r="85">
          <cell r="A85" t="str">
            <v>КОЛБАСА ОРИГИНАЛЬНАЯ ПРИМА С КОНЬЯКОМ 0,18кг с/в  ГРОДНО</v>
          </cell>
          <cell r="C85">
            <v>70</v>
          </cell>
        </row>
        <row r="86">
          <cell r="A86" t="str">
            <v>6078 ФИЛЕЙНАЯ Папа может вар п/о_UZ</v>
          </cell>
          <cell r="C86">
            <v>44.420999999999999</v>
          </cell>
          <cell r="D86">
            <v>4.1340000000000003</v>
          </cell>
          <cell r="E86">
            <v>4.1529999999999996</v>
          </cell>
        </row>
        <row r="87">
          <cell r="A87" t="str">
            <v>КОЛБАСА САЛЯМИ СЕРВЕЛАТ КРЕМЛЕВСКИЙ 0,41кг в/к  ГРОДНО</v>
          </cell>
          <cell r="C87">
            <v>46</v>
          </cell>
        </row>
        <row r="88">
          <cell r="A88" t="str">
            <v>КОЛБАСА САЛЯМИ СЕРВЕЛАТ ФИНСКИЙ в/к порционная 0,27кг  ГРОДНО</v>
          </cell>
          <cell r="C88">
            <v>76</v>
          </cell>
        </row>
        <row r="89">
          <cell r="A89" t="str">
            <v>СОС КОПЧ ПО-Ч ЛОТ ПМО ЗА ШТ 0.4КГ K1.6  ЧЕРКИЗОВО</v>
          </cell>
          <cell r="C89">
            <v>74</v>
          </cell>
          <cell r="E89">
            <v>-3</v>
          </cell>
        </row>
        <row r="90">
          <cell r="A90" t="str">
            <v>2027 Ветчина Нежная п/а ТМ Особый рецепт шт. 0,4кг</v>
          </cell>
          <cell r="C90">
            <v>65</v>
          </cell>
          <cell r="D90">
            <v>17</v>
          </cell>
          <cell r="E90">
            <v>10</v>
          </cell>
        </row>
        <row r="91">
          <cell r="A91" t="str">
            <v>6220 ГОВЯЖЬЯ Папа может вар п/о  ОСТАНКИНО</v>
          </cell>
          <cell r="C91">
            <v>32.610999999999997</v>
          </cell>
          <cell r="D91">
            <v>4.07</v>
          </cell>
          <cell r="E91">
            <v>12.233000000000001</v>
          </cell>
        </row>
        <row r="92">
          <cell r="A92" t="str">
            <v>1284-Сосиски Баварушки ТМ Баварушка в оболочке амицел в модифицированной газовой среде 0,6 кг.</v>
          </cell>
          <cell r="C92">
            <v>39</v>
          </cell>
          <cell r="D92">
            <v>15</v>
          </cell>
          <cell r="E92">
            <v>1</v>
          </cell>
        </row>
        <row r="93">
          <cell r="A93" t="str">
            <v>ВЕТЧ МРАМОРНАЯ ПО-ЧЕРКИЗОВСКИ ШТ 0,4 КГ  ЧЕРКИЗОВО</v>
          </cell>
          <cell r="C93">
            <v>49</v>
          </cell>
          <cell r="D93">
            <v>-2</v>
          </cell>
          <cell r="E93">
            <v>-5</v>
          </cell>
        </row>
        <row r="94">
          <cell r="A94" t="str">
            <v>С/к колбасы Баварская Бавария Фикс.вес 0,17 б/о терм/п Стародворье</v>
          </cell>
          <cell r="C94">
            <v>52</v>
          </cell>
          <cell r="D94">
            <v>-1</v>
          </cell>
        </row>
        <row r="95">
          <cell r="A95" t="str">
            <v>СОСИСКИ ТОПЧИКИ РУБЛЕНЫЕ 0,37кг  ГРОДНО</v>
          </cell>
          <cell r="C95">
            <v>61</v>
          </cell>
        </row>
        <row r="96">
          <cell r="A96" t="str">
            <v>Колбаса в/к Черная Бергамо ВУ ОХЛ 280г*6 (1,68 кг)  МИРАТОРГ</v>
          </cell>
          <cell r="C96">
            <v>55</v>
          </cell>
          <cell r="E96">
            <v>36</v>
          </cell>
        </row>
        <row r="97">
          <cell r="A97" t="str">
            <v>КОЛБАСА САЛЯМИ СЕРВЕЛАТ БАРБАДОС НОВЫЙ 0,41кг в/к  ГРОДНО</v>
          </cell>
          <cell r="C97">
            <v>46</v>
          </cell>
        </row>
        <row r="98">
          <cell r="A98" t="str">
            <v>С/к колбасы Швейцарская Бордо Фикс.вес 0,17 Фиброуз терм/п Стародворье</v>
          </cell>
          <cell r="C98">
            <v>60</v>
          </cell>
          <cell r="D98">
            <v>35</v>
          </cell>
        </row>
        <row r="99">
          <cell r="A99" t="str">
            <v>КОЛБАСА КРЕМЛЕВСКАЯ С ГОВЯДИНОЙ, 0.4 кг  ГРОДНО</v>
          </cell>
          <cell r="C99">
            <v>57</v>
          </cell>
        </row>
        <row r="100">
          <cell r="A100" t="str">
            <v>Ветчина Сочная ОХЛ ПА 400г*6 (2,4 кг)  МИРАТОРГ</v>
          </cell>
          <cell r="C100">
            <v>51</v>
          </cell>
          <cell r="E100">
            <v>26</v>
          </cell>
        </row>
        <row r="101">
          <cell r="A101" t="str">
            <v>7059 ШПИКАЧКИ СОЧНЫЕ С БЕК. п/о мгс 0.3кг_60с  ОСТАНКИНО</v>
          </cell>
          <cell r="C101">
            <v>89</v>
          </cell>
          <cell r="D101">
            <v>18</v>
          </cell>
          <cell r="E101">
            <v>13</v>
          </cell>
        </row>
        <row r="102">
          <cell r="A102" t="str">
            <v>СОСИСКИ ТОПЧИКИ КЛАССИЧЕСКИЕ 0,37кг  ГРОДНО</v>
          </cell>
          <cell r="C102">
            <v>61</v>
          </cell>
        </row>
        <row r="103">
          <cell r="A103" t="str">
            <v>КОЛБАСА ФИЛЕЙНАЯ п/к  ГРОДНО</v>
          </cell>
          <cell r="C103">
            <v>18.102</v>
          </cell>
        </row>
        <row r="104">
          <cell r="A104" t="str">
            <v>1461 Сосиски «Баварские» Фикс.вес 0,35 П/а ТМ «Стародворье»  ПОКОМ</v>
          </cell>
          <cell r="C104">
            <v>67</v>
          </cell>
          <cell r="D104">
            <v>14</v>
          </cell>
          <cell r="E104">
            <v>15</v>
          </cell>
        </row>
        <row r="105">
          <cell r="A105" t="str">
            <v>МХБ Колбаса полукопченая Чесночная ШТ. ф/о ОХЛ 375г*6 (2,25кг) МИРАТОРГ</v>
          </cell>
          <cell r="C105">
            <v>39</v>
          </cell>
          <cell r="D105">
            <v>17</v>
          </cell>
          <cell r="E105">
            <v>24</v>
          </cell>
        </row>
        <row r="106">
          <cell r="A106" t="str">
            <v>Колбаса вареная ДОКТОРСКАЯ категории А  ГРОДНО</v>
          </cell>
          <cell r="C106">
            <v>14.99</v>
          </cell>
        </row>
        <row r="107">
          <cell r="A107" t="str">
            <v>Стейк из мраморной говядины б/к с/м TF ~1кг BLACK ANGUS Мираторг (Брянск) Россия  МИРАТОРГ</v>
          </cell>
          <cell r="C107">
            <v>7</v>
          </cell>
          <cell r="D107">
            <v>3</v>
          </cell>
        </row>
        <row r="108">
          <cell r="A108" t="str">
            <v>2205-Сосиски Молочные для завтрака ТМ Особый рецепт 0,4кг</v>
          </cell>
          <cell r="C108">
            <v>130</v>
          </cell>
          <cell r="D108">
            <v>125</v>
          </cell>
          <cell r="E108">
            <v>66</v>
          </cell>
        </row>
        <row r="109">
          <cell r="A109" t="str">
            <v>КОЛБАСА ВЕСЕЛЫЕ РЕБЯТА, 0.4 кг  ГРОДНО</v>
          </cell>
          <cell r="C109">
            <v>46</v>
          </cell>
        </row>
        <row r="110">
          <cell r="A110" t="str">
            <v>6346 ФИЛЕЙНАЯ Папа может вар п/о 0.5кг_СНГ  ОСТАНКИНО</v>
          </cell>
          <cell r="C110">
            <v>72</v>
          </cell>
          <cell r="D110">
            <v>31</v>
          </cell>
          <cell r="E110">
            <v>65</v>
          </cell>
        </row>
        <row r="111">
          <cell r="A111" t="str">
            <v>Наггетсы куриные замороженные Классические 250гр*12 (3кг) NEW  МИРАТОРГ</v>
          </cell>
          <cell r="C111">
            <v>42</v>
          </cell>
          <cell r="D111">
            <v>4</v>
          </cell>
          <cell r="E111">
            <v>4</v>
          </cell>
        </row>
        <row r="112">
          <cell r="A112" t="str">
            <v>МХБ Мясной продукт из свинины сырокопченый Бекон ШТ. ОХЛ ВУ 200г*10 (2 кг) МИРАТОРГ</v>
          </cell>
          <cell r="C112">
            <v>39</v>
          </cell>
          <cell r="D112">
            <v>15</v>
          </cell>
          <cell r="E112">
            <v>24</v>
          </cell>
        </row>
        <row r="113">
          <cell r="A113" t="str">
            <v>КОЛБАСА ВЕТЧИННАЯ НОВАЯ  ГРОДНО</v>
          </cell>
          <cell r="C113">
            <v>16.268999999999998</v>
          </cell>
        </row>
        <row r="114">
          <cell r="A114" t="str">
            <v>1952-Колбаса Со шпиком ТМ Особый рецепт в оболочке полиамид 0,5 кг.  ПОКОМ</v>
          </cell>
          <cell r="C114">
            <v>38</v>
          </cell>
          <cell r="D114">
            <v>2</v>
          </cell>
          <cell r="E114">
            <v>9</v>
          </cell>
        </row>
        <row r="115">
          <cell r="A115" t="str">
            <v>0232 С/к колбасы Княжеская Бордо Весовые б/о терм/п Стародворье</v>
          </cell>
          <cell r="C115">
            <v>4.633</v>
          </cell>
          <cell r="E115">
            <v>0.72</v>
          </cell>
        </row>
        <row r="116">
          <cell r="A116" t="str">
            <v>Колбаса вареная "Филейная" п/а ОХЛ 350г*6 (2,1кг)  МИРАТОРГ</v>
          </cell>
          <cell r="C116">
            <v>49</v>
          </cell>
          <cell r="E116">
            <v>26</v>
          </cell>
        </row>
        <row r="117">
          <cell r="A117" t="str">
            <v>СОСИСКИ С ГОВЯДИНОЙ 0,6-0,7 кг  ГРОДНО</v>
          </cell>
          <cell r="C117">
            <v>14.76</v>
          </cell>
        </row>
        <row r="118">
          <cell r="A118" t="str">
            <v>КОЛБАСА ВЕТЧИННАЯ  ГРОДНО</v>
          </cell>
          <cell r="C118">
            <v>17.704999999999998</v>
          </cell>
        </row>
        <row r="119">
          <cell r="A119" t="str">
            <v>Прошутто с/к нарезка ОХЛ ГЗМС 100г*10 (1,0 кг)  МИРАТОРГ</v>
          </cell>
          <cell r="C119">
            <v>38</v>
          </cell>
          <cell r="E119">
            <v>20</v>
          </cell>
        </row>
        <row r="120">
          <cell r="A120" t="str">
            <v>СОСИСКИ ВЕСЕЛЫЕ РЕБЯТА 0,6-0,7 кг  ГРОДНО</v>
          </cell>
          <cell r="C120">
            <v>13.994999999999999</v>
          </cell>
        </row>
        <row r="121">
          <cell r="A121" t="str">
            <v>Ветчина Парма с/к нарезка ОХЛ ГЗМС 100г*10 (1,0 кг)  МИРАТОРГ</v>
          </cell>
          <cell r="C121">
            <v>39</v>
          </cell>
          <cell r="E121">
            <v>18</v>
          </cell>
        </row>
        <row r="122">
          <cell r="A122" t="str">
            <v>6075 МЯСНАЯ Папа может вар п/о_UZ</v>
          </cell>
          <cell r="C122">
            <v>17.544</v>
          </cell>
          <cell r="D122">
            <v>17.544</v>
          </cell>
        </row>
        <row r="123">
          <cell r="A123" t="str">
            <v>Пельмени «Сочные» ГВ зам пакет 700г*8  МИРАТОРГ</v>
          </cell>
          <cell r="C123">
            <v>29</v>
          </cell>
          <cell r="D123">
            <v>4</v>
          </cell>
          <cell r="E123">
            <v>8</v>
          </cell>
        </row>
        <row r="124">
          <cell r="A124" t="str">
            <v>СОСИСКИ ПРЕМИУМ 0,6-0,7 кг  ГРОДНО</v>
          </cell>
          <cell r="C124">
            <v>13.919</v>
          </cell>
        </row>
        <row r="125">
          <cell r="A125" t="str">
            <v>1868-Колбаса Филейная ТМ Особый рецепт в оболочке полиамид 0,5 кг.  ПОКОМ</v>
          </cell>
          <cell r="C125">
            <v>26</v>
          </cell>
          <cell r="D125">
            <v>10</v>
          </cell>
        </row>
        <row r="126">
          <cell r="A126" t="str">
            <v>МХБ Колбаса сырокопченая «Салями» нарезка ШТ. охл ГЗМС 100г*10 (1,0 кг) МИРАТОРГ</v>
          </cell>
          <cell r="C126">
            <v>38</v>
          </cell>
          <cell r="E126">
            <v>20</v>
          </cell>
        </row>
        <row r="127">
          <cell r="A127" t="str">
            <v>Ребрышки свиные томленые ОХЛ ВУ 500г*4 (2,0кг)  МИРАТОРГ</v>
          </cell>
          <cell r="C127">
            <v>10</v>
          </cell>
          <cell r="E127">
            <v>10</v>
          </cell>
        </row>
        <row r="128">
          <cell r="A128" t="str">
            <v>СОСИСКИ МИШКИ 0,6-0,7 кг  ГРОДНО</v>
          </cell>
          <cell r="C128">
            <v>14.507</v>
          </cell>
        </row>
        <row r="129">
          <cell r="A129" t="str">
            <v>МХБ Колбаса варено-копченая Сервелат Финский ШТ. Ф/О ОХЛ В/У 375г*6 (2,25кг) МИРАТОРГ</v>
          </cell>
          <cell r="C129">
            <v>12</v>
          </cell>
          <cell r="D129">
            <v>14</v>
          </cell>
        </row>
        <row r="130">
          <cell r="A130" t="str">
            <v>Наггетсы Куриные с сыром 250г*12 зам  МИРАТОРГ</v>
          </cell>
          <cell r="C130">
            <v>10</v>
          </cell>
          <cell r="D130">
            <v>4</v>
          </cell>
          <cell r="E130">
            <v>4</v>
          </cell>
        </row>
        <row r="131">
          <cell r="A131" t="str">
            <v>МХБ Колбаса варено-копченая Сервелат ШТ. Ф/О ОХЛ В/У 375г*6 (2,25кг) МИРАТОРГ</v>
          </cell>
          <cell r="C131">
            <v>8</v>
          </cell>
          <cell r="D131">
            <v>-1</v>
          </cell>
          <cell r="E131">
            <v>2</v>
          </cell>
        </row>
        <row r="132">
          <cell r="A132" t="str">
            <v>Сосиски "Итальянские с сыром" ОХЛГЗМС 350г*6 (2,1кг)  МИРАТОРГ</v>
          </cell>
          <cell r="C132">
            <v>9</v>
          </cell>
          <cell r="E132">
            <v>9</v>
          </cell>
        </row>
        <row r="133">
          <cell r="A133" t="str">
            <v>МХБ Сосиски Сочные ШТ. п/а ОХЛ 350г*6 (2,1кг)  МИРАТОРГ</v>
          </cell>
          <cell r="C133">
            <v>7</v>
          </cell>
          <cell r="E133">
            <v>6</v>
          </cell>
        </row>
        <row r="134">
          <cell r="A134" t="str">
            <v>СОС ВЕНСКИЕ БО ЗА ПАК 1.25КГ K5 ЧЕРКИЗОВО</v>
          </cell>
          <cell r="C134">
            <v>3.61</v>
          </cell>
        </row>
        <row r="135">
          <cell r="A135" t="str">
            <v>Сосиски "Оригинальные" п/а ОХЛ ГЗМС 350г*6 (2,1кг)  МИРАТОРГ</v>
          </cell>
          <cell r="C135">
            <v>9</v>
          </cell>
          <cell r="E135">
            <v>9</v>
          </cell>
        </row>
        <row r="136">
          <cell r="A136" t="str">
            <v>Сырники с вишневой начинкой ЗАМ 280гр*4 (1,12кг) Мираторг Трио Россия</v>
          </cell>
          <cell r="C136">
            <v>11</v>
          </cell>
          <cell r="D136">
            <v>2</v>
          </cell>
          <cell r="E136">
            <v>4</v>
          </cell>
        </row>
        <row r="137">
          <cell r="A137" t="str">
            <v>Сырники классические ЗАМ 280гр*4 (1,12кг) Мираторг Трио Россия</v>
          </cell>
          <cell r="C137">
            <v>11</v>
          </cell>
          <cell r="D137">
            <v>2</v>
          </cell>
          <cell r="E137">
            <v>4</v>
          </cell>
        </row>
        <row r="138">
          <cell r="A138" t="str">
            <v>Сосиски Нежные п/а охл 350г*6 (2,1кг)  МИРАТОРГ</v>
          </cell>
          <cell r="C138">
            <v>9</v>
          </cell>
          <cell r="E138">
            <v>9</v>
          </cell>
        </row>
        <row r="139">
          <cell r="A139" t="str">
            <v>Гавайская смесь 400г*20 (8кг) Vитамин Мираторг РОССИЯ  МИРАТОРГ</v>
          </cell>
          <cell r="C139">
            <v>9</v>
          </cell>
        </row>
        <row r="140">
          <cell r="A140" t="str">
            <v>1728-Сосиски сливочные по-стародворски в оболочке</v>
          </cell>
          <cell r="C140">
            <v>3.3250000000000002</v>
          </cell>
          <cell r="E140">
            <v>-0.61</v>
          </cell>
        </row>
        <row r="141">
          <cell r="A141" t="str">
            <v>МХБ Ветчина для завтрака ШТ. ОХЛ п/а 400г*6 (2,4кг) МИРАТОРГ</v>
          </cell>
          <cell r="C141">
            <v>4</v>
          </cell>
          <cell r="D141">
            <v>-1</v>
          </cell>
          <cell r="E141">
            <v>-1</v>
          </cell>
        </row>
        <row r="142">
          <cell r="A142" t="str">
            <v>Сырники с клубн.нач. 280гр ЗАМ  МИРАТОРГ</v>
          </cell>
          <cell r="C142">
            <v>7</v>
          </cell>
          <cell r="D142">
            <v>2</v>
          </cell>
        </row>
        <row r="143">
          <cell r="A143" t="str">
            <v>Наггетсы куриные хрустящие 300г*12 (3,6кг) Мираторг Россия</v>
          </cell>
          <cell r="C143">
            <v>5</v>
          </cell>
          <cell r="E143">
            <v>2</v>
          </cell>
        </row>
        <row r="144">
          <cell r="A144" t="str">
            <v>Черная смородина с/м 300г*10 (3кг) Россия Мираторг</v>
          </cell>
          <cell r="C144">
            <v>2</v>
          </cell>
          <cell r="E144">
            <v>2</v>
          </cell>
        </row>
        <row r="145">
          <cell r="A145" t="str">
            <v>Ягодный морс 300г*10 зам  МИРАТОРГ</v>
          </cell>
          <cell r="C145">
            <v>2</v>
          </cell>
        </row>
        <row r="146">
          <cell r="A146" t="str">
            <v>Брокколи капуста 400 ЗАМ  МИРАТОРГ</v>
          </cell>
          <cell r="C146">
            <v>2</v>
          </cell>
        </row>
        <row r="147">
          <cell r="A147" t="str">
            <v>Ягодный коктейль 300г зам  МИРАТОРГ</v>
          </cell>
          <cell r="C147">
            <v>2</v>
          </cell>
        </row>
        <row r="148">
          <cell r="A148" t="str">
            <v>Микс полезных овощей 400 зам  МИРАТОРГ</v>
          </cell>
          <cell r="C148">
            <v>2</v>
          </cell>
        </row>
        <row r="149">
          <cell r="A149" t="str">
            <v>Итальянская смесь с/м 400г*10 (4кг) Vитамин  МИРАТОРГ</v>
          </cell>
          <cell r="C149">
            <v>2</v>
          </cell>
          <cell r="D149">
            <v>2</v>
          </cell>
        </row>
        <row r="150">
          <cell r="A150" t="str">
            <v>БОНУС_2205-Сосиски Молочные для завтрака ТМ Особый рецепт 0,4кг</v>
          </cell>
          <cell r="C150">
            <v>159</v>
          </cell>
          <cell r="D150">
            <v>42</v>
          </cell>
          <cell r="E150">
            <v>8</v>
          </cell>
        </row>
        <row r="151">
          <cell r="A151" t="str">
            <v>БОНУС_2074-Сосиски Молочные для завтрака Особый рецепт</v>
          </cell>
          <cell r="C151">
            <v>150.678</v>
          </cell>
          <cell r="D151">
            <v>27.6</v>
          </cell>
          <cell r="E151">
            <v>8.6750000000000007</v>
          </cell>
        </row>
        <row r="152">
          <cell r="A152" t="str">
            <v>БОНУС_2634 Колбаса Дугушка Стародворская ТМ Стародворье ТС Дугушка  ПОКОМ</v>
          </cell>
          <cell r="C152">
            <v>118.01300000000001</v>
          </cell>
          <cell r="D152">
            <v>23.838000000000001</v>
          </cell>
          <cell r="E152">
            <v>13.583</v>
          </cell>
        </row>
        <row r="153">
          <cell r="A153" t="str">
            <v>БОНУС_1870-Колбаса Со шпиком ТМ Особый рецепт в оболочке полиамид большой батон.  ПОКОМ</v>
          </cell>
          <cell r="C153">
            <v>85.501999999999995</v>
          </cell>
          <cell r="D153">
            <v>7.5419999999999998</v>
          </cell>
        </row>
        <row r="154">
          <cell r="A154" t="str">
            <v>БОНУС_1869-Колбаса Молочная ТМ Особый рецепт в оболочке полиамид большой батон.  ПОКОМ</v>
          </cell>
          <cell r="C154">
            <v>76.334000000000003</v>
          </cell>
          <cell r="D154">
            <v>9.8810000000000002</v>
          </cell>
          <cell r="E154">
            <v>7.2610000000000001</v>
          </cell>
        </row>
        <row r="155">
          <cell r="A155" t="str">
            <v>БОНУС_1867-Колбаса Филейная ТМ Особый рецепт в оболочке полиамид большой батон.  ПОКОМ</v>
          </cell>
          <cell r="C155">
            <v>75.308999999999997</v>
          </cell>
          <cell r="D155">
            <v>17.678000000000001</v>
          </cell>
          <cell r="E155">
            <v>10.097</v>
          </cell>
        </row>
        <row r="156">
          <cell r="A156" t="str">
            <v>БОНУС_1875-Колбаса Филейная оригинальная ТМ Особый рецепт в оболочке полиамид.  ПОКОМ</v>
          </cell>
          <cell r="C156">
            <v>74.87</v>
          </cell>
          <cell r="D156">
            <v>4.0129999999999999</v>
          </cell>
          <cell r="E156">
            <v>13.05</v>
          </cell>
        </row>
        <row r="157">
          <cell r="A157" t="str">
            <v>БОНУС_1202 В/к колбасы Сервелат Мясорубский с мелкорубленным окороком срез Бордо Фикс.вес 0,35 фибро</v>
          </cell>
          <cell r="C157">
            <v>67</v>
          </cell>
          <cell r="D157">
            <v>17</v>
          </cell>
          <cell r="E157">
            <v>6</v>
          </cell>
        </row>
        <row r="158">
          <cell r="A158" t="str">
            <v>БОНУС_1871-Колбаса Филейная оригинальная ТМ Особый рецепт в оболочке полиамид 0,4 кг.  ПОКОМ</v>
          </cell>
          <cell r="C158">
            <v>55</v>
          </cell>
          <cell r="D158">
            <v>19</v>
          </cell>
          <cell r="E158">
            <v>17</v>
          </cell>
        </row>
        <row r="159">
          <cell r="A159" t="str">
            <v>БОНУС_1371-Сосиски Сочинки с сочной грудинкой Бордо Фикс.вес 0,4 П/а мгс Стародворье</v>
          </cell>
          <cell r="C159">
            <v>48</v>
          </cell>
          <cell r="D159">
            <v>11</v>
          </cell>
          <cell r="E159">
            <v>5</v>
          </cell>
        </row>
        <row r="160">
          <cell r="A160" t="str">
            <v>БОНУС_1201 В/к колбасы Сервелат Мясорубский с мелкорубленным окороком Бордо Весовой фиброуз Стародворье  ПОКОМ</v>
          </cell>
          <cell r="C160">
            <v>35.655999999999999</v>
          </cell>
        </row>
        <row r="161">
          <cell r="A161" t="str">
            <v>БОНУС_1370-Сосиски Сочинки Бордо Весовой п/а Стародворье</v>
          </cell>
          <cell r="C161">
            <v>33.64</v>
          </cell>
          <cell r="D161">
            <v>10.432</v>
          </cell>
        </row>
        <row r="162">
          <cell r="A162" t="str">
            <v>БОНУС_1411 Сосиски «Сочинки Сливочные» Весовые ТМ «Стародворье» 1,35 кг  ПОКОМ</v>
          </cell>
          <cell r="C162">
            <v>26.706</v>
          </cell>
          <cell r="D162">
            <v>5.391</v>
          </cell>
          <cell r="E162">
            <v>8.1150000000000002</v>
          </cell>
        </row>
        <row r="163">
          <cell r="A163" t="str">
            <v>БОНУС_С/к колбасы Швейцарская Бордо Фикс.вес 0,17 Фиброуз терм/п Стародворье</v>
          </cell>
          <cell r="C163">
            <v>8</v>
          </cell>
        </row>
        <row r="164">
          <cell r="A164" t="str">
            <v>СК САЛЬЧИЧОН С РОЗОВЫМ ПЕРЦЕМ НАР ШТ 85Г  ЧЕРКИЗОВО</v>
          </cell>
          <cell r="C164">
            <v>-1</v>
          </cell>
          <cell r="D164">
            <v>-1</v>
          </cell>
        </row>
        <row r="165">
          <cell r="A165" t="str">
            <v>МХБ Колбаса вареная Молочная ШТ. п/а ОХЛ 470*6 (2,82 кг) МИРАТОРГ</v>
          </cell>
          <cell r="C165">
            <v>-1</v>
          </cell>
          <cell r="D165">
            <v>-1</v>
          </cell>
        </row>
        <row r="166">
          <cell r="A166" t="str">
            <v>МХБ Колб полусухая «Салями» ВУ ОХЛ 280гр*6 (1,68кг)  МИРАТОРГ</v>
          </cell>
          <cell r="C166">
            <v>-1</v>
          </cell>
          <cell r="E166">
            <v>-1</v>
          </cell>
        </row>
        <row r="167">
          <cell r="A167" t="str">
            <v>МХБ Колбаса вареная Докторская ШТ. п/а ОХЛ 470г*6 (2,82 кг) МИРАТОРГ</v>
          </cell>
          <cell r="C167">
            <v>-1</v>
          </cell>
          <cell r="E167">
            <v>-1</v>
          </cell>
        </row>
        <row r="168">
          <cell r="A168" t="str">
            <v>1231 Сосиски Сливочные Дугушки Дугушка Весовые П/а Стародворье, вес 1кг</v>
          </cell>
          <cell r="C168">
            <v>-0.78</v>
          </cell>
        </row>
        <row r="169">
          <cell r="A169" t="str">
            <v>СК САЛЬЧИЧОН С РОЗОВЫМ ПЕРЦ. СРЕЗ ШТ 0,3  ЧЕРКИЗОВО</v>
          </cell>
          <cell r="C169">
            <v>-1</v>
          </cell>
          <cell r="D169">
            <v>-1</v>
          </cell>
        </row>
        <row r="170">
          <cell r="A170" t="str">
            <v>У_СОС ВЕНСКИЕ БО ЗА ПАК 1.25КГ K5 ЧЕРКИЗОВО</v>
          </cell>
          <cell r="C170">
            <v>-1.2390000000000001</v>
          </cell>
        </row>
        <row r="171">
          <cell r="A171" t="str">
            <v>6071 ЭКСТРА Папа может вар п/о_UZ</v>
          </cell>
          <cell r="C171">
            <v>-1.34</v>
          </cell>
          <cell r="E171">
            <v>-1.34</v>
          </cell>
        </row>
        <row r="172">
          <cell r="A172" t="str">
            <v>2472 Сардельки Левантские Особая Без свинины Весовые NDX мгс Особый рецепт, вес 1кг</v>
          </cell>
          <cell r="C172">
            <v>-1.3</v>
          </cell>
        </row>
        <row r="173">
          <cell r="A173" t="str">
            <v>ВК БАЛЫКОВАЯ ПО-ЧЕРКИЗ СРЕЗ ШТ0,3 К1,8  ЧЕРКИЗОВО</v>
          </cell>
          <cell r="C173">
            <v>-2</v>
          </cell>
          <cell r="D173">
            <v>-1</v>
          </cell>
          <cell r="E173">
            <v>-1</v>
          </cell>
        </row>
        <row r="174">
          <cell r="A174" t="str">
            <v>СК САЛЬЧИЧОН НАРЕЗ ФИБ ЗА ШТ 0.1КГ К1.2  ЧЕРКИЗОВО</v>
          </cell>
          <cell r="C174">
            <v>-3</v>
          </cell>
          <cell r="D174">
            <v>-3</v>
          </cell>
        </row>
        <row r="175">
          <cell r="A175" t="str">
            <v>СК САЛЯМИНИ ВУ ШТ 0.18 КГ  ЧЕРКИЗОВО</v>
          </cell>
          <cell r="C175">
            <v>-4</v>
          </cell>
        </row>
        <row r="176">
          <cell r="A176" t="str">
            <v>Колбаса с/к Сервелат ГОСТ ВУ ОХЛ 0,3кг*6(1,8кг)  МИРАТОРГ</v>
          </cell>
          <cell r="C176">
            <v>-2</v>
          </cell>
          <cell r="D176">
            <v>-2</v>
          </cell>
        </row>
        <row r="177">
          <cell r="A177" t="str">
            <v>СОС СЛИВОЧНЫЕ ПО-ЧЕРКИЗОВСКИ ПМО ЗА ПАК 1.5КГ К6  ЧЕРКИЗОВО</v>
          </cell>
          <cell r="C177">
            <v>-2</v>
          </cell>
        </row>
        <row r="178">
          <cell r="A178" t="str">
            <v>ВАР АРОМАТНАЯ ПО-Ч ЦО ЗА 1.6КГ K3.2 ЧЕРКИЗОВО</v>
          </cell>
          <cell r="C178">
            <v>-1.673</v>
          </cell>
        </row>
        <row r="179">
          <cell r="A179" t="str">
            <v>СК ОНЕЖСКАЯ СРЕЗ ФИБ ВУ ШТ 0.3КГ K1.8 ЧЕРКИЗОВО</v>
          </cell>
          <cell r="C179">
            <v>-3</v>
          </cell>
          <cell r="D179">
            <v>-3</v>
          </cell>
        </row>
        <row r="180">
          <cell r="A180" t="str">
            <v>6270 ФИЛЕЙНАЯ Папа может вар п/о 0.4кг СНГ</v>
          </cell>
          <cell r="C180">
            <v>-8</v>
          </cell>
        </row>
        <row r="181">
          <cell r="A181" t="str">
            <v>КП Колбаса с/к Брауншвейгская ВУ ОХЛ 300г*6 (1,8кг)  МИРАТОРГ</v>
          </cell>
          <cell r="C181">
            <v>-4</v>
          </cell>
          <cell r="D181">
            <v>-2</v>
          </cell>
          <cell r="E181">
            <v>-2</v>
          </cell>
        </row>
        <row r="182">
          <cell r="A182" t="str">
            <v>6807 СЕРВЕЛАТ ЕВРОПЕЙСКИЙ в/к в/у 0.33кг 8шт.  ОСТАНКИНО</v>
          </cell>
          <cell r="C182">
            <v>-16</v>
          </cell>
          <cell r="D182">
            <v>-7</v>
          </cell>
          <cell r="E182">
            <v>-8</v>
          </cell>
        </row>
        <row r="183">
          <cell r="A183" t="str">
            <v>СОС СЛИВОЧНЫЕ ГОСТ ЦО ЗА ЛОТ ШТ 0.45КГ K1.8 ЧЕРКИЗОВО</v>
          </cell>
          <cell r="C183">
            <v>-12</v>
          </cell>
          <cell r="D183">
            <v>-2</v>
          </cell>
          <cell r="E183">
            <v>-3</v>
          </cell>
        </row>
        <row r="184">
          <cell r="A184" t="str">
            <v>СОС МОЛОЧНЫЕ ПО-Ч ПМО ЗА ЛОТ ШТ 0.45КГ K1.8 ЧЕРКИЗОВО</v>
          </cell>
          <cell r="C184">
            <v>-17</v>
          </cell>
          <cell r="E184">
            <v>-4</v>
          </cell>
        </row>
        <row r="185">
          <cell r="A185" t="str">
            <v>ВАР КЛАССИЧЕСКАЯ ПО-Ч ЦО ЗА 1.6КГ K3.2 ЧЕРКИЗОВО</v>
          </cell>
          <cell r="C185">
            <v>-9.0679999999999996</v>
          </cell>
          <cell r="D185">
            <v>-4</v>
          </cell>
        </row>
        <row r="186">
          <cell r="A186" t="str">
            <v>6072 ЭКСТРА Папа может вар п/о 0.4кг_UZ</v>
          </cell>
          <cell r="C186">
            <v>-84</v>
          </cell>
          <cell r="D186">
            <v>44</v>
          </cell>
          <cell r="E186">
            <v>48</v>
          </cell>
        </row>
        <row r="187">
          <cell r="A187" t="str">
            <v>1871-Колбаса Филейная оригинальная ТМ Особый рецепт в оболочке полиамид 0,4 кг.  ПОКОМ</v>
          </cell>
          <cell r="C187">
            <v>-167</v>
          </cell>
          <cell r="D187">
            <v>66</v>
          </cell>
          <cell r="E187">
            <v>55</v>
          </cell>
        </row>
        <row r="188">
          <cell r="A188" t="str">
            <v>Итого</v>
          </cell>
          <cell r="C188">
            <v>16217.315000000001</v>
          </cell>
          <cell r="D188">
            <v>3095.8270000000002</v>
          </cell>
          <cell r="E188">
            <v>2387.451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16" customWidth="1"/>
    <col min="8" max="8" width="5" customWidth="1"/>
    <col min="9" max="9" width="12" customWidth="1"/>
    <col min="10" max="10" width="1" customWidth="1"/>
    <col min="11" max="14" width="0.28515625" customWidth="1"/>
    <col min="15" max="16" width="7" customWidth="1"/>
    <col min="17" max="18" width="6.85546875" customWidth="1"/>
    <col min="19" max="19" width="23.5703125" customWidth="1"/>
    <col min="20" max="21" width="5" customWidth="1"/>
    <col min="22" max="29" width="6" customWidth="1"/>
    <col min="30" max="30" width="47.8554687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4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13"/>
      <c r="H4" s="1"/>
      <c r="I4" s="1"/>
      <c r="J4" s="1"/>
      <c r="K4" s="1"/>
      <c r="L4" s="1"/>
      <c r="M4" s="1"/>
      <c r="N4" s="1"/>
      <c r="O4" s="1" t="s">
        <v>79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24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SUM(E6:E481)</f>
        <v>1209.691</v>
      </c>
      <c r="F5" s="4">
        <f>SUM(F6:F481)</f>
        <v>599.61099999999988</v>
      </c>
      <c r="G5" s="13"/>
      <c r="H5" s="1"/>
      <c r="I5" s="1"/>
      <c r="J5" s="1"/>
      <c r="K5" s="4">
        <f t="shared" ref="K5:R5" si="0">SUM(K6:K481)</f>
        <v>0</v>
      </c>
      <c r="L5" s="4">
        <f t="shared" si="0"/>
        <v>1209.691</v>
      </c>
      <c r="M5" s="4">
        <f t="shared" si="0"/>
        <v>0</v>
      </c>
      <c r="N5" s="4">
        <f t="shared" si="0"/>
        <v>0</v>
      </c>
      <c r="O5" s="4">
        <f t="shared" si="0"/>
        <v>8935</v>
      </c>
      <c r="P5" s="4">
        <f t="shared" si="0"/>
        <v>241.93820000000005</v>
      </c>
      <c r="Q5" s="4">
        <f t="shared" si="0"/>
        <v>782.1543999999999</v>
      </c>
      <c r="R5" s="4">
        <f t="shared" si="0"/>
        <v>0</v>
      </c>
      <c r="S5" s="1"/>
      <c r="T5" s="1"/>
      <c r="U5" s="1"/>
      <c r="V5" s="4">
        <f t="shared" ref="V5:AC5" si="1">SUM(V6:V481)</f>
        <v>266.65080000000012</v>
      </c>
      <c r="W5" s="4">
        <f t="shared" si="1"/>
        <v>1113.0984000000001</v>
      </c>
      <c r="X5" s="4">
        <f t="shared" si="1"/>
        <v>138.25459999999998</v>
      </c>
      <c r="Y5" s="4">
        <f t="shared" si="1"/>
        <v>478.22260000000006</v>
      </c>
      <c r="Z5" s="4">
        <f t="shared" si="1"/>
        <v>203.20779999999999</v>
      </c>
      <c r="AA5" s="4">
        <f t="shared" si="1"/>
        <v>314.17000000000007</v>
      </c>
      <c r="AB5" s="4">
        <f t="shared" si="1"/>
        <v>335.11</v>
      </c>
      <c r="AC5" s="4">
        <f t="shared" si="1"/>
        <v>404.90200000000004</v>
      </c>
      <c r="AD5" s="1"/>
      <c r="AE5" s="4">
        <f>SUM(AE6:AE481)</f>
        <v>356.74639999999999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-0.214</v>
      </c>
      <c r="D6" s="1"/>
      <c r="E6" s="1">
        <v>-4.71</v>
      </c>
      <c r="F6" s="1">
        <v>-0.214</v>
      </c>
      <c r="G6" s="13">
        <v>1</v>
      </c>
      <c r="H6" s="1">
        <v>30</v>
      </c>
      <c r="I6" s="1">
        <v>1030112235</v>
      </c>
      <c r="J6" s="1"/>
      <c r="K6" s="1"/>
      <c r="L6" s="1">
        <f t="shared" ref="L6:L39" si="2">E6-K6</f>
        <v>-4.71</v>
      </c>
      <c r="M6" s="1"/>
      <c r="N6" s="1"/>
      <c r="O6" s="1">
        <f>VLOOKUP(I6,[1]Sheet!$I:$R,10,0)</f>
        <v>130</v>
      </c>
      <c r="P6" s="1">
        <f>E6/5</f>
        <v>-0.94199999999999995</v>
      </c>
      <c r="Q6" s="5"/>
      <c r="R6" s="5"/>
      <c r="S6" s="1"/>
      <c r="T6" s="1">
        <f>(F6+Q6+O6)/P6</f>
        <v>-137.77707006369428</v>
      </c>
      <c r="U6" s="1">
        <f>(F6+O6)/P6</f>
        <v>-137.77707006369428</v>
      </c>
      <c r="V6" s="1">
        <f>IFERROR(VLOOKUP(A6,[2]TDSheet!$A:$G,3,0),0)/5</f>
        <v>-0.33460000000000001</v>
      </c>
      <c r="W6" s="1">
        <v>19.224599999999999</v>
      </c>
      <c r="X6" s="1">
        <v>0</v>
      </c>
      <c r="Y6" s="1">
        <v>10.345599999999999</v>
      </c>
      <c r="Z6" s="1">
        <v>-0.65199999999999991</v>
      </c>
      <c r="AA6" s="1">
        <v>0.17419999999999999</v>
      </c>
      <c r="AB6" s="1">
        <v>3.3445999999999998</v>
      </c>
      <c r="AC6" s="1">
        <v>5.1424000000000003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34</v>
      </c>
      <c r="C7" s="1">
        <v>4.0250000000000004</v>
      </c>
      <c r="D7" s="1"/>
      <c r="E7" s="1">
        <v>-5.8650000000000002</v>
      </c>
      <c r="F7" s="1">
        <v>4.0250000000000004</v>
      </c>
      <c r="G7" s="13">
        <v>1</v>
      </c>
      <c r="H7" s="1">
        <v>30</v>
      </c>
      <c r="I7" s="1">
        <v>1030112635</v>
      </c>
      <c r="J7" s="1"/>
      <c r="K7" s="1"/>
      <c r="L7" s="1">
        <f t="shared" si="2"/>
        <v>-5.8650000000000002</v>
      </c>
      <c r="M7" s="1"/>
      <c r="N7" s="1"/>
      <c r="O7" s="1">
        <f>VLOOKUP(I7,[1]Sheet!$I:$R,10,0)</f>
        <v>160</v>
      </c>
      <c r="P7" s="1">
        <f t="shared" ref="P7:P43" si="3">E7/5</f>
        <v>-1.173</v>
      </c>
      <c r="Q7" s="5"/>
      <c r="R7" s="5"/>
      <c r="S7" s="1"/>
      <c r="T7" s="1">
        <f t="shared" ref="T7:T43" si="4">(F7+Q7+O7)/P7</f>
        <v>-139.83375959079285</v>
      </c>
      <c r="U7" s="1">
        <f t="shared" ref="U7:U43" si="5">(F7+O7)/P7</f>
        <v>-139.83375959079285</v>
      </c>
      <c r="V7" s="1">
        <f>IFERROR(VLOOKUP(A7,[2]TDSheet!$A:$G,3,0),0)/5</f>
        <v>-1.8135999999999999</v>
      </c>
      <c r="W7" s="1">
        <v>31.787800000000001</v>
      </c>
      <c r="X7" s="1">
        <v>3.8632</v>
      </c>
      <c r="Y7" s="1">
        <v>20.723800000000001</v>
      </c>
      <c r="Z7" s="1">
        <v>-0.32400000000000001</v>
      </c>
      <c r="AA7" s="1">
        <v>7.8170000000000002</v>
      </c>
      <c r="AB7" s="1">
        <v>4.5084</v>
      </c>
      <c r="AC7" s="1">
        <v>17.910599999999999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36</v>
      </c>
      <c r="B8" s="1" t="s">
        <v>34</v>
      </c>
      <c r="C8" s="1">
        <v>223.80699999999999</v>
      </c>
      <c r="D8" s="1"/>
      <c r="E8" s="1">
        <v>104.259</v>
      </c>
      <c r="F8" s="1">
        <v>81.637</v>
      </c>
      <c r="G8" s="13">
        <v>1</v>
      </c>
      <c r="H8" s="1">
        <v>75</v>
      </c>
      <c r="I8" s="1">
        <v>1030115552</v>
      </c>
      <c r="J8" s="1"/>
      <c r="K8" s="1"/>
      <c r="L8" s="1">
        <f t="shared" si="2"/>
        <v>104.259</v>
      </c>
      <c r="M8" s="1"/>
      <c r="N8" s="1"/>
      <c r="O8" s="1">
        <f>VLOOKUP(I8,[1]Sheet!$I:$R,10,0)</f>
        <v>250</v>
      </c>
      <c r="P8" s="1">
        <f t="shared" si="3"/>
        <v>20.851800000000001</v>
      </c>
      <c r="Q8" s="5">
        <f>23*P8-O8-F8</f>
        <v>147.95440000000002</v>
      </c>
      <c r="R8" s="5"/>
      <c r="S8" s="1"/>
      <c r="T8" s="1">
        <f t="shared" si="4"/>
        <v>23</v>
      </c>
      <c r="U8" s="1">
        <f t="shared" si="5"/>
        <v>15.904478270461063</v>
      </c>
      <c r="V8" s="1">
        <f>IFERROR(VLOOKUP(A8,[2]TDSheet!$A:$G,3,0),0)/5</f>
        <v>22.524799999999999</v>
      </c>
      <c r="W8" s="1">
        <v>48.506600000000013</v>
      </c>
      <c r="X8" s="1">
        <v>6.9914000000000014</v>
      </c>
      <c r="Y8" s="1">
        <v>29.0716</v>
      </c>
      <c r="Z8" s="1">
        <v>8.7837999999999994</v>
      </c>
      <c r="AA8" s="1">
        <v>14.3948</v>
      </c>
      <c r="AB8" s="1">
        <v>8.8358000000000008</v>
      </c>
      <c r="AC8" s="1">
        <v>23.141400000000001</v>
      </c>
      <c r="AD8" s="1"/>
      <c r="AE8" s="1">
        <f>G8*Q8</f>
        <v>147.95440000000002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37</v>
      </c>
      <c r="B9" s="1" t="s">
        <v>38</v>
      </c>
      <c r="C9" s="1">
        <v>181</v>
      </c>
      <c r="D9" s="1"/>
      <c r="E9" s="1">
        <v>149</v>
      </c>
      <c r="F9" s="1">
        <v>-3</v>
      </c>
      <c r="G9" s="13">
        <v>0.4</v>
      </c>
      <c r="H9" s="1">
        <v>75</v>
      </c>
      <c r="I9" s="1">
        <v>1030115404</v>
      </c>
      <c r="J9" s="1"/>
      <c r="K9" s="1"/>
      <c r="L9" s="1">
        <f t="shared" si="2"/>
        <v>149</v>
      </c>
      <c r="M9" s="1"/>
      <c r="N9" s="1"/>
      <c r="O9" s="1">
        <f>VLOOKUP(I9,[1]Sheet!$I:$R,10,0)</f>
        <v>600</v>
      </c>
      <c r="P9" s="1">
        <f t="shared" si="3"/>
        <v>29.8</v>
      </c>
      <c r="Q9" s="5">
        <f t="shared" ref="Q9" si="6">23*P9-O9-F9</f>
        <v>88.399999999999977</v>
      </c>
      <c r="R9" s="5"/>
      <c r="S9" s="1"/>
      <c r="T9" s="1">
        <f t="shared" si="4"/>
        <v>23</v>
      </c>
      <c r="U9" s="1">
        <f t="shared" si="5"/>
        <v>20.033557046979865</v>
      </c>
      <c r="V9" s="1">
        <f>IFERROR(VLOOKUP(A9,[2]TDSheet!$A:$G,3,0),0)/5</f>
        <v>48.6</v>
      </c>
      <c r="W9" s="1">
        <v>99.2</v>
      </c>
      <c r="X9" s="1">
        <v>28.4</v>
      </c>
      <c r="Y9" s="1">
        <v>57.2</v>
      </c>
      <c r="Z9" s="1">
        <v>33.6</v>
      </c>
      <c r="AA9" s="1">
        <v>31.8</v>
      </c>
      <c r="AB9" s="1">
        <v>53.8</v>
      </c>
      <c r="AC9" s="1">
        <v>48.4</v>
      </c>
      <c r="AD9" s="1"/>
      <c r="AE9" s="1">
        <f>G9*Q9</f>
        <v>35.359999999999992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39</v>
      </c>
      <c r="B10" s="1" t="s">
        <v>38</v>
      </c>
      <c r="C10" s="1">
        <v>131</v>
      </c>
      <c r="D10" s="1"/>
      <c r="E10" s="1">
        <v>119</v>
      </c>
      <c r="F10" s="1"/>
      <c r="G10" s="13">
        <v>0.4</v>
      </c>
      <c r="H10" s="1">
        <v>75</v>
      </c>
      <c r="I10" s="1">
        <v>1030804004</v>
      </c>
      <c r="J10" s="1"/>
      <c r="K10" s="1"/>
      <c r="L10" s="1">
        <f t="shared" si="2"/>
        <v>119</v>
      </c>
      <c r="M10" s="1"/>
      <c r="N10" s="1"/>
      <c r="O10" s="1">
        <f>VLOOKUP(I10,[1]Sheet!$I:$R,10,0)</f>
        <v>300</v>
      </c>
      <c r="P10" s="1">
        <f t="shared" si="3"/>
        <v>23.8</v>
      </c>
      <c r="Q10" s="5">
        <f>21*P10-O10-F10</f>
        <v>199.8</v>
      </c>
      <c r="R10" s="5"/>
      <c r="S10" s="1"/>
      <c r="T10" s="1">
        <f t="shared" si="4"/>
        <v>21</v>
      </c>
      <c r="U10" s="1">
        <f t="shared" si="5"/>
        <v>12.605042016806722</v>
      </c>
      <c r="V10" s="1">
        <f>IFERROR(VLOOKUP(A10,[2]TDSheet!$A:$G,3,0),0)/5</f>
        <v>9.8000000000000007</v>
      </c>
      <c r="W10" s="1">
        <v>11</v>
      </c>
      <c r="X10" s="1">
        <v>2.4</v>
      </c>
      <c r="Y10" s="1">
        <v>19.399999999999999</v>
      </c>
      <c r="Z10" s="1">
        <v>5.2</v>
      </c>
      <c r="AA10" s="1">
        <v>18.2</v>
      </c>
      <c r="AB10" s="1">
        <v>4.2</v>
      </c>
      <c r="AC10" s="1">
        <v>25.6</v>
      </c>
      <c r="AD10" s="1"/>
      <c r="AE10" s="1">
        <f>G10*Q10</f>
        <v>79.920000000000016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0" t="s">
        <v>40</v>
      </c>
      <c r="B11" s="10" t="s">
        <v>38</v>
      </c>
      <c r="C11" s="10"/>
      <c r="D11" s="10"/>
      <c r="E11" s="10">
        <v>-5</v>
      </c>
      <c r="F11" s="10"/>
      <c r="G11" s="15">
        <v>0</v>
      </c>
      <c r="H11" s="10">
        <v>45</v>
      </c>
      <c r="I11" s="10">
        <v>1030419235</v>
      </c>
      <c r="J11" s="10"/>
      <c r="K11" s="10"/>
      <c r="L11" s="10">
        <f t="shared" si="2"/>
        <v>-5</v>
      </c>
      <c r="M11" s="10"/>
      <c r="N11" s="10"/>
      <c r="O11" s="10">
        <f>VLOOKUP(I11,[1]Sheet!$I:$R,10,0)</f>
        <v>0</v>
      </c>
      <c r="P11" s="10">
        <f t="shared" si="3"/>
        <v>-1</v>
      </c>
      <c r="Q11" s="11"/>
      <c r="R11" s="11"/>
      <c r="S11" s="12" t="s">
        <v>77</v>
      </c>
      <c r="T11" s="10">
        <f t="shared" si="4"/>
        <v>0</v>
      </c>
      <c r="U11" s="10">
        <f t="shared" si="5"/>
        <v>0</v>
      </c>
      <c r="V11" s="10">
        <f>IFERROR(VLOOKUP(A11,[2]TDSheet!$A:$G,3,0),0)/5</f>
        <v>-0.4</v>
      </c>
      <c r="W11" s="10">
        <v>22</v>
      </c>
      <c r="X11" s="10">
        <v>-1.2</v>
      </c>
      <c r="Y11" s="10">
        <v>7.2</v>
      </c>
      <c r="Z11" s="10">
        <v>10.4</v>
      </c>
      <c r="AA11" s="10">
        <v>21.8</v>
      </c>
      <c r="AB11" s="10">
        <v>9</v>
      </c>
      <c r="AC11" s="10">
        <v>7.4</v>
      </c>
      <c r="AD11" s="10" t="s">
        <v>41</v>
      </c>
      <c r="AE11" s="10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42</v>
      </c>
      <c r="B12" s="1" t="s">
        <v>38</v>
      </c>
      <c r="C12" s="1">
        <v>91</v>
      </c>
      <c r="D12" s="1"/>
      <c r="E12" s="1">
        <v>76</v>
      </c>
      <c r="F12" s="1">
        <v>2</v>
      </c>
      <c r="G12" s="13">
        <v>0.5</v>
      </c>
      <c r="H12" s="1">
        <v>45</v>
      </c>
      <c r="I12" s="1">
        <v>1030412236</v>
      </c>
      <c r="J12" s="1"/>
      <c r="K12" s="1"/>
      <c r="L12" s="1">
        <f t="shared" si="2"/>
        <v>76</v>
      </c>
      <c r="M12" s="1"/>
      <c r="N12" s="1"/>
      <c r="O12" s="1">
        <f>VLOOKUP(I12,[1]Sheet!$I:$R,10,0)</f>
        <v>250</v>
      </c>
      <c r="P12" s="1">
        <f t="shared" si="3"/>
        <v>15.2</v>
      </c>
      <c r="Q12" s="5">
        <f t="shared" ref="Q12:Q14" si="7">23*P12-O12-F12</f>
        <v>97.599999999999966</v>
      </c>
      <c r="R12" s="5"/>
      <c r="S12" s="1"/>
      <c r="T12" s="1">
        <f t="shared" si="4"/>
        <v>23</v>
      </c>
      <c r="U12" s="1">
        <f t="shared" si="5"/>
        <v>16.578947368421055</v>
      </c>
      <c r="V12" s="1">
        <f>IFERROR(VLOOKUP(A12,[2]TDSheet!$A:$G,3,0),0)/5</f>
        <v>10.6</v>
      </c>
      <c r="W12" s="1">
        <v>50.8</v>
      </c>
      <c r="X12" s="1">
        <v>9.1999999999999993</v>
      </c>
      <c r="Y12" s="1">
        <v>27</v>
      </c>
      <c r="Z12" s="1">
        <v>6.4</v>
      </c>
      <c r="AA12" s="1">
        <v>19.600000000000001</v>
      </c>
      <c r="AB12" s="1">
        <v>16.8</v>
      </c>
      <c r="AC12" s="1">
        <v>17.399999999999999</v>
      </c>
      <c r="AD12" s="1"/>
      <c r="AE12" s="1">
        <f>G12*Q12</f>
        <v>48.799999999999983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8" t="s">
        <v>43</v>
      </c>
      <c r="B13" s="7" t="s">
        <v>38</v>
      </c>
      <c r="C13" s="1">
        <v>57</v>
      </c>
      <c r="D13" s="1"/>
      <c r="E13" s="1">
        <v>33</v>
      </c>
      <c r="F13" s="1">
        <v>24</v>
      </c>
      <c r="G13" s="13">
        <v>0.3</v>
      </c>
      <c r="H13" s="1">
        <v>45</v>
      </c>
      <c r="I13" s="1">
        <v>1030419435</v>
      </c>
      <c r="J13" s="1"/>
      <c r="K13" s="1"/>
      <c r="L13" s="1">
        <f t="shared" si="2"/>
        <v>33</v>
      </c>
      <c r="M13" s="1"/>
      <c r="N13" s="1"/>
      <c r="O13" s="1">
        <f>VLOOKUP(I13,[1]Sheet!$I:$R,10,0)</f>
        <v>250</v>
      </c>
      <c r="P13" s="1">
        <f t="shared" si="3"/>
        <v>6.6</v>
      </c>
      <c r="Q13" s="5"/>
      <c r="R13" s="5"/>
      <c r="S13" s="1" t="s">
        <v>78</v>
      </c>
      <c r="T13" s="1">
        <f t="shared" si="4"/>
        <v>41.515151515151516</v>
      </c>
      <c r="U13" s="1">
        <f t="shared" si="5"/>
        <v>41.515151515151516</v>
      </c>
      <c r="V13" s="1">
        <f>IFERROR(VLOOKUP(A13,[2]TDSheet!$A:$G,3,0),0)/5</f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7" t="s">
        <v>44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38</v>
      </c>
      <c r="C14" s="1">
        <v>242</v>
      </c>
      <c r="D14" s="1"/>
      <c r="E14" s="1">
        <v>229</v>
      </c>
      <c r="F14" s="1">
        <v>5</v>
      </c>
      <c r="G14" s="13">
        <v>0.18</v>
      </c>
      <c r="H14" s="1">
        <v>90</v>
      </c>
      <c r="I14" s="1">
        <v>1030712385</v>
      </c>
      <c r="J14" s="1"/>
      <c r="K14" s="1"/>
      <c r="L14" s="1">
        <f t="shared" si="2"/>
        <v>229</v>
      </c>
      <c r="M14" s="1"/>
      <c r="N14" s="1"/>
      <c r="O14" s="1">
        <f>VLOOKUP(I14,[1]Sheet!$I:$R,10,0)</f>
        <v>800</v>
      </c>
      <c r="P14" s="1">
        <f t="shared" si="3"/>
        <v>45.8</v>
      </c>
      <c r="Q14" s="5">
        <f t="shared" si="7"/>
        <v>248.39999999999986</v>
      </c>
      <c r="R14" s="5"/>
      <c r="S14" s="1"/>
      <c r="T14" s="1">
        <f t="shared" si="4"/>
        <v>23</v>
      </c>
      <c r="U14" s="1">
        <f t="shared" si="5"/>
        <v>17.5764192139738</v>
      </c>
      <c r="V14" s="1">
        <f>IFERROR(VLOOKUP(A14,[2]TDSheet!$A:$G,3,0),0)/5</f>
        <v>29.6</v>
      </c>
      <c r="W14" s="1">
        <v>150.19999999999999</v>
      </c>
      <c r="X14" s="1">
        <v>-6.6</v>
      </c>
      <c r="Y14" s="1">
        <v>17.600000000000001</v>
      </c>
      <c r="Z14" s="1">
        <v>49.2</v>
      </c>
      <c r="AA14" s="1">
        <v>33.799999999999997</v>
      </c>
      <c r="AB14" s="1">
        <v>43.8</v>
      </c>
      <c r="AC14" s="1">
        <v>31</v>
      </c>
      <c r="AD14" s="1"/>
      <c r="AE14" s="1">
        <f>G14*Q14</f>
        <v>44.711999999999975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47</v>
      </c>
      <c r="B15" s="10" t="s">
        <v>38</v>
      </c>
      <c r="C15" s="10"/>
      <c r="D15" s="10"/>
      <c r="E15" s="10"/>
      <c r="F15" s="10"/>
      <c r="G15" s="15">
        <v>0</v>
      </c>
      <c r="H15" s="10">
        <v>60</v>
      </c>
      <c r="I15" s="10">
        <v>1030709904</v>
      </c>
      <c r="J15" s="10"/>
      <c r="K15" s="10"/>
      <c r="L15" s="10">
        <f t="shared" si="2"/>
        <v>0</v>
      </c>
      <c r="M15" s="10"/>
      <c r="N15" s="10"/>
      <c r="O15" s="10">
        <f>VLOOKUP(I15,[1]Sheet!$I:$R,10,0)</f>
        <v>0</v>
      </c>
      <c r="P15" s="10">
        <f t="shared" si="3"/>
        <v>0</v>
      </c>
      <c r="Q15" s="11"/>
      <c r="R15" s="11"/>
      <c r="S15" s="12" t="s">
        <v>77</v>
      </c>
      <c r="T15" s="10" t="e">
        <f t="shared" si="4"/>
        <v>#DIV/0!</v>
      </c>
      <c r="U15" s="10" t="e">
        <f t="shared" si="5"/>
        <v>#DIV/0!</v>
      </c>
      <c r="V15" s="10">
        <f>IFERROR(VLOOKUP(A15,[2]TDSheet!$A:$G,3,0),0)/5</f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/>
      <c r="AE15" s="10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9" t="s">
        <v>48</v>
      </c>
      <c r="B16" s="1" t="s">
        <v>38</v>
      </c>
      <c r="C16" s="1"/>
      <c r="D16" s="1"/>
      <c r="E16" s="1"/>
      <c r="F16" s="1"/>
      <c r="G16" s="13">
        <v>0.4</v>
      </c>
      <c r="H16" s="1">
        <v>60</v>
      </c>
      <c r="I16" s="1">
        <v>1030517871</v>
      </c>
      <c r="J16" s="1"/>
      <c r="K16" s="1"/>
      <c r="L16" s="1">
        <f t="shared" si="2"/>
        <v>0</v>
      </c>
      <c r="M16" s="1"/>
      <c r="N16" s="1"/>
      <c r="O16" s="1">
        <f>VLOOKUP(I16,[1]Sheet!$I:$R,10,0)</f>
        <v>0</v>
      </c>
      <c r="P16" s="1">
        <f t="shared" si="3"/>
        <v>0</v>
      </c>
      <c r="Q16" s="5"/>
      <c r="R16" s="5"/>
      <c r="S16" s="1" t="s">
        <v>78</v>
      </c>
      <c r="T16" s="1" t="e">
        <f t="shared" si="4"/>
        <v>#DIV/0!</v>
      </c>
      <c r="U16" s="1" t="e">
        <f t="shared" si="5"/>
        <v>#DIV/0!</v>
      </c>
      <c r="V16" s="1">
        <f>IFERROR(VLOOKUP(A16,[2]TDSheet!$A:$G,3,0),0)/5</f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 t="s">
        <v>45</v>
      </c>
      <c r="AE16" s="1">
        <f t="shared" ref="AE16:AE21" si="8"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8" t="s">
        <v>49</v>
      </c>
      <c r="B17" s="1"/>
      <c r="C17" s="1">
        <v>40</v>
      </c>
      <c r="D17" s="1"/>
      <c r="E17" s="1">
        <v>9</v>
      </c>
      <c r="F17" s="1">
        <v>31</v>
      </c>
      <c r="G17" s="13">
        <v>8.5000000000000006E-2</v>
      </c>
      <c r="H17" s="1">
        <v>90</v>
      </c>
      <c r="I17" s="1">
        <v>1030680328</v>
      </c>
      <c r="J17" s="1"/>
      <c r="K17" s="1"/>
      <c r="L17" s="1">
        <f t="shared" si="2"/>
        <v>9</v>
      </c>
      <c r="M17" s="1"/>
      <c r="N17" s="1"/>
      <c r="O17" s="1">
        <f>VLOOKUP(I17,[1]Sheet!$I:$R,10,0)</f>
        <v>200</v>
      </c>
      <c r="P17" s="1">
        <f t="shared" si="3"/>
        <v>1.8</v>
      </c>
      <c r="Q17" s="5"/>
      <c r="R17" s="5"/>
      <c r="S17" s="1" t="s">
        <v>78</v>
      </c>
      <c r="T17" s="1">
        <f t="shared" si="4"/>
        <v>128.33333333333334</v>
      </c>
      <c r="U17" s="1">
        <f t="shared" si="5"/>
        <v>128.33333333333334</v>
      </c>
      <c r="V17" s="1">
        <f>IFERROR(VLOOKUP(A17,[2]TDSheet!$A:$G,3,0),0)/5</f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 t="s">
        <v>45</v>
      </c>
      <c r="AE17" s="1">
        <f t="shared" si="8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50</v>
      </c>
      <c r="B18" s="1" t="s">
        <v>38</v>
      </c>
      <c r="C18" s="1">
        <v>293</v>
      </c>
      <c r="D18" s="1"/>
      <c r="E18" s="1">
        <v>144</v>
      </c>
      <c r="F18" s="1">
        <v>106</v>
      </c>
      <c r="G18" s="13">
        <v>0.3</v>
      </c>
      <c r="H18" s="1">
        <v>150</v>
      </c>
      <c r="I18" s="1">
        <v>1030686740</v>
      </c>
      <c r="J18" s="1"/>
      <c r="K18" s="1"/>
      <c r="L18" s="1">
        <f t="shared" si="2"/>
        <v>144</v>
      </c>
      <c r="M18" s="1"/>
      <c r="N18" s="1"/>
      <c r="O18" s="1">
        <f>VLOOKUP(I18,[1]Sheet!$I:$R,10,0)</f>
        <v>900</v>
      </c>
      <c r="P18" s="1">
        <f t="shared" si="3"/>
        <v>28.8</v>
      </c>
      <c r="Q18" s="5"/>
      <c r="R18" s="5"/>
      <c r="S18" s="1"/>
      <c r="T18" s="1">
        <f t="shared" si="4"/>
        <v>34.930555555555557</v>
      </c>
      <c r="U18" s="1">
        <f t="shared" si="5"/>
        <v>34.930555555555557</v>
      </c>
      <c r="V18" s="1">
        <f>IFERROR(VLOOKUP(A18,[2]TDSheet!$A:$G,3,0),0)/5</f>
        <v>48.4</v>
      </c>
      <c r="W18" s="1">
        <v>121.2</v>
      </c>
      <c r="X18" s="1">
        <v>20.399999999999999</v>
      </c>
      <c r="Y18" s="1">
        <v>56.4</v>
      </c>
      <c r="Z18" s="1">
        <v>32.200000000000003</v>
      </c>
      <c r="AA18" s="1">
        <v>32.4</v>
      </c>
      <c r="AB18" s="1">
        <v>39.4</v>
      </c>
      <c r="AC18" s="1">
        <v>46.4</v>
      </c>
      <c r="AD18" s="1"/>
      <c r="AE18" s="1">
        <f t="shared" si="8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51</v>
      </c>
      <c r="B19" s="1" t="s">
        <v>38</v>
      </c>
      <c r="C19" s="1">
        <v>225</v>
      </c>
      <c r="D19" s="1"/>
      <c r="E19" s="1">
        <v>109</v>
      </c>
      <c r="F19" s="1">
        <v>68</v>
      </c>
      <c r="G19" s="13">
        <v>0.3</v>
      </c>
      <c r="H19" s="1">
        <v>135</v>
      </c>
      <c r="I19" s="1">
        <v>1030686857</v>
      </c>
      <c r="J19" s="1"/>
      <c r="K19" s="1"/>
      <c r="L19" s="1">
        <f t="shared" si="2"/>
        <v>109</v>
      </c>
      <c r="M19" s="1"/>
      <c r="N19" s="1"/>
      <c r="O19" s="1">
        <f>VLOOKUP(I19,[1]Sheet!$I:$R,10,0)</f>
        <v>800</v>
      </c>
      <c r="P19" s="1">
        <f t="shared" si="3"/>
        <v>21.8</v>
      </c>
      <c r="Q19" s="5"/>
      <c r="R19" s="5"/>
      <c r="S19" s="1"/>
      <c r="T19" s="1">
        <f t="shared" si="4"/>
        <v>39.816513761467888</v>
      </c>
      <c r="U19" s="1">
        <f t="shared" si="5"/>
        <v>39.816513761467888</v>
      </c>
      <c r="V19" s="1">
        <f>IFERROR(VLOOKUP(A19,[2]TDSheet!$A:$G,3,0),0)/5</f>
        <v>37.200000000000003</v>
      </c>
      <c r="W19" s="1">
        <v>85.4</v>
      </c>
      <c r="X19" s="1">
        <v>34.6</v>
      </c>
      <c r="Y19" s="1">
        <v>55.6</v>
      </c>
      <c r="Z19" s="1">
        <v>14.6</v>
      </c>
      <c r="AA19" s="1">
        <v>20.8</v>
      </c>
      <c r="AB19" s="1">
        <v>36.200000000000003</v>
      </c>
      <c r="AC19" s="1">
        <v>26.4</v>
      </c>
      <c r="AD19" s="1"/>
      <c r="AE19" s="1">
        <f t="shared" si="8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52</v>
      </c>
      <c r="B20" s="1" t="s">
        <v>38</v>
      </c>
      <c r="C20" s="1">
        <v>49</v>
      </c>
      <c r="D20" s="1"/>
      <c r="E20" s="1">
        <v>61</v>
      </c>
      <c r="F20" s="1">
        <v>-24</v>
      </c>
      <c r="G20" s="13">
        <v>0.2</v>
      </c>
      <c r="H20" s="1">
        <v>90</v>
      </c>
      <c r="I20" s="1">
        <v>1030654104</v>
      </c>
      <c r="J20" s="1"/>
      <c r="K20" s="1"/>
      <c r="L20" s="1">
        <f t="shared" si="2"/>
        <v>61</v>
      </c>
      <c r="M20" s="1"/>
      <c r="N20" s="1"/>
      <c r="O20" s="1">
        <f>VLOOKUP(I20,[1]Sheet!$I:$R,10,0)</f>
        <v>600</v>
      </c>
      <c r="P20" s="1">
        <f t="shared" si="3"/>
        <v>12.2</v>
      </c>
      <c r="Q20" s="5"/>
      <c r="R20" s="5"/>
      <c r="S20" s="1"/>
      <c r="T20" s="1">
        <f t="shared" si="4"/>
        <v>47.213114754098363</v>
      </c>
      <c r="U20" s="1">
        <f t="shared" si="5"/>
        <v>47.213114754098363</v>
      </c>
      <c r="V20" s="1">
        <f>IFERROR(VLOOKUP(A20,[2]TDSheet!$A:$G,3,0),0)/5</f>
        <v>14.6</v>
      </c>
      <c r="W20" s="1">
        <v>54.4</v>
      </c>
      <c r="X20" s="1">
        <v>-0.6</v>
      </c>
      <c r="Y20" s="1">
        <v>7.6</v>
      </c>
      <c r="Z20" s="1">
        <v>14</v>
      </c>
      <c r="AA20" s="1">
        <v>17.2</v>
      </c>
      <c r="AB20" s="1">
        <v>9.6</v>
      </c>
      <c r="AC20" s="1">
        <v>11.8</v>
      </c>
      <c r="AD20" s="1"/>
      <c r="AE20" s="1">
        <f t="shared" si="8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9" t="s">
        <v>53</v>
      </c>
      <c r="B21" s="7" t="s">
        <v>38</v>
      </c>
      <c r="C21" s="1">
        <v>40</v>
      </c>
      <c r="D21" s="1"/>
      <c r="E21" s="1">
        <v>9</v>
      </c>
      <c r="F21" s="1">
        <v>31</v>
      </c>
      <c r="G21" s="13">
        <v>8.5000000000000006E-2</v>
      </c>
      <c r="H21" s="1">
        <v>90</v>
      </c>
      <c r="I21" s="1">
        <v>1030683928</v>
      </c>
      <c r="J21" s="1"/>
      <c r="K21" s="1"/>
      <c r="L21" s="1">
        <f t="shared" si="2"/>
        <v>9</v>
      </c>
      <c r="M21" s="1"/>
      <c r="N21" s="1"/>
      <c r="O21" s="1">
        <f>VLOOKUP(I21,[1]Sheet!$I:$R,10,0)</f>
        <v>200</v>
      </c>
      <c r="P21" s="1">
        <f t="shared" si="3"/>
        <v>1.8</v>
      </c>
      <c r="Q21" s="5"/>
      <c r="R21" s="5"/>
      <c r="S21" s="1" t="s">
        <v>78</v>
      </c>
      <c r="T21" s="1">
        <f t="shared" si="4"/>
        <v>128.33333333333334</v>
      </c>
      <c r="U21" s="1">
        <f t="shared" si="5"/>
        <v>128.33333333333334</v>
      </c>
      <c r="V21" s="1">
        <f>IFERROR(VLOOKUP(A21,[2]TDSheet!$A:$G,3,0),0)/5</f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 t="s">
        <v>45</v>
      </c>
      <c r="AE21" s="1">
        <f t="shared" si="8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54</v>
      </c>
      <c r="B22" s="10" t="s">
        <v>38</v>
      </c>
      <c r="C22" s="10">
        <v>-2</v>
      </c>
      <c r="D22" s="10"/>
      <c r="E22" s="10">
        <v>-9</v>
      </c>
      <c r="F22" s="10">
        <v>-2</v>
      </c>
      <c r="G22" s="15">
        <v>0</v>
      </c>
      <c r="H22" s="10">
        <v>135</v>
      </c>
      <c r="I22" s="10">
        <v>1030686241</v>
      </c>
      <c r="J22" s="10"/>
      <c r="K22" s="10"/>
      <c r="L22" s="10">
        <f t="shared" si="2"/>
        <v>-9</v>
      </c>
      <c r="M22" s="10"/>
      <c r="N22" s="10"/>
      <c r="O22" s="10">
        <f>VLOOKUP(I22,[1]Sheet!$I:$R,10,0)</f>
        <v>0</v>
      </c>
      <c r="P22" s="10">
        <f t="shared" si="3"/>
        <v>-1.8</v>
      </c>
      <c r="Q22" s="11"/>
      <c r="R22" s="11"/>
      <c r="S22" s="12" t="s">
        <v>77</v>
      </c>
      <c r="T22" s="10">
        <f t="shared" si="4"/>
        <v>1.1111111111111112</v>
      </c>
      <c r="U22" s="10">
        <f t="shared" si="5"/>
        <v>1.1111111111111112</v>
      </c>
      <c r="V22" s="10">
        <f>IFERROR(VLOOKUP(A22,[2]TDSheet!$A:$G,3,0),0)/5</f>
        <v>-0.6</v>
      </c>
      <c r="W22" s="10">
        <v>34.200000000000003</v>
      </c>
      <c r="X22" s="10">
        <v>4</v>
      </c>
      <c r="Y22" s="10">
        <v>12.4</v>
      </c>
      <c r="Z22" s="10">
        <v>7.6</v>
      </c>
      <c r="AA22" s="10">
        <v>10</v>
      </c>
      <c r="AB22" s="10">
        <v>10</v>
      </c>
      <c r="AC22" s="10">
        <v>8.1999999999999993</v>
      </c>
      <c r="AD22" s="10"/>
      <c r="AE22" s="1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0" t="s">
        <v>55</v>
      </c>
      <c r="B23" s="10" t="s">
        <v>38</v>
      </c>
      <c r="C23" s="10">
        <v>-16</v>
      </c>
      <c r="D23" s="10"/>
      <c r="E23" s="10">
        <v>-4</v>
      </c>
      <c r="F23" s="10">
        <v>-16</v>
      </c>
      <c r="G23" s="15">
        <v>0</v>
      </c>
      <c r="H23" s="10">
        <v>90</v>
      </c>
      <c r="I23" s="10">
        <v>1030650028</v>
      </c>
      <c r="J23" s="10"/>
      <c r="K23" s="10"/>
      <c r="L23" s="10">
        <f t="shared" si="2"/>
        <v>-4</v>
      </c>
      <c r="M23" s="10"/>
      <c r="N23" s="10"/>
      <c r="O23" s="10">
        <f>VLOOKUP(I23,[1]Sheet!$I:$R,10,0)</f>
        <v>0</v>
      </c>
      <c r="P23" s="10">
        <f t="shared" si="3"/>
        <v>-0.8</v>
      </c>
      <c r="Q23" s="11"/>
      <c r="R23" s="11"/>
      <c r="S23" s="12" t="s">
        <v>77</v>
      </c>
      <c r="T23" s="10">
        <f t="shared" si="4"/>
        <v>20</v>
      </c>
      <c r="U23" s="10">
        <f t="shared" si="5"/>
        <v>20</v>
      </c>
      <c r="V23" s="10">
        <f>IFERROR(VLOOKUP(A23,[2]TDSheet!$A:$G,3,0),0)/5</f>
        <v>-0.6</v>
      </c>
      <c r="W23" s="10">
        <v>39.200000000000003</v>
      </c>
      <c r="X23" s="10">
        <v>0</v>
      </c>
      <c r="Y23" s="10">
        <v>4.5999999999999996</v>
      </c>
      <c r="Z23" s="10">
        <v>9.4</v>
      </c>
      <c r="AA23" s="10">
        <v>14.6</v>
      </c>
      <c r="AB23" s="10">
        <v>14.4</v>
      </c>
      <c r="AC23" s="10">
        <v>0</v>
      </c>
      <c r="AD23" s="10"/>
      <c r="AE23" s="1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0" t="s">
        <v>56</v>
      </c>
      <c r="B24" s="10" t="s">
        <v>38</v>
      </c>
      <c r="C24" s="10">
        <v>-1</v>
      </c>
      <c r="D24" s="10"/>
      <c r="E24" s="10">
        <v>-4</v>
      </c>
      <c r="F24" s="10">
        <v>-1</v>
      </c>
      <c r="G24" s="15">
        <v>0</v>
      </c>
      <c r="H24" s="10">
        <v>135</v>
      </c>
      <c r="I24" s="10">
        <v>1030657419</v>
      </c>
      <c r="J24" s="10"/>
      <c r="K24" s="10"/>
      <c r="L24" s="10">
        <f t="shared" si="2"/>
        <v>-4</v>
      </c>
      <c r="M24" s="10"/>
      <c r="N24" s="10"/>
      <c r="O24" s="10">
        <f>VLOOKUP(I24,[1]Sheet!$I:$R,10,0)</f>
        <v>0</v>
      </c>
      <c r="P24" s="10">
        <f t="shared" si="3"/>
        <v>-0.8</v>
      </c>
      <c r="Q24" s="11"/>
      <c r="R24" s="11"/>
      <c r="S24" s="12" t="s">
        <v>77</v>
      </c>
      <c r="T24" s="10">
        <f t="shared" si="4"/>
        <v>1.25</v>
      </c>
      <c r="U24" s="10">
        <f t="shared" si="5"/>
        <v>1.25</v>
      </c>
      <c r="V24" s="10">
        <f>IFERROR(VLOOKUP(A24,[2]TDSheet!$A:$G,3,0),0)/5</f>
        <v>-0.2</v>
      </c>
      <c r="W24" s="10">
        <v>27.8</v>
      </c>
      <c r="X24" s="10">
        <v>17.600000000000001</v>
      </c>
      <c r="Y24" s="10">
        <v>8.1999999999999993</v>
      </c>
      <c r="Z24" s="10">
        <v>6.8</v>
      </c>
      <c r="AA24" s="10">
        <v>4.8</v>
      </c>
      <c r="AB24" s="10">
        <v>6.8</v>
      </c>
      <c r="AC24" s="10">
        <v>5.6</v>
      </c>
      <c r="AD24" s="10"/>
      <c r="AE24" s="10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57</v>
      </c>
      <c r="B25" s="10" t="s">
        <v>38</v>
      </c>
      <c r="C25" s="10">
        <v>4</v>
      </c>
      <c r="D25" s="10"/>
      <c r="E25" s="10">
        <v>-3</v>
      </c>
      <c r="F25" s="10">
        <v>4</v>
      </c>
      <c r="G25" s="15">
        <v>0</v>
      </c>
      <c r="H25" s="10">
        <v>90</v>
      </c>
      <c r="I25" s="10">
        <v>1030657628</v>
      </c>
      <c r="J25" s="10"/>
      <c r="K25" s="10"/>
      <c r="L25" s="10">
        <f t="shared" si="2"/>
        <v>-3</v>
      </c>
      <c r="M25" s="10"/>
      <c r="N25" s="10"/>
      <c r="O25" s="10">
        <f>VLOOKUP(I25,[1]Sheet!$I:$R,10,0)</f>
        <v>0</v>
      </c>
      <c r="P25" s="10">
        <f t="shared" si="3"/>
        <v>-0.6</v>
      </c>
      <c r="Q25" s="11"/>
      <c r="R25" s="11"/>
      <c r="S25" s="12" t="s">
        <v>77</v>
      </c>
      <c r="T25" s="10">
        <f t="shared" si="4"/>
        <v>-6.666666666666667</v>
      </c>
      <c r="U25" s="10">
        <f t="shared" si="5"/>
        <v>-6.666666666666667</v>
      </c>
      <c r="V25" s="10">
        <f>IFERROR(VLOOKUP(A25,[2]TDSheet!$A:$G,3,0),0)/5</f>
        <v>-0.2</v>
      </c>
      <c r="W25" s="10">
        <v>36.200000000000003</v>
      </c>
      <c r="X25" s="10">
        <v>0</v>
      </c>
      <c r="Y25" s="10">
        <v>0</v>
      </c>
      <c r="Z25" s="10">
        <v>0.6</v>
      </c>
      <c r="AA25" s="10">
        <v>12.8</v>
      </c>
      <c r="AB25" s="10">
        <v>7.6</v>
      </c>
      <c r="AC25" s="10">
        <v>10.199999999999999</v>
      </c>
      <c r="AD25" s="10"/>
      <c r="AE25" s="10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58</v>
      </c>
      <c r="B26" s="1" t="s">
        <v>38</v>
      </c>
      <c r="C26" s="1">
        <v>198</v>
      </c>
      <c r="D26" s="1"/>
      <c r="E26" s="1">
        <v>47</v>
      </c>
      <c r="F26" s="1">
        <v>122</v>
      </c>
      <c r="G26" s="13">
        <v>0.3</v>
      </c>
      <c r="H26" s="1">
        <v>135</v>
      </c>
      <c r="I26" s="1">
        <v>1030679319</v>
      </c>
      <c r="J26" s="1"/>
      <c r="K26" s="1"/>
      <c r="L26" s="1">
        <f t="shared" si="2"/>
        <v>47</v>
      </c>
      <c r="M26" s="1"/>
      <c r="N26" s="1"/>
      <c r="O26" s="1">
        <f>VLOOKUP(I26,[1]Sheet!$I:$R,10,0)</f>
        <v>400</v>
      </c>
      <c r="P26" s="1">
        <f t="shared" si="3"/>
        <v>9.4</v>
      </c>
      <c r="Q26" s="5"/>
      <c r="R26" s="5"/>
      <c r="S26" s="1"/>
      <c r="T26" s="1">
        <f t="shared" si="4"/>
        <v>55.531914893617021</v>
      </c>
      <c r="U26" s="1">
        <f t="shared" si="5"/>
        <v>55.531914893617021</v>
      </c>
      <c r="V26" s="1">
        <f>IFERROR(VLOOKUP(A26,[2]TDSheet!$A:$G,3,0),0)/5</f>
        <v>15</v>
      </c>
      <c r="W26" s="1">
        <v>9.4</v>
      </c>
      <c r="X26" s="1">
        <v>24.4</v>
      </c>
      <c r="Y26" s="1">
        <v>26.6</v>
      </c>
      <c r="Z26" s="1">
        <v>14.8</v>
      </c>
      <c r="AA26" s="1">
        <v>9.1999999999999993</v>
      </c>
      <c r="AB26" s="1">
        <v>12.4</v>
      </c>
      <c r="AC26" s="1">
        <v>13.6</v>
      </c>
      <c r="AD26" s="1"/>
      <c r="AE26" s="1">
        <f t="shared" ref="AE26:AE31" si="9"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9" t="s">
        <v>59</v>
      </c>
      <c r="B27" s="7" t="s">
        <v>38</v>
      </c>
      <c r="C27" s="1">
        <v>116</v>
      </c>
      <c r="D27" s="1"/>
      <c r="E27" s="1">
        <v>13</v>
      </c>
      <c r="F27" s="1">
        <v>103</v>
      </c>
      <c r="G27" s="13">
        <v>0.22500000000000001</v>
      </c>
      <c r="H27" s="1">
        <v>135</v>
      </c>
      <c r="I27" s="1">
        <v>1030671534</v>
      </c>
      <c r="J27" s="1"/>
      <c r="K27" s="1"/>
      <c r="L27" s="1">
        <f t="shared" si="2"/>
        <v>13</v>
      </c>
      <c r="M27" s="1"/>
      <c r="N27" s="1"/>
      <c r="O27" s="1">
        <f>VLOOKUP(I27,[1]Sheet!$I:$R,10,0)</f>
        <v>300</v>
      </c>
      <c r="P27" s="1">
        <f t="shared" si="3"/>
        <v>2.6</v>
      </c>
      <c r="Q27" s="5"/>
      <c r="R27" s="5"/>
      <c r="S27" s="1" t="s">
        <v>78</v>
      </c>
      <c r="T27" s="1">
        <f t="shared" si="4"/>
        <v>155</v>
      </c>
      <c r="U27" s="1">
        <f t="shared" si="5"/>
        <v>155</v>
      </c>
      <c r="V27" s="1">
        <f>IFERROR(VLOOKUP(A27,[2]TDSheet!$A:$G,3,0),0)/5</f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7" t="s">
        <v>44</v>
      </c>
      <c r="AE27" s="1">
        <f t="shared" si="9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9" t="s">
        <v>60</v>
      </c>
      <c r="B28" s="7" t="s">
        <v>38</v>
      </c>
      <c r="C28" s="1">
        <v>74</v>
      </c>
      <c r="D28" s="1"/>
      <c r="E28" s="1">
        <v>15</v>
      </c>
      <c r="F28" s="1">
        <v>59</v>
      </c>
      <c r="G28" s="13">
        <v>0.22500000000000001</v>
      </c>
      <c r="H28" s="1">
        <v>135</v>
      </c>
      <c r="I28" s="1">
        <v>1030688634</v>
      </c>
      <c r="J28" s="1"/>
      <c r="K28" s="1"/>
      <c r="L28" s="1">
        <f t="shared" si="2"/>
        <v>15</v>
      </c>
      <c r="M28" s="1"/>
      <c r="N28" s="1"/>
      <c r="O28" s="1">
        <f>VLOOKUP(I28,[1]Sheet!$I:$R,10,0)</f>
        <v>300</v>
      </c>
      <c r="P28" s="1">
        <f t="shared" si="3"/>
        <v>3</v>
      </c>
      <c r="Q28" s="5"/>
      <c r="R28" s="5"/>
      <c r="S28" s="1" t="s">
        <v>78</v>
      </c>
      <c r="T28" s="1">
        <f t="shared" si="4"/>
        <v>119.66666666666667</v>
      </c>
      <c r="U28" s="1">
        <f t="shared" si="5"/>
        <v>119.66666666666667</v>
      </c>
      <c r="V28" s="1">
        <f>IFERROR(VLOOKUP(A28,[2]TDSheet!$A:$G,3,0),0)/5</f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7" t="s">
        <v>44</v>
      </c>
      <c r="AE28" s="1">
        <f t="shared" si="9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7" t="s">
        <v>61</v>
      </c>
      <c r="B29" s="1" t="s">
        <v>38</v>
      </c>
      <c r="C29" s="1">
        <v>102</v>
      </c>
      <c r="D29" s="1"/>
      <c r="E29" s="1">
        <v>67</v>
      </c>
      <c r="F29" s="1">
        <v>5</v>
      </c>
      <c r="G29" s="13">
        <v>0.25</v>
      </c>
      <c r="H29" s="1">
        <v>120</v>
      </c>
      <c r="I29" s="1">
        <v>1030670803</v>
      </c>
      <c r="J29" s="1"/>
      <c r="K29" s="1"/>
      <c r="L29" s="1">
        <f t="shared" si="2"/>
        <v>67</v>
      </c>
      <c r="M29" s="1"/>
      <c r="N29" s="1"/>
      <c r="O29" s="1">
        <f>VLOOKUP(I29,[1]Sheet!$I:$R,10,0)</f>
        <v>800</v>
      </c>
      <c r="P29" s="1">
        <f t="shared" si="3"/>
        <v>13.4</v>
      </c>
      <c r="Q29" s="5"/>
      <c r="R29" s="5"/>
      <c r="S29" s="1"/>
      <c r="T29" s="1">
        <f t="shared" si="4"/>
        <v>60.07462686567164</v>
      </c>
      <c r="U29" s="1">
        <f t="shared" si="5"/>
        <v>60.07462686567164</v>
      </c>
      <c r="V29" s="1">
        <f>IFERROR(VLOOKUP(A29,[2]TDSheet!$A:$G,3,0),0)/5</f>
        <v>25.4</v>
      </c>
      <c r="W29" s="1">
        <v>111</v>
      </c>
      <c r="X29" s="1">
        <v>-2.4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/>
      <c r="AE29" s="1">
        <f t="shared" si="9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62</v>
      </c>
      <c r="B30" s="1" t="s">
        <v>34</v>
      </c>
      <c r="C30" s="1">
        <v>10.148</v>
      </c>
      <c r="D30" s="1"/>
      <c r="E30" s="1">
        <v>-6.62</v>
      </c>
      <c r="F30" s="1">
        <v>10.148</v>
      </c>
      <c r="G30" s="13">
        <v>1</v>
      </c>
      <c r="H30" s="1">
        <v>35</v>
      </c>
      <c r="I30" s="1">
        <v>1030228316</v>
      </c>
      <c r="J30" s="1"/>
      <c r="K30" s="1"/>
      <c r="L30" s="1">
        <f t="shared" si="2"/>
        <v>-6.62</v>
      </c>
      <c r="M30" s="1"/>
      <c r="N30" s="1"/>
      <c r="O30" s="1">
        <f>VLOOKUP(I30,[1]Sheet!$I:$R,10,0)</f>
        <v>80</v>
      </c>
      <c r="P30" s="1">
        <f t="shared" si="3"/>
        <v>-1.3240000000000001</v>
      </c>
      <c r="Q30" s="5"/>
      <c r="R30" s="5"/>
      <c r="S30" s="1"/>
      <c r="T30" s="1">
        <f t="shared" si="4"/>
        <v>-68.087613293051348</v>
      </c>
      <c r="U30" s="1">
        <f t="shared" si="5"/>
        <v>-68.087613293051348</v>
      </c>
      <c r="V30" s="1">
        <f>IFERROR(VLOOKUP(A30,[2]TDSheet!$A:$G,3,0),0)/5</f>
        <v>0.72199999999999998</v>
      </c>
      <c r="W30" s="1">
        <v>13.1938</v>
      </c>
      <c r="X30" s="1">
        <v>0</v>
      </c>
      <c r="Y30" s="1">
        <v>9.4337999999999997</v>
      </c>
      <c r="Z30" s="1">
        <v>0</v>
      </c>
      <c r="AA30" s="1">
        <v>9.1840000000000011</v>
      </c>
      <c r="AB30" s="1">
        <v>-0.17879999999999999</v>
      </c>
      <c r="AC30" s="1">
        <v>-5.3287999999999993</v>
      </c>
      <c r="AD30" s="1"/>
      <c r="AE30" s="1">
        <f t="shared" si="9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63</v>
      </c>
      <c r="B31" s="1" t="s">
        <v>38</v>
      </c>
      <c r="C31" s="1">
        <v>-2</v>
      </c>
      <c r="D31" s="1"/>
      <c r="E31" s="1">
        <v>-1</v>
      </c>
      <c r="F31" s="1">
        <v>-2</v>
      </c>
      <c r="G31" s="13">
        <v>0.4</v>
      </c>
      <c r="H31" s="1">
        <v>41</v>
      </c>
      <c r="I31" s="1">
        <v>1030234120</v>
      </c>
      <c r="J31" s="1"/>
      <c r="K31" s="1"/>
      <c r="L31" s="1">
        <f t="shared" si="2"/>
        <v>-1</v>
      </c>
      <c r="M31" s="1"/>
      <c r="N31" s="1"/>
      <c r="O31" s="1">
        <f>VLOOKUP(I31,[1]Sheet!$I:$R,10,0)</f>
        <v>500</v>
      </c>
      <c r="P31" s="1">
        <f t="shared" si="3"/>
        <v>-0.2</v>
      </c>
      <c r="Q31" s="5"/>
      <c r="R31" s="5"/>
      <c r="S31" s="1"/>
      <c r="T31" s="1">
        <f t="shared" si="4"/>
        <v>-2490</v>
      </c>
      <c r="U31" s="1">
        <f t="shared" si="5"/>
        <v>-2490</v>
      </c>
      <c r="V31" s="1">
        <f>IFERROR(VLOOKUP(A31,[2]TDSheet!$A:$G,3,0),0)/5</f>
        <v>14.8</v>
      </c>
      <c r="W31" s="1">
        <v>72.400000000000006</v>
      </c>
      <c r="X31" s="1">
        <v>-1</v>
      </c>
      <c r="Y31" s="1">
        <v>39.200000000000003</v>
      </c>
      <c r="Z31" s="1">
        <v>-3.8</v>
      </c>
      <c r="AA31" s="1">
        <v>-4.4000000000000004</v>
      </c>
      <c r="AB31" s="1">
        <v>28.6</v>
      </c>
      <c r="AC31" s="1">
        <v>46.8</v>
      </c>
      <c r="AD31" s="1"/>
      <c r="AE31" s="1">
        <f t="shared" si="9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0" t="s">
        <v>64</v>
      </c>
      <c r="B32" s="10" t="s">
        <v>38</v>
      </c>
      <c r="C32" s="10">
        <v>5</v>
      </c>
      <c r="D32" s="10"/>
      <c r="E32" s="10">
        <v>-8</v>
      </c>
      <c r="F32" s="10">
        <v>5</v>
      </c>
      <c r="G32" s="15">
        <v>0</v>
      </c>
      <c r="H32" s="10">
        <v>31</v>
      </c>
      <c r="I32" s="10">
        <v>1030228620</v>
      </c>
      <c r="J32" s="10"/>
      <c r="K32" s="10"/>
      <c r="L32" s="10">
        <f t="shared" si="2"/>
        <v>-8</v>
      </c>
      <c r="M32" s="10"/>
      <c r="N32" s="10"/>
      <c r="O32" s="10">
        <f>VLOOKUP(I32,[1]Sheet!$I:$R,10,0)</f>
        <v>0</v>
      </c>
      <c r="P32" s="10">
        <f t="shared" si="3"/>
        <v>-1.6</v>
      </c>
      <c r="Q32" s="11"/>
      <c r="R32" s="11"/>
      <c r="S32" s="12" t="s">
        <v>77</v>
      </c>
      <c r="T32" s="10">
        <f t="shared" si="4"/>
        <v>-3.125</v>
      </c>
      <c r="U32" s="10">
        <f t="shared" si="5"/>
        <v>-3.125</v>
      </c>
      <c r="V32" s="10">
        <f>IFERROR(VLOOKUP(A32,[2]TDSheet!$A:$G,3,0),0)/5</f>
        <v>-3.4</v>
      </c>
      <c r="W32" s="10">
        <v>34.4</v>
      </c>
      <c r="X32" s="10">
        <v>-0.8</v>
      </c>
      <c r="Y32" s="10">
        <v>30.8</v>
      </c>
      <c r="Z32" s="10">
        <v>-2.6</v>
      </c>
      <c r="AA32" s="10">
        <v>14.4</v>
      </c>
      <c r="AB32" s="10">
        <v>11.4</v>
      </c>
      <c r="AC32" s="10">
        <v>25.8</v>
      </c>
      <c r="AD32" s="10"/>
      <c r="AE32" s="10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65</v>
      </c>
      <c r="B33" s="1" t="s">
        <v>38</v>
      </c>
      <c r="C33" s="1">
        <v>-4</v>
      </c>
      <c r="D33" s="1"/>
      <c r="E33" s="1">
        <v>-3</v>
      </c>
      <c r="F33" s="1">
        <v>-4</v>
      </c>
      <c r="G33" s="13">
        <v>0.45</v>
      </c>
      <c r="H33" s="1">
        <v>30</v>
      </c>
      <c r="I33" s="1">
        <v>1030212603</v>
      </c>
      <c r="J33" s="1"/>
      <c r="K33" s="1"/>
      <c r="L33" s="1">
        <f t="shared" si="2"/>
        <v>-3</v>
      </c>
      <c r="M33" s="1"/>
      <c r="N33" s="1"/>
      <c r="O33" s="1">
        <f>VLOOKUP(I33,[1]Sheet!$I:$R,10,0)</f>
        <v>250</v>
      </c>
      <c r="P33" s="1">
        <f t="shared" si="3"/>
        <v>-0.6</v>
      </c>
      <c r="Q33" s="5"/>
      <c r="R33" s="5"/>
      <c r="S33" s="1"/>
      <c r="T33" s="1">
        <f t="shared" si="4"/>
        <v>-410</v>
      </c>
      <c r="U33" s="1">
        <f t="shared" si="5"/>
        <v>-410</v>
      </c>
      <c r="V33" s="1">
        <f>IFERROR(VLOOKUP(A33,[2]TDSheet!$A:$G,3,0),0)/5</f>
        <v>-2.4</v>
      </c>
      <c r="W33" s="1">
        <v>39.6</v>
      </c>
      <c r="X33" s="1">
        <v>-1</v>
      </c>
      <c r="Y33" s="1">
        <v>38.6</v>
      </c>
      <c r="Z33" s="1">
        <v>-3</v>
      </c>
      <c r="AA33" s="1">
        <v>25.6</v>
      </c>
      <c r="AB33" s="1">
        <v>14.6</v>
      </c>
      <c r="AC33" s="1">
        <v>36.200000000000003</v>
      </c>
      <c r="AD33" s="1"/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9" t="s">
        <v>66</v>
      </c>
      <c r="B34" s="1"/>
      <c r="C34" s="1">
        <v>4.6479999999999997</v>
      </c>
      <c r="D34" s="1"/>
      <c r="E34" s="1">
        <v>4.6269999999999998</v>
      </c>
      <c r="F34" s="1">
        <v>2.1000000000000001E-2</v>
      </c>
      <c r="G34" s="13">
        <v>1.5</v>
      </c>
      <c r="H34" s="1">
        <v>31</v>
      </c>
      <c r="I34" s="1">
        <v>1030228855</v>
      </c>
      <c r="J34" s="1"/>
      <c r="K34" s="1"/>
      <c r="L34" s="1">
        <f t="shared" si="2"/>
        <v>4.6269999999999998</v>
      </c>
      <c r="M34" s="1"/>
      <c r="N34" s="1"/>
      <c r="O34" s="1">
        <f>VLOOKUP(I34,[1]Sheet!$I:$R,10,0)</f>
        <v>105</v>
      </c>
      <c r="P34" s="1">
        <f t="shared" si="3"/>
        <v>0.9254</v>
      </c>
      <c r="Q34" s="5"/>
      <c r="R34" s="5"/>
      <c r="S34" s="1" t="s">
        <v>78</v>
      </c>
      <c r="T34" s="1">
        <f t="shared" si="4"/>
        <v>113.48714069591529</v>
      </c>
      <c r="U34" s="1">
        <f t="shared" si="5"/>
        <v>113.48714069591529</v>
      </c>
      <c r="V34" s="1">
        <f>IFERROR(VLOOKUP(A34,[2]TDSheet!$A:$G,3,0),0)/5</f>
        <v>-0.4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7" t="s">
        <v>44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9" t="s">
        <v>67</v>
      </c>
      <c r="B35" s="1" t="s">
        <v>38</v>
      </c>
      <c r="C35" s="1"/>
      <c r="D35" s="1"/>
      <c r="E35" s="1"/>
      <c r="F35" s="1"/>
      <c r="G35" s="13">
        <v>0.35</v>
      </c>
      <c r="H35" s="1">
        <v>31</v>
      </c>
      <c r="I35" s="1">
        <v>1030236957</v>
      </c>
      <c r="J35" s="1"/>
      <c r="K35" s="1"/>
      <c r="L35" s="1">
        <f t="shared" si="2"/>
        <v>0</v>
      </c>
      <c r="M35" s="1"/>
      <c r="N35" s="1"/>
      <c r="O35" s="1">
        <f>VLOOKUP(I35,[1]Sheet!$I:$R,10,0)</f>
        <v>80</v>
      </c>
      <c r="P35" s="1">
        <f t="shared" si="3"/>
        <v>0</v>
      </c>
      <c r="Q35" s="5"/>
      <c r="R35" s="5"/>
      <c r="S35" s="1" t="s">
        <v>78</v>
      </c>
      <c r="T35" s="1" t="e">
        <f t="shared" si="4"/>
        <v>#DIV/0!</v>
      </c>
      <c r="U35" s="1" t="e">
        <f t="shared" si="5"/>
        <v>#DIV/0!</v>
      </c>
      <c r="V35" s="1">
        <f>IFERROR(VLOOKUP(A35,[2]TDSheet!$A:$G,3,0),0)/5</f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45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9" t="s">
        <v>73</v>
      </c>
      <c r="B36" s="7" t="s">
        <v>38</v>
      </c>
      <c r="C36" s="1">
        <v>39</v>
      </c>
      <c r="D36" s="1"/>
      <c r="E36" s="1">
        <v>34</v>
      </c>
      <c r="F36" s="1">
        <v>5</v>
      </c>
      <c r="G36" s="13">
        <v>0.4</v>
      </c>
      <c r="H36" s="1">
        <v>65</v>
      </c>
      <c r="I36" s="1">
        <v>1030129697</v>
      </c>
      <c r="J36" s="1"/>
      <c r="K36" s="1"/>
      <c r="L36" s="1">
        <f t="shared" si="2"/>
        <v>34</v>
      </c>
      <c r="M36" s="1"/>
      <c r="N36" s="1"/>
      <c r="O36" s="1">
        <f>VLOOKUP(I36,[1]Sheet!$I:$R,10,0)</f>
        <v>200</v>
      </c>
      <c r="P36" s="1">
        <f t="shared" si="3"/>
        <v>6.8</v>
      </c>
      <c r="Q36" s="5"/>
      <c r="R36" s="5"/>
      <c r="S36" s="1" t="s">
        <v>78</v>
      </c>
      <c r="T36" s="1">
        <f t="shared" si="4"/>
        <v>30.147058823529413</v>
      </c>
      <c r="U36" s="1">
        <f t="shared" si="5"/>
        <v>30.147058823529413</v>
      </c>
      <c r="V36" s="1">
        <f>IFERROR(VLOOKUP(A36,[2]TDSheet!$A:$G,3,0),0)/5</f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 t="s">
        <v>45</v>
      </c>
      <c r="AE36" s="1">
        <f t="shared" ref="AE36:AE38" si="10"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9" t="s">
        <v>74</v>
      </c>
      <c r="B37" s="7" t="s">
        <v>38</v>
      </c>
      <c r="C37" s="1">
        <v>39</v>
      </c>
      <c r="D37" s="1"/>
      <c r="E37" s="1">
        <v>29</v>
      </c>
      <c r="F37" s="1">
        <v>10</v>
      </c>
      <c r="G37" s="13">
        <v>0.4</v>
      </c>
      <c r="H37" s="1">
        <v>60</v>
      </c>
      <c r="I37" s="1">
        <v>1030518197</v>
      </c>
      <c r="J37" s="1"/>
      <c r="K37" s="1"/>
      <c r="L37" s="1">
        <f t="shared" si="2"/>
        <v>29</v>
      </c>
      <c r="M37" s="1"/>
      <c r="N37" s="1"/>
      <c r="O37" s="1">
        <f>VLOOKUP(I37,[1]Sheet!$I:$R,10,0)</f>
        <v>200</v>
      </c>
      <c r="P37" s="1">
        <f t="shared" si="3"/>
        <v>5.8</v>
      </c>
      <c r="Q37" s="5"/>
      <c r="R37" s="5"/>
      <c r="S37" s="1" t="s">
        <v>78</v>
      </c>
      <c r="T37" s="1">
        <f t="shared" si="4"/>
        <v>36.206896551724142</v>
      </c>
      <c r="U37" s="1">
        <f t="shared" si="5"/>
        <v>36.206896551724142</v>
      </c>
      <c r="V37" s="1">
        <f>IFERROR(VLOOKUP(A37,[2]TDSheet!$A:$G,3,0),0)/5</f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 t="s">
        <v>45</v>
      </c>
      <c r="AE37" s="1">
        <f t="shared" si="10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9" t="s">
        <v>75</v>
      </c>
      <c r="B38" s="7" t="s">
        <v>38</v>
      </c>
      <c r="C38" s="1">
        <v>9</v>
      </c>
      <c r="D38" s="1"/>
      <c r="E38" s="1">
        <v>9</v>
      </c>
      <c r="F38" s="1"/>
      <c r="G38" s="13">
        <v>0.4</v>
      </c>
      <c r="H38" s="1">
        <v>45</v>
      </c>
      <c r="I38" s="1">
        <v>1030503997</v>
      </c>
      <c r="J38" s="1"/>
      <c r="K38" s="1"/>
      <c r="L38" s="1">
        <f t="shared" si="2"/>
        <v>9</v>
      </c>
      <c r="M38" s="1"/>
      <c r="N38" s="1"/>
      <c r="O38" s="1">
        <f>VLOOKUP(I38,[1]Sheet!$I:$R,10,0)</f>
        <v>180</v>
      </c>
      <c r="P38" s="1">
        <f t="shared" si="3"/>
        <v>1.8</v>
      </c>
      <c r="Q38" s="5"/>
      <c r="R38" s="5"/>
      <c r="S38" s="1" t="s">
        <v>78</v>
      </c>
      <c r="T38" s="1">
        <f t="shared" si="4"/>
        <v>100</v>
      </c>
      <c r="U38" s="1">
        <f t="shared" si="5"/>
        <v>100</v>
      </c>
      <c r="V38" s="1">
        <f>IFERROR(VLOOKUP(A38,[2]TDSheet!$A:$G,3,0),0)/5</f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 t="s">
        <v>45</v>
      </c>
      <c r="AE38" s="1">
        <f t="shared" si="10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9" t="s">
        <v>76</v>
      </c>
      <c r="B39" s="7" t="s">
        <v>38</v>
      </c>
      <c r="C39" s="1">
        <v>3</v>
      </c>
      <c r="D39" s="1"/>
      <c r="E39" s="1">
        <v>3</v>
      </c>
      <c r="F39" s="1"/>
      <c r="G39" s="13">
        <v>0.4</v>
      </c>
      <c r="H39" s="1">
        <v>40</v>
      </c>
      <c r="I39" s="1">
        <v>1030707697</v>
      </c>
      <c r="J39" s="1"/>
      <c r="K39" s="1"/>
      <c r="L39" s="1">
        <f t="shared" si="2"/>
        <v>3</v>
      </c>
      <c r="M39" s="1"/>
      <c r="N39" s="1"/>
      <c r="O39" s="1">
        <f>VLOOKUP(I39,[1]Sheet!$I:$R,10,0)</f>
        <v>100</v>
      </c>
      <c r="P39" s="1">
        <f t="shared" si="3"/>
        <v>0.6</v>
      </c>
      <c r="Q39" s="5"/>
      <c r="R39" s="5"/>
      <c r="S39" s="1" t="s">
        <v>78</v>
      </c>
      <c r="T39" s="1">
        <f t="shared" si="4"/>
        <v>166.66666666666669</v>
      </c>
      <c r="U39" s="1">
        <f t="shared" si="5"/>
        <v>166.66666666666669</v>
      </c>
      <c r="V39" s="1">
        <f>IFERROR(VLOOKUP(A39,[2]TDSheet!$A:$G,3,0),0)/5</f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45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7" t="s">
        <v>68</v>
      </c>
      <c r="B40" s="17" t="s">
        <v>34</v>
      </c>
      <c r="C40" s="17">
        <v>-4.8390000000000004</v>
      </c>
      <c r="D40" s="17"/>
      <c r="E40" s="17"/>
      <c r="F40" s="17">
        <v>-4.8390000000000004</v>
      </c>
      <c r="G40" s="18">
        <v>0</v>
      </c>
      <c r="H40" s="17"/>
      <c r="I40" s="17" t="s">
        <v>69</v>
      </c>
      <c r="J40" s="17"/>
      <c r="K40" s="17"/>
      <c r="L40" s="17">
        <f>E40-K40</f>
        <v>0</v>
      </c>
      <c r="M40" s="17"/>
      <c r="N40" s="17"/>
      <c r="O40" s="17"/>
      <c r="P40" s="17">
        <f t="shared" si="3"/>
        <v>0</v>
      </c>
      <c r="Q40" s="19"/>
      <c r="R40" s="19"/>
      <c r="S40" s="17"/>
      <c r="T40" s="17" t="e">
        <f t="shared" si="4"/>
        <v>#DIV/0!</v>
      </c>
      <c r="U40" s="17" t="e">
        <f t="shared" si="5"/>
        <v>#DIV/0!</v>
      </c>
      <c r="V40" s="17">
        <f>IFERROR(VLOOKUP(A40,[2]TDSheet!$A:$G,3,0),0)/5</f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1.6364000000000001</v>
      </c>
      <c r="AD40" s="17"/>
      <c r="AE40" s="17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7" t="s">
        <v>70</v>
      </c>
      <c r="B41" s="17"/>
      <c r="C41" s="17">
        <v>-11.167</v>
      </c>
      <c r="D41" s="17"/>
      <c r="E41" s="17"/>
      <c r="F41" s="17">
        <v>-11.167</v>
      </c>
      <c r="G41" s="18">
        <v>0</v>
      </c>
      <c r="H41" s="17"/>
      <c r="I41" s="17" t="s">
        <v>69</v>
      </c>
      <c r="J41" s="17"/>
      <c r="K41" s="17"/>
      <c r="L41" s="17">
        <f>E41-K41</f>
        <v>0</v>
      </c>
      <c r="M41" s="17"/>
      <c r="N41" s="17"/>
      <c r="O41" s="17"/>
      <c r="P41" s="17">
        <f t="shared" si="3"/>
        <v>0</v>
      </c>
      <c r="Q41" s="19"/>
      <c r="R41" s="19"/>
      <c r="S41" s="17"/>
      <c r="T41" s="17" t="e">
        <f t="shared" si="4"/>
        <v>#DIV/0!</v>
      </c>
      <c r="U41" s="17" t="e">
        <f t="shared" si="5"/>
        <v>#DIV/0!</v>
      </c>
      <c r="V41" s="17">
        <f>IFERROR(VLOOKUP(A41,[2]TDSheet!$A:$G,3,0),0)/5</f>
        <v>-0.24780000000000002</v>
      </c>
      <c r="W41" s="17">
        <v>1.9856</v>
      </c>
      <c r="X41" s="17">
        <v>0</v>
      </c>
      <c r="Y41" s="17">
        <v>0.24779999999999999</v>
      </c>
      <c r="Z41" s="17">
        <v>0</v>
      </c>
      <c r="AA41" s="17">
        <v>0</v>
      </c>
      <c r="AB41" s="17">
        <v>0</v>
      </c>
      <c r="AC41" s="17">
        <v>0</v>
      </c>
      <c r="AD41" s="17"/>
      <c r="AE41" s="17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7" t="s">
        <v>71</v>
      </c>
      <c r="B42" s="17" t="s">
        <v>38</v>
      </c>
      <c r="C42" s="17">
        <v>-4</v>
      </c>
      <c r="D42" s="17"/>
      <c r="E42" s="17"/>
      <c r="F42" s="17">
        <v>-4</v>
      </c>
      <c r="G42" s="18">
        <v>0</v>
      </c>
      <c r="H42" s="17"/>
      <c r="I42" s="17" t="s">
        <v>69</v>
      </c>
      <c r="J42" s="17"/>
      <c r="K42" s="17"/>
      <c r="L42" s="17">
        <f>E42-K42</f>
        <v>0</v>
      </c>
      <c r="M42" s="17"/>
      <c r="N42" s="17"/>
      <c r="O42" s="17"/>
      <c r="P42" s="17">
        <f t="shared" si="3"/>
        <v>0</v>
      </c>
      <c r="Q42" s="19"/>
      <c r="R42" s="19"/>
      <c r="S42" s="17"/>
      <c r="T42" s="17" t="e">
        <f t="shared" si="4"/>
        <v>#DIV/0!</v>
      </c>
      <c r="U42" s="17" t="e">
        <f t="shared" si="5"/>
        <v>#DIV/0!</v>
      </c>
      <c r="V42" s="17">
        <f>IFERROR(VLOOKUP(A42,[2]TDSheet!$A:$G,3,0),0)/5</f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0.8</v>
      </c>
      <c r="AD42" s="17"/>
      <c r="AE42" s="17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7" t="s">
        <v>72</v>
      </c>
      <c r="B43" s="17" t="s">
        <v>38</v>
      </c>
      <c r="C43" s="17">
        <v>-4</v>
      </c>
      <c r="D43" s="17"/>
      <c r="E43" s="17"/>
      <c r="F43" s="17">
        <v>-4</v>
      </c>
      <c r="G43" s="18">
        <v>0</v>
      </c>
      <c r="H43" s="17"/>
      <c r="I43" s="17" t="s">
        <v>69</v>
      </c>
      <c r="J43" s="17"/>
      <c r="K43" s="17"/>
      <c r="L43" s="17">
        <f>E43-K43</f>
        <v>0</v>
      </c>
      <c r="M43" s="17"/>
      <c r="N43" s="17"/>
      <c r="O43" s="17"/>
      <c r="P43" s="17">
        <f t="shared" si="3"/>
        <v>0</v>
      </c>
      <c r="Q43" s="19"/>
      <c r="R43" s="19"/>
      <c r="S43" s="17"/>
      <c r="T43" s="17" t="e">
        <f t="shared" si="4"/>
        <v>#DIV/0!</v>
      </c>
      <c r="U43" s="17" t="e">
        <f t="shared" si="5"/>
        <v>#DIV/0!</v>
      </c>
      <c r="V43" s="17">
        <f>IFERROR(VLOOKUP(A43,[2]TDSheet!$A:$G,3,0),0)/5</f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0.8</v>
      </c>
      <c r="AD43" s="17"/>
      <c r="AE43" s="17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1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1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1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1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1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1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1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1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1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1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1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1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1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1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1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1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1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1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1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1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1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1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1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1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1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1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1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1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1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1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1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1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1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1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1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1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1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1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1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1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1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1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1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1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1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1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1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1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1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1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1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1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1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1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1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1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1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1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1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1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1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1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1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1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1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1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1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1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1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1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1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1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1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1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1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1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1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1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1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1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1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1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1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1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1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1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1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1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1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1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1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1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1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1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1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1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1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1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1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1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1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1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1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1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1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1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1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1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1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1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1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1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1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1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1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1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1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1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1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1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1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1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1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1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1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1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1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1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1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1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1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1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1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1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1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1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1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1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1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1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1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1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1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1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1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1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1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1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1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1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1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1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1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1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1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1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1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1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1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1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1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1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1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1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1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1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1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1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1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1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1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1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1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1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1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1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1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1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1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1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1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1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1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1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1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1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1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1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1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1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1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1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1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1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1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1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1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1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1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1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1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1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1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1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1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1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1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1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1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1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1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1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1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1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1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1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1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1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1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1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1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1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1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1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1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1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1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1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1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1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1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1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1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1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1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1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1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1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1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1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1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1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1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1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1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1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1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1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1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1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1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1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1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1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1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1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1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1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1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1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1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1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1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1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1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1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1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1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1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1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1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1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1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1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1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1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1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1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1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1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1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1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1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1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1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1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1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1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1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1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1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1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1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1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1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1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1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1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1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1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1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1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1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1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1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1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1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1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1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1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1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1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1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1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1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1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1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1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1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1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1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1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1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1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1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1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1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1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1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1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1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1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1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1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1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1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1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1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1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1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1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1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1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1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1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1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1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1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1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1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1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1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1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1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1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1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1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1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1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1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1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1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1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1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1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1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1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1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1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1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1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1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1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1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1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1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1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1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1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1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1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1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1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1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1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1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1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1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1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1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1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1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1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1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1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1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1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1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1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1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1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1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1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1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1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1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1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1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1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1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1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1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1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1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1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1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1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1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1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1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1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1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1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1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</sheetData>
  <autoFilter ref="A3:AE43" xr:uid="{092992C5-6E1D-43FE-8B6F-32727D759D1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2026-01-22T12:39:37Z</dcterms:created>
  <dcterms:modified xsi:type="dcterms:W3CDTF">2026-01-23T08:42:58Z</dcterms:modified>
</cp:coreProperties>
</file>