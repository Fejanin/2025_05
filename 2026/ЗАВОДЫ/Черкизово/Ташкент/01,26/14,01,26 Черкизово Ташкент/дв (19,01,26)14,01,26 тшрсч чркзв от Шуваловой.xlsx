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Черкизово\Ташкент\01,26\14,01,26 Черкизово Ташкент\"/>
    </mc:Choice>
  </mc:AlternateContent>
  <xr:revisionPtr revIDLastSave="0" documentId="13_ncr:1_{204D9A98-04A8-469F-81EA-FCFBDF7B0F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Sheet!$A$3:$AF$48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AG18" i="1" l="1"/>
  <c r="AG12" i="1"/>
  <c r="AG37" i="1"/>
  <c r="AG25" i="1"/>
  <c r="AG29" i="1"/>
  <c r="AG48" i="1"/>
  <c r="AG22" i="1"/>
  <c r="AG42" i="1"/>
  <c r="AG36" i="1"/>
  <c r="AG35" i="1"/>
  <c r="AG28" i="1"/>
  <c r="AG27" i="1"/>
  <c r="AG26" i="1"/>
  <c r="AG20" i="1"/>
  <c r="AG17" i="1"/>
  <c r="AG15" i="1"/>
  <c r="AG14" i="1"/>
  <c r="AG38" i="1"/>
  <c r="AG41" i="1"/>
  <c r="AG11" i="1"/>
  <c r="AG5" i="1" l="1"/>
  <c r="AI48" i="1"/>
  <c r="AI42" i="1"/>
  <c r="AI41" i="1"/>
  <c r="AI38" i="1"/>
  <c r="AI37" i="1"/>
  <c r="AI36" i="1"/>
  <c r="AI35" i="1"/>
  <c r="AI29" i="1"/>
  <c r="AI28" i="1"/>
  <c r="AI27" i="1"/>
  <c r="AI26" i="1"/>
  <c r="AI25" i="1"/>
  <c r="AI24" i="1"/>
  <c r="AI22" i="1"/>
  <c r="AI20" i="1"/>
  <c r="AI18" i="1"/>
  <c r="AI17" i="1"/>
  <c r="AI15" i="1"/>
  <c r="AI14" i="1"/>
  <c r="AI13" i="1"/>
  <c r="AI12" i="1"/>
  <c r="AI11" i="1"/>
  <c r="AF44" i="1" l="1"/>
  <c r="AF45" i="1"/>
  <c r="AF46" i="1"/>
  <c r="AF47" i="1"/>
  <c r="AF48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11" i="1"/>
  <c r="Q12" i="1"/>
  <c r="R12" i="1" s="1"/>
  <c r="Q14" i="1"/>
  <c r="R14" i="1" s="1"/>
  <c r="U14" i="1" s="1"/>
  <c r="Q16" i="1"/>
  <c r="R16" i="1" s="1"/>
  <c r="Q17" i="1"/>
  <c r="R17" i="1" s="1"/>
  <c r="Q18" i="1"/>
  <c r="R18" i="1" s="1"/>
  <c r="Q19" i="1"/>
  <c r="R19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40" i="1"/>
  <c r="R40" i="1" s="1"/>
  <c r="Q41" i="1"/>
  <c r="R41" i="1" s="1"/>
  <c r="Q42" i="1"/>
  <c r="R42" i="1" s="1"/>
  <c r="Q43" i="1"/>
  <c r="R43" i="1" s="1"/>
  <c r="Q44" i="1"/>
  <c r="Q45" i="1"/>
  <c r="Q46" i="1"/>
  <c r="Q47" i="1"/>
  <c r="Q48" i="1"/>
  <c r="R48" i="1" s="1"/>
  <c r="Q11" i="1"/>
  <c r="R11" i="1" s="1"/>
  <c r="U11" i="1" s="1"/>
  <c r="L48" i="1"/>
  <c r="P47" i="1"/>
  <c r="L47" i="1"/>
  <c r="P46" i="1"/>
  <c r="L46" i="1"/>
  <c r="P45" i="1"/>
  <c r="L45" i="1"/>
  <c r="P44" i="1"/>
  <c r="L44" i="1"/>
  <c r="L43" i="1"/>
  <c r="L42" i="1"/>
  <c r="L41" i="1"/>
  <c r="T40" i="1"/>
  <c r="L40" i="1"/>
  <c r="E39" i="1"/>
  <c r="Q39" i="1" s="1"/>
  <c r="R39" i="1" s="1"/>
  <c r="L38" i="1"/>
  <c r="L37" i="1"/>
  <c r="L36" i="1"/>
  <c r="L35" i="1"/>
  <c r="L34" i="1"/>
  <c r="T33" i="1"/>
  <c r="L33" i="1"/>
  <c r="T32" i="1"/>
  <c r="L32" i="1"/>
  <c r="L31" i="1"/>
  <c r="L30" i="1"/>
  <c r="L29" i="1"/>
  <c r="L28" i="1"/>
  <c r="E27" i="1"/>
  <c r="Q27" i="1" s="1"/>
  <c r="R27" i="1" s="1"/>
  <c r="L26" i="1"/>
  <c r="L25" i="1"/>
  <c r="L24" i="1"/>
  <c r="L23" i="1"/>
  <c r="L22" i="1"/>
  <c r="L21" i="1"/>
  <c r="E20" i="1"/>
  <c r="L20" i="1" s="1"/>
  <c r="L19" i="1"/>
  <c r="L18" i="1"/>
  <c r="L17" i="1"/>
  <c r="T16" i="1"/>
  <c r="L16" i="1"/>
  <c r="W15" i="1"/>
  <c r="E15" i="1"/>
  <c r="Q15" i="1" s="1"/>
  <c r="R15" i="1" s="1"/>
  <c r="U15" i="1" s="1"/>
  <c r="W14" i="1"/>
  <c r="V14" i="1"/>
  <c r="L14" i="1"/>
  <c r="W13" i="1"/>
  <c r="E13" i="1"/>
  <c r="L13" i="1" s="1"/>
  <c r="W12" i="1"/>
  <c r="V12" i="1"/>
  <c r="L12" i="1"/>
  <c r="W11" i="1"/>
  <c r="L11" i="1"/>
  <c r="W10" i="1"/>
  <c r="P10" i="1"/>
  <c r="V10" i="1" s="1"/>
  <c r="L10" i="1"/>
  <c r="W9" i="1"/>
  <c r="P9" i="1"/>
  <c r="V9" i="1" s="1"/>
  <c r="L9" i="1"/>
  <c r="W8" i="1"/>
  <c r="P8" i="1"/>
  <c r="V8" i="1" s="1"/>
  <c r="L8" i="1"/>
  <c r="W7" i="1"/>
  <c r="P7" i="1"/>
  <c r="V7" i="1" s="1"/>
  <c r="L7" i="1"/>
  <c r="W6" i="1"/>
  <c r="P6" i="1"/>
  <c r="U6" i="1" s="1"/>
  <c r="L6" i="1"/>
  <c r="AD5" i="1"/>
  <c r="AC5" i="1"/>
  <c r="AB5" i="1"/>
  <c r="AA5" i="1"/>
  <c r="Z5" i="1"/>
  <c r="Y5" i="1"/>
  <c r="X5" i="1"/>
  <c r="S5" i="1"/>
  <c r="N5" i="1"/>
  <c r="M5" i="1"/>
  <c r="K5" i="1"/>
  <c r="V11" i="1"/>
  <c r="F5" i="1"/>
  <c r="L27" i="1"/>
  <c r="V15" i="1"/>
  <c r="L39" i="1"/>
  <c r="V13" i="1"/>
  <c r="Q20" i="1"/>
  <c r="R20" i="1" s="1"/>
  <c r="U10" i="1"/>
  <c r="U8" i="1" l="1"/>
  <c r="U9" i="1"/>
  <c r="AF5" i="1"/>
  <c r="AF2" i="1" s="1"/>
  <c r="R47" i="1"/>
  <c r="R45" i="1"/>
  <c r="L15" i="1"/>
  <c r="Q13" i="1"/>
  <c r="R13" i="1" s="1"/>
  <c r="U13" i="1" s="1"/>
  <c r="R46" i="1"/>
  <c r="R44" i="1"/>
  <c r="U7" i="1"/>
  <c r="P5" i="1"/>
  <c r="L5" i="1"/>
  <c r="W5" i="1"/>
  <c r="U12" i="1"/>
  <c r="V6" i="1"/>
  <c r="E5" i="1"/>
  <c r="R5" i="1" l="1"/>
</calcChain>
</file>

<file path=xl/sharedStrings.xml><?xml version="1.0" encoding="utf-8"?>
<sst xmlns="http://schemas.openxmlformats.org/spreadsheetml/2006/main" count="280" uniqueCount="93">
  <si>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</si>
  <si>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</si>
  <si>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</si>
  <si>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</si>
  <si>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</si>
  <si>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</si>
  <si>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</si>
  <si>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</si>
  <si>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</si>
  <si>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</si>
  <si>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</si>
  <si>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</si>
  <si>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</si>
  <si>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</si>
  <si>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</si>
  <si>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</si>
  <si>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</si>
  <si>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</si>
  <si>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</si>
  <si>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</si>
  <si>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</si>
  <si>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</si>
  <si>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</si>
  <si>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</si>
  <si>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</si>
  <si>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</si>
  <si>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</si>
  <si>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</si>
  <si>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</si>
  <si>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</si>
  <si>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</si>
  <si>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БОНУС_ВАР МОЛОЧНАЯ ПО-Ч НМО 1 КГ К3  ЧЕРКИЗОВО</t>
  </si>
  <si>
    <t>кг</t>
  </si>
  <si>
    <t>бонус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</si>
  <si>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</si>
  <si>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</si>
  <si>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</si>
  <si>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</si>
  <si>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</si>
  <si>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</si>
  <si>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</si>
  <si>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</si>
  <si>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</si>
  <si>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</si>
  <si>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</si>
  <si>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</si>
  <si>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ВАР КЛАССИЧЕСКАЯ ПО-Ч ЦО ЗА 1.6КГ K3.2 ЧЕРКИЗОВО</t>
  </si>
  <si>
    <t>03,06,25 в уценку 75кг</t>
  </si>
  <si>
    <t>ВАР МОЛОЧНАЯ ПО-ЧЕ НМО ШТ 0.4КГ К2.4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</si>
  <si>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</si>
  <si>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</si>
  <si>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</si>
  <si>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ЗЕРНИСТЫЙ СРЕЗ ВУ ШТ К1.8</t>
  </si>
  <si>
    <t>новинка</t>
  </si>
  <si>
    <t>ВК Серв с говяд/ЛТФ/ох/шт 0.4кг/гк329/KZ</t>
  </si>
  <si>
    <t>новинка / нет в бланке</t>
  </si>
  <si>
    <t>КОПЧ ГРУДИНКА ПО-ЧЕРК ВУ ШТ 0.3КГ К1.8  ЧЕРКИЗОВО</t>
  </si>
  <si>
    <t>22,05,25 в уценку 234шт.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</si>
  <si>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</si>
  <si>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</si>
  <si>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</si>
  <si>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</si>
  <si>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</si>
  <si>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</si>
  <si>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</si>
  <si>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</si>
  <si>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</si>
  <si>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</si>
  <si>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</si>
  <si>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нужно увеличить продажи!!!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</si>
  <si>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</si>
  <si>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</si>
  <si>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</si>
  <si>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</si>
  <si>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</si>
  <si>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</si>
  <si>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ИЗМЕНИЛСЯ АРТИКУЛ / нет в бланке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</si>
  <si>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</si>
  <si>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</si>
  <si>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</si>
  <si>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</si>
  <si>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</si>
  <si>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</si>
  <si>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</si>
  <si>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</si>
  <si>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</si>
  <si>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</si>
  <si>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</si>
  <si>
    <t>заблокировано на 2026</t>
  </si>
  <si>
    <t>не отгрузил завод???</t>
  </si>
  <si>
    <t>нов</t>
  </si>
  <si>
    <t xml:space="preserve"> То что не приехало не дали на сртиф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</si>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</sst>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sz val="11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 applyBorder="1"/>
    <xf numFmtId="164" fontId="2" fillId="2" borderId="0" xfId="1" applyNumberFormat="1" applyFont="1" applyFill="1"/>
    <xf numFmtId="164" fontId="4" fillId="2" borderId="0" xfId="1" applyNumberFormat="1" applyFont="1" applyFill="1"/>
    <xf numFmtId="164" fontId="1" fillId="3" borderId="0" xfId="1" applyNumberFormat="1" applyFill="1"/>
    <xf numFmtId="2" fontId="0" fillId="0" borderId="0" xfId="0" applyNumberFormat="1" applyBorder="1"/>
    <xf numFmtId="164" fontId="2" fillId="4" borderId="0" xfId="1" applyNumberFormat="1" applyFont="1" applyFill="1"/>
    <xf numFmtId="164" fontId="1" fillId="5" borderId="0" xfId="1" applyNumberFormat="1" applyFill="1"/>
    <xf numFmtId="164" fontId="3" fillId="5" borderId="0" xfId="1" applyNumberFormat="1" applyFont="1" applyFill="1"/>
    <xf numFmtId="164" fontId="1" fillId="6" borderId="0" xfId="1" applyNumberFormat="1" applyFill="1"/>
    <xf numFmtId="2" fontId="1" fillId="0" borderId="0" xfId="1" applyNumberFormat="1"/>
    <xf numFmtId="2" fontId="2" fillId="2" borderId="0" xfId="1" applyNumberFormat="1" applyFont="1" applyFill="1"/>
    <xf numFmtId="164" fontId="1" fillId="0" borderId="0" xfId="1" applyNumberFormat="1"/>
    <xf numFmtId="164" fontId="1" fillId="7" borderId="0" xfId="1" applyNumberFormat="1" applyFill="1"/>
    <xf numFmtId="164" fontId="1" fillId="8" borderId="0" xfId="1" applyNumberFormat="1" applyFill="1"/>
    <xf numFmtId="164" fontId="1" fillId="9" borderId="0" xfId="1" applyNumberFormat="1" applyFill="1"/>
    <xf numFmtId="164" fontId="1" fillId="10" borderId="0" xfId="1" applyNumberFormat="1" applyFill="1"/>
    <xf numFmtId="0" fontId="0" fillId="10" borderId="0" xfId="0" applyFill="1" applyBorder="1"/>
    <xf numFmtId="164" fontId="1" fillId="11" borderId="0" xfId="1" applyNumberFormat="1" applyFill="1"/>
    <xf numFmtId="0" fontId="0" fillId="11" borderId="0" xfId="0" applyFill="1" applyBorder="1"/>
    <xf numFmtId="164" fontId="1" fillId="12" borderId="0" xfId="1" applyNumberFormat="1" applyFill="1"/>
    <xf numFmtId="164" fontId="3" fillId="12" borderId="0" xfId="1" applyNumberFormat="1" applyFont="1" applyFill="1"/>
    <xf numFmtId="0" fontId="0" fillId="12" borderId="0" xfId="0" applyFill="1" applyBorder="1"/>
    <xf numFmtId="14" fontId="1" fillId="0" borderId="0" xfId="1" applyNumberFormat="1"/>
    <xf numFmtId="164" fontId="1" fillId="8" borderId="0" xfId="1" applyNumberFormat="1" applyFill="1" applyBorder="1"/>
    <xf numFmtId="164" fontId="5" fillId="13" borderId="0" xfId="1" applyNumberFormat="1" applyFont="1" applyFill="1" applyBorder="1"/>
    <xf numFmtId="2" fontId="1" fillId="8" borderId="0" xfId="1" applyNumberFormat="1" applyFill="1" applyBorder="1"/>
    <xf numFmtId="164" fontId="1" fillId="0" borderId="0" xfId="1" applyNumberFormat="1" applyBorder="1"/>
    <xf numFmtId="2" fontId="1" fillId="0" borderId="0" xfId="1" applyNumberFormat="1" applyBorder="1"/>
    <xf numFmtId="164" fontId="1" fillId="14" borderId="0" xfId="1" applyNumberFormat="1" applyFill="1" applyBorder="1"/>
    <xf numFmtId="164" fontId="1" fillId="5" borderId="0" xfId="1" applyNumberFormat="1" applyFill="1" applyBorder="1"/>
    <xf numFmtId="2" fontId="1" fillId="5" borderId="0" xfId="1" applyNumberFormat="1" applyFill="1" applyBorder="1"/>
    <xf numFmtId="164" fontId="1" fillId="6" borderId="0" xfId="1" applyNumberFormat="1" applyFill="1" applyBorder="1"/>
    <xf numFmtId="164" fontId="1" fillId="10" borderId="0" xfId="1" applyNumberFormat="1" applyFill="1" applyBorder="1"/>
    <xf numFmtId="2" fontId="1" fillId="10" borderId="0" xfId="1" applyNumberFormat="1" applyFill="1" applyBorder="1"/>
    <xf numFmtId="164" fontId="1" fillId="9" borderId="0" xfId="1" applyNumberFormat="1" applyFill="1" applyBorder="1"/>
    <xf numFmtId="2" fontId="1" fillId="6" borderId="0" xfId="1" applyNumberFormat="1" applyFill="1" applyBorder="1"/>
    <xf numFmtId="164" fontId="1" fillId="0" borderId="0" xfId="1" applyNumberFormat="1" applyFill="1" applyBorder="1"/>
    <xf numFmtId="164" fontId="1" fillId="12" borderId="0" xfId="1" applyNumberFormat="1" applyFill="1" applyBorder="1"/>
    <xf numFmtId="2" fontId="1" fillId="12" borderId="0" xfId="1" applyNumberFormat="1" applyFill="1" applyBorder="1"/>
    <xf numFmtId="164" fontId="1" fillId="11" borderId="0" xfId="1" applyNumberFormat="1" applyFill="1" applyBorder="1"/>
    <xf numFmtId="2" fontId="1" fillId="11" borderId="0" xfId="1" applyNumberFormat="1" applyFill="1" applyBorder="1"/>
    <xf numFmtId="164" fontId="1" fillId="7" borderId="0" xfId="1" applyNumberFormat="1" applyFill="1" applyBorder="1"/>
    <xf numFmtId="2" fontId="1" fillId="7" borderId="0" xfId="1" applyNumberFormat="1" applyFill="1" applyBorder="1"/>
    <xf numFmtId="164" fontId="1" fillId="8" borderId="1" xfId="1" applyNumberFormat="1" applyFill="1" applyBorder="1"/>
    <xf numFmtId="164" fontId="1" fillId="0" borderId="1" xfId="1" applyNumberFormat="1" applyBorder="1"/>
    <xf numFmtId="164" fontId="3" fillId="0" borderId="0" xfId="1" applyNumberFormat="1" applyFont="1"/>
    <xf numFmtId="164" fontId="8" fillId="4" borderId="0" xfId="1" applyNumberFormat="1" applyFont="1" applyFill="1"/>
    <xf numFmtId="164" fontId="3" fillId="3" borderId="0" xfId="1" applyNumberFormat="1" applyFont="1" applyFill="1"/>
    <xf numFmtId="164" fontId="3" fillId="8" borderId="1" xfId="1" applyNumberFormat="1" applyFont="1" applyFill="1" applyBorder="1"/>
    <xf numFmtId="164" fontId="3" fillId="0" borderId="1" xfId="1" applyNumberFormat="1" applyFont="1" applyBorder="1"/>
    <xf numFmtId="164" fontId="3" fillId="14" borderId="1" xfId="1" applyNumberFormat="1" applyFont="1" applyFill="1" applyBorder="1"/>
    <xf numFmtId="164" fontId="3" fillId="5" borderId="1" xfId="1" applyNumberFormat="1" applyFont="1" applyFill="1" applyBorder="1"/>
    <xf numFmtId="164" fontId="3" fillId="10" borderId="1" xfId="1" applyNumberFormat="1" applyFont="1" applyFill="1" applyBorder="1"/>
    <xf numFmtId="164" fontId="3" fillId="6" borderId="1" xfId="1" applyNumberFormat="1" applyFont="1" applyFill="1" applyBorder="1"/>
    <xf numFmtId="164" fontId="3" fillId="12" borderId="1" xfId="1" applyNumberFormat="1" applyFont="1" applyFill="1" applyBorder="1"/>
    <xf numFmtId="164" fontId="3" fillId="11" borderId="1" xfId="1" applyNumberFormat="1" applyFont="1" applyFill="1" applyBorder="1"/>
    <xf numFmtId="164" fontId="3" fillId="7" borderId="1" xfId="1" applyNumberFormat="1" applyFont="1" applyFill="1" applyBorder="1"/>
    <xf numFmtId="0" fontId="6" fillId="0" borderId="0" xfId="0" applyFont="1" applyBorder="1"/>
    <xf numFmtId="164" fontId="8" fillId="2" borderId="0" xfId="1" applyNumberFormat="1" applyFont="1" applyFill="1"/>
    <xf numFmtId="164" fontId="3" fillId="8" borderId="0" xfId="1" applyNumberFormat="1" applyFont="1" applyFill="1"/>
    <xf numFmtId="164" fontId="7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2;&#1083;&#1072;&#1076;&#1080;&#1082;/Downloads/&#1087;&#1088;&#1086;&#1076;&#1072;&#1078;&#1080;%20&#1058;&#1072;&#1096;&#1082;&#1077;&#1085;&#1090;%2012,12,25-18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4,01,26%20&#1063;&#1077;&#1088;&#1082;&#1080;&#1079;&#1086;&#1074;&#1086;%20&#1058;&#1072;&#1096;&#1082;&#1077;&#1085;&#1090;/&#1045;&#1076;&#1080;&#1085;&#1099;&#1081;%20&#1041;&#1083;&#1072;&#1085;&#1082;%20&#1079;&#1072;&#1082;&#1072;&#1079;&#1072;%20&#1050;&#1048;%2025.12.2025%20-%20MOS%20PROD%20TOR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2;&#1083;&#1072;&#1076;&#1080;&#1082;/Downloads/&#1058;&#1072;&#1096;&#1082;&#1077;&#1085;&#1090;/&#1076;&#1074;%2011,12,25%20&#1090;&#1096;&#1088;&#1089;&#1095;%20&#1095;&#1088;&#1082;&#1079;&#1074;%20&#1086;&#1090;%20&#1064;&#1091;&#1074;&#1072;&#1083;&#1086;&#1074;&#1086;&#1081;%20+%20&#1085;&#1086;&#1074;&#1080;&#1085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12.12.2025 - 18.12.2025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12.12.25</v>
          </cell>
          <cell r="E6" t="str">
            <v>13.12.25</v>
          </cell>
          <cell r="F6" t="str">
            <v>14.12.25</v>
          </cell>
        </row>
        <row r="8">
          <cell r="A8" t="str">
            <v>7187 ГРУДИНКА ПРЕМИУМ к/в мл/к в/у 0.3кг_50с  ОСТАНКИНО</v>
          </cell>
          <cell r="C8">
            <v>1816</v>
          </cell>
          <cell r="D8">
            <v>287</v>
          </cell>
          <cell r="E8">
            <v>847</v>
          </cell>
        </row>
        <row r="9">
          <cell r="A9" t="str">
            <v>2074-Сосиски Молочные для завтрака Особый рецепт</v>
          </cell>
          <cell r="C9">
            <v>909.37099999999998</v>
          </cell>
          <cell r="D9">
            <v>178.27500000000001</v>
          </cell>
          <cell r="E9">
            <v>203.80600000000001</v>
          </cell>
        </row>
        <row r="10">
          <cell r="A10" t="str">
            <v>Колбаса с/к Сервелат ГОСТ ВУ ОХЛ 0,3кг*6(1,8кг)  МИРАТОРГ</v>
          </cell>
          <cell r="C10">
            <v>691</v>
          </cell>
          <cell r="D10">
            <v>314</v>
          </cell>
          <cell r="E10">
            <v>123</v>
          </cell>
        </row>
        <row r="11">
          <cell r="A11" t="str">
            <v>МХБ Колб полусухая «Салями» ВУ ОХЛ 280гр*6 (1,68кг)  МИРАТОРГ</v>
          </cell>
          <cell r="C11">
            <v>692</v>
          </cell>
          <cell r="D11">
            <v>235</v>
          </cell>
          <cell r="E11">
            <v>169</v>
          </cell>
        </row>
        <row r="12">
          <cell r="A12" t="str">
            <v>0222-Ветчины Дугушка Дугушка б/о Стародворье, 1кг</v>
          </cell>
          <cell r="C12">
            <v>323.01600000000002</v>
          </cell>
          <cell r="D12">
            <v>62.674999999999997</v>
          </cell>
          <cell r="E12">
            <v>138.43799999999999</v>
          </cell>
        </row>
        <row r="13">
          <cell r="A13" t="str">
            <v>КП Колбаса с/к Брауншвейгская ВУ ОХЛ 300г*6 (1,8кг)  МИРАТОРГ</v>
          </cell>
          <cell r="C13">
            <v>333</v>
          </cell>
          <cell r="D13">
            <v>127</v>
          </cell>
          <cell r="E13">
            <v>56</v>
          </cell>
        </row>
        <row r="14">
          <cell r="A14" t="str">
            <v>1875-Колбаса Филейная оригинальная ТМ Особый рецепт в оболочке полиамид.  ПОКОМ</v>
          </cell>
          <cell r="C14">
            <v>408.02199999999999</v>
          </cell>
          <cell r="D14">
            <v>59.716000000000001</v>
          </cell>
          <cell r="E14">
            <v>87.876999999999995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292.29599999999999</v>
          </cell>
          <cell r="D15">
            <v>64.994</v>
          </cell>
          <cell r="E15">
            <v>140.01599999999999</v>
          </cell>
        </row>
        <row r="16">
          <cell r="A16" t="str">
            <v>1721-Сосиски Вязанка Сливочные ТМ Стародворские колбасы</v>
          </cell>
          <cell r="C16">
            <v>264.49400000000003</v>
          </cell>
          <cell r="D16">
            <v>65</v>
          </cell>
          <cell r="E16">
            <v>117.767</v>
          </cell>
        </row>
        <row r="17">
          <cell r="A17" t="str">
            <v>1867-Колбаса Филейная ТМ Особый рецепт в оболочке полиамид большой батон.  ПОКОМ</v>
          </cell>
          <cell r="C17">
            <v>452.36399999999998</v>
          </cell>
          <cell r="D17">
            <v>101.062</v>
          </cell>
          <cell r="E17">
            <v>180.63200000000001</v>
          </cell>
        </row>
        <row r="18">
          <cell r="A18" t="str">
            <v>7070 СОЧНЫЕ ПМ сос п/о мгс 1.5*4_А_50с  ОСТАНКИНО</v>
          </cell>
          <cell r="C18">
            <v>331.43599999999998</v>
          </cell>
          <cell r="D18">
            <v>75.194000000000003</v>
          </cell>
          <cell r="E18">
            <v>88.963999999999999</v>
          </cell>
        </row>
        <row r="19">
          <cell r="A19" t="str">
            <v>МХБ Мясной продукт из свинины сырокопченый Бекон ШТ. ОХЛ ВУ 200г*10 (2 кг) МИРАТОРГ</v>
          </cell>
          <cell r="C19">
            <v>609</v>
          </cell>
          <cell r="D19">
            <v>180</v>
          </cell>
          <cell r="E19">
            <v>238</v>
          </cell>
        </row>
        <row r="20">
          <cell r="A20" t="str">
            <v>МХБ Колбаса варено-копченая Сервелат ШТ. Ф/О ОХЛ В/У 375г*6 (2,25кг) МИРАТОРГ</v>
          </cell>
          <cell r="C20">
            <v>394</v>
          </cell>
          <cell r="D20">
            <v>208</v>
          </cell>
          <cell r="E20">
            <v>163</v>
          </cell>
        </row>
        <row r="21">
          <cell r="A21" t="str">
            <v>Фарш куриный "Домашний",зам,в/у0,75кг*8(6кг)  МИРАТОРГ</v>
          </cell>
          <cell r="C21">
            <v>564</v>
          </cell>
          <cell r="D21">
            <v>12</v>
          </cell>
          <cell r="E21">
            <v>506</v>
          </cell>
        </row>
        <row r="22">
          <cell r="A22" t="str">
            <v>МХБ Сервелат Мраморный ШТ. в/к ВУ ОХЛ 330г*6 (1,98кг)  МИРАТОРГ</v>
          </cell>
          <cell r="C22">
            <v>390</v>
          </cell>
          <cell r="D22">
            <v>197</v>
          </cell>
          <cell r="E22">
            <v>149</v>
          </cell>
        </row>
        <row r="23">
          <cell r="A23" t="str">
            <v>МХБ Колбаса варено-копченая Сервелат Финский ШТ. Ф/О ОХЛ В/У 375г*6 (2,25кг) МИРАТОРГ</v>
          </cell>
          <cell r="C23">
            <v>395</v>
          </cell>
          <cell r="D23">
            <v>301</v>
          </cell>
          <cell r="E23">
            <v>96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340.66199999999998</v>
          </cell>
          <cell r="D24">
            <v>67.203999999999994</v>
          </cell>
          <cell r="E24">
            <v>151.14699999999999</v>
          </cell>
        </row>
        <row r="25">
          <cell r="A25" t="str">
            <v>Вареные колбасы Сливушка Вязанка Фикс.вес 0,45 П/а Вязанка  ПОКОМ</v>
          </cell>
          <cell r="C25">
            <v>412</v>
          </cell>
          <cell r="D25">
            <v>132</v>
          </cell>
          <cell r="E25">
            <v>49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184.827</v>
          </cell>
          <cell r="D26">
            <v>43.075000000000003</v>
          </cell>
          <cell r="E26">
            <v>63.128999999999998</v>
          </cell>
        </row>
        <row r="27">
          <cell r="A27" t="str">
            <v>1869-Колбаса Молочная ТМ Особый рецепт в оболочке полиамид большой батон.  ПОКОМ</v>
          </cell>
          <cell r="C27">
            <v>324.72199999999998</v>
          </cell>
          <cell r="D27">
            <v>67.412000000000006</v>
          </cell>
          <cell r="E27">
            <v>146.79400000000001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174.089</v>
          </cell>
          <cell r="D28">
            <v>35.131</v>
          </cell>
          <cell r="E28">
            <v>85.899000000000001</v>
          </cell>
        </row>
        <row r="29">
          <cell r="A29" t="str">
            <v>6093 САЛЯМИ ИТАЛЬЯНСКАЯ с/к в/у 1/250 8шт_UZ</v>
          </cell>
          <cell r="C29">
            <v>369</v>
          </cell>
          <cell r="D29">
            <v>52</v>
          </cell>
          <cell r="E29">
            <v>79</v>
          </cell>
        </row>
        <row r="30">
          <cell r="A30" t="str">
            <v>1120 В/к колбасы Сервелат Запеченный Дугушка Вес Вектор Стародворье, вес 1кг</v>
          </cell>
          <cell r="C30">
            <v>182.00299999999999</v>
          </cell>
          <cell r="D30">
            <v>36.024999999999999</v>
          </cell>
          <cell r="E30">
            <v>86.135999999999996</v>
          </cell>
        </row>
        <row r="31">
          <cell r="A31" t="str">
            <v>МХБ Колбаса полукопченая Чесночная ШТ. ф/о ОХЛ 375г*6 (2,25кг) МИРАТОРГ</v>
          </cell>
          <cell r="C31">
            <v>371</v>
          </cell>
          <cell r="D31">
            <v>220</v>
          </cell>
          <cell r="E31">
            <v>157</v>
          </cell>
        </row>
        <row r="32">
          <cell r="A32" t="str">
            <v>7058 ШПИКАЧКИ СОЧНЫЕ С БЕКОНОМ п/о мгс 1*3_60с  ОСТАНКИНО</v>
          </cell>
          <cell r="C32">
            <v>216.999</v>
          </cell>
          <cell r="D32">
            <v>48.161999999999999</v>
          </cell>
          <cell r="E32">
            <v>65.748000000000005</v>
          </cell>
        </row>
        <row r="33">
          <cell r="A33" t="str">
            <v>КП Колбаса в/к Балыковая ВУ охл 300г*6  МИРАТОРГ</v>
          </cell>
          <cell r="C33">
            <v>387</v>
          </cell>
          <cell r="D33">
            <v>172</v>
          </cell>
          <cell r="E33">
            <v>176</v>
          </cell>
        </row>
        <row r="34">
          <cell r="A34" t="str">
            <v>МХБ Колбаса варено-копченая Сервелат Коньячный Ф/О ОХЛ В/У 300г*6 (1,8кг)  МИРАТОРГ</v>
          </cell>
          <cell r="C34">
            <v>381</v>
          </cell>
          <cell r="D34">
            <v>156</v>
          </cell>
          <cell r="E34">
            <v>113</v>
          </cell>
        </row>
        <row r="35">
          <cell r="A35" t="str">
            <v>4087   СЕРВЕЛАТ КОПЧЕНЫЙ НА БУКЕ в/к в/К 0,35</v>
          </cell>
          <cell r="C35">
            <v>421</v>
          </cell>
          <cell r="D35">
            <v>115</v>
          </cell>
          <cell r="E35">
            <v>159</v>
          </cell>
        </row>
        <row r="36">
          <cell r="A36" t="str">
            <v>6092 АРОМАТНАЯ с/к в/у 1/250 8шт_UZ</v>
          </cell>
          <cell r="C36">
            <v>305</v>
          </cell>
          <cell r="D36">
            <v>52</v>
          </cell>
          <cell r="E36">
            <v>61</v>
          </cell>
        </row>
        <row r="37">
          <cell r="A37" t="str">
            <v>1523-Сосиски Вязанка Молочные ТМ Стародворские колбасы</v>
          </cell>
          <cell r="C37">
            <v>159.429</v>
          </cell>
          <cell r="D37">
            <v>12.093</v>
          </cell>
          <cell r="E37">
            <v>49.576000000000001</v>
          </cell>
        </row>
        <row r="38">
          <cell r="A38" t="str">
            <v>1411 Сосиски «Сочинки Сливочные» Весовые ТМ «Стародворье» 1,35 кг  ПОКОМ</v>
          </cell>
          <cell r="C38">
            <v>183.005</v>
          </cell>
          <cell r="D38">
            <v>29.728000000000002</v>
          </cell>
          <cell r="E38">
            <v>84.1</v>
          </cell>
        </row>
        <row r="39">
          <cell r="A39" t="str">
            <v>2634 Колбаса Дугушка Стародворская ТМ Стародворье ТС Дугушка  ПОКОМ</v>
          </cell>
          <cell r="C39">
            <v>179.99700000000001</v>
          </cell>
          <cell r="D39">
            <v>14.452</v>
          </cell>
          <cell r="E39">
            <v>88.046000000000006</v>
          </cell>
        </row>
        <row r="40">
          <cell r="A40" t="str">
            <v>5096   СЕРВЕЛАТ КРЕМЛЕВСКИЙ в/к в/у_СНГ</v>
          </cell>
          <cell r="C40">
            <v>105.77200000000001</v>
          </cell>
          <cell r="D40">
            <v>15.509</v>
          </cell>
          <cell r="E40">
            <v>42.106000000000002</v>
          </cell>
        </row>
        <row r="41">
          <cell r="A41" t="str">
            <v>2205-Сосиски Молочные для завтрака ТМ Особый рецепт 0,4кг</v>
          </cell>
          <cell r="C41">
            <v>366</v>
          </cell>
          <cell r="D41">
            <v>4</v>
          </cell>
          <cell r="E41">
            <v>38</v>
          </cell>
        </row>
        <row r="42">
          <cell r="A42" t="str">
            <v>1205 Копченые колбасы Салями Мясорубская с рубленым шпиком срез Бордо ф/в 0,35 фиброуз Стародворье  ПОКОМ</v>
          </cell>
          <cell r="C42">
            <v>364</v>
          </cell>
          <cell r="D42">
            <v>102</v>
          </cell>
          <cell r="E42">
            <v>121</v>
          </cell>
        </row>
        <row r="43">
          <cell r="A43" t="str">
            <v>1204 Копченые колбасы Салями Мясорубская с рубленым шпиком Бордо Весовой фиброуз Стародворье  ПОКОМ</v>
          </cell>
          <cell r="C43">
            <v>127.886</v>
          </cell>
          <cell r="D43">
            <v>35.49</v>
          </cell>
          <cell r="E43">
            <v>21.939</v>
          </cell>
        </row>
        <row r="44">
          <cell r="A44" t="str">
            <v>6787 СЕРВЕЛАТ КРЕМЛЕВСКИЙ в/к в/у 0.33кг 8шт.  ОСТАНКИНО</v>
          </cell>
          <cell r="C44">
            <v>249</v>
          </cell>
          <cell r="D44">
            <v>47</v>
          </cell>
          <cell r="E44">
            <v>68</v>
          </cell>
        </row>
        <row r="45">
          <cell r="A45" t="str">
            <v>1201 В/к колбасы Сервелат Мясорубский с мелкорубленным окороком Бордо Весовой фиброуз Стародворье  П</v>
          </cell>
          <cell r="C45">
            <v>123.492</v>
          </cell>
          <cell r="D45">
            <v>28.076000000000001</v>
          </cell>
          <cell r="E45">
            <v>25.995000000000001</v>
          </cell>
        </row>
        <row r="46">
          <cell r="A46" t="str">
            <v>6095 ЮБИЛЕЙНАЯ с/к в/у 1/250 8шт_UZ</v>
          </cell>
          <cell r="C46">
            <v>235</v>
          </cell>
          <cell r="D46">
            <v>25</v>
          </cell>
          <cell r="E46">
            <v>45</v>
          </cell>
        </row>
        <row r="47">
          <cell r="A47" t="str">
            <v>4079 СЕРВЕЛАТ КОПЧЕНЫЙ НА БУКЕ в/к в/у_СНГ</v>
          </cell>
          <cell r="C47">
            <v>113.26300000000001</v>
          </cell>
          <cell r="D47">
            <v>24.809000000000001</v>
          </cell>
          <cell r="E47">
            <v>51.706000000000003</v>
          </cell>
        </row>
        <row r="48">
          <cell r="A48" t="str">
            <v>СК БОРОДИНСКАЯ СРЕЗ ФИБ ВУ 0.3КГ ШТ К3.6  ЧЕРКИЗОВО</v>
          </cell>
          <cell r="C48">
            <v>173</v>
          </cell>
          <cell r="D48">
            <v>64</v>
          </cell>
          <cell r="E48">
            <v>49</v>
          </cell>
        </row>
        <row r="49">
          <cell r="A49" t="str">
            <v>6091 АРОМАТНАЯ с/к в/у_UZ</v>
          </cell>
          <cell r="C49">
            <v>54.776000000000003</v>
          </cell>
          <cell r="D49">
            <v>13.577</v>
          </cell>
          <cell r="E49">
            <v>11.759</v>
          </cell>
        </row>
        <row r="50">
          <cell r="A50" t="str">
            <v>5608 СЕРВЕЛАТ ФИНСКИЙ в/к в/у срез 0.35кг_СНГ</v>
          </cell>
          <cell r="C50">
            <v>276</v>
          </cell>
          <cell r="D50">
            <v>69</v>
          </cell>
          <cell r="E50">
            <v>96</v>
          </cell>
        </row>
        <row r="51">
          <cell r="A51" t="str">
            <v>Вареные колбасы Докторская ГОСТ Вязанка Фикс.вес 0,4 Вектор Вязанка  ПОКОМ</v>
          </cell>
          <cell r="C51">
            <v>194</v>
          </cell>
          <cell r="D51">
            <v>53</v>
          </cell>
          <cell r="E51">
            <v>4</v>
          </cell>
        </row>
        <row r="52">
          <cell r="A52" t="str">
            <v>6072 ЭКСТРА Папа может вар п/о 0.4кг_UZ</v>
          </cell>
          <cell r="C52">
            <v>341</v>
          </cell>
          <cell r="D52">
            <v>72</v>
          </cell>
          <cell r="E52">
            <v>63</v>
          </cell>
        </row>
        <row r="53">
          <cell r="A53" t="str">
            <v>СК САЛЬЧИЧОН СРЕЗ ФИБ ВУ ШТ 0,3 КГ ЧЕРКИЗОВО (ПРЕМИУМ)</v>
          </cell>
          <cell r="C53">
            <v>122</v>
          </cell>
          <cell r="D53">
            <v>6</v>
          </cell>
          <cell r="E53">
            <v>36</v>
          </cell>
        </row>
        <row r="54">
          <cell r="A54" t="str">
            <v>1231 Сосиски Сливочные Дугушки Дугушка Весовые П/а Стародворье, вес 1кг</v>
          </cell>
          <cell r="C54">
            <v>101.858</v>
          </cell>
          <cell r="D54">
            <v>57.35</v>
          </cell>
          <cell r="E54">
            <v>-1.2470000000000001</v>
          </cell>
        </row>
        <row r="55">
          <cell r="A55" t="str">
            <v>6094 ЮБИЛЕЙНАЯ с/к в/у_UZ</v>
          </cell>
          <cell r="C55">
            <v>45.834000000000003</v>
          </cell>
          <cell r="D55">
            <v>23.867000000000001</v>
          </cell>
          <cell r="E55">
            <v>19.792000000000002</v>
          </cell>
        </row>
        <row r="56">
          <cell r="A56" t="str">
            <v>6268 ГОВЯЖЬЯ Папа может вар п/о 0.4кг 8шт.  ОСТАНКИНО</v>
          </cell>
          <cell r="C56">
            <v>273</v>
          </cell>
          <cell r="D56">
            <v>55</v>
          </cell>
          <cell r="E56">
            <v>47</v>
          </cell>
        </row>
        <row r="57">
          <cell r="A57" t="str">
            <v>7075 МОЛОЧ.ПРЕМИУМ ПМ сос п/о мгс 1.5*4_О_50с  ОСТАНКИНО</v>
          </cell>
          <cell r="C57">
            <v>106.839</v>
          </cell>
          <cell r="D57">
            <v>21.561</v>
          </cell>
          <cell r="E57">
            <v>24.553000000000001</v>
          </cell>
        </row>
        <row r="58">
          <cell r="A58" t="str">
            <v>6076 МЯСНАЯ Папа может вар п/о 0.4кг_UZ</v>
          </cell>
          <cell r="C58">
            <v>290</v>
          </cell>
          <cell r="D58">
            <v>64</v>
          </cell>
          <cell r="E58">
            <v>79</v>
          </cell>
        </row>
        <row r="59">
          <cell r="A59" t="str">
            <v>1224 В/к колбасы «Сочинка по-европейски с сочной грудинкой» Весовой фиброуз ТМ «Стародворье»  ПОКОМ</v>
          </cell>
          <cell r="C59">
            <v>88.042000000000002</v>
          </cell>
          <cell r="D59">
            <v>32.61</v>
          </cell>
          <cell r="E59">
            <v>28.242999999999999</v>
          </cell>
        </row>
        <row r="60">
          <cell r="A60" t="str">
            <v>Колбаса с/к Сальчичон ВУ ОХЛ 280г*6 (1,68 кг)  МИРАТОРГ</v>
          </cell>
          <cell r="C60">
            <v>90</v>
          </cell>
          <cell r="D60">
            <v>24</v>
          </cell>
          <cell r="E60">
            <v>15</v>
          </cell>
        </row>
        <row r="61">
          <cell r="A61" t="str">
            <v>7104 БЕКОН Останкино с/к с/н в/у 1/180_СНГ_50 ОСТАНКИНО</v>
          </cell>
          <cell r="C61">
            <v>178</v>
          </cell>
          <cell r="D61">
            <v>24</v>
          </cell>
          <cell r="E61">
            <v>88</v>
          </cell>
        </row>
        <row r="62">
          <cell r="A62" t="str">
            <v>1851-Колбаса Филедворская по-стародворски ТМ Стародворье в оболочке полиамид 0,4 кг.  ПОКОМ</v>
          </cell>
          <cell r="C62">
            <v>223</v>
          </cell>
          <cell r="D62">
            <v>56</v>
          </cell>
          <cell r="E62">
            <v>55</v>
          </cell>
        </row>
        <row r="63">
          <cell r="A63" t="str">
            <v>СК БОГОРОДСКАЯ ПРЕСС ФИБ ВУ ШТ0.3КГ К3.6  ЧЕРКИЗОВО</v>
          </cell>
          <cell r="C63">
            <v>102</v>
          </cell>
          <cell r="D63">
            <v>55</v>
          </cell>
          <cell r="E63">
            <v>50</v>
          </cell>
        </row>
        <row r="64">
          <cell r="A64" t="str">
            <v>МХБ Колбаса вареная Докторская ШТ. п/а ОХЛ 470г*6 (2,82 кг) МИРАТОРГ</v>
          </cell>
          <cell r="C64">
            <v>124</v>
          </cell>
          <cell r="D64">
            <v>44</v>
          </cell>
          <cell r="E64">
            <v>53</v>
          </cell>
        </row>
        <row r="65">
          <cell r="A65" t="str">
            <v>1372-Сосиски Сочинки с сочным окороком Бордо Фикс.вес 0,4 П/а мгс Стародворье</v>
          </cell>
          <cell r="C65">
            <v>213</v>
          </cell>
          <cell r="D65">
            <v>83</v>
          </cell>
          <cell r="E65">
            <v>29</v>
          </cell>
        </row>
        <row r="66">
          <cell r="A66" t="str">
            <v>СК САЛЬЧИЧОН С РОЗОВЫМ ПЕРЦ. СРЕЗ ШТ 0,3  ЧЕРКИЗОВО</v>
          </cell>
          <cell r="C66">
            <v>88</v>
          </cell>
          <cell r="D66">
            <v>5</v>
          </cell>
          <cell r="E66">
            <v>38</v>
          </cell>
        </row>
        <row r="67">
          <cell r="A67" t="str">
            <v>1371-Сосиски Сочинки с сочной грудинкой Бордо Фикс.вес 0,4 П/а мгс Стародворье</v>
          </cell>
          <cell r="C67">
            <v>193</v>
          </cell>
          <cell r="D67">
            <v>57</v>
          </cell>
          <cell r="E67">
            <v>27</v>
          </cell>
        </row>
        <row r="68">
          <cell r="A68" t="str">
            <v>Вареные колбасы «Филейская» Весовые Вектор ТМ «Вязанка»  ПОКОМ</v>
          </cell>
          <cell r="C68">
            <v>66.012</v>
          </cell>
          <cell r="D68">
            <v>33.719000000000001</v>
          </cell>
          <cell r="E68">
            <v>16.170999999999999</v>
          </cell>
        </row>
        <row r="69">
          <cell r="A69" t="str">
            <v>1871-Колбаса Филейная оригинальная ТМ Особый рецепт в оболочке полиамид 0,4 кг.  ПОКОМ</v>
          </cell>
          <cell r="C69">
            <v>182</v>
          </cell>
          <cell r="D69">
            <v>60</v>
          </cell>
          <cell r="E69">
            <v>17</v>
          </cell>
        </row>
        <row r="70">
          <cell r="A70" t="str">
            <v>ВАР МОЛОЧНАЯ ПО-ЧЕ НМО ШТ 0.4КГ К2.4  ЧЕРКИЗОВО</v>
          </cell>
          <cell r="C70">
            <v>142</v>
          </cell>
          <cell r="D70">
            <v>61</v>
          </cell>
          <cell r="E70">
            <v>11</v>
          </cell>
        </row>
        <row r="71">
          <cell r="A71" t="str">
            <v>С/к колбасы Швейцарская Бордо Фикс.вес 0,17 Фиброуз терм/п Стародворье</v>
          </cell>
          <cell r="C71">
            <v>135</v>
          </cell>
          <cell r="D71">
            <v>32</v>
          </cell>
          <cell r="E71">
            <v>43</v>
          </cell>
        </row>
        <row r="72">
          <cell r="A72" t="str">
            <v>Вареные колбасы Молокуша Вязанка Вес п/а Вязанка  ПОКОМ</v>
          </cell>
          <cell r="C72">
            <v>59.204999999999998</v>
          </cell>
          <cell r="D72">
            <v>7.9939999999999998</v>
          </cell>
          <cell r="E72">
            <v>25.611000000000001</v>
          </cell>
        </row>
        <row r="73">
          <cell r="A73" t="str">
            <v>1720-Сосиски Вязанка Сливочные ТМ Стародворские колбасы ТС Вязанка амицел в мод газов.среде 0,45кг</v>
          </cell>
          <cell r="C73">
            <v>99</v>
          </cell>
          <cell r="D73">
            <v>14</v>
          </cell>
          <cell r="E73">
            <v>9</v>
          </cell>
        </row>
        <row r="74">
          <cell r="A74" t="str">
            <v>7077 МЯСНЫЕ С ГОВЯД.ПМ сос п/о мгс 0.4кг_50с ОСТАНКИНО</v>
          </cell>
          <cell r="C74">
            <v>179</v>
          </cell>
          <cell r="D74">
            <v>47</v>
          </cell>
          <cell r="E74">
            <v>52</v>
          </cell>
        </row>
        <row r="75">
          <cell r="A75" t="str">
            <v>7333 СЕРВЕЛАТ ОХОТНИЧИЙ ПМ в/к в/у 0.28кг_СНГ  ОСТАНКИНО</v>
          </cell>
          <cell r="C75">
            <v>161</v>
          </cell>
          <cell r="D75">
            <v>41</v>
          </cell>
          <cell r="E75">
            <v>55</v>
          </cell>
        </row>
        <row r="76">
          <cell r="A76" t="str">
            <v>Колбаса п/к Краковская ОХЛ ВУ 330г*5 (1,65 кг)  МИРАТОРГ</v>
          </cell>
          <cell r="C76">
            <v>78</v>
          </cell>
          <cell r="D76">
            <v>57</v>
          </cell>
          <cell r="E76">
            <v>24</v>
          </cell>
        </row>
        <row r="77">
          <cell r="A77" t="str">
            <v>Вареные колбасы «Филейская» Фикс.вес 0,45 Вектор ТМ «Вязанка»  ПОКОМ</v>
          </cell>
          <cell r="C77">
            <v>107</v>
          </cell>
          <cell r="D77">
            <v>15</v>
          </cell>
          <cell r="E77">
            <v>24</v>
          </cell>
        </row>
        <row r="78">
          <cell r="A78" t="str">
            <v>С/к колбасы Баварская Бавария Фикс.вес 0,17 б/о терм/п Стародворье</v>
          </cell>
          <cell r="C78">
            <v>95</v>
          </cell>
          <cell r="D78">
            <v>18</v>
          </cell>
          <cell r="E78">
            <v>13</v>
          </cell>
        </row>
        <row r="79">
          <cell r="A79" t="str">
            <v>ВК СЕРВ ГОСТ СРЕЗ ФИБ ВУ ШТ 0.5КГ К2  ЧЕРКИЗОВО</v>
          </cell>
          <cell r="C79">
            <v>46</v>
          </cell>
          <cell r="D79">
            <v>37</v>
          </cell>
          <cell r="E79">
            <v>8</v>
          </cell>
        </row>
        <row r="80">
          <cell r="A80" t="str">
            <v>6807 СЕРВЕЛАТ ЕВРОПЕЙСКИЙ в/к в/у 0.33кг 8шт.  ОСТАНКИНО</v>
          </cell>
          <cell r="C80">
            <v>92</v>
          </cell>
          <cell r="D80">
            <v>29</v>
          </cell>
          <cell r="E80">
            <v>52</v>
          </cell>
        </row>
        <row r="81">
          <cell r="A81" t="str">
            <v>МХБ Колбаса вареная Молочная ШТ. п/а ОХЛ 470*6 (2,82 кг) МИРАТОРГ</v>
          </cell>
          <cell r="C81">
            <v>83</v>
          </cell>
          <cell r="D81">
            <v>10</v>
          </cell>
          <cell r="E81">
            <v>21</v>
          </cell>
        </row>
        <row r="82">
          <cell r="A82" t="str">
            <v>6075 МЯСНАЯ Папа может вар п/о_UZ</v>
          </cell>
          <cell r="C82">
            <v>63.073999999999998</v>
          </cell>
          <cell r="D82">
            <v>6.7160000000000002</v>
          </cell>
          <cell r="E82">
            <v>29.51</v>
          </cell>
        </row>
        <row r="83">
          <cell r="A83" t="str">
            <v>6078 ФИЛЕЙНАЯ Папа может вар п/о_UZ</v>
          </cell>
          <cell r="C83">
            <v>49.963000000000001</v>
          </cell>
          <cell r="D83">
            <v>16.233000000000001</v>
          </cell>
          <cell r="E83">
            <v>8.1679999999999993</v>
          </cell>
        </row>
        <row r="84">
          <cell r="A84" t="str">
            <v>1202 В/к колбасы Сервелат Мясорубский с мелкорубленным окороком срез Бордо Фикс.вес 0,35 фиброуз Ста</v>
          </cell>
          <cell r="C84">
            <v>101</v>
          </cell>
          <cell r="D84">
            <v>31</v>
          </cell>
          <cell r="E84">
            <v>82</v>
          </cell>
        </row>
        <row r="85">
          <cell r="A85" t="str">
            <v>ВАР МОЛОЧНАЯ ПО-Ч НМО 1 КГ К3  ЧЕРКИЗОВО</v>
          </cell>
          <cell r="C85">
            <v>34.957000000000001</v>
          </cell>
          <cell r="D85">
            <v>4.12</v>
          </cell>
          <cell r="E85">
            <v>12.337999999999999</v>
          </cell>
        </row>
        <row r="86">
          <cell r="A86" t="str">
            <v>0262 Ветчина «Сочинка с сочным окороком» Весовой п/а ТМ «Стародворье»  ПОКОМ</v>
          </cell>
          <cell r="C86">
            <v>39.746000000000002</v>
          </cell>
          <cell r="D86">
            <v>10.6</v>
          </cell>
          <cell r="E86">
            <v>1.3340000000000001</v>
          </cell>
        </row>
        <row r="87">
          <cell r="A87" t="str">
            <v>1868-Колбаса Филейная ТМ Особый рецепт в оболочке полиамид 0,5 кг.  ПОКОМ</v>
          </cell>
          <cell r="C87">
            <v>85</v>
          </cell>
          <cell r="D87">
            <v>11</v>
          </cell>
          <cell r="E87">
            <v>33</v>
          </cell>
        </row>
        <row r="88">
          <cell r="A88" t="str">
            <v>МХБ Колбаса вареная Классическая ШТ. ОХЛ п/а 470г*6 (2,82кг) МИРАТОРГ</v>
          </cell>
          <cell r="C88">
            <v>77</v>
          </cell>
          <cell r="D88">
            <v>9</v>
          </cell>
          <cell r="E88">
            <v>48</v>
          </cell>
        </row>
        <row r="89">
          <cell r="A89" t="str">
            <v>7067 СОЧНЫЕ ПМ сос п/о мгс 0.41кг_СНГ_50с  ОСТАНКИНО</v>
          </cell>
          <cell r="C89">
            <v>101</v>
          </cell>
          <cell r="D89">
            <v>22</v>
          </cell>
          <cell r="E89">
            <v>3</v>
          </cell>
        </row>
        <row r="90">
          <cell r="A90" t="str">
            <v>6220 ГОВЯЖЬЯ Папа может вар п/о  ОСТАНКИНО</v>
          </cell>
          <cell r="C90">
            <v>33.950000000000003</v>
          </cell>
          <cell r="D90">
            <v>1.351</v>
          </cell>
          <cell r="E90">
            <v>9.4960000000000004</v>
          </cell>
        </row>
        <row r="91">
          <cell r="A91" t="str">
            <v>1284-Сосиски Баварушки ТМ Баварушка в оболочке амицел в модифицированной газовой среде 0,6 кг.</v>
          </cell>
          <cell r="C91">
            <v>37</v>
          </cell>
          <cell r="D91">
            <v>-2</v>
          </cell>
          <cell r="E91">
            <v>2</v>
          </cell>
        </row>
        <row r="92">
          <cell r="A92" t="str">
            <v>ВАР КЛАССИЧЕСКАЯ ПО-Ч ЦО ЗА 1.6КГ K3.2 ЧЕРКИЗОВО</v>
          </cell>
          <cell r="C92">
            <v>19.315999999999999</v>
          </cell>
          <cell r="D92">
            <v>19.315999999999999</v>
          </cell>
        </row>
        <row r="93">
          <cell r="A93" t="str">
            <v>Наггетсы куриные хрустящие 300г*12 (3,6кг) Мираторг Россия</v>
          </cell>
          <cell r="C93">
            <v>65</v>
          </cell>
          <cell r="D93">
            <v>30</v>
          </cell>
          <cell r="E93">
            <v>4</v>
          </cell>
        </row>
        <row r="94">
          <cell r="A94" t="str">
            <v>Фарш говяжий зам 0,4кг ШТ  TF  МИРАТОРГ</v>
          </cell>
          <cell r="C94">
            <v>40</v>
          </cell>
          <cell r="E94">
            <v>40</v>
          </cell>
        </row>
        <row r="95">
          <cell r="A95" t="str">
            <v>Пельмени "Из мраморной говядины" с/м пленка  400г*16(6,4кг) BLACK ANGUS Мираторг (Брянск) Россия</v>
          </cell>
          <cell r="C95">
            <v>55</v>
          </cell>
          <cell r="D95">
            <v>18</v>
          </cell>
          <cell r="E95">
            <v>8</v>
          </cell>
        </row>
        <row r="96">
          <cell r="A96" t="str">
            <v>Наггетсы куриные Классические 300г*12 (3,6кг) Мираторг Россия</v>
          </cell>
          <cell r="C96">
            <v>62</v>
          </cell>
          <cell r="D96">
            <v>30</v>
          </cell>
          <cell r="E96">
            <v>4</v>
          </cell>
        </row>
        <row r="97">
          <cell r="A97" t="str">
            <v>6765 РУБЛЕНЫЕ сос ц/о мгс 0.36кг 6шт.  ОСТАНКИНО</v>
          </cell>
          <cell r="C97">
            <v>47</v>
          </cell>
          <cell r="D97">
            <v>12</v>
          </cell>
          <cell r="E97">
            <v>10</v>
          </cell>
        </row>
        <row r="98">
          <cell r="A98" t="str">
            <v>Пельмени «Сочные» ГВ зам пакет 700г*8  МИРАТОРГ</v>
          </cell>
          <cell r="C98">
            <v>54</v>
          </cell>
          <cell r="D98">
            <v>14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51</v>
          </cell>
          <cell r="D99">
            <v>15</v>
          </cell>
          <cell r="E99">
            <v>8</v>
          </cell>
        </row>
        <row r="100">
          <cell r="A100" t="str">
            <v>МХБ Ветчина для завтрака ШТ. ОХЛ п/а 400г*6 (2,4кг) МИРАТОРГ</v>
          </cell>
          <cell r="C100">
            <v>32</v>
          </cell>
          <cell r="D100">
            <v>15</v>
          </cell>
          <cell r="E100">
            <v>11</v>
          </cell>
        </row>
        <row r="101">
          <cell r="A101" t="str">
            <v>2027 Ветчина Нежная п/а ТМ Особый рецепт шт. 0,4кг</v>
          </cell>
          <cell r="C101">
            <v>37</v>
          </cell>
          <cell r="E101">
            <v>3</v>
          </cell>
        </row>
        <row r="102">
          <cell r="A102" t="str">
            <v>6346 ФИЛЕЙНАЯ Папа может вар п/о 0.5кг_СНГ  ОСТАНКИНО</v>
          </cell>
          <cell r="C102">
            <v>44</v>
          </cell>
          <cell r="D102">
            <v>10</v>
          </cell>
          <cell r="E102">
            <v>12</v>
          </cell>
        </row>
        <row r="103">
          <cell r="A103" t="str">
            <v>СК ОНЕЖСКАЯ СРЕЗ ФИБ ВУ ШТ 0.3КГ K1.8 ЧЕРКИЗОВО</v>
          </cell>
          <cell r="C103">
            <v>20</v>
          </cell>
          <cell r="D103">
            <v>1</v>
          </cell>
          <cell r="E103">
            <v>1</v>
          </cell>
        </row>
        <row r="104">
          <cell r="A104" t="str">
            <v>7059 ШПИКАЧКИ СОЧНЫЕ С БЕК. п/о мгс 0.3кг_60с  ОСТАНКИНО</v>
          </cell>
          <cell r="C104">
            <v>45</v>
          </cell>
          <cell r="D104">
            <v>6</v>
          </cell>
          <cell r="E104">
            <v>18</v>
          </cell>
        </row>
        <row r="105">
          <cell r="A105" t="str">
            <v>Наггетсы Куриные с сыром 250г*12 зам  МИРАТОРГ</v>
          </cell>
          <cell r="C105">
            <v>23</v>
          </cell>
          <cell r="E105">
            <v>4</v>
          </cell>
        </row>
        <row r="106">
          <cell r="A106" t="str">
            <v>Картофель фри с/м 500г*10 (5кг) МИРАТОРГ Россия</v>
          </cell>
          <cell r="C106">
            <v>24</v>
          </cell>
          <cell r="D106">
            <v>10</v>
          </cell>
          <cell r="E106">
            <v>4</v>
          </cell>
        </row>
        <row r="107">
          <cell r="A107" t="str">
            <v>Бургер Класс из мр гов зам ШТ 1,05кг TF *6  МИРАТОРГ</v>
          </cell>
          <cell r="C107">
            <v>6</v>
          </cell>
          <cell r="E107">
            <v>6</v>
          </cell>
        </row>
        <row r="108">
          <cell r="A108" t="str">
            <v>Итальянская смесь с/м 400г*10 (4кг) Vитамин  МИРАТОРГ</v>
          </cell>
          <cell r="C108">
            <v>24</v>
          </cell>
          <cell r="D108">
            <v>10</v>
          </cell>
          <cell r="E108">
            <v>5</v>
          </cell>
        </row>
        <row r="109">
          <cell r="A109" t="str">
            <v>ВЕТЧ МРАМОРНАЯ ПО-ЧЕРКИЗОВСКИ ШТ 0,4 КГ  ЧЕРКИЗОВО</v>
          </cell>
          <cell r="C109">
            <v>12</v>
          </cell>
          <cell r="D109">
            <v>29</v>
          </cell>
          <cell r="E109">
            <v>2</v>
          </cell>
        </row>
        <row r="110">
          <cell r="A110" t="str">
            <v>Мексиканская смесь с/м 400г*10 (4кг) Мираторг Россия</v>
          </cell>
          <cell r="C110">
            <v>21</v>
          </cell>
          <cell r="D110">
            <v>10</v>
          </cell>
          <cell r="E110">
            <v>5</v>
          </cell>
        </row>
        <row r="111">
          <cell r="A111" t="str">
            <v>Ягодный морс 300г*10 зам  МИРАТОРГ</v>
          </cell>
          <cell r="C111">
            <v>14</v>
          </cell>
        </row>
        <row r="112">
          <cell r="A112" t="str">
            <v>Шампиньоны рез. 400*20 зам  МИРАТОРГ</v>
          </cell>
          <cell r="C112">
            <v>11</v>
          </cell>
        </row>
        <row r="113">
          <cell r="A113" t="str">
            <v>1461 Сосиски «Баварские» Фикс.вес 0,35 П/а ТМ «Стародворье»  ПОКОМ</v>
          </cell>
          <cell r="C113">
            <v>12</v>
          </cell>
          <cell r="D113">
            <v>-16</v>
          </cell>
          <cell r="E113">
            <v>3</v>
          </cell>
        </row>
        <row r="114">
          <cell r="A114" t="str">
            <v>Лечо по-венгерски 0,4кг ОФ зам кор  МИРАТОРГ</v>
          </cell>
          <cell r="C114">
            <v>11</v>
          </cell>
          <cell r="D114">
            <v>5</v>
          </cell>
          <cell r="E114">
            <v>5</v>
          </cell>
        </row>
        <row r="115">
          <cell r="A115" t="str">
            <v>1728-Сосиски сливочные по-стародворски в оболочке</v>
          </cell>
          <cell r="C115">
            <v>3.4340000000000002</v>
          </cell>
          <cell r="D115">
            <v>1.2849999999999999</v>
          </cell>
          <cell r="E115">
            <v>2.8330000000000002</v>
          </cell>
        </row>
        <row r="116">
          <cell r="A116" t="str">
            <v>Сырники классические ЗАМ 280гр*4 (1,12кг) Мираторг Трио Россия</v>
          </cell>
          <cell r="C116">
            <v>8</v>
          </cell>
          <cell r="D116">
            <v>8</v>
          </cell>
        </row>
        <row r="117">
          <cell r="A117" t="str">
            <v>Карибская смесь с/м 400г*10 (4кг) Мираторг Россия</v>
          </cell>
          <cell r="C117">
            <v>7</v>
          </cell>
          <cell r="E117">
            <v>5</v>
          </cell>
        </row>
        <row r="118">
          <cell r="A118" t="str">
            <v>Гавайская смесь 400г*20 (8кг) Vитамин Мираторг РОССИЯ  МИРАТОРГ</v>
          </cell>
          <cell r="C118">
            <v>7</v>
          </cell>
        </row>
        <row r="119">
          <cell r="A119" t="str">
            <v>Сырники с вишневой начинкой ЗАМ 280гр*4 (1,12кг) Мираторг Трио Россия</v>
          </cell>
          <cell r="C119">
            <v>6</v>
          </cell>
          <cell r="D119">
            <v>4</v>
          </cell>
        </row>
        <row r="120">
          <cell r="A120" t="str">
            <v>Сотэ с прованскими травами 400г зам  МИРАТОРГ</v>
          </cell>
          <cell r="C120">
            <v>6</v>
          </cell>
          <cell r="D120">
            <v>5</v>
          </cell>
        </row>
        <row r="121">
          <cell r="A121" t="str">
            <v>Сырники с клубн.нач. 280гр ЗАМ  МИРАТОРГ</v>
          </cell>
          <cell r="C121">
            <v>4</v>
          </cell>
          <cell r="D121">
            <v>4</v>
          </cell>
        </row>
        <row r="122">
          <cell r="A122" t="str">
            <v>5197 СЕРВЕЛАТ КРЕМЛЕВСКИЙ в/к в/у 0.35кг_СНГ</v>
          </cell>
          <cell r="C122">
            <v>2</v>
          </cell>
          <cell r="E122">
            <v>2</v>
          </cell>
        </row>
        <row r="123">
          <cell r="A123" t="str">
            <v>Микс полезных овощей 400 зам  МИРАТОРГ</v>
          </cell>
          <cell r="C123">
            <v>2</v>
          </cell>
        </row>
        <row r="124">
          <cell r="A124" t="str">
            <v>Чевапчичи из мраморной говядины с/м ГЗМС 300г*8(2,4кг) Мираторг (Брянск) Россия</v>
          </cell>
          <cell r="C124">
            <v>1</v>
          </cell>
        </row>
        <row r="125">
          <cell r="A125" t="str">
            <v>Брокколи капуста 400 ЗАМ  МИРАТОРГ</v>
          </cell>
          <cell r="C125">
            <v>1</v>
          </cell>
        </row>
        <row r="126">
          <cell r="A126" t="str">
            <v>БОНУС_2634 Колбаса Дугушка Стародворская ТМ Стародворье ТС Дугушка  ПОКОМ</v>
          </cell>
          <cell r="C126">
            <v>157.17599999999999</v>
          </cell>
          <cell r="D126">
            <v>22.949000000000002</v>
          </cell>
          <cell r="E126">
            <v>88.850999999999999</v>
          </cell>
        </row>
        <row r="127">
          <cell r="A127" t="str">
            <v>БОНУС_2074-Сосиски Молочные для завтрака Особый рецепт</v>
          </cell>
          <cell r="C127">
            <v>146.94499999999999</v>
          </cell>
          <cell r="D127">
            <v>17.501000000000001</v>
          </cell>
          <cell r="E127">
            <v>37.89</v>
          </cell>
        </row>
        <row r="128">
          <cell r="A128" t="str">
            <v>БОНУС_1875-Колбаса Филейная оригинальная ТМ Особый рецепт в оболочке полиамид.  ПОКОМ</v>
          </cell>
          <cell r="C128">
            <v>82.986999999999995</v>
          </cell>
          <cell r="D128">
            <v>10.481999999999999</v>
          </cell>
          <cell r="E128">
            <v>16.041</v>
          </cell>
        </row>
        <row r="129">
          <cell r="A129" t="str">
            <v>БОНУС_1867-Колбаса Филейная ТМ Особый рецепт в оболочке полиамид большой батон.  ПОКОМ</v>
          </cell>
          <cell r="C129">
            <v>78.858999999999995</v>
          </cell>
          <cell r="D129">
            <v>25.776</v>
          </cell>
          <cell r="E129">
            <v>30.452999999999999</v>
          </cell>
        </row>
        <row r="130">
          <cell r="A130" t="str">
            <v>БОНУС_1869-Колбаса Молочная ТМ Особый рецепт в оболочке полиамид большой батон.  ПОКОМ</v>
          </cell>
          <cell r="C130">
            <v>73.412000000000006</v>
          </cell>
          <cell r="D130">
            <v>5.01</v>
          </cell>
          <cell r="E130">
            <v>58.645000000000003</v>
          </cell>
        </row>
        <row r="131">
          <cell r="A131" t="str">
            <v>БОНУС_2205-Сосиски Молочные для завтрака ТМ Особый рецепт 0,4кг</v>
          </cell>
          <cell r="C131">
            <v>67</v>
          </cell>
          <cell r="D131">
            <v>1</v>
          </cell>
          <cell r="E131">
            <v>13</v>
          </cell>
        </row>
        <row r="132">
          <cell r="A132" t="str">
            <v>БОНУС_1870-Колбаса Со шпиком ТМ Особый рецепт в оболочке полиамид большой батон.  ПОКОМ</v>
          </cell>
          <cell r="C132">
            <v>64.730999999999995</v>
          </cell>
          <cell r="D132">
            <v>7.4320000000000004</v>
          </cell>
          <cell r="E132">
            <v>27.245000000000001</v>
          </cell>
        </row>
        <row r="133">
          <cell r="A133" t="str">
            <v>БОНУС_1201 В/к колбасы Сервелат Мясорубский с мелкорубленным окороком Бордо Весовой фиброуз Стародворье  ПОКОМ</v>
          </cell>
          <cell r="C133">
            <v>49.241999999999997</v>
          </cell>
          <cell r="D133">
            <v>12.314</v>
          </cell>
          <cell r="E133">
            <v>12.999000000000001</v>
          </cell>
        </row>
        <row r="134">
          <cell r="A134" t="str">
            <v>БОНУС_СК БОРОДИНСКАЯ СРЕЗ ФИБ ВУ 0.3КГ ШТ К3.6  ЧЕРКИЗОВО</v>
          </cell>
          <cell r="C134">
            <v>38</v>
          </cell>
          <cell r="D134">
            <v>11</v>
          </cell>
          <cell r="E134">
            <v>24</v>
          </cell>
        </row>
        <row r="135">
          <cell r="A135" t="str">
            <v>БОНУС_1371-Сосиски Сочинки с сочной грудинкой Бордо Фикс.вес 0,4 П/а мгс Стародворье</v>
          </cell>
          <cell r="C135">
            <v>35</v>
          </cell>
          <cell r="D135">
            <v>9</v>
          </cell>
          <cell r="E135">
            <v>8</v>
          </cell>
        </row>
        <row r="136">
          <cell r="A136" t="str">
            <v>БОНУС_1202 В/к колбасы Сервелат Мясорубский с мелкорубленным окороком срез Бордо Фикс.вес 0,35 фибро</v>
          </cell>
          <cell r="C136">
            <v>32</v>
          </cell>
          <cell r="D136">
            <v>9</v>
          </cell>
          <cell r="E136">
            <v>23</v>
          </cell>
        </row>
        <row r="137">
          <cell r="A137" t="str">
            <v>БОНУС_1721-Сосиски Вязанка Сливочные ТМ Стародворские колбасы</v>
          </cell>
          <cell r="C137">
            <v>28.875</v>
          </cell>
          <cell r="D137">
            <v>6.9050000000000002</v>
          </cell>
          <cell r="E137">
            <v>11.044</v>
          </cell>
        </row>
        <row r="138">
          <cell r="A138" t="str">
            <v>БОНУС_1411 Сосиски «Сочинки Сливочные» Весовые ТМ «Стародворье» 1,35 кг  ПОКОМ</v>
          </cell>
          <cell r="C138">
            <v>26.946999999999999</v>
          </cell>
          <cell r="E138">
            <v>16.111000000000001</v>
          </cell>
        </row>
        <row r="139">
          <cell r="A139" t="str">
            <v>БОНУС_С/к колбасы Швейцарская Бордо Фикс.вес 0,17 Фиброуз терм/п Стародворье</v>
          </cell>
          <cell r="C139">
            <v>26</v>
          </cell>
          <cell r="D139">
            <v>11</v>
          </cell>
          <cell r="E139">
            <v>10</v>
          </cell>
        </row>
        <row r="140">
          <cell r="A140" t="str">
            <v>БОНУС_1871-Колбаса Филейная оригинальная ТМ Особый рецепт в оболочке полиамид 0,4 кг.  ПОКОМ</v>
          </cell>
          <cell r="C140">
            <v>21</v>
          </cell>
          <cell r="D140">
            <v>8</v>
          </cell>
          <cell r="E140">
            <v>2</v>
          </cell>
        </row>
        <row r="141">
          <cell r="A141" t="str">
            <v>БОНУС_ВАР МОЛОЧНАЯ ПО-Ч НМО 1 КГ К3  ЧЕРКИЗОВО</v>
          </cell>
          <cell r="C141">
            <v>15.452999999999999</v>
          </cell>
          <cell r="D141">
            <v>8.25</v>
          </cell>
          <cell r="E141">
            <v>4.12</v>
          </cell>
        </row>
        <row r="142">
          <cell r="A142" t="str">
            <v>БОНУС_ВЕТЧ МРАМОРНАЯ ПО-ЧЕРКИЗОВСКИ ШТ 0,4 КГ  ЧЕРКИЗОВО</v>
          </cell>
          <cell r="C142">
            <v>12</v>
          </cell>
          <cell r="D142">
            <v>8</v>
          </cell>
          <cell r="E142">
            <v>2</v>
          </cell>
        </row>
        <row r="143">
          <cell r="A143" t="str">
            <v>СК САЛЯМИНИ ВУ ШТ 0.18 КГ  ЧЕРКИЗОВО</v>
          </cell>
          <cell r="C143">
            <v>-1</v>
          </cell>
          <cell r="E143">
            <v>-1</v>
          </cell>
        </row>
        <row r="144">
          <cell r="A144" t="str">
            <v>Черная смородина с/м 300г*10 (3кг) Россия Мираторг</v>
          </cell>
          <cell r="C144">
            <v>-1</v>
          </cell>
        </row>
        <row r="145">
          <cell r="A145" t="str">
            <v>6837 ФИЛЕЙНЫЕ Папа Может сос ц/о мгс 0.4кг  ОСТАНКИНО</v>
          </cell>
          <cell r="C145">
            <v>-4</v>
          </cell>
          <cell r="D145">
            <v>33</v>
          </cell>
          <cell r="E145">
            <v>-5</v>
          </cell>
        </row>
        <row r="146">
          <cell r="A146" t="str">
            <v>СК БРАУНШВЕЙГСКАЯ ГОСТ БО СРЕЗ ШТ 0,2КГ  ЧЕРКИЗОВО</v>
          </cell>
          <cell r="C146">
            <v>-3</v>
          </cell>
          <cell r="D146">
            <v>-1</v>
          </cell>
          <cell r="E146">
            <v>-2</v>
          </cell>
        </row>
        <row r="147">
          <cell r="A147" t="str">
            <v>СОС КОПЧ ПО-Ч ЛОТ ПМО ЗА ШТ 0.4КГ K1.6  ЧЕРКИЗОВО</v>
          </cell>
          <cell r="C147">
            <v>-5</v>
          </cell>
          <cell r="D147">
            <v>-3</v>
          </cell>
        </row>
        <row r="148">
          <cell r="A148" t="str">
            <v>МХБ Колбаса с/к "Куршская" ВУ ОХЛ 280г*8 (2,24 кг)  МИРАТОРГ</v>
          </cell>
          <cell r="C148">
            <v>-3</v>
          </cell>
          <cell r="D148">
            <v>-3</v>
          </cell>
        </row>
        <row r="149">
          <cell r="A149" t="str">
            <v>СОС МОЛОЧНЫЕ ПО-Ч ПМО ЗА ЛОТ ШТ 0.45КГ K1.8 ЧЕРКИЗОВО</v>
          </cell>
          <cell r="C149">
            <v>-4</v>
          </cell>
          <cell r="D149">
            <v>-2</v>
          </cell>
          <cell r="E149">
            <v>-2</v>
          </cell>
        </row>
        <row r="150">
          <cell r="A150" t="str">
            <v>У_В/к колбасы Столичный Вязанка Весовые Фиброуз в/у Вязанка  ПОКОМ</v>
          </cell>
          <cell r="C150">
            <v>-2.61</v>
          </cell>
        </row>
        <row r="151">
          <cell r="A151" t="str">
            <v>СОС СЛИВОЧНЫЕ ГОСТ ЦО ЗА ЛОТ ШТ 0.45КГ K1.8 ЧЕРКИЗОВО</v>
          </cell>
          <cell r="C151">
            <v>-5</v>
          </cell>
          <cell r="D151">
            <v>-1</v>
          </cell>
          <cell r="E151">
            <v>-1</v>
          </cell>
        </row>
        <row r="152">
          <cell r="A152" t="str">
            <v>ВК БАЛЫКОВАЯ ПО-ЧЕРКИЗ СРЕЗ ШТ0,3 К1,8  ЧЕРКИЗОВО</v>
          </cell>
          <cell r="C152">
            <v>-6</v>
          </cell>
        </row>
        <row r="153">
          <cell r="A153" t="str">
            <v>Сервелат полусухой с/к ВУ ОХЛ 300гр МИРАТОРГ</v>
          </cell>
          <cell r="C153">
            <v>-5</v>
          </cell>
        </row>
        <row r="154">
          <cell r="A154" t="str">
            <v>МХБ Колбаса сырокопченая Брауншвейгская ШТ. ВУ ОХЛ 300гр*8 (2,4 кг) МИРАТОРГ</v>
          </cell>
          <cell r="C154">
            <v>-5</v>
          </cell>
        </row>
        <row r="155">
          <cell r="A155" t="str">
            <v>2472 Сардельки Левантские Особая Без свинины Весовые NDX мгс Особый рецепт, вес 1кг</v>
          </cell>
          <cell r="C155">
            <v>-6.7050000000000001</v>
          </cell>
          <cell r="D155">
            <v>-4.4000000000000004</v>
          </cell>
          <cell r="E155">
            <v>-1.0049999999999999</v>
          </cell>
        </row>
        <row r="156">
          <cell r="A156" t="str">
            <v>1370-Сосиски Сочинки Бордо Весовой п/а Стародворье</v>
          </cell>
          <cell r="C156">
            <v>-8.0619999999999994</v>
          </cell>
          <cell r="D156">
            <v>0.80700000000000005</v>
          </cell>
          <cell r="E156">
            <v>-5.9050000000000002</v>
          </cell>
        </row>
        <row r="157">
          <cell r="A157" t="str">
            <v>0232 С/к колбасы Княжеская Бордо Весовые б/о терм/п Стародворье</v>
          </cell>
          <cell r="C157">
            <v>-2.7469999999999999</v>
          </cell>
          <cell r="D157">
            <v>1.9770000000000001</v>
          </cell>
        </row>
        <row r="158">
          <cell r="A158" t="str">
            <v>СК СЕРВЕЛЕТТИ ПРЕСС СРЕЗ БО ВУ ШТ 0.25КГ  ЧЕРКИЗОВО</v>
          </cell>
          <cell r="C158">
            <v>-12</v>
          </cell>
          <cell r="D158">
            <v>-3</v>
          </cell>
        </row>
        <row r="159">
          <cell r="A159" t="str">
            <v>КОПЧ БЕКОН НАР ВУ ШТ 0.18КГ К1.8  ЧЕРКИЗОВО</v>
          </cell>
          <cell r="C159">
            <v>-33</v>
          </cell>
          <cell r="D159">
            <v>-16</v>
          </cell>
        </row>
        <row r="160">
          <cell r="A160" t="str">
            <v>Итого</v>
          </cell>
          <cell r="C160">
            <v>22190.653999999999</v>
          </cell>
          <cell r="D160">
            <v>5871.384</v>
          </cell>
          <cell r="E160">
            <v>7274.8710000000001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C1" t="str">
            <v>Заказ поставщику № _____  на _____________</v>
          </cell>
          <cell r="F1">
            <v>46016</v>
          </cell>
        </row>
        <row r="2">
          <cell r="B2" t="str">
            <v>Поставщик:</v>
          </cell>
          <cell r="C2" t="str">
            <v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v>
          </cell>
        </row>
        <row r="4">
          <cell r="B4" t="str">
            <v>Покупатель:</v>
          </cell>
          <cell r="C4" t="str">
            <v>___</v>
          </cell>
        </row>
        <row r="7">
          <cell r="B7" t="str">
            <v>Адрес доставки:</v>
          </cell>
          <cell r="C7" t="str">
            <v>___</v>
          </cell>
        </row>
        <row r="10">
          <cell r="B10" t="str">
            <v>КОД SAP</v>
          </cell>
          <cell r="C10" t="str">
            <v>Наименование продукции</v>
          </cell>
          <cell r="D10" t="str">
            <v>Вес короба (кг)</v>
          </cell>
          <cell r="E10" t="str">
            <v>Ед. измерения  номенклатуры</v>
          </cell>
          <cell r="F10" t="str">
            <v>Кол-во (кг/шт)</v>
          </cell>
          <cell r="G10" t="str">
            <v>кол-во кг</v>
          </cell>
        </row>
        <row r="11">
          <cell r="B11">
            <v>1030112235</v>
          </cell>
          <cell r="C11" t="str">
            <v>ВАР АРОМАТНАЯ ПО-ЧЕРКИЗОВСКИ ЦО ЗА 1.6КГ (ТМ ЧЕРКИЗОВО) K3.2</v>
          </cell>
          <cell r="D11">
            <v>3.2</v>
          </cell>
          <cell r="E11" t="str">
            <v>кг</v>
          </cell>
          <cell r="F11">
            <v>30</v>
          </cell>
          <cell r="G11">
            <v>30</v>
          </cell>
        </row>
        <row r="12">
          <cell r="B12">
            <v>1030128069</v>
          </cell>
          <cell r="C12" t="str">
            <v>ВАР ДОКТОРСКАЯ ГОСТ НАР ЗА TF ШТ 0.3КГ (ТМ КАМ) K0</v>
          </cell>
          <cell r="D12">
            <v>1.8</v>
          </cell>
          <cell r="E12" t="str">
            <v>шт</v>
          </cell>
          <cell r="F12">
            <v>0</v>
          </cell>
          <cell r="G12">
            <v>0</v>
          </cell>
        </row>
        <row r="13">
          <cell r="B13">
            <v>1030123769</v>
          </cell>
          <cell r="C13" t="str">
            <v>ВАР ДОКТОРСКАЯ ГОСТ НАР ЗА ШТ 0.15КГ (ТМ ЧЕРКИЗОВО ПРЕМИУМ) K0.75</v>
          </cell>
          <cell r="D13">
            <v>0.75</v>
          </cell>
          <cell r="E13" t="str">
            <v>шт</v>
          </cell>
          <cell r="F13">
            <v>0</v>
          </cell>
          <cell r="G13">
            <v>0</v>
          </cell>
        </row>
        <row r="14">
          <cell r="B14">
            <v>1030126535</v>
          </cell>
          <cell r="C14" t="str">
            <v>ВАР ГУБЕРНСКАЯ В СЕТ НМО ШТ 0.5К МГ К3</v>
          </cell>
          <cell r="D14">
            <v>3</v>
          </cell>
          <cell r="E14" t="str">
            <v>шт</v>
          </cell>
          <cell r="F14">
            <v>0</v>
          </cell>
          <cell r="G14">
            <v>0</v>
          </cell>
        </row>
        <row r="15">
          <cell r="B15">
            <v>1030129536</v>
          </cell>
          <cell r="C15" t="str">
            <v>ВАР СОЧНАЯ С ОКОРОКОМ НМО ШТ 0.38КГ (ТМ ЧЕРКИЗОВО) K2.28</v>
          </cell>
          <cell r="D15">
            <v>2.2799999999999998</v>
          </cell>
          <cell r="E15" t="str">
            <v>шт</v>
          </cell>
          <cell r="F15">
            <v>0</v>
          </cell>
          <cell r="G15">
            <v>0</v>
          </cell>
        </row>
        <row r="16">
          <cell r="B16">
            <v>1030810104</v>
          </cell>
          <cell r="C16" t="str">
            <v>ВЕТЧ ВЕТЧИНА ПО-ЧЕРКИЗОВСКИ ЦО ВУ ШТ 0.4КГ (ТМ ЧЕРКИЗОВО) K1.6</v>
          </cell>
          <cell r="D16">
            <v>1.6</v>
          </cell>
          <cell r="E16" t="str">
            <v>шт</v>
          </cell>
          <cell r="F16">
            <v>0</v>
          </cell>
          <cell r="G16">
            <v>0</v>
          </cell>
        </row>
        <row r="17">
          <cell r="B17">
            <v>1030121144</v>
          </cell>
          <cell r="C17" t="str">
            <v>ВАР КЛАССИЧЕСКАЯ НАР ЗА ЛОТ ШТ 0.2КГ (ТМ ЧЕРКИЗОВО) K1.2</v>
          </cell>
          <cell r="D17">
            <v>1.2</v>
          </cell>
          <cell r="E17" t="str">
            <v>шт</v>
          </cell>
          <cell r="F17">
            <v>0</v>
          </cell>
          <cell r="G17">
            <v>0</v>
          </cell>
        </row>
        <row r="18">
          <cell r="B18">
            <v>1030112635</v>
          </cell>
          <cell r="C18" t="str">
            <v>ВАР КЛАССИЧЕСКАЯ ПО-ЧЕРКИЗОВСКИ ЦО ЗА 1.6КГ (ТМ ЧЕРКИЗОВО) K3.2</v>
          </cell>
          <cell r="D18">
            <v>3.2</v>
          </cell>
          <cell r="E18" t="str">
            <v>кг</v>
          </cell>
          <cell r="F18">
            <v>60</v>
          </cell>
          <cell r="G18">
            <v>60</v>
          </cell>
        </row>
        <row r="19">
          <cell r="B19">
            <v>1030115404</v>
          </cell>
          <cell r="C19" t="str">
            <v>ВАР МОЛОЧНАЯ ПО-ЧЕРКИЗОВСКИ НМО ШТ 0.4КГ (ТМ ЧЕРКИЗОВО) K2.4</v>
          </cell>
          <cell r="D19">
            <v>2.4</v>
          </cell>
          <cell r="E19" t="str">
            <v>шт</v>
          </cell>
          <cell r="F19">
            <v>300</v>
          </cell>
          <cell r="G19">
            <v>120</v>
          </cell>
        </row>
        <row r="20">
          <cell r="B20">
            <v>1030130735</v>
          </cell>
          <cell r="C20" t="str">
            <v>ВАР ОЗЕРСКАЯ НМО ШТ 0.5КГ (ТМ МГ) K3</v>
          </cell>
          <cell r="D20">
            <v>3</v>
          </cell>
          <cell r="E20" t="str">
            <v>шт</v>
          </cell>
          <cell r="F20">
            <v>0</v>
          </cell>
          <cell r="G20">
            <v>0</v>
          </cell>
        </row>
        <row r="21">
          <cell r="B21">
            <v>1030128902</v>
          </cell>
          <cell r="C21" t="str">
            <v>ВАР ОЗЕРСКАЯ НМО 1.5КГ (ТМ МГ) K12</v>
          </cell>
          <cell r="D21">
            <v>12</v>
          </cell>
          <cell r="E21" t="str">
            <v>кг</v>
          </cell>
          <cell r="F21">
            <v>0</v>
          </cell>
          <cell r="G21">
            <v>0</v>
          </cell>
        </row>
        <row r="22">
          <cell r="B22">
            <v>1030126602</v>
          </cell>
          <cell r="C22" t="str">
            <v>ВАР СОЧНАЯ СО ШПИКОМ НМО 1.5КГ К12</v>
          </cell>
          <cell r="D22">
            <v>12</v>
          </cell>
          <cell r="E22" t="str">
            <v>кг</v>
          </cell>
          <cell r="F22">
            <v>0</v>
          </cell>
          <cell r="G22">
            <v>0</v>
          </cell>
        </row>
        <row r="23">
          <cell r="B23">
            <v>1030125935</v>
          </cell>
          <cell r="C23" t="str">
            <v>ВАР ОТБОРНАЯ СО ШПИКОМ НМО ШТ 0.5КГ (ТМ МГ) K3</v>
          </cell>
          <cell r="D23">
            <v>3</v>
          </cell>
          <cell r="E23" t="str">
            <v>шт</v>
          </cell>
          <cell r="F23">
            <v>0</v>
          </cell>
          <cell r="G23">
            <v>0</v>
          </cell>
        </row>
        <row r="24">
          <cell r="B24">
            <v>1030125702</v>
          </cell>
          <cell r="C24" t="str">
            <v>ВАР СЕМЕЙНАЯ НМО 1.5КГ (ТМ МГ) K12</v>
          </cell>
          <cell r="D24">
            <v>12</v>
          </cell>
          <cell r="E24" t="str">
            <v>кг</v>
          </cell>
          <cell r="F24">
            <v>0</v>
          </cell>
          <cell r="G24">
            <v>0</v>
          </cell>
        </row>
        <row r="25">
          <cell r="B25">
            <v>1030128802</v>
          </cell>
          <cell r="C25" t="str">
            <v>ВАР ЮЖНАЯ НМО 1.5КГ (ТМ МГ) K12</v>
          </cell>
          <cell r="D25">
            <v>12</v>
          </cell>
          <cell r="E25" t="str">
            <v>кг</v>
          </cell>
          <cell r="F25">
            <v>0</v>
          </cell>
          <cell r="G25">
            <v>0</v>
          </cell>
        </row>
        <row r="26">
          <cell r="B26">
            <v>1030807244</v>
          </cell>
          <cell r="C26" t="str">
            <v>ВЕТЧ ВЕТЧИНА ПО-ЧЕРКИЗОВСКИ НАР ЗА ШТ 0.2КГ (ТМ ЧЕРКИЗОВО) K1.2</v>
          </cell>
          <cell r="D26">
            <v>1.2</v>
          </cell>
          <cell r="E26" t="str">
            <v>шт</v>
          </cell>
          <cell r="F26">
            <v>0</v>
          </cell>
          <cell r="G26">
            <v>0</v>
          </cell>
        </row>
        <row r="27">
          <cell r="B27">
            <v>1030801535</v>
          </cell>
          <cell r="C27" t="str">
            <v>ВЕТЧ ВЕТЧИНА ПО-ЧЕРКИЗОВСКИ ЦО ЗА 1.6КГ (ТМ ЧЕРКИЗОВО) K3.2</v>
          </cell>
          <cell r="D27">
            <v>3.2</v>
          </cell>
          <cell r="E27" t="str">
            <v>кг</v>
          </cell>
          <cell r="F27">
            <v>0</v>
          </cell>
          <cell r="G27">
            <v>0</v>
          </cell>
        </row>
        <row r="28">
          <cell r="B28">
            <v>1030809702</v>
          </cell>
          <cell r="C28" t="str">
            <v>ВЕТЧ ДОМАШНЯЯ ЦО ЗА 0.9КГ (ТМ ЧЕРКИЗОВО) K9</v>
          </cell>
          <cell r="D28">
            <v>9</v>
          </cell>
          <cell r="E28" t="str">
            <v>кг</v>
          </cell>
          <cell r="F28">
            <v>0</v>
          </cell>
          <cell r="G28">
            <v>0</v>
          </cell>
        </row>
        <row r="29">
          <cell r="B29">
            <v>1030804004</v>
          </cell>
          <cell r="C29" t="str">
            <v>ВЕТЧ МРАМОРНАЯ ПО-ЧЕРКИЗОВСКИ НМО ШТ 0.4КГ (ТМ ЧЕРКИЗОВО) K2.4</v>
          </cell>
          <cell r="D29">
            <v>2.4</v>
          </cell>
          <cell r="E29" t="str">
            <v>шт</v>
          </cell>
          <cell r="F29">
            <v>100</v>
          </cell>
          <cell r="G29">
            <v>40</v>
          </cell>
        </row>
        <row r="30">
          <cell r="B30">
            <v>1030815152</v>
          </cell>
          <cell r="C30" t="str">
            <v>ВЕТЧ НЕЖНАЯ ИЗ ИНДЕЙКИ НАР ЗА ШТ 0.15КГ (ТМ ЧЕРКИЗОВО ПРЕМИУМ) K0.9</v>
          </cell>
          <cell r="D30">
            <v>0.9</v>
          </cell>
          <cell r="E30" t="str">
            <v>шт</v>
          </cell>
          <cell r="F30">
            <v>0</v>
          </cell>
          <cell r="G30">
            <v>0</v>
          </cell>
        </row>
        <row r="31">
          <cell r="B31">
            <v>1030803235</v>
          </cell>
          <cell r="C31" t="str">
            <v>ВЕТЧ С ИНДЕЙКОЙ ББ НМО 2.7КГ (ТМ ИВ) K5.4</v>
          </cell>
          <cell r="D31">
            <v>5.4</v>
          </cell>
          <cell r="E31" t="str">
            <v>кг</v>
          </cell>
          <cell r="F31">
            <v>0</v>
          </cell>
          <cell r="G31">
            <v>0</v>
          </cell>
        </row>
        <row r="32">
          <cell r="B32">
            <v>1030803450</v>
          </cell>
          <cell r="C32" t="str">
            <v>ВЕТЧ С ИНДЕЙКОЙ МБ НМО ШТ 0.4КГ (ТМ ИМПЕРИЯ ВКУСА) К3.6</v>
          </cell>
          <cell r="D32">
            <v>3.6</v>
          </cell>
          <cell r="E32" t="str">
            <v>шт</v>
          </cell>
          <cell r="F32">
            <v>0</v>
          </cell>
          <cell r="G32">
            <v>0</v>
          </cell>
        </row>
        <row r="33">
          <cell r="B33">
            <v>1030803635</v>
          </cell>
          <cell r="C33" t="str">
            <v>ВЕТЧ С ИНДЕЙКОЙ СБ НМО ШТ 0.8КГ (ТМ ИМПЕРИЯ ВКУСА) К5.6</v>
          </cell>
          <cell r="D33">
            <v>5.6</v>
          </cell>
          <cell r="E33" t="str">
            <v>шт</v>
          </cell>
          <cell r="F33">
            <v>0</v>
          </cell>
          <cell r="G33">
            <v>0</v>
          </cell>
        </row>
        <row r="34">
          <cell r="B34">
            <v>1030803550</v>
          </cell>
          <cell r="C34" t="str">
            <v>ВЕТЧ СО СВИНЫМ ОКОРОКОМ МБ НМО ШТ 0.4КГ (ТМ ИМПЕРИЯ ВКУСА) К3.6</v>
          </cell>
          <cell r="D34">
            <v>3.6</v>
          </cell>
          <cell r="E34" t="str">
            <v>шт</v>
          </cell>
          <cell r="F34">
            <v>0</v>
          </cell>
          <cell r="G34">
            <v>0</v>
          </cell>
        </row>
        <row r="35">
          <cell r="B35">
            <v>1030804220</v>
          </cell>
          <cell r="C35" t="str">
            <v>ВЕТЧ ТОСТ ХЭМ НМО 2.9КГ (ТМ ЧЕРКИЗОВО) K8.7</v>
          </cell>
          <cell r="D35">
            <v>8.6999999999999993</v>
          </cell>
          <cell r="E35" t="str">
            <v>кг</v>
          </cell>
          <cell r="F35">
            <v>0</v>
          </cell>
          <cell r="G35">
            <v>0</v>
          </cell>
        </row>
        <row r="36">
          <cell r="B36">
            <v>1030815253</v>
          </cell>
          <cell r="C36" t="str">
            <v>ВЕТЧ ФИЛЕЙНАЯ С ИНДЕЙКОЙ СБ НМО ШТ 0.8КГ (ТМ ИВ) K5.6</v>
          </cell>
          <cell r="D36">
            <v>5.6</v>
          </cell>
          <cell r="E36" t="str">
            <v>шт</v>
          </cell>
          <cell r="F36">
            <v>0</v>
          </cell>
          <cell r="G36">
            <v>0</v>
          </cell>
        </row>
        <row r="37">
          <cell r="B37">
            <v>1030806974</v>
          </cell>
          <cell r="C37" t="str">
            <v>ВЕТЧ ХАМОН КОСИДО КК ПЛМ ВУ ПАКВ 2.5КГ (ТМ CAS) K2.5</v>
          </cell>
          <cell r="D37">
            <v>2.5</v>
          </cell>
          <cell r="E37" t="str">
            <v>кг</v>
          </cell>
          <cell r="F37">
            <v>0</v>
          </cell>
          <cell r="G37">
            <v>0</v>
          </cell>
        </row>
        <row r="38">
          <cell r="B38">
            <v>1030419235</v>
          </cell>
          <cell r="C38" t="str">
            <v>ВК БАЛЫКОВАЯ ПО-ЧЕРКИЗОВСКИ СРЕЗ ФИБ ВУ ШТ 0.3КГ (ТМ ЧЕРКИЗОВО ПРЕМИУМ) K1.8</v>
          </cell>
          <cell r="D38">
            <v>1.8</v>
          </cell>
          <cell r="E38" t="str">
            <v>шт</v>
          </cell>
          <cell r="F38">
            <v>0</v>
          </cell>
          <cell r="G38">
            <v>0</v>
          </cell>
        </row>
        <row r="39">
          <cell r="B39">
            <v>1030417205</v>
          </cell>
          <cell r="C39" t="str">
            <v>ВК ВЕНСКАЯ СРЕЗ ФИБ ВУ ШТ 0.42КГ (ТМ ЧЕРКИЗОВО ПРЕМИУМ) K3.8</v>
          </cell>
          <cell r="D39">
            <v>3.8</v>
          </cell>
          <cell r="E39" t="str">
            <v>шт</v>
          </cell>
          <cell r="F39">
            <v>0</v>
          </cell>
          <cell r="G39">
            <v>0</v>
          </cell>
        </row>
        <row r="40">
          <cell r="B40">
            <v>1030412036</v>
          </cell>
          <cell r="C40" t="str">
            <v>ВК ИМПЕРСКАЯ СРЕЗ ФИБ В/У ШТ 0.5КГ (ТМ ЧЕРКИЗОВО ПРЕМИУМ) К2</v>
          </cell>
          <cell r="D40">
            <v>2</v>
          </cell>
          <cell r="E40" t="str">
            <v>шт</v>
          </cell>
          <cell r="F40">
            <v>0</v>
          </cell>
          <cell r="G40">
            <v>0</v>
          </cell>
        </row>
        <row r="41">
          <cell r="B41">
            <v>1030417435</v>
          </cell>
          <cell r="C41" t="str">
            <v>ВК ИМПЕРСКАЯ СРЕЗ ФИБ ВУ ШТ 0.3КГ (ТМ ЧЕРКИЗОВО ПРЕМИУМ) K1.8</v>
          </cell>
          <cell r="D41">
            <v>1.8</v>
          </cell>
          <cell r="E41" t="str">
            <v>шт</v>
          </cell>
          <cell r="F41">
            <v>0</v>
          </cell>
          <cell r="G41">
            <v>0</v>
          </cell>
        </row>
        <row r="42">
          <cell r="B42">
            <v>1030402404</v>
          </cell>
          <cell r="C42" t="str">
            <v>ВК ИМПЕРСКАЯ ФИБ В/У 1КГ (ТМ ЧЕРКИЗОВО ПРЕМИУМ) К2</v>
          </cell>
          <cell r="D42">
            <v>2</v>
          </cell>
          <cell r="E42" t="str">
            <v>кг</v>
          </cell>
          <cell r="F42">
            <v>0</v>
          </cell>
          <cell r="G42">
            <v>0</v>
          </cell>
        </row>
        <row r="43">
          <cell r="B43">
            <v>1030412136</v>
          </cell>
          <cell r="C43" t="str">
            <v>ВК МОСКОВСКАЯ ГОСТ СРЕЗ ФИБ ВУ ШТ 0.5КГ (ТМ ЧЕРКИЗОВО ПРЕМИУМ) K2</v>
          </cell>
          <cell r="D43">
            <v>2</v>
          </cell>
          <cell r="E43" t="str">
            <v>шт</v>
          </cell>
          <cell r="F43">
            <v>0</v>
          </cell>
          <cell r="G43">
            <v>0</v>
          </cell>
        </row>
        <row r="44">
          <cell r="B44">
            <v>1030404404</v>
          </cell>
          <cell r="C44" t="str">
            <v>ВК МОСКОВСКАЯ ГОСТ ФИБ В/У 1КГ (ТМ ЧЕРКИЗОВО ПРЕМИУМ) К2</v>
          </cell>
          <cell r="D44">
            <v>2</v>
          </cell>
          <cell r="E44" t="str">
            <v>кг</v>
          </cell>
          <cell r="F44">
            <v>0</v>
          </cell>
          <cell r="G44">
            <v>0</v>
          </cell>
        </row>
        <row r="45">
          <cell r="B45">
            <v>1030411735</v>
          </cell>
          <cell r="C45" t="str">
            <v>ВК СЕРВЕЛАТ АСТОРИЯ СРЕЗ ФИБ ВУ ШТ 0.3КГ (ТМ ЧЕРКИЗОВО) K1.8</v>
          </cell>
          <cell r="D45">
            <v>1.8</v>
          </cell>
          <cell r="E45" t="str">
            <v>шт</v>
          </cell>
          <cell r="F45">
            <v>0</v>
          </cell>
          <cell r="G45">
            <v>0</v>
          </cell>
        </row>
        <row r="46">
          <cell r="B46">
            <v>1030411835</v>
          </cell>
          <cell r="C46" t="str">
            <v>ВК СЕРВЕЛАТ АСТОРИЯ ФИБ ВУ 0.6КГ (ТМ ЧЕРКИЗОВО) K2.4</v>
          </cell>
          <cell r="D46">
            <v>2.4</v>
          </cell>
          <cell r="E46" t="str">
            <v>кг</v>
          </cell>
          <cell r="F46">
            <v>0</v>
          </cell>
          <cell r="G46">
            <v>0</v>
          </cell>
        </row>
        <row r="47">
          <cell r="B47">
            <v>1030412236</v>
          </cell>
          <cell r="C47" t="str">
            <v>ВК СЕРВЕЛАТ ГОСТ СРЕЗ ФИБ ВУ ШТ 0.5КГ (ТМ ЧЕРКИЗОВО ПРЕМИУМ) K2</v>
          </cell>
          <cell r="D47">
            <v>2</v>
          </cell>
          <cell r="E47" t="str">
            <v>шт</v>
          </cell>
          <cell r="F47">
            <v>150</v>
          </cell>
          <cell r="G47">
            <v>75</v>
          </cell>
        </row>
        <row r="48">
          <cell r="B48">
            <v>1030403204</v>
          </cell>
          <cell r="C48" t="str">
            <v>ВК СЕРВЕЛАТ ГОСТ ФИБ В/У 1КГ (ТМ ЧЕРКИЗОВО ПРЕМИУМ) К2</v>
          </cell>
          <cell r="D48">
            <v>2</v>
          </cell>
          <cell r="E48" t="str">
            <v>кг</v>
          </cell>
          <cell r="F48">
            <v>0</v>
          </cell>
          <cell r="G48">
            <v>0</v>
          </cell>
        </row>
        <row r="49">
          <cell r="B49">
            <v>1030416735</v>
          </cell>
          <cell r="C49" t="str">
            <v>ВК СЕРВЕЛАТ КЛАССИЧЕСКИЙ ФИБ ВУ ШТ 0.4КГ (ТМ ЧЕРКИЗОВО) K2.4</v>
          </cell>
          <cell r="D49">
            <v>2.4000000000000004</v>
          </cell>
          <cell r="E49" t="str">
            <v>шт</v>
          </cell>
          <cell r="F49">
            <v>0</v>
          </cell>
          <cell r="G49">
            <v>0</v>
          </cell>
        </row>
        <row r="50">
          <cell r="B50">
            <v>1030417869</v>
          </cell>
          <cell r="C50" t="str">
            <v>ВК СЕРВЕЛАТ ФИНСКИЙ НАР ФИБ ЗА ШТ 0.15КГ (ТМ ЧЕРКИЗОВО) K0.9</v>
          </cell>
          <cell r="D50">
            <v>0.9</v>
          </cell>
          <cell r="E50" t="str">
            <v>шт</v>
          </cell>
          <cell r="F50">
            <v>0</v>
          </cell>
          <cell r="G50">
            <v>0</v>
          </cell>
        </row>
        <row r="51">
          <cell r="B51">
            <v>1030712385</v>
          </cell>
          <cell r="C51" t="str">
            <v>КОПЧ БЕКОН НАР ВУ ШТ 0.18 КГ (ТМ ЧЕРКИЗОВО ПРЕМИУМ ) К1.8</v>
          </cell>
          <cell r="D51">
            <v>1.8</v>
          </cell>
          <cell r="E51" t="str">
            <v>шт</v>
          </cell>
          <cell r="F51">
            <v>400</v>
          </cell>
          <cell r="G51">
            <v>72</v>
          </cell>
        </row>
        <row r="52">
          <cell r="B52">
            <v>1030712486</v>
          </cell>
          <cell r="C52" t="str">
            <v xml:space="preserve">КОПЧ БЕКОН НАР ВУ ШТ 0.36 КГ (ТМ ЧЕРКИЗОВО ПРЕМИУМ) К1.8
</v>
          </cell>
          <cell r="D52">
            <v>1.8</v>
          </cell>
          <cell r="E52" t="str">
            <v>шт</v>
          </cell>
          <cell r="F52">
            <v>0</v>
          </cell>
          <cell r="G52">
            <v>0</v>
          </cell>
        </row>
        <row r="53">
          <cell r="B53">
            <v>1030709904</v>
          </cell>
          <cell r="C53" t="str">
            <v>КОПЧ ГРУДИНКА ПО-ЧЕРКИЗОВСКИ ВУ ШТ 0.3КГ (ТМ ЧЕРКИЗОВО) К1.8</v>
          </cell>
          <cell r="D53">
            <v>1.8</v>
          </cell>
          <cell r="E53" t="str">
            <v>шт</v>
          </cell>
          <cell r="F53">
            <v>0</v>
          </cell>
          <cell r="G53">
            <v>0</v>
          </cell>
        </row>
        <row r="54">
          <cell r="B54">
            <v>1030515905</v>
          </cell>
          <cell r="C54" t="str">
            <v>ПК АППЕТИТНАЯ С ЧЕСНОКОМ СРЕЗ ФИБ ВУ ШТ 0.3КГ (ТМ ЧЕРКИЗОВО) K4.2</v>
          </cell>
          <cell r="D54">
            <v>4.2</v>
          </cell>
          <cell r="E54" t="str">
            <v>шт</v>
          </cell>
          <cell r="F54">
            <v>0</v>
          </cell>
          <cell r="G54">
            <v>0</v>
          </cell>
        </row>
        <row r="55">
          <cell r="B55">
            <v>1030516463</v>
          </cell>
          <cell r="C55" t="str">
            <v>ПК ВАРШАВСКАЯ НО ВУ ШТ 0.35КГ (ТМ ЧЕРКИЗОВО) K1.75</v>
          </cell>
          <cell r="D55">
            <v>1.75</v>
          </cell>
          <cell r="E55" t="str">
            <v xml:space="preserve">шт </v>
          </cell>
          <cell r="F55">
            <v>0</v>
          </cell>
          <cell r="G55">
            <v>0</v>
          </cell>
        </row>
        <row r="56">
          <cell r="B56">
            <v>1030517905</v>
          </cell>
          <cell r="C56" t="str">
            <v>ПК МРАМОРНАЯ С БАЛЫКОМ СРЕЗ ФИБ ВУ ШТ 0.3КГ (ТМ ЧЕРКИЗОВО) K3.6</v>
          </cell>
          <cell r="D56">
            <v>3.6</v>
          </cell>
          <cell r="E56" t="str">
            <v>шт</v>
          </cell>
          <cell r="F56">
            <v>0</v>
          </cell>
          <cell r="G56">
            <v>0</v>
          </cell>
        </row>
        <row r="57">
          <cell r="B57">
            <v>1030502935</v>
          </cell>
          <cell r="C57" t="str">
            <v>ПК ЧЕСНОЧНАЯ ФИБ ВУ СРЕЗ ШТ 0.3КГ (ТМ ЧЕРКИЗОВО) K1.8</v>
          </cell>
          <cell r="D57">
            <v>1.8</v>
          </cell>
          <cell r="E57" t="str">
            <v>шт</v>
          </cell>
          <cell r="F57">
            <v>0</v>
          </cell>
          <cell r="G57">
            <v>0</v>
          </cell>
        </row>
        <row r="58">
          <cell r="B58">
            <v>1030663476</v>
          </cell>
          <cell r="C58" t="str">
            <v>СВ ЛОНГАНИЗА НО ПЛЁН ШТ 0.25КГ (ТМ CAS) K1.5</v>
          </cell>
          <cell r="D58">
            <v>1.5</v>
          </cell>
          <cell r="E58" t="str">
            <v>шт</v>
          </cell>
          <cell r="F58">
            <v>0</v>
          </cell>
          <cell r="G58">
            <v>0</v>
          </cell>
        </row>
        <row r="59">
          <cell r="B59">
            <v>1030663376</v>
          </cell>
          <cell r="C59" t="str">
            <v>СВ ЛОНГАНИЗА НО ПРГ 0.5КГ (ТМ CAS) K2</v>
          </cell>
          <cell r="D59">
            <v>2</v>
          </cell>
          <cell r="E59" t="str">
            <v>кг</v>
          </cell>
          <cell r="F59">
            <v>0</v>
          </cell>
          <cell r="G59">
            <v>0</v>
          </cell>
        </row>
        <row r="60">
          <cell r="B60">
            <v>1030663083</v>
          </cell>
          <cell r="C60" t="str">
            <v>СВ МИНИ ФУЭТ МБ НО ЗА TF ШТ 0.09КГ (ТМ CAS) K0.9</v>
          </cell>
          <cell r="D60">
            <v>0.9</v>
          </cell>
          <cell r="E60" t="str">
            <v>шт</v>
          </cell>
          <cell r="F60">
            <v>0</v>
          </cell>
          <cell r="G60">
            <v>0</v>
          </cell>
        </row>
        <row r="61">
          <cell r="B61">
            <v>1030662774</v>
          </cell>
          <cell r="C61" t="str">
            <v>СВ САЛЬЧИЧОН БО ПЕРГ ПРГ 1КГ (ТМ CAS) K3</v>
          </cell>
          <cell r="D61">
            <v>3</v>
          </cell>
          <cell r="E61" t="str">
            <v>кг</v>
          </cell>
          <cell r="F61">
            <v>0</v>
          </cell>
          <cell r="G61">
            <v>0</v>
          </cell>
        </row>
        <row r="62">
          <cell r="B62">
            <v>1030662575</v>
          </cell>
          <cell r="C62" t="str">
            <v>СВ САЛЬЧИЧОН МОНТАНЬЯ ЭКСТРА НО ПЛЁН ШТ 0.25КГ (ТМ CAS) K1.5</v>
          </cell>
          <cell r="D62">
            <v>1.5</v>
          </cell>
          <cell r="E62" t="str">
            <v>шт</v>
          </cell>
          <cell r="F62">
            <v>0</v>
          </cell>
          <cell r="G62">
            <v>0</v>
          </cell>
        </row>
        <row r="63">
          <cell r="B63">
            <v>1030678083</v>
          </cell>
          <cell r="C63" t="str">
            <v>СВ САЛЬЧИЧОН НАР ЗА TF ШТ 0.07КГ (ТМ CAS) K0.7</v>
          </cell>
          <cell r="D63">
            <v>0.7</v>
          </cell>
          <cell r="E63" t="str">
            <v>шт</v>
          </cell>
          <cell r="F63">
            <v>0</v>
          </cell>
          <cell r="G63">
            <v>0</v>
          </cell>
        </row>
        <row r="64">
          <cell r="B64">
            <v>1030664877</v>
          </cell>
          <cell r="C64" t="str">
            <v>СВ ФУЭТ В ЧЕРНОМ ПЕРЦЕ НО ПЛЁН ШТ 0.155КГ (ТМ CAS) K0.93</v>
          </cell>
          <cell r="D64">
            <v>0.93</v>
          </cell>
          <cell r="E64" t="str">
            <v>шт</v>
          </cell>
          <cell r="F64">
            <v>0</v>
          </cell>
          <cell r="G64">
            <v>0</v>
          </cell>
        </row>
        <row r="65">
          <cell r="B65">
            <v>1030664277</v>
          </cell>
          <cell r="C65" t="str">
            <v>СВ ФУЭТ ЭКСТРА НО ПЛЁН ШТ 0.15КГ (ТМ CAS) K0.9</v>
          </cell>
          <cell r="D65">
            <v>0.9</v>
          </cell>
          <cell r="E65" t="str">
            <v>шт</v>
          </cell>
          <cell r="F65">
            <v>0</v>
          </cell>
          <cell r="G65">
            <v>0</v>
          </cell>
        </row>
        <row r="66">
          <cell r="B66">
            <v>1030664677</v>
          </cell>
          <cell r="C66" t="str">
            <v>СВ ФУЭТ ЭКСТРА С ИНЖИРОМ НО ПЛЁН ШТ 0.11КГ (ТМ CAS) K0.66</v>
          </cell>
          <cell r="D66">
            <v>0.66</v>
          </cell>
          <cell r="E66" t="str">
            <v>шт</v>
          </cell>
          <cell r="F66">
            <v>0</v>
          </cell>
          <cell r="G66">
            <v>0</v>
          </cell>
        </row>
        <row r="67">
          <cell r="B67">
            <v>1030664477</v>
          </cell>
          <cell r="C67" t="str">
            <v>СВ ФУЭТ ЭКСТРА С ПЕРЦЕМ НО ПЛЁН ШТ 0.11КГ (ТМ CAS) K0.66</v>
          </cell>
          <cell r="D67">
            <v>0.66</v>
          </cell>
          <cell r="E67" t="str">
            <v>шт</v>
          </cell>
          <cell r="F67">
            <v>0</v>
          </cell>
          <cell r="G67">
            <v>0</v>
          </cell>
        </row>
        <row r="68">
          <cell r="B68">
            <v>1030684277</v>
          </cell>
          <cell r="C68" t="str">
            <v>СВ ФУЭТ ЭКСТРА С ТРЮФЕЛЕМ НО ПЛЁН ШТ 0.11КГ (ТМ CAS) K0,66</v>
          </cell>
          <cell r="D68">
            <v>0.66</v>
          </cell>
          <cell r="E68" t="str">
            <v>шт</v>
          </cell>
          <cell r="F68">
            <v>0</v>
          </cell>
          <cell r="G68">
            <v>0</v>
          </cell>
        </row>
        <row r="69">
          <cell r="B69">
            <v>1030662183</v>
          </cell>
          <cell r="C69" t="str">
            <v>СВ ХАМОН СЕРРАН CAS ЗА НАР 0,1КГ К0,6</v>
          </cell>
          <cell r="D69">
            <v>0.6</v>
          </cell>
          <cell r="E69" t="str">
            <v>шт</v>
          </cell>
          <cell r="F69">
            <v>0</v>
          </cell>
          <cell r="G69">
            <v>0</v>
          </cell>
        </row>
        <row r="70">
          <cell r="B70">
            <v>1030686051</v>
          </cell>
          <cell r="C70" t="str">
            <v>СК БОГОРОДСКАЯ ПРЕСС БО ВУ 0.55КГ (ТМ ЧЕРКИЗОВО) K3.3</v>
          </cell>
          <cell r="D70">
            <v>3.3</v>
          </cell>
          <cell r="E70" t="str">
            <v>кг</v>
          </cell>
          <cell r="F70">
            <v>0</v>
          </cell>
          <cell r="G70">
            <v>0</v>
          </cell>
        </row>
        <row r="71">
          <cell r="B71">
            <v>1030686740</v>
          </cell>
          <cell r="C71" t="str">
            <v>СК БОГОРОДСКАЯ ПРЕСС ФИБ ВУ ШТ 0.3КГ (ТМ ЧЕРКИЗОВО) K3.6</v>
          </cell>
          <cell r="D71">
            <v>3.6</v>
          </cell>
          <cell r="E71" t="str">
            <v>шт</v>
          </cell>
          <cell r="F71">
            <v>400</v>
          </cell>
          <cell r="G71">
            <v>120</v>
          </cell>
        </row>
        <row r="72">
          <cell r="B72">
            <v>1030686857</v>
          </cell>
          <cell r="C72" t="str">
            <v>СК БОРОДИНСКАЯ СРЕЗ ФИБ ВУ ШТ 0.3КГ (ТМ ЧЕРКИЗОВО) K3.6</v>
          </cell>
          <cell r="D72">
            <v>3.6</v>
          </cell>
          <cell r="E72" t="str">
            <v>шт</v>
          </cell>
          <cell r="F72">
            <v>300</v>
          </cell>
          <cell r="G72">
            <v>90</v>
          </cell>
        </row>
        <row r="73">
          <cell r="B73">
            <v>1030686641</v>
          </cell>
          <cell r="C73" t="str">
            <v>СК БОРОДИНСКАЯ ФИБ ВУ 0.6КГ (ТМ ЧЕРКИЗОВО) К2.4 П7</v>
          </cell>
          <cell r="D73">
            <v>2.4</v>
          </cell>
          <cell r="E73" t="str">
            <v>кг</v>
          </cell>
          <cell r="F73">
            <v>0</v>
          </cell>
          <cell r="G73">
            <v>0</v>
          </cell>
        </row>
        <row r="74">
          <cell r="B74">
            <v>1030672134</v>
          </cell>
          <cell r="C74" t="str">
            <v>СК БОРОДИНСКАЯ ЭКСТРА СРЕЗ ФИБ ВУ ШТ 0.2КГ (ТМ ЧЕРКИЗОВО) K1.2</v>
          </cell>
          <cell r="D74">
            <v>1.2000000000000002</v>
          </cell>
          <cell r="E74" t="str">
            <v>шт</v>
          </cell>
          <cell r="F74">
            <v>0</v>
          </cell>
          <cell r="G74">
            <v>0</v>
          </cell>
        </row>
        <row r="75">
          <cell r="B75">
            <v>1030654104</v>
          </cell>
          <cell r="C75" t="str">
            <v>СК БРАУНШВЕЙГСКАЯ ГОСТ БО ВУ СРЕЗ ШТ 0.2КГ (ТМ ЧЕРКИЗОВО ПРЕМИУМ) K1.2</v>
          </cell>
          <cell r="D75">
            <v>1.2</v>
          </cell>
          <cell r="E75" t="str">
            <v>шт</v>
          </cell>
          <cell r="F75">
            <v>200</v>
          </cell>
          <cell r="G75">
            <v>40</v>
          </cell>
        </row>
        <row r="76">
          <cell r="B76">
            <v>1031300908</v>
          </cell>
          <cell r="C76" t="str">
            <v>СК МЯСНОЙ СНЕК КЛАССИЧЕСКИЙ ЗА ШТ 0.07КГ (ТМ ЧЕРКИЗОВО ПРЕМИУМ) K0.7</v>
          </cell>
          <cell r="D76">
            <v>0.7</v>
          </cell>
          <cell r="E76" t="str">
            <v>шт</v>
          </cell>
          <cell r="F76">
            <v>0</v>
          </cell>
          <cell r="G76">
            <v>0</v>
          </cell>
        </row>
        <row r="77">
          <cell r="B77">
            <v>1031300808</v>
          </cell>
          <cell r="C77" t="str">
            <v>СК МЯСНОЙ СНЕК СО СЛАДКИМ ЧИЛИ ЗА ШТ 0.07КГ (ТМ ЧЕРКИЗОВО ПРЕМИУМ) K0.7</v>
          </cell>
          <cell r="D77">
            <v>0.7</v>
          </cell>
          <cell r="E77" t="str">
            <v>шт</v>
          </cell>
          <cell r="F77">
            <v>0</v>
          </cell>
          <cell r="G77">
            <v>0</v>
          </cell>
        </row>
        <row r="78">
          <cell r="B78">
            <v>1030686241</v>
          </cell>
          <cell r="C78" t="str">
            <v>СК ОНЕЖСКАЯ СРЕЗ ФИБ ВУ ШТ 0.3КГ (ТМ ЧЕРКИЗОВО) K1.8</v>
          </cell>
          <cell r="D78">
            <v>1.8</v>
          </cell>
          <cell r="E78" t="str">
            <v>шт</v>
          </cell>
          <cell r="F78">
            <v>0</v>
          </cell>
          <cell r="G78">
            <v>0</v>
          </cell>
        </row>
        <row r="79">
          <cell r="B79">
            <v>1030657419</v>
          </cell>
          <cell r="C79" t="str">
            <v>СК САЛЬЧИЧОН С РОЗОВЫМ ПЕРЦЕМ СРЕЗ ФИБ ВУ ШТ 0.3КГ (ТМ ЧЕРКИЗОВО ПРЕМИУМ) K1.8</v>
          </cell>
          <cell r="D79">
            <v>1.8</v>
          </cell>
          <cell r="E79" t="str">
            <v>шт</v>
          </cell>
          <cell r="F79">
            <v>0</v>
          </cell>
          <cell r="G79">
            <v>0</v>
          </cell>
        </row>
        <row r="80">
          <cell r="B80">
            <v>1030657219</v>
          </cell>
          <cell r="C80" t="str">
            <v>СК САЛЬЧИЧОН С РОЗОВЫМ ПЕРЦЕМ ФИБ ВУ 0.6КГ (ТМ ЧЕРКИЗОВО ПРЕМИУМ) K2.4</v>
          </cell>
          <cell r="D80">
            <v>2.4</v>
          </cell>
          <cell r="E80" t="str">
            <v>кг</v>
          </cell>
          <cell r="F80">
            <v>0</v>
          </cell>
          <cell r="G80">
            <v>0</v>
          </cell>
        </row>
        <row r="81">
          <cell r="B81">
            <v>1030679319</v>
          </cell>
          <cell r="C81" t="str">
            <v>СК САЛЬЧИЧОН СРЕЗ ФИБ ВУ ШТ 0.3КГ (ТМ ЧЕРКИЗОВО ПРЕМИУМ) K1.8</v>
          </cell>
          <cell r="D81">
            <v>1.8</v>
          </cell>
          <cell r="E81" t="str">
            <v>шт</v>
          </cell>
          <cell r="F81">
            <v>0</v>
          </cell>
          <cell r="G81">
            <v>0</v>
          </cell>
        </row>
        <row r="82">
          <cell r="B82">
            <v>1030679419</v>
          </cell>
          <cell r="C82" t="str">
            <v>СК САЛЬЧИЧОН ФИБ ВУ 0.6КГ (ТМ ЧЕРКИЗОВО ПРЕМИУМ) K2.4</v>
          </cell>
          <cell r="D82">
            <v>2.4</v>
          </cell>
          <cell r="E82" t="str">
            <v>кг</v>
          </cell>
          <cell r="F82">
            <v>0</v>
          </cell>
          <cell r="G82">
            <v>0</v>
          </cell>
        </row>
        <row r="83">
          <cell r="B83">
            <v>1030671534</v>
          </cell>
          <cell r="C83" t="str">
            <v>СК САЛЯМИ АСТОРИЯ СРЕЗ ФИБ ВУ ШТ 0.225КГ (ТМ ЧЕРКИЗОВО) K1.35</v>
          </cell>
          <cell r="D83">
            <v>1.35</v>
          </cell>
          <cell r="E83" t="str">
            <v>шт</v>
          </cell>
          <cell r="F83">
            <v>200</v>
          </cell>
          <cell r="G83">
            <v>45</v>
          </cell>
        </row>
        <row r="84">
          <cell r="B84">
            <v>1030640320</v>
          </cell>
          <cell r="C84" t="str">
            <v>СК САЛЯМИ АСТОРИЯ ФИБ ВУ 0.45КГ (ТМ ЧЕРКИЗОВО) K2.7</v>
          </cell>
          <cell r="D84">
            <v>2.7</v>
          </cell>
          <cell r="E84" t="str">
            <v>кг</v>
          </cell>
          <cell r="F84">
            <v>0</v>
          </cell>
          <cell r="G84">
            <v>0</v>
          </cell>
        </row>
        <row r="85">
          <cell r="B85">
            <v>1030688228</v>
          </cell>
          <cell r="C85" t="str">
            <v>СК САЛЯМИ НАР ФИБ ЗА ШТ 0.2КГ (ТМ ЧЕРКИЗОВО) K1.2</v>
          </cell>
          <cell r="D85">
            <v>1.2</v>
          </cell>
          <cell r="E85" t="str">
            <v>шт</v>
          </cell>
          <cell r="F85">
            <v>0</v>
          </cell>
          <cell r="G85">
            <v>0</v>
          </cell>
        </row>
        <row r="86">
          <cell r="B86">
            <v>1030636019</v>
          </cell>
          <cell r="C86" t="str">
            <v>СК САЛЯМИ ФЛАМЕНКО СРЕЗ ФИБ ВУ ШТ 0.25КГ (ТМ ЧЕРКИЗОВО ПРЕМИУМ) K1.5</v>
          </cell>
          <cell r="D86">
            <v>1.5</v>
          </cell>
          <cell r="E86" t="str">
            <v>шт</v>
          </cell>
          <cell r="F86">
            <v>0</v>
          </cell>
          <cell r="G86">
            <v>0</v>
          </cell>
        </row>
        <row r="87">
          <cell r="B87">
            <v>1030636520</v>
          </cell>
          <cell r="C87" t="str">
            <v>СК САЛЯМИ ФЛАМЕНКО ФИБ ВУ 0.5КГ (ТМ ЧЕРКИЗОВО ПРЕМИУМ) K3</v>
          </cell>
          <cell r="D87">
            <v>3</v>
          </cell>
          <cell r="E87" t="str">
            <v>кг</v>
          </cell>
          <cell r="F87">
            <v>0</v>
          </cell>
          <cell r="G87">
            <v>0</v>
          </cell>
        </row>
        <row r="88">
          <cell r="B88">
            <v>1030688634</v>
          </cell>
          <cell r="C88" t="str">
            <v>СК СВИНАЯ ПО-ЧЕРКИЗОВСКИ СРЕЗ ФИБ ВУ ШТ 0.225КГ (ТМ ЧЕРКИЗОВО) K1.35</v>
          </cell>
          <cell r="D88">
            <v>1.35</v>
          </cell>
          <cell r="E88" t="str">
            <v>шт</v>
          </cell>
          <cell r="F88">
            <v>200</v>
          </cell>
          <cell r="G88">
            <v>45</v>
          </cell>
        </row>
        <row r="89">
          <cell r="B89">
            <v>1030670704</v>
          </cell>
          <cell r="C89" t="str">
            <v>СК СЕРВЕЛЕТТИ ПРЕСС БО ВУ 0.5КГ (ТМ ЧЕРКИЗОВО ПРЕМИУМ) K3</v>
          </cell>
          <cell r="D89">
            <v>3</v>
          </cell>
          <cell r="E89" t="str">
            <v>кг</v>
          </cell>
          <cell r="F89">
            <v>0</v>
          </cell>
          <cell r="G89">
            <v>0</v>
          </cell>
        </row>
        <row r="90">
          <cell r="B90">
            <v>1031302048</v>
          </cell>
          <cell r="C90" t="str">
            <v>СК СНЕК ИЗ ИНДЕЙКИ КЛАССИЧЕСКИЙ ЗА ШТ 0.07КГ (ТМ ЧЕРКИЗОВО ПРЕМИУМ) K0.7</v>
          </cell>
          <cell r="D90">
            <v>0.7</v>
          </cell>
          <cell r="E90" t="str">
            <v>шт</v>
          </cell>
          <cell r="F90">
            <v>0</v>
          </cell>
          <cell r="G90">
            <v>0</v>
          </cell>
        </row>
        <row r="91">
          <cell r="B91">
            <v>1031302148</v>
          </cell>
          <cell r="C91" t="str">
            <v>СНЕК СНЕК ИЗ КУРИЦЫ КЛАССИЧЕСКИЙ ЗА ШТ 0.07КГ (ТМ ЧЕРКИЗОВО ПРЕМИУМ) K0.7</v>
          </cell>
          <cell r="D91">
            <v>0.7</v>
          </cell>
          <cell r="E91" t="str">
            <v>шт</v>
          </cell>
          <cell r="F91">
            <v>0</v>
          </cell>
          <cell r="G91">
            <v>0</v>
          </cell>
        </row>
        <row r="92">
          <cell r="B92">
            <v>1031301504</v>
          </cell>
          <cell r="C92" t="str">
            <v>СНЕК МЯСНОЙ САЛЯМИ АЛ ЗА ШТ 0.07КГ (ТМ ЧЕРКИЗОВО) K0.7</v>
          </cell>
          <cell r="D92">
            <v>0.7</v>
          </cell>
          <cell r="E92" t="str">
            <v>шт</v>
          </cell>
          <cell r="F92">
            <v>0</v>
          </cell>
          <cell r="G92">
            <v>0</v>
          </cell>
        </row>
        <row r="93">
          <cell r="B93">
            <v>1030689334</v>
          </cell>
          <cell r="C93" t="str">
            <v>СК ЭЛИТНАЯ СРЕЗ ФИБ ВУ ШТ 0.225КГ (ТМ ЧЕРКИЗОВО) K1.35</v>
          </cell>
          <cell r="D93">
            <v>1.35</v>
          </cell>
          <cell r="E93" t="str">
            <v>шт</v>
          </cell>
          <cell r="F93">
            <v>0</v>
          </cell>
          <cell r="G93">
            <v>0</v>
          </cell>
        </row>
        <row r="94">
          <cell r="B94">
            <v>1030235455</v>
          </cell>
          <cell r="C94" t="str">
            <v>СОС АППЕТИТНЫЕ КЛАССИЧЕСКИЕ ПМО ЗА ПАК 1.5КГ (ТМ МГ) K6</v>
          </cell>
          <cell r="D94">
            <v>6</v>
          </cell>
          <cell r="E94" t="str">
            <v>кг</v>
          </cell>
          <cell r="F94">
            <v>0</v>
          </cell>
          <cell r="G94">
            <v>0</v>
          </cell>
        </row>
        <row r="95">
          <cell r="B95">
            <v>1030230771</v>
          </cell>
          <cell r="C95" t="str">
            <v>СОС БАВАРСКИЕ С СЫРОМ ВУ ШТ 0.3КГ (ТМ ЧЕРКИЗОВО ПРЕМИУМ) K1.8</v>
          </cell>
          <cell r="D95">
            <v>1.8</v>
          </cell>
          <cell r="E95" t="str">
            <v>шт</v>
          </cell>
          <cell r="F95">
            <v>0</v>
          </cell>
          <cell r="G95">
            <v>0</v>
          </cell>
        </row>
        <row r="96">
          <cell r="B96">
            <v>1030231003</v>
          </cell>
          <cell r="C96" t="str">
            <v>СОС БРЕМЕНСКИЕ С СЫРОМ ЗА ЛОТ ШТ 0.336КГ (ТМ ЧЕРКИЗОВО ПРЕМИУМ) K1.344</v>
          </cell>
          <cell r="D96">
            <v>1.3440000000000001</v>
          </cell>
          <cell r="E96" t="str">
            <v>шт</v>
          </cell>
          <cell r="F96">
            <v>0</v>
          </cell>
          <cell r="G96">
            <v>0</v>
          </cell>
        </row>
        <row r="97">
          <cell r="B97">
            <v>1030228316</v>
          </cell>
          <cell r="C97" t="str">
            <v>СОС ВЕНСКИЕ БО ЗА ПАК 1.25КГ (ТМ ЧЕРКИЗОВО) K5</v>
          </cell>
          <cell r="D97">
            <v>5</v>
          </cell>
          <cell r="E97" t="str">
            <v>кг</v>
          </cell>
          <cell r="F97">
            <v>50</v>
          </cell>
          <cell r="G97">
            <v>50</v>
          </cell>
        </row>
        <row r="98">
          <cell r="B98">
            <v>1030233855</v>
          </cell>
          <cell r="C98" t="str">
            <v>СОС СОЧНЫЕ ПМО ЗА ПАК 1.5КГ (ТМ МГ) K6</v>
          </cell>
          <cell r="D98">
            <v>6</v>
          </cell>
          <cell r="E98" t="str">
            <v>кг</v>
          </cell>
          <cell r="F98">
            <v>0</v>
          </cell>
          <cell r="G98">
            <v>0</v>
          </cell>
        </row>
        <row r="99">
          <cell r="B99">
            <v>1030234120</v>
          </cell>
          <cell r="C99" t="str">
            <v>СОС КОПЧЕНЫЕ ПО-ЧЕРКИЗОВСКИ ПМО ЗА ЛОТ ШТ 0.4КГ (ТМ ЧЕРКИЗОВО) K1.6</v>
          </cell>
          <cell r="D99">
            <v>1.6</v>
          </cell>
          <cell r="E99" t="str">
            <v>шт</v>
          </cell>
          <cell r="F99">
            <v>0</v>
          </cell>
          <cell r="G99">
            <v>0</v>
          </cell>
        </row>
        <row r="100">
          <cell r="B100">
            <v>1030207903</v>
          </cell>
          <cell r="C100" t="str">
            <v>СОС КРЕМЛЕВСКИЕ ЦО ЗА ЛОТ ШТ 0.5КГ (ТМ ЧЕРКИЗОВО ПРЕМИУМ) K2</v>
          </cell>
          <cell r="D100">
            <v>2</v>
          </cell>
          <cell r="E100" t="str">
            <v>шт</v>
          </cell>
          <cell r="F100">
            <v>0</v>
          </cell>
          <cell r="G100">
            <v>0</v>
          </cell>
        </row>
        <row r="101">
          <cell r="B101">
            <v>1030211055</v>
          </cell>
          <cell r="C101" t="str">
            <v>СОС КРЕМЛЕВСКИЕ ЦО ЗА ПАК 1.5КГ (ТМ ЧЕРКИЗОВО ПРЕМИУМ) K6</v>
          </cell>
          <cell r="D101">
            <v>6</v>
          </cell>
          <cell r="E101" t="str">
            <v>кг</v>
          </cell>
          <cell r="F101">
            <v>0</v>
          </cell>
          <cell r="G101">
            <v>0</v>
          </cell>
        </row>
        <row r="102">
          <cell r="B102">
            <v>1030228620</v>
          </cell>
          <cell r="C102" t="str">
            <v>СОС МОЛОЧНЫЕ ПО-ЧЕРКИЗОВСКИ ПМО ЗА ЛОТ ШТ 0.45КГ (ТМ ЧЕРКИЗОВО) K1.8</v>
          </cell>
          <cell r="D102">
            <v>1.8</v>
          </cell>
          <cell r="E102" t="str">
            <v>шт</v>
          </cell>
          <cell r="F102">
            <v>0</v>
          </cell>
          <cell r="G102">
            <v>0</v>
          </cell>
        </row>
        <row r="103">
          <cell r="B103">
            <v>1030229055</v>
          </cell>
          <cell r="C103" t="str">
            <v>СОС МОЛОЧНЫЕ ПО-ЧЕРКИЗОВСКИ ПМО ЗА ПАК 1.5КГ (ТМ ЧЕРКИЗОВО) K6</v>
          </cell>
          <cell r="D103">
            <v>6</v>
          </cell>
          <cell r="E103" t="str">
            <v>кг</v>
          </cell>
          <cell r="F103">
            <v>0</v>
          </cell>
          <cell r="G103">
            <v>0</v>
          </cell>
        </row>
        <row r="104">
          <cell r="B104">
            <v>1030228716</v>
          </cell>
          <cell r="C104" t="str">
            <v>СОС МОЛОЧНЫЕ ПО-ЧЕРКИЗОВСКИ ПМО ЗА ПАК ШТ 0.65КГ (ТМ ЧЕРКИЗОВО) K2.6</v>
          </cell>
          <cell r="D104">
            <v>2.6</v>
          </cell>
          <cell r="E104" t="str">
            <v>шт</v>
          </cell>
          <cell r="F104">
            <v>0</v>
          </cell>
          <cell r="G104">
            <v>0</v>
          </cell>
        </row>
        <row r="105">
          <cell r="B105">
            <v>1030231903</v>
          </cell>
          <cell r="C105" t="str">
            <v>СОС МОЛОЧНЫЕ ЭКСТРА ЦО ЗА ЛОТ ШТ 0.4КГ (ТМ ЧЕРКИЗОВО ПРЕМИУМ) K1.6</v>
          </cell>
          <cell r="D105">
            <v>1.6</v>
          </cell>
          <cell r="E105" t="str">
            <v>шт</v>
          </cell>
          <cell r="F105">
            <v>0</v>
          </cell>
          <cell r="G105">
            <v>0</v>
          </cell>
        </row>
        <row r="106">
          <cell r="B106">
            <v>1030229205</v>
          </cell>
          <cell r="C106" t="str">
            <v>СОС НЕЖНЫЕ СО СЛИВКАМИ ЛОТПМОШТ0.4КГК3.2</v>
          </cell>
          <cell r="D106">
            <v>3.2</v>
          </cell>
          <cell r="E106" t="str">
            <v>шт</v>
          </cell>
          <cell r="F106">
            <v>0</v>
          </cell>
          <cell r="G106">
            <v>0</v>
          </cell>
        </row>
        <row r="107">
          <cell r="B107">
            <v>1030235655</v>
          </cell>
          <cell r="C107" t="str">
            <v>СОС СОЧНЫЕ С ГОВЯДИНОЙ ЦО ЗА ПАК 1.5КГ (ТМ ЧЕРКИЗОВО) K6</v>
          </cell>
          <cell r="D107">
            <v>6</v>
          </cell>
          <cell r="E107" t="str">
            <v>кг</v>
          </cell>
          <cell r="F107">
            <v>0</v>
          </cell>
          <cell r="G107">
            <v>0</v>
          </cell>
        </row>
        <row r="108">
          <cell r="B108">
            <v>1030227903</v>
          </cell>
          <cell r="C108" t="str">
            <v>СОС ПОДКОПЧЕННЫЕ ПМО ЗА ЛОТ ШТ 0.4КГ (ТМ ЧЕРКИЗОВО) K1.6</v>
          </cell>
          <cell r="D108">
            <v>1.6</v>
          </cell>
          <cell r="E108" t="str">
            <v>шт</v>
          </cell>
          <cell r="F108">
            <v>0</v>
          </cell>
          <cell r="G108">
            <v>0</v>
          </cell>
        </row>
        <row r="109">
          <cell r="B109">
            <v>1030212603</v>
          </cell>
          <cell r="C109" t="str">
            <v>СОС СЛИВОЧНЫЕ ГОСТ ЦО ЗА ЛОТ ШТ 0.45КГ (ТМ ЧЕРКИЗОВО) K1.8</v>
          </cell>
          <cell r="D109">
            <v>1.8</v>
          </cell>
          <cell r="E109" t="str">
            <v>шт</v>
          </cell>
          <cell r="F109">
            <v>100</v>
          </cell>
          <cell r="G109">
            <v>45</v>
          </cell>
        </row>
        <row r="110">
          <cell r="B110">
            <v>1030228855</v>
          </cell>
          <cell r="C110" t="str">
            <v>СОС СЛИВОЧНЫЕ ПО-ЧЕРКИЗОВСКИ ПМО ЗА ПАК 1.5КГ (ТМ ЧЕРКИЗОВО) K6</v>
          </cell>
          <cell r="D110">
            <v>6</v>
          </cell>
          <cell r="E110" t="str">
            <v>кг</v>
          </cell>
          <cell r="F110">
            <v>60</v>
          </cell>
          <cell r="G110">
            <v>60</v>
          </cell>
        </row>
        <row r="111">
          <cell r="B111">
            <v>1030228916</v>
          </cell>
          <cell r="C111" t="str">
            <v>СОС СЛИВОЧНЫЕ ПО-ЧЕРКИЗОВСКИ ПМО ЗА ПАК ШТ 0.65КГ (ТМ ЧЕРКИЗОВО) K2.6</v>
          </cell>
          <cell r="D111">
            <v>2.6</v>
          </cell>
          <cell r="E111" t="str">
            <v>шт</v>
          </cell>
          <cell r="F111">
            <v>0</v>
          </cell>
          <cell r="G111">
            <v>0</v>
          </cell>
        </row>
        <row r="112">
          <cell r="B112">
            <v>1030203205</v>
          </cell>
          <cell r="C112" t="str">
            <v>СОС ЧЕРКИЗОВСКИЕ Н/О З/А ПАКЕТ 1.25КГ (ТМ ЧЕРКИЗОВО ПРЕМИУМ) К2.5</v>
          </cell>
          <cell r="D112">
            <v>2.5</v>
          </cell>
          <cell r="E112" t="str">
            <v>кг</v>
          </cell>
          <cell r="F112">
            <v>0</v>
          </cell>
          <cell r="G112">
            <v>0</v>
          </cell>
        </row>
        <row r="113">
          <cell r="B113">
            <v>1030232736</v>
          </cell>
          <cell r="C113" t="str">
            <v>СОС ФЛОРЕНТИЙСКИЕ С ГОВЯДИНОЙ НО ЗА ЛОТ ШТ 0.24КГ (ТМ ЧЕРКИЗОВО ПРЕМИУМ) K1.44</v>
          </cell>
          <cell r="D113">
            <v>1.44</v>
          </cell>
          <cell r="E113" t="str">
            <v>шт</v>
          </cell>
          <cell r="F113">
            <v>0</v>
          </cell>
          <cell r="G113">
            <v>0</v>
          </cell>
        </row>
        <row r="114">
          <cell r="B114">
            <v>1030234503</v>
          </cell>
          <cell r="C114" t="str">
            <v>СОС ФИЛЕЙНЫЕ С КУРИНОЙ ГРУДКОЙ ЦО ЗА ЛОТ ШТ 0.27КГ (ТМ ЧЕРКИЗОВО ПРЕМИУМ) K2.16</v>
          </cell>
          <cell r="D114">
            <v>2.16</v>
          </cell>
          <cell r="E114" t="str">
            <v>шт</v>
          </cell>
          <cell r="F114">
            <v>0</v>
          </cell>
          <cell r="G114">
            <v>0</v>
          </cell>
        </row>
        <row r="115">
          <cell r="B115">
            <v>1031000837</v>
          </cell>
          <cell r="C115" t="str">
            <v>СУБ ЛИВЕРНАЯ С ПЕЧЕНЬЮ НМО ШТ 0.4КГ (ТМ ЧЕРКИЗОВО) K2</v>
          </cell>
          <cell r="D115">
            <v>2</v>
          </cell>
          <cell r="E115" t="str">
            <v>шт</v>
          </cell>
          <cell r="F115">
            <v>0</v>
          </cell>
          <cell r="G115">
            <v>0</v>
          </cell>
        </row>
        <row r="116">
          <cell r="B116">
            <v>1030661973</v>
          </cell>
          <cell r="C116" t="str">
            <v>ХАМОН СЕРРАНО КК ВУ ПАКВ 1*7КГ (ТМ CAS) K7</v>
          </cell>
          <cell r="D116">
            <v>7</v>
          </cell>
          <cell r="E116" t="str">
            <v>кг</v>
          </cell>
          <cell r="F116">
            <v>0</v>
          </cell>
          <cell r="G116">
            <v>0</v>
          </cell>
        </row>
        <row r="117">
          <cell r="B117">
            <v>1030742971</v>
          </cell>
          <cell r="C117" t="str">
            <v>ЦБ/Бедро Классич/-/КпчВар/ТСБ/ТУ/охл/ПАКВ/9шт/-/0.45/гк380т</v>
          </cell>
          <cell r="D117">
            <v>4.05</v>
          </cell>
          <cell r="E117" t="str">
            <v>КГ</v>
          </cell>
          <cell r="F117">
            <v>0</v>
          </cell>
          <cell r="G117">
            <v>0</v>
          </cell>
        </row>
        <row r="118">
          <cell r="B118">
            <v>1030817371</v>
          </cell>
          <cell r="C118" t="str">
            <v>ЦБ/Ветчина/-/Мусульм Халяль/ТСБ/ТУ/охл/-/10шт/-/0,4/гк380т</v>
          </cell>
          <cell r="D118">
            <v>4</v>
          </cell>
          <cell r="E118" t="str">
            <v>ШТ</v>
          </cell>
          <cell r="F118">
            <v>0</v>
          </cell>
          <cell r="G118">
            <v>0</v>
          </cell>
        </row>
        <row r="119">
          <cell r="B119">
            <v>1030743597</v>
          </cell>
          <cell r="C119" t="str">
            <v>ЦБ/Голень/-/КпчВар/ИВ/ТУ/охл/TF/6шт/-/0.5/гк329</v>
          </cell>
          <cell r="D119">
            <v>3</v>
          </cell>
          <cell r="E119" t="str">
            <v>КГ</v>
          </cell>
          <cell r="F119">
            <v>0</v>
          </cell>
          <cell r="G119">
            <v>0</v>
          </cell>
        </row>
        <row r="120">
          <cell r="B120">
            <v>1030732671</v>
          </cell>
          <cell r="C120" t="str">
            <v>ЦБ/Голень/-/КпчВар/ТСБ/ТУ/охл/ПАКВ/8шт/-/0,55/гк380т</v>
          </cell>
          <cell r="D120">
            <v>4.4000000000000004</v>
          </cell>
          <cell r="E120" t="str">
            <v>КГ</v>
          </cell>
          <cell r="F120">
            <v>0</v>
          </cell>
          <cell r="G120">
            <v>0</v>
          </cell>
        </row>
        <row r="121">
          <cell r="B121">
            <v>1030743771</v>
          </cell>
          <cell r="C121" t="str">
            <v>Бедр и гол КпчВар/ТСБ/ТУ/охл/ПЛЁН/гк329</v>
          </cell>
          <cell r="D121">
            <v>3</v>
          </cell>
          <cell r="E121" t="str">
            <v>КГ</v>
          </cell>
          <cell r="F121">
            <v>0</v>
          </cell>
          <cell r="G121">
            <v>0</v>
          </cell>
        </row>
        <row r="122">
          <cell r="B122">
            <v>1030730329</v>
          </cell>
          <cell r="C122" t="str">
            <v>ЦБ/Грдк/-/КпчВар/ТСБ/ТУ/охл/ПАКВ/6шт/-/0.5/гк380в</v>
          </cell>
          <cell r="D122">
            <v>3</v>
          </cell>
          <cell r="E122" t="str">
            <v>КГ</v>
          </cell>
          <cell r="F122">
            <v>0</v>
          </cell>
          <cell r="G122">
            <v>0</v>
          </cell>
        </row>
        <row r="123">
          <cell r="B123">
            <v>1030132371</v>
          </cell>
          <cell r="C123" t="str">
            <v>ЦБ/Колбаса/-/вар Мусульм Халяль/ТСБ/ТУ/охл/-/10шт/-/0.4/гк380т</v>
          </cell>
          <cell r="D123">
            <v>4</v>
          </cell>
          <cell r="E123" t="str">
            <v>ШТ</v>
          </cell>
          <cell r="F123">
            <v>0</v>
          </cell>
          <cell r="G123">
            <v>0</v>
          </cell>
        </row>
        <row r="124">
          <cell r="B124">
            <v>1030132487</v>
          </cell>
          <cell r="C124" t="str">
            <v>ЦБ/Колбаса/-/вар Мусульм Халяль/ТСБ/ТУ/охл/-/8шт/-/1/гк380тт</v>
          </cell>
          <cell r="D124">
            <v>8</v>
          </cell>
          <cell r="E124" t="str">
            <v>ШТ</v>
          </cell>
          <cell r="F124">
            <v>0</v>
          </cell>
          <cell r="G124">
            <v>0</v>
          </cell>
        </row>
        <row r="125">
          <cell r="B125">
            <v>1030132597</v>
          </cell>
          <cell r="C125" t="str">
            <v>ЦБ/Колбаса/-/Мусульм с говядиной/Лтф/ТУ/охл/-/6шт/-/шт 0,4/гк329</v>
          </cell>
          <cell r="D125">
            <v>2.4</v>
          </cell>
          <cell r="E125" t="str">
            <v>ШТ</v>
          </cell>
          <cell r="F125">
            <v>0</v>
          </cell>
          <cell r="G125">
            <v>0</v>
          </cell>
        </row>
        <row r="126">
          <cell r="B126">
            <v>1030518197</v>
          </cell>
          <cell r="C126" t="str">
            <v>ЦБ/КОЛБАСА/-/ПОЛУКПЧ С ГОВЯД/ЛТФ/ТУ/ОХЛ/-/6 шт/0.4 K329</v>
          </cell>
          <cell r="D126">
            <v>2.4</v>
          </cell>
          <cell r="E126" t="str">
            <v>ШТ</v>
          </cell>
          <cell r="F126">
            <v>60</v>
          </cell>
          <cell r="G126">
            <v>24</v>
          </cell>
        </row>
        <row r="127">
          <cell r="B127">
            <v>1030517871</v>
          </cell>
          <cell r="C127" t="str">
            <v>ЦБ/Колбаса/-/ПолуКпч Чесночная/ТСБ/ТУ/охл/-/10шт/-/0.4/гк380т</v>
          </cell>
          <cell r="D127">
            <v>4</v>
          </cell>
          <cell r="E127" t="str">
            <v>ШТ</v>
          </cell>
          <cell r="F127">
            <v>0</v>
          </cell>
          <cell r="G127">
            <v>0</v>
          </cell>
        </row>
        <row r="128">
          <cell r="B128">
            <v>1030727671</v>
          </cell>
          <cell r="C128" t="str">
            <v>ЦБ/Рулет/-/КпчВар Классич/ТСБ/ТУ/охл/ПЛЁН/8шт/-/0,6/гк380т</v>
          </cell>
          <cell r="D128">
            <v>4.8</v>
          </cell>
          <cell r="E128" t="str">
            <v>КГ</v>
          </cell>
          <cell r="F128">
            <v>0</v>
          </cell>
          <cell r="G128">
            <v>0</v>
          </cell>
        </row>
        <row r="129">
          <cell r="B129">
            <v>1030236957</v>
          </cell>
          <cell r="C129" t="str">
            <v>ЦБ/Сосиски/-/Мусульм с говядиной/Лтф/ТУ/охл/TF/6шт/-/0,35/гк285вир1</v>
          </cell>
          <cell r="D129">
            <v>2.1</v>
          </cell>
          <cell r="E129" t="str">
            <v>ШТ</v>
          </cell>
          <cell r="F129">
            <v>0</v>
          </cell>
          <cell r="G129">
            <v>0</v>
          </cell>
        </row>
        <row r="130">
          <cell r="B130">
            <v>1030235987</v>
          </cell>
          <cell r="C130" t="str">
            <v>ЦБ/Сосиски/-/Мусульм Халяль/ТСБ/ТУ/охл/ПАКВ/8шт/-/1/гк380тт</v>
          </cell>
          <cell r="D130">
            <v>8</v>
          </cell>
          <cell r="E130" t="str">
            <v>ШТ</v>
          </cell>
          <cell r="F130">
            <v>0</v>
          </cell>
          <cell r="G130">
            <v>0</v>
          </cell>
        </row>
        <row r="131">
          <cell r="B131">
            <v>1030629220</v>
          </cell>
          <cell r="C131" t="str">
            <v>СК СВИНАЯ ПО-ЧЕРКИЗОВСКИ ФИБ ВУ 0.45КГ (ТМ ЧЕРКИЗОВО) K2.7</v>
          </cell>
          <cell r="D131">
            <v>2.7</v>
          </cell>
          <cell r="E131" t="str">
            <v>кг</v>
          </cell>
          <cell r="F131">
            <v>0</v>
          </cell>
          <cell r="G131">
            <v>0</v>
          </cell>
        </row>
        <row r="132">
          <cell r="B132">
            <v>1030518463</v>
          </cell>
          <cell r="C132" t="str">
            <v>ПК ДОМАШНЯЯ НО ВУ ШТ 0.35КГ (ТМ ЧЕРКИЗОВО) K1.75</v>
          </cell>
          <cell r="D132">
            <v>1.75</v>
          </cell>
          <cell r="E132" t="str">
            <v>шт</v>
          </cell>
          <cell r="F132">
            <v>0</v>
          </cell>
          <cell r="G132">
            <v>0</v>
          </cell>
        </row>
        <row r="133">
          <cell r="B133">
            <v>1030130002</v>
          </cell>
          <cell r="C133" t="str">
            <v>ВАР КЛАССИЧ СО СВИНИНОЙ НМО 1.5КГ МГ К12</v>
          </cell>
          <cell r="D133">
            <v>12</v>
          </cell>
          <cell r="E133" t="str">
            <v>кг</v>
          </cell>
          <cell r="F133">
            <v>0</v>
          </cell>
          <cell r="G133">
            <v>0</v>
          </cell>
        </row>
        <row r="134">
          <cell r="B134">
            <v>1030744105</v>
          </cell>
          <cell r="C134" t="str">
            <v>КОПЧ КАРБОНАД ПО-ЧЕРКИЗОВСКИ КК ВУ 1.5КГ (ТМ ЧЕРКИЗОВО) K4.5</v>
          </cell>
          <cell r="D134">
            <v>4.5</v>
          </cell>
          <cell r="E134" t="str">
            <v>кг</v>
          </cell>
          <cell r="F134">
            <v>0</v>
          </cell>
          <cell r="G134">
            <v>0</v>
          </cell>
        </row>
        <row r="135">
          <cell r="B135">
            <v>1030744204</v>
          </cell>
          <cell r="C135" t="str">
            <v>КОПЧ ЛОПАТКА ПО-ЧЕРКИЗОВСКИ МК ВУ 0.35КГ (ТМ ЧЕРКИЗОВО) K2.1</v>
          </cell>
          <cell r="D135">
            <v>2.1</v>
          </cell>
          <cell r="E135" t="str">
            <v>кг</v>
          </cell>
          <cell r="F135">
            <v>0</v>
          </cell>
          <cell r="G135">
            <v>0</v>
          </cell>
        </row>
        <row r="136">
          <cell r="B136">
            <v>1030744304</v>
          </cell>
          <cell r="C136" t="str">
            <v>КОПЧ КОРЕЙКА ПО-ЧЕРКИЗОВСКИ МК ВУ0.35КГ (ТМ ЧЕРКИЗОВО) K2.1</v>
          </cell>
          <cell r="D136">
            <v>2.1</v>
          </cell>
          <cell r="E136" t="str">
            <v>кг</v>
          </cell>
          <cell r="F136">
            <v>0</v>
          </cell>
          <cell r="G136">
            <v>0</v>
          </cell>
        </row>
        <row r="137">
          <cell r="B137">
            <v>1030814815</v>
          </cell>
          <cell r="C137" t="str">
            <v>ВЕТЧ ДОМАШНЯЯ ЦО ВУ ШТ 0.4КГ (ТМ ЧЕРКИЗОВО) K2.4</v>
          </cell>
          <cell r="D137">
            <v>2.4</v>
          </cell>
          <cell r="E137" t="str">
            <v>шт</v>
          </cell>
          <cell r="F137">
            <v>0</v>
          </cell>
          <cell r="G137">
            <v>0</v>
          </cell>
        </row>
        <row r="138">
          <cell r="B138">
            <v>1030720718</v>
          </cell>
          <cell r="C138" t="str">
            <v>КОПЧ БЕК ЛЮКСОРТ НАР ВУ ШТ 0.5КГ (ТМ МГ)</v>
          </cell>
          <cell r="D138">
            <v>21</v>
          </cell>
          <cell r="E138" t="str">
            <v>шт</v>
          </cell>
          <cell r="F138">
            <v>0</v>
          </cell>
          <cell r="G138">
            <v>0</v>
          </cell>
        </row>
        <row r="139">
          <cell r="B139">
            <v>1030707697</v>
          </cell>
          <cell r="C139" t="str">
            <v>ЦБ/РУЛЕТ/-/НЕЖНЫЙ/ИВ/-/ОХЛ/-/-/0,4 K2.4</v>
          </cell>
          <cell r="D139">
            <v>6</v>
          </cell>
          <cell r="E139" t="str">
            <v>шт</v>
          </cell>
          <cell r="F139">
            <v>60</v>
          </cell>
          <cell r="G139">
            <v>24</v>
          </cell>
        </row>
        <row r="140">
          <cell r="B140">
            <v>1030650228</v>
          </cell>
          <cell r="C140" t="str">
            <v>СК ПРОШУТТО НАР ФИБ ЗА ШТ 0.1КГ (ТМ ЧЕРКИЗОВО ПРЕМИУМ) K1.2</v>
          </cell>
          <cell r="D140">
            <v>12</v>
          </cell>
          <cell r="E140" t="str">
            <v>шт</v>
          </cell>
          <cell r="F140">
            <v>0</v>
          </cell>
          <cell r="G140">
            <v>0</v>
          </cell>
        </row>
        <row r="141">
          <cell r="B141">
            <v>1030650628</v>
          </cell>
          <cell r="C141" t="str">
            <v>СК САЛЯМИ АСТОРИЯ НАР ФИБ ЗА ШТ 0.085КГ (ТМ ЧЕРКИЗОВО) K1.02</v>
          </cell>
          <cell r="D141">
            <v>12</v>
          </cell>
          <cell r="E141" t="str">
            <v>шт</v>
          </cell>
          <cell r="F141">
            <v>0</v>
          </cell>
          <cell r="G141">
            <v>0</v>
          </cell>
        </row>
        <row r="142">
          <cell r="B142">
            <v>1030650028</v>
          </cell>
          <cell r="C142" t="str">
            <v>СК САЛЬЧИЧОН НАР ФИБ ЗА ШТ 0.1КГ (ТМ ЧЕРКИЗОВО ПРЕМИУМ) K1.2</v>
          </cell>
          <cell r="D142">
            <v>12</v>
          </cell>
          <cell r="E142" t="str">
            <v>шт</v>
          </cell>
          <cell r="F142">
            <v>0</v>
          </cell>
          <cell r="G142">
            <v>0</v>
          </cell>
        </row>
        <row r="143">
          <cell r="B143">
            <v>1030719928</v>
          </cell>
          <cell r="C143" t="str">
            <v>КОПЧ КАРПАЧЧО ИЗ ИНДЕЙКИ НАР ЗА ЛОТ ШТ 0.085КГ (ТМ ЧЕРКИЗОВО ПРЕМИУМ) K0.85</v>
          </cell>
          <cell r="D143">
            <v>10</v>
          </cell>
          <cell r="E143" t="str">
            <v>шт</v>
          </cell>
          <cell r="F143">
            <v>0</v>
          </cell>
          <cell r="G143">
            <v>0</v>
          </cell>
        </row>
        <row r="144">
          <cell r="B144">
            <v>1030683928</v>
          </cell>
          <cell r="C144" t="str">
            <v>СК КЛАССИКО ИТАЛИАНО НАР ФИБ ЗА ШТ 0.085КГ (ТМ ЧЕРКИЗОВО ПРЕМИУМ) K0.85</v>
          </cell>
          <cell r="D144">
            <v>10</v>
          </cell>
          <cell r="E144" t="str">
            <v>шт</v>
          </cell>
          <cell r="F144">
            <v>100</v>
          </cell>
          <cell r="G144">
            <v>8.5</v>
          </cell>
        </row>
        <row r="145">
          <cell r="B145">
            <v>1030650128</v>
          </cell>
          <cell r="C145" t="str">
            <v>СК САЛЯМИ ФЛАМЕНКО НАР ФИБ ЗА ШТ 0.1КГ (ТМ ЧЕРКИЗОВО ПРЕМИУМ) K1.2</v>
          </cell>
          <cell r="D145">
            <v>12</v>
          </cell>
          <cell r="E145" t="str">
            <v>шт</v>
          </cell>
          <cell r="F145">
            <v>0</v>
          </cell>
          <cell r="G145">
            <v>0</v>
          </cell>
        </row>
        <row r="146">
          <cell r="B146">
            <v>1030670928</v>
          </cell>
          <cell r="C146" t="str">
            <v>СК СЕРВЕЛЕТТИ ПРЕССНАР БО ЗА ШТ 0.085КГ (ТМ ЧЕРКИЗОВО ПРЕМИУМ) K1.02</v>
          </cell>
          <cell r="D146">
            <v>12</v>
          </cell>
          <cell r="E146" t="str">
            <v>шт</v>
          </cell>
          <cell r="F146">
            <v>0</v>
          </cell>
          <cell r="G146">
            <v>0</v>
          </cell>
        </row>
        <row r="147">
          <cell r="B147">
            <v>1030657628</v>
          </cell>
          <cell r="C147" t="str">
            <v>СК САЛЬЧИЧОН С РОЗОВЫМ ПЕРЦЕМ НАР ФИБ ЗА ШТ 0.085КГ (ТМ ЧЕРКИЗОВО ПРЕМИУМ) K1.02</v>
          </cell>
          <cell r="D147">
            <v>12</v>
          </cell>
          <cell r="E147" t="str">
            <v>шт</v>
          </cell>
          <cell r="F147">
            <v>0</v>
          </cell>
          <cell r="G147">
            <v>0</v>
          </cell>
        </row>
        <row r="148">
          <cell r="B148">
            <v>1030680328</v>
          </cell>
          <cell r="C148" t="str">
            <v>СК АССОРТИ СЕРВЕЛЕТТИ И ПРОШУТТО НАР ФИБ ЗА ШТ 0.085КГ У (ТМ ЧЕРКИЗОВО ПРЕМИУМ) K0.85</v>
          </cell>
          <cell r="D148">
            <v>10</v>
          </cell>
          <cell r="E148" t="str">
            <v>шт</v>
          </cell>
          <cell r="F148">
            <v>100</v>
          </cell>
          <cell r="G148">
            <v>8.5</v>
          </cell>
        </row>
        <row r="149">
          <cell r="B149">
            <v>1030689928</v>
          </cell>
          <cell r="C149" t="str">
            <v>СК АССОРТИ МРАМОРНАЯ И АСТОРИЯ НАР ФИБ ЗА ШТ 0.085КГ (ТМ ЧЕРКИЗОВО) K1.02</v>
          </cell>
          <cell r="D149">
            <v>12</v>
          </cell>
          <cell r="E149" t="str">
            <v>шт</v>
          </cell>
          <cell r="F149">
            <v>0</v>
          </cell>
          <cell r="G149">
            <v>0</v>
          </cell>
        </row>
        <row r="150">
          <cell r="B150">
            <v>1030515525</v>
          </cell>
          <cell r="C150" t="str">
            <v xml:space="preserve">ПК РУБЛЕНАЯ НО ВУ ШТ 0.35КГ ТМ МГ K11.9 </v>
          </cell>
          <cell r="D150">
            <v>34</v>
          </cell>
          <cell r="E150" t="str">
            <v>шт</v>
          </cell>
          <cell r="F150">
            <v>0</v>
          </cell>
          <cell r="G150">
            <v>0</v>
          </cell>
        </row>
        <row r="151">
          <cell r="B151">
            <v>1030653928</v>
          </cell>
          <cell r="C151" t="str">
            <v xml:space="preserve">СК БРАУНШВЕЙГСКАЯ ГОСТ НАР ФИБ ЗА ШТ 0.085КГ (ТМ ЧЕРКИЗОВО ПРЕМИУМ) K1.02 </v>
          </cell>
          <cell r="D151">
            <v>12</v>
          </cell>
          <cell r="E151" t="str">
            <v>шт</v>
          </cell>
          <cell r="F151">
            <v>0</v>
          </cell>
          <cell r="G151">
            <v>0</v>
          </cell>
        </row>
        <row r="152">
          <cell r="B152">
            <v>1030419435</v>
          </cell>
          <cell r="C152" t="str">
            <v>ВК СЕРВЕЛАТ ЗЕРНИСТЫЙ СРЕЗ ВУ ШТ К1.8</v>
          </cell>
          <cell r="D152">
            <v>6</v>
          </cell>
          <cell r="E152" t="str">
            <v>шт</v>
          </cell>
          <cell r="F152">
            <v>120</v>
          </cell>
          <cell r="G152">
            <v>36</v>
          </cell>
        </row>
        <row r="153">
          <cell r="B153">
            <v>1030804515</v>
          </cell>
          <cell r="C153" t="str">
            <v>ВЕТЧ РУБ ПО-ЧЕ СРЕЗ ШТ 0.35КГ ЧВП К2,1</v>
          </cell>
          <cell r="D153">
            <v>6</v>
          </cell>
          <cell r="E153" t="str">
            <v>шт</v>
          </cell>
          <cell r="F153">
            <v>0</v>
          </cell>
          <cell r="G153">
            <v>0</v>
          </cell>
        </row>
        <row r="154">
          <cell r="B154">
            <v>1030407328</v>
          </cell>
          <cell r="C154" t="str">
            <v>ВК БАЛЫКОВАЯ ПО-Ч НАР ЗА  ШТ 0.1КГ К1.2</v>
          </cell>
          <cell r="D154">
            <v>12</v>
          </cell>
          <cell r="E154" t="str">
            <v>шт</v>
          </cell>
          <cell r="F154">
            <v>0</v>
          </cell>
          <cell r="G154">
            <v>0</v>
          </cell>
        </row>
        <row r="155">
          <cell r="B155">
            <v>1030691842</v>
          </cell>
          <cell r="C155" t="str">
            <v>СВ ЛОНГАНИЗА CASAD ЗА НАР 0,09КГ К0,9</v>
          </cell>
          <cell r="D155">
            <v>10</v>
          </cell>
          <cell r="E155" t="str">
            <v>шт</v>
          </cell>
          <cell r="F155">
            <v>0</v>
          </cell>
          <cell r="G155">
            <v>0</v>
          </cell>
        </row>
        <row r="156">
          <cell r="B156">
            <v>1030691928</v>
          </cell>
          <cell r="C156" t="str">
            <v>СК АССОРТИ САЛЯМИ ЭКСТРА И ГУРМЭ С ПЕРЦ НАР ЗА ШТ 0.085КГ (ТМ ЧЕРКИЗОВО ПРЕМИУМ) K1.02</v>
          </cell>
          <cell r="D156">
            <v>12</v>
          </cell>
          <cell r="E156" t="str">
            <v>шт</v>
          </cell>
          <cell r="F156">
            <v>0</v>
          </cell>
          <cell r="G156">
            <v>0</v>
          </cell>
        </row>
        <row r="157">
          <cell r="B157">
            <v>1030691620</v>
          </cell>
          <cell r="C157" t="str">
            <v>СК МАРОЧНАЯ С КРУПНЫМ ШПИКОМ 0,5КГ К3</v>
          </cell>
          <cell r="D157">
            <v>6</v>
          </cell>
          <cell r="E157" t="str">
            <v>шт</v>
          </cell>
          <cell r="F157">
            <v>0</v>
          </cell>
          <cell r="G157">
            <v>0</v>
          </cell>
        </row>
        <row r="158">
          <cell r="B158">
            <v>1030815602</v>
          </cell>
          <cell r="C158" t="str">
            <v>ВЕТЧ ГУБЕРНСКАЯ В СЕТКЕ НМО ШТ 0,9КГ</v>
          </cell>
          <cell r="D158">
            <v>10</v>
          </cell>
          <cell r="E158" t="str">
            <v>шт</v>
          </cell>
          <cell r="F158">
            <v>0</v>
          </cell>
          <cell r="G158">
            <v>0</v>
          </cell>
        </row>
        <row r="159">
          <cell r="B159">
            <v>1030420241</v>
          </cell>
          <cell r="C159" t="str">
            <v>ВК СЕРВЕЛАТ МУСКАТНЫЙ ФИБ ВУ ШТ 0.6КГ (ТМ ЧЕРКИЗОВО) K6</v>
          </cell>
          <cell r="D159">
            <v>10</v>
          </cell>
          <cell r="E159" t="str">
            <v>шт</v>
          </cell>
          <cell r="F159">
            <v>0</v>
          </cell>
          <cell r="G159">
            <v>0</v>
          </cell>
        </row>
        <row r="160">
          <cell r="B160">
            <v>1030745515</v>
          </cell>
          <cell r="C160" t="str">
            <v>Грудк КпчВар/ЛТФ/ТУ/охл/ПАКВ/гк380в</v>
          </cell>
          <cell r="D160">
            <v>5</v>
          </cell>
          <cell r="E160" t="str">
            <v>кг</v>
          </cell>
          <cell r="F160">
            <v>0</v>
          </cell>
          <cell r="G160">
            <v>0</v>
          </cell>
        </row>
        <row r="161">
          <cell r="B161">
            <v>1030745671</v>
          </cell>
          <cell r="C161" t="str">
            <v>Грудк КпчВар/ИВ/ТУ/охл/ПАКВ/гк380т</v>
          </cell>
          <cell r="D161">
            <v>5</v>
          </cell>
          <cell r="E161" t="str">
            <v>кг</v>
          </cell>
          <cell r="F161">
            <v>0</v>
          </cell>
          <cell r="G161">
            <v>0</v>
          </cell>
        </row>
        <row r="162">
          <cell r="B162">
            <v>1030132255</v>
          </cell>
          <cell r="C162" t="str">
            <v>ВАР МОРТАДЕЛ НАР ШТ 0.09КГ CAS К0,54</v>
          </cell>
          <cell r="D162">
            <v>6</v>
          </cell>
          <cell r="E162" t="str">
            <v>шт</v>
          </cell>
          <cell r="F162">
            <v>0</v>
          </cell>
          <cell r="G162">
            <v>0</v>
          </cell>
        </row>
        <row r="163">
          <cell r="B163">
            <v>1030816755</v>
          </cell>
          <cell r="C163" t="str">
            <v>ВЕТЧ ПАЛЕТ КОСИД ШТ 0.09КГ CAS К0,54</v>
          </cell>
          <cell r="D163">
            <v>6</v>
          </cell>
          <cell r="E163" t="str">
            <v>шт</v>
          </cell>
          <cell r="F163">
            <v>0</v>
          </cell>
          <cell r="G163">
            <v>0</v>
          </cell>
        </row>
        <row r="164">
          <cell r="B164">
            <v>1030816133</v>
          </cell>
          <cell r="C164" t="str">
            <v>ВЕТЧ ДЛЯ ТОСТОВ НАР ШТ 0.1КГ ЧВП К1,0</v>
          </cell>
          <cell r="D164">
            <v>10</v>
          </cell>
          <cell r="E164" t="str">
            <v>шт</v>
          </cell>
          <cell r="F164">
            <v>0</v>
          </cell>
          <cell r="G164">
            <v>0</v>
          </cell>
        </row>
        <row r="165">
          <cell r="B165">
            <v>1030214428</v>
          </cell>
          <cell r="C165" t="str">
            <v>СОС ВЕНС ГУРМЭ ЦО ШТ 0.3КГ (ТМ ЧВП) K1.8</v>
          </cell>
          <cell r="D165">
            <v>6</v>
          </cell>
          <cell r="E165" t="str">
            <v>шт</v>
          </cell>
          <cell r="F165">
            <v>0</v>
          </cell>
          <cell r="G165">
            <v>0</v>
          </cell>
        </row>
        <row r="166">
          <cell r="B166">
            <v>1030691204</v>
          </cell>
          <cell r="C166" t="str">
            <v>СК ЧОРИЗО ФИБ ВУ 0.8КГ (ТМ CAS) K2.4</v>
          </cell>
          <cell r="D166">
            <v>3</v>
          </cell>
          <cell r="E166" t="str">
            <v>кг</v>
          </cell>
          <cell r="F166">
            <v>0</v>
          </cell>
          <cell r="G166">
            <v>0</v>
          </cell>
        </row>
        <row r="167">
          <cell r="B167">
            <v>1030628119</v>
          </cell>
          <cell r="C167" t="str">
            <v>СК САЛЯМИ ТОМАТО СРЕЗ ФИБ ШТ 0.225КГ (ТМ ЧЕРКИЗОВО) K1.35</v>
          </cell>
          <cell r="D167">
            <v>6</v>
          </cell>
          <cell r="E167" t="str">
            <v>шт</v>
          </cell>
          <cell r="F167">
            <v>0</v>
          </cell>
          <cell r="G167">
            <v>0</v>
          </cell>
        </row>
        <row r="168">
          <cell r="B168">
            <v>1030692277</v>
          </cell>
          <cell r="C168" t="str">
            <v>СВ ФУЭТ ЭКСТРА НО ШТ 0.15КГ К0,9</v>
          </cell>
          <cell r="D168">
            <v>6</v>
          </cell>
          <cell r="E168" t="str">
            <v>шт</v>
          </cell>
          <cell r="F168">
            <v>0</v>
          </cell>
          <cell r="G168">
            <v>0</v>
          </cell>
        </row>
        <row r="169">
          <cell r="B169">
            <v>1030692883</v>
          </cell>
          <cell r="C169" t="str">
            <v>СК ЧОРИЗО CASADEMONT ЗА НАР 0,07КГ К0,7</v>
          </cell>
          <cell r="D169">
            <v>10</v>
          </cell>
          <cell r="E169" t="str">
            <v>шт</v>
          </cell>
          <cell r="F169">
            <v>0</v>
          </cell>
          <cell r="G169">
            <v>0</v>
          </cell>
        </row>
        <row r="170">
          <cell r="B170">
            <v>1030420328</v>
          </cell>
          <cell r="C170" t="str">
            <v>ВК ИМПЕРСКАЯ НАР ЗА ЛОТ ШТ 0.1КГ К1.2</v>
          </cell>
          <cell r="D170">
            <v>12</v>
          </cell>
          <cell r="E170" t="str">
            <v>шт</v>
          </cell>
          <cell r="F170">
            <v>0</v>
          </cell>
          <cell r="G170">
            <v>0</v>
          </cell>
        </row>
        <row r="171">
          <cell r="B171">
            <v>1030745728</v>
          </cell>
          <cell r="C171" t="str">
            <v>КОПЧ ЛОПАТКА МРАМОРНАЯ НАР ЗА 0.1КГ К1.2</v>
          </cell>
          <cell r="D171">
            <v>12</v>
          </cell>
          <cell r="E171" t="str">
            <v>шт</v>
          </cell>
          <cell r="F171">
            <v>0</v>
          </cell>
          <cell r="G171">
            <v>0</v>
          </cell>
        </row>
        <row r="172">
          <cell r="B172">
            <v>1030670803</v>
          </cell>
          <cell r="C172" t="str">
            <v>СК СЕРВЕЛЕТТИ ПРЕСС СРЕЗ БО ВУ ШТ 0.25КГ</v>
          </cell>
          <cell r="D172">
            <v>6</v>
          </cell>
          <cell r="E172" t="str">
            <v>шт</v>
          </cell>
          <cell r="F172">
            <v>200</v>
          </cell>
          <cell r="G172">
            <v>50</v>
          </cell>
        </row>
        <row r="173">
          <cell r="B173">
            <v>1030623019</v>
          </cell>
          <cell r="C173" t="str">
            <v>СК САЛЯМИ СЕЛЕКТИВО СРЕЗ ФИБ ВУ ШТ 0.25КГ (ТМ ЧЕРКИЗОВО ПРЕМИУМ) K1.5</v>
          </cell>
          <cell r="D173">
            <v>6</v>
          </cell>
          <cell r="E173" t="str">
            <v>шт</v>
          </cell>
          <cell r="F173">
            <v>0</v>
          </cell>
          <cell r="G173">
            <v>0</v>
          </cell>
        </row>
        <row r="174">
          <cell r="B174">
            <v>1030612320</v>
          </cell>
          <cell r="C174" t="str">
            <v>СК САЛЯМИ СЕЛЕКТИВО 0.5КГ К3 ЧВП</v>
          </cell>
          <cell r="D174">
            <v>6</v>
          </cell>
          <cell r="E174" t="str">
            <v>кг</v>
          </cell>
          <cell r="F174">
            <v>0</v>
          </cell>
          <cell r="G174">
            <v>0</v>
          </cell>
        </row>
        <row r="175">
          <cell r="B175">
            <v>1030686341</v>
          </cell>
          <cell r="C175" t="str">
            <v>СК ПРЕОБРАЖЕНС СРЕЗ ВУ ШТ 0.3КГ Кашира</v>
          </cell>
          <cell r="D175">
            <v>6</v>
          </cell>
          <cell r="E175" t="str">
            <v>шт</v>
          </cell>
          <cell r="F175">
            <v>0</v>
          </cell>
          <cell r="G175">
            <v>0</v>
          </cell>
        </row>
        <row r="176">
          <cell r="B176">
            <v>1030115535</v>
          </cell>
          <cell r="C176" t="str">
            <v>ВАР МОЛОЧНАЯ ПО-Ч НМО 1 КГ К3</v>
          </cell>
          <cell r="D176">
            <v>3</v>
          </cell>
          <cell r="E176" t="str">
            <v>кг</v>
          </cell>
          <cell r="F176">
            <v>0</v>
          </cell>
          <cell r="G176">
            <v>0</v>
          </cell>
        </row>
        <row r="177">
          <cell r="B177">
            <v>1030126135</v>
          </cell>
          <cell r="C177" t="str">
            <v>ВАР ОТБОРНАЯ СО ШПИКОМ НМО 1.5КГ К3</v>
          </cell>
          <cell r="D177">
            <v>2</v>
          </cell>
          <cell r="E177" t="str">
            <v>кг</v>
          </cell>
          <cell r="F177">
            <v>0</v>
          </cell>
          <cell r="G177">
            <v>0</v>
          </cell>
        </row>
        <row r="178">
          <cell r="B178">
            <v>1030126035</v>
          </cell>
          <cell r="C178" t="str">
            <v>ВАР ОТБОР СО ШПИК НМО ШТ 1КГ К3</v>
          </cell>
          <cell r="D178">
            <v>3</v>
          </cell>
          <cell r="E178" t="str">
            <v>шт</v>
          </cell>
          <cell r="F178">
            <v>0</v>
          </cell>
          <cell r="G178">
            <v>0</v>
          </cell>
        </row>
        <row r="179">
          <cell r="B179">
            <v>1030125635</v>
          </cell>
          <cell r="C179" t="str">
            <v>ВАР ГУБЕРНСКАЯ В СЕТКЕ НМО ШТ 1КГ МГ К3</v>
          </cell>
          <cell r="D179">
            <v>3</v>
          </cell>
          <cell r="E179" t="str">
            <v>шт</v>
          </cell>
          <cell r="F179">
            <v>0</v>
          </cell>
          <cell r="G179">
            <v>0</v>
          </cell>
        </row>
        <row r="180">
          <cell r="B180">
            <v>1030126435</v>
          </cell>
          <cell r="C180" t="str">
            <v>ВАР ГУБЕРНСКАЯ НМО 1.5КГ К3</v>
          </cell>
          <cell r="D180">
            <v>2</v>
          </cell>
          <cell r="E180" t="str">
            <v>кг</v>
          </cell>
          <cell r="F180">
            <v>0</v>
          </cell>
          <cell r="G180">
            <v>0</v>
          </cell>
        </row>
        <row r="181">
          <cell r="B181" t="str">
            <v>1030741871</v>
          </cell>
          <cell r="C181" t="str">
            <v>Грудк КпчВар/ТСБ/ТУ/охл/ПАКВ/гк380т</v>
          </cell>
          <cell r="D181">
            <v>4</v>
          </cell>
          <cell r="E181" t="str">
            <v>кг</v>
          </cell>
          <cell r="F181">
            <v>0</v>
          </cell>
          <cell r="G181">
            <v>0</v>
          </cell>
        </row>
        <row r="182">
          <cell r="B182">
            <v>1030126735</v>
          </cell>
          <cell r="C182" t="str">
            <v>ВАР ВКУСНАЯ НМО ШТ 1КГ (ТМ ИВ) К3</v>
          </cell>
          <cell r="D182">
            <v>3</v>
          </cell>
          <cell r="E182" t="str">
            <v>шт</v>
          </cell>
          <cell r="F182">
            <v>0</v>
          </cell>
          <cell r="G182">
            <v>0</v>
          </cell>
        </row>
        <row r="183">
          <cell r="B183">
            <v>1030235255</v>
          </cell>
          <cell r="C183" t="str">
            <v>СОС АРОМАТНЫЕ ПМО ЗА ПАК ШТ 1КГ K6</v>
          </cell>
          <cell r="D183">
            <v>6</v>
          </cell>
          <cell r="E183" t="str">
            <v>шт</v>
          </cell>
          <cell r="F183">
            <v>0</v>
          </cell>
          <cell r="G18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 refreshError="1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08,12,</v>
          </cell>
          <cell r="P4" t="str">
            <v>11,12,</v>
          </cell>
          <cell r="R4" t="str">
            <v>25,12,</v>
          </cell>
        </row>
        <row r="5">
          <cell r="E5">
            <v>2590.5890000000004</v>
          </cell>
          <cell r="F5">
            <v>1089.5439999999999</v>
          </cell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518.1178000000001</v>
          </cell>
          <cell r="Q5">
            <v>4653.5762000000004</v>
          </cell>
          <cell r="R5">
            <v>3521</v>
          </cell>
          <cell r="S5">
            <v>0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-3.282</v>
          </cell>
          <cell r="D6">
            <v>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-46.12</v>
          </cell>
          <cell r="D7">
            <v>46.12</v>
          </cell>
          <cell r="E7">
            <v>25.475999999999999</v>
          </cell>
          <cell r="F7">
            <v>-25.475999999999999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-148</v>
          </cell>
          <cell r="D8">
            <v>148</v>
          </cell>
          <cell r="E8">
            <v>8</v>
          </cell>
          <cell r="F8">
            <v>-8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-10</v>
          </cell>
          <cell r="D9">
            <v>10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-14</v>
          </cell>
          <cell r="D10">
            <v>14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A11" t="str">
            <v>БОНУС_СК БОРОДИНСКАЯ СРЕЗ ФИБ ВУ 0.3КГ ШТ К3.6  ЧЕРКИЗОВО</v>
          </cell>
          <cell r="C11">
            <v>-5</v>
          </cell>
          <cell r="D11">
            <v>5</v>
          </cell>
          <cell r="E11">
            <v>39</v>
          </cell>
          <cell r="F11">
            <v>-39</v>
          </cell>
          <cell r="G11">
            <v>0</v>
          </cell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A12" t="str">
            <v>БОНУС_СОС КОПЧ ПО-Ч ЛОТ ПМО ЗА ШТ 0.4КГ K1.6  ЧЕРКИЗОВО</v>
          </cell>
          <cell r="B12" t="str">
            <v>шт</v>
          </cell>
          <cell r="C12">
            <v>-128</v>
          </cell>
          <cell r="D12">
            <v>128</v>
          </cell>
          <cell r="E12">
            <v>29</v>
          </cell>
          <cell r="F12">
            <v>-29</v>
          </cell>
          <cell r="G12">
            <v>0</v>
          </cell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-0.155</v>
          </cell>
          <cell r="D13">
            <v>51.722000000000001</v>
          </cell>
          <cell r="E13">
            <v>51.728000000000002</v>
          </cell>
          <cell r="F13">
            <v>-0.161</v>
          </cell>
          <cell r="G13">
            <v>1</v>
          </cell>
          <cell r="H13">
            <v>30</v>
          </cell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7.2549999999999999</v>
          </cell>
          <cell r="D14">
            <v>122.98699999999999</v>
          </cell>
          <cell r="E14">
            <v>103.619</v>
          </cell>
          <cell r="F14">
            <v>23.341000000000001</v>
          </cell>
          <cell r="G14">
            <v>1</v>
          </cell>
          <cell r="H14">
            <v>30</v>
          </cell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272.58260000000001</v>
          </cell>
          <cell r="R14">
            <v>3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183.47900000000001</v>
          </cell>
          <cell r="D15">
            <v>82.962000000000003</v>
          </cell>
          <cell r="E15">
            <v>145.358</v>
          </cell>
          <cell r="F15">
            <v>74.962999999999994</v>
          </cell>
          <cell r="G15">
            <v>1</v>
          </cell>
          <cell r="H15">
            <v>75</v>
          </cell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343.68380000000002</v>
          </cell>
          <cell r="R15">
            <v>300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152</v>
          </cell>
          <cell r="D16">
            <v>402</v>
          </cell>
          <cell r="E16">
            <v>286</v>
          </cell>
          <cell r="F16">
            <v>246</v>
          </cell>
          <cell r="G16">
            <v>0.4</v>
          </cell>
          <cell r="H16">
            <v>75</v>
          </cell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669.60000000000014</v>
          </cell>
          <cell r="R16">
            <v>400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247</v>
          </cell>
          <cell r="D17">
            <v>78</v>
          </cell>
          <cell r="E17">
            <v>97</v>
          </cell>
          <cell r="F17">
            <v>40</v>
          </cell>
          <cell r="G17">
            <v>0.4</v>
          </cell>
          <cell r="H17">
            <v>75</v>
          </cell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248</v>
          </cell>
          <cell r="R17">
            <v>200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58</v>
          </cell>
          <cell r="E18">
            <v>36</v>
          </cell>
          <cell r="F18">
            <v>1</v>
          </cell>
          <cell r="G18">
            <v>0.3</v>
          </cell>
          <cell r="H18">
            <v>45</v>
          </cell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  <cell r="R18">
            <v>0</v>
          </cell>
          <cell r="T18" t="str">
            <v>заблокировано на 2026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D19">
            <v>200</v>
          </cell>
          <cell r="E19">
            <v>135</v>
          </cell>
          <cell r="F19">
            <v>59</v>
          </cell>
          <cell r="G19">
            <v>0.5</v>
          </cell>
          <cell r="H19">
            <v>45</v>
          </cell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312</v>
          </cell>
          <cell r="R19">
            <v>150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52</v>
          </cell>
          <cell r="D20">
            <v>100</v>
          </cell>
          <cell r="E20">
            <v>88</v>
          </cell>
          <cell r="F20">
            <v>4</v>
          </cell>
          <cell r="G20">
            <v>0.18</v>
          </cell>
          <cell r="H20">
            <v>90</v>
          </cell>
          <cell r="I20">
            <v>1030712385</v>
          </cell>
          <cell r="L20">
            <v>88</v>
          </cell>
          <cell r="O20">
            <v>800</v>
          </cell>
          <cell r="P20">
            <v>17.600000000000001</v>
          </cell>
          <cell r="R20">
            <v>400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109</v>
          </cell>
          <cell r="D22">
            <v>300</v>
          </cell>
          <cell r="E22">
            <v>282</v>
          </cell>
          <cell r="F22">
            <v>110</v>
          </cell>
          <cell r="G22">
            <v>0.3</v>
          </cell>
          <cell r="H22">
            <v>150</v>
          </cell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587.20000000000005</v>
          </cell>
          <cell r="R22">
            <v>500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536</v>
          </cell>
          <cell r="E23">
            <v>278</v>
          </cell>
          <cell r="F23">
            <v>231</v>
          </cell>
          <cell r="G23">
            <v>0.3</v>
          </cell>
          <cell r="H23">
            <v>135</v>
          </cell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647.79999999999995</v>
          </cell>
          <cell r="R23">
            <v>400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60</v>
          </cell>
          <cell r="E24">
            <v>38</v>
          </cell>
          <cell r="F24">
            <v>3</v>
          </cell>
          <cell r="G24">
            <v>0.2</v>
          </cell>
          <cell r="H24">
            <v>90</v>
          </cell>
          <cell r="I24">
            <v>1030654104</v>
          </cell>
          <cell r="L24">
            <v>38</v>
          </cell>
          <cell r="O24">
            <v>300</v>
          </cell>
          <cell r="P24">
            <v>7.6</v>
          </cell>
          <cell r="R24">
            <v>120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186</v>
          </cell>
          <cell r="E25">
            <v>62</v>
          </cell>
          <cell r="F25">
            <v>105</v>
          </cell>
          <cell r="G25">
            <v>0.3</v>
          </cell>
          <cell r="H25">
            <v>135</v>
          </cell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90.199999999999989</v>
          </cell>
          <cell r="R25">
            <v>0</v>
          </cell>
        </row>
        <row r="26">
          <cell r="A26" t="str">
            <v>СК САЛЬЧИЧОН НАРЕЗ ФИБ ЗА ШТ 0.1КГ К1.2  ЧЕРКИЗОВО</v>
          </cell>
          <cell r="B26" t="str">
            <v>шт</v>
          </cell>
          <cell r="C26">
            <v>-1</v>
          </cell>
          <cell r="E26">
            <v>23</v>
          </cell>
          <cell r="F26">
            <v>-24</v>
          </cell>
          <cell r="G26">
            <v>0.1</v>
          </cell>
          <cell r="H26">
            <v>90</v>
          </cell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  <cell r="R26">
            <v>0</v>
          </cell>
        </row>
        <row r="27">
          <cell r="A27" t="str">
            <v>СК САЛЬЧИЧОН С РОЗОВЫМ ПЕРЦ. СРЕЗ ШТ 0,3  ЧЕРКИЗОВО</v>
          </cell>
          <cell r="B27" t="str">
            <v>шт</v>
          </cell>
          <cell r="C27">
            <v>242</v>
          </cell>
          <cell r="E27">
            <v>41</v>
          </cell>
          <cell r="F27">
            <v>188</v>
          </cell>
          <cell r="G27">
            <v>0.3</v>
          </cell>
          <cell r="H27">
            <v>135</v>
          </cell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  <cell r="R27">
            <v>0</v>
          </cell>
          <cell r="T27" t="str">
            <v>заблокировано на 2026</v>
          </cell>
        </row>
        <row r="28">
          <cell r="A28" t="str">
            <v>СК САЛЬЧИЧОН С РОЗОВЫМ ПЕРЦЕМ НАР ШТ 85Г  ЧЕРКИЗОВО</v>
          </cell>
          <cell r="B28" t="str">
            <v>шт</v>
          </cell>
          <cell r="G28">
            <v>8.5000000000000006E-2</v>
          </cell>
          <cell r="H28">
            <v>90</v>
          </cell>
          <cell r="I28">
            <v>1030657628</v>
          </cell>
          <cell r="L28">
            <v>0</v>
          </cell>
          <cell r="O28">
            <v>200</v>
          </cell>
          <cell r="P28">
            <v>0</v>
          </cell>
          <cell r="R28">
            <v>0</v>
          </cell>
          <cell r="T28" t="str">
            <v>заблокировано на 2026</v>
          </cell>
        </row>
        <row r="29">
          <cell r="A29" t="str">
            <v>СК САЛЬЧИЧОН СРЕЗ ФИБ ВУ ШТ 0,3 КГ ЧЕРКИЗОВО (ПРЕМИУМ)</v>
          </cell>
          <cell r="B29" t="str">
            <v>шт</v>
          </cell>
          <cell r="C29">
            <v>169</v>
          </cell>
          <cell r="D29">
            <v>120</v>
          </cell>
          <cell r="E29">
            <v>133</v>
          </cell>
          <cell r="F29">
            <v>134</v>
          </cell>
          <cell r="G29">
            <v>0.3</v>
          </cell>
          <cell r="H29">
            <v>135</v>
          </cell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348</v>
          </cell>
          <cell r="R29">
            <v>250</v>
          </cell>
        </row>
        <row r="30">
          <cell r="A30" t="str">
            <v>СК СЕРВЕЛЕТТИ ПРЕСС СРЕЗ БО ВУ ШТ 0.25КГ  ЧЕРКИЗОВО</v>
          </cell>
          <cell r="B30" t="str">
            <v>шт</v>
          </cell>
          <cell r="C30">
            <v>83</v>
          </cell>
          <cell r="D30">
            <v>24</v>
          </cell>
          <cell r="E30">
            <v>98</v>
          </cell>
          <cell r="F30">
            <v>6</v>
          </cell>
          <cell r="G30">
            <v>0.25</v>
          </cell>
          <cell r="H30">
            <v>120</v>
          </cell>
          <cell r="I30">
            <v>1030670844</v>
          </cell>
          <cell r="L30">
            <v>98</v>
          </cell>
          <cell r="O30">
            <v>550</v>
          </cell>
          <cell r="P30">
            <v>19.600000000000001</v>
          </cell>
          <cell r="R30">
            <v>0</v>
          </cell>
        </row>
        <row r="31">
          <cell r="A31" t="str">
            <v>СОС ВЕНСКИЕ БО ЗА ПАК 1.25КГ K5 ЧЕРКИЗОВО</v>
          </cell>
          <cell r="B31" t="str">
            <v>кг</v>
          </cell>
          <cell r="C31">
            <v>-1.284</v>
          </cell>
          <cell r="D31">
            <v>49.622999999999998</v>
          </cell>
          <cell r="E31">
            <v>47.168999999999997</v>
          </cell>
          <cell r="F31">
            <v>-4.4999999999999998E-2</v>
          </cell>
          <cell r="G31">
            <v>1</v>
          </cell>
          <cell r="H31">
            <v>35</v>
          </cell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  <cell r="T31" t="str">
            <v>заблокировано на 2026</v>
          </cell>
        </row>
        <row r="32">
          <cell r="A32" t="str">
            <v>СОС КОПЧ ПО-Ч ЛОТ ПМО ЗА ШТ 0.4КГ K1.6  ЧЕРКИЗОВО</v>
          </cell>
          <cell r="B32" t="str">
            <v>шт</v>
          </cell>
          <cell r="C32">
            <v>128</v>
          </cell>
          <cell r="D32">
            <v>200</v>
          </cell>
          <cell r="E32">
            <v>196</v>
          </cell>
          <cell r="F32">
            <v>0</v>
          </cell>
          <cell r="G32">
            <v>0.4</v>
          </cell>
          <cell r="H32">
            <v>41</v>
          </cell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501.6</v>
          </cell>
          <cell r="R32">
            <v>80</v>
          </cell>
        </row>
        <row r="33">
          <cell r="A33" t="str">
            <v>СОС МОЛОЧНЫЕ ПО-Ч ПМО ЗА ЛОТ ШТ 0.45КГ K1.8 ЧЕРКИЗОВО</v>
          </cell>
          <cell r="B33" t="str">
            <v>шт</v>
          </cell>
          <cell r="D33">
            <v>160</v>
          </cell>
          <cell r="E33">
            <v>154</v>
          </cell>
          <cell r="F33">
            <v>4</v>
          </cell>
          <cell r="G33">
            <v>0.45</v>
          </cell>
          <cell r="H33">
            <v>31</v>
          </cell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  <cell r="R33">
            <v>0</v>
          </cell>
          <cell r="T33" t="str">
            <v>заблокировано на 2026</v>
          </cell>
        </row>
        <row r="34">
          <cell r="A34" t="str">
            <v>СОС СЛИВОЧНЫЕ ГОСТ ЦО ЗА ЛОТ ШТ 0.45КГ K1.8 ЧЕРКИЗОВО</v>
          </cell>
          <cell r="B34" t="str">
            <v>шт</v>
          </cell>
          <cell r="D34">
            <v>200</v>
          </cell>
          <cell r="E34">
            <v>193</v>
          </cell>
          <cell r="G34">
            <v>0.45</v>
          </cell>
          <cell r="H34">
            <v>30</v>
          </cell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494.80000000000007</v>
          </cell>
          <cell r="R34">
            <v>4</v>
          </cell>
        </row>
        <row r="35">
          <cell r="A35" t="str">
            <v>У_ВАР КЛАССИЧЕСКАЯ ПО-Ч ЦО ЗА 1.6КГ K3.2 ЧЕРКИЗОВО</v>
          </cell>
          <cell r="B35" t="str">
            <v>кг</v>
          </cell>
          <cell r="C35">
            <v>-4.8390000000000004</v>
          </cell>
          <cell r="F35">
            <v>-4.8390000000000004</v>
          </cell>
          <cell r="G35">
            <v>0</v>
          </cell>
          <cell r="I35" t="str">
            <v>уценка</v>
          </cell>
          <cell r="L35">
            <v>0</v>
          </cell>
          <cell r="P35">
            <v>0</v>
          </cell>
        </row>
        <row r="36">
          <cell r="A36" t="str">
            <v>У_СОС ВЕНСКИЕ БО ЗА ПАК 1.25КГ K5 ЧЕРКИЗОВО</v>
          </cell>
          <cell r="E36">
            <v>1.2390000000000001</v>
          </cell>
          <cell r="F36">
            <v>-1.2390000000000001</v>
          </cell>
          <cell r="G36">
            <v>0</v>
          </cell>
          <cell r="I36" t="str">
            <v>уценка</v>
          </cell>
          <cell r="L36">
            <v>1.2390000000000001</v>
          </cell>
          <cell r="P36">
            <v>0.24780000000000002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C37">
            <v>-4</v>
          </cell>
          <cell r="F37">
            <v>-4</v>
          </cell>
          <cell r="G37">
            <v>0</v>
          </cell>
          <cell r="I37" t="str">
            <v>уценка</v>
          </cell>
          <cell r="L37">
            <v>0</v>
          </cell>
          <cell r="P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C38">
            <v>-4</v>
          </cell>
          <cell r="F38">
            <v>-4</v>
          </cell>
          <cell r="G38">
            <v>0</v>
          </cell>
          <cell r="I38" t="str">
            <v>уценка</v>
          </cell>
          <cell r="L38">
            <v>0</v>
          </cell>
          <cell r="P38">
            <v>0</v>
          </cell>
        </row>
        <row r="39">
          <cell r="A39" t="str">
            <v>СК СЕРВЕЛЕТТИ ПРЕСС СРЕЗ БО ВУ ШТ 0.25КГ  ЧЕРКИЗОВО</v>
          </cell>
          <cell r="B39" t="str">
            <v>шт</v>
          </cell>
          <cell r="G39">
            <v>0.25</v>
          </cell>
          <cell r="H39">
            <v>120</v>
          </cell>
          <cell r="I39">
            <v>1030670803</v>
          </cell>
          <cell r="P39">
            <v>0</v>
          </cell>
          <cell r="R39">
            <v>200</v>
          </cell>
        </row>
        <row r="40">
          <cell r="A40" t="str">
            <v>СОС СЛИВ ПО-ЧЕРК ПМО ЗА 1.5КГ К6</v>
          </cell>
          <cell r="B40" t="str">
            <v>кг</v>
          </cell>
          <cell r="G40">
            <v>1.5</v>
          </cell>
          <cell r="H40">
            <v>31</v>
          </cell>
          <cell r="I40">
            <v>1030228855</v>
          </cell>
          <cell r="P40">
            <v>0</v>
          </cell>
          <cell r="R40">
            <v>6</v>
          </cell>
        </row>
        <row r="41">
          <cell r="A41" t="str">
            <v>ВК СЕРВЕЛАТ ЗЕРНИСТЫЙ СРЕЗ ВУ ШТ К1.8</v>
          </cell>
          <cell r="B41" t="str">
            <v>шт</v>
          </cell>
          <cell r="G41">
            <v>0.3</v>
          </cell>
          <cell r="H41">
            <v>45</v>
          </cell>
          <cell r="I41">
            <v>1030419435</v>
          </cell>
          <cell r="P41">
            <v>0</v>
          </cell>
          <cell r="R41">
            <v>60</v>
          </cell>
        </row>
        <row r="42">
          <cell r="A42" t="str">
            <v>СК АССОРТИ СЕРВ И ПРОШУТ 0.085КГ К 0,85</v>
          </cell>
          <cell r="B42" t="str">
            <v>шт</v>
          </cell>
          <cell r="G42">
            <v>8.5000000000000006E-2</v>
          </cell>
          <cell r="H42">
            <v>90</v>
          </cell>
          <cell r="I42">
            <v>1030680328</v>
          </cell>
          <cell r="P42">
            <v>0</v>
          </cell>
          <cell r="R42">
            <v>50</v>
          </cell>
        </row>
        <row r="43">
          <cell r="A43" t="str">
            <v>СК КЛАССИКО ИТАЛИАНОНАР ЗА ШТ0.085 K0.85</v>
          </cell>
          <cell r="B43" t="str">
            <v>шт</v>
          </cell>
          <cell r="G43">
            <v>8.5000000000000006E-2</v>
          </cell>
          <cell r="H43">
            <v>90</v>
          </cell>
          <cell r="I43">
            <v>1030683928</v>
          </cell>
          <cell r="P43">
            <v>0</v>
          </cell>
          <cell r="R43">
            <v>50</v>
          </cell>
        </row>
        <row r="44">
          <cell r="A44" t="str">
            <v>СК СВИНАЯ ПО-ЧЕРКИЗОВ СРЕЗ ШТ0,225 К1,35</v>
          </cell>
          <cell r="B44" t="str">
            <v>шт</v>
          </cell>
          <cell r="G44">
            <v>0.22500000000000001</v>
          </cell>
          <cell r="H44">
            <v>135</v>
          </cell>
          <cell r="I44">
            <v>1030688634</v>
          </cell>
          <cell r="P44">
            <v>0</v>
          </cell>
          <cell r="R44">
            <v>80</v>
          </cell>
        </row>
        <row r="45">
          <cell r="A45" t="str">
            <v>Клб вар Мусул/ЛТФ/ТУ/охл/-/гк329</v>
          </cell>
          <cell r="B45" t="str">
            <v>шт</v>
          </cell>
          <cell r="G45">
            <v>0.4</v>
          </cell>
          <cell r="H45">
            <v>65</v>
          </cell>
          <cell r="I45">
            <v>1030129697</v>
          </cell>
          <cell r="P45">
            <v>0</v>
          </cell>
          <cell r="R45">
            <v>40</v>
          </cell>
        </row>
        <row r="46">
          <cell r="A46" t="str">
            <v>Сосиски Мусульм/ЛТФ/ТУ/охл/TF/гк254</v>
          </cell>
          <cell r="B46" t="str">
            <v>шт</v>
          </cell>
          <cell r="G46">
            <v>0.35</v>
          </cell>
          <cell r="H46">
            <v>31</v>
          </cell>
          <cell r="I46">
            <v>1030236957</v>
          </cell>
          <cell r="P46">
            <v>0</v>
          </cell>
          <cell r="R46">
            <v>5</v>
          </cell>
        </row>
        <row r="47">
          <cell r="A47" t="str">
            <v>ВК Серв с говяд/ЛТФ/ох/шт 0.4кг/гк329/KZ</v>
          </cell>
          <cell r="B47" t="str">
            <v>шт</v>
          </cell>
          <cell r="G47">
            <v>0.4</v>
          </cell>
          <cell r="H47">
            <v>45</v>
          </cell>
          <cell r="I47">
            <v>1030503997</v>
          </cell>
          <cell r="P47">
            <v>0</v>
          </cell>
          <cell r="R47">
            <v>10</v>
          </cell>
        </row>
        <row r="48">
          <cell r="A48" t="str">
            <v>Клб ПолуКпч С говяд/ЛТФ/ТУ/охл/-/гк329</v>
          </cell>
          <cell r="B48" t="str">
            <v>шт</v>
          </cell>
          <cell r="G48">
            <v>0.4</v>
          </cell>
          <cell r="H48">
            <v>60</v>
          </cell>
          <cell r="I48">
            <v>1030518197</v>
          </cell>
          <cell r="P48">
            <v>0</v>
          </cell>
          <cell r="R48">
            <v>40</v>
          </cell>
        </row>
        <row r="49">
          <cell r="A49" t="str">
            <v>ЦБ/РУЛЕТ/-/НЕЖНЫЙ/ИВ/-/ОХЛ/-/-/0,4 K2.4</v>
          </cell>
          <cell r="B49" t="str">
            <v>шт</v>
          </cell>
          <cell r="G49">
            <v>0.4</v>
          </cell>
          <cell r="H49">
            <v>40</v>
          </cell>
          <cell r="I49">
            <v>1030707697</v>
          </cell>
          <cell r="P49">
            <v>0</v>
          </cell>
          <cell r="R49">
            <v>5</v>
          </cell>
        </row>
        <row r="50">
          <cell r="A50" t="str">
            <v>Клб ПолуКпч Чесн/ТСБ/ТУ/охл/-/гк380т</v>
          </cell>
          <cell r="B50" t="str">
            <v>шт</v>
          </cell>
          <cell r="G50">
            <v>0.4</v>
          </cell>
          <cell r="H50">
            <v>60</v>
          </cell>
          <cell r="I50">
            <v>1030517871</v>
          </cell>
          <cell r="P50">
            <v>0</v>
          </cell>
          <cell r="R50">
            <v>40</v>
          </cell>
        </row>
        <row r="51">
          <cell r="A51" t="str">
            <v>СК САЛЯМИ АСТОРИЯ СРЕЗ ФИБ ВУ ШТ 0.225КГ (ТМ ЧЕРКИЗОВО) K1.35</v>
          </cell>
          <cell r="B51" t="str">
            <v>шт</v>
          </cell>
          <cell r="G51">
            <v>0.22500000000000001</v>
          </cell>
          <cell r="H51">
            <v>135</v>
          </cell>
          <cell r="I51">
            <v>1030671534</v>
          </cell>
          <cell r="P51">
            <v>0</v>
          </cell>
          <cell r="R51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.140625" style="4" customWidth="1"/>
    <col min="8" max="8" width="4" customWidth="1"/>
    <col min="9" max="9" width="11.42578125" customWidth="1"/>
    <col min="10" max="10" width="7.7109375" customWidth="1"/>
    <col min="11" max="14" width="0.42578125" customWidth="1"/>
    <col min="15" max="15" width="5.28515625" customWidth="1"/>
    <col min="16" max="17" width="11.5703125" customWidth="1"/>
    <col min="18" max="18" width="7" customWidth="1"/>
    <col min="19" max="19" width="7" style="57" customWidth="1"/>
    <col min="20" max="20" width="41.7109375" customWidth="1"/>
    <col min="21" max="21" width="8.7109375" customWidth="1"/>
    <col min="22" max="22" width="11.7109375" customWidth="1"/>
    <col min="23" max="30" width="4.42578125" customWidth="1"/>
    <col min="31" max="31" width="13.85546875" customWidth="1"/>
    <col min="32" max="32" width="7" style="57" customWidth="1"/>
    <col min="33" max="33" width="13.42578125" customWidth="1"/>
    <col min="34" max="34" width="3" customWidth="1"/>
    <col min="35" max="35" width="18" customWidth="1"/>
    <col min="36" max="47" width="3" customWidth="1"/>
  </cols>
  <sheetData>
    <row r="1" spans="1:47" x14ac:dyDescent="0.25">
      <c r="A1" s="11"/>
      <c r="B1" s="11"/>
      <c r="C1" s="11"/>
      <c r="D1" s="11"/>
      <c r="E1" s="11"/>
      <c r="F1" s="11"/>
      <c r="G1" s="9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45">
        <v>3190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45">
        <v>1043</v>
      </c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x14ac:dyDescent="0.25">
      <c r="A2" s="11"/>
      <c r="B2" s="11"/>
      <c r="C2" s="11"/>
      <c r="D2" s="11"/>
      <c r="E2" s="11"/>
      <c r="F2" s="11"/>
      <c r="G2" s="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45">
        <f>S13+S24</f>
        <v>210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45">
        <f>AF5-AF13-AF24</f>
        <v>1073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0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/>
      <c r="P3" s="1" t="s">
        <v>14</v>
      </c>
      <c r="Q3" s="1"/>
      <c r="R3" s="2" t="s">
        <v>15</v>
      </c>
      <c r="S3" s="46" t="s">
        <v>16</v>
      </c>
      <c r="T3" s="5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58" t="s">
        <v>22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x14ac:dyDescent="0.25">
      <c r="A4" s="11"/>
      <c r="B4" s="11"/>
      <c r="C4" s="11"/>
      <c r="D4" s="11"/>
      <c r="E4" s="11"/>
      <c r="F4" s="11"/>
      <c r="G4" s="9"/>
      <c r="H4" s="11"/>
      <c r="I4" s="11"/>
      <c r="J4" s="11"/>
      <c r="K4" s="11"/>
      <c r="L4" s="11"/>
      <c r="M4" s="11"/>
      <c r="N4" s="11"/>
      <c r="O4" s="11"/>
      <c r="P4" s="22">
        <v>46034</v>
      </c>
      <c r="Q4" s="22"/>
      <c r="R4" s="11"/>
      <c r="S4" s="45"/>
      <c r="T4" s="11"/>
      <c r="U4" s="11"/>
      <c r="V4" s="11"/>
      <c r="W4" s="11" t="s">
        <v>23</v>
      </c>
      <c r="X4" s="11" t="s">
        <v>24</v>
      </c>
      <c r="Y4" s="11" t="s">
        <v>25</v>
      </c>
      <c r="Z4" s="11" t="s">
        <v>26</v>
      </c>
      <c r="AA4" s="11" t="s">
        <v>27</v>
      </c>
      <c r="AB4" s="11" t="s">
        <v>28</v>
      </c>
      <c r="AC4" s="11" t="s">
        <v>29</v>
      </c>
      <c r="AD4" s="11" t="s">
        <v>30</v>
      </c>
      <c r="AE4" s="11"/>
      <c r="AF4" s="45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x14ac:dyDescent="0.25">
      <c r="A5" s="11"/>
      <c r="B5" s="11"/>
      <c r="C5" s="11"/>
      <c r="D5" s="11"/>
      <c r="E5" s="3">
        <f>SUM(E6:E498)</f>
        <v>5659.268</v>
      </c>
      <c r="F5" s="3">
        <f>SUM(F6:F498)</f>
        <v>2487.1420000000003</v>
      </c>
      <c r="G5" s="9"/>
      <c r="H5" s="11"/>
      <c r="I5" s="11"/>
      <c r="J5" s="11"/>
      <c r="K5" s="3">
        <f t="shared" ref="K5:S5" si="0">SUM(K6:K498)</f>
        <v>0</v>
      </c>
      <c r="L5" s="3">
        <f t="shared" si="0"/>
        <v>5659.268</v>
      </c>
      <c r="M5" s="3">
        <f t="shared" si="0"/>
        <v>0</v>
      </c>
      <c r="N5" s="3">
        <f t="shared" si="0"/>
        <v>0</v>
      </c>
      <c r="O5" s="3"/>
      <c r="P5" s="3">
        <f t="shared" si="0"/>
        <v>11012.7408</v>
      </c>
      <c r="Q5" s="3"/>
      <c r="R5" s="3">
        <f t="shared" si="0"/>
        <v>14294.671399999999</v>
      </c>
      <c r="S5" s="47">
        <f t="shared" si="0"/>
        <v>3400</v>
      </c>
      <c r="T5" s="11"/>
      <c r="U5" s="11"/>
      <c r="V5" s="11"/>
      <c r="W5" s="3">
        <f t="shared" ref="W5:AD5" si="1">SUM(W6:W498)</f>
        <v>11373.745200000001</v>
      </c>
      <c r="X5" s="3">
        <f t="shared" si="1"/>
        <v>5131.0362000000005</v>
      </c>
      <c r="Y5" s="3">
        <f t="shared" si="1"/>
        <v>68112.640199999994</v>
      </c>
      <c r="Z5" s="3">
        <f t="shared" si="1"/>
        <v>7984.9520000000002</v>
      </c>
      <c r="AA5" s="3">
        <f t="shared" si="1"/>
        <v>109.178</v>
      </c>
      <c r="AB5" s="3">
        <f t="shared" si="1"/>
        <v>430.90440000000007</v>
      </c>
      <c r="AC5" s="3">
        <f t="shared" si="1"/>
        <v>413.26400000000007</v>
      </c>
      <c r="AD5" s="3">
        <f t="shared" si="1"/>
        <v>314.99919999999997</v>
      </c>
      <c r="AE5" s="11"/>
      <c r="AF5" s="47">
        <f>SUM(AF6:AF498)</f>
        <v>1247</v>
      </c>
      <c r="AG5" s="47">
        <f>SUM(AG6:AG498)</f>
        <v>1043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1:47" x14ac:dyDescent="0.25">
      <c r="A6" s="23" t="s">
        <v>31</v>
      </c>
      <c r="B6" s="23" t="s">
        <v>32</v>
      </c>
      <c r="C6" s="23">
        <v>-3.0830000000000002</v>
      </c>
      <c r="D6" s="23">
        <v>7.1980000000000004</v>
      </c>
      <c r="E6" s="24">
        <v>23.776</v>
      </c>
      <c r="F6" s="24">
        <v>-19.661000000000001</v>
      </c>
      <c r="G6" s="25">
        <v>0</v>
      </c>
      <c r="H6" s="23"/>
      <c r="I6" s="23" t="s">
        <v>33</v>
      </c>
      <c r="J6" s="23" t="s">
        <v>34</v>
      </c>
      <c r="K6" s="23"/>
      <c r="L6" s="23">
        <f t="shared" ref="L6:L48" si="2">E6-K6</f>
        <v>23.776</v>
      </c>
      <c r="M6" s="23"/>
      <c r="N6" s="23"/>
      <c r="O6" s="23"/>
      <c r="P6" s="23">
        <f>E6/5</f>
        <v>4.7552000000000003</v>
      </c>
      <c r="Q6" s="23"/>
      <c r="R6" s="43"/>
      <c r="S6" s="48"/>
      <c r="T6" s="13"/>
      <c r="U6" s="13">
        <f t="shared" ref="U6:U15" si="3">(F6+O6+R6)/P6</f>
        <v>-4.1346315612382236</v>
      </c>
      <c r="V6" s="13">
        <f t="shared" ref="V6:V15" si="4">(F6+O6)/P6</f>
        <v>-4.1346315612382236</v>
      </c>
      <c r="W6" s="13">
        <f>IFERROR(VLOOKUP(A6,[1]TDSheet!$A$1:$G$65536,3,0),0)/5</f>
        <v>3.0905999999999998</v>
      </c>
      <c r="X6" s="13">
        <v>5.0952000000000002</v>
      </c>
      <c r="Y6" s="13">
        <v>1.0324</v>
      </c>
      <c r="Z6" s="13">
        <v>2.3660000000000001</v>
      </c>
      <c r="AA6" s="13">
        <v>2.6892</v>
      </c>
      <c r="AB6" s="13">
        <v>5.2023999999999999</v>
      </c>
      <c r="AC6" s="13">
        <v>0</v>
      </c>
      <c r="AD6" s="13">
        <v>0</v>
      </c>
      <c r="AE6" s="13"/>
      <c r="AF6" s="59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x14ac:dyDescent="0.25">
      <c r="A7" s="23" t="s">
        <v>35</v>
      </c>
      <c r="B7" s="23" t="s">
        <v>36</v>
      </c>
      <c r="C7" s="23">
        <v>-2</v>
      </c>
      <c r="D7" s="23">
        <v>8</v>
      </c>
      <c r="E7" s="24">
        <v>6</v>
      </c>
      <c r="F7" s="23"/>
      <c r="G7" s="25">
        <v>0</v>
      </c>
      <c r="H7" s="23"/>
      <c r="I7" s="23" t="s">
        <v>33</v>
      </c>
      <c r="J7" s="23" t="s">
        <v>37</v>
      </c>
      <c r="K7" s="23"/>
      <c r="L7" s="23">
        <f t="shared" si="2"/>
        <v>6</v>
      </c>
      <c r="M7" s="23"/>
      <c r="N7" s="23"/>
      <c r="O7" s="23"/>
      <c r="P7" s="23">
        <f>E7/5</f>
        <v>1.2</v>
      </c>
      <c r="Q7" s="23"/>
      <c r="R7" s="43"/>
      <c r="S7" s="48"/>
      <c r="T7" s="13"/>
      <c r="U7" s="13">
        <f t="shared" si="3"/>
        <v>0</v>
      </c>
      <c r="V7" s="13">
        <f t="shared" si="4"/>
        <v>0</v>
      </c>
      <c r="W7" s="13">
        <f>IFERROR(VLOOKUP(A7,[1]TDSheet!$A$1:$G$65536,3,0),0)/5</f>
        <v>2.4</v>
      </c>
      <c r="X7" s="13">
        <v>1.6</v>
      </c>
      <c r="Y7" s="13">
        <v>3.6</v>
      </c>
      <c r="Z7" s="13">
        <v>10.199999999999999</v>
      </c>
      <c r="AA7" s="13">
        <v>14.2</v>
      </c>
      <c r="AB7" s="13">
        <v>5.2</v>
      </c>
      <c r="AC7" s="13">
        <v>0</v>
      </c>
      <c r="AD7" s="13">
        <v>0</v>
      </c>
      <c r="AE7" s="13"/>
      <c r="AF7" s="59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x14ac:dyDescent="0.25">
      <c r="A8" s="23" t="s">
        <v>38</v>
      </c>
      <c r="B8" s="23" t="s">
        <v>36</v>
      </c>
      <c r="C8" s="23"/>
      <c r="D8" s="23">
        <v>9</v>
      </c>
      <c r="E8" s="24">
        <v>31</v>
      </c>
      <c r="F8" s="24">
        <v>-22</v>
      </c>
      <c r="G8" s="25">
        <v>0</v>
      </c>
      <c r="H8" s="23"/>
      <c r="I8" s="23" t="s">
        <v>33</v>
      </c>
      <c r="J8" s="23" t="s">
        <v>39</v>
      </c>
      <c r="K8" s="23"/>
      <c r="L8" s="23">
        <f t="shared" si="2"/>
        <v>31</v>
      </c>
      <c r="M8" s="23"/>
      <c r="N8" s="23"/>
      <c r="O8" s="23"/>
      <c r="P8" s="23">
        <f>E8/5</f>
        <v>6.2</v>
      </c>
      <c r="Q8" s="23"/>
      <c r="R8" s="43"/>
      <c r="S8" s="48"/>
      <c r="T8" s="13"/>
      <c r="U8" s="13">
        <f t="shared" si="3"/>
        <v>-3.5483870967741935</v>
      </c>
      <c r="V8" s="13">
        <f t="shared" si="4"/>
        <v>-3.5483870967741935</v>
      </c>
      <c r="W8" s="13">
        <f>IFERROR(VLOOKUP(A8,[1]TDSheet!$A$1:$G$65536,3,0),0)/5</f>
        <v>0</v>
      </c>
      <c r="X8" s="13">
        <v>0</v>
      </c>
      <c r="Y8" s="13">
        <v>1.4</v>
      </c>
      <c r="Z8" s="13">
        <v>0</v>
      </c>
      <c r="AA8" s="13">
        <v>0.8</v>
      </c>
      <c r="AB8" s="13">
        <v>1.6</v>
      </c>
      <c r="AC8" s="13">
        <v>0</v>
      </c>
      <c r="AD8" s="13">
        <v>2.8</v>
      </c>
      <c r="AE8" s="13"/>
      <c r="AF8" s="59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47" x14ac:dyDescent="0.25">
      <c r="A9" s="23" t="s">
        <v>40</v>
      </c>
      <c r="B9" s="23"/>
      <c r="C9" s="23">
        <v>-3</v>
      </c>
      <c r="D9" s="23">
        <v>15</v>
      </c>
      <c r="E9" s="24">
        <v>12</v>
      </c>
      <c r="F9" s="23"/>
      <c r="G9" s="25">
        <v>0</v>
      </c>
      <c r="H9" s="23"/>
      <c r="I9" s="23" t="s">
        <v>33</v>
      </c>
      <c r="J9" s="23" t="s">
        <v>41</v>
      </c>
      <c r="K9" s="23"/>
      <c r="L9" s="23">
        <f t="shared" si="2"/>
        <v>12</v>
      </c>
      <c r="M9" s="23"/>
      <c r="N9" s="23"/>
      <c r="O9" s="23"/>
      <c r="P9" s="23">
        <f>E9/5</f>
        <v>2.4</v>
      </c>
      <c r="Q9" s="23"/>
      <c r="R9" s="43"/>
      <c r="S9" s="48"/>
      <c r="T9" s="13"/>
      <c r="U9" s="13">
        <f t="shared" si="3"/>
        <v>0</v>
      </c>
      <c r="V9" s="13">
        <f t="shared" si="4"/>
        <v>0</v>
      </c>
      <c r="W9" s="13">
        <f>IFERROR(VLOOKUP(A9,[1]TDSheet!$A$1:$G$65536,3,0),0)/5</f>
        <v>7.6</v>
      </c>
      <c r="X9" s="13">
        <v>7.8</v>
      </c>
      <c r="Y9" s="13">
        <v>1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59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x14ac:dyDescent="0.25">
      <c r="A10" s="23" t="s">
        <v>42</v>
      </c>
      <c r="B10" s="23" t="s">
        <v>36</v>
      </c>
      <c r="C10" s="23"/>
      <c r="D10" s="23">
        <v>11</v>
      </c>
      <c r="E10" s="24">
        <v>21</v>
      </c>
      <c r="F10" s="24">
        <v>-10</v>
      </c>
      <c r="G10" s="25">
        <v>0</v>
      </c>
      <c r="H10" s="23"/>
      <c r="I10" s="23" t="s">
        <v>33</v>
      </c>
      <c r="J10" s="23" t="s">
        <v>43</v>
      </c>
      <c r="K10" s="23"/>
      <c r="L10" s="23">
        <f t="shared" si="2"/>
        <v>21</v>
      </c>
      <c r="M10" s="23"/>
      <c r="N10" s="23"/>
      <c r="O10" s="23"/>
      <c r="P10" s="23">
        <f>E10/5</f>
        <v>4.2</v>
      </c>
      <c r="Q10" s="23"/>
      <c r="R10" s="43"/>
      <c r="S10" s="48"/>
      <c r="T10" s="13"/>
      <c r="U10" s="13">
        <f t="shared" si="3"/>
        <v>-2.3809523809523809</v>
      </c>
      <c r="V10" s="13">
        <f t="shared" si="4"/>
        <v>-2.3809523809523809</v>
      </c>
      <c r="W10" s="13">
        <f>IFERROR(VLOOKUP(A10,[1]TDSheet!$A$1:$G$65536,3,0),0)/5</f>
        <v>0</v>
      </c>
      <c r="X10" s="13">
        <v>5.8</v>
      </c>
      <c r="Y10" s="13">
        <v>0</v>
      </c>
      <c r="Z10" s="13">
        <v>0</v>
      </c>
      <c r="AA10" s="13">
        <v>16.8</v>
      </c>
      <c r="AB10" s="13">
        <v>14</v>
      </c>
      <c r="AC10" s="13">
        <v>0</v>
      </c>
      <c r="AD10" s="13">
        <v>5.8</v>
      </c>
      <c r="AE10" s="13"/>
      <c r="AF10" s="59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x14ac:dyDescent="0.25">
      <c r="A11" s="26" t="s">
        <v>44</v>
      </c>
      <c r="B11" s="26" t="s">
        <v>32</v>
      </c>
      <c r="C11" s="26">
        <v>-0.161</v>
      </c>
      <c r="D11" s="26">
        <v>100.94199999999999</v>
      </c>
      <c r="E11" s="26">
        <v>96.123000000000005</v>
      </c>
      <c r="F11" s="26">
        <v>-0.191</v>
      </c>
      <c r="G11" s="27">
        <v>1</v>
      </c>
      <c r="H11" s="26">
        <v>30</v>
      </c>
      <c r="I11" s="26">
        <v>1030112235</v>
      </c>
      <c r="J11" s="26"/>
      <c r="K11" s="26"/>
      <c r="L11" s="26">
        <f t="shared" si="2"/>
        <v>96.123000000000005</v>
      </c>
      <c r="M11" s="26"/>
      <c r="N11" s="26"/>
      <c r="O11" s="26"/>
      <c r="P11" s="26">
        <v>130</v>
      </c>
      <c r="Q11" s="26">
        <f>E11/5</f>
        <v>19.224600000000002</v>
      </c>
      <c r="R11" s="44">
        <f>Q11*25-P11-F11</f>
        <v>350.80600000000004</v>
      </c>
      <c r="S11" s="49">
        <v>30</v>
      </c>
      <c r="T11" s="11"/>
      <c r="U11" s="11">
        <f t="shared" si="3"/>
        <v>2.6970384615384622</v>
      </c>
      <c r="V11" s="11">
        <f t="shared" si="4"/>
        <v>-1.4692307692307693E-3</v>
      </c>
      <c r="W11" s="11">
        <f>IFERROR(VLOOKUP(A11,[1]TDSheet!$A$1:$G$65536,3,0),0)/5</f>
        <v>0</v>
      </c>
      <c r="X11" s="11">
        <v>10.345599999999999</v>
      </c>
      <c r="Y11" s="11">
        <v>-0.65199999999999991</v>
      </c>
      <c r="Z11" s="11">
        <v>0.17419999999999999</v>
      </c>
      <c r="AA11" s="11">
        <v>3.3445999999999998</v>
      </c>
      <c r="AB11" s="11">
        <v>5.1424000000000003</v>
      </c>
      <c r="AC11" s="11">
        <v>14.7752</v>
      </c>
      <c r="AD11" s="11">
        <v>-5.3000000000000012E-2</v>
      </c>
      <c r="AE11" s="11" t="s">
        <v>45</v>
      </c>
      <c r="AF11" s="45">
        <f>G11*S11</f>
        <v>30</v>
      </c>
      <c r="AG11" s="11">
        <f>VLOOKUP(I11,[2]Лист1!$B:$G,6,0)</f>
        <v>30</v>
      </c>
      <c r="AH11" s="11"/>
      <c r="AI11" s="11">
        <f>VLOOKUP(I11,[2]Лист1!$B:$B,1,0)</f>
        <v>1030112235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x14ac:dyDescent="0.25">
      <c r="A12" s="28" t="s">
        <v>46</v>
      </c>
      <c r="B12" s="26" t="s">
        <v>32</v>
      </c>
      <c r="C12" s="26">
        <v>4.0250000000000004</v>
      </c>
      <c r="D12" s="26">
        <v>163.43</v>
      </c>
      <c r="E12" s="26">
        <v>158.93899999999999</v>
      </c>
      <c r="F12" s="26"/>
      <c r="G12" s="27">
        <v>1</v>
      </c>
      <c r="H12" s="26">
        <v>30</v>
      </c>
      <c r="I12" s="26">
        <v>1030112635</v>
      </c>
      <c r="J12" s="26"/>
      <c r="K12" s="26"/>
      <c r="L12" s="26">
        <f t="shared" si="2"/>
        <v>158.93899999999999</v>
      </c>
      <c r="M12" s="26"/>
      <c r="N12" s="26"/>
      <c r="O12" s="26"/>
      <c r="P12" s="26">
        <v>160</v>
      </c>
      <c r="Q12" s="26">
        <f t="shared" ref="Q12:Q48" si="5">E12/5</f>
        <v>31.787799999999997</v>
      </c>
      <c r="R12" s="44">
        <f t="shared" ref="R12:R48" si="6">Q12*25-P12-F12</f>
        <v>634.69499999999994</v>
      </c>
      <c r="S12" s="50">
        <v>60</v>
      </c>
      <c r="T12" s="11"/>
      <c r="U12" s="11">
        <f t="shared" si="3"/>
        <v>3.9668437499999998</v>
      </c>
      <c r="V12" s="11">
        <f t="shared" si="4"/>
        <v>0</v>
      </c>
      <c r="W12" s="11">
        <f>IFERROR(VLOOKUP(A12,[1]TDSheet!$A$1:$G$65536,3,0),0)/5</f>
        <v>3.8632</v>
      </c>
      <c r="X12" s="11">
        <v>20.723800000000001</v>
      </c>
      <c r="Y12" s="11">
        <v>-0.32400000000000001</v>
      </c>
      <c r="Z12" s="11">
        <v>7.8170000000000002</v>
      </c>
      <c r="AA12" s="11">
        <v>4.5084</v>
      </c>
      <c r="AB12" s="11">
        <v>17.910599999999999</v>
      </c>
      <c r="AC12" s="11">
        <v>17.3096</v>
      </c>
      <c r="AD12" s="11">
        <v>14.278600000000001</v>
      </c>
      <c r="AE12" s="11" t="s">
        <v>47</v>
      </c>
      <c r="AF12" s="45">
        <f t="shared" ref="AF12:AF48" si="7">G12*S12</f>
        <v>60</v>
      </c>
      <c r="AG12" s="11">
        <f>VLOOKUP(I12,[2]Лист1!$B:$G,6,0)</f>
        <v>60</v>
      </c>
      <c r="AH12" s="11"/>
      <c r="AI12" s="11">
        <f>VLOOKUP(I12,[2]Лист1!$B:$B,1,0)</f>
        <v>1030112635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ht="15.75" x14ac:dyDescent="0.25">
      <c r="A13" s="26" t="s">
        <v>34</v>
      </c>
      <c r="B13" s="26" t="s">
        <v>32</v>
      </c>
      <c r="C13" s="26">
        <v>18.446000000000002</v>
      </c>
      <c r="D13" s="26">
        <v>258.31799999999998</v>
      </c>
      <c r="E13" s="24">
        <f>218.757+E6</f>
        <v>242.53300000000002</v>
      </c>
      <c r="F13" s="24">
        <v>230</v>
      </c>
      <c r="G13" s="27">
        <v>1</v>
      </c>
      <c r="H13" s="26">
        <v>75</v>
      </c>
      <c r="I13" s="26">
        <v>1030115552</v>
      </c>
      <c r="J13" s="26"/>
      <c r="K13" s="26"/>
      <c r="L13" s="26">
        <f t="shared" si="2"/>
        <v>242.53300000000002</v>
      </c>
      <c r="M13" s="26"/>
      <c r="N13" s="26"/>
      <c r="O13" s="26"/>
      <c r="P13" s="26">
        <v>250</v>
      </c>
      <c r="Q13" s="26">
        <f t="shared" si="5"/>
        <v>48.506600000000006</v>
      </c>
      <c r="R13" s="44">
        <f t="shared" si="6"/>
        <v>732.66500000000019</v>
      </c>
      <c r="S13" s="49">
        <v>150</v>
      </c>
      <c r="T13" s="60" t="s">
        <v>92</v>
      </c>
      <c r="U13" s="11">
        <f t="shared" si="3"/>
        <v>3.8506600000000009</v>
      </c>
      <c r="V13" s="11">
        <f t="shared" si="4"/>
        <v>0.92</v>
      </c>
      <c r="W13" s="11">
        <f>IFERROR(VLOOKUP(A13,[1]TDSheet!$A$1:$G$65536,3,0),0)/5</f>
        <v>6.9914000000000005</v>
      </c>
      <c r="X13" s="11">
        <v>29.0716</v>
      </c>
      <c r="Y13" s="11">
        <v>8.7837999999999994</v>
      </c>
      <c r="Z13" s="11">
        <v>14.3948</v>
      </c>
      <c r="AA13" s="11">
        <v>8.8358000000000008</v>
      </c>
      <c r="AB13" s="11">
        <v>23.141400000000001</v>
      </c>
      <c r="AC13" s="11">
        <v>19.091799999999999</v>
      </c>
      <c r="AD13" s="11">
        <v>6.5153999999999996</v>
      </c>
      <c r="AE13" s="11"/>
      <c r="AF13" s="45">
        <f t="shared" si="7"/>
        <v>150</v>
      </c>
      <c r="AG13" s="11"/>
      <c r="AH13" s="11"/>
      <c r="AI13" s="11" t="e">
        <f>VLOOKUP(I13,[2]Лист1!$B:$B,1,0)</f>
        <v>#N/A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x14ac:dyDescent="0.25">
      <c r="A14" s="28" t="s">
        <v>48</v>
      </c>
      <c r="B14" s="26" t="s">
        <v>36</v>
      </c>
      <c r="C14" s="26">
        <v>84</v>
      </c>
      <c r="D14" s="26">
        <v>415</v>
      </c>
      <c r="E14" s="26">
        <v>496</v>
      </c>
      <c r="F14" s="26">
        <v>195</v>
      </c>
      <c r="G14" s="27">
        <v>0.4</v>
      </c>
      <c r="H14" s="26">
        <v>75</v>
      </c>
      <c r="I14" s="26">
        <v>1030115404</v>
      </c>
      <c r="J14" s="26"/>
      <c r="K14" s="26"/>
      <c r="L14" s="26">
        <f t="shared" si="2"/>
        <v>496</v>
      </c>
      <c r="M14" s="26"/>
      <c r="N14" s="26"/>
      <c r="O14" s="26"/>
      <c r="P14" s="28">
        <v>600</v>
      </c>
      <c r="Q14" s="26">
        <f t="shared" si="5"/>
        <v>99.2</v>
      </c>
      <c r="R14" s="44">
        <f t="shared" si="6"/>
        <v>1685</v>
      </c>
      <c r="S14" s="50">
        <v>300</v>
      </c>
      <c r="T14" s="11"/>
      <c r="U14" s="11">
        <f t="shared" si="3"/>
        <v>3.1333333333333333</v>
      </c>
      <c r="V14" s="11">
        <f t="shared" si="4"/>
        <v>0.32500000000000001</v>
      </c>
      <c r="W14" s="11">
        <f>IFERROR(VLOOKUP(A14,[1]TDSheet!$A$1:$G$65536,3,0),0)/5</f>
        <v>28.4</v>
      </c>
      <c r="X14" s="11">
        <v>57.2</v>
      </c>
      <c r="Y14" s="11">
        <v>33.6</v>
      </c>
      <c r="Z14" s="11">
        <v>31.8</v>
      </c>
      <c r="AA14" s="11">
        <v>53.8</v>
      </c>
      <c r="AB14" s="11">
        <v>48.4</v>
      </c>
      <c r="AC14" s="11">
        <v>49.8</v>
      </c>
      <c r="AD14" s="11">
        <v>40.6</v>
      </c>
      <c r="AE14" s="11"/>
      <c r="AF14" s="45">
        <f t="shared" si="7"/>
        <v>120</v>
      </c>
      <c r="AG14" s="11">
        <f>VLOOKUP(I14,[2]Лист1!$B:$G,6,0)</f>
        <v>120</v>
      </c>
      <c r="AH14" s="11"/>
      <c r="AI14" s="11">
        <f>VLOOKUP(I14,[2]Лист1!$B:$B,1,0)</f>
        <v>1030115404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x14ac:dyDescent="0.25">
      <c r="A15" s="28" t="s">
        <v>37</v>
      </c>
      <c r="B15" s="26" t="s">
        <v>36</v>
      </c>
      <c r="C15" s="26">
        <v>-6</v>
      </c>
      <c r="D15" s="26">
        <v>102</v>
      </c>
      <c r="E15" s="24">
        <f>49+E7</f>
        <v>55</v>
      </c>
      <c r="F15" s="26">
        <v>153</v>
      </c>
      <c r="G15" s="27">
        <v>0.4</v>
      </c>
      <c r="H15" s="26">
        <v>75</v>
      </c>
      <c r="I15" s="26">
        <v>1030804004</v>
      </c>
      <c r="J15" s="26"/>
      <c r="K15" s="26"/>
      <c r="L15" s="26">
        <f t="shared" si="2"/>
        <v>55</v>
      </c>
      <c r="M15" s="26"/>
      <c r="N15" s="26"/>
      <c r="O15" s="26"/>
      <c r="P15" s="26">
        <v>300</v>
      </c>
      <c r="Q15" s="26">
        <f t="shared" si="5"/>
        <v>11</v>
      </c>
      <c r="R15" s="44">
        <f t="shared" si="6"/>
        <v>-178</v>
      </c>
      <c r="S15" s="49">
        <v>100</v>
      </c>
      <c r="T15" s="11"/>
      <c r="U15" s="11">
        <f t="shared" si="3"/>
        <v>-8.3333333333333329E-2</v>
      </c>
      <c r="V15" s="11">
        <f t="shared" si="4"/>
        <v>0.51</v>
      </c>
      <c r="W15" s="11">
        <f>IFERROR(VLOOKUP(A15,[1]TDSheet!$A$1:$G$65536,3,0),0)/5</f>
        <v>2.4</v>
      </c>
      <c r="X15" s="11">
        <v>19.399999999999999</v>
      </c>
      <c r="Y15" s="11">
        <v>5.2</v>
      </c>
      <c r="Z15" s="11">
        <v>18.2</v>
      </c>
      <c r="AA15" s="11">
        <v>4.2</v>
      </c>
      <c r="AB15" s="11">
        <v>25.6</v>
      </c>
      <c r="AC15" s="11">
        <v>12</v>
      </c>
      <c r="AD15" s="11">
        <v>16.399999999999999</v>
      </c>
      <c r="AE15" s="11"/>
      <c r="AF15" s="45">
        <f t="shared" si="7"/>
        <v>40</v>
      </c>
      <c r="AG15" s="11">
        <f>VLOOKUP(I15,[2]Лист1!$B:$G,6,0)</f>
        <v>40</v>
      </c>
      <c r="AH15" s="11"/>
      <c r="AI15" s="11">
        <f>VLOOKUP(I15,[2]Лист1!$B:$B,1,0)</f>
        <v>1030804004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x14ac:dyDescent="0.25">
      <c r="A16" s="29" t="s">
        <v>49</v>
      </c>
      <c r="B16" s="29" t="s">
        <v>36</v>
      </c>
      <c r="C16" s="29">
        <v>1</v>
      </c>
      <c r="D16" s="29">
        <v>120</v>
      </c>
      <c r="E16" s="29">
        <v>110</v>
      </c>
      <c r="F16" s="29">
        <v>1</v>
      </c>
      <c r="G16" s="30">
        <v>0</v>
      </c>
      <c r="H16" s="29">
        <v>45</v>
      </c>
      <c r="I16" s="29">
        <v>1030419235</v>
      </c>
      <c r="J16" s="29"/>
      <c r="K16" s="29"/>
      <c r="L16" s="29">
        <f t="shared" si="2"/>
        <v>110</v>
      </c>
      <c r="M16" s="29"/>
      <c r="N16" s="29"/>
      <c r="O16" s="29"/>
      <c r="P16" s="26">
        <v>250</v>
      </c>
      <c r="Q16" s="26">
        <f t="shared" si="5"/>
        <v>22</v>
      </c>
      <c r="R16" s="44">
        <f t="shared" si="6"/>
        <v>299</v>
      </c>
      <c r="S16" s="51"/>
      <c r="T16" s="7" t="str">
        <f>VLOOKUP(A16,[3]Sheet!$A$1:$T$65536,20,0)</f>
        <v>заблокировано на 2026</v>
      </c>
      <c r="U16" s="6"/>
      <c r="V16" s="6"/>
      <c r="W16" s="6"/>
      <c r="X16" s="6"/>
      <c r="Y16" s="6"/>
      <c r="Z16" s="6"/>
      <c r="AA16" s="6"/>
      <c r="AB16" s="6">
        <v>7.4</v>
      </c>
      <c r="AC16" s="6">
        <v>2.2000000000000002</v>
      </c>
      <c r="AD16" s="6">
        <v>8.1999999999999993</v>
      </c>
      <c r="AE16" s="6" t="s">
        <v>50</v>
      </c>
      <c r="AF16" s="45">
        <f t="shared" si="7"/>
        <v>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x14ac:dyDescent="0.25">
      <c r="A17" s="28" t="s">
        <v>51</v>
      </c>
      <c r="B17" s="26" t="s">
        <v>36</v>
      </c>
      <c r="C17" s="26">
        <v>6</v>
      </c>
      <c r="D17" s="26">
        <v>256</v>
      </c>
      <c r="E17" s="26">
        <v>254</v>
      </c>
      <c r="F17" s="26">
        <v>96</v>
      </c>
      <c r="G17" s="27">
        <v>0.5</v>
      </c>
      <c r="H17" s="26">
        <v>45</v>
      </c>
      <c r="I17" s="26">
        <v>1030412236</v>
      </c>
      <c r="J17" s="26"/>
      <c r="K17" s="26"/>
      <c r="L17" s="26">
        <f t="shared" si="2"/>
        <v>254</v>
      </c>
      <c r="M17" s="26"/>
      <c r="N17" s="26"/>
      <c r="O17" s="26"/>
      <c r="P17" s="31">
        <v>250</v>
      </c>
      <c r="Q17" s="26">
        <f t="shared" si="5"/>
        <v>50.8</v>
      </c>
      <c r="R17" s="44">
        <f t="shared" si="6"/>
        <v>924</v>
      </c>
      <c r="S17" s="50">
        <v>150</v>
      </c>
      <c r="T17" s="11"/>
      <c r="U17" s="11"/>
      <c r="V17" s="11"/>
      <c r="W17" s="11"/>
      <c r="X17" s="11"/>
      <c r="Y17" s="11"/>
      <c r="Z17" s="11"/>
      <c r="AA17" s="11"/>
      <c r="AB17" s="11">
        <v>17.399999999999999</v>
      </c>
      <c r="AC17" s="11">
        <v>22.8</v>
      </c>
      <c r="AD17" s="11">
        <v>13.2</v>
      </c>
      <c r="AE17" s="11"/>
      <c r="AF17" s="45">
        <f t="shared" si="7"/>
        <v>75</v>
      </c>
      <c r="AG17" s="11">
        <f>VLOOKUP(I17,[2]Лист1!$B:$G,6,0)</f>
        <v>75</v>
      </c>
      <c r="AH17" s="11"/>
      <c r="AI17" s="11">
        <f>VLOOKUP(I17,[2]Лист1!$B:$B,1,0)</f>
        <v>1030412236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s="16" customFormat="1" x14ac:dyDescent="0.25">
      <c r="A18" s="32" t="s">
        <v>52</v>
      </c>
      <c r="B18" s="32" t="s">
        <v>36</v>
      </c>
      <c r="C18" s="32"/>
      <c r="D18" s="32"/>
      <c r="E18" s="32"/>
      <c r="F18" s="32">
        <v>57</v>
      </c>
      <c r="G18" s="33">
        <v>0.3</v>
      </c>
      <c r="H18" s="32">
        <v>45</v>
      </c>
      <c r="I18" s="32">
        <v>1030419435</v>
      </c>
      <c r="J18" s="32"/>
      <c r="K18" s="32"/>
      <c r="L18" s="32">
        <f t="shared" si="2"/>
        <v>0</v>
      </c>
      <c r="M18" s="32"/>
      <c r="N18" s="32"/>
      <c r="O18" s="32"/>
      <c r="P18" s="32">
        <v>250</v>
      </c>
      <c r="Q18" s="26">
        <f t="shared" si="5"/>
        <v>0</v>
      </c>
      <c r="R18" s="44">
        <f t="shared" si="6"/>
        <v>-307</v>
      </c>
      <c r="S18" s="52">
        <v>120</v>
      </c>
      <c r="T18" s="15" t="s">
        <v>90</v>
      </c>
      <c r="U18" s="15" t="s">
        <v>0</v>
      </c>
      <c r="V18" s="15" t="s">
        <v>1</v>
      </c>
      <c r="W18" s="8" t="s">
        <v>4</v>
      </c>
      <c r="X18" s="8" t="s">
        <v>5</v>
      </c>
      <c r="Y18" s="8" t="s">
        <v>14</v>
      </c>
      <c r="Z18" s="8" t="s">
        <v>16</v>
      </c>
      <c r="AA18" s="8" t="s">
        <v>17</v>
      </c>
      <c r="AB18" s="8">
        <v>0</v>
      </c>
      <c r="AC18" s="8">
        <v>0</v>
      </c>
      <c r="AD18" s="8">
        <v>0</v>
      </c>
      <c r="AE18" s="8" t="s">
        <v>53</v>
      </c>
      <c r="AF18" s="45">
        <f t="shared" si="7"/>
        <v>36</v>
      </c>
      <c r="AG18" s="11">
        <f>VLOOKUP(I18,[2]Лист1!$B:$G,6,0)</f>
        <v>36</v>
      </c>
      <c r="AH18" s="15"/>
      <c r="AI18" s="11">
        <f>VLOOKUP(I18,[2]Лист1!$B:$B,1,0)</f>
        <v>1030419435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s="16" customFormat="1" x14ac:dyDescent="0.25">
      <c r="A19" s="32" t="s">
        <v>54</v>
      </c>
      <c r="B19" s="32" t="s">
        <v>36</v>
      </c>
      <c r="C19" s="32"/>
      <c r="D19" s="32"/>
      <c r="E19" s="32"/>
      <c r="F19" s="32">
        <v>9</v>
      </c>
      <c r="G19" s="33">
        <v>0.4</v>
      </c>
      <c r="H19" s="32">
        <v>45</v>
      </c>
      <c r="I19" s="32">
        <v>1030503997</v>
      </c>
      <c r="J19" s="32"/>
      <c r="K19" s="32"/>
      <c r="L19" s="32">
        <f t="shared" si="2"/>
        <v>0</v>
      </c>
      <c r="M19" s="32"/>
      <c r="N19" s="32"/>
      <c r="O19" s="32"/>
      <c r="P19" s="32">
        <v>202</v>
      </c>
      <c r="Q19" s="26">
        <f t="shared" si="5"/>
        <v>0</v>
      </c>
      <c r="R19" s="44">
        <f t="shared" si="6"/>
        <v>-211</v>
      </c>
      <c r="S19" s="52"/>
      <c r="T19" s="15"/>
      <c r="U19" s="15"/>
      <c r="V19" s="15"/>
      <c r="W19" s="8"/>
      <c r="X19" s="8"/>
      <c r="Y19" s="8">
        <v>46034</v>
      </c>
      <c r="Z19" s="8"/>
      <c r="AA19" s="8"/>
      <c r="AB19" s="8">
        <v>0</v>
      </c>
      <c r="AC19" s="8">
        <v>0</v>
      </c>
      <c r="AD19" s="8">
        <v>0</v>
      </c>
      <c r="AE19" s="8" t="s">
        <v>55</v>
      </c>
      <c r="AF19" s="45">
        <f t="shared" si="7"/>
        <v>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 spans="1:47" x14ac:dyDescent="0.25">
      <c r="A20" s="26" t="s">
        <v>39</v>
      </c>
      <c r="B20" s="26" t="s">
        <v>36</v>
      </c>
      <c r="C20" s="26">
        <v>4</v>
      </c>
      <c r="D20" s="26">
        <v>800</v>
      </c>
      <c r="E20" s="24">
        <f>720+E8</f>
        <v>751</v>
      </c>
      <c r="F20" s="24">
        <v>242</v>
      </c>
      <c r="G20" s="27">
        <v>0.18</v>
      </c>
      <c r="H20" s="26">
        <v>90</v>
      </c>
      <c r="I20" s="26">
        <v>1030712385</v>
      </c>
      <c r="J20" s="26"/>
      <c r="K20" s="26"/>
      <c r="L20" s="26">
        <f t="shared" si="2"/>
        <v>751</v>
      </c>
      <c r="M20" s="26"/>
      <c r="N20" s="26"/>
      <c r="O20" s="26"/>
      <c r="P20" s="31">
        <v>800</v>
      </c>
      <c r="Q20" s="26">
        <f t="shared" si="5"/>
        <v>150.19999999999999</v>
      </c>
      <c r="R20" s="44">
        <f t="shared" si="6"/>
        <v>2712.9999999999995</v>
      </c>
      <c r="S20" s="49">
        <v>400</v>
      </c>
      <c r="T20" s="11"/>
      <c r="U20" s="11"/>
      <c r="V20" s="11"/>
      <c r="W20" s="11">
        <v>5659</v>
      </c>
      <c r="X20" s="11">
        <v>2487</v>
      </c>
      <c r="Y20" s="11">
        <v>11013</v>
      </c>
      <c r="Z20" s="11">
        <v>3950</v>
      </c>
      <c r="AA20" s="11"/>
      <c r="AB20" s="11">
        <v>31</v>
      </c>
      <c r="AC20" s="11">
        <v>42.2</v>
      </c>
      <c r="AD20" s="11">
        <v>39.200000000000003</v>
      </c>
      <c r="AE20" s="11"/>
      <c r="AF20" s="45">
        <f t="shared" si="7"/>
        <v>72</v>
      </c>
      <c r="AG20" s="11">
        <f>VLOOKUP(I20,[2]Лист1!$B:$G,6,0)</f>
        <v>72</v>
      </c>
      <c r="AH20" s="11"/>
      <c r="AI20" s="11">
        <f>VLOOKUP(I20,[2]Лист1!$B:$B,1,0)</f>
        <v>1030712385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x14ac:dyDescent="0.25">
      <c r="A21" s="29" t="s">
        <v>56</v>
      </c>
      <c r="B21" s="29" t="s">
        <v>36</v>
      </c>
      <c r="C21" s="29"/>
      <c r="D21" s="29"/>
      <c r="E21" s="29"/>
      <c r="F21" s="29"/>
      <c r="G21" s="30">
        <v>0.3</v>
      </c>
      <c r="H21" s="29">
        <v>60</v>
      </c>
      <c r="I21" s="29">
        <v>1030709904</v>
      </c>
      <c r="J21" s="29"/>
      <c r="K21" s="29"/>
      <c r="L21" s="29">
        <f t="shared" si="2"/>
        <v>0</v>
      </c>
      <c r="M21" s="29"/>
      <c r="N21" s="29"/>
      <c r="O21" s="29"/>
      <c r="P21" s="31"/>
      <c r="Q21" s="26">
        <f t="shared" si="5"/>
        <v>0</v>
      </c>
      <c r="R21" s="44">
        <f t="shared" si="6"/>
        <v>0</v>
      </c>
      <c r="S21" s="51"/>
      <c r="T21" s="7" t="s">
        <v>88</v>
      </c>
      <c r="U21" s="11" t="s">
        <v>31</v>
      </c>
      <c r="V21" s="11" t="s">
        <v>32</v>
      </c>
      <c r="W21" s="11">
        <v>24</v>
      </c>
      <c r="X21" s="11">
        <v>-20</v>
      </c>
      <c r="Y21" s="11">
        <v>5</v>
      </c>
      <c r="Z21" s="11"/>
      <c r="AA21" s="11"/>
      <c r="AB21" s="11">
        <v>0</v>
      </c>
      <c r="AC21" s="11">
        <v>0</v>
      </c>
      <c r="AD21" s="11">
        <v>0</v>
      </c>
      <c r="AE21" s="11" t="s">
        <v>57</v>
      </c>
      <c r="AF21" s="45">
        <f t="shared" si="7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s="16" customFormat="1" x14ac:dyDescent="0.25">
      <c r="A22" s="32" t="s">
        <v>58</v>
      </c>
      <c r="B22" s="32" t="s">
        <v>36</v>
      </c>
      <c r="C22" s="32"/>
      <c r="D22" s="32"/>
      <c r="E22" s="32"/>
      <c r="F22" s="32">
        <v>39</v>
      </c>
      <c r="G22" s="33">
        <v>0.4</v>
      </c>
      <c r="H22" s="32">
        <v>60</v>
      </c>
      <c r="I22" s="32">
        <v>1030518197</v>
      </c>
      <c r="J22" s="32"/>
      <c r="K22" s="32"/>
      <c r="L22" s="32">
        <f t="shared" si="2"/>
        <v>0</v>
      </c>
      <c r="M22" s="32"/>
      <c r="N22" s="32"/>
      <c r="O22" s="32"/>
      <c r="P22" s="32">
        <v>200</v>
      </c>
      <c r="Q22" s="26">
        <f t="shared" si="5"/>
        <v>0</v>
      </c>
      <c r="R22" s="44">
        <f t="shared" si="6"/>
        <v>-239</v>
      </c>
      <c r="S22" s="52">
        <v>60</v>
      </c>
      <c r="T22" s="15" t="s">
        <v>90</v>
      </c>
      <c r="U22" s="15" t="s">
        <v>35</v>
      </c>
      <c r="V22" s="15" t="s">
        <v>36</v>
      </c>
      <c r="W22" s="8">
        <v>6</v>
      </c>
      <c r="X22" s="8"/>
      <c r="Y22" s="8">
        <v>1</v>
      </c>
      <c r="Z22" s="8"/>
      <c r="AA22" s="8"/>
      <c r="AB22" s="8">
        <v>0</v>
      </c>
      <c r="AC22" s="8">
        <v>0</v>
      </c>
      <c r="AD22" s="8">
        <v>0</v>
      </c>
      <c r="AE22" s="8" t="s">
        <v>55</v>
      </c>
      <c r="AF22" s="45">
        <f t="shared" si="7"/>
        <v>24</v>
      </c>
      <c r="AG22" s="11">
        <f>VLOOKUP(I22,[2]Лист1!$B:$G,6,0)</f>
        <v>24</v>
      </c>
      <c r="AH22" s="15"/>
      <c r="AI22" s="11">
        <f>VLOOKUP(I22,[2]Лист1!$B:$B,1,0)</f>
        <v>1030518197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 x14ac:dyDescent="0.25">
      <c r="A23" s="34" t="s">
        <v>59</v>
      </c>
      <c r="B23" s="31" t="s">
        <v>36</v>
      </c>
      <c r="C23" s="31"/>
      <c r="D23" s="31"/>
      <c r="E23" s="31"/>
      <c r="F23" s="31"/>
      <c r="G23" s="35">
        <v>0.4</v>
      </c>
      <c r="H23" s="31">
        <v>60</v>
      </c>
      <c r="I23" s="31">
        <v>1030517871</v>
      </c>
      <c r="J23" s="31"/>
      <c r="K23" s="31"/>
      <c r="L23" s="31">
        <f t="shared" si="2"/>
        <v>0</v>
      </c>
      <c r="M23" s="31"/>
      <c r="N23" s="31"/>
      <c r="O23" s="34"/>
      <c r="P23" s="31"/>
      <c r="Q23" s="26">
        <f t="shared" si="5"/>
        <v>0</v>
      </c>
      <c r="R23" s="44">
        <f t="shared" si="6"/>
        <v>0</v>
      </c>
      <c r="S23" s="53"/>
      <c r="T23" s="14" t="s">
        <v>89</v>
      </c>
      <c r="U23" s="8" t="s">
        <v>38</v>
      </c>
      <c r="V23" s="8" t="s">
        <v>36</v>
      </c>
      <c r="W23" s="8">
        <v>31</v>
      </c>
      <c r="X23" s="8">
        <v>-22</v>
      </c>
      <c r="Y23" s="8">
        <v>6</v>
      </c>
      <c r="Z23" s="8"/>
      <c r="AA23" s="8"/>
      <c r="AB23" s="8">
        <v>0</v>
      </c>
      <c r="AC23" s="8">
        <v>0</v>
      </c>
      <c r="AD23" s="8">
        <v>0</v>
      </c>
      <c r="AE23" s="8" t="s">
        <v>55</v>
      </c>
      <c r="AF23" s="45">
        <f t="shared" si="7"/>
        <v>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s="16" customFormat="1" ht="15.75" x14ac:dyDescent="0.25">
      <c r="A24" s="32" t="s">
        <v>60</v>
      </c>
      <c r="B24" s="32" t="s">
        <v>36</v>
      </c>
      <c r="C24" s="32"/>
      <c r="D24" s="32"/>
      <c r="E24" s="32"/>
      <c r="F24" s="32">
        <v>38</v>
      </c>
      <c r="G24" s="33">
        <v>0.4</v>
      </c>
      <c r="H24" s="32">
        <v>65</v>
      </c>
      <c r="I24" s="32">
        <v>1030129697</v>
      </c>
      <c r="J24" s="32"/>
      <c r="K24" s="32"/>
      <c r="L24" s="32">
        <f t="shared" si="2"/>
        <v>0</v>
      </c>
      <c r="M24" s="32"/>
      <c r="N24" s="32"/>
      <c r="O24" s="32"/>
      <c r="P24" s="32">
        <v>200</v>
      </c>
      <c r="Q24" s="26">
        <f t="shared" si="5"/>
        <v>0</v>
      </c>
      <c r="R24" s="44">
        <f t="shared" si="6"/>
        <v>-238</v>
      </c>
      <c r="S24" s="52">
        <v>60</v>
      </c>
      <c r="T24" s="60" t="s">
        <v>92</v>
      </c>
      <c r="U24" s="15" t="s">
        <v>40</v>
      </c>
      <c r="V24" s="15"/>
      <c r="W24" s="8">
        <v>12</v>
      </c>
      <c r="X24" s="8"/>
      <c r="Y24" s="8">
        <v>2</v>
      </c>
      <c r="Z24" s="8"/>
      <c r="AA24" s="8"/>
      <c r="AB24" s="8">
        <v>0</v>
      </c>
      <c r="AC24" s="8">
        <v>0</v>
      </c>
      <c r="AD24" s="8">
        <v>0</v>
      </c>
      <c r="AE24" s="8" t="s">
        <v>55</v>
      </c>
      <c r="AF24" s="45">
        <f t="shared" si="7"/>
        <v>24</v>
      </c>
      <c r="AG24" s="11"/>
      <c r="AH24" s="15"/>
      <c r="AI24" s="11" t="e">
        <f>VLOOKUP(I24,[2]Лист1!$B:$B,1,0)</f>
        <v>#N/A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spans="1:47" s="16" customFormat="1" x14ac:dyDescent="0.25">
      <c r="A25" s="32" t="s">
        <v>61</v>
      </c>
      <c r="B25" s="32" t="s">
        <v>36</v>
      </c>
      <c r="C25" s="32"/>
      <c r="D25" s="32"/>
      <c r="E25" s="32"/>
      <c r="F25" s="32">
        <v>40</v>
      </c>
      <c r="G25" s="33">
        <v>8.5000000000000006E-2</v>
      </c>
      <c r="H25" s="32">
        <v>90</v>
      </c>
      <c r="I25" s="32">
        <v>1030680328</v>
      </c>
      <c r="J25" s="32"/>
      <c r="K25" s="32"/>
      <c r="L25" s="32">
        <f t="shared" si="2"/>
        <v>0</v>
      </c>
      <c r="M25" s="32"/>
      <c r="N25" s="32"/>
      <c r="O25" s="32"/>
      <c r="P25" s="32">
        <v>200</v>
      </c>
      <c r="Q25" s="26">
        <f t="shared" si="5"/>
        <v>0</v>
      </c>
      <c r="R25" s="44">
        <f t="shared" si="6"/>
        <v>-240</v>
      </c>
      <c r="S25" s="52">
        <v>100</v>
      </c>
      <c r="T25" s="15" t="s">
        <v>90</v>
      </c>
      <c r="U25" s="15" t="s">
        <v>42</v>
      </c>
      <c r="V25" s="15" t="s">
        <v>36</v>
      </c>
      <c r="W25" s="8">
        <v>21</v>
      </c>
      <c r="X25" s="8">
        <v>-10</v>
      </c>
      <c r="Y25" s="8">
        <v>4</v>
      </c>
      <c r="Z25" s="8"/>
      <c r="AA25" s="8"/>
      <c r="AB25" s="8">
        <v>0</v>
      </c>
      <c r="AC25" s="8">
        <v>0</v>
      </c>
      <c r="AD25" s="8">
        <v>0</v>
      </c>
      <c r="AE25" s="8" t="s">
        <v>55</v>
      </c>
      <c r="AF25" s="45">
        <f t="shared" si="7"/>
        <v>8.5</v>
      </c>
      <c r="AG25" s="11">
        <f>VLOOKUP(I25,[2]Лист1!$B:$G,6,0)</f>
        <v>8.5</v>
      </c>
      <c r="AH25" s="15"/>
      <c r="AI25" s="11">
        <f>VLOOKUP(I25,[2]Лист1!$B:$B,1,0)</f>
        <v>1030680328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 spans="1:47" x14ac:dyDescent="0.25">
      <c r="A26" s="28" t="s">
        <v>62</v>
      </c>
      <c r="B26" s="26" t="s">
        <v>36</v>
      </c>
      <c r="C26" s="26">
        <v>2</v>
      </c>
      <c r="D26" s="26">
        <v>606</v>
      </c>
      <c r="E26" s="26">
        <v>606</v>
      </c>
      <c r="F26" s="26">
        <v>319</v>
      </c>
      <c r="G26" s="27">
        <v>0.3</v>
      </c>
      <c r="H26" s="26">
        <v>150</v>
      </c>
      <c r="I26" s="26">
        <v>1030686740</v>
      </c>
      <c r="J26" s="26"/>
      <c r="K26" s="26"/>
      <c r="L26" s="26">
        <f t="shared" si="2"/>
        <v>606</v>
      </c>
      <c r="M26" s="26"/>
      <c r="N26" s="26"/>
      <c r="O26" s="26"/>
      <c r="P26" s="26">
        <v>900</v>
      </c>
      <c r="Q26" s="26">
        <f t="shared" si="5"/>
        <v>121.2</v>
      </c>
      <c r="R26" s="44">
        <f t="shared" si="6"/>
        <v>1811</v>
      </c>
      <c r="S26" s="50">
        <v>400</v>
      </c>
      <c r="T26" s="11"/>
      <c r="U26" s="11" t="s">
        <v>44</v>
      </c>
      <c r="V26" s="11" t="s">
        <v>32</v>
      </c>
      <c r="W26" s="11">
        <v>96</v>
      </c>
      <c r="X26" s="11">
        <v>0</v>
      </c>
      <c r="Y26" s="11">
        <v>130</v>
      </c>
      <c r="Z26" s="11">
        <v>30</v>
      </c>
      <c r="AA26" s="11"/>
      <c r="AB26" s="11">
        <v>46.4</v>
      </c>
      <c r="AC26" s="11">
        <v>45.4</v>
      </c>
      <c r="AD26" s="11">
        <v>32.6</v>
      </c>
      <c r="AE26" s="11"/>
      <c r="AF26" s="45">
        <f t="shared" si="7"/>
        <v>120</v>
      </c>
      <c r="AG26" s="11">
        <f>VLOOKUP(I26,[2]Лист1!$B:$G,6,0)</f>
        <v>120</v>
      </c>
      <c r="AH26" s="11"/>
      <c r="AI26" s="11">
        <f>VLOOKUP(I26,[2]Лист1!$B:$B,1,0)</f>
        <v>1030686740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x14ac:dyDescent="0.25">
      <c r="A27" s="28" t="s">
        <v>41</v>
      </c>
      <c r="B27" s="26" t="s">
        <v>36</v>
      </c>
      <c r="C27" s="26">
        <v>16</v>
      </c>
      <c r="D27" s="26">
        <v>401</v>
      </c>
      <c r="E27" s="24">
        <f>415+E9</f>
        <v>427</v>
      </c>
      <c r="F27" s="26">
        <v>265</v>
      </c>
      <c r="G27" s="27">
        <v>0.3</v>
      </c>
      <c r="H27" s="26">
        <v>135</v>
      </c>
      <c r="I27" s="26">
        <v>1030686857</v>
      </c>
      <c r="J27" s="26"/>
      <c r="K27" s="26"/>
      <c r="L27" s="26">
        <f t="shared" si="2"/>
        <v>427</v>
      </c>
      <c r="M27" s="26"/>
      <c r="N27" s="26"/>
      <c r="O27" s="26"/>
      <c r="P27" s="31">
        <v>800</v>
      </c>
      <c r="Q27" s="26">
        <f t="shared" si="5"/>
        <v>85.4</v>
      </c>
      <c r="R27" s="44">
        <f t="shared" si="6"/>
        <v>1070</v>
      </c>
      <c r="S27" s="50">
        <v>300</v>
      </c>
      <c r="T27" s="11"/>
      <c r="U27" s="11" t="s">
        <v>46</v>
      </c>
      <c r="V27" s="11" t="s">
        <v>32</v>
      </c>
      <c r="W27" s="11">
        <v>159</v>
      </c>
      <c r="X27" s="11"/>
      <c r="Y27" s="11">
        <v>160</v>
      </c>
      <c r="Z27" s="11">
        <v>60</v>
      </c>
      <c r="AA27" s="11"/>
      <c r="AB27" s="11">
        <v>26.4</v>
      </c>
      <c r="AC27" s="11">
        <v>21.8</v>
      </c>
      <c r="AD27" s="11">
        <v>28.6</v>
      </c>
      <c r="AE27" s="11"/>
      <c r="AF27" s="45">
        <f t="shared" si="7"/>
        <v>90</v>
      </c>
      <c r="AG27" s="11">
        <f>VLOOKUP(I27,[2]Лист1!$B:$G,6,0)</f>
        <v>90</v>
      </c>
      <c r="AH27" s="11"/>
      <c r="AI27" s="11">
        <f>VLOOKUP(I27,[2]Лист1!$B:$B,1,0)</f>
        <v>1030686857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x14ac:dyDescent="0.25">
      <c r="A28" s="26" t="s">
        <v>63</v>
      </c>
      <c r="B28" s="26" t="s">
        <v>36</v>
      </c>
      <c r="C28" s="26">
        <v>3</v>
      </c>
      <c r="D28" s="26">
        <v>300</v>
      </c>
      <c r="E28" s="26">
        <v>272</v>
      </c>
      <c r="F28" s="26">
        <v>59</v>
      </c>
      <c r="G28" s="27">
        <v>0.2</v>
      </c>
      <c r="H28" s="26">
        <v>90</v>
      </c>
      <c r="I28" s="26">
        <v>1030654104</v>
      </c>
      <c r="J28" s="26"/>
      <c r="K28" s="26"/>
      <c r="L28" s="26">
        <f t="shared" si="2"/>
        <v>272</v>
      </c>
      <c r="M28" s="26"/>
      <c r="N28" s="26"/>
      <c r="O28" s="26"/>
      <c r="P28" s="26">
        <v>600</v>
      </c>
      <c r="Q28" s="26">
        <f t="shared" si="5"/>
        <v>54.4</v>
      </c>
      <c r="R28" s="44">
        <f t="shared" si="6"/>
        <v>701</v>
      </c>
      <c r="S28" s="50">
        <v>200</v>
      </c>
      <c r="T28" s="11"/>
      <c r="U28" s="11" t="s">
        <v>34</v>
      </c>
      <c r="V28" s="11" t="s">
        <v>32</v>
      </c>
      <c r="W28" s="11">
        <v>243</v>
      </c>
      <c r="X28" s="11">
        <v>230</v>
      </c>
      <c r="Y28" s="11">
        <v>250</v>
      </c>
      <c r="Z28" s="11">
        <v>150</v>
      </c>
      <c r="AA28" s="11"/>
      <c r="AB28" s="11">
        <v>11.8</v>
      </c>
      <c r="AC28" s="11">
        <v>1</v>
      </c>
      <c r="AD28" s="11">
        <v>6</v>
      </c>
      <c r="AE28" s="11"/>
      <c r="AF28" s="45">
        <f t="shared" si="7"/>
        <v>40</v>
      </c>
      <c r="AG28" s="11">
        <f>VLOOKUP(I28,[2]Лист1!$B:$G,6,0)</f>
        <v>40</v>
      </c>
      <c r="AH28" s="11"/>
      <c r="AI28" s="11">
        <f>VLOOKUP(I28,[2]Лист1!$B:$B,1,0)</f>
        <v>1030654104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s="16" customFormat="1" x14ac:dyDescent="0.25">
      <c r="A29" s="32" t="s">
        <v>64</v>
      </c>
      <c r="B29" s="32" t="s">
        <v>36</v>
      </c>
      <c r="C29" s="32"/>
      <c r="D29" s="32"/>
      <c r="E29" s="32"/>
      <c r="F29" s="32">
        <v>40</v>
      </c>
      <c r="G29" s="33">
        <v>8.5000000000000006E-2</v>
      </c>
      <c r="H29" s="32">
        <v>90</v>
      </c>
      <c r="I29" s="32">
        <v>1030683928</v>
      </c>
      <c r="J29" s="32"/>
      <c r="K29" s="32"/>
      <c r="L29" s="32">
        <f t="shared" si="2"/>
        <v>0</v>
      </c>
      <c r="M29" s="32"/>
      <c r="N29" s="32"/>
      <c r="O29" s="32"/>
      <c r="P29" s="32">
        <v>200</v>
      </c>
      <c r="Q29" s="26">
        <f t="shared" si="5"/>
        <v>0</v>
      </c>
      <c r="R29" s="44">
        <f t="shared" si="6"/>
        <v>-240</v>
      </c>
      <c r="S29" s="52">
        <v>100</v>
      </c>
      <c r="T29" s="15" t="s">
        <v>90</v>
      </c>
      <c r="U29" s="15" t="s">
        <v>48</v>
      </c>
      <c r="V29" s="15" t="s">
        <v>36</v>
      </c>
      <c r="W29" s="8">
        <v>496</v>
      </c>
      <c r="X29" s="8">
        <v>195</v>
      </c>
      <c r="Y29" s="8">
        <v>600</v>
      </c>
      <c r="Z29" s="8">
        <v>500</v>
      </c>
      <c r="AA29" s="8"/>
      <c r="AB29" s="8">
        <v>0</v>
      </c>
      <c r="AC29" s="8">
        <v>0</v>
      </c>
      <c r="AD29" s="8">
        <v>0</v>
      </c>
      <c r="AE29" s="8" t="s">
        <v>55</v>
      </c>
      <c r="AF29" s="45">
        <f t="shared" si="7"/>
        <v>8.5</v>
      </c>
      <c r="AG29" s="11">
        <f>VLOOKUP(I29,[2]Лист1!$B:$G,6,0)</f>
        <v>8.5</v>
      </c>
      <c r="AH29" s="15"/>
      <c r="AI29" s="11">
        <f>VLOOKUP(I29,[2]Лист1!$B:$B,1,0)</f>
        <v>1030683928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 spans="1:47" x14ac:dyDescent="0.25">
      <c r="A30" s="26" t="s">
        <v>65</v>
      </c>
      <c r="B30" s="26" t="s">
        <v>36</v>
      </c>
      <c r="C30" s="26">
        <v>83</v>
      </c>
      <c r="D30" s="26">
        <v>90</v>
      </c>
      <c r="E30" s="26">
        <v>171</v>
      </c>
      <c r="F30" s="26">
        <v>-2</v>
      </c>
      <c r="G30" s="27">
        <v>0.3</v>
      </c>
      <c r="H30" s="26">
        <v>135</v>
      </c>
      <c r="I30" s="26">
        <v>1030686241</v>
      </c>
      <c r="J30" s="26"/>
      <c r="K30" s="26"/>
      <c r="L30" s="26">
        <f t="shared" si="2"/>
        <v>171</v>
      </c>
      <c r="M30" s="26"/>
      <c r="N30" s="26"/>
      <c r="O30" s="26"/>
      <c r="P30" s="31">
        <v>300</v>
      </c>
      <c r="Q30" s="26">
        <f t="shared" si="5"/>
        <v>34.200000000000003</v>
      </c>
      <c r="R30" s="44">
        <f t="shared" si="6"/>
        <v>557.00000000000011</v>
      </c>
      <c r="S30" s="49"/>
      <c r="T30" s="7" t="s">
        <v>88</v>
      </c>
      <c r="U30" s="11" t="s">
        <v>37</v>
      </c>
      <c r="V30" s="11" t="s">
        <v>36</v>
      </c>
      <c r="W30" s="11">
        <v>55</v>
      </c>
      <c r="X30" s="11">
        <v>153</v>
      </c>
      <c r="Y30" s="11">
        <v>300</v>
      </c>
      <c r="Z30" s="11">
        <v>100</v>
      </c>
      <c r="AA30" s="11"/>
      <c r="AB30" s="11">
        <v>8.1999999999999993</v>
      </c>
      <c r="AC30" s="11">
        <v>6.4</v>
      </c>
      <c r="AD30" s="11">
        <v>6.2</v>
      </c>
      <c r="AE30" s="11"/>
      <c r="AF30" s="45">
        <f t="shared" si="7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x14ac:dyDescent="0.25">
      <c r="A31" s="26" t="s">
        <v>66</v>
      </c>
      <c r="B31" s="26" t="s">
        <v>36</v>
      </c>
      <c r="C31" s="26">
        <v>-24</v>
      </c>
      <c r="D31" s="26">
        <v>204</v>
      </c>
      <c r="E31" s="26">
        <v>196</v>
      </c>
      <c r="F31" s="26">
        <v>-16</v>
      </c>
      <c r="G31" s="27">
        <v>0.1</v>
      </c>
      <c r="H31" s="26">
        <v>90</v>
      </c>
      <c r="I31" s="26">
        <v>1030650028</v>
      </c>
      <c r="J31" s="26"/>
      <c r="K31" s="26"/>
      <c r="L31" s="26">
        <f t="shared" si="2"/>
        <v>196</v>
      </c>
      <c r="M31" s="26"/>
      <c r="N31" s="26"/>
      <c r="O31" s="26"/>
      <c r="P31" s="26">
        <v>800</v>
      </c>
      <c r="Q31" s="26">
        <f t="shared" si="5"/>
        <v>39.200000000000003</v>
      </c>
      <c r="R31" s="44">
        <f t="shared" si="6"/>
        <v>196.00000000000011</v>
      </c>
      <c r="S31" s="49"/>
      <c r="T31" s="7" t="s">
        <v>88</v>
      </c>
      <c r="U31" s="11" t="s">
        <v>49</v>
      </c>
      <c r="V31" s="11" t="s">
        <v>36</v>
      </c>
      <c r="W31" s="11">
        <v>110</v>
      </c>
      <c r="X31" s="11">
        <v>1</v>
      </c>
      <c r="Y31" s="11">
        <v>250</v>
      </c>
      <c r="Z31" s="11"/>
      <c r="AA31" s="11" t="s">
        <v>88</v>
      </c>
      <c r="AB31" s="11">
        <v>0</v>
      </c>
      <c r="AC31" s="11">
        <v>12.4</v>
      </c>
      <c r="AD31" s="11">
        <v>6.2</v>
      </c>
      <c r="AE31" s="11" t="s">
        <v>67</v>
      </c>
      <c r="AF31" s="45">
        <f t="shared" si="7"/>
        <v>0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x14ac:dyDescent="0.25">
      <c r="A32" s="29" t="s">
        <v>68</v>
      </c>
      <c r="B32" s="29" t="s">
        <v>36</v>
      </c>
      <c r="C32" s="29">
        <v>83</v>
      </c>
      <c r="D32" s="29">
        <v>62</v>
      </c>
      <c r="E32" s="29">
        <v>139</v>
      </c>
      <c r="F32" s="29"/>
      <c r="G32" s="30">
        <v>0</v>
      </c>
      <c r="H32" s="29">
        <v>135</v>
      </c>
      <c r="I32" s="29">
        <v>1030657419</v>
      </c>
      <c r="J32" s="29"/>
      <c r="K32" s="29"/>
      <c r="L32" s="29">
        <f t="shared" si="2"/>
        <v>139</v>
      </c>
      <c r="M32" s="29"/>
      <c r="N32" s="29"/>
      <c r="O32" s="29"/>
      <c r="P32" s="36">
        <v>80</v>
      </c>
      <c r="Q32" s="26">
        <f t="shared" si="5"/>
        <v>27.8</v>
      </c>
      <c r="R32" s="44">
        <f t="shared" si="6"/>
        <v>615</v>
      </c>
      <c r="S32" s="51"/>
      <c r="T32" s="7" t="str">
        <f>VLOOKUP(A32,[3]Sheet!$A$1:$T$65536,20,0)</f>
        <v>заблокировано на 2026</v>
      </c>
      <c r="U32" s="6" t="s">
        <v>51</v>
      </c>
      <c r="V32" s="6" t="s">
        <v>36</v>
      </c>
      <c r="W32" s="6">
        <v>254</v>
      </c>
      <c r="X32" s="6">
        <v>96</v>
      </c>
      <c r="Y32" s="6">
        <v>250</v>
      </c>
      <c r="Z32" s="6">
        <v>200</v>
      </c>
      <c r="AA32" s="6"/>
      <c r="AB32" s="6">
        <v>5.6</v>
      </c>
      <c r="AC32" s="6">
        <v>10</v>
      </c>
      <c r="AD32" s="6">
        <v>8</v>
      </c>
      <c r="AE32" s="6" t="s">
        <v>69</v>
      </c>
      <c r="AF32" s="45">
        <f t="shared" si="7"/>
        <v>0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x14ac:dyDescent="0.25">
      <c r="A33" s="29" t="s">
        <v>70</v>
      </c>
      <c r="B33" s="29" t="s">
        <v>36</v>
      </c>
      <c r="C33" s="29"/>
      <c r="D33" s="29">
        <v>204</v>
      </c>
      <c r="E33" s="29">
        <v>181</v>
      </c>
      <c r="F33" s="29">
        <v>22</v>
      </c>
      <c r="G33" s="30">
        <v>0</v>
      </c>
      <c r="H33" s="29">
        <v>90</v>
      </c>
      <c r="I33" s="29">
        <v>1030657628</v>
      </c>
      <c r="J33" s="29"/>
      <c r="K33" s="29"/>
      <c r="L33" s="29">
        <f t="shared" si="2"/>
        <v>181</v>
      </c>
      <c r="M33" s="29"/>
      <c r="N33" s="29"/>
      <c r="O33" s="29"/>
      <c r="P33" s="26">
        <v>500</v>
      </c>
      <c r="Q33" s="26">
        <f t="shared" si="5"/>
        <v>36.200000000000003</v>
      </c>
      <c r="R33" s="44">
        <f t="shared" si="6"/>
        <v>383.00000000000011</v>
      </c>
      <c r="S33" s="51"/>
      <c r="T33" s="7" t="str">
        <f>VLOOKUP(A33,[3]Sheet!$A$1:$T$65536,20,0)</f>
        <v>заблокировано на 2026</v>
      </c>
      <c r="U33" s="6" t="s">
        <v>52</v>
      </c>
      <c r="V33" s="6" t="s">
        <v>36</v>
      </c>
      <c r="W33" s="6"/>
      <c r="X33" s="6">
        <v>57</v>
      </c>
      <c r="Y33" s="6">
        <v>250</v>
      </c>
      <c r="Z33" s="6">
        <v>120</v>
      </c>
      <c r="AA33" s="6" t="s">
        <v>90</v>
      </c>
      <c r="AB33" s="6">
        <v>10.199999999999999</v>
      </c>
      <c r="AC33" s="6">
        <v>-0.4</v>
      </c>
      <c r="AD33" s="6">
        <v>2.2000000000000002</v>
      </c>
      <c r="AE33" s="6" t="s">
        <v>71</v>
      </c>
      <c r="AF33" s="45">
        <f t="shared" si="7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x14ac:dyDescent="0.25">
      <c r="A34" s="28" t="s">
        <v>72</v>
      </c>
      <c r="B34" s="26" t="s">
        <v>36</v>
      </c>
      <c r="C34" s="26">
        <v>3</v>
      </c>
      <c r="D34" s="26">
        <v>52</v>
      </c>
      <c r="E34" s="26">
        <v>47</v>
      </c>
      <c r="F34" s="26">
        <v>452</v>
      </c>
      <c r="G34" s="27">
        <v>0.3</v>
      </c>
      <c r="H34" s="26">
        <v>135</v>
      </c>
      <c r="I34" s="26">
        <v>1030679319</v>
      </c>
      <c r="J34" s="26"/>
      <c r="K34" s="26"/>
      <c r="L34" s="26">
        <f t="shared" si="2"/>
        <v>47</v>
      </c>
      <c r="M34" s="26"/>
      <c r="N34" s="26"/>
      <c r="O34" s="26"/>
      <c r="P34" s="31">
        <v>400</v>
      </c>
      <c r="Q34" s="26">
        <f t="shared" si="5"/>
        <v>9.4</v>
      </c>
      <c r="R34" s="44">
        <f t="shared" si="6"/>
        <v>-617</v>
      </c>
      <c r="S34" s="49"/>
      <c r="T34" s="11"/>
      <c r="U34" s="11" t="s">
        <v>54</v>
      </c>
      <c r="V34" s="11" t="s">
        <v>36</v>
      </c>
      <c r="W34" s="11"/>
      <c r="X34" s="11">
        <v>9</v>
      </c>
      <c r="Y34" s="11">
        <v>202</v>
      </c>
      <c r="Z34" s="11"/>
      <c r="AA34" s="11"/>
      <c r="AB34" s="11">
        <v>13.6</v>
      </c>
      <c r="AC34" s="11">
        <v>11.6</v>
      </c>
      <c r="AD34" s="11">
        <v>13.2</v>
      </c>
      <c r="AE34" s="11"/>
      <c r="AF34" s="45">
        <f t="shared" si="7"/>
        <v>0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s="16" customFormat="1" x14ac:dyDescent="0.25">
      <c r="A35" s="32" t="s">
        <v>73</v>
      </c>
      <c r="B35" s="32" t="s">
        <v>36</v>
      </c>
      <c r="C35" s="32"/>
      <c r="D35" s="32"/>
      <c r="E35" s="32"/>
      <c r="F35" s="32">
        <v>116</v>
      </c>
      <c r="G35" s="33">
        <v>0.22500000000000001</v>
      </c>
      <c r="H35" s="32">
        <v>135</v>
      </c>
      <c r="I35" s="32">
        <v>1030671534</v>
      </c>
      <c r="J35" s="32"/>
      <c r="K35" s="32"/>
      <c r="L35" s="32">
        <f t="shared" si="2"/>
        <v>0</v>
      </c>
      <c r="M35" s="32"/>
      <c r="N35" s="32"/>
      <c r="O35" s="32"/>
      <c r="P35" s="32">
        <v>300</v>
      </c>
      <c r="Q35" s="26">
        <f t="shared" si="5"/>
        <v>0</v>
      </c>
      <c r="R35" s="44">
        <f t="shared" si="6"/>
        <v>-416</v>
      </c>
      <c r="S35" s="50">
        <v>200</v>
      </c>
      <c r="T35" s="15" t="s">
        <v>90</v>
      </c>
      <c r="U35" s="15" t="s">
        <v>39</v>
      </c>
      <c r="V35" s="15" t="s">
        <v>36</v>
      </c>
      <c r="W35" s="8">
        <v>751</v>
      </c>
      <c r="X35" s="8">
        <v>242</v>
      </c>
      <c r="Y35" s="8">
        <v>800</v>
      </c>
      <c r="Z35" s="8">
        <v>400</v>
      </c>
      <c r="AA35" s="8"/>
      <c r="AB35" s="8">
        <v>0</v>
      </c>
      <c r="AC35" s="8">
        <v>0</v>
      </c>
      <c r="AD35" s="8">
        <v>0</v>
      </c>
      <c r="AE35" s="8" t="s">
        <v>53</v>
      </c>
      <c r="AF35" s="45">
        <f t="shared" si="7"/>
        <v>45</v>
      </c>
      <c r="AG35" s="11">
        <f>VLOOKUP(I35,[2]Лист1!$B:$G,6,0)</f>
        <v>45</v>
      </c>
      <c r="AH35" s="15"/>
      <c r="AI35" s="11">
        <f>VLOOKUP(I35,[2]Лист1!$B:$B,1,0)</f>
        <v>1030671534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 spans="1:47" s="16" customFormat="1" x14ac:dyDescent="0.25">
      <c r="A36" s="32" t="s">
        <v>74</v>
      </c>
      <c r="B36" s="32" t="s">
        <v>36</v>
      </c>
      <c r="C36" s="32"/>
      <c r="D36" s="32"/>
      <c r="E36" s="32"/>
      <c r="F36" s="32">
        <v>74</v>
      </c>
      <c r="G36" s="33">
        <v>0.22500000000000001</v>
      </c>
      <c r="H36" s="32">
        <v>135</v>
      </c>
      <c r="I36" s="32">
        <v>1030688634</v>
      </c>
      <c r="J36" s="32"/>
      <c r="K36" s="32"/>
      <c r="L36" s="32">
        <f t="shared" si="2"/>
        <v>0</v>
      </c>
      <c r="M36" s="32"/>
      <c r="N36" s="32"/>
      <c r="O36" s="32"/>
      <c r="P36" s="32">
        <v>300</v>
      </c>
      <c r="Q36" s="26">
        <f t="shared" si="5"/>
        <v>0</v>
      </c>
      <c r="R36" s="44">
        <f t="shared" si="6"/>
        <v>-374</v>
      </c>
      <c r="S36" s="50">
        <v>200</v>
      </c>
      <c r="T36" s="15" t="s">
        <v>90</v>
      </c>
      <c r="U36" s="15" t="s">
        <v>56</v>
      </c>
      <c r="V36" s="15" t="s">
        <v>36</v>
      </c>
      <c r="W36" s="8"/>
      <c r="X36" s="8"/>
      <c r="Y36" s="8"/>
      <c r="Z36" s="8"/>
      <c r="AA36" s="8" t="s">
        <v>88</v>
      </c>
      <c r="AB36" s="8">
        <v>0</v>
      </c>
      <c r="AC36" s="8">
        <v>0</v>
      </c>
      <c r="AD36" s="8">
        <v>0</v>
      </c>
      <c r="AE36" s="8" t="s">
        <v>53</v>
      </c>
      <c r="AF36" s="45">
        <f t="shared" si="7"/>
        <v>45</v>
      </c>
      <c r="AG36" s="11">
        <f>VLOOKUP(I36,[2]Лист1!$B:$G,6,0)</f>
        <v>45</v>
      </c>
      <c r="AH36" s="15"/>
      <c r="AI36" s="11">
        <f>VLOOKUP(I36,[2]Лист1!$B:$B,1,0)</f>
        <v>1030688634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spans="1:47" x14ac:dyDescent="0.25">
      <c r="A37" s="26" t="s">
        <v>75</v>
      </c>
      <c r="B37" s="26" t="s">
        <v>36</v>
      </c>
      <c r="C37" s="26">
        <v>3</v>
      </c>
      <c r="D37" s="26">
        <v>563</v>
      </c>
      <c r="E37" s="26">
        <v>555</v>
      </c>
      <c r="F37" s="26">
        <v>119</v>
      </c>
      <c r="G37" s="27">
        <v>0.25</v>
      </c>
      <c r="H37" s="26">
        <v>120</v>
      </c>
      <c r="I37" s="26">
        <v>1030670803</v>
      </c>
      <c r="J37" s="26"/>
      <c r="K37" s="26"/>
      <c r="L37" s="26">
        <f t="shared" si="2"/>
        <v>555</v>
      </c>
      <c r="M37" s="26"/>
      <c r="N37" s="26"/>
      <c r="O37" s="26"/>
      <c r="P37" s="31">
        <v>800</v>
      </c>
      <c r="Q37" s="26">
        <f t="shared" si="5"/>
        <v>111</v>
      </c>
      <c r="R37" s="44">
        <f t="shared" si="6"/>
        <v>1856</v>
      </c>
      <c r="S37" s="49">
        <v>200</v>
      </c>
      <c r="T37" s="11"/>
      <c r="U37" s="11" t="s">
        <v>58</v>
      </c>
      <c r="V37" s="11" t="s">
        <v>36</v>
      </c>
      <c r="W37" s="11"/>
      <c r="X37" s="11">
        <v>39</v>
      </c>
      <c r="Y37" s="11">
        <v>200</v>
      </c>
      <c r="Z37" s="11">
        <v>60</v>
      </c>
      <c r="AA37" s="11" t="s">
        <v>90</v>
      </c>
      <c r="AB37" s="11">
        <v>0</v>
      </c>
      <c r="AC37" s="11">
        <v>0</v>
      </c>
      <c r="AD37" s="11">
        <v>0</v>
      </c>
      <c r="AE37" s="6" t="s">
        <v>76</v>
      </c>
      <c r="AF37" s="45">
        <f t="shared" si="7"/>
        <v>50</v>
      </c>
      <c r="AG37" s="11">
        <f>VLOOKUP(I37,[2]Лист1!$B:$G,6,0)</f>
        <v>50</v>
      </c>
      <c r="AH37" s="11"/>
      <c r="AI37" s="11">
        <f>VLOOKUP(I37,[2]Лист1!$B:$B,1,0)</f>
        <v>1030670803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s="21" customFormat="1" x14ac:dyDescent="0.25">
      <c r="A38" s="37" t="s">
        <v>77</v>
      </c>
      <c r="B38" s="37" t="s">
        <v>32</v>
      </c>
      <c r="C38" s="37">
        <v>-4.4999999999999998E-2</v>
      </c>
      <c r="D38" s="37">
        <v>78.372</v>
      </c>
      <c r="E38" s="37">
        <v>65.968999999999994</v>
      </c>
      <c r="F38" s="37"/>
      <c r="G38" s="38">
        <v>1</v>
      </c>
      <c r="H38" s="37">
        <v>35</v>
      </c>
      <c r="I38" s="37">
        <v>1030228316</v>
      </c>
      <c r="J38" s="37"/>
      <c r="K38" s="37"/>
      <c r="L38" s="37">
        <f t="shared" si="2"/>
        <v>65.968999999999994</v>
      </c>
      <c r="M38" s="37"/>
      <c r="N38" s="37"/>
      <c r="O38" s="37"/>
      <c r="P38" s="37">
        <v>80</v>
      </c>
      <c r="Q38" s="26">
        <f t="shared" si="5"/>
        <v>13.1938</v>
      </c>
      <c r="R38" s="44">
        <f t="shared" si="6"/>
        <v>249.84499999999997</v>
      </c>
      <c r="S38" s="54">
        <v>50</v>
      </c>
      <c r="T38" s="20"/>
      <c r="U38" s="19" t="s">
        <v>59</v>
      </c>
      <c r="V38" s="19" t="s">
        <v>36</v>
      </c>
      <c r="W38" s="6"/>
      <c r="X38" s="6"/>
      <c r="Y38" s="6"/>
      <c r="Z38" s="6"/>
      <c r="AA38" s="6" t="s">
        <v>89</v>
      </c>
      <c r="AB38" s="6">
        <v>-5.3287999999999993</v>
      </c>
      <c r="AC38" s="6">
        <v>11.487399999999999</v>
      </c>
      <c r="AD38" s="6">
        <v>18.258199999999999</v>
      </c>
      <c r="AE38" s="6"/>
      <c r="AF38" s="45">
        <f t="shared" si="7"/>
        <v>50</v>
      </c>
      <c r="AG38" s="11">
        <f>VLOOKUP(I38,[2]Лист1!$B:$G,6,0)</f>
        <v>50</v>
      </c>
      <c r="AH38" s="19"/>
      <c r="AI38" s="11">
        <f>VLOOKUP(I38,[2]Лист1!$B:$B,1,0)</f>
        <v>1030228316</v>
      </c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1:47" x14ac:dyDescent="0.25">
      <c r="A39" s="26" t="s">
        <v>43</v>
      </c>
      <c r="B39" s="26" t="s">
        <v>36</v>
      </c>
      <c r="C39" s="26">
        <v>-6</v>
      </c>
      <c r="D39" s="26">
        <v>405</v>
      </c>
      <c r="E39" s="24">
        <f>341+E10</f>
        <v>362</v>
      </c>
      <c r="F39" s="24"/>
      <c r="G39" s="27">
        <v>0.4</v>
      </c>
      <c r="H39" s="26">
        <v>41</v>
      </c>
      <c r="I39" s="26">
        <v>1030234120</v>
      </c>
      <c r="J39" s="26"/>
      <c r="K39" s="26"/>
      <c r="L39" s="26">
        <f t="shared" si="2"/>
        <v>362</v>
      </c>
      <c r="M39" s="26"/>
      <c r="N39" s="26"/>
      <c r="O39" s="26"/>
      <c r="P39" s="26">
        <v>500</v>
      </c>
      <c r="Q39" s="26">
        <f t="shared" si="5"/>
        <v>72.400000000000006</v>
      </c>
      <c r="R39" s="44">
        <f t="shared" si="6"/>
        <v>1310.0000000000002</v>
      </c>
      <c r="S39" s="49"/>
      <c r="T39" s="11"/>
      <c r="U39" s="11" t="s">
        <v>60</v>
      </c>
      <c r="V39" s="11" t="s">
        <v>36</v>
      </c>
      <c r="W39" s="11"/>
      <c r="X39" s="11">
        <v>38</v>
      </c>
      <c r="Y39" s="11">
        <v>200</v>
      </c>
      <c r="Z39" s="11">
        <v>60</v>
      </c>
      <c r="AA39" s="11" t="s">
        <v>90</v>
      </c>
      <c r="AB39" s="11">
        <v>46.8</v>
      </c>
      <c r="AC39" s="11">
        <v>38.799999999999997</v>
      </c>
      <c r="AD39" s="11">
        <v>23.6</v>
      </c>
      <c r="AE39" s="11"/>
      <c r="AF39" s="45">
        <f t="shared" si="7"/>
        <v>0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x14ac:dyDescent="0.25">
      <c r="A40" s="29" t="s">
        <v>78</v>
      </c>
      <c r="B40" s="29" t="s">
        <v>36</v>
      </c>
      <c r="C40" s="29">
        <v>4</v>
      </c>
      <c r="D40" s="29">
        <v>200</v>
      </c>
      <c r="E40" s="29">
        <v>172</v>
      </c>
      <c r="F40" s="29">
        <v>12</v>
      </c>
      <c r="G40" s="30">
        <v>0</v>
      </c>
      <c r="H40" s="29">
        <v>31</v>
      </c>
      <c r="I40" s="29">
        <v>1030228620</v>
      </c>
      <c r="J40" s="29"/>
      <c r="K40" s="29"/>
      <c r="L40" s="29">
        <f t="shared" si="2"/>
        <v>172</v>
      </c>
      <c r="M40" s="29"/>
      <c r="N40" s="29"/>
      <c r="O40" s="29"/>
      <c r="P40" s="31">
        <v>105</v>
      </c>
      <c r="Q40" s="26">
        <f t="shared" si="5"/>
        <v>34.4</v>
      </c>
      <c r="R40" s="44">
        <f t="shared" si="6"/>
        <v>743</v>
      </c>
      <c r="S40" s="51"/>
      <c r="T40" s="7" t="str">
        <f>VLOOKUP(A40,[3]Sheet!$A$1:$T$65536,20,0)</f>
        <v>заблокировано на 2026</v>
      </c>
      <c r="U40" s="6" t="s">
        <v>61</v>
      </c>
      <c r="V40" s="6" t="s">
        <v>36</v>
      </c>
      <c r="W40" s="6"/>
      <c r="X40" s="6">
        <v>40</v>
      </c>
      <c r="Y40" s="6">
        <v>200</v>
      </c>
      <c r="Z40" s="6">
        <v>100</v>
      </c>
      <c r="AA40" s="6" t="s">
        <v>90</v>
      </c>
      <c r="AB40" s="6">
        <v>25.8</v>
      </c>
      <c r="AC40" s="6">
        <v>26.6</v>
      </c>
      <c r="AD40" s="6">
        <v>10.8</v>
      </c>
      <c r="AE40" s="6"/>
      <c r="AF40" s="45">
        <f t="shared" si="7"/>
        <v>0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s="16" customFormat="1" x14ac:dyDescent="0.25">
      <c r="A41" s="32" t="s">
        <v>79</v>
      </c>
      <c r="B41" s="32" t="s">
        <v>32</v>
      </c>
      <c r="C41" s="32"/>
      <c r="D41" s="32"/>
      <c r="E41" s="32"/>
      <c r="F41" s="32"/>
      <c r="G41" s="33">
        <v>1.5</v>
      </c>
      <c r="H41" s="32">
        <v>31</v>
      </c>
      <c r="I41" s="32">
        <v>1030228855</v>
      </c>
      <c r="J41" s="32"/>
      <c r="K41" s="32"/>
      <c r="L41" s="32">
        <f t="shared" si="2"/>
        <v>0</v>
      </c>
      <c r="M41" s="32"/>
      <c r="N41" s="32"/>
      <c r="O41" s="32"/>
      <c r="P41" s="32">
        <v>105</v>
      </c>
      <c r="Q41" s="26">
        <f t="shared" si="5"/>
        <v>0</v>
      </c>
      <c r="R41" s="44">
        <f t="shared" si="6"/>
        <v>-105</v>
      </c>
      <c r="S41" s="52">
        <v>60</v>
      </c>
      <c r="T41" s="15" t="s">
        <v>90</v>
      </c>
      <c r="U41" s="15" t="s">
        <v>62</v>
      </c>
      <c r="V41" s="15" t="s">
        <v>36</v>
      </c>
      <c r="W41" s="8">
        <v>606</v>
      </c>
      <c r="X41" s="8">
        <v>319</v>
      </c>
      <c r="Y41" s="8">
        <v>900</v>
      </c>
      <c r="Z41" s="8">
        <v>400</v>
      </c>
      <c r="AA41" s="8"/>
      <c r="AB41" s="8">
        <v>0</v>
      </c>
      <c r="AC41" s="8">
        <v>0</v>
      </c>
      <c r="AD41" s="8">
        <v>0</v>
      </c>
      <c r="AE41" s="8" t="s">
        <v>53</v>
      </c>
      <c r="AF41" s="45">
        <f t="shared" si="7"/>
        <v>90</v>
      </c>
      <c r="AG41" s="11">
        <f>VLOOKUP(I41,[2]Лист1!$B:$G,6,0)</f>
        <v>60</v>
      </c>
      <c r="AH41" s="15"/>
      <c r="AI41" s="11">
        <f>VLOOKUP(I41,[2]Лист1!$B:$B,1,0)</f>
        <v>1030228855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 spans="1:47" x14ac:dyDescent="0.25">
      <c r="A42" s="26" t="s">
        <v>80</v>
      </c>
      <c r="B42" s="26" t="s">
        <v>36</v>
      </c>
      <c r="C42" s="26"/>
      <c r="D42" s="26">
        <v>200</v>
      </c>
      <c r="E42" s="26">
        <v>198</v>
      </c>
      <c r="F42" s="26"/>
      <c r="G42" s="27">
        <v>0.45</v>
      </c>
      <c r="H42" s="26">
        <v>30</v>
      </c>
      <c r="I42" s="26">
        <v>1030212603</v>
      </c>
      <c r="J42" s="26"/>
      <c r="K42" s="26"/>
      <c r="L42" s="26">
        <f t="shared" si="2"/>
        <v>198</v>
      </c>
      <c r="M42" s="26"/>
      <c r="N42" s="26"/>
      <c r="O42" s="26"/>
      <c r="P42" s="31">
        <v>250</v>
      </c>
      <c r="Q42" s="26">
        <f t="shared" si="5"/>
        <v>39.6</v>
      </c>
      <c r="R42" s="44">
        <f t="shared" si="6"/>
        <v>740</v>
      </c>
      <c r="S42" s="49">
        <v>100</v>
      </c>
      <c r="T42" s="11"/>
      <c r="U42" s="11" t="s">
        <v>41</v>
      </c>
      <c r="V42" s="11" t="s">
        <v>36</v>
      </c>
      <c r="W42" s="11">
        <v>427</v>
      </c>
      <c r="X42" s="11">
        <v>265</v>
      </c>
      <c r="Y42" s="11">
        <v>800</v>
      </c>
      <c r="Z42" s="11">
        <v>300</v>
      </c>
      <c r="AA42" s="11"/>
      <c r="AB42" s="11">
        <v>36.200000000000003</v>
      </c>
      <c r="AC42" s="11">
        <v>48</v>
      </c>
      <c r="AD42" s="11">
        <v>12.4</v>
      </c>
      <c r="AE42" s="11"/>
      <c r="AF42" s="45">
        <f t="shared" si="7"/>
        <v>45</v>
      </c>
      <c r="AG42" s="11">
        <f>VLOOKUP(I42,[2]Лист1!$B:$G,6,0)</f>
        <v>45</v>
      </c>
      <c r="AH42" s="11"/>
      <c r="AI42" s="11">
        <f>VLOOKUP(I42,[2]Лист1!$B:$B,1,0)</f>
        <v>1030212603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s="18" customFormat="1" x14ac:dyDescent="0.25">
      <c r="A43" s="39" t="s">
        <v>81</v>
      </c>
      <c r="B43" s="39" t="s">
        <v>36</v>
      </c>
      <c r="C43" s="39"/>
      <c r="D43" s="39"/>
      <c r="E43" s="39"/>
      <c r="F43" s="39"/>
      <c r="G43" s="40">
        <v>0.35</v>
      </c>
      <c r="H43" s="39">
        <v>31</v>
      </c>
      <c r="I43" s="39">
        <v>1030236957</v>
      </c>
      <c r="J43" s="39"/>
      <c r="K43" s="39"/>
      <c r="L43" s="39">
        <f t="shared" si="2"/>
        <v>0</v>
      </c>
      <c r="M43" s="39"/>
      <c r="N43" s="39"/>
      <c r="O43" s="39"/>
      <c r="P43" s="39">
        <v>80</v>
      </c>
      <c r="Q43" s="26">
        <f t="shared" si="5"/>
        <v>0</v>
      </c>
      <c r="R43" s="44">
        <f t="shared" si="6"/>
        <v>-80</v>
      </c>
      <c r="S43" s="55"/>
      <c r="T43" s="17" t="s">
        <v>91</v>
      </c>
      <c r="U43" s="17" t="s">
        <v>63</v>
      </c>
      <c r="V43" s="17" t="s">
        <v>36</v>
      </c>
      <c r="W43" s="8">
        <v>272</v>
      </c>
      <c r="X43" s="8">
        <v>59</v>
      </c>
      <c r="Y43" s="8">
        <v>600</v>
      </c>
      <c r="Z43" s="8">
        <v>200</v>
      </c>
      <c r="AA43" s="8"/>
      <c r="AB43" s="8">
        <v>0</v>
      </c>
      <c r="AC43" s="8">
        <v>0</v>
      </c>
      <c r="AD43" s="8">
        <v>0</v>
      </c>
      <c r="AE43" s="8" t="s">
        <v>55</v>
      </c>
      <c r="AF43" s="45">
        <f t="shared" si="7"/>
        <v>0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</row>
    <row r="44" spans="1:47" x14ac:dyDescent="0.25">
      <c r="A44" s="41" t="s">
        <v>82</v>
      </c>
      <c r="B44" s="41" t="s">
        <v>32</v>
      </c>
      <c r="C44" s="41">
        <v>-4.8390000000000004</v>
      </c>
      <c r="D44" s="41"/>
      <c r="E44" s="41"/>
      <c r="F44" s="41">
        <v>-4.8390000000000004</v>
      </c>
      <c r="G44" s="42">
        <v>0</v>
      </c>
      <c r="H44" s="41"/>
      <c r="I44" s="41" t="s">
        <v>83</v>
      </c>
      <c r="J44" s="41"/>
      <c r="K44" s="41"/>
      <c r="L44" s="41">
        <f t="shared" si="2"/>
        <v>0</v>
      </c>
      <c r="M44" s="41"/>
      <c r="N44" s="41"/>
      <c r="O44" s="41"/>
      <c r="P44" s="41">
        <f>E44/5</f>
        <v>0</v>
      </c>
      <c r="Q44" s="26">
        <f t="shared" si="5"/>
        <v>0</v>
      </c>
      <c r="R44" s="44">
        <f t="shared" si="6"/>
        <v>4.8390000000000004</v>
      </c>
      <c r="S44" s="56"/>
      <c r="T44" s="12"/>
      <c r="U44" s="12" t="s">
        <v>64</v>
      </c>
      <c r="V44" s="12" t="s">
        <v>36</v>
      </c>
      <c r="W44" s="12"/>
      <c r="X44" s="12">
        <v>40</v>
      </c>
      <c r="Y44" s="12">
        <v>200</v>
      </c>
      <c r="Z44" s="12">
        <v>100</v>
      </c>
      <c r="AA44" s="12" t="s">
        <v>90</v>
      </c>
      <c r="AB44" s="12">
        <v>1.6364000000000001</v>
      </c>
      <c r="AC44" s="12">
        <v>0</v>
      </c>
      <c r="AD44" s="12">
        <v>0</v>
      </c>
      <c r="AE44" s="12"/>
      <c r="AF44" s="45">
        <f t="shared" si="7"/>
        <v>0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x14ac:dyDescent="0.25">
      <c r="A45" s="41" t="s">
        <v>84</v>
      </c>
      <c r="B45" s="41"/>
      <c r="C45" s="41">
        <v>-1.2390000000000001</v>
      </c>
      <c r="D45" s="41"/>
      <c r="E45" s="41">
        <v>9.9280000000000008</v>
      </c>
      <c r="F45" s="41">
        <v>-11.167</v>
      </c>
      <c r="G45" s="42">
        <v>0</v>
      </c>
      <c r="H45" s="41"/>
      <c r="I45" s="41" t="s">
        <v>83</v>
      </c>
      <c r="J45" s="41"/>
      <c r="K45" s="41"/>
      <c r="L45" s="41">
        <f t="shared" si="2"/>
        <v>9.9280000000000008</v>
      </c>
      <c r="M45" s="41"/>
      <c r="N45" s="41"/>
      <c r="O45" s="41"/>
      <c r="P45" s="41">
        <f>E45/5</f>
        <v>1.9856000000000003</v>
      </c>
      <c r="Q45" s="26">
        <f t="shared" si="5"/>
        <v>1.9856000000000003</v>
      </c>
      <c r="R45" s="44">
        <f t="shared" si="6"/>
        <v>58.821400000000011</v>
      </c>
      <c r="S45" s="56"/>
      <c r="T45" s="12"/>
      <c r="U45" s="12" t="s">
        <v>65</v>
      </c>
      <c r="V45" s="12" t="s">
        <v>36</v>
      </c>
      <c r="W45" s="12">
        <v>171</v>
      </c>
      <c r="X45" s="12">
        <v>-2</v>
      </c>
      <c r="Y45" s="12">
        <v>300</v>
      </c>
      <c r="Z45" s="12"/>
      <c r="AA45" s="12" t="s">
        <v>88</v>
      </c>
      <c r="AB45" s="12">
        <v>0</v>
      </c>
      <c r="AC45" s="12">
        <v>0</v>
      </c>
      <c r="AD45" s="12">
        <v>0</v>
      </c>
      <c r="AE45" s="12"/>
      <c r="AF45" s="45">
        <f t="shared" si="7"/>
        <v>0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x14ac:dyDescent="0.25">
      <c r="A46" s="41" t="s">
        <v>85</v>
      </c>
      <c r="B46" s="41" t="s">
        <v>36</v>
      </c>
      <c r="C46" s="41">
        <v>-4</v>
      </c>
      <c r="D46" s="41"/>
      <c r="E46" s="41"/>
      <c r="F46" s="41">
        <v>-4</v>
      </c>
      <c r="G46" s="42">
        <v>0</v>
      </c>
      <c r="H46" s="41"/>
      <c r="I46" s="41" t="s">
        <v>83</v>
      </c>
      <c r="J46" s="41"/>
      <c r="K46" s="41"/>
      <c r="L46" s="41">
        <f t="shared" si="2"/>
        <v>0</v>
      </c>
      <c r="M46" s="41"/>
      <c r="N46" s="41"/>
      <c r="O46" s="41"/>
      <c r="P46" s="41">
        <f>E46/5</f>
        <v>0</v>
      </c>
      <c r="Q46" s="26">
        <f t="shared" si="5"/>
        <v>0</v>
      </c>
      <c r="R46" s="44">
        <f t="shared" si="6"/>
        <v>4</v>
      </c>
      <c r="S46" s="56"/>
      <c r="T46" s="12"/>
      <c r="U46" s="12" t="s">
        <v>66</v>
      </c>
      <c r="V46" s="12" t="s">
        <v>36</v>
      </c>
      <c r="W46" s="12">
        <v>196</v>
      </c>
      <c r="X46" s="12">
        <v>-16</v>
      </c>
      <c r="Y46" s="12">
        <v>800</v>
      </c>
      <c r="Z46" s="12"/>
      <c r="AA46" s="12" t="s">
        <v>88</v>
      </c>
      <c r="AB46" s="12">
        <v>0.8</v>
      </c>
      <c r="AC46" s="12">
        <v>0</v>
      </c>
      <c r="AD46" s="12">
        <v>0</v>
      </c>
      <c r="AE46" s="12"/>
      <c r="AF46" s="45">
        <f t="shared" si="7"/>
        <v>0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x14ac:dyDescent="0.25">
      <c r="A47" s="41" t="s">
        <v>86</v>
      </c>
      <c r="B47" s="41" t="s">
        <v>36</v>
      </c>
      <c r="C47" s="41">
        <v>-4</v>
      </c>
      <c r="D47" s="41"/>
      <c r="E47" s="41"/>
      <c r="F47" s="41">
        <v>-4</v>
      </c>
      <c r="G47" s="42">
        <v>0</v>
      </c>
      <c r="H47" s="41"/>
      <c r="I47" s="41" t="s">
        <v>83</v>
      </c>
      <c r="J47" s="41"/>
      <c r="K47" s="41"/>
      <c r="L47" s="41">
        <f t="shared" si="2"/>
        <v>0</v>
      </c>
      <c r="M47" s="41"/>
      <c r="N47" s="41"/>
      <c r="O47" s="41"/>
      <c r="P47" s="41">
        <f>E47/5</f>
        <v>0</v>
      </c>
      <c r="Q47" s="26">
        <f t="shared" si="5"/>
        <v>0</v>
      </c>
      <c r="R47" s="44">
        <f t="shared" si="6"/>
        <v>4</v>
      </c>
      <c r="S47" s="56"/>
      <c r="T47" s="12"/>
      <c r="U47" s="12" t="s">
        <v>68</v>
      </c>
      <c r="V47" s="12" t="s">
        <v>36</v>
      </c>
      <c r="W47" s="12">
        <v>139</v>
      </c>
      <c r="X47" s="12"/>
      <c r="Y47" s="12">
        <v>80</v>
      </c>
      <c r="Z47" s="12"/>
      <c r="AA47" s="12" t="s">
        <v>88</v>
      </c>
      <c r="AB47" s="12">
        <v>0.8</v>
      </c>
      <c r="AC47" s="12">
        <v>0</v>
      </c>
      <c r="AD47" s="12">
        <v>0</v>
      </c>
      <c r="AE47" s="12"/>
      <c r="AF47" s="45">
        <f t="shared" si="7"/>
        <v>0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s="16" customFormat="1" x14ac:dyDescent="0.25">
      <c r="A48" s="32" t="s">
        <v>87</v>
      </c>
      <c r="B48" s="32" t="s">
        <v>36</v>
      </c>
      <c r="C48" s="32"/>
      <c r="D48" s="32"/>
      <c r="E48" s="32"/>
      <c r="F48" s="32">
        <v>3</v>
      </c>
      <c r="G48" s="33">
        <v>0.4</v>
      </c>
      <c r="H48" s="32">
        <v>40</v>
      </c>
      <c r="I48" s="32">
        <v>1030707697</v>
      </c>
      <c r="J48" s="32"/>
      <c r="K48" s="32"/>
      <c r="L48" s="32">
        <f t="shared" si="2"/>
        <v>0</v>
      </c>
      <c r="M48" s="32"/>
      <c r="N48" s="32"/>
      <c r="O48" s="32"/>
      <c r="P48" s="32">
        <v>100</v>
      </c>
      <c r="Q48" s="26">
        <f t="shared" si="5"/>
        <v>0</v>
      </c>
      <c r="R48" s="44">
        <f t="shared" si="6"/>
        <v>-103</v>
      </c>
      <c r="S48" s="52">
        <v>60</v>
      </c>
      <c r="T48" s="15" t="s">
        <v>90</v>
      </c>
      <c r="U48" s="15" t="s">
        <v>70</v>
      </c>
      <c r="V48" s="15" t="s">
        <v>36</v>
      </c>
      <c r="W48" s="8">
        <v>181</v>
      </c>
      <c r="X48" s="8">
        <v>22</v>
      </c>
      <c r="Y48" s="8">
        <v>500</v>
      </c>
      <c r="Z48" s="8"/>
      <c r="AA48" s="8" t="s">
        <v>88</v>
      </c>
      <c r="AB48" s="8">
        <v>0</v>
      </c>
      <c r="AC48" s="8">
        <v>0</v>
      </c>
      <c r="AD48" s="8">
        <v>0</v>
      </c>
      <c r="AE48" s="8" t="s">
        <v>55</v>
      </c>
      <c r="AF48" s="45">
        <f t="shared" si="7"/>
        <v>24</v>
      </c>
      <c r="AG48" s="11">
        <f>VLOOKUP(I48,[2]Лист1!$B:$G,6,0)</f>
        <v>24</v>
      </c>
      <c r="AH48" s="15"/>
      <c r="AI48" s="11">
        <f>VLOOKUP(I48,[2]Лист1!$B:$B,1,0)</f>
        <v>1030707697</v>
      </c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spans="1:47" x14ac:dyDescent="0.25">
      <c r="A49" s="26"/>
      <c r="B49" s="26"/>
      <c r="C49" s="26"/>
      <c r="D49" s="26"/>
      <c r="E49" s="26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11"/>
      <c r="S49" s="45"/>
      <c r="T49" s="11"/>
      <c r="U49" s="11" t="s">
        <v>72</v>
      </c>
      <c r="V49" s="11" t="s">
        <v>36</v>
      </c>
      <c r="W49" s="11">
        <v>47</v>
      </c>
      <c r="X49" s="11">
        <v>452</v>
      </c>
      <c r="Y49" s="11">
        <v>400</v>
      </c>
      <c r="Z49" s="11"/>
      <c r="AA49" s="11"/>
      <c r="AB49" s="11"/>
      <c r="AC49" s="11"/>
      <c r="AD49" s="11"/>
      <c r="AE49" s="11"/>
      <c r="AF49" s="45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spans="1:47" x14ac:dyDescent="0.25">
      <c r="A50" s="26"/>
      <c r="B50" s="26"/>
      <c r="C50" s="26"/>
      <c r="D50" s="26"/>
      <c r="E50" s="26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11"/>
      <c r="S50" s="45"/>
      <c r="T50" s="11"/>
      <c r="U50" s="11" t="s">
        <v>73</v>
      </c>
      <c r="V50" s="11" t="s">
        <v>36</v>
      </c>
      <c r="W50" s="11"/>
      <c r="X50" s="11">
        <v>116</v>
      </c>
      <c r="Y50" s="11">
        <v>300</v>
      </c>
      <c r="Z50" s="11">
        <v>200</v>
      </c>
      <c r="AA50" s="11" t="s">
        <v>90</v>
      </c>
      <c r="AB50" s="11"/>
      <c r="AC50" s="11"/>
      <c r="AD50" s="11"/>
      <c r="AE50" s="11"/>
      <c r="AF50" s="45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spans="1:47" x14ac:dyDescent="0.25">
      <c r="A51" s="11"/>
      <c r="B51" s="11"/>
      <c r="C51" s="11"/>
      <c r="D51" s="11"/>
      <c r="E51" s="11"/>
      <c r="F51" s="11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45"/>
      <c r="T51" s="11"/>
      <c r="U51" s="11" t="s">
        <v>74</v>
      </c>
      <c r="V51" s="11" t="s">
        <v>36</v>
      </c>
      <c r="W51" s="11"/>
      <c r="X51" s="11">
        <v>74</v>
      </c>
      <c r="Y51" s="11">
        <v>300</v>
      </c>
      <c r="Z51" s="11">
        <v>200</v>
      </c>
      <c r="AA51" s="11" t="s">
        <v>90</v>
      </c>
      <c r="AB51" s="11"/>
      <c r="AC51" s="11"/>
      <c r="AD51" s="11"/>
      <c r="AE51" s="11"/>
      <c r="AF51" s="45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 x14ac:dyDescent="0.25">
      <c r="A52" s="11"/>
      <c r="B52" s="11"/>
      <c r="C52" s="11"/>
      <c r="D52" s="11"/>
      <c r="E52" s="11"/>
      <c r="F52" s="11"/>
      <c r="G52" s="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45"/>
      <c r="T52" s="11"/>
      <c r="U52" s="11" t="s">
        <v>75</v>
      </c>
      <c r="V52" s="11" t="s">
        <v>36</v>
      </c>
      <c r="W52" s="11">
        <v>555</v>
      </c>
      <c r="X52" s="11">
        <v>119</v>
      </c>
      <c r="Y52" s="11">
        <v>800</v>
      </c>
      <c r="Z52" s="11">
        <v>200</v>
      </c>
      <c r="AA52" s="11"/>
      <c r="AB52" s="11"/>
      <c r="AC52" s="11"/>
      <c r="AD52" s="11"/>
      <c r="AE52" s="11"/>
      <c r="AF52" s="45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spans="1:47" x14ac:dyDescent="0.25">
      <c r="A53" s="11"/>
      <c r="B53" s="11"/>
      <c r="C53" s="11"/>
      <c r="D53" s="11"/>
      <c r="E53" s="11"/>
      <c r="F53" s="11"/>
      <c r="G53" s="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45"/>
      <c r="T53" s="11"/>
      <c r="U53" s="11" t="s">
        <v>77</v>
      </c>
      <c r="V53" s="11" t="s">
        <v>32</v>
      </c>
      <c r="W53" s="11">
        <v>66</v>
      </c>
      <c r="X53" s="11"/>
      <c r="Y53" s="11">
        <v>80</v>
      </c>
      <c r="Z53" s="11">
        <v>50</v>
      </c>
      <c r="AA53" s="11"/>
      <c r="AB53" s="11"/>
      <c r="AC53" s="11"/>
      <c r="AD53" s="11"/>
      <c r="AE53" s="11"/>
      <c r="AF53" s="45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spans="1:47" x14ac:dyDescent="0.25">
      <c r="A54" s="11"/>
      <c r="B54" s="11"/>
      <c r="C54" s="11"/>
      <c r="D54" s="11"/>
      <c r="E54" s="11"/>
      <c r="F54" s="11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45"/>
      <c r="T54" s="11"/>
      <c r="U54" s="11" t="s">
        <v>43</v>
      </c>
      <c r="V54" s="11" t="s">
        <v>36</v>
      </c>
      <c r="W54" s="11">
        <v>362</v>
      </c>
      <c r="X54" s="11"/>
      <c r="Y54" s="11">
        <v>500</v>
      </c>
      <c r="Z54" s="11">
        <v>200</v>
      </c>
      <c r="AA54" s="11"/>
      <c r="AB54" s="11"/>
      <c r="AC54" s="11"/>
      <c r="AD54" s="11"/>
      <c r="AE54" s="11"/>
      <c r="AF54" s="45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1:47" x14ac:dyDescent="0.25">
      <c r="A55" s="11"/>
      <c r="B55" s="11"/>
      <c r="C55" s="11"/>
      <c r="D55" s="11"/>
      <c r="E55" s="11"/>
      <c r="F55" s="11"/>
      <c r="G55" s="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45"/>
      <c r="T55" s="11"/>
      <c r="U55" s="11" t="s">
        <v>78</v>
      </c>
      <c r="V55" s="11" t="s">
        <v>36</v>
      </c>
      <c r="W55" s="11">
        <v>172</v>
      </c>
      <c r="X55" s="11">
        <v>12</v>
      </c>
      <c r="Y55" s="11">
        <v>105</v>
      </c>
      <c r="Z55" s="11"/>
      <c r="AA55" s="11" t="s">
        <v>88</v>
      </c>
      <c r="AB55" s="11"/>
      <c r="AC55" s="11"/>
      <c r="AD55" s="11"/>
      <c r="AE55" s="11"/>
      <c r="AF55" s="45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 x14ac:dyDescent="0.25">
      <c r="A56" s="11"/>
      <c r="B56" s="11"/>
      <c r="C56" s="11"/>
      <c r="D56" s="11"/>
      <c r="E56" s="11"/>
      <c r="F56" s="11"/>
      <c r="G56" s="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45"/>
      <c r="T56" s="11"/>
      <c r="U56" s="11" t="s">
        <v>79</v>
      </c>
      <c r="V56" s="11" t="s">
        <v>32</v>
      </c>
      <c r="W56" s="11"/>
      <c r="X56" s="11"/>
      <c r="Y56" s="11">
        <v>105</v>
      </c>
      <c r="Z56" s="11">
        <v>60</v>
      </c>
      <c r="AA56" s="11" t="s">
        <v>90</v>
      </c>
      <c r="AB56" s="11"/>
      <c r="AC56" s="11"/>
      <c r="AD56" s="11"/>
      <c r="AE56" s="11"/>
      <c r="AF56" s="45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spans="1:47" x14ac:dyDescent="0.25">
      <c r="A57" s="11"/>
      <c r="B57" s="11"/>
      <c r="C57" s="11"/>
      <c r="D57" s="11"/>
      <c r="E57" s="11"/>
      <c r="F57" s="11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45"/>
      <c r="T57" s="11"/>
      <c r="U57" s="11" t="s">
        <v>80</v>
      </c>
      <c r="V57" s="11" t="s">
        <v>36</v>
      </c>
      <c r="W57" s="11">
        <v>198</v>
      </c>
      <c r="X57" s="11"/>
      <c r="Y57" s="11">
        <v>250</v>
      </c>
      <c r="Z57" s="11">
        <v>200</v>
      </c>
      <c r="AA57" s="11"/>
      <c r="AB57" s="11"/>
      <c r="AC57" s="11"/>
      <c r="AD57" s="11"/>
      <c r="AE57" s="11"/>
      <c r="AF57" s="45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spans="1:47" x14ac:dyDescent="0.25">
      <c r="A58" s="11"/>
      <c r="B58" s="11"/>
      <c r="C58" s="11"/>
      <c r="D58" s="11"/>
      <c r="E58" s="11"/>
      <c r="F58" s="11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45"/>
      <c r="T58" s="11"/>
      <c r="U58" s="11" t="s">
        <v>81</v>
      </c>
      <c r="V58" s="11" t="s">
        <v>36</v>
      </c>
      <c r="W58" s="11"/>
      <c r="X58" s="11"/>
      <c r="Y58" s="11">
        <v>80</v>
      </c>
      <c r="Z58" s="11"/>
      <c r="AA58" s="11" t="s">
        <v>91</v>
      </c>
      <c r="AB58" s="11"/>
      <c r="AC58" s="11"/>
      <c r="AD58" s="11"/>
      <c r="AE58" s="11"/>
      <c r="AF58" s="45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1:47" x14ac:dyDescent="0.25">
      <c r="A59" s="11"/>
      <c r="B59" s="11"/>
      <c r="C59" s="11"/>
      <c r="D59" s="11"/>
      <c r="E59" s="11"/>
      <c r="F59" s="11"/>
      <c r="G59" s="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45"/>
      <c r="T59" s="11"/>
      <c r="U59" s="11" t="s">
        <v>82</v>
      </c>
      <c r="V59" s="11" t="s">
        <v>32</v>
      </c>
      <c r="W59" s="11"/>
      <c r="X59" s="11">
        <v>-5</v>
      </c>
      <c r="Y59" s="11">
        <v>0</v>
      </c>
      <c r="Z59" s="11"/>
      <c r="AA59" s="11"/>
      <c r="AB59" s="11"/>
      <c r="AC59" s="11"/>
      <c r="AD59" s="11"/>
      <c r="AE59" s="11"/>
      <c r="AF59" s="45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spans="1:47" x14ac:dyDescent="0.25">
      <c r="A60" s="11"/>
      <c r="B60" s="11"/>
      <c r="C60" s="11"/>
      <c r="D60" s="11"/>
      <c r="E60" s="11"/>
      <c r="F60" s="11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45"/>
      <c r="T60" s="11"/>
      <c r="U60" s="11" t="s">
        <v>84</v>
      </c>
      <c r="V60" s="11"/>
      <c r="W60" s="11">
        <v>10</v>
      </c>
      <c r="X60" s="11">
        <v>-11</v>
      </c>
      <c r="Y60" s="11">
        <v>2</v>
      </c>
      <c r="Z60" s="11"/>
      <c r="AA60" s="11"/>
      <c r="AB60" s="11"/>
      <c r="AC60" s="11"/>
      <c r="AD60" s="11"/>
      <c r="AE60" s="11"/>
      <c r="AF60" s="45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spans="1:47" x14ac:dyDescent="0.25">
      <c r="A61" s="11"/>
      <c r="B61" s="11"/>
      <c r="C61" s="11"/>
      <c r="D61" s="11"/>
      <c r="E61" s="11"/>
      <c r="F61" s="11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45"/>
      <c r="T61" s="11"/>
      <c r="U61" s="11" t="s">
        <v>85</v>
      </c>
      <c r="V61" s="11" t="s">
        <v>36</v>
      </c>
      <c r="W61" s="11"/>
      <c r="X61" s="11">
        <v>-4</v>
      </c>
      <c r="Y61" s="11">
        <v>0</v>
      </c>
      <c r="Z61" s="11"/>
      <c r="AA61" s="11"/>
      <c r="AB61" s="11"/>
      <c r="AC61" s="11"/>
      <c r="AD61" s="11"/>
      <c r="AE61" s="11"/>
      <c r="AF61" s="45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spans="1:47" x14ac:dyDescent="0.25">
      <c r="A62" s="11"/>
      <c r="B62" s="11"/>
      <c r="C62" s="11"/>
      <c r="D62" s="11"/>
      <c r="E62" s="11"/>
      <c r="F62" s="11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45"/>
      <c r="T62" s="11"/>
      <c r="U62" s="11" t="s">
        <v>86</v>
      </c>
      <c r="V62" s="11" t="s">
        <v>36</v>
      </c>
      <c r="W62" s="11"/>
      <c r="X62" s="11">
        <v>-4</v>
      </c>
      <c r="Y62" s="11">
        <v>0</v>
      </c>
      <c r="Z62" s="11"/>
      <c r="AA62" s="11"/>
      <c r="AB62" s="11"/>
      <c r="AC62" s="11"/>
      <c r="AD62" s="11"/>
      <c r="AE62" s="11"/>
      <c r="AF62" s="45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 x14ac:dyDescent="0.25">
      <c r="A63" s="11"/>
      <c r="B63" s="11"/>
      <c r="C63" s="11"/>
      <c r="D63" s="11"/>
      <c r="E63" s="11"/>
      <c r="F63" s="11"/>
      <c r="G63" s="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45"/>
      <c r="T63" s="11"/>
      <c r="U63" s="11" t="s">
        <v>87</v>
      </c>
      <c r="V63" s="11" t="s">
        <v>36</v>
      </c>
      <c r="W63" s="11"/>
      <c r="X63" s="11">
        <v>3</v>
      </c>
      <c r="Y63" s="11">
        <v>100</v>
      </c>
      <c r="Z63" s="11">
        <v>60</v>
      </c>
      <c r="AA63" s="11" t="s">
        <v>90</v>
      </c>
      <c r="AB63" s="11"/>
      <c r="AC63" s="11"/>
      <c r="AD63" s="11"/>
      <c r="AE63" s="11"/>
      <c r="AF63" s="45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1:47" x14ac:dyDescent="0.25">
      <c r="A64" s="11"/>
      <c r="B64" s="11"/>
      <c r="C64" s="11"/>
      <c r="D64" s="11"/>
      <c r="E64" s="11"/>
      <c r="F64" s="11"/>
      <c r="G64" s="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45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45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spans="1:47" x14ac:dyDescent="0.25">
      <c r="A65" s="11"/>
      <c r="B65" s="11"/>
      <c r="C65" s="11"/>
      <c r="D65" s="11"/>
      <c r="E65" s="11"/>
      <c r="F65" s="11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45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45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spans="1:47" x14ac:dyDescent="0.25">
      <c r="A66" s="11"/>
      <c r="B66" s="11"/>
      <c r="C66" s="11"/>
      <c r="D66" s="11"/>
      <c r="E66" s="11"/>
      <c r="F66" s="11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45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45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 x14ac:dyDescent="0.25">
      <c r="A67" s="11"/>
      <c r="B67" s="11"/>
      <c r="C67" s="11"/>
      <c r="D67" s="11"/>
      <c r="E67" s="11"/>
      <c r="F67" s="11"/>
      <c r="G67" s="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45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45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 x14ac:dyDescent="0.25">
      <c r="A68" s="11"/>
      <c r="B68" s="11"/>
      <c r="C68" s="11"/>
      <c r="D68" s="11"/>
      <c r="E68" s="11"/>
      <c r="F68" s="11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45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45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spans="1:47" x14ac:dyDescent="0.25">
      <c r="A69" s="11"/>
      <c r="B69" s="11"/>
      <c r="C69" s="11"/>
      <c r="D69" s="11"/>
      <c r="E69" s="11"/>
      <c r="F69" s="11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45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45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 x14ac:dyDescent="0.25">
      <c r="A70" s="11"/>
      <c r="B70" s="11"/>
      <c r="C70" s="11"/>
      <c r="D70" s="11"/>
      <c r="E70" s="11"/>
      <c r="F70" s="11"/>
      <c r="G70" s="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45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45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1:47" x14ac:dyDescent="0.25">
      <c r="A71" s="11"/>
      <c r="B71" s="11"/>
      <c r="C71" s="11"/>
      <c r="D71" s="11"/>
      <c r="E71" s="11"/>
      <c r="F71" s="11"/>
      <c r="G71" s="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45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45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spans="1:47" x14ac:dyDescent="0.25">
      <c r="A72" s="11"/>
      <c r="B72" s="11"/>
      <c r="C72" s="11"/>
      <c r="D72" s="11"/>
      <c r="E72" s="11"/>
      <c r="F72" s="11"/>
      <c r="G72" s="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45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45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</row>
    <row r="73" spans="1:47" x14ac:dyDescent="0.25">
      <c r="A73" s="11"/>
      <c r="B73" s="11"/>
      <c r="C73" s="11"/>
      <c r="D73" s="11"/>
      <c r="E73" s="11"/>
      <c r="F73" s="11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45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45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 x14ac:dyDescent="0.25">
      <c r="A74" s="11"/>
      <c r="B74" s="11"/>
      <c r="C74" s="11"/>
      <c r="D74" s="11"/>
      <c r="E74" s="11"/>
      <c r="F74" s="11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45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45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 x14ac:dyDescent="0.25">
      <c r="A75" s="11"/>
      <c r="B75" s="11"/>
      <c r="C75" s="11"/>
      <c r="D75" s="11"/>
      <c r="E75" s="11"/>
      <c r="F75" s="11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45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45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</row>
    <row r="76" spans="1:47" x14ac:dyDescent="0.25">
      <c r="A76" s="11"/>
      <c r="B76" s="11"/>
      <c r="C76" s="11"/>
      <c r="D76" s="11"/>
      <c r="E76" s="11"/>
      <c r="F76" s="11"/>
      <c r="G76" s="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45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45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1:47" x14ac:dyDescent="0.25">
      <c r="A77" s="11"/>
      <c r="B77" s="11"/>
      <c r="C77" s="11"/>
      <c r="D77" s="11"/>
      <c r="E77" s="11"/>
      <c r="F77" s="11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45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45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x14ac:dyDescent="0.25">
      <c r="A78" s="11"/>
      <c r="B78" s="11"/>
      <c r="C78" s="11"/>
      <c r="D78" s="11"/>
      <c r="E78" s="11"/>
      <c r="F78" s="11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45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45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x14ac:dyDescent="0.25">
      <c r="A79" s="11"/>
      <c r="B79" s="11"/>
      <c r="C79" s="11"/>
      <c r="D79" s="11"/>
      <c r="E79" s="11"/>
      <c r="F79" s="11"/>
      <c r="G79" s="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45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45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 x14ac:dyDescent="0.25">
      <c r="A80" s="11"/>
      <c r="B80" s="11"/>
      <c r="C80" s="11"/>
      <c r="D80" s="11"/>
      <c r="E80" s="11"/>
      <c r="F80" s="11"/>
      <c r="G80" s="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45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45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 x14ac:dyDescent="0.25">
      <c r="A81" s="11"/>
      <c r="B81" s="11"/>
      <c r="C81" s="11"/>
      <c r="D81" s="11"/>
      <c r="E81" s="11"/>
      <c r="F81" s="11"/>
      <c r="G81" s="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45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45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</row>
    <row r="82" spans="1:47" x14ac:dyDescent="0.25">
      <c r="A82" s="11"/>
      <c r="B82" s="11"/>
      <c r="C82" s="11"/>
      <c r="D82" s="11"/>
      <c r="E82" s="11"/>
      <c r="F82" s="11"/>
      <c r="G82" s="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45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45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 spans="1:47" x14ac:dyDescent="0.25">
      <c r="A83" s="11"/>
      <c r="B83" s="11"/>
      <c r="C83" s="11"/>
      <c r="D83" s="11"/>
      <c r="E83" s="11"/>
      <c r="F83" s="11"/>
      <c r="G83" s="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45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45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 x14ac:dyDescent="0.25">
      <c r="A84" s="11"/>
      <c r="B84" s="11"/>
      <c r="C84" s="11"/>
      <c r="D84" s="11"/>
      <c r="E84" s="11"/>
      <c r="F84" s="11"/>
      <c r="G84" s="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45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45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 x14ac:dyDescent="0.25">
      <c r="A85" s="11"/>
      <c r="B85" s="11"/>
      <c r="C85" s="11"/>
      <c r="D85" s="11"/>
      <c r="E85" s="11"/>
      <c r="F85" s="11"/>
      <c r="G85" s="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45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45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 spans="1:47" x14ac:dyDescent="0.25">
      <c r="A86" s="11"/>
      <c r="B86" s="11"/>
      <c r="C86" s="11"/>
      <c r="D86" s="11"/>
      <c r="E86" s="11"/>
      <c r="F86" s="11"/>
      <c r="G86" s="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45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45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</row>
    <row r="87" spans="1:47" x14ac:dyDescent="0.25">
      <c r="A87" s="11"/>
      <c r="B87" s="11"/>
      <c r="C87" s="11"/>
      <c r="D87" s="11"/>
      <c r="E87" s="11"/>
      <c r="F87" s="11"/>
      <c r="G87" s="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45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45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 x14ac:dyDescent="0.25">
      <c r="A88" s="11"/>
      <c r="B88" s="11"/>
      <c r="C88" s="11"/>
      <c r="D88" s="11"/>
      <c r="E88" s="11"/>
      <c r="F88" s="11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45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45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</row>
    <row r="89" spans="1:47" x14ac:dyDescent="0.25">
      <c r="A89" s="11"/>
      <c r="B89" s="11"/>
      <c r="C89" s="11"/>
      <c r="D89" s="11"/>
      <c r="E89" s="11"/>
      <c r="F89" s="11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45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45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</row>
    <row r="90" spans="1:47" x14ac:dyDescent="0.25">
      <c r="A90" s="11"/>
      <c r="B90" s="11"/>
      <c r="C90" s="11"/>
      <c r="D90" s="11"/>
      <c r="E90" s="11"/>
      <c r="F90" s="11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45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45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</row>
    <row r="91" spans="1:47" x14ac:dyDescent="0.25">
      <c r="A91" s="11"/>
      <c r="B91" s="11"/>
      <c r="C91" s="11"/>
      <c r="D91" s="11"/>
      <c r="E91" s="11"/>
      <c r="F91" s="11"/>
      <c r="G91" s="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45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45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</row>
    <row r="92" spans="1:47" x14ac:dyDescent="0.25">
      <c r="A92" s="11"/>
      <c r="B92" s="11"/>
      <c r="C92" s="11"/>
      <c r="D92" s="11"/>
      <c r="E92" s="11"/>
      <c r="F92" s="11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45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45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</row>
    <row r="93" spans="1:47" x14ac:dyDescent="0.25">
      <c r="A93" s="11"/>
      <c r="B93" s="11"/>
      <c r="C93" s="11"/>
      <c r="D93" s="11"/>
      <c r="E93" s="11"/>
      <c r="F93" s="11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45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45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</row>
    <row r="94" spans="1:47" x14ac:dyDescent="0.25">
      <c r="A94" s="11"/>
      <c r="B94" s="11"/>
      <c r="C94" s="11"/>
      <c r="D94" s="11"/>
      <c r="E94" s="11"/>
      <c r="F94" s="11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45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45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</row>
    <row r="95" spans="1:47" x14ac:dyDescent="0.25">
      <c r="A95" s="11"/>
      <c r="B95" s="11"/>
      <c r="C95" s="11"/>
      <c r="D95" s="11"/>
      <c r="E95" s="11"/>
      <c r="F95" s="11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45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45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</row>
    <row r="96" spans="1:47" x14ac:dyDescent="0.25">
      <c r="A96" s="11"/>
      <c r="B96" s="11"/>
      <c r="C96" s="11"/>
      <c r="D96" s="11"/>
      <c r="E96" s="11"/>
      <c r="F96" s="11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45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45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7" x14ac:dyDescent="0.25">
      <c r="A97" s="11"/>
      <c r="B97" s="11"/>
      <c r="C97" s="11"/>
      <c r="D97" s="11"/>
      <c r="E97" s="11"/>
      <c r="F97" s="11"/>
      <c r="G97" s="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45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45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 x14ac:dyDescent="0.25">
      <c r="A98" s="11"/>
      <c r="B98" s="11"/>
      <c r="C98" s="11"/>
      <c r="D98" s="11"/>
      <c r="E98" s="11"/>
      <c r="F98" s="11"/>
      <c r="G98" s="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45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45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 x14ac:dyDescent="0.25">
      <c r="A99" s="11"/>
      <c r="B99" s="11"/>
      <c r="C99" s="11"/>
      <c r="D99" s="11"/>
      <c r="E99" s="11"/>
      <c r="F99" s="11"/>
      <c r="G99" s="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45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45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</row>
    <row r="100" spans="1:47" x14ac:dyDescent="0.25">
      <c r="A100" s="11"/>
      <c r="B100" s="11"/>
      <c r="C100" s="11"/>
      <c r="D100" s="11"/>
      <c r="E100" s="11"/>
      <c r="F100" s="11"/>
      <c r="G100" s="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45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45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</row>
    <row r="101" spans="1:47" x14ac:dyDescent="0.25">
      <c r="A101" s="11"/>
      <c r="B101" s="11"/>
      <c r="C101" s="11"/>
      <c r="D101" s="11"/>
      <c r="E101" s="11"/>
      <c r="F101" s="11"/>
      <c r="G101" s="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45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45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</row>
    <row r="102" spans="1:47" x14ac:dyDescent="0.25">
      <c r="A102" s="11"/>
      <c r="B102" s="11"/>
      <c r="C102" s="11"/>
      <c r="D102" s="11"/>
      <c r="E102" s="11"/>
      <c r="F102" s="11"/>
      <c r="G102" s="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45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45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</row>
    <row r="103" spans="1:47" x14ac:dyDescent="0.25">
      <c r="A103" s="11"/>
      <c r="B103" s="11"/>
      <c r="C103" s="11"/>
      <c r="D103" s="11"/>
      <c r="E103" s="11"/>
      <c r="F103" s="11"/>
      <c r="G103" s="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45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45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</row>
    <row r="104" spans="1:47" x14ac:dyDescent="0.25">
      <c r="A104" s="11"/>
      <c r="B104" s="11"/>
      <c r="C104" s="11"/>
      <c r="D104" s="11"/>
      <c r="E104" s="11"/>
      <c r="F104" s="11"/>
      <c r="G104" s="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45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45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</row>
    <row r="105" spans="1:47" x14ac:dyDescent="0.25">
      <c r="A105" s="11"/>
      <c r="B105" s="11"/>
      <c r="C105" s="11"/>
      <c r="D105" s="11"/>
      <c r="E105" s="11"/>
      <c r="F105" s="11"/>
      <c r="G105" s="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45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45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</row>
    <row r="106" spans="1:47" x14ac:dyDescent="0.25">
      <c r="A106" s="11"/>
      <c r="B106" s="11"/>
      <c r="C106" s="11"/>
      <c r="D106" s="11"/>
      <c r="E106" s="11"/>
      <c r="F106" s="11"/>
      <c r="G106" s="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45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45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</row>
    <row r="107" spans="1:47" x14ac:dyDescent="0.25">
      <c r="A107" s="11"/>
      <c r="B107" s="11"/>
      <c r="C107" s="11"/>
      <c r="D107" s="11"/>
      <c r="E107" s="11"/>
      <c r="F107" s="11"/>
      <c r="G107" s="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45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45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</row>
    <row r="108" spans="1:47" x14ac:dyDescent="0.25">
      <c r="A108" s="11"/>
      <c r="B108" s="11"/>
      <c r="C108" s="11"/>
      <c r="D108" s="11"/>
      <c r="E108" s="11"/>
      <c r="F108" s="11"/>
      <c r="G108" s="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45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45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spans="1:47" x14ac:dyDescent="0.25">
      <c r="A109" s="11"/>
      <c r="B109" s="11"/>
      <c r="C109" s="11"/>
      <c r="D109" s="11"/>
      <c r="E109" s="11"/>
      <c r="F109" s="11"/>
      <c r="G109" s="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45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45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spans="1:47" x14ac:dyDescent="0.25">
      <c r="A110" s="11"/>
      <c r="B110" s="11"/>
      <c r="C110" s="11"/>
      <c r="D110" s="11"/>
      <c r="E110" s="11"/>
      <c r="F110" s="11"/>
      <c r="G110" s="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45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45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</row>
    <row r="111" spans="1:47" x14ac:dyDescent="0.25">
      <c r="A111" s="11"/>
      <c r="B111" s="11"/>
      <c r="C111" s="11"/>
      <c r="D111" s="11"/>
      <c r="E111" s="11"/>
      <c r="F111" s="11"/>
      <c r="G111" s="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45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45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</row>
    <row r="112" spans="1:47" x14ac:dyDescent="0.25">
      <c r="A112" s="11"/>
      <c r="B112" s="11"/>
      <c r="C112" s="11"/>
      <c r="D112" s="11"/>
      <c r="E112" s="11"/>
      <c r="F112" s="11"/>
      <c r="G112" s="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45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45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x14ac:dyDescent="0.25">
      <c r="A113" s="11"/>
      <c r="B113" s="11"/>
      <c r="C113" s="11"/>
      <c r="D113" s="11"/>
      <c r="E113" s="11"/>
      <c r="F113" s="11"/>
      <c r="G113" s="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45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45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</row>
    <row r="114" spans="1:47" x14ac:dyDescent="0.25">
      <c r="A114" s="11"/>
      <c r="B114" s="11"/>
      <c r="C114" s="11"/>
      <c r="D114" s="11"/>
      <c r="E114" s="11"/>
      <c r="F114" s="11"/>
      <c r="G114" s="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45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45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</row>
    <row r="115" spans="1:47" x14ac:dyDescent="0.25">
      <c r="A115" s="11"/>
      <c r="B115" s="11"/>
      <c r="C115" s="11"/>
      <c r="D115" s="11"/>
      <c r="E115" s="11"/>
      <c r="F115" s="11"/>
      <c r="G115" s="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45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45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</row>
    <row r="116" spans="1:47" x14ac:dyDescent="0.25">
      <c r="A116" s="11"/>
      <c r="B116" s="11"/>
      <c r="C116" s="11"/>
      <c r="D116" s="11"/>
      <c r="E116" s="11"/>
      <c r="F116" s="11"/>
      <c r="G116" s="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45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45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</row>
    <row r="117" spans="1:47" x14ac:dyDescent="0.25">
      <c r="A117" s="11"/>
      <c r="B117" s="11"/>
      <c r="C117" s="11"/>
      <c r="D117" s="11"/>
      <c r="E117" s="11"/>
      <c r="F117" s="11"/>
      <c r="G117" s="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45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45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</row>
    <row r="118" spans="1:47" x14ac:dyDescent="0.25">
      <c r="A118" s="11"/>
      <c r="B118" s="11"/>
      <c r="C118" s="11"/>
      <c r="D118" s="11"/>
      <c r="E118" s="11"/>
      <c r="F118" s="11"/>
      <c r="G118" s="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45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45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</row>
    <row r="119" spans="1:47" x14ac:dyDescent="0.25">
      <c r="A119" s="11"/>
      <c r="B119" s="11"/>
      <c r="C119" s="11"/>
      <c r="D119" s="11"/>
      <c r="E119" s="11"/>
      <c r="F119" s="11"/>
      <c r="G119" s="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45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45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</row>
    <row r="120" spans="1:47" x14ac:dyDescent="0.25">
      <c r="A120" s="11"/>
      <c r="B120" s="11"/>
      <c r="C120" s="11"/>
      <c r="D120" s="11"/>
      <c r="E120" s="11"/>
      <c r="F120" s="11"/>
      <c r="G120" s="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45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45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</row>
    <row r="121" spans="1:47" x14ac:dyDescent="0.25">
      <c r="A121" s="11"/>
      <c r="B121" s="11"/>
      <c r="C121" s="11"/>
      <c r="D121" s="11"/>
      <c r="E121" s="11"/>
      <c r="F121" s="11"/>
      <c r="G121" s="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45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45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</row>
    <row r="122" spans="1:47" x14ac:dyDescent="0.25">
      <c r="A122" s="11"/>
      <c r="B122" s="11"/>
      <c r="C122" s="11"/>
      <c r="D122" s="11"/>
      <c r="E122" s="11"/>
      <c r="F122" s="11"/>
      <c r="G122" s="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45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45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</row>
    <row r="123" spans="1:47" x14ac:dyDescent="0.25">
      <c r="A123" s="11"/>
      <c r="B123" s="11"/>
      <c r="C123" s="11"/>
      <c r="D123" s="11"/>
      <c r="E123" s="11"/>
      <c r="F123" s="11"/>
      <c r="G123" s="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45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45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</row>
    <row r="124" spans="1:47" x14ac:dyDescent="0.25">
      <c r="A124" s="11"/>
      <c r="B124" s="11"/>
      <c r="C124" s="11"/>
      <c r="D124" s="11"/>
      <c r="E124" s="11"/>
      <c r="F124" s="11"/>
      <c r="G124" s="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45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45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</row>
    <row r="125" spans="1:47" x14ac:dyDescent="0.25">
      <c r="A125" s="11"/>
      <c r="B125" s="11"/>
      <c r="C125" s="11"/>
      <c r="D125" s="11"/>
      <c r="E125" s="11"/>
      <c r="F125" s="11"/>
      <c r="G125" s="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45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45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</row>
    <row r="126" spans="1:47" x14ac:dyDescent="0.25">
      <c r="A126" s="11"/>
      <c r="B126" s="11"/>
      <c r="C126" s="11"/>
      <c r="D126" s="11"/>
      <c r="E126" s="11"/>
      <c r="F126" s="11"/>
      <c r="G126" s="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45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45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</row>
    <row r="127" spans="1:47" x14ac:dyDescent="0.25">
      <c r="A127" s="11"/>
      <c r="B127" s="11"/>
      <c r="C127" s="11"/>
      <c r="D127" s="11"/>
      <c r="E127" s="11"/>
      <c r="F127" s="11"/>
      <c r="G127" s="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45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45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</row>
    <row r="128" spans="1:47" x14ac:dyDescent="0.25">
      <c r="A128" s="11"/>
      <c r="B128" s="11"/>
      <c r="C128" s="11"/>
      <c r="D128" s="11"/>
      <c r="E128" s="11"/>
      <c r="F128" s="11"/>
      <c r="G128" s="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45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45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</row>
    <row r="129" spans="1:47" x14ac:dyDescent="0.25">
      <c r="A129" s="11"/>
      <c r="B129" s="11"/>
      <c r="C129" s="11"/>
      <c r="D129" s="11"/>
      <c r="E129" s="11"/>
      <c r="F129" s="11"/>
      <c r="G129" s="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45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45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</row>
    <row r="130" spans="1:47" x14ac:dyDescent="0.25">
      <c r="A130" s="11"/>
      <c r="B130" s="11"/>
      <c r="C130" s="11"/>
      <c r="D130" s="11"/>
      <c r="E130" s="11"/>
      <c r="F130" s="11"/>
      <c r="G130" s="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45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45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</row>
    <row r="131" spans="1:47" x14ac:dyDescent="0.25">
      <c r="A131" s="11"/>
      <c r="B131" s="11"/>
      <c r="C131" s="11"/>
      <c r="D131" s="11"/>
      <c r="E131" s="11"/>
      <c r="F131" s="11"/>
      <c r="G131" s="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45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45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</row>
    <row r="132" spans="1:47" x14ac:dyDescent="0.25">
      <c r="A132" s="11"/>
      <c r="B132" s="11"/>
      <c r="C132" s="11"/>
      <c r="D132" s="11"/>
      <c r="E132" s="11"/>
      <c r="F132" s="11"/>
      <c r="G132" s="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45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45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</row>
    <row r="133" spans="1:47" x14ac:dyDescent="0.25">
      <c r="A133" s="11"/>
      <c r="B133" s="11"/>
      <c r="C133" s="11"/>
      <c r="D133" s="11"/>
      <c r="E133" s="11"/>
      <c r="F133" s="11"/>
      <c r="G133" s="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45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45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</row>
    <row r="134" spans="1:47" x14ac:dyDescent="0.25">
      <c r="A134" s="11"/>
      <c r="B134" s="11"/>
      <c r="C134" s="11"/>
      <c r="D134" s="11"/>
      <c r="E134" s="11"/>
      <c r="F134" s="11"/>
      <c r="G134" s="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45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45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</row>
    <row r="135" spans="1:47" x14ac:dyDescent="0.25">
      <c r="A135" s="11"/>
      <c r="B135" s="11"/>
      <c r="C135" s="11"/>
      <c r="D135" s="11"/>
      <c r="E135" s="11"/>
      <c r="F135" s="11"/>
      <c r="G135" s="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45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45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</row>
    <row r="136" spans="1:47" x14ac:dyDescent="0.25">
      <c r="A136" s="11"/>
      <c r="B136" s="11"/>
      <c r="C136" s="11"/>
      <c r="D136" s="11"/>
      <c r="E136" s="11"/>
      <c r="F136" s="11"/>
      <c r="G136" s="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45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45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</row>
    <row r="137" spans="1:47" x14ac:dyDescent="0.25">
      <c r="A137" s="11"/>
      <c r="B137" s="11"/>
      <c r="C137" s="11"/>
      <c r="D137" s="11"/>
      <c r="E137" s="11"/>
      <c r="F137" s="11"/>
      <c r="G137" s="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45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45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</row>
    <row r="138" spans="1:47" x14ac:dyDescent="0.25">
      <c r="A138" s="11"/>
      <c r="B138" s="11"/>
      <c r="C138" s="11"/>
      <c r="D138" s="11"/>
      <c r="E138" s="11"/>
      <c r="F138" s="11"/>
      <c r="G138" s="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45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45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</row>
    <row r="139" spans="1:47" x14ac:dyDescent="0.25">
      <c r="A139" s="11"/>
      <c r="B139" s="11"/>
      <c r="C139" s="11"/>
      <c r="D139" s="11"/>
      <c r="E139" s="11"/>
      <c r="F139" s="11"/>
      <c r="G139" s="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45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45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</row>
    <row r="140" spans="1:47" x14ac:dyDescent="0.25">
      <c r="A140" s="11"/>
      <c r="B140" s="11"/>
      <c r="C140" s="11"/>
      <c r="D140" s="11"/>
      <c r="E140" s="11"/>
      <c r="F140" s="11"/>
      <c r="G140" s="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45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45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</row>
    <row r="141" spans="1:47" x14ac:dyDescent="0.25">
      <c r="A141" s="11"/>
      <c r="B141" s="11"/>
      <c r="C141" s="11"/>
      <c r="D141" s="11"/>
      <c r="E141" s="11"/>
      <c r="F141" s="11"/>
      <c r="G141" s="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45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45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</row>
    <row r="142" spans="1:47" x14ac:dyDescent="0.25">
      <c r="A142" s="11"/>
      <c r="B142" s="11"/>
      <c r="C142" s="11"/>
      <c r="D142" s="11"/>
      <c r="E142" s="11"/>
      <c r="F142" s="11"/>
      <c r="G142" s="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45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45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</row>
    <row r="143" spans="1:47" x14ac:dyDescent="0.25">
      <c r="A143" s="11"/>
      <c r="B143" s="11"/>
      <c r="C143" s="11"/>
      <c r="D143" s="11"/>
      <c r="E143" s="11"/>
      <c r="F143" s="11"/>
      <c r="G143" s="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45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45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</row>
    <row r="144" spans="1:47" x14ac:dyDescent="0.25">
      <c r="A144" s="11"/>
      <c r="B144" s="11"/>
      <c r="C144" s="11"/>
      <c r="D144" s="11"/>
      <c r="E144" s="11"/>
      <c r="F144" s="11"/>
      <c r="G144" s="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45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45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</row>
    <row r="145" spans="1:47" x14ac:dyDescent="0.25">
      <c r="A145" s="11"/>
      <c r="B145" s="11"/>
      <c r="C145" s="11"/>
      <c r="D145" s="11"/>
      <c r="E145" s="11"/>
      <c r="F145" s="11"/>
      <c r="G145" s="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45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45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</row>
    <row r="146" spans="1:47" x14ac:dyDescent="0.25">
      <c r="A146" s="11"/>
      <c r="B146" s="11"/>
      <c r="C146" s="11"/>
      <c r="D146" s="11"/>
      <c r="E146" s="11"/>
      <c r="F146" s="11"/>
      <c r="G146" s="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45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45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</row>
    <row r="147" spans="1:47" x14ac:dyDescent="0.25">
      <c r="A147" s="11"/>
      <c r="B147" s="11"/>
      <c r="C147" s="11"/>
      <c r="D147" s="11"/>
      <c r="E147" s="11"/>
      <c r="F147" s="11"/>
      <c r="G147" s="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45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45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</row>
    <row r="148" spans="1:47" x14ac:dyDescent="0.25">
      <c r="A148" s="11"/>
      <c r="B148" s="11"/>
      <c r="C148" s="11"/>
      <c r="D148" s="11"/>
      <c r="E148" s="11"/>
      <c r="F148" s="11"/>
      <c r="G148" s="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45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45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</row>
    <row r="149" spans="1:47" x14ac:dyDescent="0.25">
      <c r="A149" s="11"/>
      <c r="B149" s="11"/>
      <c r="C149" s="11"/>
      <c r="D149" s="11"/>
      <c r="E149" s="11"/>
      <c r="F149" s="11"/>
      <c r="G149" s="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45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45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</row>
    <row r="150" spans="1:47" x14ac:dyDescent="0.25">
      <c r="A150" s="11"/>
      <c r="B150" s="11"/>
      <c r="C150" s="11"/>
      <c r="D150" s="11"/>
      <c r="E150" s="11"/>
      <c r="F150" s="11"/>
      <c r="G150" s="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45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45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</row>
    <row r="151" spans="1:47" x14ac:dyDescent="0.25">
      <c r="A151" s="11"/>
      <c r="B151" s="11"/>
      <c r="C151" s="11"/>
      <c r="D151" s="11"/>
      <c r="E151" s="11"/>
      <c r="F151" s="11"/>
      <c r="G151" s="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45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45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</row>
    <row r="152" spans="1:47" x14ac:dyDescent="0.25">
      <c r="A152" s="11"/>
      <c r="B152" s="11"/>
      <c r="C152" s="11"/>
      <c r="D152" s="11"/>
      <c r="E152" s="11"/>
      <c r="F152" s="11"/>
      <c r="G152" s="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45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45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</row>
    <row r="153" spans="1:47" x14ac:dyDescent="0.25">
      <c r="A153" s="11"/>
      <c r="B153" s="11"/>
      <c r="C153" s="11"/>
      <c r="D153" s="11"/>
      <c r="E153" s="11"/>
      <c r="F153" s="11"/>
      <c r="G153" s="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45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45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</row>
    <row r="154" spans="1:47" x14ac:dyDescent="0.25">
      <c r="A154" s="11"/>
      <c r="B154" s="11"/>
      <c r="C154" s="11"/>
      <c r="D154" s="11"/>
      <c r="E154" s="11"/>
      <c r="F154" s="11"/>
      <c r="G154" s="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45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45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</row>
    <row r="155" spans="1:47" x14ac:dyDescent="0.25">
      <c r="A155" s="11"/>
      <c r="B155" s="11"/>
      <c r="C155" s="11"/>
      <c r="D155" s="11"/>
      <c r="E155" s="11"/>
      <c r="F155" s="11"/>
      <c r="G155" s="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45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45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</row>
    <row r="156" spans="1:47" x14ac:dyDescent="0.25">
      <c r="A156" s="11"/>
      <c r="B156" s="11"/>
      <c r="C156" s="11"/>
      <c r="D156" s="11"/>
      <c r="E156" s="11"/>
      <c r="F156" s="11"/>
      <c r="G156" s="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45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45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</row>
    <row r="157" spans="1:47" x14ac:dyDescent="0.25">
      <c r="A157" s="11"/>
      <c r="B157" s="11"/>
      <c r="C157" s="11"/>
      <c r="D157" s="11"/>
      <c r="E157" s="11"/>
      <c r="F157" s="11"/>
      <c r="G157" s="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45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45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</row>
    <row r="158" spans="1:47" x14ac:dyDescent="0.25">
      <c r="A158" s="11"/>
      <c r="B158" s="11"/>
      <c r="C158" s="11"/>
      <c r="D158" s="11"/>
      <c r="E158" s="11"/>
      <c r="F158" s="11"/>
      <c r="G158" s="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45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45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</row>
    <row r="159" spans="1:47" x14ac:dyDescent="0.25">
      <c r="A159" s="11"/>
      <c r="B159" s="11"/>
      <c r="C159" s="11"/>
      <c r="D159" s="11"/>
      <c r="E159" s="11"/>
      <c r="F159" s="11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45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45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</row>
    <row r="160" spans="1:47" x14ac:dyDescent="0.25">
      <c r="A160" s="11"/>
      <c r="B160" s="11"/>
      <c r="C160" s="11"/>
      <c r="D160" s="11"/>
      <c r="E160" s="11"/>
      <c r="F160" s="11"/>
      <c r="G160" s="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45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45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</row>
    <row r="161" spans="1:47" x14ac:dyDescent="0.25">
      <c r="A161" s="11"/>
      <c r="B161" s="11"/>
      <c r="C161" s="11"/>
      <c r="D161" s="11"/>
      <c r="E161" s="11"/>
      <c r="F161" s="11"/>
      <c r="G161" s="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45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45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</row>
    <row r="162" spans="1:47" x14ac:dyDescent="0.25">
      <c r="A162" s="11"/>
      <c r="B162" s="11"/>
      <c r="C162" s="11"/>
      <c r="D162" s="11"/>
      <c r="E162" s="11"/>
      <c r="F162" s="11"/>
      <c r="G162" s="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45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45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</row>
    <row r="163" spans="1:47" x14ac:dyDescent="0.25">
      <c r="A163" s="11"/>
      <c r="B163" s="11"/>
      <c r="C163" s="11"/>
      <c r="D163" s="11"/>
      <c r="E163" s="11"/>
      <c r="F163" s="11"/>
      <c r="G163" s="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45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45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</row>
    <row r="164" spans="1:47" x14ac:dyDescent="0.25">
      <c r="A164" s="11"/>
      <c r="B164" s="11"/>
      <c r="C164" s="11"/>
      <c r="D164" s="11"/>
      <c r="E164" s="11"/>
      <c r="F164" s="11"/>
      <c r="G164" s="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45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45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</row>
    <row r="165" spans="1:47" x14ac:dyDescent="0.25">
      <c r="A165" s="11"/>
      <c r="B165" s="11"/>
      <c r="C165" s="11"/>
      <c r="D165" s="11"/>
      <c r="E165" s="11"/>
      <c r="F165" s="11"/>
      <c r="G165" s="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45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45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</row>
    <row r="166" spans="1:47" x14ac:dyDescent="0.25">
      <c r="A166" s="11"/>
      <c r="B166" s="11"/>
      <c r="C166" s="11"/>
      <c r="D166" s="11"/>
      <c r="E166" s="11"/>
      <c r="F166" s="11"/>
      <c r="G166" s="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45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45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</row>
    <row r="167" spans="1:47" x14ac:dyDescent="0.25">
      <c r="A167" s="11"/>
      <c r="B167" s="11"/>
      <c r="C167" s="11"/>
      <c r="D167" s="11"/>
      <c r="E167" s="11"/>
      <c r="F167" s="11"/>
      <c r="G167" s="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45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45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</row>
    <row r="168" spans="1:47" x14ac:dyDescent="0.25">
      <c r="A168" s="11"/>
      <c r="B168" s="11"/>
      <c r="C168" s="11"/>
      <c r="D168" s="11"/>
      <c r="E168" s="11"/>
      <c r="F168" s="11"/>
      <c r="G168" s="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45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45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</row>
    <row r="169" spans="1:47" x14ac:dyDescent="0.25">
      <c r="A169" s="11"/>
      <c r="B169" s="11"/>
      <c r="C169" s="11"/>
      <c r="D169" s="11"/>
      <c r="E169" s="11"/>
      <c r="F169" s="11"/>
      <c r="G169" s="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45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45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</row>
    <row r="170" spans="1:47" x14ac:dyDescent="0.25">
      <c r="A170" s="11"/>
      <c r="B170" s="11"/>
      <c r="C170" s="11"/>
      <c r="D170" s="11"/>
      <c r="E170" s="11"/>
      <c r="F170" s="11"/>
      <c r="G170" s="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45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45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</row>
    <row r="171" spans="1:47" x14ac:dyDescent="0.25">
      <c r="A171" s="11"/>
      <c r="B171" s="11"/>
      <c r="C171" s="11"/>
      <c r="D171" s="11"/>
      <c r="E171" s="11"/>
      <c r="F171" s="11"/>
      <c r="G171" s="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45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45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</row>
    <row r="172" spans="1:47" x14ac:dyDescent="0.25">
      <c r="A172" s="11"/>
      <c r="B172" s="11"/>
      <c r="C172" s="11"/>
      <c r="D172" s="11"/>
      <c r="E172" s="11"/>
      <c r="F172" s="11"/>
      <c r="G172" s="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45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45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</row>
    <row r="173" spans="1:47" x14ac:dyDescent="0.25">
      <c r="A173" s="11"/>
      <c r="B173" s="11"/>
      <c r="C173" s="11"/>
      <c r="D173" s="11"/>
      <c r="E173" s="11"/>
      <c r="F173" s="11"/>
      <c r="G173" s="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45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45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</row>
    <row r="174" spans="1:47" x14ac:dyDescent="0.25">
      <c r="A174" s="11"/>
      <c r="B174" s="11"/>
      <c r="C174" s="11"/>
      <c r="D174" s="11"/>
      <c r="E174" s="11"/>
      <c r="F174" s="11"/>
      <c r="G174" s="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45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45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</row>
    <row r="175" spans="1:47" x14ac:dyDescent="0.25">
      <c r="A175" s="11"/>
      <c r="B175" s="11"/>
      <c r="C175" s="11"/>
      <c r="D175" s="11"/>
      <c r="E175" s="11"/>
      <c r="F175" s="11"/>
      <c r="G175" s="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45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45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</row>
    <row r="176" spans="1:47" x14ac:dyDescent="0.25">
      <c r="A176" s="11"/>
      <c r="B176" s="11"/>
      <c r="C176" s="11"/>
      <c r="D176" s="11"/>
      <c r="E176" s="11"/>
      <c r="F176" s="11"/>
      <c r="G176" s="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45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45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</row>
    <row r="177" spans="1:47" x14ac:dyDescent="0.25">
      <c r="A177" s="11"/>
      <c r="B177" s="11"/>
      <c r="C177" s="11"/>
      <c r="D177" s="11"/>
      <c r="E177" s="11"/>
      <c r="F177" s="11"/>
      <c r="G177" s="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45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45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</row>
    <row r="178" spans="1:47" x14ac:dyDescent="0.25">
      <c r="A178" s="11"/>
      <c r="B178" s="11"/>
      <c r="C178" s="11"/>
      <c r="D178" s="11"/>
      <c r="E178" s="11"/>
      <c r="F178" s="11"/>
      <c r="G178" s="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45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45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</row>
    <row r="179" spans="1:47" x14ac:dyDescent="0.25">
      <c r="A179" s="11"/>
      <c r="B179" s="11"/>
      <c r="C179" s="11"/>
      <c r="D179" s="11"/>
      <c r="E179" s="11"/>
      <c r="F179" s="11"/>
      <c r="G179" s="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45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45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</row>
    <row r="180" spans="1:47" x14ac:dyDescent="0.25">
      <c r="A180" s="11"/>
      <c r="B180" s="11"/>
      <c r="C180" s="11"/>
      <c r="D180" s="11"/>
      <c r="E180" s="11"/>
      <c r="F180" s="11"/>
      <c r="G180" s="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45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45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</row>
    <row r="181" spans="1:47" x14ac:dyDescent="0.25">
      <c r="A181" s="11"/>
      <c r="B181" s="11"/>
      <c r="C181" s="11"/>
      <c r="D181" s="11"/>
      <c r="E181" s="11"/>
      <c r="F181" s="11"/>
      <c r="G181" s="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45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45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</row>
    <row r="182" spans="1:47" x14ac:dyDescent="0.25">
      <c r="A182" s="11"/>
      <c r="B182" s="11"/>
      <c r="C182" s="11"/>
      <c r="D182" s="11"/>
      <c r="E182" s="11"/>
      <c r="F182" s="11"/>
      <c r="G182" s="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45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45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</row>
    <row r="183" spans="1:47" x14ac:dyDescent="0.25">
      <c r="A183" s="11"/>
      <c r="B183" s="11"/>
      <c r="C183" s="11"/>
      <c r="D183" s="11"/>
      <c r="E183" s="11"/>
      <c r="F183" s="11"/>
      <c r="G183" s="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45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45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</row>
    <row r="184" spans="1:47" x14ac:dyDescent="0.25">
      <c r="A184" s="11"/>
      <c r="B184" s="11"/>
      <c r="C184" s="11"/>
      <c r="D184" s="11"/>
      <c r="E184" s="11"/>
      <c r="F184" s="11"/>
      <c r="G184" s="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45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45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</row>
    <row r="185" spans="1:47" x14ac:dyDescent="0.25">
      <c r="A185" s="11"/>
      <c r="B185" s="11"/>
      <c r="C185" s="11"/>
      <c r="D185" s="11"/>
      <c r="E185" s="11"/>
      <c r="F185" s="11"/>
      <c r="G185" s="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45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45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</row>
    <row r="186" spans="1:47" x14ac:dyDescent="0.25">
      <c r="A186" s="11"/>
      <c r="B186" s="11"/>
      <c r="C186" s="11"/>
      <c r="D186" s="11"/>
      <c r="E186" s="11"/>
      <c r="F186" s="11"/>
      <c r="G186" s="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45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45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</row>
    <row r="187" spans="1:47" x14ac:dyDescent="0.25">
      <c r="A187" s="11"/>
      <c r="B187" s="11"/>
      <c r="C187" s="11"/>
      <c r="D187" s="11"/>
      <c r="E187" s="11"/>
      <c r="F187" s="11"/>
      <c r="G187" s="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45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45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</row>
    <row r="188" spans="1:47" x14ac:dyDescent="0.25">
      <c r="A188" s="11"/>
      <c r="B188" s="11"/>
      <c r="C188" s="11"/>
      <c r="D188" s="11"/>
      <c r="E188" s="11"/>
      <c r="F188" s="11"/>
      <c r="G188" s="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45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45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</row>
    <row r="189" spans="1:47" x14ac:dyDescent="0.25">
      <c r="A189" s="11"/>
      <c r="B189" s="11"/>
      <c r="C189" s="11"/>
      <c r="D189" s="11"/>
      <c r="E189" s="11"/>
      <c r="F189" s="11"/>
      <c r="G189" s="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45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45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</row>
    <row r="190" spans="1:47" x14ac:dyDescent="0.25">
      <c r="A190" s="11"/>
      <c r="B190" s="11"/>
      <c r="C190" s="11"/>
      <c r="D190" s="11"/>
      <c r="E190" s="11"/>
      <c r="F190" s="11"/>
      <c r="G190" s="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45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45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</row>
    <row r="191" spans="1:47" x14ac:dyDescent="0.25">
      <c r="A191" s="11"/>
      <c r="B191" s="11"/>
      <c r="C191" s="11"/>
      <c r="D191" s="11"/>
      <c r="E191" s="11"/>
      <c r="F191" s="11"/>
      <c r="G191" s="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45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45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</row>
    <row r="192" spans="1:47" x14ac:dyDescent="0.25">
      <c r="A192" s="11"/>
      <c r="B192" s="11"/>
      <c r="C192" s="11"/>
      <c r="D192" s="11"/>
      <c r="E192" s="11"/>
      <c r="F192" s="11"/>
      <c r="G192" s="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45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45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</row>
    <row r="193" spans="1:47" x14ac:dyDescent="0.25">
      <c r="A193" s="11"/>
      <c r="B193" s="11"/>
      <c r="C193" s="11"/>
      <c r="D193" s="11"/>
      <c r="E193" s="11"/>
      <c r="F193" s="11"/>
      <c r="G193" s="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45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45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</row>
    <row r="194" spans="1:47" x14ac:dyDescent="0.25">
      <c r="A194" s="11"/>
      <c r="B194" s="11"/>
      <c r="C194" s="11"/>
      <c r="D194" s="11"/>
      <c r="E194" s="11"/>
      <c r="F194" s="11"/>
      <c r="G194" s="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45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45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</row>
    <row r="195" spans="1:47" x14ac:dyDescent="0.25">
      <c r="A195" s="11"/>
      <c r="B195" s="11"/>
      <c r="C195" s="11"/>
      <c r="D195" s="11"/>
      <c r="E195" s="11"/>
      <c r="F195" s="11"/>
      <c r="G195" s="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45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45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</row>
    <row r="196" spans="1:47" x14ac:dyDescent="0.25">
      <c r="A196" s="11"/>
      <c r="B196" s="11"/>
      <c r="C196" s="11"/>
      <c r="D196" s="11"/>
      <c r="E196" s="11"/>
      <c r="F196" s="11"/>
      <c r="G196" s="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45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45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</row>
    <row r="197" spans="1:47" x14ac:dyDescent="0.25">
      <c r="A197" s="11"/>
      <c r="B197" s="11"/>
      <c r="C197" s="11"/>
      <c r="D197" s="11"/>
      <c r="E197" s="11"/>
      <c r="F197" s="11"/>
      <c r="G197" s="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45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45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</row>
    <row r="198" spans="1:47" x14ac:dyDescent="0.25">
      <c r="A198" s="11"/>
      <c r="B198" s="11"/>
      <c r="C198" s="11"/>
      <c r="D198" s="11"/>
      <c r="E198" s="11"/>
      <c r="F198" s="11"/>
      <c r="G198" s="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45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45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</row>
    <row r="199" spans="1:47" x14ac:dyDescent="0.25">
      <c r="A199" s="11"/>
      <c r="B199" s="11"/>
      <c r="C199" s="11"/>
      <c r="D199" s="11"/>
      <c r="E199" s="11"/>
      <c r="F199" s="11"/>
      <c r="G199" s="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45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45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</row>
    <row r="200" spans="1:47" x14ac:dyDescent="0.25">
      <c r="A200" s="11"/>
      <c r="B200" s="11"/>
      <c r="C200" s="11"/>
      <c r="D200" s="11"/>
      <c r="E200" s="11"/>
      <c r="F200" s="11"/>
      <c r="G200" s="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45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45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</row>
    <row r="201" spans="1:47" x14ac:dyDescent="0.25">
      <c r="A201" s="11"/>
      <c r="B201" s="11"/>
      <c r="C201" s="11"/>
      <c r="D201" s="11"/>
      <c r="E201" s="11"/>
      <c r="F201" s="11"/>
      <c r="G201" s="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45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45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</row>
    <row r="202" spans="1:47" x14ac:dyDescent="0.25">
      <c r="A202" s="11"/>
      <c r="B202" s="11"/>
      <c r="C202" s="11"/>
      <c r="D202" s="11"/>
      <c r="E202" s="11"/>
      <c r="F202" s="11"/>
      <c r="G202" s="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45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45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</row>
    <row r="203" spans="1:47" x14ac:dyDescent="0.25">
      <c r="A203" s="11"/>
      <c r="B203" s="11"/>
      <c r="C203" s="11"/>
      <c r="D203" s="11"/>
      <c r="E203" s="11"/>
      <c r="F203" s="11"/>
      <c r="G203" s="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45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45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</row>
    <row r="204" spans="1:47" x14ac:dyDescent="0.25">
      <c r="A204" s="11"/>
      <c r="B204" s="11"/>
      <c r="C204" s="11"/>
      <c r="D204" s="11"/>
      <c r="E204" s="11"/>
      <c r="F204" s="11"/>
      <c r="G204" s="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45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45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</row>
    <row r="205" spans="1:47" x14ac:dyDescent="0.25">
      <c r="A205" s="11"/>
      <c r="B205" s="11"/>
      <c r="C205" s="11"/>
      <c r="D205" s="11"/>
      <c r="E205" s="11"/>
      <c r="F205" s="11"/>
      <c r="G205" s="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45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45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</row>
    <row r="206" spans="1:47" x14ac:dyDescent="0.25">
      <c r="A206" s="11"/>
      <c r="B206" s="11"/>
      <c r="C206" s="11"/>
      <c r="D206" s="11"/>
      <c r="E206" s="11"/>
      <c r="F206" s="11"/>
      <c r="G206" s="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45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45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</row>
    <row r="207" spans="1:47" x14ac:dyDescent="0.25">
      <c r="A207" s="11"/>
      <c r="B207" s="11"/>
      <c r="C207" s="11"/>
      <c r="D207" s="11"/>
      <c r="E207" s="11"/>
      <c r="F207" s="11"/>
      <c r="G207" s="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45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45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</row>
    <row r="208" spans="1:47" x14ac:dyDescent="0.25">
      <c r="A208" s="11"/>
      <c r="B208" s="11"/>
      <c r="C208" s="11"/>
      <c r="D208" s="11"/>
      <c r="E208" s="11"/>
      <c r="F208" s="11"/>
      <c r="G208" s="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45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45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</row>
    <row r="209" spans="1:47" x14ac:dyDescent="0.25">
      <c r="A209" s="11"/>
      <c r="B209" s="11"/>
      <c r="C209" s="11"/>
      <c r="D209" s="11"/>
      <c r="E209" s="11"/>
      <c r="F209" s="11"/>
      <c r="G209" s="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45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45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</row>
    <row r="210" spans="1:47" x14ac:dyDescent="0.25">
      <c r="A210" s="11"/>
      <c r="B210" s="11"/>
      <c r="C210" s="11"/>
      <c r="D210" s="11"/>
      <c r="E210" s="11"/>
      <c r="F210" s="11"/>
      <c r="G210" s="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45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45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</row>
    <row r="211" spans="1:47" x14ac:dyDescent="0.25">
      <c r="A211" s="11"/>
      <c r="B211" s="11"/>
      <c r="C211" s="11"/>
      <c r="D211" s="11"/>
      <c r="E211" s="11"/>
      <c r="F211" s="11"/>
      <c r="G211" s="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45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45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</row>
    <row r="212" spans="1:47" x14ac:dyDescent="0.25">
      <c r="A212" s="11"/>
      <c r="B212" s="11"/>
      <c r="C212" s="11"/>
      <c r="D212" s="11"/>
      <c r="E212" s="11"/>
      <c r="F212" s="11"/>
      <c r="G212" s="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45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45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</row>
    <row r="213" spans="1:47" x14ac:dyDescent="0.25">
      <c r="A213" s="11"/>
      <c r="B213" s="11"/>
      <c r="C213" s="11"/>
      <c r="D213" s="11"/>
      <c r="E213" s="11"/>
      <c r="F213" s="11"/>
      <c r="G213" s="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45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45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</row>
    <row r="214" spans="1:47" x14ac:dyDescent="0.25">
      <c r="A214" s="11"/>
      <c r="B214" s="11"/>
      <c r="C214" s="11"/>
      <c r="D214" s="11"/>
      <c r="E214" s="11"/>
      <c r="F214" s="11"/>
      <c r="G214" s="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45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45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</row>
    <row r="215" spans="1:47" x14ac:dyDescent="0.25">
      <c r="A215" s="11"/>
      <c r="B215" s="11"/>
      <c r="C215" s="11"/>
      <c r="D215" s="11"/>
      <c r="E215" s="11"/>
      <c r="F215" s="11"/>
      <c r="G215" s="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45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45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</row>
    <row r="216" spans="1:47" x14ac:dyDescent="0.25">
      <c r="A216" s="11"/>
      <c r="B216" s="11"/>
      <c r="C216" s="11"/>
      <c r="D216" s="11"/>
      <c r="E216" s="11"/>
      <c r="F216" s="11"/>
      <c r="G216" s="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45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45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</row>
    <row r="217" spans="1:47" x14ac:dyDescent="0.25">
      <c r="A217" s="11"/>
      <c r="B217" s="11"/>
      <c r="C217" s="11"/>
      <c r="D217" s="11"/>
      <c r="E217" s="11"/>
      <c r="F217" s="11"/>
      <c r="G217" s="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45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45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</row>
    <row r="218" spans="1:47" x14ac:dyDescent="0.25">
      <c r="A218" s="11"/>
      <c r="B218" s="11"/>
      <c r="C218" s="11"/>
      <c r="D218" s="11"/>
      <c r="E218" s="11"/>
      <c r="F218" s="11"/>
      <c r="G218" s="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45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45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</row>
    <row r="219" spans="1:47" x14ac:dyDescent="0.25">
      <c r="A219" s="11"/>
      <c r="B219" s="11"/>
      <c r="C219" s="11"/>
      <c r="D219" s="11"/>
      <c r="E219" s="11"/>
      <c r="F219" s="11"/>
      <c r="G219" s="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45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45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</row>
    <row r="220" spans="1:47" x14ac:dyDescent="0.25">
      <c r="A220" s="11"/>
      <c r="B220" s="11"/>
      <c r="C220" s="11"/>
      <c r="D220" s="11"/>
      <c r="E220" s="11"/>
      <c r="F220" s="11"/>
      <c r="G220" s="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45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45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</row>
    <row r="221" spans="1:47" x14ac:dyDescent="0.25">
      <c r="A221" s="11"/>
      <c r="B221" s="11"/>
      <c r="C221" s="11"/>
      <c r="D221" s="11"/>
      <c r="E221" s="11"/>
      <c r="F221" s="11"/>
      <c r="G221" s="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45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45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</row>
    <row r="222" spans="1:47" x14ac:dyDescent="0.25">
      <c r="A222" s="11"/>
      <c r="B222" s="11"/>
      <c r="C222" s="11"/>
      <c r="D222" s="11"/>
      <c r="E222" s="11"/>
      <c r="F222" s="11"/>
      <c r="G222" s="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45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45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</row>
    <row r="223" spans="1:47" x14ac:dyDescent="0.25">
      <c r="A223" s="11"/>
      <c r="B223" s="11"/>
      <c r="C223" s="11"/>
      <c r="D223" s="11"/>
      <c r="E223" s="11"/>
      <c r="F223" s="11"/>
      <c r="G223" s="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45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45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</row>
    <row r="224" spans="1:47" x14ac:dyDescent="0.25">
      <c r="A224" s="11"/>
      <c r="B224" s="11"/>
      <c r="C224" s="11"/>
      <c r="D224" s="11"/>
      <c r="E224" s="11"/>
      <c r="F224" s="11"/>
      <c r="G224" s="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45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45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</row>
    <row r="225" spans="1:47" x14ac:dyDescent="0.25">
      <c r="A225" s="11"/>
      <c r="B225" s="11"/>
      <c r="C225" s="11"/>
      <c r="D225" s="11"/>
      <c r="E225" s="11"/>
      <c r="F225" s="11"/>
      <c r="G225" s="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45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45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</row>
    <row r="226" spans="1:47" x14ac:dyDescent="0.25">
      <c r="A226" s="11"/>
      <c r="B226" s="11"/>
      <c r="C226" s="11"/>
      <c r="D226" s="11"/>
      <c r="E226" s="11"/>
      <c r="F226" s="11"/>
      <c r="G226" s="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45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45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</row>
    <row r="227" spans="1:47" x14ac:dyDescent="0.25">
      <c r="A227" s="11"/>
      <c r="B227" s="11"/>
      <c r="C227" s="11"/>
      <c r="D227" s="11"/>
      <c r="E227" s="11"/>
      <c r="F227" s="11"/>
      <c r="G227" s="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45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45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</row>
    <row r="228" spans="1:47" x14ac:dyDescent="0.25">
      <c r="A228" s="11"/>
      <c r="B228" s="11"/>
      <c r="C228" s="11"/>
      <c r="D228" s="11"/>
      <c r="E228" s="11"/>
      <c r="F228" s="11"/>
      <c r="G228" s="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45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45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  <row r="229" spans="1:47" x14ac:dyDescent="0.25">
      <c r="A229" s="11"/>
      <c r="B229" s="11"/>
      <c r="C229" s="11"/>
      <c r="D229" s="11"/>
      <c r="E229" s="11"/>
      <c r="F229" s="11"/>
      <c r="G229" s="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45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45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</row>
    <row r="230" spans="1:47" x14ac:dyDescent="0.25">
      <c r="A230" s="11"/>
      <c r="B230" s="11"/>
      <c r="C230" s="11"/>
      <c r="D230" s="11"/>
      <c r="E230" s="11"/>
      <c r="F230" s="11"/>
      <c r="G230" s="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45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45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</row>
    <row r="231" spans="1:47" x14ac:dyDescent="0.25">
      <c r="A231" s="11"/>
      <c r="B231" s="11"/>
      <c r="C231" s="11"/>
      <c r="D231" s="11"/>
      <c r="E231" s="11"/>
      <c r="F231" s="11"/>
      <c r="G231" s="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45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45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</row>
    <row r="232" spans="1:47" x14ac:dyDescent="0.25">
      <c r="A232" s="11"/>
      <c r="B232" s="11"/>
      <c r="C232" s="11"/>
      <c r="D232" s="11"/>
      <c r="E232" s="11"/>
      <c r="F232" s="11"/>
      <c r="G232" s="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45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45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</row>
    <row r="233" spans="1:47" x14ac:dyDescent="0.25">
      <c r="A233" s="11"/>
      <c r="B233" s="11"/>
      <c r="C233" s="11"/>
      <c r="D233" s="11"/>
      <c r="E233" s="11"/>
      <c r="F233" s="11"/>
      <c r="G233" s="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45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45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</row>
    <row r="234" spans="1:47" x14ac:dyDescent="0.25">
      <c r="A234" s="11"/>
      <c r="B234" s="11"/>
      <c r="C234" s="11"/>
      <c r="D234" s="11"/>
      <c r="E234" s="11"/>
      <c r="F234" s="11"/>
      <c r="G234" s="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45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45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</row>
    <row r="235" spans="1:47" x14ac:dyDescent="0.25">
      <c r="A235" s="11"/>
      <c r="B235" s="11"/>
      <c r="C235" s="11"/>
      <c r="D235" s="11"/>
      <c r="E235" s="11"/>
      <c r="F235" s="11"/>
      <c r="G235" s="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45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45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</row>
    <row r="236" spans="1:47" x14ac:dyDescent="0.25">
      <c r="A236" s="11"/>
      <c r="B236" s="11"/>
      <c r="C236" s="11"/>
      <c r="D236" s="11"/>
      <c r="E236" s="11"/>
      <c r="F236" s="11"/>
      <c r="G236" s="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45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45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</row>
    <row r="237" spans="1:47" x14ac:dyDescent="0.25">
      <c r="A237" s="11"/>
      <c r="B237" s="11"/>
      <c r="C237" s="11"/>
      <c r="D237" s="11"/>
      <c r="E237" s="11"/>
      <c r="F237" s="11"/>
      <c r="G237" s="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45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45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</row>
    <row r="238" spans="1:47" x14ac:dyDescent="0.25">
      <c r="A238" s="11"/>
      <c r="B238" s="11"/>
      <c r="C238" s="11"/>
      <c r="D238" s="11"/>
      <c r="E238" s="11"/>
      <c r="F238" s="11"/>
      <c r="G238" s="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45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45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</row>
    <row r="239" spans="1:47" x14ac:dyDescent="0.25">
      <c r="A239" s="11"/>
      <c r="B239" s="11"/>
      <c r="C239" s="11"/>
      <c r="D239" s="11"/>
      <c r="E239" s="11"/>
      <c r="F239" s="11"/>
      <c r="G239" s="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45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45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</row>
    <row r="240" spans="1:47" x14ac:dyDescent="0.25">
      <c r="A240" s="11"/>
      <c r="B240" s="11"/>
      <c r="C240" s="11"/>
      <c r="D240" s="11"/>
      <c r="E240" s="11"/>
      <c r="F240" s="11"/>
      <c r="G240" s="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45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45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</row>
    <row r="241" spans="1:47" x14ac:dyDescent="0.25">
      <c r="A241" s="11"/>
      <c r="B241" s="11"/>
      <c r="C241" s="11"/>
      <c r="D241" s="11"/>
      <c r="E241" s="11"/>
      <c r="F241" s="11"/>
      <c r="G241" s="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45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45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</row>
    <row r="242" spans="1:47" x14ac:dyDescent="0.25">
      <c r="A242" s="11"/>
      <c r="B242" s="11"/>
      <c r="C242" s="11"/>
      <c r="D242" s="11"/>
      <c r="E242" s="11"/>
      <c r="F242" s="11"/>
      <c r="G242" s="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45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45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</row>
    <row r="243" spans="1:47" x14ac:dyDescent="0.25">
      <c r="A243" s="11"/>
      <c r="B243" s="11"/>
      <c r="C243" s="11"/>
      <c r="D243" s="11"/>
      <c r="E243" s="11"/>
      <c r="F243" s="11"/>
      <c r="G243" s="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45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45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</row>
    <row r="244" spans="1:47" x14ac:dyDescent="0.25">
      <c r="A244" s="11"/>
      <c r="B244" s="11"/>
      <c r="C244" s="11"/>
      <c r="D244" s="11"/>
      <c r="E244" s="11"/>
      <c r="F244" s="11"/>
      <c r="G244" s="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45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45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</row>
    <row r="245" spans="1:47" x14ac:dyDescent="0.25">
      <c r="A245" s="11"/>
      <c r="B245" s="11"/>
      <c r="C245" s="11"/>
      <c r="D245" s="11"/>
      <c r="E245" s="11"/>
      <c r="F245" s="11"/>
      <c r="G245" s="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45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45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</row>
    <row r="246" spans="1:47" x14ac:dyDescent="0.25">
      <c r="A246" s="11"/>
      <c r="B246" s="11"/>
      <c r="C246" s="11"/>
      <c r="D246" s="11"/>
      <c r="E246" s="11"/>
      <c r="F246" s="11"/>
      <c r="G246" s="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45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45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</row>
    <row r="247" spans="1:47" x14ac:dyDescent="0.25">
      <c r="A247" s="11"/>
      <c r="B247" s="11"/>
      <c r="C247" s="11"/>
      <c r="D247" s="11"/>
      <c r="E247" s="11"/>
      <c r="F247" s="11"/>
      <c r="G247" s="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45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45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</row>
    <row r="248" spans="1:47" x14ac:dyDescent="0.25">
      <c r="A248" s="11"/>
      <c r="B248" s="11"/>
      <c r="C248" s="11"/>
      <c r="D248" s="11"/>
      <c r="E248" s="11"/>
      <c r="F248" s="11"/>
      <c r="G248" s="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45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45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</row>
    <row r="249" spans="1:47" x14ac:dyDescent="0.25">
      <c r="A249" s="11"/>
      <c r="B249" s="11"/>
      <c r="C249" s="11"/>
      <c r="D249" s="11"/>
      <c r="E249" s="11"/>
      <c r="F249" s="11"/>
      <c r="G249" s="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45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45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</row>
    <row r="250" spans="1:47" x14ac:dyDescent="0.25">
      <c r="A250" s="11"/>
      <c r="B250" s="11"/>
      <c r="C250" s="11"/>
      <c r="D250" s="11"/>
      <c r="E250" s="11"/>
      <c r="F250" s="11"/>
      <c r="G250" s="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45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45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</row>
    <row r="251" spans="1:47" x14ac:dyDescent="0.25">
      <c r="A251" s="11"/>
      <c r="B251" s="11"/>
      <c r="C251" s="11"/>
      <c r="D251" s="11"/>
      <c r="E251" s="11"/>
      <c r="F251" s="11"/>
      <c r="G251" s="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45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45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</row>
    <row r="252" spans="1:47" x14ac:dyDescent="0.25">
      <c r="A252" s="11"/>
      <c r="B252" s="11"/>
      <c r="C252" s="11"/>
      <c r="D252" s="11"/>
      <c r="E252" s="11"/>
      <c r="F252" s="11"/>
      <c r="G252" s="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45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45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</row>
    <row r="253" spans="1:47" x14ac:dyDescent="0.25">
      <c r="A253" s="11"/>
      <c r="B253" s="11"/>
      <c r="C253" s="11"/>
      <c r="D253" s="11"/>
      <c r="E253" s="11"/>
      <c r="F253" s="11"/>
      <c r="G253" s="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45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45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</row>
    <row r="254" spans="1:47" x14ac:dyDescent="0.25">
      <c r="A254" s="11"/>
      <c r="B254" s="11"/>
      <c r="C254" s="11"/>
      <c r="D254" s="11"/>
      <c r="E254" s="11"/>
      <c r="F254" s="11"/>
      <c r="G254" s="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45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45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</row>
    <row r="255" spans="1:47" x14ac:dyDescent="0.25">
      <c r="A255" s="11"/>
      <c r="B255" s="11"/>
      <c r="C255" s="11"/>
      <c r="D255" s="11"/>
      <c r="E255" s="11"/>
      <c r="F255" s="11"/>
      <c r="G255" s="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45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45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</row>
    <row r="256" spans="1:47" x14ac:dyDescent="0.25">
      <c r="A256" s="11"/>
      <c r="B256" s="11"/>
      <c r="C256" s="11"/>
      <c r="D256" s="11"/>
      <c r="E256" s="11"/>
      <c r="F256" s="11"/>
      <c r="G256" s="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45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45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</row>
    <row r="257" spans="1:47" x14ac:dyDescent="0.25">
      <c r="A257" s="11"/>
      <c r="B257" s="11"/>
      <c r="C257" s="11"/>
      <c r="D257" s="11"/>
      <c r="E257" s="11"/>
      <c r="F257" s="11"/>
      <c r="G257" s="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45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45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</row>
    <row r="258" spans="1:47" x14ac:dyDescent="0.25">
      <c r="A258" s="11"/>
      <c r="B258" s="11"/>
      <c r="C258" s="11"/>
      <c r="D258" s="11"/>
      <c r="E258" s="11"/>
      <c r="F258" s="11"/>
      <c r="G258" s="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45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45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</row>
    <row r="259" spans="1:47" x14ac:dyDescent="0.25">
      <c r="A259" s="11"/>
      <c r="B259" s="11"/>
      <c r="C259" s="11"/>
      <c r="D259" s="11"/>
      <c r="E259" s="11"/>
      <c r="F259" s="11"/>
      <c r="G259" s="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45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45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</row>
    <row r="260" spans="1:47" x14ac:dyDescent="0.25">
      <c r="A260" s="11"/>
      <c r="B260" s="11"/>
      <c r="C260" s="11"/>
      <c r="D260" s="11"/>
      <c r="E260" s="11"/>
      <c r="F260" s="11"/>
      <c r="G260" s="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45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45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</row>
    <row r="261" spans="1:47" x14ac:dyDescent="0.25">
      <c r="A261" s="11"/>
      <c r="B261" s="11"/>
      <c r="C261" s="11"/>
      <c r="D261" s="11"/>
      <c r="E261" s="11"/>
      <c r="F261" s="11"/>
      <c r="G261" s="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45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45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</row>
    <row r="262" spans="1:47" x14ac:dyDescent="0.25">
      <c r="A262" s="11"/>
      <c r="B262" s="11"/>
      <c r="C262" s="11"/>
      <c r="D262" s="11"/>
      <c r="E262" s="11"/>
      <c r="F262" s="11"/>
      <c r="G262" s="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45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45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</row>
    <row r="263" spans="1:47" x14ac:dyDescent="0.25">
      <c r="A263" s="11"/>
      <c r="B263" s="11"/>
      <c r="C263" s="11"/>
      <c r="D263" s="11"/>
      <c r="E263" s="11"/>
      <c r="F263" s="11"/>
      <c r="G263" s="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45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45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</row>
    <row r="264" spans="1:47" x14ac:dyDescent="0.25">
      <c r="A264" s="11"/>
      <c r="B264" s="11"/>
      <c r="C264" s="11"/>
      <c r="D264" s="11"/>
      <c r="E264" s="11"/>
      <c r="F264" s="11"/>
      <c r="G264" s="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45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45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</row>
    <row r="265" spans="1:47" x14ac:dyDescent="0.25">
      <c r="A265" s="11"/>
      <c r="B265" s="11"/>
      <c r="C265" s="11"/>
      <c r="D265" s="11"/>
      <c r="E265" s="11"/>
      <c r="F265" s="11"/>
      <c r="G265" s="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45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45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</row>
    <row r="266" spans="1:47" x14ac:dyDescent="0.25">
      <c r="A266" s="11"/>
      <c r="B266" s="11"/>
      <c r="C266" s="11"/>
      <c r="D266" s="11"/>
      <c r="E266" s="11"/>
      <c r="F266" s="11"/>
      <c r="G266" s="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45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45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</row>
    <row r="267" spans="1:47" x14ac:dyDescent="0.25">
      <c r="A267" s="11"/>
      <c r="B267" s="11"/>
      <c r="C267" s="11"/>
      <c r="D267" s="11"/>
      <c r="E267" s="11"/>
      <c r="F267" s="11"/>
      <c r="G267" s="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45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45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</row>
    <row r="268" spans="1:47" x14ac:dyDescent="0.25">
      <c r="A268" s="11"/>
      <c r="B268" s="11"/>
      <c r="C268" s="11"/>
      <c r="D268" s="11"/>
      <c r="E268" s="11"/>
      <c r="F268" s="11"/>
      <c r="G268" s="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45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45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</row>
    <row r="269" spans="1:47" x14ac:dyDescent="0.25">
      <c r="A269" s="11"/>
      <c r="B269" s="11"/>
      <c r="C269" s="11"/>
      <c r="D269" s="11"/>
      <c r="E269" s="11"/>
      <c r="F269" s="11"/>
      <c r="G269" s="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45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45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</row>
    <row r="270" spans="1:47" x14ac:dyDescent="0.25">
      <c r="A270" s="11"/>
      <c r="B270" s="11"/>
      <c r="C270" s="11"/>
      <c r="D270" s="11"/>
      <c r="E270" s="11"/>
      <c r="F270" s="11"/>
      <c r="G270" s="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45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45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</row>
    <row r="271" spans="1:47" x14ac:dyDescent="0.25">
      <c r="A271" s="11"/>
      <c r="B271" s="11"/>
      <c r="C271" s="11"/>
      <c r="D271" s="11"/>
      <c r="E271" s="11"/>
      <c r="F271" s="11"/>
      <c r="G271" s="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45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45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</row>
    <row r="272" spans="1:47" x14ac:dyDescent="0.25">
      <c r="A272" s="11"/>
      <c r="B272" s="11"/>
      <c r="C272" s="11"/>
      <c r="D272" s="11"/>
      <c r="E272" s="11"/>
      <c r="F272" s="11"/>
      <c r="G272" s="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45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45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</row>
    <row r="273" spans="1:47" x14ac:dyDescent="0.25">
      <c r="A273" s="11"/>
      <c r="B273" s="11"/>
      <c r="C273" s="11"/>
      <c r="D273" s="11"/>
      <c r="E273" s="11"/>
      <c r="F273" s="11"/>
      <c r="G273" s="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45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45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</row>
    <row r="274" spans="1:47" x14ac:dyDescent="0.25">
      <c r="A274" s="11"/>
      <c r="B274" s="11"/>
      <c r="C274" s="11"/>
      <c r="D274" s="11"/>
      <c r="E274" s="11"/>
      <c r="F274" s="11"/>
      <c r="G274" s="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45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45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</row>
    <row r="275" spans="1:47" x14ac:dyDescent="0.25">
      <c r="A275" s="11"/>
      <c r="B275" s="11"/>
      <c r="C275" s="11"/>
      <c r="D275" s="11"/>
      <c r="E275" s="11"/>
      <c r="F275" s="11"/>
      <c r="G275" s="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45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45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</row>
    <row r="276" spans="1:47" x14ac:dyDescent="0.25">
      <c r="A276" s="11"/>
      <c r="B276" s="11"/>
      <c r="C276" s="11"/>
      <c r="D276" s="11"/>
      <c r="E276" s="11"/>
      <c r="F276" s="11"/>
      <c r="G276" s="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45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45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</row>
    <row r="277" spans="1:47" x14ac:dyDescent="0.25">
      <c r="A277" s="11"/>
      <c r="B277" s="11"/>
      <c r="C277" s="11"/>
      <c r="D277" s="11"/>
      <c r="E277" s="11"/>
      <c r="F277" s="11"/>
      <c r="G277" s="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45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45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</row>
    <row r="278" spans="1:47" x14ac:dyDescent="0.25">
      <c r="A278" s="11"/>
      <c r="B278" s="11"/>
      <c r="C278" s="11"/>
      <c r="D278" s="11"/>
      <c r="E278" s="11"/>
      <c r="F278" s="11"/>
      <c r="G278" s="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45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45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</row>
    <row r="279" spans="1:47" x14ac:dyDescent="0.25">
      <c r="A279" s="11"/>
      <c r="B279" s="11"/>
      <c r="C279" s="11"/>
      <c r="D279" s="11"/>
      <c r="E279" s="11"/>
      <c r="F279" s="11"/>
      <c r="G279" s="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45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45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</row>
    <row r="280" spans="1:47" x14ac:dyDescent="0.25">
      <c r="A280" s="11"/>
      <c r="B280" s="11"/>
      <c r="C280" s="11"/>
      <c r="D280" s="11"/>
      <c r="E280" s="11"/>
      <c r="F280" s="11"/>
      <c r="G280" s="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45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45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</row>
    <row r="281" spans="1:47" x14ac:dyDescent="0.25">
      <c r="A281" s="11"/>
      <c r="B281" s="11"/>
      <c r="C281" s="11"/>
      <c r="D281" s="11"/>
      <c r="E281" s="11"/>
      <c r="F281" s="11"/>
      <c r="G281" s="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45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45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</row>
    <row r="282" spans="1:47" x14ac:dyDescent="0.25">
      <c r="A282" s="11"/>
      <c r="B282" s="11"/>
      <c r="C282" s="11"/>
      <c r="D282" s="11"/>
      <c r="E282" s="11"/>
      <c r="F282" s="11"/>
      <c r="G282" s="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45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45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</row>
    <row r="283" spans="1:47" x14ac:dyDescent="0.25">
      <c r="A283" s="11"/>
      <c r="B283" s="11"/>
      <c r="C283" s="11"/>
      <c r="D283" s="11"/>
      <c r="E283" s="11"/>
      <c r="F283" s="11"/>
      <c r="G283" s="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45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45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</row>
    <row r="284" spans="1:47" x14ac:dyDescent="0.25">
      <c r="A284" s="11"/>
      <c r="B284" s="11"/>
      <c r="C284" s="11"/>
      <c r="D284" s="11"/>
      <c r="E284" s="11"/>
      <c r="F284" s="11"/>
      <c r="G284" s="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45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45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</row>
    <row r="285" spans="1:47" x14ac:dyDescent="0.25">
      <c r="A285" s="11"/>
      <c r="B285" s="11"/>
      <c r="C285" s="11"/>
      <c r="D285" s="11"/>
      <c r="E285" s="11"/>
      <c r="F285" s="11"/>
      <c r="G285" s="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45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45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</row>
    <row r="286" spans="1:47" x14ac:dyDescent="0.25">
      <c r="A286" s="11"/>
      <c r="B286" s="11"/>
      <c r="C286" s="11"/>
      <c r="D286" s="11"/>
      <c r="E286" s="11"/>
      <c r="F286" s="11"/>
      <c r="G286" s="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45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45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</row>
    <row r="287" spans="1:47" x14ac:dyDescent="0.25">
      <c r="A287" s="11"/>
      <c r="B287" s="11"/>
      <c r="C287" s="11"/>
      <c r="D287" s="11"/>
      <c r="E287" s="11"/>
      <c r="F287" s="11"/>
      <c r="G287" s="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45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45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</row>
    <row r="288" spans="1:47" x14ac:dyDescent="0.25">
      <c r="A288" s="11"/>
      <c r="B288" s="11"/>
      <c r="C288" s="11"/>
      <c r="D288" s="11"/>
      <c r="E288" s="11"/>
      <c r="F288" s="11"/>
      <c r="G288" s="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45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45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</row>
    <row r="289" spans="1:47" x14ac:dyDescent="0.25">
      <c r="A289" s="11"/>
      <c r="B289" s="11"/>
      <c r="C289" s="11"/>
      <c r="D289" s="11"/>
      <c r="E289" s="11"/>
      <c r="F289" s="11"/>
      <c r="G289" s="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45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45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</row>
    <row r="290" spans="1:47" x14ac:dyDescent="0.25">
      <c r="A290" s="11"/>
      <c r="B290" s="11"/>
      <c r="C290" s="11"/>
      <c r="D290" s="11"/>
      <c r="E290" s="11"/>
      <c r="F290" s="11"/>
      <c r="G290" s="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45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45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</row>
    <row r="291" spans="1:47" x14ac:dyDescent="0.25">
      <c r="A291" s="11"/>
      <c r="B291" s="11"/>
      <c r="C291" s="11"/>
      <c r="D291" s="11"/>
      <c r="E291" s="11"/>
      <c r="F291" s="11"/>
      <c r="G291" s="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45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45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</row>
    <row r="292" spans="1:47" x14ac:dyDescent="0.25">
      <c r="A292" s="11"/>
      <c r="B292" s="11"/>
      <c r="C292" s="11"/>
      <c r="D292" s="11"/>
      <c r="E292" s="11"/>
      <c r="F292" s="11"/>
      <c r="G292" s="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45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45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</row>
    <row r="293" spans="1:47" x14ac:dyDescent="0.25">
      <c r="A293" s="11"/>
      <c r="B293" s="11"/>
      <c r="C293" s="11"/>
      <c r="D293" s="11"/>
      <c r="E293" s="11"/>
      <c r="F293" s="11"/>
      <c r="G293" s="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45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45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</row>
    <row r="294" spans="1:47" x14ac:dyDescent="0.25">
      <c r="A294" s="11"/>
      <c r="B294" s="11"/>
      <c r="C294" s="11"/>
      <c r="D294" s="11"/>
      <c r="E294" s="11"/>
      <c r="F294" s="11"/>
      <c r="G294" s="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45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45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</row>
    <row r="295" spans="1:47" x14ac:dyDescent="0.25">
      <c r="A295" s="11"/>
      <c r="B295" s="11"/>
      <c r="C295" s="11"/>
      <c r="D295" s="11"/>
      <c r="E295" s="11"/>
      <c r="F295" s="11"/>
      <c r="G295" s="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45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45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</row>
    <row r="296" spans="1:47" x14ac:dyDescent="0.25">
      <c r="A296" s="11"/>
      <c r="B296" s="11"/>
      <c r="C296" s="11"/>
      <c r="D296" s="11"/>
      <c r="E296" s="11"/>
      <c r="F296" s="11"/>
      <c r="G296" s="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45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45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</row>
    <row r="297" spans="1:47" x14ac:dyDescent="0.25">
      <c r="A297" s="11"/>
      <c r="B297" s="11"/>
      <c r="C297" s="11"/>
      <c r="D297" s="11"/>
      <c r="E297" s="11"/>
      <c r="F297" s="11"/>
      <c r="G297" s="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45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45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</row>
    <row r="298" spans="1:47" x14ac:dyDescent="0.25">
      <c r="A298" s="11"/>
      <c r="B298" s="11"/>
      <c r="C298" s="11"/>
      <c r="D298" s="11"/>
      <c r="E298" s="11"/>
      <c r="F298" s="11"/>
      <c r="G298" s="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45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45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</row>
    <row r="299" spans="1:47" x14ac:dyDescent="0.25">
      <c r="A299" s="11"/>
      <c r="B299" s="11"/>
      <c r="C299" s="11"/>
      <c r="D299" s="11"/>
      <c r="E299" s="11"/>
      <c r="F299" s="11"/>
      <c r="G299" s="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45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45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</row>
    <row r="300" spans="1:47" x14ac:dyDescent="0.25">
      <c r="A300" s="11"/>
      <c r="B300" s="11"/>
      <c r="C300" s="11"/>
      <c r="D300" s="11"/>
      <c r="E300" s="11"/>
      <c r="F300" s="11"/>
      <c r="G300" s="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45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45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</row>
    <row r="301" spans="1:47" x14ac:dyDescent="0.25">
      <c r="A301" s="11"/>
      <c r="B301" s="11"/>
      <c r="C301" s="11"/>
      <c r="D301" s="11"/>
      <c r="E301" s="11"/>
      <c r="F301" s="11"/>
      <c r="G301" s="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45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45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</row>
    <row r="302" spans="1:47" x14ac:dyDescent="0.25">
      <c r="A302" s="11"/>
      <c r="B302" s="11"/>
      <c r="C302" s="11"/>
      <c r="D302" s="11"/>
      <c r="E302" s="11"/>
      <c r="F302" s="11"/>
      <c r="G302" s="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45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45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</row>
    <row r="303" spans="1:47" x14ac:dyDescent="0.25">
      <c r="A303" s="11"/>
      <c r="B303" s="11"/>
      <c r="C303" s="11"/>
      <c r="D303" s="11"/>
      <c r="E303" s="11"/>
      <c r="F303" s="11"/>
      <c r="G303" s="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45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45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</row>
    <row r="304" spans="1:47" x14ac:dyDescent="0.25">
      <c r="A304" s="11"/>
      <c r="B304" s="11"/>
      <c r="C304" s="11"/>
      <c r="D304" s="11"/>
      <c r="E304" s="11"/>
      <c r="F304" s="11"/>
      <c r="G304" s="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45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45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</row>
    <row r="305" spans="1:47" x14ac:dyDescent="0.25">
      <c r="A305" s="11"/>
      <c r="B305" s="11"/>
      <c r="C305" s="11"/>
      <c r="D305" s="11"/>
      <c r="E305" s="11"/>
      <c r="F305" s="11"/>
      <c r="G305" s="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45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45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</row>
    <row r="306" spans="1:47" x14ac:dyDescent="0.25">
      <c r="A306" s="11"/>
      <c r="B306" s="11"/>
      <c r="C306" s="11"/>
      <c r="D306" s="11"/>
      <c r="E306" s="11"/>
      <c r="F306" s="11"/>
      <c r="G306" s="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45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45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</row>
    <row r="307" spans="1:47" x14ac:dyDescent="0.25">
      <c r="A307" s="11"/>
      <c r="B307" s="11"/>
      <c r="C307" s="11"/>
      <c r="D307" s="11"/>
      <c r="E307" s="11"/>
      <c r="F307" s="11"/>
      <c r="G307" s="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45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45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</row>
    <row r="308" spans="1:47" x14ac:dyDescent="0.25">
      <c r="A308" s="11"/>
      <c r="B308" s="11"/>
      <c r="C308" s="11"/>
      <c r="D308" s="11"/>
      <c r="E308" s="11"/>
      <c r="F308" s="11"/>
      <c r="G308" s="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45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45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</row>
    <row r="309" spans="1:47" x14ac:dyDescent="0.25">
      <c r="A309" s="11"/>
      <c r="B309" s="11"/>
      <c r="C309" s="11"/>
      <c r="D309" s="11"/>
      <c r="E309" s="11"/>
      <c r="F309" s="11"/>
      <c r="G309" s="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45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45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</row>
    <row r="310" spans="1:47" x14ac:dyDescent="0.25">
      <c r="A310" s="11"/>
      <c r="B310" s="11"/>
      <c r="C310" s="11"/>
      <c r="D310" s="11"/>
      <c r="E310" s="11"/>
      <c r="F310" s="11"/>
      <c r="G310" s="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45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45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</row>
    <row r="311" spans="1:47" x14ac:dyDescent="0.25">
      <c r="A311" s="11"/>
      <c r="B311" s="11"/>
      <c r="C311" s="11"/>
      <c r="D311" s="11"/>
      <c r="E311" s="11"/>
      <c r="F311" s="11"/>
      <c r="G311" s="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45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45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</row>
    <row r="312" spans="1:47" x14ac:dyDescent="0.25">
      <c r="A312" s="11"/>
      <c r="B312" s="11"/>
      <c r="C312" s="11"/>
      <c r="D312" s="11"/>
      <c r="E312" s="11"/>
      <c r="F312" s="11"/>
      <c r="G312" s="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45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45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</row>
    <row r="313" spans="1:47" x14ac:dyDescent="0.25">
      <c r="A313" s="11"/>
      <c r="B313" s="11"/>
      <c r="C313" s="11"/>
      <c r="D313" s="11"/>
      <c r="E313" s="11"/>
      <c r="F313" s="11"/>
      <c r="G313" s="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45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45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</row>
    <row r="314" spans="1:47" x14ac:dyDescent="0.25">
      <c r="A314" s="11"/>
      <c r="B314" s="11"/>
      <c r="C314" s="11"/>
      <c r="D314" s="11"/>
      <c r="E314" s="11"/>
      <c r="F314" s="11"/>
      <c r="G314" s="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45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45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</row>
    <row r="315" spans="1:47" x14ac:dyDescent="0.25">
      <c r="A315" s="11"/>
      <c r="B315" s="11"/>
      <c r="C315" s="11"/>
      <c r="D315" s="11"/>
      <c r="E315" s="11"/>
      <c r="F315" s="11"/>
      <c r="G315" s="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45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45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</row>
    <row r="316" spans="1:47" x14ac:dyDescent="0.25">
      <c r="A316" s="11"/>
      <c r="B316" s="11"/>
      <c r="C316" s="11"/>
      <c r="D316" s="11"/>
      <c r="E316" s="11"/>
      <c r="F316" s="11"/>
      <c r="G316" s="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45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45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</row>
    <row r="317" spans="1:47" x14ac:dyDescent="0.25">
      <c r="A317" s="11"/>
      <c r="B317" s="11"/>
      <c r="C317" s="11"/>
      <c r="D317" s="11"/>
      <c r="E317" s="11"/>
      <c r="F317" s="11"/>
      <c r="G317" s="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45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45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</row>
    <row r="318" spans="1:47" x14ac:dyDescent="0.25">
      <c r="A318" s="11"/>
      <c r="B318" s="11"/>
      <c r="C318" s="11"/>
      <c r="D318" s="11"/>
      <c r="E318" s="11"/>
      <c r="F318" s="11"/>
      <c r="G318" s="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45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45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</row>
    <row r="319" spans="1:47" x14ac:dyDescent="0.25">
      <c r="A319" s="11"/>
      <c r="B319" s="11"/>
      <c r="C319" s="11"/>
      <c r="D319" s="11"/>
      <c r="E319" s="11"/>
      <c r="F319" s="11"/>
      <c r="G319" s="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45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45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</row>
    <row r="320" spans="1:47" x14ac:dyDescent="0.25">
      <c r="A320" s="11"/>
      <c r="B320" s="11"/>
      <c r="C320" s="11"/>
      <c r="D320" s="11"/>
      <c r="E320" s="11"/>
      <c r="F320" s="11"/>
      <c r="G320" s="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45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45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</row>
    <row r="321" spans="1:47" x14ac:dyDescent="0.25">
      <c r="A321" s="11"/>
      <c r="B321" s="11"/>
      <c r="C321" s="11"/>
      <c r="D321" s="11"/>
      <c r="E321" s="11"/>
      <c r="F321" s="11"/>
      <c r="G321" s="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45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45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</row>
    <row r="322" spans="1:47" x14ac:dyDescent="0.25">
      <c r="A322" s="11"/>
      <c r="B322" s="11"/>
      <c r="C322" s="11"/>
      <c r="D322" s="11"/>
      <c r="E322" s="11"/>
      <c r="F322" s="11"/>
      <c r="G322" s="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45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45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</row>
    <row r="323" spans="1:47" x14ac:dyDescent="0.25">
      <c r="A323" s="11"/>
      <c r="B323" s="11"/>
      <c r="C323" s="11"/>
      <c r="D323" s="11"/>
      <c r="E323" s="11"/>
      <c r="F323" s="11"/>
      <c r="G323" s="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45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45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</row>
    <row r="324" spans="1:47" x14ac:dyDescent="0.25">
      <c r="A324" s="11"/>
      <c r="B324" s="11"/>
      <c r="C324" s="11"/>
      <c r="D324" s="11"/>
      <c r="E324" s="11"/>
      <c r="F324" s="11"/>
      <c r="G324" s="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45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45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</row>
    <row r="325" spans="1:47" x14ac:dyDescent="0.25">
      <c r="A325" s="11"/>
      <c r="B325" s="11"/>
      <c r="C325" s="11"/>
      <c r="D325" s="11"/>
      <c r="E325" s="11"/>
      <c r="F325" s="11"/>
      <c r="G325" s="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45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45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</row>
    <row r="326" spans="1:47" x14ac:dyDescent="0.25">
      <c r="A326" s="11"/>
      <c r="B326" s="11"/>
      <c r="C326" s="11"/>
      <c r="D326" s="11"/>
      <c r="E326" s="11"/>
      <c r="F326" s="11"/>
      <c r="G326" s="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45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45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</row>
    <row r="327" spans="1:47" x14ac:dyDescent="0.25">
      <c r="A327" s="11"/>
      <c r="B327" s="11"/>
      <c r="C327" s="11"/>
      <c r="D327" s="11"/>
      <c r="E327" s="11"/>
      <c r="F327" s="11"/>
      <c r="G327" s="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45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45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</row>
    <row r="328" spans="1:47" x14ac:dyDescent="0.25">
      <c r="A328" s="11"/>
      <c r="B328" s="11"/>
      <c r="C328" s="11"/>
      <c r="D328" s="11"/>
      <c r="E328" s="11"/>
      <c r="F328" s="11"/>
      <c r="G328" s="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45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45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</row>
    <row r="329" spans="1:47" x14ac:dyDescent="0.25">
      <c r="A329" s="11"/>
      <c r="B329" s="11"/>
      <c r="C329" s="11"/>
      <c r="D329" s="11"/>
      <c r="E329" s="11"/>
      <c r="F329" s="11"/>
      <c r="G329" s="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45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45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</row>
    <row r="330" spans="1:47" x14ac:dyDescent="0.25">
      <c r="A330" s="11"/>
      <c r="B330" s="11"/>
      <c r="C330" s="11"/>
      <c r="D330" s="11"/>
      <c r="E330" s="11"/>
      <c r="F330" s="11"/>
      <c r="G330" s="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45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45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</row>
    <row r="331" spans="1:47" x14ac:dyDescent="0.25">
      <c r="A331" s="11"/>
      <c r="B331" s="11"/>
      <c r="C331" s="11"/>
      <c r="D331" s="11"/>
      <c r="E331" s="11"/>
      <c r="F331" s="11"/>
      <c r="G331" s="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45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45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</row>
    <row r="332" spans="1:47" x14ac:dyDescent="0.25">
      <c r="A332" s="11"/>
      <c r="B332" s="11"/>
      <c r="C332" s="11"/>
      <c r="D332" s="11"/>
      <c r="E332" s="11"/>
      <c r="F332" s="11"/>
      <c r="G332" s="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45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45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</row>
    <row r="333" spans="1:47" x14ac:dyDescent="0.25">
      <c r="A333" s="11"/>
      <c r="B333" s="11"/>
      <c r="C333" s="11"/>
      <c r="D333" s="11"/>
      <c r="E333" s="11"/>
      <c r="F333" s="11"/>
      <c r="G333" s="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45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45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</row>
    <row r="334" spans="1:47" x14ac:dyDescent="0.25">
      <c r="A334" s="11"/>
      <c r="B334" s="11"/>
      <c r="C334" s="11"/>
      <c r="D334" s="11"/>
      <c r="E334" s="11"/>
      <c r="F334" s="11"/>
      <c r="G334" s="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45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45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</row>
    <row r="335" spans="1:47" x14ac:dyDescent="0.25">
      <c r="A335" s="11"/>
      <c r="B335" s="11"/>
      <c r="C335" s="11"/>
      <c r="D335" s="11"/>
      <c r="E335" s="11"/>
      <c r="F335" s="11"/>
      <c r="G335" s="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45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45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</row>
    <row r="336" spans="1:47" x14ac:dyDescent="0.25">
      <c r="A336" s="11"/>
      <c r="B336" s="11"/>
      <c r="C336" s="11"/>
      <c r="D336" s="11"/>
      <c r="E336" s="11"/>
      <c r="F336" s="11"/>
      <c r="G336" s="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45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45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</row>
    <row r="337" spans="1:47" x14ac:dyDescent="0.25">
      <c r="A337" s="11"/>
      <c r="B337" s="11"/>
      <c r="C337" s="11"/>
      <c r="D337" s="11"/>
      <c r="E337" s="11"/>
      <c r="F337" s="11"/>
      <c r="G337" s="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45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45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</row>
    <row r="338" spans="1:47" x14ac:dyDescent="0.25">
      <c r="A338" s="11"/>
      <c r="B338" s="11"/>
      <c r="C338" s="11"/>
      <c r="D338" s="11"/>
      <c r="E338" s="11"/>
      <c r="F338" s="11"/>
      <c r="G338" s="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45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45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</row>
    <row r="339" spans="1:47" x14ac:dyDescent="0.25">
      <c r="A339" s="11"/>
      <c r="B339" s="11"/>
      <c r="C339" s="11"/>
      <c r="D339" s="11"/>
      <c r="E339" s="11"/>
      <c r="F339" s="11"/>
      <c r="G339" s="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45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45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</row>
    <row r="340" spans="1:47" x14ac:dyDescent="0.25">
      <c r="A340" s="11"/>
      <c r="B340" s="11"/>
      <c r="C340" s="11"/>
      <c r="D340" s="11"/>
      <c r="E340" s="11"/>
      <c r="F340" s="11"/>
      <c r="G340" s="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45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45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</row>
    <row r="341" spans="1:47" x14ac:dyDescent="0.25">
      <c r="A341" s="11"/>
      <c r="B341" s="11"/>
      <c r="C341" s="11"/>
      <c r="D341" s="11"/>
      <c r="E341" s="11"/>
      <c r="F341" s="11"/>
      <c r="G341" s="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45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45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</row>
    <row r="342" spans="1:47" x14ac:dyDescent="0.25">
      <c r="A342" s="11"/>
      <c r="B342" s="11"/>
      <c r="C342" s="11"/>
      <c r="D342" s="11"/>
      <c r="E342" s="11"/>
      <c r="F342" s="11"/>
      <c r="G342" s="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45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45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</row>
    <row r="343" spans="1:47" x14ac:dyDescent="0.25">
      <c r="A343" s="11"/>
      <c r="B343" s="11"/>
      <c r="C343" s="11"/>
      <c r="D343" s="11"/>
      <c r="E343" s="11"/>
      <c r="F343" s="11"/>
      <c r="G343" s="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45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45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</row>
    <row r="344" spans="1:47" x14ac:dyDescent="0.25">
      <c r="A344" s="11"/>
      <c r="B344" s="11"/>
      <c r="C344" s="11"/>
      <c r="D344" s="11"/>
      <c r="E344" s="11"/>
      <c r="F344" s="11"/>
      <c r="G344" s="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45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45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</row>
    <row r="345" spans="1:47" x14ac:dyDescent="0.25">
      <c r="A345" s="11"/>
      <c r="B345" s="11"/>
      <c r="C345" s="11"/>
      <c r="D345" s="11"/>
      <c r="E345" s="11"/>
      <c r="F345" s="11"/>
      <c r="G345" s="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45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45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</row>
    <row r="346" spans="1:47" x14ac:dyDescent="0.25">
      <c r="A346" s="11"/>
      <c r="B346" s="11"/>
      <c r="C346" s="11"/>
      <c r="D346" s="11"/>
      <c r="E346" s="11"/>
      <c r="F346" s="11"/>
      <c r="G346" s="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45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45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</row>
    <row r="347" spans="1:47" x14ac:dyDescent="0.25">
      <c r="A347" s="11"/>
      <c r="B347" s="11"/>
      <c r="C347" s="11"/>
      <c r="D347" s="11"/>
      <c r="E347" s="11"/>
      <c r="F347" s="11"/>
      <c r="G347" s="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45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45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</row>
    <row r="348" spans="1:47" x14ac:dyDescent="0.25">
      <c r="A348" s="11"/>
      <c r="B348" s="11"/>
      <c r="C348" s="11"/>
      <c r="D348" s="11"/>
      <c r="E348" s="11"/>
      <c r="F348" s="11"/>
      <c r="G348" s="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45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45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</row>
    <row r="349" spans="1:47" x14ac:dyDescent="0.25">
      <c r="A349" s="11"/>
      <c r="B349" s="11"/>
      <c r="C349" s="11"/>
      <c r="D349" s="11"/>
      <c r="E349" s="11"/>
      <c r="F349" s="11"/>
      <c r="G349" s="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45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45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</row>
    <row r="350" spans="1:47" x14ac:dyDescent="0.25">
      <c r="A350" s="11"/>
      <c r="B350" s="11"/>
      <c r="C350" s="11"/>
      <c r="D350" s="11"/>
      <c r="E350" s="11"/>
      <c r="F350" s="11"/>
      <c r="G350" s="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45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45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</row>
    <row r="351" spans="1:47" x14ac:dyDescent="0.25">
      <c r="A351" s="11"/>
      <c r="B351" s="11"/>
      <c r="C351" s="11"/>
      <c r="D351" s="11"/>
      <c r="E351" s="11"/>
      <c r="F351" s="11"/>
      <c r="G351" s="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45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45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</row>
    <row r="352" spans="1:47" x14ac:dyDescent="0.25">
      <c r="A352" s="11"/>
      <c r="B352" s="11"/>
      <c r="C352" s="11"/>
      <c r="D352" s="11"/>
      <c r="E352" s="11"/>
      <c r="F352" s="11"/>
      <c r="G352" s="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45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45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</row>
    <row r="353" spans="1:47" x14ac:dyDescent="0.25">
      <c r="A353" s="11"/>
      <c r="B353" s="11"/>
      <c r="C353" s="11"/>
      <c r="D353" s="11"/>
      <c r="E353" s="11"/>
      <c r="F353" s="11"/>
      <c r="G353" s="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45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45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</row>
    <row r="354" spans="1:47" x14ac:dyDescent="0.25">
      <c r="A354" s="11"/>
      <c r="B354" s="11"/>
      <c r="C354" s="11"/>
      <c r="D354" s="11"/>
      <c r="E354" s="11"/>
      <c r="F354" s="11"/>
      <c r="G354" s="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45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45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</row>
    <row r="355" spans="1:47" x14ac:dyDescent="0.25">
      <c r="A355" s="11"/>
      <c r="B355" s="11"/>
      <c r="C355" s="11"/>
      <c r="D355" s="11"/>
      <c r="E355" s="11"/>
      <c r="F355" s="11"/>
      <c r="G355" s="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45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45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</row>
    <row r="356" spans="1:47" x14ac:dyDescent="0.25">
      <c r="A356" s="11"/>
      <c r="B356" s="11"/>
      <c r="C356" s="11"/>
      <c r="D356" s="11"/>
      <c r="E356" s="11"/>
      <c r="F356" s="11"/>
      <c r="G356" s="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45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45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</row>
    <row r="357" spans="1:47" x14ac:dyDescent="0.25">
      <c r="A357" s="11"/>
      <c r="B357" s="11"/>
      <c r="C357" s="11"/>
      <c r="D357" s="11"/>
      <c r="E357" s="11"/>
      <c r="F357" s="11"/>
      <c r="G357" s="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45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45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</row>
    <row r="358" spans="1:47" x14ac:dyDescent="0.25">
      <c r="A358" s="11"/>
      <c r="B358" s="11"/>
      <c r="C358" s="11"/>
      <c r="D358" s="11"/>
      <c r="E358" s="11"/>
      <c r="F358" s="11"/>
      <c r="G358" s="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45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45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</row>
    <row r="359" spans="1:47" x14ac:dyDescent="0.25">
      <c r="A359" s="11"/>
      <c r="B359" s="11"/>
      <c r="C359" s="11"/>
      <c r="D359" s="11"/>
      <c r="E359" s="11"/>
      <c r="F359" s="11"/>
      <c r="G359" s="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45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45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</row>
    <row r="360" spans="1:47" x14ac:dyDescent="0.25">
      <c r="A360" s="11"/>
      <c r="B360" s="11"/>
      <c r="C360" s="11"/>
      <c r="D360" s="11"/>
      <c r="E360" s="11"/>
      <c r="F360" s="11"/>
      <c r="G360" s="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45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45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</row>
    <row r="361" spans="1:47" x14ac:dyDescent="0.25">
      <c r="A361" s="11"/>
      <c r="B361" s="11"/>
      <c r="C361" s="11"/>
      <c r="D361" s="11"/>
      <c r="E361" s="11"/>
      <c r="F361" s="11"/>
      <c r="G361" s="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45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45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</row>
    <row r="362" spans="1:47" x14ac:dyDescent="0.25">
      <c r="A362" s="11"/>
      <c r="B362" s="11"/>
      <c r="C362" s="11"/>
      <c r="D362" s="11"/>
      <c r="E362" s="11"/>
      <c r="F362" s="11"/>
      <c r="G362" s="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45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45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</row>
    <row r="363" spans="1:47" x14ac:dyDescent="0.25">
      <c r="A363" s="11"/>
      <c r="B363" s="11"/>
      <c r="C363" s="11"/>
      <c r="D363" s="11"/>
      <c r="E363" s="11"/>
      <c r="F363" s="11"/>
      <c r="G363" s="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45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45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</row>
    <row r="364" spans="1:47" x14ac:dyDescent="0.25">
      <c r="A364" s="11"/>
      <c r="B364" s="11"/>
      <c r="C364" s="11"/>
      <c r="D364" s="11"/>
      <c r="E364" s="11"/>
      <c r="F364" s="11"/>
      <c r="G364" s="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45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45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</row>
    <row r="365" spans="1:47" x14ac:dyDescent="0.25">
      <c r="A365" s="11"/>
      <c r="B365" s="11"/>
      <c r="C365" s="11"/>
      <c r="D365" s="11"/>
      <c r="E365" s="11"/>
      <c r="F365" s="11"/>
      <c r="G365" s="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45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45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</row>
    <row r="366" spans="1:47" x14ac:dyDescent="0.25">
      <c r="A366" s="11"/>
      <c r="B366" s="11"/>
      <c r="C366" s="11"/>
      <c r="D366" s="11"/>
      <c r="E366" s="11"/>
      <c r="F366" s="11"/>
      <c r="G366" s="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45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45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</row>
    <row r="367" spans="1:47" x14ac:dyDescent="0.25">
      <c r="A367" s="11"/>
      <c r="B367" s="11"/>
      <c r="C367" s="11"/>
      <c r="D367" s="11"/>
      <c r="E367" s="11"/>
      <c r="F367" s="11"/>
      <c r="G367" s="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45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45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</row>
    <row r="368" spans="1:47" x14ac:dyDescent="0.25">
      <c r="A368" s="11"/>
      <c r="B368" s="11"/>
      <c r="C368" s="11"/>
      <c r="D368" s="11"/>
      <c r="E368" s="11"/>
      <c r="F368" s="11"/>
      <c r="G368" s="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45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45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</row>
    <row r="369" spans="1:47" x14ac:dyDescent="0.25">
      <c r="A369" s="11"/>
      <c r="B369" s="11"/>
      <c r="C369" s="11"/>
      <c r="D369" s="11"/>
      <c r="E369" s="11"/>
      <c r="F369" s="11"/>
      <c r="G369" s="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45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45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</row>
    <row r="370" spans="1:47" x14ac:dyDescent="0.25">
      <c r="A370" s="11"/>
      <c r="B370" s="11"/>
      <c r="C370" s="11"/>
      <c r="D370" s="11"/>
      <c r="E370" s="11"/>
      <c r="F370" s="11"/>
      <c r="G370" s="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45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45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</row>
    <row r="371" spans="1:47" x14ac:dyDescent="0.25">
      <c r="A371" s="11"/>
      <c r="B371" s="11"/>
      <c r="C371" s="11"/>
      <c r="D371" s="11"/>
      <c r="E371" s="11"/>
      <c r="F371" s="11"/>
      <c r="G371" s="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45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45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</row>
    <row r="372" spans="1:47" x14ac:dyDescent="0.25">
      <c r="A372" s="11"/>
      <c r="B372" s="11"/>
      <c r="C372" s="11"/>
      <c r="D372" s="11"/>
      <c r="E372" s="11"/>
      <c r="F372" s="11"/>
      <c r="G372" s="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45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45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</row>
    <row r="373" spans="1:47" x14ac:dyDescent="0.25">
      <c r="A373" s="11"/>
      <c r="B373" s="11"/>
      <c r="C373" s="11"/>
      <c r="D373" s="11"/>
      <c r="E373" s="11"/>
      <c r="F373" s="11"/>
      <c r="G373" s="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45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45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</row>
    <row r="374" spans="1:47" x14ac:dyDescent="0.25">
      <c r="A374" s="11"/>
      <c r="B374" s="11"/>
      <c r="C374" s="11"/>
      <c r="D374" s="11"/>
      <c r="E374" s="11"/>
      <c r="F374" s="11"/>
      <c r="G374" s="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45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45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</row>
    <row r="375" spans="1:47" x14ac:dyDescent="0.25">
      <c r="A375" s="11"/>
      <c r="B375" s="11"/>
      <c r="C375" s="11"/>
      <c r="D375" s="11"/>
      <c r="E375" s="11"/>
      <c r="F375" s="11"/>
      <c r="G375" s="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45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45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</row>
    <row r="376" spans="1:47" x14ac:dyDescent="0.25">
      <c r="A376" s="11"/>
      <c r="B376" s="11"/>
      <c r="C376" s="11"/>
      <c r="D376" s="11"/>
      <c r="E376" s="11"/>
      <c r="F376" s="11"/>
      <c r="G376" s="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45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45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</row>
    <row r="377" spans="1:47" x14ac:dyDescent="0.25">
      <c r="A377" s="11"/>
      <c r="B377" s="11"/>
      <c r="C377" s="11"/>
      <c r="D377" s="11"/>
      <c r="E377" s="11"/>
      <c r="F377" s="11"/>
      <c r="G377" s="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45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45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</row>
    <row r="378" spans="1:47" x14ac:dyDescent="0.25">
      <c r="A378" s="11"/>
      <c r="B378" s="11"/>
      <c r="C378" s="11"/>
      <c r="D378" s="11"/>
      <c r="E378" s="11"/>
      <c r="F378" s="11"/>
      <c r="G378" s="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45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45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</row>
    <row r="379" spans="1:47" x14ac:dyDescent="0.25">
      <c r="A379" s="11"/>
      <c r="B379" s="11"/>
      <c r="C379" s="11"/>
      <c r="D379" s="11"/>
      <c r="E379" s="11"/>
      <c r="F379" s="11"/>
      <c r="G379" s="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45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45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</row>
    <row r="380" spans="1:47" x14ac:dyDescent="0.25">
      <c r="A380" s="11"/>
      <c r="B380" s="11"/>
      <c r="C380" s="11"/>
      <c r="D380" s="11"/>
      <c r="E380" s="11"/>
      <c r="F380" s="11"/>
      <c r="G380" s="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45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45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</row>
    <row r="381" spans="1:47" x14ac:dyDescent="0.25">
      <c r="A381" s="11"/>
      <c r="B381" s="11"/>
      <c r="C381" s="11"/>
      <c r="D381" s="11"/>
      <c r="E381" s="11"/>
      <c r="F381" s="11"/>
      <c r="G381" s="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45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45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</row>
    <row r="382" spans="1:47" x14ac:dyDescent="0.25">
      <c r="A382" s="11"/>
      <c r="B382" s="11"/>
      <c r="C382" s="11"/>
      <c r="D382" s="11"/>
      <c r="E382" s="11"/>
      <c r="F382" s="11"/>
      <c r="G382" s="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45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45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47" x14ac:dyDescent="0.25">
      <c r="A383" s="11"/>
      <c r="B383" s="11"/>
      <c r="C383" s="11"/>
      <c r="D383" s="11"/>
      <c r="E383" s="11"/>
      <c r="F383" s="11"/>
      <c r="G383" s="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45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45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</row>
    <row r="384" spans="1:47" x14ac:dyDescent="0.25">
      <c r="A384" s="11"/>
      <c r="B384" s="11"/>
      <c r="C384" s="11"/>
      <c r="D384" s="11"/>
      <c r="E384" s="11"/>
      <c r="F384" s="11"/>
      <c r="G384" s="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45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45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</row>
    <row r="385" spans="1:47" x14ac:dyDescent="0.25">
      <c r="A385" s="11"/>
      <c r="B385" s="11"/>
      <c r="C385" s="11"/>
      <c r="D385" s="11"/>
      <c r="E385" s="11"/>
      <c r="F385" s="11"/>
      <c r="G385" s="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45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45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</row>
    <row r="386" spans="1:47" x14ac:dyDescent="0.25">
      <c r="A386" s="11"/>
      <c r="B386" s="11"/>
      <c r="C386" s="11"/>
      <c r="D386" s="11"/>
      <c r="E386" s="11"/>
      <c r="F386" s="11"/>
      <c r="G386" s="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45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45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</row>
    <row r="387" spans="1:47" x14ac:dyDescent="0.25">
      <c r="A387" s="11"/>
      <c r="B387" s="11"/>
      <c r="C387" s="11"/>
      <c r="D387" s="11"/>
      <c r="E387" s="11"/>
      <c r="F387" s="11"/>
      <c r="G387" s="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45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45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</row>
    <row r="388" spans="1:47" x14ac:dyDescent="0.25">
      <c r="A388" s="11"/>
      <c r="B388" s="11"/>
      <c r="C388" s="11"/>
      <c r="D388" s="11"/>
      <c r="E388" s="11"/>
      <c r="F388" s="11"/>
      <c r="G388" s="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45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45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</row>
    <row r="389" spans="1:47" x14ac:dyDescent="0.25">
      <c r="A389" s="11"/>
      <c r="B389" s="11"/>
      <c r="C389" s="11"/>
      <c r="D389" s="11"/>
      <c r="E389" s="11"/>
      <c r="F389" s="11"/>
      <c r="G389" s="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45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45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</row>
    <row r="390" spans="1:47" x14ac:dyDescent="0.25">
      <c r="A390" s="11"/>
      <c r="B390" s="11"/>
      <c r="C390" s="11"/>
      <c r="D390" s="11"/>
      <c r="E390" s="11"/>
      <c r="F390" s="11"/>
      <c r="G390" s="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45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45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</row>
    <row r="391" spans="1:47" x14ac:dyDescent="0.25">
      <c r="A391" s="11"/>
      <c r="B391" s="11"/>
      <c r="C391" s="11"/>
      <c r="D391" s="11"/>
      <c r="E391" s="11"/>
      <c r="F391" s="11"/>
      <c r="G391" s="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45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45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</row>
    <row r="392" spans="1:47" x14ac:dyDescent="0.25">
      <c r="A392" s="11"/>
      <c r="B392" s="11"/>
      <c r="C392" s="11"/>
      <c r="D392" s="11"/>
      <c r="E392" s="11"/>
      <c r="F392" s="11"/>
      <c r="G392" s="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45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45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</row>
    <row r="393" spans="1:47" x14ac:dyDescent="0.25">
      <c r="A393" s="11"/>
      <c r="B393" s="11"/>
      <c r="C393" s="11"/>
      <c r="D393" s="11"/>
      <c r="E393" s="11"/>
      <c r="F393" s="11"/>
      <c r="G393" s="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45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45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</row>
    <row r="394" spans="1:47" x14ac:dyDescent="0.25">
      <c r="A394" s="11"/>
      <c r="B394" s="11"/>
      <c r="C394" s="11"/>
      <c r="D394" s="11"/>
      <c r="E394" s="11"/>
      <c r="F394" s="11"/>
      <c r="G394" s="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45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45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</row>
    <row r="395" spans="1:47" x14ac:dyDescent="0.25">
      <c r="A395" s="11"/>
      <c r="B395" s="11"/>
      <c r="C395" s="11"/>
      <c r="D395" s="11"/>
      <c r="E395" s="11"/>
      <c r="F395" s="11"/>
      <c r="G395" s="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45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45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</row>
    <row r="396" spans="1:47" x14ac:dyDescent="0.25">
      <c r="A396" s="11"/>
      <c r="B396" s="11"/>
      <c r="C396" s="11"/>
      <c r="D396" s="11"/>
      <c r="E396" s="11"/>
      <c r="F396" s="11"/>
      <c r="G396" s="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45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45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</row>
    <row r="397" spans="1:47" x14ac:dyDescent="0.25">
      <c r="A397" s="11"/>
      <c r="B397" s="11"/>
      <c r="C397" s="11"/>
      <c r="D397" s="11"/>
      <c r="E397" s="11"/>
      <c r="F397" s="11"/>
      <c r="G397" s="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45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45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</row>
    <row r="398" spans="1:47" x14ac:dyDescent="0.25">
      <c r="A398" s="11"/>
      <c r="B398" s="11"/>
      <c r="C398" s="11"/>
      <c r="D398" s="11"/>
      <c r="E398" s="11"/>
      <c r="F398" s="11"/>
      <c r="G398" s="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45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45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</row>
    <row r="399" spans="1:47" x14ac:dyDescent="0.25">
      <c r="A399" s="11"/>
      <c r="B399" s="11"/>
      <c r="C399" s="11"/>
      <c r="D399" s="11"/>
      <c r="E399" s="11"/>
      <c r="F399" s="11"/>
      <c r="G399" s="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45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45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</row>
    <row r="400" spans="1:47" x14ac:dyDescent="0.25">
      <c r="A400" s="11"/>
      <c r="B400" s="11"/>
      <c r="C400" s="11"/>
      <c r="D400" s="11"/>
      <c r="E400" s="11"/>
      <c r="F400" s="11"/>
      <c r="G400" s="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45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45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</row>
    <row r="401" spans="1:47" x14ac:dyDescent="0.25">
      <c r="A401" s="11"/>
      <c r="B401" s="11"/>
      <c r="C401" s="11"/>
      <c r="D401" s="11"/>
      <c r="E401" s="11"/>
      <c r="F401" s="11"/>
      <c r="G401" s="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45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45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</row>
    <row r="402" spans="1:47" x14ac:dyDescent="0.25">
      <c r="A402" s="11"/>
      <c r="B402" s="11"/>
      <c r="C402" s="11"/>
      <c r="D402" s="11"/>
      <c r="E402" s="11"/>
      <c r="F402" s="11"/>
      <c r="G402" s="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45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45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</row>
    <row r="403" spans="1:47" x14ac:dyDescent="0.25">
      <c r="A403" s="11"/>
      <c r="B403" s="11"/>
      <c r="C403" s="11"/>
      <c r="D403" s="11"/>
      <c r="E403" s="11"/>
      <c r="F403" s="11"/>
      <c r="G403" s="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45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45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</row>
    <row r="404" spans="1:47" x14ac:dyDescent="0.25">
      <c r="A404" s="11"/>
      <c r="B404" s="11"/>
      <c r="C404" s="11"/>
      <c r="D404" s="11"/>
      <c r="E404" s="11"/>
      <c r="F404" s="11"/>
      <c r="G404" s="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45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45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</row>
    <row r="405" spans="1:47" x14ac:dyDescent="0.25">
      <c r="A405" s="11"/>
      <c r="B405" s="11"/>
      <c r="C405" s="11"/>
      <c r="D405" s="11"/>
      <c r="E405" s="11"/>
      <c r="F405" s="11"/>
      <c r="G405" s="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45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45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</row>
    <row r="406" spans="1:47" x14ac:dyDescent="0.25">
      <c r="A406" s="11"/>
      <c r="B406" s="11"/>
      <c r="C406" s="11"/>
      <c r="D406" s="11"/>
      <c r="E406" s="11"/>
      <c r="F406" s="11"/>
      <c r="G406" s="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45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45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</row>
    <row r="407" spans="1:47" x14ac:dyDescent="0.25">
      <c r="A407" s="11"/>
      <c r="B407" s="11"/>
      <c r="C407" s="11"/>
      <c r="D407" s="11"/>
      <c r="E407" s="11"/>
      <c r="F407" s="11"/>
      <c r="G407" s="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45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45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</row>
    <row r="408" spans="1:47" x14ac:dyDescent="0.25">
      <c r="A408" s="11"/>
      <c r="B408" s="11"/>
      <c r="C408" s="11"/>
      <c r="D408" s="11"/>
      <c r="E408" s="11"/>
      <c r="F408" s="11"/>
      <c r="G408" s="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45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45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</row>
    <row r="409" spans="1:47" x14ac:dyDescent="0.25">
      <c r="A409" s="11"/>
      <c r="B409" s="11"/>
      <c r="C409" s="11"/>
      <c r="D409" s="11"/>
      <c r="E409" s="11"/>
      <c r="F409" s="11"/>
      <c r="G409" s="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45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45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</row>
    <row r="410" spans="1:47" x14ac:dyDescent="0.25">
      <c r="A410" s="11"/>
      <c r="B410" s="11"/>
      <c r="C410" s="11"/>
      <c r="D410" s="11"/>
      <c r="E410" s="11"/>
      <c r="F410" s="11"/>
      <c r="G410" s="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45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45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</row>
    <row r="411" spans="1:47" x14ac:dyDescent="0.25">
      <c r="A411" s="11"/>
      <c r="B411" s="11"/>
      <c r="C411" s="11"/>
      <c r="D411" s="11"/>
      <c r="E411" s="11"/>
      <c r="F411" s="11"/>
      <c r="G411" s="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45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45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</row>
    <row r="412" spans="1:47" x14ac:dyDescent="0.25">
      <c r="A412" s="11"/>
      <c r="B412" s="11"/>
      <c r="C412" s="11"/>
      <c r="D412" s="11"/>
      <c r="E412" s="11"/>
      <c r="F412" s="11"/>
      <c r="G412" s="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45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45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</row>
    <row r="413" spans="1:47" x14ac:dyDescent="0.25">
      <c r="A413" s="11"/>
      <c r="B413" s="11"/>
      <c r="C413" s="11"/>
      <c r="D413" s="11"/>
      <c r="E413" s="11"/>
      <c r="F413" s="11"/>
      <c r="G413" s="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45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45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</row>
    <row r="414" spans="1:47" x14ac:dyDescent="0.25">
      <c r="A414" s="11"/>
      <c r="B414" s="11"/>
      <c r="C414" s="11"/>
      <c r="D414" s="11"/>
      <c r="E414" s="11"/>
      <c r="F414" s="11"/>
      <c r="G414" s="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45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45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</row>
    <row r="415" spans="1:47" x14ac:dyDescent="0.25">
      <c r="A415" s="11"/>
      <c r="B415" s="11"/>
      <c r="C415" s="11"/>
      <c r="D415" s="11"/>
      <c r="E415" s="11"/>
      <c r="F415" s="11"/>
      <c r="G415" s="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45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45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</row>
    <row r="416" spans="1:47" x14ac:dyDescent="0.25">
      <c r="A416" s="11"/>
      <c r="B416" s="11"/>
      <c r="C416" s="11"/>
      <c r="D416" s="11"/>
      <c r="E416" s="11"/>
      <c r="F416" s="11"/>
      <c r="G416" s="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45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45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</row>
    <row r="417" spans="1:47" x14ac:dyDescent="0.25">
      <c r="A417" s="11"/>
      <c r="B417" s="11"/>
      <c r="C417" s="11"/>
      <c r="D417" s="11"/>
      <c r="E417" s="11"/>
      <c r="F417" s="11"/>
      <c r="G417" s="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45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45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</row>
    <row r="418" spans="1:47" x14ac:dyDescent="0.25">
      <c r="A418" s="11"/>
      <c r="B418" s="11"/>
      <c r="C418" s="11"/>
      <c r="D418" s="11"/>
      <c r="E418" s="11"/>
      <c r="F418" s="11"/>
      <c r="G418" s="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45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45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</row>
    <row r="419" spans="1:47" x14ac:dyDescent="0.25">
      <c r="A419" s="11"/>
      <c r="B419" s="11"/>
      <c r="C419" s="11"/>
      <c r="D419" s="11"/>
      <c r="E419" s="11"/>
      <c r="F419" s="11"/>
      <c r="G419" s="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45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45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</row>
    <row r="420" spans="1:47" x14ac:dyDescent="0.25">
      <c r="A420" s="11"/>
      <c r="B420" s="11"/>
      <c r="C420" s="11"/>
      <c r="D420" s="11"/>
      <c r="E420" s="11"/>
      <c r="F420" s="11"/>
      <c r="G420" s="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45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45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</row>
    <row r="421" spans="1:47" x14ac:dyDescent="0.25">
      <c r="A421" s="11"/>
      <c r="B421" s="11"/>
      <c r="C421" s="11"/>
      <c r="D421" s="11"/>
      <c r="E421" s="11"/>
      <c r="F421" s="11"/>
      <c r="G421" s="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45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45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</row>
    <row r="422" spans="1:47" x14ac:dyDescent="0.25">
      <c r="A422" s="11"/>
      <c r="B422" s="11"/>
      <c r="C422" s="11"/>
      <c r="D422" s="11"/>
      <c r="E422" s="11"/>
      <c r="F422" s="11"/>
      <c r="G422" s="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45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45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</row>
    <row r="423" spans="1:47" x14ac:dyDescent="0.25">
      <c r="A423" s="11"/>
      <c r="B423" s="11"/>
      <c r="C423" s="11"/>
      <c r="D423" s="11"/>
      <c r="E423" s="11"/>
      <c r="F423" s="11"/>
      <c r="G423" s="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45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45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</row>
    <row r="424" spans="1:47" x14ac:dyDescent="0.25">
      <c r="A424" s="11"/>
      <c r="B424" s="11"/>
      <c r="C424" s="11"/>
      <c r="D424" s="11"/>
      <c r="E424" s="11"/>
      <c r="F424" s="11"/>
      <c r="G424" s="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45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45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</row>
    <row r="425" spans="1:47" x14ac:dyDescent="0.25">
      <c r="A425" s="11"/>
      <c r="B425" s="11"/>
      <c r="C425" s="11"/>
      <c r="D425" s="11"/>
      <c r="E425" s="11"/>
      <c r="F425" s="11"/>
      <c r="G425" s="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45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45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</row>
    <row r="426" spans="1:47" x14ac:dyDescent="0.25">
      <c r="A426" s="11"/>
      <c r="B426" s="11"/>
      <c r="C426" s="11"/>
      <c r="D426" s="11"/>
      <c r="E426" s="11"/>
      <c r="F426" s="11"/>
      <c r="G426" s="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45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45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</row>
    <row r="427" spans="1:47" x14ac:dyDescent="0.25">
      <c r="A427" s="11"/>
      <c r="B427" s="11"/>
      <c r="C427" s="11"/>
      <c r="D427" s="11"/>
      <c r="E427" s="11"/>
      <c r="F427" s="11"/>
      <c r="G427" s="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45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45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</row>
    <row r="428" spans="1:47" x14ac:dyDescent="0.25">
      <c r="A428" s="11"/>
      <c r="B428" s="11"/>
      <c r="C428" s="11"/>
      <c r="D428" s="11"/>
      <c r="E428" s="11"/>
      <c r="F428" s="11"/>
      <c r="G428" s="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45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45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</row>
    <row r="429" spans="1:47" x14ac:dyDescent="0.25">
      <c r="A429" s="11"/>
      <c r="B429" s="11"/>
      <c r="C429" s="11"/>
      <c r="D429" s="11"/>
      <c r="E429" s="11"/>
      <c r="F429" s="11"/>
      <c r="G429" s="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45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45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</row>
    <row r="430" spans="1:47" x14ac:dyDescent="0.25">
      <c r="A430" s="11"/>
      <c r="B430" s="11"/>
      <c r="C430" s="11"/>
      <c r="D430" s="11"/>
      <c r="E430" s="11"/>
      <c r="F430" s="11"/>
      <c r="G430" s="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45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45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</row>
    <row r="431" spans="1:47" x14ac:dyDescent="0.25">
      <c r="A431" s="11"/>
      <c r="B431" s="11"/>
      <c r="C431" s="11"/>
      <c r="D431" s="11"/>
      <c r="E431" s="11"/>
      <c r="F431" s="11"/>
      <c r="G431" s="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45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45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</row>
    <row r="432" spans="1:47" x14ac:dyDescent="0.25">
      <c r="A432" s="11"/>
      <c r="B432" s="11"/>
      <c r="C432" s="11"/>
      <c r="D432" s="11"/>
      <c r="E432" s="11"/>
      <c r="F432" s="11"/>
      <c r="G432" s="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45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45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</row>
    <row r="433" spans="1:47" x14ac:dyDescent="0.25">
      <c r="A433" s="11"/>
      <c r="B433" s="11"/>
      <c r="C433" s="11"/>
      <c r="D433" s="11"/>
      <c r="E433" s="11"/>
      <c r="F433" s="11"/>
      <c r="G433" s="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45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45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</row>
    <row r="434" spans="1:47" x14ac:dyDescent="0.25">
      <c r="A434" s="11"/>
      <c r="B434" s="11"/>
      <c r="C434" s="11"/>
      <c r="D434" s="11"/>
      <c r="E434" s="11"/>
      <c r="F434" s="11"/>
      <c r="G434" s="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45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45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</row>
    <row r="435" spans="1:47" x14ac:dyDescent="0.25">
      <c r="A435" s="11"/>
      <c r="B435" s="11"/>
      <c r="C435" s="11"/>
      <c r="D435" s="11"/>
      <c r="E435" s="11"/>
      <c r="F435" s="11"/>
      <c r="G435" s="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45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45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</row>
    <row r="436" spans="1:47" x14ac:dyDescent="0.25">
      <c r="A436" s="11"/>
      <c r="B436" s="11"/>
      <c r="C436" s="11"/>
      <c r="D436" s="11"/>
      <c r="E436" s="11"/>
      <c r="F436" s="11"/>
      <c r="G436" s="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45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45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</row>
    <row r="437" spans="1:47" x14ac:dyDescent="0.25">
      <c r="A437" s="11"/>
      <c r="B437" s="11"/>
      <c r="C437" s="11"/>
      <c r="D437" s="11"/>
      <c r="E437" s="11"/>
      <c r="F437" s="11"/>
      <c r="G437" s="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45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45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</row>
    <row r="438" spans="1:47" x14ac:dyDescent="0.25">
      <c r="A438" s="11"/>
      <c r="B438" s="11"/>
      <c r="C438" s="11"/>
      <c r="D438" s="11"/>
      <c r="E438" s="11"/>
      <c r="F438" s="11"/>
      <c r="G438" s="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45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45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</row>
    <row r="439" spans="1:47" x14ac:dyDescent="0.25">
      <c r="A439" s="11"/>
      <c r="B439" s="11"/>
      <c r="C439" s="11"/>
      <c r="D439" s="11"/>
      <c r="E439" s="11"/>
      <c r="F439" s="11"/>
      <c r="G439" s="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45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45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</row>
    <row r="440" spans="1:47" x14ac:dyDescent="0.25">
      <c r="A440" s="11"/>
      <c r="B440" s="11"/>
      <c r="C440" s="11"/>
      <c r="D440" s="11"/>
      <c r="E440" s="11"/>
      <c r="F440" s="11"/>
      <c r="G440" s="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45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45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</row>
    <row r="441" spans="1:47" x14ac:dyDescent="0.25">
      <c r="A441" s="11"/>
      <c r="B441" s="11"/>
      <c r="C441" s="11"/>
      <c r="D441" s="11"/>
      <c r="E441" s="11"/>
      <c r="F441" s="11"/>
      <c r="G441" s="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45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45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</row>
    <row r="442" spans="1:47" x14ac:dyDescent="0.25">
      <c r="A442" s="11"/>
      <c r="B442" s="11"/>
      <c r="C442" s="11"/>
      <c r="D442" s="11"/>
      <c r="E442" s="11"/>
      <c r="F442" s="11"/>
      <c r="G442" s="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45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45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</row>
    <row r="443" spans="1:47" x14ac:dyDescent="0.25">
      <c r="A443" s="11"/>
      <c r="B443" s="11"/>
      <c r="C443" s="11"/>
      <c r="D443" s="11"/>
      <c r="E443" s="11"/>
      <c r="F443" s="11"/>
      <c r="G443" s="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45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45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</row>
    <row r="444" spans="1:47" x14ac:dyDescent="0.25">
      <c r="A444" s="11"/>
      <c r="B444" s="11"/>
      <c r="C444" s="11"/>
      <c r="D444" s="11"/>
      <c r="E444" s="11"/>
      <c r="F444" s="11"/>
      <c r="G444" s="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45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45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</row>
    <row r="445" spans="1:47" x14ac:dyDescent="0.25">
      <c r="A445" s="11"/>
      <c r="B445" s="11"/>
      <c r="C445" s="11"/>
      <c r="D445" s="11"/>
      <c r="E445" s="11"/>
      <c r="F445" s="11"/>
      <c r="G445" s="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45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45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</row>
    <row r="446" spans="1:47" x14ac:dyDescent="0.25">
      <c r="A446" s="11"/>
      <c r="B446" s="11"/>
      <c r="C446" s="11"/>
      <c r="D446" s="11"/>
      <c r="E446" s="11"/>
      <c r="F446" s="11"/>
      <c r="G446" s="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45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45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</row>
    <row r="447" spans="1:47" x14ac:dyDescent="0.25">
      <c r="A447" s="11"/>
      <c r="B447" s="11"/>
      <c r="C447" s="11"/>
      <c r="D447" s="11"/>
      <c r="E447" s="11"/>
      <c r="F447" s="11"/>
      <c r="G447" s="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45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45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</row>
    <row r="448" spans="1:47" x14ac:dyDescent="0.25">
      <c r="A448" s="11"/>
      <c r="B448" s="11"/>
      <c r="C448" s="11"/>
      <c r="D448" s="11"/>
      <c r="E448" s="11"/>
      <c r="F448" s="11"/>
      <c r="G448" s="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45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45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</row>
    <row r="449" spans="1:47" x14ac:dyDescent="0.25">
      <c r="A449" s="11"/>
      <c r="B449" s="11"/>
      <c r="C449" s="11"/>
      <c r="D449" s="11"/>
      <c r="E449" s="11"/>
      <c r="F449" s="11"/>
      <c r="G449" s="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45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45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</row>
    <row r="450" spans="1:47" x14ac:dyDescent="0.25">
      <c r="A450" s="11"/>
      <c r="B450" s="11"/>
      <c r="C450" s="11"/>
      <c r="D450" s="11"/>
      <c r="E450" s="11"/>
      <c r="F450" s="11"/>
      <c r="G450" s="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45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45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</row>
    <row r="451" spans="1:47" x14ac:dyDescent="0.25">
      <c r="A451" s="11"/>
      <c r="B451" s="11"/>
      <c r="C451" s="11"/>
      <c r="D451" s="11"/>
      <c r="E451" s="11"/>
      <c r="F451" s="11"/>
      <c r="G451" s="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45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45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</row>
    <row r="452" spans="1:47" x14ac:dyDescent="0.25">
      <c r="A452" s="11"/>
      <c r="B452" s="11"/>
      <c r="C452" s="11"/>
      <c r="D452" s="11"/>
      <c r="E452" s="11"/>
      <c r="F452" s="11"/>
      <c r="G452" s="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45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45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</row>
    <row r="453" spans="1:47" x14ac:dyDescent="0.25">
      <c r="A453" s="11"/>
      <c r="B453" s="11"/>
      <c r="C453" s="11"/>
      <c r="D453" s="11"/>
      <c r="E453" s="11"/>
      <c r="F453" s="11"/>
      <c r="G453" s="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45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45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</row>
    <row r="454" spans="1:47" x14ac:dyDescent="0.25">
      <c r="A454" s="11"/>
      <c r="B454" s="11"/>
      <c r="C454" s="11"/>
      <c r="D454" s="11"/>
      <c r="E454" s="11"/>
      <c r="F454" s="11"/>
      <c r="G454" s="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45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45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</row>
    <row r="455" spans="1:47" x14ac:dyDescent="0.25">
      <c r="A455" s="11"/>
      <c r="B455" s="11"/>
      <c r="C455" s="11"/>
      <c r="D455" s="11"/>
      <c r="E455" s="11"/>
      <c r="F455" s="11"/>
      <c r="G455" s="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45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45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</row>
    <row r="456" spans="1:47" x14ac:dyDescent="0.25">
      <c r="A456" s="11"/>
      <c r="B456" s="11"/>
      <c r="C456" s="11"/>
      <c r="D456" s="11"/>
      <c r="E456" s="11"/>
      <c r="F456" s="11"/>
      <c r="G456" s="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45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45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</row>
    <row r="457" spans="1:47" x14ac:dyDescent="0.25">
      <c r="A457" s="11"/>
      <c r="B457" s="11"/>
      <c r="C457" s="11"/>
      <c r="D457" s="11"/>
      <c r="E457" s="11"/>
      <c r="F457" s="11"/>
      <c r="G457" s="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45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45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</row>
    <row r="458" spans="1:47" x14ac:dyDescent="0.25">
      <c r="A458" s="11"/>
      <c r="B458" s="11"/>
      <c r="C458" s="11"/>
      <c r="D458" s="11"/>
      <c r="E458" s="11"/>
      <c r="F458" s="11"/>
      <c r="G458" s="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45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45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</row>
    <row r="459" spans="1:47" x14ac:dyDescent="0.25">
      <c r="A459" s="11"/>
      <c r="B459" s="11"/>
      <c r="C459" s="11"/>
      <c r="D459" s="11"/>
      <c r="E459" s="11"/>
      <c r="F459" s="11"/>
      <c r="G459" s="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45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45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</row>
    <row r="460" spans="1:47" x14ac:dyDescent="0.25">
      <c r="A460" s="11"/>
      <c r="B460" s="11"/>
      <c r="C460" s="11"/>
      <c r="D460" s="11"/>
      <c r="E460" s="11"/>
      <c r="F460" s="11"/>
      <c r="G460" s="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45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45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</row>
    <row r="461" spans="1:47" x14ac:dyDescent="0.25">
      <c r="A461" s="11"/>
      <c r="B461" s="11"/>
      <c r="C461" s="11"/>
      <c r="D461" s="11"/>
      <c r="E461" s="11"/>
      <c r="F461" s="11"/>
      <c r="G461" s="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45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45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</row>
    <row r="462" spans="1:47" x14ac:dyDescent="0.25">
      <c r="A462" s="11"/>
      <c r="B462" s="11"/>
      <c r="C462" s="11"/>
      <c r="D462" s="11"/>
      <c r="E462" s="11"/>
      <c r="F462" s="11"/>
      <c r="G462" s="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45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45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</row>
    <row r="463" spans="1:47" x14ac:dyDescent="0.25">
      <c r="A463" s="11"/>
      <c r="B463" s="11"/>
      <c r="C463" s="11"/>
      <c r="D463" s="11"/>
      <c r="E463" s="11"/>
      <c r="F463" s="11"/>
      <c r="G463" s="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45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45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</row>
    <row r="464" spans="1:47" x14ac:dyDescent="0.25">
      <c r="A464" s="11"/>
      <c r="B464" s="11"/>
      <c r="C464" s="11"/>
      <c r="D464" s="11"/>
      <c r="E464" s="11"/>
      <c r="F464" s="11"/>
      <c r="G464" s="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45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45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</row>
    <row r="465" spans="1:47" x14ac:dyDescent="0.25">
      <c r="A465" s="11"/>
      <c r="B465" s="11"/>
      <c r="C465" s="11"/>
      <c r="D465" s="11"/>
      <c r="E465" s="11"/>
      <c r="F465" s="11"/>
      <c r="G465" s="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45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45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</row>
    <row r="466" spans="1:47" x14ac:dyDescent="0.25">
      <c r="A466" s="11"/>
      <c r="B466" s="11"/>
      <c r="C466" s="11"/>
      <c r="D466" s="11"/>
      <c r="E466" s="11"/>
      <c r="F466" s="11"/>
      <c r="G466" s="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45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45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</row>
    <row r="467" spans="1:47" x14ac:dyDescent="0.25">
      <c r="A467" s="11"/>
      <c r="B467" s="11"/>
      <c r="C467" s="11"/>
      <c r="D467" s="11"/>
      <c r="E467" s="11"/>
      <c r="F467" s="11"/>
      <c r="G467" s="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45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45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</row>
    <row r="468" spans="1:47" x14ac:dyDescent="0.25">
      <c r="A468" s="11"/>
      <c r="B468" s="11"/>
      <c r="C468" s="11"/>
      <c r="D468" s="11"/>
      <c r="E468" s="11"/>
      <c r="F468" s="11"/>
      <c r="G468" s="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45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45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</row>
    <row r="469" spans="1:47" x14ac:dyDescent="0.25">
      <c r="A469" s="11"/>
      <c r="B469" s="11"/>
      <c r="C469" s="11"/>
      <c r="D469" s="11"/>
      <c r="E469" s="11"/>
      <c r="F469" s="11"/>
      <c r="G469" s="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45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45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</row>
    <row r="470" spans="1:47" x14ac:dyDescent="0.25">
      <c r="A470" s="11"/>
      <c r="B470" s="11"/>
      <c r="C470" s="11"/>
      <c r="D470" s="11"/>
      <c r="E470" s="11"/>
      <c r="F470" s="11"/>
      <c r="G470" s="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45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45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</row>
    <row r="471" spans="1:47" x14ac:dyDescent="0.25">
      <c r="A471" s="11"/>
      <c r="B471" s="11"/>
      <c r="C471" s="11"/>
      <c r="D471" s="11"/>
      <c r="E471" s="11"/>
      <c r="F471" s="11"/>
      <c r="G471" s="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45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45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</row>
    <row r="472" spans="1:47" x14ac:dyDescent="0.25">
      <c r="A472" s="11"/>
      <c r="B472" s="11"/>
      <c r="C472" s="11"/>
      <c r="D472" s="11"/>
      <c r="E472" s="11"/>
      <c r="F472" s="11"/>
      <c r="G472" s="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45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45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</row>
    <row r="473" spans="1:47" x14ac:dyDescent="0.25">
      <c r="A473" s="11"/>
      <c r="B473" s="11"/>
      <c r="C473" s="11"/>
      <c r="D473" s="11"/>
      <c r="E473" s="11"/>
      <c r="F473" s="11"/>
      <c r="G473" s="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45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45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</row>
    <row r="474" spans="1:47" x14ac:dyDescent="0.25">
      <c r="A474" s="11"/>
      <c r="B474" s="11"/>
      <c r="C474" s="11"/>
      <c r="D474" s="11"/>
      <c r="E474" s="11"/>
      <c r="F474" s="11"/>
      <c r="G474" s="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45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45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</row>
    <row r="475" spans="1:47" x14ac:dyDescent="0.25">
      <c r="A475" s="11"/>
      <c r="B475" s="11"/>
      <c r="C475" s="11"/>
      <c r="D475" s="11"/>
      <c r="E475" s="11"/>
      <c r="F475" s="11"/>
      <c r="G475" s="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45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45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</row>
    <row r="476" spans="1:47" x14ac:dyDescent="0.25">
      <c r="A476" s="11"/>
      <c r="B476" s="11"/>
      <c r="C476" s="11"/>
      <c r="D476" s="11"/>
      <c r="E476" s="11"/>
      <c r="F476" s="11"/>
      <c r="G476" s="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45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45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</row>
    <row r="477" spans="1:47" x14ac:dyDescent="0.25">
      <c r="A477" s="11"/>
      <c r="B477" s="11"/>
      <c r="C477" s="11"/>
      <c r="D477" s="11"/>
      <c r="E477" s="11"/>
      <c r="F477" s="11"/>
      <c r="G477" s="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45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45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</row>
    <row r="478" spans="1:47" x14ac:dyDescent="0.25">
      <c r="A478" s="11"/>
      <c r="B478" s="11"/>
      <c r="C478" s="11"/>
      <c r="D478" s="11"/>
      <c r="E478" s="11"/>
      <c r="F478" s="11"/>
      <c r="G478" s="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45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45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</row>
    <row r="479" spans="1:47" x14ac:dyDescent="0.25">
      <c r="A479" s="11"/>
      <c r="B479" s="11"/>
      <c r="C479" s="11"/>
      <c r="D479" s="11"/>
      <c r="E479" s="11"/>
      <c r="F479" s="11"/>
      <c r="G479" s="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45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45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</row>
    <row r="480" spans="1:47" x14ac:dyDescent="0.25">
      <c r="A480" s="11"/>
      <c r="B480" s="11"/>
      <c r="C480" s="11"/>
      <c r="D480" s="11"/>
      <c r="E480" s="11"/>
      <c r="F480" s="11"/>
      <c r="G480" s="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45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45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</row>
    <row r="481" spans="1:47" x14ac:dyDescent="0.25">
      <c r="A481" s="11"/>
      <c r="B481" s="11"/>
      <c r="C481" s="11"/>
      <c r="D481" s="11"/>
      <c r="E481" s="11"/>
      <c r="F481" s="11"/>
      <c r="G481" s="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45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45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</row>
    <row r="482" spans="1:47" x14ac:dyDescent="0.25">
      <c r="A482" s="11"/>
      <c r="B482" s="11"/>
      <c r="C482" s="11"/>
      <c r="D482" s="11"/>
      <c r="E482" s="11"/>
      <c r="F482" s="11"/>
      <c r="G482" s="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45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45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</row>
    <row r="483" spans="1:47" x14ac:dyDescent="0.25">
      <c r="A483" s="11"/>
      <c r="B483" s="11"/>
      <c r="C483" s="11"/>
      <c r="D483" s="11"/>
      <c r="E483" s="11"/>
      <c r="F483" s="11"/>
      <c r="G483" s="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45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45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</row>
    <row r="484" spans="1:47" x14ac:dyDescent="0.25">
      <c r="A484" s="11"/>
      <c r="B484" s="11"/>
      <c r="C484" s="11"/>
      <c r="D484" s="11"/>
      <c r="E484" s="11"/>
      <c r="F484" s="11"/>
      <c r="G484" s="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45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45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</row>
    <row r="485" spans="1:47" x14ac:dyDescent="0.25">
      <c r="A485" s="11"/>
      <c r="B485" s="11"/>
      <c r="C485" s="11"/>
      <c r="D485" s="11"/>
      <c r="E485" s="11"/>
      <c r="F485" s="11"/>
      <c r="G485" s="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45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45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</row>
    <row r="486" spans="1:47" x14ac:dyDescent="0.25">
      <c r="A486" s="11"/>
      <c r="B486" s="11"/>
      <c r="C486" s="11"/>
      <c r="D486" s="11"/>
      <c r="E486" s="11"/>
      <c r="F486" s="11"/>
      <c r="G486" s="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45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45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</row>
    <row r="487" spans="1:47" x14ac:dyDescent="0.25">
      <c r="A487" s="11"/>
      <c r="B487" s="11"/>
      <c r="C487" s="11"/>
      <c r="D487" s="11"/>
      <c r="E487" s="11"/>
      <c r="F487" s="11"/>
      <c r="G487" s="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45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45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</row>
    <row r="488" spans="1:47" x14ac:dyDescent="0.25">
      <c r="A488" s="11"/>
      <c r="B488" s="11"/>
      <c r="C488" s="11"/>
      <c r="D488" s="11"/>
      <c r="E488" s="11"/>
      <c r="F488" s="11"/>
      <c r="G488" s="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45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45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</row>
    <row r="489" spans="1:47" x14ac:dyDescent="0.25">
      <c r="A489" s="11"/>
      <c r="B489" s="11"/>
      <c r="C489" s="11"/>
      <c r="D489" s="11"/>
      <c r="E489" s="11"/>
      <c r="F489" s="11"/>
      <c r="G489" s="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45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45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</row>
    <row r="490" spans="1:47" x14ac:dyDescent="0.25">
      <c r="A490" s="11"/>
      <c r="B490" s="11"/>
      <c r="C490" s="11"/>
      <c r="D490" s="11"/>
      <c r="E490" s="11"/>
      <c r="F490" s="11"/>
      <c r="G490" s="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45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45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</row>
    <row r="491" spans="1:47" x14ac:dyDescent="0.25">
      <c r="A491" s="11"/>
      <c r="B491" s="11"/>
      <c r="C491" s="11"/>
      <c r="D491" s="11"/>
      <c r="E491" s="11"/>
      <c r="F491" s="11"/>
      <c r="G491" s="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45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45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</row>
    <row r="492" spans="1:47" x14ac:dyDescent="0.25">
      <c r="A492" s="11"/>
      <c r="B492" s="11"/>
      <c r="C492" s="11"/>
      <c r="D492" s="11"/>
      <c r="E492" s="11"/>
      <c r="F492" s="11"/>
      <c r="G492" s="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45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45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</row>
    <row r="493" spans="1:47" x14ac:dyDescent="0.25">
      <c r="A493" s="11"/>
      <c r="B493" s="11"/>
      <c r="C493" s="11"/>
      <c r="D493" s="11"/>
      <c r="E493" s="11"/>
      <c r="F493" s="11"/>
      <c r="G493" s="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45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45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</row>
    <row r="494" spans="1:47" x14ac:dyDescent="0.25">
      <c r="A494" s="11"/>
      <c r="B494" s="11"/>
      <c r="C494" s="11"/>
      <c r="D494" s="11"/>
      <c r="E494" s="11"/>
      <c r="F494" s="11"/>
      <c r="G494" s="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45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45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</row>
    <row r="495" spans="1:47" x14ac:dyDescent="0.25">
      <c r="A495" s="11"/>
      <c r="B495" s="11"/>
      <c r="C495" s="11"/>
      <c r="D495" s="11"/>
      <c r="E495" s="11"/>
      <c r="F495" s="11"/>
      <c r="G495" s="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45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45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</row>
    <row r="496" spans="1:47" x14ac:dyDescent="0.25">
      <c r="A496" s="11"/>
      <c r="B496" s="11"/>
      <c r="C496" s="11"/>
      <c r="D496" s="11"/>
      <c r="E496" s="11"/>
      <c r="F496" s="11"/>
      <c r="G496" s="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45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45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</row>
    <row r="497" spans="1:47" x14ac:dyDescent="0.25">
      <c r="A497" s="11"/>
      <c r="B497" s="11"/>
      <c r="C497" s="11"/>
      <c r="D497" s="11"/>
      <c r="E497" s="11"/>
      <c r="F497" s="11"/>
      <c r="G497" s="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45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45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</row>
    <row r="498" spans="1:47" x14ac:dyDescent="0.25">
      <c r="A498" s="11"/>
      <c r="B498" s="11"/>
      <c r="C498" s="11"/>
      <c r="D498" s="11"/>
      <c r="E498" s="11"/>
      <c r="F498" s="11"/>
      <c r="G498" s="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45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45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</row>
  </sheetData>
  <autoFilter ref="A3:AF48" xr:uid="{00000000-0009-0000-0000-000000000000}"/>
  <pageMargins left="0.75" right="0.75" top="1" bottom="1" header="0.5" footer="0.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2025-12-25T13:39:44Z</dcterms:created>
  <dcterms:modified xsi:type="dcterms:W3CDTF">2026-01-22T13:11:33Z</dcterms:modified>
</cp:coreProperties>
</file>