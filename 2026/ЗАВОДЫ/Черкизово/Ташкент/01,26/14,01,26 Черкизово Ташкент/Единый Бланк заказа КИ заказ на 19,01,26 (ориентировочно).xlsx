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01,26 Черкизово Ташкент\"/>
    </mc:Choice>
  </mc:AlternateContent>
  <xr:revisionPtr revIDLastSave="0" documentId="13_ncr:1_{917733DA-68BB-4467-8C12-A74AF3D760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Лист1!$A$10:$O$183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1" i="1" l="1"/>
  <c r="G157" i="1"/>
  <c r="G153" i="1"/>
  <c r="G152" i="1"/>
  <c r="G66" i="1"/>
  <c r="G56" i="1"/>
  <c r="G50" i="1"/>
  <c r="G28" i="1"/>
  <c r="G23" i="1"/>
  <c r="G24" i="1"/>
  <c r="G22" i="1"/>
  <c r="G20" i="1"/>
  <c r="G17" i="1"/>
  <c r="G183" i="1"/>
  <c r="G182" i="1"/>
  <c r="G48" i="1"/>
  <c r="G44" i="1"/>
  <c r="G18" i="1"/>
  <c r="G181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G175" i="1"/>
  <c r="G173" i="1"/>
  <c r="G172" i="1"/>
  <c r="G171" i="1"/>
  <c r="G170" i="1"/>
  <c r="G169" i="1"/>
  <c r="G168" i="1"/>
  <c r="G167" i="1"/>
  <c r="G165" i="1"/>
  <c r="G164" i="1"/>
  <c r="G163" i="1"/>
  <c r="G162" i="1"/>
  <c r="G159" i="1"/>
  <c r="G158" i="1"/>
  <c r="G156" i="1"/>
  <c r="G155" i="1"/>
  <c r="G154" i="1"/>
  <c r="G151" i="1"/>
  <c r="G150" i="1"/>
  <c r="G147" i="1"/>
  <c r="G148" i="1"/>
  <c r="G149" i="1"/>
  <c r="G146" i="1"/>
  <c r="G145" i="1"/>
  <c r="G144" i="1"/>
  <c r="G143" i="1"/>
  <c r="G142" i="1"/>
  <c r="G141" i="1"/>
  <c r="G140" i="1"/>
  <c r="G138" i="1"/>
  <c r="G137" i="1"/>
  <c r="G132" i="1"/>
  <c r="G139" i="1"/>
  <c r="G129" i="1"/>
  <c r="G127" i="1"/>
  <c r="G126" i="1"/>
  <c r="G125" i="1"/>
  <c r="G123" i="1"/>
  <c r="G117" i="1"/>
  <c r="G118" i="1"/>
  <c r="G116" i="1"/>
  <c r="G115" i="1"/>
  <c r="G114" i="1"/>
  <c r="G113" i="1"/>
  <c r="G111" i="1"/>
  <c r="G109" i="1"/>
  <c r="G108" i="1"/>
  <c r="G106" i="1"/>
  <c r="G105" i="1"/>
  <c r="G102" i="1"/>
  <c r="G104" i="1"/>
  <c r="G100" i="1"/>
  <c r="G99" i="1"/>
  <c r="G96" i="1"/>
  <c r="G95" i="1"/>
  <c r="G93" i="1"/>
  <c r="G91" i="1"/>
  <c r="G92" i="1"/>
  <c r="G90" i="1"/>
  <c r="G88" i="1"/>
  <c r="G86" i="1"/>
  <c r="G85" i="1"/>
  <c r="G83" i="1"/>
  <c r="G81" i="1"/>
  <c r="G79" i="1"/>
  <c r="G78" i="1"/>
  <c r="G77" i="1"/>
  <c r="G76" i="1"/>
  <c r="G75" i="1"/>
  <c r="G74" i="1"/>
  <c r="G72" i="1"/>
  <c r="G71" i="1"/>
  <c r="G69" i="1"/>
  <c r="G68" i="1"/>
  <c r="G67" i="1"/>
  <c r="G65" i="1"/>
  <c r="G64" i="1"/>
  <c r="G63" i="1"/>
  <c r="G62" i="1"/>
  <c r="G60" i="1"/>
  <c r="G58" i="1"/>
  <c r="G57" i="1"/>
  <c r="G55" i="1"/>
  <c r="G54" i="1"/>
  <c r="G53" i="1"/>
  <c r="G52" i="1"/>
  <c r="G51" i="1"/>
  <c r="G49" i="1"/>
  <c r="G47" i="1"/>
  <c r="G45" i="1"/>
  <c r="G43" i="1"/>
  <c r="G41" i="1"/>
  <c r="G40" i="1"/>
  <c r="G39" i="1"/>
  <c r="G38" i="1"/>
  <c r="G36" i="1"/>
  <c r="G34" i="1"/>
  <c r="G33" i="1"/>
  <c r="G32" i="1"/>
  <c r="G30" i="1"/>
  <c r="G29" i="1"/>
  <c r="G26" i="1"/>
  <c r="G19" i="1"/>
  <c r="G16" i="1"/>
  <c r="G15" i="1"/>
  <c r="G14" i="1"/>
  <c r="G13" i="1"/>
  <c r="G12" i="1"/>
  <c r="G25" i="1"/>
  <c r="G27" i="1"/>
  <c r="G31" i="1"/>
  <c r="G35" i="1"/>
  <c r="G37" i="1"/>
  <c r="G42" i="1"/>
  <c r="G46" i="1"/>
  <c r="G59" i="1"/>
  <c r="G61" i="1"/>
  <c r="G70" i="1"/>
  <c r="G73" i="1"/>
  <c r="G80" i="1"/>
  <c r="G82" i="1"/>
  <c r="G84" i="1"/>
  <c r="G87" i="1"/>
  <c r="G89" i="1"/>
  <c r="G94" i="1"/>
  <c r="G97" i="1"/>
  <c r="G98" i="1"/>
  <c r="G101" i="1"/>
  <c r="G103" i="1"/>
  <c r="G107" i="1"/>
  <c r="G110" i="1"/>
  <c r="G112" i="1"/>
  <c r="G119" i="1"/>
  <c r="G120" i="1"/>
  <c r="G121" i="1"/>
  <c r="G122" i="1"/>
  <c r="G124" i="1"/>
  <c r="G128" i="1"/>
  <c r="G130" i="1"/>
  <c r="G131" i="1"/>
  <c r="G133" i="1"/>
  <c r="G134" i="1"/>
  <c r="G135" i="1"/>
  <c r="G136" i="1"/>
  <c r="G160" i="1"/>
  <c r="G161" i="1"/>
  <c r="G166" i="1"/>
  <c r="G174" i="1"/>
  <c r="G176" i="1"/>
  <c r="G177" i="1"/>
  <c r="G178" i="1"/>
  <c r="G179" i="1"/>
  <c r="G180" i="1"/>
  <c r="G11" i="1"/>
</calcChain>
</file>

<file path=xl/sharedStrings.xml><?xml version="1.0" encoding="utf-8"?>
<sst xmlns="http://schemas.openxmlformats.org/spreadsheetml/2006/main" count="575" uniqueCount="210">
  <si>
    <r>
      <t>Заказ поставщику № _____  на _____</t>
    </r>
    <r>
      <rPr>
        <b/>
        <sz val="14"/>
        <rFont val="Calibri"/>
        <family val="2"/>
        <charset val="204"/>
      </rPr>
      <t>________</t>
    </r>
  </si>
  <si>
    <t>Поставщик:</t>
  </si>
  <si>
    <t xml:space="preserve">Общество с ограниченной ответственностью «Торговый дом Черкизово», ИНН 5032046575, КПП 509950001, 107143, Москва г, Пермская ул, дом № 5, тел.:  +7 (495) 775-05-55, 788-32-32  , добавочный 102-69, 1102-44, 102-60, 1102-58, 25-739. </t>
  </si>
  <si>
    <t>Покупатель:</t>
  </si>
  <si>
    <t>___</t>
  </si>
  <si>
    <t>Адрес доставки:</t>
  </si>
  <si>
    <t>№</t>
  </si>
  <si>
    <t>КОД SAP</t>
  </si>
  <si>
    <t>Наименование продукции</t>
  </si>
  <si>
    <t>Вес короба (кг)</t>
  </si>
  <si>
    <t>Ед. измерения  номенклатуры</t>
  </si>
  <si>
    <t>Кол-во (кг/шт)</t>
  </si>
  <si>
    <t>ВАР АРОМАТНАЯ ПО-ЧЕРКИЗОВСКИ ЦО ЗА 1.6КГ (ТМ ЧЕРКИЗОВО) K3.2</t>
  </si>
  <si>
    <t>кг</t>
  </si>
  <si>
    <t>шт</t>
  </si>
  <si>
    <t>ВАР КЛАССИЧЕСКАЯ НАР ЗА ЛОТ ШТ 0.2КГ (ТМ ЧЕРКИЗОВО) K1.2</t>
  </si>
  <si>
    <t>ВАР КЛАССИЧЕСКАЯ ПО-ЧЕРКИЗОВСКИ ЦО ЗА 1.6КГ (ТМ ЧЕРКИЗОВО) K3.2</t>
  </si>
  <si>
    <t>ВАР МОЛОЧНАЯ ПО-ЧЕРКИЗОВСКИ НМО ШТ 0.4КГ (ТМ ЧЕРКИЗОВО) K2.4</t>
  </si>
  <si>
    <t>ВАР ОЗЕРСКАЯ НМО ШТ 0.5КГ (ТМ МГ) K3</t>
  </si>
  <si>
    <t>ВЕТЧ ВЕТЧИНА ПО-ЧЕРКИЗОВСКИ НАР ЗА ШТ 0.2КГ (ТМ ЧЕРКИЗОВО) K1.2</t>
  </si>
  <si>
    <t>ВЕТЧ ВЕТЧИНА ПО-ЧЕРКИЗОВСКИ ЦО ЗА 1.6КГ (ТМ ЧЕРКИЗОВО) K3.2</t>
  </si>
  <si>
    <t>ВЕТЧ МРАМОРНАЯ ПО-ЧЕРКИЗОВСКИ НМО ШТ 0.4КГ (ТМ ЧЕРКИЗОВО) K2.4</t>
  </si>
  <si>
    <t>ВЕТЧ С ИНДЕЙКОЙ ББ НМО 2.7КГ (ТМ ИВ) K5.4</t>
  </si>
  <si>
    <t>ВЕТЧ С ИНДЕЙКОЙ МБ НМО ШТ 0.4КГ (ТМ ИМПЕРИЯ ВКУСА) К3.6</t>
  </si>
  <si>
    <t>ВЕТЧ С ИНДЕЙКОЙ СБ НМО ШТ 0.8КГ (ТМ ИМПЕРИЯ ВКУСА) К5.6</t>
  </si>
  <si>
    <t>ВЕТЧ СО СВИНЫМ ОКОРОКОМ МБ НМО ШТ 0.4КГ (ТМ ИМПЕРИЯ ВКУСА) К3.6</t>
  </si>
  <si>
    <t>ВЕТЧ ТОСТ ХЭМ НМО 2.9КГ (ТМ ЧЕРКИЗОВО) K8.7</t>
  </si>
  <si>
    <t>ВК ИМПЕРСКАЯ СРЕЗ ФИБ В/У ШТ 0.5КГ (ТМ ЧЕРКИЗОВО ПРЕМИУМ) К2</t>
  </si>
  <si>
    <t>ВК ИМПЕРСКАЯ ФИБ В/У 1КГ (ТМ ЧЕРКИЗОВО ПРЕМИУМ) К2</t>
  </si>
  <si>
    <t>ВК МОСКОВСКАЯ ГОСТ СРЕЗ ФИБ ВУ ШТ 0.5КГ (ТМ ЧЕРКИЗОВО ПРЕМИУМ) K2</t>
  </si>
  <si>
    <t>ВК МОСКОВСКАЯ ГОСТ ФИБ В/У 1КГ (ТМ ЧЕРКИЗОВО ПРЕМИУМ) К2</t>
  </si>
  <si>
    <t>ВК СЕРВЕЛАТ АСТОРИЯ СРЕЗ ФИБ ВУ ШТ 0.3КГ (ТМ ЧЕРКИЗОВО) K1.8</t>
  </si>
  <si>
    <t>ВК СЕРВЕЛАТ АСТОРИЯ ФИБ ВУ 0.6КГ (ТМ ЧЕРКИЗОВО) K2.4</t>
  </si>
  <si>
    <t>ВК СЕРВЕЛАТ ГОСТ СРЕЗ ФИБ ВУ ШТ 0.5КГ (ТМ ЧЕРКИЗОВО ПРЕМИУМ) K2</t>
  </si>
  <si>
    <t>ВК СЕРВЕЛАТ ГОСТ ФИБ В/У 1КГ (ТМ ЧЕРКИЗОВО ПРЕМИУМ) К2</t>
  </si>
  <si>
    <t>КОПЧ БЕКОН НАР ВУ ШТ 0.18 КГ (ТМ ЧЕРКИЗОВО ПРЕМИУМ ) К1.8</t>
  </si>
  <si>
    <t xml:space="preserve">КОПЧ БЕКОН НАР ВУ ШТ 0.36 КГ (ТМ ЧЕРКИЗОВО ПРЕМИУМ) К1.8
</t>
  </si>
  <si>
    <t>КОПЧ ГРУДИНКА ПО-ЧЕРКИЗОВСКИ ВУ ШТ 0.3КГ (ТМ ЧЕРКИЗОВО) К1.8</t>
  </si>
  <si>
    <t xml:space="preserve">шт </t>
  </si>
  <si>
    <t>ПК ЧЕСНОЧНАЯ ФИБ ВУ СРЕЗ ШТ 0.3КГ (ТМ ЧЕРКИЗОВО) K1.8</t>
  </si>
  <si>
    <t>СК БОГОРОДСКАЯ ПРЕСС БО ВУ 0.55КГ (ТМ ЧЕРКИЗОВО) K3.3</t>
  </si>
  <si>
    <t>СК БОГОРОДСКАЯ ПРЕСС ФИБ ВУ ШТ 0.3КГ (ТМ ЧЕРКИЗОВО) K3.6</t>
  </si>
  <si>
    <t>СК БОРОДИНСКАЯ ФИБ ВУ 0.6КГ (ТМ ЧЕРКИЗОВО) К2.4 П7</t>
  </si>
  <si>
    <t>СК БОРОДИНСКАЯ СРЕЗ ФИБ ВУ ШТ 0.3КГ (ТМ ЧЕРКИЗОВО) K3.6</t>
  </si>
  <si>
    <t>СК БОРОДИНСКАЯ ЭКСТРА СРЕЗ ФИБ ВУ ШТ 0.2КГ (ТМ ЧЕРКИЗОВО) K1.2</t>
  </si>
  <si>
    <t>СК БРАУНШВЕЙГСКАЯ ГОСТ БО ВУ СРЕЗ ШТ 0.2КГ (ТМ ЧЕРКИЗОВО ПРЕМИУМ) K1.2</t>
  </si>
  <si>
    <t>СК МЯСНОЙ СНЕК СО СЛАДКИМ ЧИЛИ ЗА ШТ 0.07КГ (ТМ ЧЕРКИЗОВО ПРЕМИУМ) K0.7</t>
  </si>
  <si>
    <t>СК СНЕК ИЗ ИНДЕЙКИ КЛАССИЧЕСКИЙ ЗА ШТ 0.07КГ (ТМ ЧЕРКИЗОВО ПРЕМИУМ) K0.7</t>
  </si>
  <si>
    <t>СК ПРОШУТТО НАР ФИБ ЗА ШТ 0.1КГ (ТМ ЧЕРКИЗОВО ПРЕМИУМ) K1.2</t>
  </si>
  <si>
    <t>СК САЛЬЧИЧОН НАР ФИБ ЗА ШТ 0.1КГ (ТМ ЧЕРКИЗОВО ПРЕМИУМ) K1.2</t>
  </si>
  <si>
    <t>СК САЛЬЧИЧОН С РОЗОВЫМ ПЕРЦЕМ НАР ФИБ ЗА ШТ 0.085КГ (ТМ ЧЕРКИЗОВО ПРЕМИУМ) K1.02</t>
  </si>
  <si>
    <t>СК САЛЬЧИЧОН С РОЗОВЫМ ПЕРЦЕМ СРЕЗ ФИБ ВУ ШТ 0.3КГ (ТМ ЧЕРКИЗОВО ПРЕМИУМ) K1.8</t>
  </si>
  <si>
    <t>СК САЛЬЧИЧОН С РОЗОВЫМ ПЕРЦЕМ ФИБ ВУ 0.6КГ (ТМ ЧЕРКИЗОВО ПРЕМИУМ) K2.4</t>
  </si>
  <si>
    <t>СК САЛЯМИ АСТОРИЯ НАР ФИБ ЗА ШТ 0.085КГ (ТМ ЧЕРКИЗОВО) K1.02</t>
  </si>
  <si>
    <t>СК САЛЯМИ АСТОРИЯ СРЕЗ ФИБ ВУ ШТ 0.225КГ (ТМ ЧЕРКИЗОВО) K1.35</t>
  </si>
  <si>
    <t>СК САЛЯМИ ФЛАМЕНКО НАР ФИБ ЗА ШТ 0.1КГ (ТМ ЧЕРКИЗОВО ПРЕМИУМ) K1.2</t>
  </si>
  <si>
    <t>СК САЛЯМИ ФЛАМЕНКО СРЕЗ ФИБ ВУ ШТ 0.25КГ (ТМ ЧЕРКИЗОВО ПРЕМИУМ) K1.5</t>
  </si>
  <si>
    <t>СК САЛЯМИ ФЛАМЕНКО ФИБ ВУ 0.5КГ (ТМ ЧЕРКИЗОВО ПРЕМИУМ) K3</t>
  </si>
  <si>
    <t>СК СЕРВЕЛЕТТИ ПРЕССНАР БО ЗА ШТ 0.085КГ (ТМ ЧЕРКИЗОВО ПРЕМИУМ) K1.02</t>
  </si>
  <si>
    <t>СК СЕРВЕЛЕТТИ ПРЕСС БО ВУ 0.5КГ (ТМ ЧЕРКИЗОВО ПРЕМИУМ) K3</t>
  </si>
  <si>
    <t>СОС АППЕТИТНЫЕ КЛАССИЧЕСКИЕ ПМО ЗА ПАК 1.5КГ (ТМ МГ) K6</t>
  </si>
  <si>
    <t>СОС ВЕНСКИЕ БО ЗА ПАК 1.25КГ (ТМ ЧЕРКИЗОВО) K5</t>
  </si>
  <si>
    <t>СОС КОПЧЕНЫЕ ПО-ЧЕРКИЗОВСКИ ПМО ЗА ЛОТ ШТ 0.4КГ (ТМ ЧЕРКИЗОВО) K1.6</t>
  </si>
  <si>
    <t>СОС КРЕМЛЕВСКИЕ ЦО ЗА ЛОТ ШТ 0.5КГ (ТМ ЧЕРКИЗОВО ПРЕМИУМ) K2</t>
  </si>
  <si>
    <t>СОС КРЕМЛЕВСКИЕ ЦО ЗА ПАК 1.5КГ (ТМ ЧЕРКИЗОВО ПРЕМИУМ) K6</t>
  </si>
  <si>
    <t>СОС МОЛОЧНЫЕ ПО-ЧЕРКИЗОВСКИ ПМО ЗА ПАК 1.5КГ (ТМ ЧЕРКИЗОВО) K6</t>
  </si>
  <si>
    <t>СОС МОЛОЧНЫЕ ПО-ЧЕРКИЗОВСКИ ПМО ЗА ЛОТ ШТ 0.45КГ (ТМ ЧЕРКИЗОВО) K1.8</t>
  </si>
  <si>
    <t>СОС СЛИВОЧНЫЕ ГОСТ ЦО ЗА ЛОТ ШТ 0.45КГ (ТМ ЧЕРКИЗОВО) K1.8</t>
  </si>
  <si>
    <t>СОС СЛИВОЧНЫЕ ПО-ЧЕРКИЗОВСКИ ПМО ЗА ПАК 1.5КГ (ТМ ЧЕРКИЗОВО) K6</t>
  </si>
  <si>
    <t>СОС ЧЕРКИЗОВСКИЕ Н/О З/А ПАКЕТ 1.25КГ (ТМ ЧЕРКИЗОВО ПРЕМИУМ) К2.5</t>
  </si>
  <si>
    <t>СУБ ЛИВЕРНАЯ С ПЕЧЕНЬЮ НМО ШТ 0.4КГ (ТМ ЧЕРКИЗОВО) K2</t>
  </si>
  <si>
    <t>ВЕТЧ ХАМОН КОСИДО КК ПЛМ ВУ ПАКВ 2.5КГ (ТМ CAS) K2.5</t>
  </si>
  <si>
    <t>СВ ЛОНГАНИЗА НО ПЛЁН ШТ 0.25КГ (ТМ CAS) K1.5</t>
  </si>
  <si>
    <t>СВ ЛОНГАНИЗА НО ПРГ 0.5КГ (ТМ CAS) K2</t>
  </si>
  <si>
    <t>СВ МИНИ ФУЭТ МБ НО ЗА TF ШТ 0.09КГ (ТМ CAS) K0.9</t>
  </si>
  <si>
    <t>СВ САЛЬЧИЧОН БО ПЕРГ ПРГ 1КГ (ТМ CAS) K3</t>
  </si>
  <si>
    <t>СВ САЛЬЧИЧОН МОНТАНЬЯ ЭКСТРА НО ПЛЁН ШТ 0.25КГ (ТМ CAS) K1.5</t>
  </si>
  <si>
    <t>СВ ФУЭТ В ЧЕРНОМ ПЕРЦЕ НО ПЛЁН ШТ 0.155КГ (ТМ CAS) K0.93</t>
  </si>
  <si>
    <t>СВ ФУЭТ ЭКСТРА НО ПЛЁН ШТ 0.15КГ (ТМ CAS) K0.9</t>
  </si>
  <si>
    <t>СВ ФУЭТ ЭКСТРА С ИНЖИРОМ НО ПЛЁН ШТ 0.11КГ (ТМ CAS) K0.66</t>
  </si>
  <si>
    <t>СВ ФУЭТ ЭКСТРА С ПЕРЦЕМ НО ПЛЁН ШТ 0.11КГ (ТМ CAS) K0.66</t>
  </si>
  <si>
    <t>ХАМОН СЕРРАНО КК ВУ ПАКВ 1*7КГ (ТМ CAS) K7</t>
  </si>
  <si>
    <t>СК МЯСНОЙ СНЕК КЛАССИЧЕСКИЙ ЗА ШТ 0.07КГ (ТМ ЧЕРКИЗОВО ПРЕМИУМ) K0.7</t>
  </si>
  <si>
    <t>СОС ПОДКОПЧЕННЫЕ ПМО ЗА ЛОТ ШТ 0.4КГ (ТМ ЧЕРКИЗОВО) K1.6</t>
  </si>
  <si>
    <t>СВ ХАМОН СЕРРАН CAS ЗА НАР 0,1КГ К0,6</t>
  </si>
  <si>
    <t>СВ САЛЬЧИЧОН НАР ЗА TF ШТ 0.07КГ (ТМ CAS) K0.7</t>
  </si>
  <si>
    <t>СОС СЛИВОЧНЫЕ ПО-ЧЕРКИЗОВСКИ ПМО ЗА ПАК ШТ 0.65КГ (ТМ ЧЕРКИЗОВО) K2.6</t>
  </si>
  <si>
    <t>ВК СЕРВЕЛАТ КЛАССИЧЕСКИЙ ФИБ ВУ ШТ 0.4КГ (ТМ ЧЕРКИЗОВО) K2.4</t>
  </si>
  <si>
    <t>СОС МОЛОЧНЫЕ ПО-ЧЕРКИЗОВСКИ ПМО ЗА ПАК ШТ 0.65КГ (ТМ ЧЕРКИЗОВО) K2.6</t>
  </si>
  <si>
    <t>СОС НЕЖНЫЕ СО СЛИВКАМИ ЛОТПМОШТ0.4КГК3.2</t>
  </si>
  <si>
    <t>ПК АППЕТИТНАЯ С ЧЕСНОКОМ СРЕЗ ФИБ ВУ ШТ 0.3КГ (ТМ ЧЕРКИЗОВО) K4.2</t>
  </si>
  <si>
    <t>ВК ВЕНСКАЯ СРЕЗ ФИБ ВУ ШТ 0.42КГ (ТМ ЧЕРКИЗОВО ПРЕМИУМ) K3.8</t>
  </si>
  <si>
    <t>ВЕТЧ ДОМАШНЯЯ ЦО ЗА 0.9КГ (ТМ ЧЕРКИЗОВО) K9</t>
  </si>
  <si>
    <t>СК САЛЯМИ АСТОРИЯ ФИБ ВУ 0.45КГ (ТМ ЧЕРКИЗОВО) K2.7</t>
  </si>
  <si>
    <t>ВК СЕРВЕЛАТ ФИНСКИЙ НАР ФИБ ЗА ШТ 0.15КГ (ТМ ЧЕРКИЗОВО) K0.9</t>
  </si>
  <si>
    <t>СК САЛЬЧИЧОН СРЕЗ ФИБ ВУ ШТ 0.3КГ (ТМ ЧЕРКИЗОВО ПРЕМИУМ) K1.8</t>
  </si>
  <si>
    <t>СК САЛЬЧИЧОН ФИБ ВУ 0.6КГ (ТМ ЧЕРКИЗОВО ПРЕМИУМ) K2.4</t>
  </si>
  <si>
    <t>СК АССОРТИ СЕРВЕЛЕТТИ И ПРОШУТТО НАР ФИБ ЗА ШТ 0.085КГ У (ТМ ЧЕРКИЗОВО ПРЕМИУМ) K0.85</t>
  </si>
  <si>
    <t>СНЕК МЯСНОЙ САЛЯМИ АЛ ЗА ШТ 0.07КГ (ТМ ЧЕРКИЗОВО) K0.7</t>
  </si>
  <si>
    <t>СОС БАВАРСКИЕ С СЫРОМ ВУ ШТ 0.3КГ (ТМ ЧЕРКИЗОВО ПРЕМИУМ) K1.8</t>
  </si>
  <si>
    <t>ПК ВАРШАВСКАЯ НО ВУ ШТ 0.35КГ (ТМ ЧЕРКИЗОВО) K1.75</t>
  </si>
  <si>
    <t>ВК ИМПЕРСКАЯ СРЕЗ ФИБ ВУ ШТ 0.3КГ (ТМ ЧЕРКИЗОВО ПРЕМИУМ) K1.8</t>
  </si>
  <si>
    <t>СК ОНЕЖСКАЯ СРЕЗ ФИБ ВУ ШТ 0.3КГ (ТМ ЧЕРКИЗОВО) K1.8</t>
  </si>
  <si>
    <t>СОС БРЕМЕНСКИЕ С СЫРОМ ЗА ЛОТ ШТ 0.336КГ (ТМ ЧЕРКИЗОВО ПРЕМИУМ) K1.344</t>
  </si>
  <si>
    <t>СОС МОЛОЧНЫЕ ЭКСТРА ЦО ЗА ЛОТ ШТ 0.4КГ (ТМ ЧЕРКИЗОВО ПРЕМИУМ) K1.6</t>
  </si>
  <si>
    <t>ВЕТЧ ВЕТЧИНА ПО-ЧЕРКИЗОВСКИ ЦО ВУ ШТ 0.4КГ (ТМ ЧЕРКИЗОВО) K1.6</t>
  </si>
  <si>
    <t>СВ ФУЭТ ЭКСТРА С ТРЮФЕЛЕМ НО ПЛЁН ШТ 0.11КГ (ТМ CAS) K0,66</t>
  </si>
  <si>
    <t>ВАР ДОКТОРСКАЯ ГОСТ НАР ЗА ШТ 0.15КГ (ТМ ЧЕРКИЗОВО ПРЕМИУМ) K0.75</t>
  </si>
  <si>
    <t>ВАР ДОКТОРСКАЯ ГОСТ НАР ЗА TF ШТ 0.3КГ (ТМ КАМ) K0</t>
  </si>
  <si>
    <t>СОС ФИЛЕЙНЫЕ С КУРИНОЙ ГРУДКОЙ ЦО ЗА ЛОТ ШТ 0.27КГ (ТМ ЧЕРКИЗОВО ПРЕМИУМ) K2.16</t>
  </si>
  <si>
    <t>ВАР СОЧНАЯ С ОКОРОКОМ НМО ШТ 0.38КГ (ТМ ЧЕРКИЗОВО) K2.28</t>
  </si>
  <si>
    <t>новинка</t>
  </si>
  <si>
    <t>СНЕК СНЕК ИЗ КУРИЦЫ КЛАССИЧЕСКИЙ ЗА ШТ 0.07КГ (ТМ ЧЕРКИЗОВО ПРЕМИУМ) K0.7</t>
  </si>
  <si>
    <t>ВК БАЛЫКОВАЯ ПО-ЧЕРКИЗОВСКИ СРЕЗ ФИБ ВУ ШТ 0.3КГ (ТМ ЧЕРКИЗОВО ПРЕМИУМ) K1.8</t>
  </si>
  <si>
    <t>ВАР ОТБОРНАЯ СО ШПИКОМ НМО ШТ 0.5КГ (ТМ МГ) K3</t>
  </si>
  <si>
    <t>ВАР СЕМЕЙНАЯ НМО 1.5КГ (ТМ МГ) K12</t>
  </si>
  <si>
    <t>ВАР ЮЖНАЯ НМО 1.5КГ (ТМ МГ) K12</t>
  </si>
  <si>
    <t>СК СВИНАЯ ПО-ЧЕРКИЗОВСКИ СРЕЗ ФИБ ВУ ШТ 0.225КГ (ТМ ЧЕРКИЗОВО) K1.35</t>
  </si>
  <si>
    <t>ВЕТЧ НЕЖНАЯ ИЗ ИНДЕЙКИ НАР ЗА ШТ 0.15КГ (ТМ ЧЕРКИЗОВО ПРЕМИУМ) K0.9</t>
  </si>
  <si>
    <t>СОС СОЧНЫЕ ПМО ЗА ПАК 1.5КГ (ТМ МГ) K6</t>
  </si>
  <si>
    <t>СОС СОЧНЫЕ С ГОВЯДИНОЙ ЦО ЗА ПАК 1.5КГ (ТМ ЧЕРКИЗОВО) K6</t>
  </si>
  <si>
    <t>ВАР ГУБЕРНСКАЯ В СЕТ НМО ШТ 0.5К МГ К3</t>
  </si>
  <si>
    <t>ВАР СОЧНАЯ СО ШПИКОМ НМО 1.5КГ К12</t>
  </si>
  <si>
    <t>ПК МРАМОРНАЯ С БАЛЫКОМ СРЕЗ ФИБ ВУ ШТ 0.3КГ (ТМ ЧЕРКИЗОВО) K3.6</t>
  </si>
  <si>
    <t>СК ЭЛИТНАЯ СРЕЗ ФИБ ВУ ШТ 0.225КГ (ТМ ЧЕРКИЗОВО) K1.35</t>
  </si>
  <si>
    <t>СК САЛЯМИ НАР ФИБ ЗА ШТ 0.2КГ (ТМ ЧЕРКИЗОВО) K1.2</t>
  </si>
  <si>
    <t>ротация</t>
  </si>
  <si>
    <t>СОС ФЛОРЕНТИЙСКИЕ С ГОВЯДИНОЙ НО ЗА ЛОТ ШТ 0.24КГ (ТМ ЧЕРКИЗОВО ПРЕМИУМ) K1.44</t>
  </si>
  <si>
    <t>ВЕТЧ ФИЛЕЙНАЯ С ИНДЕЙКОЙ СБ НМО ШТ 0.8КГ (ТМ ИВ) K5.6</t>
  </si>
  <si>
    <t>ЦБ/Бедро Классич/-/КпчВар/ТСБ/ТУ/охл/ПАКВ/9шт/-/0.45/гк380т</t>
  </si>
  <si>
    <t>КГ</t>
  </si>
  <si>
    <t>ЦБ/Ветчина/-/Мусульм Халяль/ТСБ/ТУ/охл/-/10шт/-/0,4/гк380т</t>
  </si>
  <si>
    <t>ШТ</t>
  </si>
  <si>
    <t>ЦБ/Голень/-/КпчВар/ИВ/ТУ/охл/TF/6шт/-/0.5/гк329</t>
  </si>
  <si>
    <t>ЦБ/Голень/-/КпчВар/ТСБ/ТУ/охл/ПАКВ/8шт/-/0,55/гк380т</t>
  </si>
  <si>
    <t>ЦБ/Грдк/-/КпчВар/ТСБ/ТУ/охл/ПАКВ/6шт/-/0.5/гк380в</t>
  </si>
  <si>
    <t>ЦБ/Колбаса/-/вар Мусульм Халяль/ТСБ/ТУ/охл/-/10шт/-/0.4/гк380т</t>
  </si>
  <si>
    <t>ЦБ/Колбаса/-/вар Мусульм Халяль/ТСБ/ТУ/охл/-/8шт/-/1/гк380тт</t>
  </si>
  <si>
    <t>ЦБ/Колбаса/-/Мусульм с говядиной/Лтф/ТУ/охл/-/6шт/-/шт 0,4/гк329</t>
  </si>
  <si>
    <t>ЦБ/КОЛБАСА/-/ПОЛУКПЧ С ГОВЯД/ЛТФ/ТУ/ОХЛ/-/6 шт/0.4 K329</t>
  </si>
  <si>
    <t>ЦБ/Колбаса/-/ПолуКпч Чесночная/ТСБ/ТУ/охл/-/10шт/-/0.4/гк380т</t>
  </si>
  <si>
    <t>ЦБ/Рулет/-/КпчВар Классич/ТСБ/ТУ/охл/ПЛЁН/8шт/-/0,6/гк380т</t>
  </si>
  <si>
    <t>ЦБ/Сосиски/-/Мусульм с говядиной/Лтф/ТУ/охл/TF/6шт/-/0,35/гк285вир1</t>
  </si>
  <si>
    <t>ЦБ/Сосиски/-/Мусульм Халяль/ТСБ/ТУ/охл/ПАКВ/8шт/-/1/гк380тт</t>
  </si>
  <si>
    <t>СК СВИНАЯ ПО-ЧЕРКИЗОВСКИ ФИБ ВУ 0.45КГ (ТМ ЧЕРКИЗОВО) K2.7</t>
  </si>
  <si>
    <t>ПК ДОМАШНЯЯ НО ВУ ШТ 0.35КГ (ТМ ЧЕРКИЗОВО) K1.75</t>
  </si>
  <si>
    <t>ВАР КЛАССИЧ СО СВИНИНОЙ НМО 1.5КГ МГ К12</t>
  </si>
  <si>
    <t>КОПЧ КАРБОНАД ПО-ЧЕРКИЗОВСКИ КК ВУ 1.5КГ (ТМ ЧЕРКИЗОВО) K4.5</t>
  </si>
  <si>
    <t>КОПЧ ЛОПАТКА ПО-ЧЕРКИЗОВСКИ МК ВУ 0.35КГ (ТМ ЧЕРКИЗОВО) K2.1</t>
  </si>
  <si>
    <t>КОПЧ КОРЕЙКА ПО-ЧЕРКИЗОВСКИ МК ВУ0.35КГ (ТМ ЧЕРКИЗОВО) K2.1</t>
  </si>
  <si>
    <t>ВЕТЧ ДОМАШНЯЯ ЦО ВУ ШТ 0.4КГ (ТМ ЧЕРКИЗОВО) K2.4</t>
  </si>
  <si>
    <t>ВЕТЧ ДЛЯ ТОСТОВ НАР ШТ 0.1КГ ЧВП К1,0</t>
  </si>
  <si>
    <t>КОПЧ БЕК ЛЮКСОРТ НАР ВУ ШТ 0.5КГ (ТМ МГ)</t>
  </si>
  <si>
    <t>ЦБ/РУЛЕТ/-/НЕЖНЫЙ/ИВ/-/ОХЛ/-/-/0,4 K2.4</t>
  </si>
  <si>
    <t>КОПЧ КАРПАЧЧО ИЗ ИНДЕЙКИ НАР ЗА ЛОТ ШТ 0.085КГ (ТМ ЧЕРКИЗОВО ПРЕМИУМ) K0.85</t>
  </si>
  <si>
    <t>СК КЛАССИКО ИТАЛИАНО НАР ФИБ ЗА ШТ 0.085КГ (ТМ ЧЕРКИЗОВО ПРЕМИУМ) K0.85</t>
  </si>
  <si>
    <t>ВАР МОРТАДЕЛ НАР ШТ 0.09КГ CAS К0,54</t>
  </si>
  <si>
    <t>ВЕТЧ ПАЛЕТ КОСИД ШТ 0.09КГ CAS К0,54</t>
  </si>
  <si>
    <t>Бедр и гол КпчВар/ТСБ/ТУ/охл/ПЛЁН/гк329</t>
  </si>
  <si>
    <t>СК АССОРТИ МРАМОРНАЯ И АСТОРИЯ НАР ФИБ ЗА ШТ 0.085КГ (ТМ ЧЕРКИЗОВО) K1.02</t>
  </si>
  <si>
    <t xml:space="preserve">ПК РУБЛЕНАЯ НО ВУ ШТ 0.35КГ ТМ МГ K11.9 </t>
  </si>
  <si>
    <t xml:space="preserve">СК БРАУНШВЕЙГСКАЯ ГОСТ НАР ФИБ ЗА ШТ 0.085КГ (ТМ ЧЕРКИЗОВО ПРЕМИУМ) K1.02 </t>
  </si>
  <si>
    <t>ВК СЕРВЕЛАТ ЗЕРНИСТЫЙ СРЕЗ ВУ ШТ К1.8</t>
  </si>
  <si>
    <t>ВЕТЧ РУБ ПО-ЧЕ СРЕЗ ШТ 0.35КГ ЧВП К2,1</t>
  </si>
  <si>
    <t>ВК БАЛЫКОВАЯ ПО-Ч НАР ЗА  ШТ 0.1КГ К1.2</t>
  </si>
  <si>
    <t>СВ ЛОНГАНИЗА CASAD ЗА НАР 0,09КГ К0,9</t>
  </si>
  <si>
    <t>СК АССОРТИ САЛЯМИ ЭКСТРА И ГУРМЭ С ПЕРЦ НАР ЗА ШТ 0.085КГ (ТМ ЧЕРКИЗОВО ПРЕМИУМ) K1.02</t>
  </si>
  <si>
    <t>СК МАРОЧНАЯ С КРУПНЫМ ШПИКОМ 0,5КГ К3</t>
  </si>
  <si>
    <t>ВЕТЧ ГУБЕРНСКАЯ В СЕТКЕ НМО ШТ 0,9КГ</t>
  </si>
  <si>
    <t>ВК СЕРВЕЛАТ МУСКАТНЫЙ ФИБ ВУ ШТ 0.6КГ (ТМ ЧЕРКИЗОВО) K6</t>
  </si>
  <si>
    <t>Грудк КпчВар/ЛТФ/ТУ/охл/ПАКВ/гк380в</t>
  </si>
  <si>
    <t>Грудк КпчВар/ИВ/ТУ/охл/ПАКВ/гк380т</t>
  </si>
  <si>
    <t>СОС ВЕНС ГУРМЭ ЦО ШТ 0.3КГ (ТМ ЧВП) K1.8</t>
  </si>
  <si>
    <t>СК ЧОРИЗО ФИБ ВУ 0.8КГ (ТМ CAS) K2.4</t>
  </si>
  <si>
    <t>СК САЛЯМИ ТОМАТО СРЕЗ ФИБ ШТ 0.225КГ (ТМ ЧЕРКИЗОВО) K1.35</t>
  </si>
  <si>
    <t>СВ ФУЭТ ЭКСТРА НО ШТ 0.15КГ К0,9</t>
  </si>
  <si>
    <t>СК ЧОРИЗО CASADEMONT ЗА НАР 0,07КГ К0,7</t>
  </si>
  <si>
    <t>ВК ИМПЕРСКАЯ НАР ЗА ЛОТ ШТ 0.1КГ К1.2</t>
  </si>
  <si>
    <t>КОПЧ ЛОПАТКА МРАМОРНАЯ НАР ЗА 0.1КГ К1.2</t>
  </si>
  <si>
    <t>СК СЕРВЕЛЕТТИ ПРЕСС СРЕЗ БО ВУ ШТ 0.25КГ</t>
  </si>
  <si>
    <t>СК САЛЯМИ СЕЛЕКТИВО СРЕЗ ФИБ ВУ ШТ 0.25КГ (ТМ ЧЕРКИЗОВО ПРЕМИУМ) K1.5</t>
  </si>
  <si>
    <t>СК САЛЯМИ СЕЛЕКТИВО 0.5КГ К3 ЧВП</t>
  </si>
  <si>
    <t>СК ПРЕОБРАЖЕНС СРЕЗ ВУ ШТ 0.3КГ Кашира</t>
  </si>
  <si>
    <t>ВАР МОЛОЧНАЯ ПО-Ч НМО 1 КГ К3</t>
  </si>
  <si>
    <t>ВАР ОТБОРНАЯ СО ШПИКОМ НМО 1.5КГ К3</t>
  </si>
  <si>
    <t>ВАР ОТБОР СО ШПИК НМО ШТ 1КГ К3</t>
  </si>
  <si>
    <t>ВАР ГУБЕРНСКАЯ В СЕТКЕ НМО ШТ 1КГ МГ К3</t>
  </si>
  <si>
    <t>ВАР ГУБЕРНСКАЯ НМО 1.5КГ К3</t>
  </si>
  <si>
    <t>кол-во кг</t>
  </si>
  <si>
    <t>завод-изготовитель</t>
  </si>
  <si>
    <t>халяль</t>
  </si>
  <si>
    <t>Срок годности, дней</t>
  </si>
  <si>
    <t>ЧМПЗ Москва</t>
  </si>
  <si>
    <t>ЧМПЗ Ульяновск</t>
  </si>
  <si>
    <t>Пит Продукт Горелово</t>
  </si>
  <si>
    <t>ПКО Отечественный Продукт</t>
  </si>
  <si>
    <t>Турбаслинские бройлеры</t>
  </si>
  <si>
    <t>ЧМПЗ Пенза</t>
  </si>
  <si>
    <t>Черкизово-Кашира</t>
  </si>
  <si>
    <t>GTIN продукта (CU)</t>
  </si>
  <si>
    <t>GTIN короба (SKU)</t>
  </si>
  <si>
    <t>Пит Продукт Синявино</t>
  </si>
  <si>
    <t>1030741871</t>
  </si>
  <si>
    <t>Грудк КпчВар/ТСБ/ТУ/охл/ПАКВ/гк380т</t>
  </si>
  <si>
    <t>ВАР ВКУСНАЯ НМО ШТ 1КГ (ТМ ИВ) К3</t>
  </si>
  <si>
    <t>pork free</t>
  </si>
  <si>
    <t>СОС АРОМАТНЫЕ ПМО ЗА ПАК ШТ 1КГ K6</t>
  </si>
  <si>
    <t>Комментарии</t>
  </si>
  <si>
    <t>не аттестовано</t>
  </si>
  <si>
    <t>ВАР ОЗЕРСКАЯ НМО 1.5КГ (ТМ МГ) K12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</si>
</sst>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28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4"/>
      <name val="Calibri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8"/>
      <color rgb="FF1F497D"/>
      <name val="Verdan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9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6">
    <xf numFmtId="0" fontId="0" fillId="0" borderId="0"/>
    <xf numFmtId="164" fontId="8" fillId="2" borderId="6" applyNumberFormat="0" applyAlignment="0" applyProtection="0">
      <alignment horizontal="left" vertical="center" indent="1"/>
    </xf>
    <xf numFmtId="0" fontId="5" fillId="0" borderId="0"/>
    <xf numFmtId="0" fontId="7" fillId="0" borderId="0"/>
    <xf numFmtId="0" fontId="1" fillId="0" borderId="0"/>
    <xf numFmtId="0" fontId="7" fillId="0" borderId="0"/>
  </cellStyleXfs>
  <cellXfs count="131">
    <xf numFmtId="0" fontId="0" fillId="0" borderId="0" xfId="0"/>
    <xf numFmtId="0" fontId="11" fillId="3" borderId="1" xfId="4" applyNumberFormat="1" applyFont="1" applyFill="1" applyBorder="1" applyAlignment="1" applyProtection="1">
      <alignment horizontal="left" vertical="center"/>
    </xf>
    <xf numFmtId="49" fontId="12" fillId="3" borderId="1" xfId="4" applyNumberFormat="1" applyFont="1" applyFill="1" applyBorder="1" applyAlignment="1" applyProtection="1">
      <alignment horizontal="center"/>
    </xf>
    <xf numFmtId="0" fontId="11" fillId="4" borderId="1" xfId="4" applyNumberFormat="1" applyFont="1" applyFill="1" applyBorder="1" applyAlignment="1" applyProtection="1">
      <alignment horizontal="left"/>
      <protection locked="0"/>
    </xf>
    <xf numFmtId="49" fontId="11" fillId="3" borderId="1" xfId="4" applyNumberFormat="1" applyFont="1" applyFill="1" applyBorder="1" applyAlignment="1" applyProtection="1">
      <alignment horizontal="center" vertical="center"/>
    </xf>
    <xf numFmtId="14" fontId="13" fillId="0" borderId="1" xfId="4" applyNumberFormat="1" applyFont="1" applyFill="1" applyBorder="1" applyAlignment="1" applyProtection="1">
      <alignment horizontal="left" vertical="center"/>
    </xf>
    <xf numFmtId="0" fontId="14" fillId="3" borderId="0" xfId="4" applyNumberFormat="1" applyFont="1" applyFill="1" applyAlignment="1" applyProtection="1">
      <alignment horizontal="left" vertical="center"/>
    </xf>
    <xf numFmtId="49" fontId="13" fillId="3" borderId="0" xfId="4" applyNumberFormat="1" applyFont="1" applyFill="1" applyAlignment="1" applyProtection="1">
      <alignment horizontal="center"/>
    </xf>
    <xf numFmtId="0" fontId="15" fillId="0" borderId="0" xfId="0" applyFont="1" applyAlignment="1" applyProtection="1">
      <alignment horizontal="left" wrapText="1"/>
    </xf>
    <xf numFmtId="49" fontId="12" fillId="3" borderId="0" xfId="4" applyNumberFormat="1" applyFont="1" applyFill="1" applyAlignment="1" applyProtection="1">
      <alignment horizontal="center" vertical="center"/>
    </xf>
    <xf numFmtId="0" fontId="12" fillId="0" borderId="0" xfId="4" applyNumberFormat="1" applyFont="1" applyFill="1" applyAlignment="1" applyProtection="1">
      <alignment horizontal="left" vertical="top"/>
    </xf>
    <xf numFmtId="0" fontId="16" fillId="0" borderId="0" xfId="0" applyFont="1" applyAlignment="1" applyProtection="1"/>
    <xf numFmtId="0" fontId="17" fillId="3" borderId="0" xfId="4" applyNumberFormat="1" applyFont="1" applyFill="1" applyAlignment="1" applyProtection="1">
      <alignment horizontal="left" wrapText="1"/>
    </xf>
    <xf numFmtId="49" fontId="3" fillId="3" borderId="0" xfId="4" applyNumberFormat="1" applyFont="1" applyFill="1" applyAlignment="1" applyProtection="1">
      <alignment horizontal="center" vertical="center"/>
    </xf>
    <xf numFmtId="0" fontId="4" fillId="3" borderId="0" xfId="4" applyNumberFormat="1" applyFont="1" applyFill="1" applyAlignment="1" applyProtection="1">
      <alignment horizontal="left" wrapText="1"/>
    </xf>
    <xf numFmtId="49" fontId="14" fillId="3" borderId="0" xfId="4" applyNumberFormat="1" applyFont="1" applyFill="1" applyAlignment="1" applyProtection="1">
      <alignment horizontal="center"/>
    </xf>
    <xf numFmtId="0" fontId="18" fillId="3" borderId="0" xfId="4" applyNumberFormat="1" applyFont="1" applyFill="1" applyAlignment="1" applyProtection="1">
      <alignment horizontal="left" wrapText="1"/>
    </xf>
    <xf numFmtId="0" fontId="19" fillId="3" borderId="0" xfId="4" applyFont="1" applyFill="1" applyAlignment="1" applyProtection="1">
      <alignment horizontal="left"/>
    </xf>
    <xf numFmtId="49" fontId="19" fillId="3" borderId="0" xfId="4" applyNumberFormat="1" applyFont="1" applyFill="1" applyAlignment="1" applyProtection="1">
      <alignment horizontal="center" vertical="center"/>
    </xf>
    <xf numFmtId="0" fontId="19" fillId="0" borderId="0" xfId="4" applyFont="1" applyFill="1" applyAlignment="1" applyProtection="1">
      <alignment horizontal="center"/>
    </xf>
    <xf numFmtId="0" fontId="0" fillId="0" borderId="0" xfId="0" applyFill="1" applyProtection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12" fillId="0" borderId="1" xfId="4" applyNumberFormat="1" applyFont="1" applyFill="1" applyBorder="1" applyAlignment="1" applyProtection="1">
      <alignment horizontal="center" vertical="center"/>
    </xf>
    <xf numFmtId="0" fontId="12" fillId="0" borderId="0" xfId="4" applyNumberFormat="1" applyFont="1" applyFill="1" applyAlignment="1" applyProtection="1">
      <alignment horizontal="center" vertical="top"/>
    </xf>
    <xf numFmtId="0" fontId="3" fillId="0" borderId="0" xfId="4" applyNumberFormat="1" applyFont="1" applyFill="1" applyAlignment="1" applyProtection="1">
      <alignment horizontal="center" vertical="top"/>
    </xf>
    <xf numFmtId="0" fontId="14" fillId="0" borderId="0" xfId="4" applyFont="1" applyFill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10" fillId="0" borderId="0" xfId="0" applyFont="1" applyFill="1"/>
    <xf numFmtId="49" fontId="0" fillId="0" borderId="0" xfId="0" applyNumberFormat="1" applyFill="1" applyAlignment="1" applyProtection="1">
      <alignment horizontal="center" vertical="center"/>
    </xf>
    <xf numFmtId="0" fontId="0" fillId="0" borderId="0" xfId="0" applyFill="1" applyAlignment="1" applyProtection="1"/>
    <xf numFmtId="0" fontId="20" fillId="0" borderId="2" xfId="0" applyFont="1" applyFill="1" applyBorder="1" applyAlignment="1" applyProtection="1">
      <alignment horizontal="center"/>
    </xf>
    <xf numFmtId="0" fontId="20" fillId="0" borderId="2" xfId="4" applyNumberFormat="1" applyFont="1" applyFill="1" applyBorder="1" applyAlignment="1" applyProtection="1">
      <alignment horizontal="center"/>
    </xf>
    <xf numFmtId="0" fontId="20" fillId="0" borderId="2" xfId="0" applyNumberFormat="1" applyFont="1" applyFill="1" applyBorder="1" applyAlignment="1">
      <alignment horizontal="center"/>
    </xf>
    <xf numFmtId="0" fontId="20" fillId="0" borderId="2" xfId="2" applyNumberFormat="1" applyFont="1" applyFill="1" applyBorder="1" applyAlignment="1" applyProtection="1">
      <alignment horizontal="center"/>
    </xf>
    <xf numFmtId="0" fontId="20" fillId="0" borderId="2" xfId="4" applyNumberFormat="1" applyFont="1" applyFill="1" applyBorder="1" applyAlignment="1" applyProtection="1">
      <alignment horizontal="center"/>
      <protection locked="0"/>
    </xf>
    <xf numFmtId="0" fontId="20" fillId="0" borderId="2" xfId="0" applyNumberFormat="1" applyFont="1" applyFill="1" applyBorder="1" applyAlignment="1" applyProtection="1">
      <alignment horizontal="center"/>
    </xf>
    <xf numFmtId="0" fontId="20" fillId="0" borderId="2" xfId="0" applyNumberFormat="1" applyFont="1" applyFill="1" applyBorder="1" applyAlignment="1">
      <alignment horizontal="center" vertical="top"/>
    </xf>
    <xf numFmtId="49" fontId="20" fillId="0" borderId="2" xfId="4" applyNumberFormat="1" applyFont="1" applyFill="1" applyBorder="1" applyAlignment="1" applyProtection="1">
      <alignment horizontal="center"/>
    </xf>
    <xf numFmtId="49" fontId="20" fillId="0" borderId="2" xfId="0" applyNumberFormat="1" applyFont="1" applyFill="1" applyBorder="1" applyAlignment="1" applyProtection="1">
      <alignment horizontal="center"/>
    </xf>
    <xf numFmtId="0" fontId="21" fillId="0" borderId="0" xfId="0" applyFont="1" applyFill="1"/>
    <xf numFmtId="0" fontId="21" fillId="0" borderId="0" xfId="0" applyFont="1"/>
    <xf numFmtId="0" fontId="22" fillId="0" borderId="2" xfId="4" applyNumberFormat="1" applyFont="1" applyFill="1" applyBorder="1" applyAlignment="1" applyProtection="1">
      <alignment horizontal="center"/>
    </xf>
    <xf numFmtId="0" fontId="22" fillId="0" borderId="2" xfId="4" applyNumberFormat="1" applyFont="1" applyFill="1" applyBorder="1" applyAlignment="1" applyProtection="1">
      <alignment horizontal="left"/>
    </xf>
    <xf numFmtId="1" fontId="22" fillId="0" borderId="2" xfId="0" applyNumberFormat="1" applyFont="1" applyFill="1" applyBorder="1" applyAlignment="1">
      <alignment vertical="top"/>
    </xf>
    <xf numFmtId="0" fontId="22" fillId="0" borderId="2" xfId="0" applyFont="1" applyFill="1" applyBorder="1" applyAlignment="1">
      <alignment vertical="center" wrapText="1"/>
    </xf>
    <xf numFmtId="1" fontId="0" fillId="0" borderId="2" xfId="0" applyNumberFormat="1" applyFont="1" applyFill="1" applyBorder="1" applyAlignment="1">
      <alignment vertical="top"/>
    </xf>
    <xf numFmtId="1" fontId="0" fillId="0" borderId="2" xfId="0" applyNumberFormat="1" applyFill="1" applyBorder="1" applyAlignment="1">
      <alignment vertical="top"/>
    </xf>
    <xf numFmtId="0" fontId="0" fillId="0" borderId="2" xfId="0" applyFill="1" applyBorder="1" applyProtection="1"/>
    <xf numFmtId="0" fontId="20" fillId="0" borderId="2" xfId="4" applyNumberFormat="1" applyFont="1" applyFill="1" applyBorder="1" applyAlignment="1" applyProtection="1">
      <alignment horizontal="left"/>
    </xf>
    <xf numFmtId="1" fontId="0" fillId="3" borderId="2" xfId="0" applyNumberFormat="1" applyFill="1" applyBorder="1" applyAlignment="1">
      <alignment vertical="top"/>
    </xf>
    <xf numFmtId="0" fontId="20" fillId="3" borderId="2" xfId="2" applyNumberFormat="1" applyFont="1" applyFill="1" applyBorder="1" applyAlignment="1" applyProtection="1">
      <alignment horizontal="left"/>
    </xf>
    <xf numFmtId="2" fontId="0" fillId="3" borderId="2" xfId="0" applyNumberFormat="1" applyFill="1" applyBorder="1" applyAlignment="1">
      <alignment horizontal="center" vertical="top"/>
    </xf>
    <xf numFmtId="1" fontId="23" fillId="3" borderId="2" xfId="0" applyNumberFormat="1" applyFont="1" applyFill="1" applyBorder="1" applyAlignment="1">
      <alignment horizontal="center" vertical="top"/>
    </xf>
    <xf numFmtId="0" fontId="0" fillId="0" borderId="2" xfId="0" applyFill="1" applyBorder="1" applyAlignment="1" applyProtection="1">
      <alignment horizontal="center"/>
    </xf>
    <xf numFmtId="0" fontId="0" fillId="0" borderId="2" xfId="0" applyBorder="1"/>
    <xf numFmtId="49" fontId="0" fillId="0" borderId="2" xfId="0" applyNumberFormat="1" applyFill="1" applyBorder="1" applyAlignment="1" applyProtection="1">
      <alignment horizontal="center" vertical="center"/>
    </xf>
    <xf numFmtId="0" fontId="0" fillId="0" borderId="2" xfId="0" applyBorder="1" applyAlignment="1">
      <alignment vertical="center"/>
    </xf>
    <xf numFmtId="1" fontId="22" fillId="0" borderId="2" xfId="0" applyNumberFormat="1" applyFont="1" applyFill="1" applyBorder="1" applyAlignment="1">
      <alignment horizontal="left" vertical="top"/>
    </xf>
    <xf numFmtId="0" fontId="24" fillId="0" borderId="2" xfId="0" applyFont="1" applyBorder="1" applyAlignment="1">
      <alignment horizontal="center"/>
    </xf>
    <xf numFmtId="0" fontId="0" fillId="0" borderId="2" xfId="0" applyFill="1" applyBorder="1" applyAlignment="1" applyProtection="1"/>
    <xf numFmtId="0" fontId="25" fillId="0" borderId="2" xfId="0" applyFont="1" applyBorder="1" applyAlignment="1">
      <alignment vertical="center"/>
    </xf>
    <xf numFmtId="0" fontId="0" fillId="0" borderId="2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/>
    <xf numFmtId="0" fontId="0" fillId="0" borderId="2" xfId="0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0" fillId="3" borderId="2" xfId="0" applyNumberFormat="1" applyFont="1" applyFill="1" applyBorder="1" applyAlignment="1"/>
    <xf numFmtId="14" fontId="13" fillId="0" borderId="0" xfId="4" applyNumberFormat="1" applyFont="1" applyFill="1" applyBorder="1" applyAlignment="1" applyProtection="1">
      <alignment horizontal="left" vertical="center"/>
    </xf>
    <xf numFmtId="0" fontId="0" fillId="0" borderId="2" xfId="0" applyFont="1" applyFill="1" applyBorder="1"/>
    <xf numFmtId="0" fontId="21" fillId="0" borderId="2" xfId="0" applyFont="1" applyFill="1" applyBorder="1"/>
    <xf numFmtId="0" fontId="0" fillId="0" borderId="2" xfId="0" applyFont="1" applyBorder="1"/>
    <xf numFmtId="0" fontId="21" fillId="0" borderId="2" xfId="0" applyFont="1" applyBorder="1"/>
    <xf numFmtId="0" fontId="22" fillId="0" borderId="2" xfId="0" applyFont="1" applyFill="1" applyBorder="1" applyAlignment="1" applyProtection="1"/>
    <xf numFmtId="0" fontId="10" fillId="0" borderId="2" xfId="0" applyFont="1" applyFill="1" applyBorder="1"/>
    <xf numFmtId="0" fontId="0" fillId="0" borderId="2" xfId="0" applyFill="1" applyBorder="1"/>
    <xf numFmtId="1" fontId="19" fillId="0" borderId="0" xfId="4" applyNumberFormat="1" applyFont="1" applyFill="1" applyAlignment="1" applyProtection="1">
      <alignment horizontal="left"/>
    </xf>
    <xf numFmtId="1" fontId="19" fillId="0" borderId="0" xfId="4" applyNumberFormat="1" applyFont="1" applyFill="1" applyProtection="1"/>
    <xf numFmtId="1" fontId="0" fillId="0" borderId="0" xfId="0" applyNumberFormat="1" applyFill="1" applyProtection="1"/>
    <xf numFmtId="1" fontId="0" fillId="0" borderId="0" xfId="0" applyNumberFormat="1" applyProtection="1"/>
    <xf numFmtId="1" fontId="0" fillId="0" borderId="2" xfId="0" applyNumberFormat="1" applyFont="1" applyFill="1" applyBorder="1" applyProtection="1"/>
    <xf numFmtId="0" fontId="5" fillId="0" borderId="0" xfId="2" applyAlignment="1">
      <alignment vertical="top"/>
    </xf>
    <xf numFmtId="1" fontId="0" fillId="0" borderId="0" xfId="0" applyNumberFormat="1" applyAlignment="1">
      <alignment vertical="top"/>
    </xf>
    <xf numFmtId="1" fontId="0" fillId="0" borderId="2" xfId="0" applyNumberFormat="1" applyBorder="1" applyAlignment="1">
      <alignment vertical="top"/>
    </xf>
    <xf numFmtId="1" fontId="22" fillId="0" borderId="2" xfId="4" applyNumberFormat="1" applyFont="1" applyFill="1" applyBorder="1" applyAlignment="1" applyProtection="1">
      <alignment horizontal="center"/>
    </xf>
    <xf numFmtId="0" fontId="0" fillId="4" borderId="2" xfId="0" applyFill="1" applyBorder="1" applyAlignment="1">
      <alignment horizontal="center" vertical="center"/>
    </xf>
    <xf numFmtId="1" fontId="26" fillId="4" borderId="2" xfId="4" applyNumberFormat="1" applyFont="1" applyFill="1" applyBorder="1" applyAlignment="1" applyProtection="1">
      <alignment horizontal="center" vertical="center" wrapText="1"/>
    </xf>
    <xf numFmtId="1" fontId="0" fillId="0" borderId="3" xfId="0" applyNumberFormat="1" applyFont="1" applyFill="1" applyBorder="1" applyProtection="1"/>
    <xf numFmtId="0" fontId="26" fillId="4" borderId="2" xfId="4" applyNumberFormat="1" applyFont="1" applyFill="1" applyBorder="1" applyAlignment="1" applyProtection="1">
      <alignment horizontal="center" vertical="center" wrapText="1"/>
    </xf>
    <xf numFmtId="0" fontId="10" fillId="0" borderId="0" xfId="0" applyFont="1"/>
    <xf numFmtId="0" fontId="10" fillId="0" borderId="2" xfId="0" applyFont="1" applyBorder="1"/>
    <xf numFmtId="0" fontId="20" fillId="4" borderId="2" xfId="4" applyNumberFormat="1" applyFont="1" applyFill="1" applyBorder="1" applyAlignment="1" applyProtection="1">
      <alignment horizontal="center" vertical="center" wrapText="1"/>
    </xf>
    <xf numFmtId="49" fontId="20" fillId="4" borderId="2" xfId="4" applyNumberFormat="1" applyFont="1" applyFill="1" applyBorder="1" applyAlignment="1" applyProtection="1">
      <alignment horizontal="center" vertical="center" wrapText="1"/>
    </xf>
    <xf numFmtId="0" fontId="0" fillId="0" borderId="4" xfId="0" applyFill="1" applyBorder="1" applyAlignment="1" applyProtection="1">
      <alignment horizontal="center"/>
    </xf>
    <xf numFmtId="0" fontId="0" fillId="0" borderId="4" xfId="0" applyFill="1" applyBorder="1" applyAlignment="1" applyProtection="1"/>
    <xf numFmtId="49" fontId="0" fillId="0" borderId="4" xfId="0" applyNumberFormat="1" applyFill="1" applyBorder="1" applyAlignment="1" applyProtection="1">
      <alignment horizontal="center" vertical="center"/>
    </xf>
    <xf numFmtId="0" fontId="20" fillId="0" borderId="4" xfId="4" applyNumberFormat="1" applyFont="1" applyFill="1" applyBorder="1" applyAlignment="1" applyProtection="1">
      <alignment horizontal="center"/>
      <protection locked="0"/>
    </xf>
    <xf numFmtId="0" fontId="0" fillId="0" borderId="4" xfId="0" applyFont="1" applyBorder="1"/>
    <xf numFmtId="0" fontId="0" fillId="0" borderId="4" xfId="0" applyBorder="1"/>
    <xf numFmtId="1" fontId="0" fillId="0" borderId="5" xfId="0" applyNumberFormat="1" applyFont="1" applyFill="1" applyBorder="1" applyProtection="1"/>
    <xf numFmtId="0" fontId="20" fillId="0" borderId="2" xfId="0" applyNumberFormat="1" applyFont="1" applyFill="1" applyBorder="1" applyAlignment="1">
      <alignment horizontal="center" vertical="center"/>
    </xf>
    <xf numFmtId="1" fontId="20" fillId="0" borderId="2" xfId="0" applyNumberFormat="1" applyFont="1" applyFill="1" applyBorder="1" applyAlignment="1">
      <alignment horizontal="center" vertical="top"/>
    </xf>
    <xf numFmtId="0" fontId="20" fillId="0" borderId="2" xfId="0" applyFont="1" applyFill="1" applyBorder="1" applyAlignment="1">
      <alignment horizontal="center" vertical="center"/>
    </xf>
    <xf numFmtId="1" fontId="20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/>
    </xf>
    <xf numFmtId="0" fontId="20" fillId="0" borderId="2" xfId="2" applyNumberFormat="1" applyFont="1" applyFill="1" applyBorder="1" applyAlignment="1" applyProtection="1">
      <alignment horizontal="center" vertical="center"/>
    </xf>
    <xf numFmtId="0" fontId="20" fillId="0" borderId="2" xfId="0" applyNumberFormat="1" applyFont="1" applyFill="1" applyBorder="1" applyAlignment="1" applyProtection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/>
    </xf>
    <xf numFmtId="1" fontId="20" fillId="3" borderId="2" xfId="0" applyNumberFormat="1" applyFont="1" applyFill="1" applyBorder="1" applyAlignment="1">
      <alignment horizontal="center" vertical="top"/>
    </xf>
    <xf numFmtId="0" fontId="20" fillId="3" borderId="2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/>
    </xf>
    <xf numFmtId="0" fontId="20" fillId="3" borderId="2" xfId="2" applyNumberFormat="1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1" fontId="20" fillId="0" borderId="2" xfId="0" applyNumberFormat="1" applyFont="1" applyBorder="1" applyAlignment="1">
      <alignment horizontal="center" vertical="top"/>
    </xf>
    <xf numFmtId="1" fontId="20" fillId="0" borderId="2" xfId="0" applyNumberFormat="1" applyFont="1" applyBorder="1" applyAlignment="1">
      <alignment horizontal="center"/>
    </xf>
    <xf numFmtId="49" fontId="26" fillId="4" borderId="2" xfId="4" applyNumberFormat="1" applyFont="1" applyFill="1" applyBorder="1" applyAlignment="1" applyProtection="1">
      <alignment horizontal="center"/>
    </xf>
    <xf numFmtId="0" fontId="26" fillId="4" borderId="2" xfId="4" applyNumberFormat="1" applyFont="1" applyFill="1" applyBorder="1" applyAlignment="1" applyProtection="1">
      <alignment horizontal="center"/>
    </xf>
    <xf numFmtId="0" fontId="26" fillId="4" borderId="2" xfId="4" applyNumberFormat="1" applyFont="1" applyFill="1" applyBorder="1" applyAlignment="1" applyProtection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27" fillId="0" borderId="2" xfId="0" applyFont="1" applyBorder="1"/>
    <xf numFmtId="1" fontId="0" fillId="0" borderId="2" xfId="0" applyNumberFormat="1" applyFill="1" applyBorder="1" applyAlignment="1">
      <alignment horizontal="center" vertical="top"/>
    </xf>
    <xf numFmtId="1" fontId="0" fillId="0" borderId="2" xfId="0" applyNumberFormat="1" applyFill="1" applyBorder="1" applyAlignment="1">
      <alignment horizontal="right" vertical="top"/>
    </xf>
    <xf numFmtId="1" fontId="0" fillId="0" borderId="0" xfId="0" applyNumberFormat="1" applyFill="1" applyAlignment="1">
      <alignment horizontal="center" vertical="top"/>
    </xf>
    <xf numFmtId="0" fontId="0" fillId="0" borderId="0" xfId="0" applyFill="1" applyAlignment="1">
      <alignment horizontal="center" vertical="top"/>
    </xf>
    <xf numFmtId="1" fontId="0" fillId="0" borderId="0" xfId="0" applyNumberFormat="1" applyFill="1" applyAlignment="1">
      <alignment vertical="top"/>
    </xf>
    <xf numFmtId="1" fontId="0" fillId="0" borderId="3" xfId="0" applyNumberFormat="1" applyFill="1" applyBorder="1" applyProtection="1"/>
    <xf numFmtId="1" fontId="20" fillId="0" borderId="2" xfId="0" applyNumberFormat="1" applyFont="1" applyFill="1" applyBorder="1" applyAlignment="1">
      <alignment horizontal="center"/>
    </xf>
  </cellXfs>
  <cellStyles count="6">
    <cellStyle name="SAPMemberCell" xfId="1" xr:uid="{00000000-0005-0000-0000-000000000000}"/>
    <cellStyle name="Обычный" xfId="0" builtinId="0"/>
    <cellStyle name="Обычный 2" xfId="2" xr:uid="{00000000-0005-0000-0000-000002000000}"/>
    <cellStyle name="Обычный 2 2" xfId="3" xr:uid="{00000000-0005-0000-0000-000003000000}"/>
    <cellStyle name="Обычный 5" xfId="4" xr:uid="{00000000-0005-0000-0000-000004000000}"/>
    <cellStyle name="Обычный 6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3"/>
  <sheetViews>
    <sheetView tabSelected="1" zoomScale="87" zoomScaleNormal="87" workbookViewId="0">
      <selection activeCell="L7" sqref="L7"/>
    </sheetView>
  </sheetViews>
  <sheetFormatPr defaultRowHeight="15" x14ac:dyDescent="0.25"/>
  <cols>
    <col min="1" max="1" width="9.140625" style="20" customWidth="1"/>
    <col min="2" max="2" width="16" style="28" customWidth="1"/>
    <col min="3" max="3" width="64.140625" style="31" customWidth="1"/>
    <col min="4" max="4" width="13.42578125" style="28" customWidth="1"/>
    <col min="5" max="5" width="14.5703125" style="30" customWidth="1"/>
    <col min="6" max="7" width="11" style="20" customWidth="1"/>
    <col min="8" max="8" width="19.140625" style="80" customWidth="1"/>
    <col min="9" max="9" width="24.140625" style="81" customWidth="1"/>
    <col min="10" max="10" width="25.7109375" customWidth="1"/>
    <col min="11" max="11" width="12.42578125" customWidth="1"/>
    <col min="12" max="12" width="30.85546875" customWidth="1"/>
    <col min="13" max="13" width="10.5703125" bestFit="1" customWidth="1"/>
    <col min="14" max="14" width="12.42578125" bestFit="1" customWidth="1"/>
  </cols>
  <sheetData>
    <row r="1" spans="1:14" ht="18.75" x14ac:dyDescent="0.3">
      <c r="A1" s="1"/>
      <c r="B1" s="2"/>
      <c r="C1" s="3" t="s">
        <v>0</v>
      </c>
      <c r="D1" s="24"/>
      <c r="E1" s="4"/>
      <c r="F1" s="5">
        <v>46016</v>
      </c>
      <c r="G1" s="70"/>
      <c r="H1" s="78"/>
    </row>
    <row r="2" spans="1:14" ht="51.75" x14ac:dyDescent="0.25">
      <c r="A2" s="6"/>
      <c r="B2" s="7" t="s">
        <v>1</v>
      </c>
      <c r="C2" s="8" t="s">
        <v>2</v>
      </c>
      <c r="D2" s="25"/>
      <c r="E2" s="9"/>
      <c r="F2" s="10"/>
      <c r="G2" s="10"/>
      <c r="H2" s="79"/>
    </row>
    <row r="3" spans="1:14" x14ac:dyDescent="0.25">
      <c r="A3" s="6"/>
      <c r="B3" s="7"/>
      <c r="C3" s="11"/>
      <c r="D3" s="25"/>
      <c r="E3" s="9"/>
      <c r="F3" s="10"/>
      <c r="G3" s="10"/>
      <c r="H3" s="79"/>
    </row>
    <row r="4" spans="1:14" x14ac:dyDescent="0.25">
      <c r="A4" s="6"/>
      <c r="B4" s="7" t="s">
        <v>3</v>
      </c>
      <c r="C4" s="12" t="s">
        <v>4</v>
      </c>
      <c r="D4" s="26"/>
      <c r="E4" s="13"/>
      <c r="F4" s="10"/>
      <c r="G4" s="10"/>
      <c r="H4" s="79"/>
    </row>
    <row r="5" spans="1:14" x14ac:dyDescent="0.25">
      <c r="A5" s="6"/>
      <c r="B5" s="7"/>
      <c r="C5" s="12"/>
      <c r="D5" s="26"/>
      <c r="E5" s="13"/>
      <c r="F5" s="10"/>
      <c r="G5" s="10"/>
      <c r="H5" s="79"/>
    </row>
    <row r="6" spans="1:14" x14ac:dyDescent="0.25">
      <c r="A6" s="6"/>
      <c r="B6" s="7"/>
      <c r="C6" s="14"/>
      <c r="D6" s="26"/>
      <c r="E6" s="13"/>
      <c r="F6" s="10"/>
      <c r="G6" s="10"/>
      <c r="H6" s="79"/>
    </row>
    <row r="7" spans="1:14" x14ac:dyDescent="0.25">
      <c r="A7" s="6"/>
      <c r="B7" s="7" t="s">
        <v>5</v>
      </c>
      <c r="C7" s="12" t="s">
        <v>4</v>
      </c>
      <c r="D7" s="26"/>
      <c r="E7" s="13"/>
      <c r="F7" s="10"/>
      <c r="G7" s="10"/>
      <c r="H7" s="79"/>
    </row>
    <row r="8" spans="1:14" x14ac:dyDescent="0.25">
      <c r="A8" s="6"/>
      <c r="B8" s="15"/>
      <c r="C8" s="16"/>
      <c r="D8" s="25"/>
      <c r="E8" s="9"/>
      <c r="F8" s="10"/>
      <c r="G8" s="10"/>
      <c r="H8" s="79"/>
    </row>
    <row r="9" spans="1:14" x14ac:dyDescent="0.25">
      <c r="A9" s="17"/>
      <c r="B9" s="15"/>
      <c r="C9" s="17"/>
      <c r="D9" s="27"/>
      <c r="E9" s="18"/>
      <c r="F9" s="19"/>
      <c r="G9" s="19"/>
      <c r="H9" s="78"/>
    </row>
    <row r="10" spans="1:14" ht="45" x14ac:dyDescent="0.25">
      <c r="A10" s="121" t="s">
        <v>6</v>
      </c>
      <c r="B10" s="119" t="s">
        <v>7</v>
      </c>
      <c r="C10" s="120" t="s">
        <v>8</v>
      </c>
      <c r="D10" s="93" t="s">
        <v>9</v>
      </c>
      <c r="E10" s="94" t="s">
        <v>10</v>
      </c>
      <c r="F10" s="90" t="s">
        <v>11</v>
      </c>
      <c r="G10" s="90" t="s">
        <v>188</v>
      </c>
      <c r="H10" s="87" t="s">
        <v>199</v>
      </c>
      <c r="I10" s="88" t="s">
        <v>200</v>
      </c>
      <c r="J10" s="90" t="s">
        <v>189</v>
      </c>
      <c r="K10" s="90" t="s">
        <v>191</v>
      </c>
      <c r="L10" s="122" t="s">
        <v>207</v>
      </c>
    </row>
    <row r="11" spans="1:14" s="21" customFormat="1" x14ac:dyDescent="0.25">
      <c r="A11" s="43">
        <v>1</v>
      </c>
      <c r="B11" s="102">
        <v>1030112235</v>
      </c>
      <c r="C11" s="44" t="s">
        <v>12</v>
      </c>
      <c r="D11" s="35">
        <v>3.2</v>
      </c>
      <c r="E11" s="33" t="s">
        <v>13</v>
      </c>
      <c r="F11" s="36">
        <v>30</v>
      </c>
      <c r="G11" s="36">
        <f>F11*1</f>
        <v>30</v>
      </c>
      <c r="H11" s="86">
        <v>2324980</v>
      </c>
      <c r="I11" s="82">
        <v>94605025031429</v>
      </c>
      <c r="J11" s="71" t="s">
        <v>192</v>
      </c>
      <c r="K11" s="73">
        <v>30</v>
      </c>
      <c r="L11" s="73"/>
    </row>
    <row r="12" spans="1:14" s="21" customFormat="1" x14ac:dyDescent="0.25">
      <c r="A12" s="43">
        <f>A11+1</f>
        <v>2</v>
      </c>
      <c r="B12" s="103">
        <v>1030128069</v>
      </c>
      <c r="C12" s="44" t="s">
        <v>108</v>
      </c>
      <c r="D12" s="34">
        <v>1.8</v>
      </c>
      <c r="E12" s="34" t="s">
        <v>14</v>
      </c>
      <c r="F12" s="36">
        <v>0</v>
      </c>
      <c r="G12" s="36">
        <f>F12*0.3</f>
        <v>0</v>
      </c>
      <c r="H12" s="124">
        <v>4607025368144</v>
      </c>
      <c r="I12" s="125">
        <v>34607025368145</v>
      </c>
      <c r="J12" s="71" t="s">
        <v>194</v>
      </c>
      <c r="K12" s="73">
        <v>31</v>
      </c>
      <c r="L12" s="73"/>
    </row>
    <row r="13" spans="1:14" s="21" customFormat="1" x14ac:dyDescent="0.25">
      <c r="A13" s="43">
        <f t="shared" ref="A13:A77" si="0">A12+1</f>
        <v>3</v>
      </c>
      <c r="B13" s="103">
        <v>1030123769</v>
      </c>
      <c r="C13" s="44" t="s">
        <v>107</v>
      </c>
      <c r="D13" s="34">
        <v>0.75</v>
      </c>
      <c r="E13" s="34" t="s">
        <v>14</v>
      </c>
      <c r="F13" s="36">
        <v>0</v>
      </c>
      <c r="G13" s="36">
        <f>F13*0.15</f>
        <v>0</v>
      </c>
      <c r="H13" s="126">
        <v>4605025048097</v>
      </c>
      <c r="I13" s="82">
        <v>14605025048094</v>
      </c>
      <c r="J13" s="71" t="s">
        <v>194</v>
      </c>
      <c r="K13" s="73">
        <v>31</v>
      </c>
      <c r="L13" s="73"/>
    </row>
    <row r="14" spans="1:14" s="42" customFormat="1" x14ac:dyDescent="0.25">
      <c r="A14" s="43">
        <f t="shared" si="0"/>
        <v>4</v>
      </c>
      <c r="B14" s="103">
        <v>1030126535</v>
      </c>
      <c r="C14" s="47" t="s">
        <v>121</v>
      </c>
      <c r="D14" s="35">
        <v>3</v>
      </c>
      <c r="E14" s="33" t="s">
        <v>14</v>
      </c>
      <c r="F14" s="36">
        <v>0</v>
      </c>
      <c r="G14" s="36">
        <f>F14*0.5</f>
        <v>0</v>
      </c>
      <c r="H14" s="124">
        <v>4605025053909</v>
      </c>
      <c r="I14" s="48">
        <v>14605025053906</v>
      </c>
      <c r="J14" s="71" t="s">
        <v>193</v>
      </c>
      <c r="K14" s="73">
        <v>75</v>
      </c>
      <c r="L14" s="74"/>
      <c r="N14" s="21"/>
    </row>
    <row r="15" spans="1:14" s="21" customFormat="1" x14ac:dyDescent="0.25">
      <c r="A15" s="43">
        <f t="shared" si="0"/>
        <v>5</v>
      </c>
      <c r="B15" s="104">
        <v>1030129536</v>
      </c>
      <c r="C15" s="44" t="s">
        <v>110</v>
      </c>
      <c r="D15" s="35">
        <v>2.2799999999999998</v>
      </c>
      <c r="E15" s="34" t="s">
        <v>14</v>
      </c>
      <c r="F15" s="36">
        <v>0</v>
      </c>
      <c r="G15" s="36">
        <f>F15*0.38</f>
        <v>0</v>
      </c>
      <c r="H15" s="86">
        <v>4605025054562</v>
      </c>
      <c r="I15" s="82">
        <v>14605025054569</v>
      </c>
      <c r="J15" s="71" t="s">
        <v>193</v>
      </c>
      <c r="K15" s="73">
        <v>60</v>
      </c>
      <c r="L15" s="73"/>
    </row>
    <row r="16" spans="1:14" s="21" customFormat="1" x14ac:dyDescent="0.25">
      <c r="A16" s="43">
        <f t="shared" si="0"/>
        <v>6</v>
      </c>
      <c r="B16" s="105">
        <v>1030810104</v>
      </c>
      <c r="C16" s="44" t="s">
        <v>105</v>
      </c>
      <c r="D16" s="35">
        <v>1.6</v>
      </c>
      <c r="E16" s="33" t="s">
        <v>14</v>
      </c>
      <c r="F16" s="36">
        <v>0</v>
      </c>
      <c r="G16" s="36">
        <f>F16*0.4</f>
        <v>0</v>
      </c>
      <c r="H16" s="86">
        <v>4605025045003</v>
      </c>
      <c r="I16" s="82">
        <v>14605025045000</v>
      </c>
      <c r="J16" s="83" t="s">
        <v>192</v>
      </c>
      <c r="K16" s="73">
        <v>30</v>
      </c>
      <c r="L16" s="73"/>
    </row>
    <row r="17" spans="1:14" s="21" customFormat="1" x14ac:dyDescent="0.25">
      <c r="A17" s="43">
        <f t="shared" si="0"/>
        <v>7</v>
      </c>
      <c r="B17" s="102">
        <v>1030121144</v>
      </c>
      <c r="C17" s="44" t="s">
        <v>15</v>
      </c>
      <c r="D17" s="35">
        <v>1.2</v>
      </c>
      <c r="E17" s="33" t="s">
        <v>14</v>
      </c>
      <c r="F17" s="36">
        <v>0</v>
      </c>
      <c r="G17" s="36">
        <f>F17*0.2</f>
        <v>0</v>
      </c>
      <c r="H17" s="86">
        <v>4630088700989</v>
      </c>
      <c r="I17" s="82">
        <v>14630088700986</v>
      </c>
      <c r="J17" s="71" t="s">
        <v>194</v>
      </c>
      <c r="K17" s="73">
        <v>31</v>
      </c>
      <c r="L17" s="73"/>
    </row>
    <row r="18" spans="1:14" s="21" customFormat="1" x14ac:dyDescent="0.25">
      <c r="A18" s="43">
        <f t="shared" si="0"/>
        <v>8</v>
      </c>
      <c r="B18" s="102">
        <v>1030112635</v>
      </c>
      <c r="C18" s="44" t="s">
        <v>16</v>
      </c>
      <c r="D18" s="35">
        <v>3.2</v>
      </c>
      <c r="E18" s="33" t="s">
        <v>13</v>
      </c>
      <c r="F18" s="36">
        <v>60</v>
      </c>
      <c r="G18" s="36">
        <f>F18*1</f>
        <v>60</v>
      </c>
      <c r="H18" s="86">
        <v>2324985</v>
      </c>
      <c r="I18" s="82">
        <v>94605025031382</v>
      </c>
      <c r="J18" s="71" t="s">
        <v>192</v>
      </c>
      <c r="K18" s="73">
        <v>30</v>
      </c>
      <c r="L18" s="73"/>
    </row>
    <row r="19" spans="1:14" s="21" customFormat="1" x14ac:dyDescent="0.25">
      <c r="A19" s="43">
        <f t="shared" si="0"/>
        <v>9</v>
      </c>
      <c r="B19" s="102">
        <v>1030115404</v>
      </c>
      <c r="C19" s="44" t="s">
        <v>17</v>
      </c>
      <c r="D19" s="35">
        <v>2.4</v>
      </c>
      <c r="E19" s="33" t="s">
        <v>14</v>
      </c>
      <c r="F19" s="36">
        <v>300</v>
      </c>
      <c r="G19" s="36">
        <f>F19*0.4</f>
        <v>120</v>
      </c>
      <c r="H19" s="86">
        <v>4605025027405</v>
      </c>
      <c r="I19" s="82">
        <v>14605025027402</v>
      </c>
      <c r="J19" s="71" t="s">
        <v>193</v>
      </c>
      <c r="K19" s="73">
        <v>75</v>
      </c>
      <c r="L19" s="73"/>
    </row>
    <row r="20" spans="1:14" s="42" customFormat="1" x14ac:dyDescent="0.25">
      <c r="A20" s="43">
        <f t="shared" si="0"/>
        <v>10</v>
      </c>
      <c r="B20" s="103">
        <v>1030130735</v>
      </c>
      <c r="C20" s="47" t="s">
        <v>18</v>
      </c>
      <c r="D20" s="35">
        <v>3</v>
      </c>
      <c r="E20" s="33" t="s">
        <v>14</v>
      </c>
      <c r="F20" s="36">
        <v>0</v>
      </c>
      <c r="G20" s="36">
        <f>F20*0.5</f>
        <v>0</v>
      </c>
      <c r="H20" s="126">
        <v>4605025017031</v>
      </c>
      <c r="I20" s="82">
        <v>14605025017038</v>
      </c>
      <c r="J20" s="71" t="s">
        <v>193</v>
      </c>
      <c r="K20" s="73">
        <v>75</v>
      </c>
      <c r="L20" s="74"/>
      <c r="N20" s="21"/>
    </row>
    <row r="21" spans="1:14" s="42" customFormat="1" x14ac:dyDescent="0.25">
      <c r="A21" s="43">
        <f t="shared" si="0"/>
        <v>11</v>
      </c>
      <c r="B21" s="103">
        <v>1030128902</v>
      </c>
      <c r="C21" s="83" t="s">
        <v>209</v>
      </c>
      <c r="D21" s="35">
        <v>12</v>
      </c>
      <c r="E21" s="33" t="s">
        <v>13</v>
      </c>
      <c r="F21" s="36">
        <v>0</v>
      </c>
      <c r="G21" s="36">
        <f>F21*1</f>
        <v>0</v>
      </c>
      <c r="H21" s="126">
        <v>2326852</v>
      </c>
      <c r="I21" s="82">
        <v>94605025058068</v>
      </c>
      <c r="J21" s="71" t="s">
        <v>193</v>
      </c>
      <c r="K21" s="73">
        <v>75</v>
      </c>
      <c r="L21" s="74"/>
      <c r="N21" s="21"/>
    </row>
    <row r="22" spans="1:14" s="21" customFormat="1" x14ac:dyDescent="0.25">
      <c r="A22" s="43">
        <f t="shared" si="0"/>
        <v>12</v>
      </c>
      <c r="B22" s="103">
        <v>1030126602</v>
      </c>
      <c r="C22" s="47" t="s">
        <v>122</v>
      </c>
      <c r="D22" s="35">
        <v>12</v>
      </c>
      <c r="E22" s="33" t="s">
        <v>13</v>
      </c>
      <c r="F22" s="36">
        <v>0</v>
      </c>
      <c r="G22" s="36">
        <f>F22*1</f>
        <v>0</v>
      </c>
      <c r="H22" s="86">
        <v>2326564</v>
      </c>
      <c r="I22" s="82">
        <v>94605025054008</v>
      </c>
      <c r="J22" s="71" t="s">
        <v>193</v>
      </c>
      <c r="K22" s="73">
        <v>75</v>
      </c>
      <c r="L22" s="73"/>
    </row>
    <row r="23" spans="1:14" s="42" customFormat="1" x14ac:dyDescent="0.25">
      <c r="A23" s="43">
        <f t="shared" si="0"/>
        <v>13</v>
      </c>
      <c r="B23" s="104">
        <v>1030125935</v>
      </c>
      <c r="C23" s="46" t="s">
        <v>114</v>
      </c>
      <c r="D23" s="35">
        <v>3</v>
      </c>
      <c r="E23" s="33" t="s">
        <v>14</v>
      </c>
      <c r="F23" s="36">
        <v>0</v>
      </c>
      <c r="G23" s="36">
        <f>F23*0.5</f>
        <v>0</v>
      </c>
      <c r="H23" s="86">
        <v>4605025053817</v>
      </c>
      <c r="I23" s="82">
        <v>14605025053814</v>
      </c>
      <c r="J23" s="71" t="s">
        <v>193</v>
      </c>
      <c r="K23" s="73">
        <v>75</v>
      </c>
      <c r="L23" s="74"/>
      <c r="N23" s="21"/>
    </row>
    <row r="24" spans="1:14" s="22" customFormat="1" x14ac:dyDescent="0.25">
      <c r="A24" s="43">
        <f t="shared" si="0"/>
        <v>14</v>
      </c>
      <c r="B24" s="106">
        <v>1030125702</v>
      </c>
      <c r="C24" s="44" t="s">
        <v>115</v>
      </c>
      <c r="D24" s="35">
        <v>12</v>
      </c>
      <c r="E24" s="33" t="s">
        <v>13</v>
      </c>
      <c r="F24" s="36">
        <v>0</v>
      </c>
      <c r="G24" s="36">
        <f>F24*1</f>
        <v>0</v>
      </c>
      <c r="H24" s="86">
        <v>2326509</v>
      </c>
      <c r="I24" s="82">
        <v>94605025053797</v>
      </c>
      <c r="J24" s="71" t="s">
        <v>193</v>
      </c>
      <c r="K24" s="73">
        <v>75</v>
      </c>
      <c r="L24" s="71"/>
      <c r="N24" s="21"/>
    </row>
    <row r="25" spans="1:14" s="41" customFormat="1" x14ac:dyDescent="0.25">
      <c r="A25" s="43">
        <f t="shared" si="0"/>
        <v>15</v>
      </c>
      <c r="B25" s="107">
        <v>1030128802</v>
      </c>
      <c r="C25" s="44" t="s">
        <v>116</v>
      </c>
      <c r="D25" s="35">
        <v>12</v>
      </c>
      <c r="E25" s="33" t="s">
        <v>13</v>
      </c>
      <c r="F25" s="36">
        <v>0</v>
      </c>
      <c r="G25" s="36">
        <f>F25*1</f>
        <v>0</v>
      </c>
      <c r="H25" s="127">
        <v>2326853</v>
      </c>
      <c r="I25" s="128">
        <v>94605025058051</v>
      </c>
      <c r="J25" s="71" t="s">
        <v>193</v>
      </c>
      <c r="K25" s="73">
        <v>75</v>
      </c>
      <c r="L25" s="72"/>
      <c r="N25" s="21"/>
    </row>
    <row r="26" spans="1:14" s="21" customFormat="1" x14ac:dyDescent="0.25">
      <c r="A26" s="43">
        <f t="shared" si="0"/>
        <v>16</v>
      </c>
      <c r="B26" s="102">
        <v>1030807244</v>
      </c>
      <c r="C26" s="44" t="s">
        <v>19</v>
      </c>
      <c r="D26" s="35">
        <v>1.2</v>
      </c>
      <c r="E26" s="33" t="s">
        <v>14</v>
      </c>
      <c r="F26" s="36">
        <v>0</v>
      </c>
      <c r="G26" s="36">
        <f>F26*0.2</f>
        <v>0</v>
      </c>
      <c r="H26" s="86">
        <v>4630088700965</v>
      </c>
      <c r="I26" s="82">
        <v>14630088700962</v>
      </c>
      <c r="J26" s="71" t="s">
        <v>194</v>
      </c>
      <c r="K26" s="73">
        <v>31</v>
      </c>
      <c r="L26" s="73"/>
    </row>
    <row r="27" spans="1:14" s="21" customFormat="1" x14ac:dyDescent="0.25">
      <c r="A27" s="43">
        <f t="shared" si="0"/>
        <v>17</v>
      </c>
      <c r="B27" s="107">
        <v>1030801535</v>
      </c>
      <c r="C27" s="44" t="s">
        <v>20</v>
      </c>
      <c r="D27" s="35">
        <v>3.2</v>
      </c>
      <c r="E27" s="33" t="s">
        <v>13</v>
      </c>
      <c r="F27" s="36">
        <v>0</v>
      </c>
      <c r="G27" s="36">
        <f>F27*1</f>
        <v>0</v>
      </c>
      <c r="H27" s="86">
        <v>2165845</v>
      </c>
      <c r="I27" s="128">
        <v>94605025009268</v>
      </c>
      <c r="J27" s="85" t="s">
        <v>192</v>
      </c>
      <c r="K27" s="73">
        <v>30</v>
      </c>
      <c r="L27" s="73"/>
    </row>
    <row r="28" spans="1:14" s="22" customFormat="1" x14ac:dyDescent="0.25">
      <c r="A28" s="43">
        <f t="shared" si="0"/>
        <v>18</v>
      </c>
      <c r="B28" s="104">
        <v>1030809702</v>
      </c>
      <c r="C28" s="44" t="s">
        <v>92</v>
      </c>
      <c r="D28" s="38">
        <v>9</v>
      </c>
      <c r="E28" s="32" t="s">
        <v>13</v>
      </c>
      <c r="F28" s="36">
        <v>0</v>
      </c>
      <c r="G28" s="36">
        <f>F28*1</f>
        <v>0</v>
      </c>
      <c r="H28" s="127">
        <v>2325697</v>
      </c>
      <c r="I28" s="82">
        <v>94605025041930</v>
      </c>
      <c r="J28" s="71" t="s">
        <v>192</v>
      </c>
      <c r="K28" s="73">
        <v>31</v>
      </c>
      <c r="L28" s="71"/>
      <c r="N28" s="21"/>
    </row>
    <row r="29" spans="1:14" s="21" customFormat="1" x14ac:dyDescent="0.25">
      <c r="A29" s="43">
        <f t="shared" si="0"/>
        <v>19</v>
      </c>
      <c r="B29" s="107">
        <v>1030804004</v>
      </c>
      <c r="C29" s="44" t="s">
        <v>21</v>
      </c>
      <c r="D29" s="35">
        <v>2.4</v>
      </c>
      <c r="E29" s="39" t="s">
        <v>14</v>
      </c>
      <c r="F29" s="36">
        <v>100</v>
      </c>
      <c r="G29" s="36">
        <f>F29*0.4</f>
        <v>40</v>
      </c>
      <c r="H29" s="86">
        <v>4605025030337</v>
      </c>
      <c r="I29" s="82">
        <v>14605025030334</v>
      </c>
      <c r="J29" s="71" t="s">
        <v>192</v>
      </c>
      <c r="K29" s="73">
        <v>75</v>
      </c>
      <c r="L29" s="73"/>
    </row>
    <row r="30" spans="1:14" s="21" customFormat="1" x14ac:dyDescent="0.25">
      <c r="A30" s="43">
        <f t="shared" si="0"/>
        <v>20</v>
      </c>
      <c r="B30" s="104">
        <v>1030815152</v>
      </c>
      <c r="C30" s="44" t="s">
        <v>118</v>
      </c>
      <c r="D30" s="35">
        <v>0.9</v>
      </c>
      <c r="E30" s="39" t="s">
        <v>14</v>
      </c>
      <c r="F30" s="36">
        <v>0</v>
      </c>
      <c r="G30" s="36">
        <f>F30*0.15</f>
        <v>0</v>
      </c>
      <c r="H30" s="86">
        <v>4605025041159</v>
      </c>
      <c r="I30" s="82">
        <v>14605025041156</v>
      </c>
      <c r="J30" s="84" t="s">
        <v>194</v>
      </c>
      <c r="K30" s="73">
        <v>31</v>
      </c>
      <c r="L30" s="73"/>
    </row>
    <row r="31" spans="1:14" s="21" customFormat="1" x14ac:dyDescent="0.25">
      <c r="A31" s="43">
        <f t="shared" si="0"/>
        <v>21</v>
      </c>
      <c r="B31" s="104">
        <v>1030803235</v>
      </c>
      <c r="C31" s="44" t="s">
        <v>22</v>
      </c>
      <c r="D31" s="35">
        <v>5.4</v>
      </c>
      <c r="E31" s="39" t="s">
        <v>13</v>
      </c>
      <c r="F31" s="36">
        <v>0</v>
      </c>
      <c r="G31" s="36">
        <f>F31*1</f>
        <v>0</v>
      </c>
      <c r="H31" s="86">
        <v>2325051</v>
      </c>
      <c r="I31" s="82">
        <v>94605025032143</v>
      </c>
      <c r="J31" s="84" t="s">
        <v>195</v>
      </c>
      <c r="K31" s="73">
        <v>90</v>
      </c>
      <c r="L31" s="73"/>
    </row>
    <row r="32" spans="1:14" s="21" customFormat="1" x14ac:dyDescent="0.25">
      <c r="A32" s="43">
        <f t="shared" si="0"/>
        <v>22</v>
      </c>
      <c r="B32" s="104">
        <v>1030803450</v>
      </c>
      <c r="C32" s="44" t="s">
        <v>23</v>
      </c>
      <c r="D32" s="35">
        <v>3.6</v>
      </c>
      <c r="E32" s="39" t="s">
        <v>14</v>
      </c>
      <c r="F32" s="36">
        <v>0</v>
      </c>
      <c r="G32" s="36">
        <f>F32*0.4</f>
        <v>0</v>
      </c>
      <c r="H32" s="86">
        <v>4607089690120</v>
      </c>
      <c r="I32" s="82">
        <v>14605025032154</v>
      </c>
      <c r="J32" s="84" t="s">
        <v>195</v>
      </c>
      <c r="K32" s="73">
        <v>90</v>
      </c>
      <c r="L32" s="73"/>
    </row>
    <row r="33" spans="1:14" s="21" customFormat="1" x14ac:dyDescent="0.25">
      <c r="A33" s="43">
        <f t="shared" si="0"/>
        <v>23</v>
      </c>
      <c r="B33" s="104">
        <v>1030803635</v>
      </c>
      <c r="C33" s="44" t="s">
        <v>24</v>
      </c>
      <c r="D33" s="35">
        <v>5.6</v>
      </c>
      <c r="E33" s="39" t="s">
        <v>14</v>
      </c>
      <c r="F33" s="36">
        <v>0</v>
      </c>
      <c r="G33" s="36">
        <f>F33*0.8</f>
        <v>0</v>
      </c>
      <c r="H33" s="86">
        <v>4607089690113</v>
      </c>
      <c r="I33" s="82">
        <v>14605025032161</v>
      </c>
      <c r="J33" s="84" t="s">
        <v>195</v>
      </c>
      <c r="K33" s="73">
        <v>90</v>
      </c>
      <c r="L33" s="73"/>
    </row>
    <row r="34" spans="1:14" s="21" customFormat="1" x14ac:dyDescent="0.25">
      <c r="A34" s="43">
        <f t="shared" si="0"/>
        <v>24</v>
      </c>
      <c r="B34" s="107">
        <v>1030803550</v>
      </c>
      <c r="C34" s="44" t="s">
        <v>25</v>
      </c>
      <c r="D34" s="35">
        <v>3.6</v>
      </c>
      <c r="E34" s="39" t="s">
        <v>14</v>
      </c>
      <c r="F34" s="36">
        <v>0</v>
      </c>
      <c r="G34" s="36">
        <f>F34*0.4</f>
        <v>0</v>
      </c>
      <c r="H34" s="86">
        <v>4607089690038</v>
      </c>
      <c r="I34" s="128">
        <v>14605025031904</v>
      </c>
      <c r="J34" s="84" t="s">
        <v>195</v>
      </c>
      <c r="K34" s="73">
        <v>90</v>
      </c>
      <c r="L34" s="73"/>
    </row>
    <row r="35" spans="1:14" s="21" customFormat="1" x14ac:dyDescent="0.25">
      <c r="A35" s="43">
        <f t="shared" si="0"/>
        <v>25</v>
      </c>
      <c r="B35" s="104">
        <v>1030804220</v>
      </c>
      <c r="C35" s="44" t="s">
        <v>26</v>
      </c>
      <c r="D35" s="35">
        <v>8.6999999999999993</v>
      </c>
      <c r="E35" s="39" t="s">
        <v>13</v>
      </c>
      <c r="F35" s="36">
        <v>0</v>
      </c>
      <c r="G35" s="36">
        <f>F35*1</f>
        <v>0</v>
      </c>
      <c r="H35" s="86">
        <v>2122682</v>
      </c>
      <c r="I35" s="82">
        <v>94605025009213</v>
      </c>
      <c r="J35" s="71" t="s">
        <v>195</v>
      </c>
      <c r="K35" s="73">
        <v>90</v>
      </c>
      <c r="L35" s="73"/>
    </row>
    <row r="36" spans="1:14" s="21" customFormat="1" x14ac:dyDescent="0.25">
      <c r="A36" s="43">
        <f t="shared" si="0"/>
        <v>26</v>
      </c>
      <c r="B36" s="104">
        <v>1030815253</v>
      </c>
      <c r="C36" s="44" t="s">
        <v>128</v>
      </c>
      <c r="D36" s="35">
        <v>5.6</v>
      </c>
      <c r="E36" s="39" t="s">
        <v>14</v>
      </c>
      <c r="F36" s="36">
        <v>0</v>
      </c>
      <c r="G36" s="36">
        <f>F36*0.8</f>
        <v>0</v>
      </c>
      <c r="H36" s="86">
        <v>4605025036735</v>
      </c>
      <c r="I36" s="82">
        <v>14605025036732</v>
      </c>
      <c r="J36" s="71" t="s">
        <v>195</v>
      </c>
      <c r="K36" s="73">
        <v>90</v>
      </c>
      <c r="L36" s="73"/>
    </row>
    <row r="37" spans="1:14" s="21" customFormat="1" x14ac:dyDescent="0.25">
      <c r="A37" s="43">
        <f t="shared" si="0"/>
        <v>27</v>
      </c>
      <c r="B37" s="102">
        <v>1030806974</v>
      </c>
      <c r="C37" s="44" t="s">
        <v>71</v>
      </c>
      <c r="D37" s="34">
        <v>2.5</v>
      </c>
      <c r="E37" s="34" t="s">
        <v>13</v>
      </c>
      <c r="F37" s="36">
        <v>0</v>
      </c>
      <c r="G37" s="36">
        <f>F37*1</f>
        <v>0</v>
      </c>
      <c r="H37" s="86">
        <v>2800839</v>
      </c>
      <c r="I37" s="82">
        <v>94605025038855</v>
      </c>
      <c r="J37" s="71" t="s">
        <v>201</v>
      </c>
      <c r="K37" s="73">
        <v>60</v>
      </c>
      <c r="L37" s="123" t="s">
        <v>208</v>
      </c>
    </row>
    <row r="38" spans="1:14" s="21" customFormat="1" x14ac:dyDescent="0.25">
      <c r="A38" s="43">
        <f t="shared" si="0"/>
        <v>28</v>
      </c>
      <c r="B38" s="102">
        <v>1030419235</v>
      </c>
      <c r="C38" s="44" t="s">
        <v>113</v>
      </c>
      <c r="D38" s="34">
        <v>1.8</v>
      </c>
      <c r="E38" s="34" t="s">
        <v>14</v>
      </c>
      <c r="F38" s="36">
        <v>0</v>
      </c>
      <c r="G38" s="36">
        <f>F38*0.3</f>
        <v>0</v>
      </c>
      <c r="H38" s="86">
        <v>4605025057938</v>
      </c>
      <c r="I38" s="82">
        <v>14605025057935</v>
      </c>
      <c r="J38" s="71" t="s">
        <v>192</v>
      </c>
      <c r="K38" s="73">
        <v>45</v>
      </c>
      <c r="L38" s="73"/>
    </row>
    <row r="39" spans="1:14" s="22" customFormat="1" x14ac:dyDescent="0.25">
      <c r="A39" s="43">
        <f t="shared" si="0"/>
        <v>29</v>
      </c>
      <c r="B39" s="104">
        <v>1030417205</v>
      </c>
      <c r="C39" s="44" t="s">
        <v>91</v>
      </c>
      <c r="D39" s="38">
        <v>3.8</v>
      </c>
      <c r="E39" s="32" t="s">
        <v>14</v>
      </c>
      <c r="F39" s="36">
        <v>0</v>
      </c>
      <c r="G39" s="36">
        <f>F39*0.42</f>
        <v>0</v>
      </c>
      <c r="H39" s="86">
        <v>4605025041708</v>
      </c>
      <c r="I39" s="82">
        <v>14605025041705</v>
      </c>
      <c r="J39" s="71" t="s">
        <v>192</v>
      </c>
      <c r="K39" s="73">
        <v>45</v>
      </c>
      <c r="L39" s="71"/>
      <c r="N39" s="21"/>
    </row>
    <row r="40" spans="1:14" s="21" customFormat="1" x14ac:dyDescent="0.25">
      <c r="A40" s="43">
        <f t="shared" si="0"/>
        <v>30</v>
      </c>
      <c r="B40" s="104">
        <v>1030412036</v>
      </c>
      <c r="C40" s="44" t="s">
        <v>27</v>
      </c>
      <c r="D40" s="37">
        <v>2</v>
      </c>
      <c r="E40" s="39" t="s">
        <v>14</v>
      </c>
      <c r="F40" s="36">
        <v>0</v>
      </c>
      <c r="G40" s="36">
        <f>F40*0.5</f>
        <v>0</v>
      </c>
      <c r="H40" s="86">
        <v>4610009511870</v>
      </c>
      <c r="I40" s="82">
        <v>14605025018264</v>
      </c>
      <c r="J40" s="71" t="s">
        <v>192</v>
      </c>
      <c r="K40" s="73">
        <v>45</v>
      </c>
      <c r="L40" s="73"/>
    </row>
    <row r="41" spans="1:14" s="21" customFormat="1" x14ac:dyDescent="0.25">
      <c r="A41" s="43">
        <f t="shared" si="0"/>
        <v>31</v>
      </c>
      <c r="B41" s="104">
        <v>1030417435</v>
      </c>
      <c r="C41" s="44" t="s">
        <v>101</v>
      </c>
      <c r="D41" s="37">
        <v>1.8</v>
      </c>
      <c r="E41" s="39" t="s">
        <v>14</v>
      </c>
      <c r="F41" s="36">
        <v>0</v>
      </c>
      <c r="G41" s="36">
        <f>F41*0.3</f>
        <v>0</v>
      </c>
      <c r="H41" s="86">
        <v>4605025042279</v>
      </c>
      <c r="I41" s="82">
        <v>14605025042276</v>
      </c>
      <c r="J41" s="71" t="s">
        <v>192</v>
      </c>
      <c r="K41" s="73">
        <v>45</v>
      </c>
      <c r="L41" s="73"/>
    </row>
    <row r="42" spans="1:14" s="21" customFormat="1" x14ac:dyDescent="0.25">
      <c r="A42" s="43">
        <f t="shared" si="0"/>
        <v>32</v>
      </c>
      <c r="B42" s="104">
        <v>1030402404</v>
      </c>
      <c r="C42" s="44" t="s">
        <v>28</v>
      </c>
      <c r="D42" s="37">
        <v>2</v>
      </c>
      <c r="E42" s="39" t="s">
        <v>13</v>
      </c>
      <c r="F42" s="36">
        <v>0</v>
      </c>
      <c r="G42" s="36">
        <f>F42*1</f>
        <v>0</v>
      </c>
      <c r="H42" s="86">
        <v>2120963</v>
      </c>
      <c r="I42" s="128">
        <v>94605025007929</v>
      </c>
      <c r="J42" s="71" t="s">
        <v>192</v>
      </c>
      <c r="K42" s="73">
        <v>45</v>
      </c>
      <c r="L42" s="73"/>
    </row>
    <row r="43" spans="1:14" s="21" customFormat="1" x14ac:dyDescent="0.25">
      <c r="A43" s="43">
        <f t="shared" si="0"/>
        <v>33</v>
      </c>
      <c r="B43" s="104">
        <v>1030412136</v>
      </c>
      <c r="C43" s="44" t="s">
        <v>29</v>
      </c>
      <c r="D43" s="37">
        <v>2</v>
      </c>
      <c r="E43" s="39" t="s">
        <v>14</v>
      </c>
      <c r="F43" s="36">
        <v>0</v>
      </c>
      <c r="G43" s="36">
        <f>F43*0.5</f>
        <v>0</v>
      </c>
      <c r="H43" s="86">
        <v>4610009511917</v>
      </c>
      <c r="I43" s="82">
        <v>14605025063370</v>
      </c>
      <c r="J43" s="71" t="s">
        <v>192</v>
      </c>
      <c r="K43" s="73">
        <v>45</v>
      </c>
      <c r="L43" s="73"/>
    </row>
    <row r="44" spans="1:14" s="21" customFormat="1" x14ac:dyDescent="0.25">
      <c r="A44" s="43">
        <f t="shared" si="0"/>
        <v>34</v>
      </c>
      <c r="B44" s="107">
        <v>1030404404</v>
      </c>
      <c r="C44" s="44" t="s">
        <v>30</v>
      </c>
      <c r="D44" s="37">
        <v>2</v>
      </c>
      <c r="E44" s="39" t="s">
        <v>13</v>
      </c>
      <c r="F44" s="36">
        <v>0</v>
      </c>
      <c r="G44" s="36">
        <f>F44*1</f>
        <v>0</v>
      </c>
      <c r="H44" s="86">
        <v>2118271</v>
      </c>
      <c r="I44" s="82">
        <v>94605025007981</v>
      </c>
      <c r="J44" s="71" t="s">
        <v>192</v>
      </c>
      <c r="K44" s="73">
        <v>60</v>
      </c>
      <c r="L44" s="73"/>
    </row>
    <row r="45" spans="1:14" s="21" customFormat="1" x14ac:dyDescent="0.25">
      <c r="A45" s="43">
        <f t="shared" si="0"/>
        <v>35</v>
      </c>
      <c r="B45" s="104">
        <v>1030411735</v>
      </c>
      <c r="C45" s="44" t="s">
        <v>31</v>
      </c>
      <c r="D45" s="37">
        <v>1.8</v>
      </c>
      <c r="E45" s="39" t="s">
        <v>14</v>
      </c>
      <c r="F45" s="36">
        <v>0</v>
      </c>
      <c r="G45" s="36">
        <f>F45*0.3</f>
        <v>0</v>
      </c>
      <c r="H45" s="86">
        <v>4605025028457</v>
      </c>
      <c r="I45" s="82">
        <v>14605025028454</v>
      </c>
      <c r="J45" s="71" t="s">
        <v>192</v>
      </c>
      <c r="K45" s="73">
        <v>45</v>
      </c>
      <c r="L45" s="73"/>
    </row>
    <row r="46" spans="1:14" s="21" customFormat="1" x14ac:dyDescent="0.25">
      <c r="A46" s="43">
        <f t="shared" si="0"/>
        <v>36</v>
      </c>
      <c r="B46" s="104">
        <v>1030411835</v>
      </c>
      <c r="C46" s="44" t="s">
        <v>32</v>
      </c>
      <c r="D46" s="37">
        <v>2.4</v>
      </c>
      <c r="E46" s="39" t="s">
        <v>13</v>
      </c>
      <c r="F46" s="36">
        <v>0</v>
      </c>
      <c r="G46" s="36">
        <f>F46*1</f>
        <v>0</v>
      </c>
      <c r="H46" s="86">
        <v>2324867</v>
      </c>
      <c r="I46" s="82">
        <v>94605025028467</v>
      </c>
      <c r="J46" s="71" t="s">
        <v>192</v>
      </c>
      <c r="K46" s="73">
        <v>60</v>
      </c>
      <c r="L46" s="73"/>
    </row>
    <row r="47" spans="1:14" s="21" customFormat="1" x14ac:dyDescent="0.25">
      <c r="A47" s="43">
        <f t="shared" si="0"/>
        <v>37</v>
      </c>
      <c r="B47" s="108">
        <v>1030412236</v>
      </c>
      <c r="C47" s="44" t="s">
        <v>33</v>
      </c>
      <c r="D47" s="37">
        <v>2</v>
      </c>
      <c r="E47" s="39" t="s">
        <v>14</v>
      </c>
      <c r="F47" s="36">
        <v>150</v>
      </c>
      <c r="G47" s="36">
        <f>F47*0.5</f>
        <v>75</v>
      </c>
      <c r="H47" s="86">
        <v>4610009511924</v>
      </c>
      <c r="I47" s="82">
        <v>14605025017878</v>
      </c>
      <c r="J47" s="71" t="s">
        <v>192</v>
      </c>
      <c r="K47" s="73">
        <v>45</v>
      </c>
      <c r="L47" s="73"/>
    </row>
    <row r="48" spans="1:14" s="21" customFormat="1" x14ac:dyDescent="0.25">
      <c r="A48" s="43">
        <f t="shared" si="0"/>
        <v>38</v>
      </c>
      <c r="B48" s="108">
        <v>1030403204</v>
      </c>
      <c r="C48" s="44" t="s">
        <v>34</v>
      </c>
      <c r="D48" s="37">
        <v>2</v>
      </c>
      <c r="E48" s="39" t="s">
        <v>13</v>
      </c>
      <c r="F48" s="36">
        <v>0</v>
      </c>
      <c r="G48" s="36">
        <f>F48*1</f>
        <v>0</v>
      </c>
      <c r="H48" s="86">
        <v>2120957</v>
      </c>
      <c r="I48" s="82">
        <v>94605025007950</v>
      </c>
      <c r="J48" s="71" t="s">
        <v>192</v>
      </c>
      <c r="K48" s="73">
        <v>60</v>
      </c>
      <c r="L48" s="73"/>
    </row>
    <row r="49" spans="1:14" s="21" customFormat="1" x14ac:dyDescent="0.25">
      <c r="A49" s="43">
        <f t="shared" si="0"/>
        <v>39</v>
      </c>
      <c r="B49" s="105">
        <v>1030416735</v>
      </c>
      <c r="C49" s="44" t="s">
        <v>87</v>
      </c>
      <c r="D49" s="37">
        <v>2.4000000000000004</v>
      </c>
      <c r="E49" s="39" t="s">
        <v>14</v>
      </c>
      <c r="F49" s="36">
        <v>0</v>
      </c>
      <c r="G49" s="36">
        <f>F49*0.4</f>
        <v>0</v>
      </c>
      <c r="H49" s="86">
        <v>4605025038517</v>
      </c>
      <c r="I49" s="82">
        <v>14605025038514</v>
      </c>
      <c r="J49" s="71" t="s">
        <v>192</v>
      </c>
      <c r="K49" s="73">
        <v>60</v>
      </c>
      <c r="L49" s="73"/>
    </row>
    <row r="50" spans="1:14" s="21" customFormat="1" x14ac:dyDescent="0.25">
      <c r="A50" s="43">
        <f t="shared" si="0"/>
        <v>40</v>
      </c>
      <c r="B50" s="102">
        <v>1030417869</v>
      </c>
      <c r="C50" s="44" t="s">
        <v>94</v>
      </c>
      <c r="D50" s="37">
        <v>0.9</v>
      </c>
      <c r="E50" s="39" t="s">
        <v>14</v>
      </c>
      <c r="F50" s="36">
        <v>0</v>
      </c>
      <c r="G50" s="36">
        <f>F50*0.15</f>
        <v>0</v>
      </c>
      <c r="H50" s="126">
        <v>4605025042613</v>
      </c>
      <c r="I50" s="82">
        <v>14605025042610</v>
      </c>
      <c r="J50" s="71" t="s">
        <v>192</v>
      </c>
      <c r="K50" s="73">
        <v>45</v>
      </c>
      <c r="L50" s="73"/>
    </row>
    <row r="51" spans="1:14" s="22" customFormat="1" x14ac:dyDescent="0.25">
      <c r="A51" s="43">
        <f t="shared" si="0"/>
        <v>41</v>
      </c>
      <c r="B51" s="104">
        <v>1030712385</v>
      </c>
      <c r="C51" s="44" t="s">
        <v>35</v>
      </c>
      <c r="D51" s="37">
        <v>1.8</v>
      </c>
      <c r="E51" s="39" t="s">
        <v>14</v>
      </c>
      <c r="F51" s="36">
        <v>400</v>
      </c>
      <c r="G51" s="36">
        <f>F51*0.18</f>
        <v>72</v>
      </c>
      <c r="H51" s="86">
        <v>4605025024602</v>
      </c>
      <c r="I51" s="82">
        <v>14605025024609</v>
      </c>
      <c r="J51" s="71" t="s">
        <v>192</v>
      </c>
      <c r="K51" s="73">
        <v>90</v>
      </c>
      <c r="L51" s="71"/>
      <c r="N51" s="21"/>
    </row>
    <row r="52" spans="1:14" s="22" customFormat="1" x14ac:dyDescent="0.25">
      <c r="A52" s="43">
        <f t="shared" si="0"/>
        <v>42</v>
      </c>
      <c r="B52" s="104">
        <v>1030712486</v>
      </c>
      <c r="C52" s="44" t="s">
        <v>36</v>
      </c>
      <c r="D52" s="37">
        <v>1.8</v>
      </c>
      <c r="E52" s="39" t="s">
        <v>14</v>
      </c>
      <c r="F52" s="36">
        <v>0</v>
      </c>
      <c r="G52" s="36">
        <f>F52*0.36</f>
        <v>0</v>
      </c>
      <c r="H52" s="86">
        <v>4605025024596</v>
      </c>
      <c r="I52" s="82">
        <v>14605025024593</v>
      </c>
      <c r="J52" s="71" t="s">
        <v>192</v>
      </c>
      <c r="K52" s="73">
        <v>90</v>
      </c>
      <c r="L52" s="71"/>
      <c r="N52" s="21"/>
    </row>
    <row r="53" spans="1:14" s="22" customFormat="1" x14ac:dyDescent="0.25">
      <c r="A53" s="43">
        <f t="shared" si="0"/>
        <v>43</v>
      </c>
      <c r="B53" s="108">
        <v>1030709904</v>
      </c>
      <c r="C53" s="44" t="s">
        <v>37</v>
      </c>
      <c r="D53" s="37">
        <v>1.8</v>
      </c>
      <c r="E53" s="39" t="s">
        <v>14</v>
      </c>
      <c r="F53" s="36">
        <v>0</v>
      </c>
      <c r="G53" s="36">
        <f>F53*0.3</f>
        <v>0</v>
      </c>
      <c r="H53" s="86">
        <v>4605025019936</v>
      </c>
      <c r="I53" s="82">
        <v>14605025019933</v>
      </c>
      <c r="J53" s="71" t="s">
        <v>192</v>
      </c>
      <c r="K53" s="73">
        <v>60</v>
      </c>
      <c r="L53" s="71"/>
      <c r="N53" s="21"/>
    </row>
    <row r="54" spans="1:14" s="22" customFormat="1" x14ac:dyDescent="0.25">
      <c r="A54" s="43">
        <f t="shared" si="0"/>
        <v>44</v>
      </c>
      <c r="B54" s="104">
        <v>1030515905</v>
      </c>
      <c r="C54" s="44" t="s">
        <v>90</v>
      </c>
      <c r="D54" s="38">
        <v>4.2</v>
      </c>
      <c r="E54" s="32" t="s">
        <v>14</v>
      </c>
      <c r="F54" s="36">
        <v>0</v>
      </c>
      <c r="G54" s="36">
        <f>F54*0.3</f>
        <v>0</v>
      </c>
      <c r="H54" s="86">
        <v>4605025041715</v>
      </c>
      <c r="I54" s="82">
        <v>14605025041712</v>
      </c>
      <c r="J54" s="71" t="s">
        <v>192</v>
      </c>
      <c r="K54" s="73">
        <v>45</v>
      </c>
      <c r="L54" s="71"/>
      <c r="N54" s="21"/>
    </row>
    <row r="55" spans="1:14" s="21" customFormat="1" x14ac:dyDescent="0.25">
      <c r="A55" s="43">
        <f t="shared" si="0"/>
        <v>45</v>
      </c>
      <c r="B55" s="104">
        <v>1030516463</v>
      </c>
      <c r="C55" s="44" t="s">
        <v>100</v>
      </c>
      <c r="D55" s="34">
        <v>1.75</v>
      </c>
      <c r="E55" s="39" t="s">
        <v>38</v>
      </c>
      <c r="F55" s="36">
        <v>0</v>
      </c>
      <c r="G55" s="36">
        <f>F55*0.35</f>
        <v>0</v>
      </c>
      <c r="H55" s="86">
        <v>4605025048271</v>
      </c>
      <c r="I55" s="82">
        <v>14605025048278</v>
      </c>
      <c r="J55" s="71" t="s">
        <v>197</v>
      </c>
      <c r="K55" s="73">
        <v>45</v>
      </c>
      <c r="L55" s="73"/>
    </row>
    <row r="56" spans="1:14" s="21" customFormat="1" x14ac:dyDescent="0.25">
      <c r="A56" s="43">
        <f t="shared" si="0"/>
        <v>46</v>
      </c>
      <c r="B56" s="104">
        <v>1030517905</v>
      </c>
      <c r="C56" s="44" t="s">
        <v>123</v>
      </c>
      <c r="D56" s="34">
        <v>3.6</v>
      </c>
      <c r="E56" s="39" t="s">
        <v>14</v>
      </c>
      <c r="F56" s="36">
        <v>0</v>
      </c>
      <c r="G56" s="36">
        <f>F56*0.3</f>
        <v>0</v>
      </c>
      <c r="H56" s="126">
        <v>4605025059062</v>
      </c>
      <c r="I56" s="89">
        <v>14605025059069</v>
      </c>
      <c r="J56" s="85" t="s">
        <v>192</v>
      </c>
      <c r="K56" s="73">
        <v>45</v>
      </c>
      <c r="L56" s="73"/>
    </row>
    <row r="57" spans="1:14" s="21" customFormat="1" x14ac:dyDescent="0.25">
      <c r="A57" s="43">
        <f t="shared" si="0"/>
        <v>47</v>
      </c>
      <c r="B57" s="104">
        <v>1030502935</v>
      </c>
      <c r="C57" s="44" t="s">
        <v>39</v>
      </c>
      <c r="D57" s="35">
        <v>1.8</v>
      </c>
      <c r="E57" s="39" t="s">
        <v>14</v>
      </c>
      <c r="F57" s="36">
        <v>0</v>
      </c>
      <c r="G57" s="36">
        <f>F57*0.3</f>
        <v>0</v>
      </c>
      <c r="H57" s="86">
        <v>4605025029621</v>
      </c>
      <c r="I57" s="82">
        <v>14605025029628</v>
      </c>
      <c r="J57" s="71" t="s">
        <v>192</v>
      </c>
      <c r="K57" s="73">
        <v>45</v>
      </c>
      <c r="L57" s="73"/>
    </row>
    <row r="58" spans="1:14" s="21" customFormat="1" x14ac:dyDescent="0.25">
      <c r="A58" s="43">
        <f t="shared" si="0"/>
        <v>48</v>
      </c>
      <c r="B58" s="102">
        <v>1030663476</v>
      </c>
      <c r="C58" s="44" t="s">
        <v>72</v>
      </c>
      <c r="D58" s="34">
        <v>1.5</v>
      </c>
      <c r="E58" s="34" t="s">
        <v>14</v>
      </c>
      <c r="F58" s="36">
        <v>0</v>
      </c>
      <c r="G58" s="36">
        <f>F58*0.25</f>
        <v>0</v>
      </c>
      <c r="H58" s="126">
        <v>4607025369394</v>
      </c>
      <c r="I58" s="82">
        <v>14607025369391</v>
      </c>
      <c r="J58" s="71" t="s">
        <v>201</v>
      </c>
      <c r="K58" s="73">
        <v>90</v>
      </c>
      <c r="L58" s="123" t="s">
        <v>208</v>
      </c>
    </row>
    <row r="59" spans="1:14" s="21" customFormat="1" x14ac:dyDescent="0.25">
      <c r="A59" s="43">
        <f t="shared" si="0"/>
        <v>49</v>
      </c>
      <c r="B59" s="102">
        <v>1030663376</v>
      </c>
      <c r="C59" s="44" t="s">
        <v>73</v>
      </c>
      <c r="D59" s="34">
        <v>2</v>
      </c>
      <c r="E59" s="34" t="s">
        <v>13</v>
      </c>
      <c r="F59" s="36">
        <v>0</v>
      </c>
      <c r="G59" s="36">
        <f>F59*1</f>
        <v>0</v>
      </c>
      <c r="H59" s="86">
        <v>2800434</v>
      </c>
      <c r="I59" s="82">
        <v>94605025038589</v>
      </c>
      <c r="J59" s="71" t="s">
        <v>201</v>
      </c>
      <c r="K59" s="73">
        <v>90</v>
      </c>
      <c r="L59" s="123" t="s">
        <v>208</v>
      </c>
    </row>
    <row r="60" spans="1:14" s="21" customFormat="1" x14ac:dyDescent="0.25">
      <c r="A60" s="43">
        <f t="shared" si="0"/>
        <v>50</v>
      </c>
      <c r="B60" s="102">
        <v>1030663083</v>
      </c>
      <c r="C60" s="44" t="s">
        <v>74</v>
      </c>
      <c r="D60" s="34">
        <v>0.9</v>
      </c>
      <c r="E60" s="34" t="s">
        <v>14</v>
      </c>
      <c r="F60" s="36">
        <v>0</v>
      </c>
      <c r="G60" s="36">
        <f>F60*0.09</f>
        <v>0</v>
      </c>
      <c r="H60" s="86">
        <v>4607025368946</v>
      </c>
      <c r="I60" s="82">
        <v>14607025368943</v>
      </c>
      <c r="J60" s="71" t="s">
        <v>194</v>
      </c>
      <c r="K60" s="73">
        <v>90</v>
      </c>
      <c r="L60" s="73"/>
    </row>
    <row r="61" spans="1:14" s="21" customFormat="1" x14ac:dyDescent="0.25">
      <c r="A61" s="43">
        <f t="shared" si="0"/>
        <v>51</v>
      </c>
      <c r="B61" s="102">
        <v>1030662774</v>
      </c>
      <c r="C61" s="50" t="s">
        <v>75</v>
      </c>
      <c r="D61" s="34">
        <v>3</v>
      </c>
      <c r="E61" s="34" t="s">
        <v>13</v>
      </c>
      <c r="F61" s="36">
        <v>0</v>
      </c>
      <c r="G61" s="36">
        <f>F61*1</f>
        <v>0</v>
      </c>
      <c r="H61" s="86">
        <v>2800827</v>
      </c>
      <c r="I61" s="82">
        <v>94605025038572</v>
      </c>
      <c r="J61" s="71" t="s">
        <v>201</v>
      </c>
      <c r="K61" s="73">
        <v>90</v>
      </c>
      <c r="L61" s="123" t="s">
        <v>208</v>
      </c>
    </row>
    <row r="62" spans="1:14" s="22" customFormat="1" x14ac:dyDescent="0.25">
      <c r="A62" s="43">
        <f t="shared" si="0"/>
        <v>52</v>
      </c>
      <c r="B62" s="102">
        <v>1030662575</v>
      </c>
      <c r="C62" s="50" t="s">
        <v>76</v>
      </c>
      <c r="D62" s="34">
        <v>1.5</v>
      </c>
      <c r="E62" s="34" t="s">
        <v>14</v>
      </c>
      <c r="F62" s="36">
        <v>0</v>
      </c>
      <c r="G62" s="36">
        <f>F62*0.25</f>
        <v>0</v>
      </c>
      <c r="H62" s="86">
        <v>4607025366683</v>
      </c>
      <c r="I62" s="82">
        <v>54607025366688</v>
      </c>
      <c r="J62" s="84" t="s">
        <v>201</v>
      </c>
      <c r="K62" s="73">
        <v>90</v>
      </c>
      <c r="L62" s="123" t="s">
        <v>208</v>
      </c>
      <c r="N62" s="21"/>
    </row>
    <row r="63" spans="1:14" s="22" customFormat="1" x14ac:dyDescent="0.25">
      <c r="A63" s="43">
        <f t="shared" si="0"/>
        <v>53</v>
      </c>
      <c r="B63" s="102">
        <v>1030678083</v>
      </c>
      <c r="C63" s="50" t="s">
        <v>85</v>
      </c>
      <c r="D63" s="34">
        <v>0.7</v>
      </c>
      <c r="E63" s="34" t="s">
        <v>14</v>
      </c>
      <c r="F63" s="36">
        <v>0</v>
      </c>
      <c r="G63" s="36">
        <f>F63*0.07</f>
        <v>0</v>
      </c>
      <c r="H63" s="86">
        <v>4605025042101</v>
      </c>
      <c r="I63" s="82">
        <v>14605025042108</v>
      </c>
      <c r="J63" s="71" t="s">
        <v>194</v>
      </c>
      <c r="K63" s="73">
        <v>90</v>
      </c>
      <c r="L63" s="71"/>
      <c r="N63" s="21"/>
    </row>
    <row r="64" spans="1:14" s="21" customFormat="1" x14ac:dyDescent="0.25">
      <c r="A64" s="43">
        <f t="shared" si="0"/>
        <v>54</v>
      </c>
      <c r="B64" s="102">
        <v>1030664877</v>
      </c>
      <c r="C64" s="50" t="s">
        <v>77</v>
      </c>
      <c r="D64" s="34">
        <v>0.93</v>
      </c>
      <c r="E64" s="34" t="s">
        <v>14</v>
      </c>
      <c r="F64" s="36">
        <v>0</v>
      </c>
      <c r="G64" s="36">
        <f>F64*0.155</f>
        <v>0</v>
      </c>
      <c r="H64" s="86">
        <v>4607025369028</v>
      </c>
      <c r="I64" s="82">
        <v>34607025369029</v>
      </c>
      <c r="J64" s="71" t="s">
        <v>201</v>
      </c>
      <c r="K64" s="73">
        <v>90</v>
      </c>
      <c r="L64" s="123" t="s">
        <v>208</v>
      </c>
    </row>
    <row r="65" spans="1:14" s="21" customFormat="1" x14ac:dyDescent="0.25">
      <c r="A65" s="43">
        <f t="shared" si="0"/>
        <v>55</v>
      </c>
      <c r="B65" s="102">
        <v>1030664277</v>
      </c>
      <c r="C65" s="50" t="s">
        <v>78</v>
      </c>
      <c r="D65" s="34">
        <v>0.9</v>
      </c>
      <c r="E65" s="34" t="s">
        <v>14</v>
      </c>
      <c r="F65" s="36">
        <v>0</v>
      </c>
      <c r="G65" s="36">
        <f>F65*0.15</f>
        <v>0</v>
      </c>
      <c r="H65" s="86">
        <v>4607025366669</v>
      </c>
      <c r="I65" s="82">
        <v>64607025366661</v>
      </c>
      <c r="J65" s="71" t="s">
        <v>201</v>
      </c>
      <c r="K65" s="73">
        <v>90</v>
      </c>
      <c r="L65" s="123" t="s">
        <v>208</v>
      </c>
    </row>
    <row r="66" spans="1:14" s="21" customFormat="1" x14ac:dyDescent="0.25">
      <c r="A66" s="43">
        <f t="shared" si="0"/>
        <v>56</v>
      </c>
      <c r="B66" s="102">
        <v>1030664677</v>
      </c>
      <c r="C66" s="50" t="s">
        <v>79</v>
      </c>
      <c r="D66" s="34">
        <v>0.66</v>
      </c>
      <c r="E66" s="34" t="s">
        <v>14</v>
      </c>
      <c r="F66" s="36">
        <v>0</v>
      </c>
      <c r="G66" s="36">
        <f>F66*0.11</f>
        <v>0</v>
      </c>
      <c r="H66" s="86">
        <v>4607025367888</v>
      </c>
      <c r="I66" s="82">
        <v>64607025367880</v>
      </c>
      <c r="J66" s="71" t="s">
        <v>201</v>
      </c>
      <c r="K66" s="73">
        <v>90</v>
      </c>
      <c r="L66" s="123" t="s">
        <v>208</v>
      </c>
    </row>
    <row r="67" spans="1:14" s="21" customFormat="1" x14ac:dyDescent="0.25">
      <c r="A67" s="43">
        <f t="shared" si="0"/>
        <v>57</v>
      </c>
      <c r="B67" s="102">
        <v>1030664477</v>
      </c>
      <c r="C67" s="44" t="s">
        <v>80</v>
      </c>
      <c r="D67" s="34">
        <v>0.66</v>
      </c>
      <c r="E67" s="34" t="s">
        <v>14</v>
      </c>
      <c r="F67" s="36">
        <v>0</v>
      </c>
      <c r="G67" s="36">
        <f>F67*0.11</f>
        <v>0</v>
      </c>
      <c r="H67" s="86">
        <v>4607025367864</v>
      </c>
      <c r="I67" s="82">
        <v>64607025367866</v>
      </c>
      <c r="J67" s="71" t="s">
        <v>201</v>
      </c>
      <c r="K67" s="73">
        <v>90</v>
      </c>
      <c r="L67" s="123" t="s">
        <v>208</v>
      </c>
    </row>
    <row r="68" spans="1:14" s="21" customFormat="1" x14ac:dyDescent="0.25">
      <c r="A68" s="43">
        <f t="shared" si="0"/>
        <v>58</v>
      </c>
      <c r="B68" s="102">
        <v>1030684277</v>
      </c>
      <c r="C68" s="44" t="s">
        <v>106</v>
      </c>
      <c r="D68" s="34">
        <v>0.66</v>
      </c>
      <c r="E68" s="34" t="s">
        <v>14</v>
      </c>
      <c r="F68" s="36">
        <v>0</v>
      </c>
      <c r="G68" s="36">
        <f>F68*0.11</f>
        <v>0</v>
      </c>
      <c r="H68" s="86">
        <v>4605025049186</v>
      </c>
      <c r="I68" s="82">
        <v>14605025049183</v>
      </c>
      <c r="J68" s="71" t="s">
        <v>201</v>
      </c>
      <c r="K68" s="73">
        <v>90</v>
      </c>
      <c r="L68" s="123" t="s">
        <v>208</v>
      </c>
    </row>
    <row r="69" spans="1:14" s="21" customFormat="1" x14ac:dyDescent="0.25">
      <c r="A69" s="43">
        <f t="shared" si="0"/>
        <v>59</v>
      </c>
      <c r="B69" s="102">
        <v>1030662183</v>
      </c>
      <c r="C69" s="44" t="s">
        <v>84</v>
      </c>
      <c r="D69" s="34">
        <v>0.6</v>
      </c>
      <c r="E69" s="34" t="s">
        <v>14</v>
      </c>
      <c r="F69" s="36">
        <v>0</v>
      </c>
      <c r="G69" s="36">
        <f>F69*0.1</f>
        <v>0</v>
      </c>
      <c r="H69" s="86">
        <v>4607025367918</v>
      </c>
      <c r="I69" s="82">
        <v>74607025367917</v>
      </c>
      <c r="J69" s="71" t="s">
        <v>194</v>
      </c>
      <c r="K69" s="73">
        <v>90</v>
      </c>
      <c r="L69" s="73"/>
    </row>
    <row r="70" spans="1:14" s="21" customFormat="1" x14ac:dyDescent="0.25">
      <c r="A70" s="43">
        <f t="shared" si="0"/>
        <v>60</v>
      </c>
      <c r="B70" s="33">
        <v>1030686051</v>
      </c>
      <c r="C70" s="44" t="s">
        <v>40</v>
      </c>
      <c r="D70" s="35">
        <v>3.3</v>
      </c>
      <c r="E70" s="39" t="s">
        <v>13</v>
      </c>
      <c r="F70" s="36">
        <v>0</v>
      </c>
      <c r="G70" s="36">
        <f>F70*1</f>
        <v>0</v>
      </c>
      <c r="H70" s="86">
        <v>2399950</v>
      </c>
      <c r="I70" s="82">
        <v>94605025018437</v>
      </c>
      <c r="J70" s="71" t="s">
        <v>192</v>
      </c>
      <c r="K70" s="73">
        <v>150</v>
      </c>
      <c r="L70" s="73"/>
    </row>
    <row r="71" spans="1:14" s="21" customFormat="1" x14ac:dyDescent="0.25">
      <c r="A71" s="43">
        <f t="shared" si="0"/>
        <v>61</v>
      </c>
      <c r="B71" s="103">
        <v>1030686740</v>
      </c>
      <c r="C71" s="44" t="s">
        <v>41</v>
      </c>
      <c r="D71" s="35">
        <v>3.6</v>
      </c>
      <c r="E71" s="39" t="s">
        <v>14</v>
      </c>
      <c r="F71" s="36">
        <v>400</v>
      </c>
      <c r="G71" s="36">
        <f>F71*0.3</f>
        <v>120</v>
      </c>
      <c r="H71" s="86">
        <v>4607089698812</v>
      </c>
      <c r="I71" s="82">
        <v>14605025022865</v>
      </c>
      <c r="J71" s="71" t="s">
        <v>192</v>
      </c>
      <c r="K71" s="73">
        <v>150</v>
      </c>
      <c r="L71" s="73"/>
    </row>
    <row r="72" spans="1:14" s="42" customFormat="1" x14ac:dyDescent="0.25">
      <c r="A72" s="43">
        <f t="shared" si="0"/>
        <v>62</v>
      </c>
      <c r="B72" s="106">
        <v>1030686857</v>
      </c>
      <c r="C72" s="44" t="s">
        <v>43</v>
      </c>
      <c r="D72" s="35">
        <v>3.6</v>
      </c>
      <c r="E72" s="39" t="s">
        <v>14</v>
      </c>
      <c r="F72" s="36">
        <v>300</v>
      </c>
      <c r="G72" s="36">
        <f>F72*0.3</f>
        <v>90</v>
      </c>
      <c r="H72" s="86">
        <v>4607089698829</v>
      </c>
      <c r="I72" s="82">
        <v>14605025022872</v>
      </c>
      <c r="J72" s="71" t="s">
        <v>198</v>
      </c>
      <c r="K72" s="73">
        <v>135</v>
      </c>
      <c r="L72" s="74"/>
      <c r="N72" s="21"/>
    </row>
    <row r="73" spans="1:14" s="21" customFormat="1" x14ac:dyDescent="0.25">
      <c r="A73" s="43">
        <f t="shared" si="0"/>
        <v>63</v>
      </c>
      <c r="B73" s="106">
        <v>1030686641</v>
      </c>
      <c r="C73" s="44" t="s">
        <v>42</v>
      </c>
      <c r="D73" s="35">
        <v>2.4</v>
      </c>
      <c r="E73" s="39" t="s">
        <v>13</v>
      </c>
      <c r="F73" s="36">
        <v>0</v>
      </c>
      <c r="G73" s="36">
        <f>F73*1</f>
        <v>0</v>
      </c>
      <c r="H73" s="86">
        <v>2399951</v>
      </c>
      <c r="I73" s="128">
        <v>94605025025725</v>
      </c>
      <c r="J73" s="71" t="s">
        <v>198</v>
      </c>
      <c r="K73" s="73">
        <v>150</v>
      </c>
      <c r="L73" s="73"/>
    </row>
    <row r="74" spans="1:14" s="21" customFormat="1" x14ac:dyDescent="0.25">
      <c r="A74" s="43">
        <f t="shared" si="0"/>
        <v>64</v>
      </c>
      <c r="B74" s="102">
        <v>1030672134</v>
      </c>
      <c r="C74" s="44" t="s">
        <v>44</v>
      </c>
      <c r="D74" s="35">
        <v>1.2000000000000002</v>
      </c>
      <c r="E74" s="39" t="s">
        <v>14</v>
      </c>
      <c r="F74" s="36">
        <v>0</v>
      </c>
      <c r="G74" s="36">
        <f>F74*0.2</f>
        <v>0</v>
      </c>
      <c r="H74" s="86">
        <v>4605025029416</v>
      </c>
      <c r="I74" s="82">
        <v>14605025029413</v>
      </c>
      <c r="J74" s="71" t="s">
        <v>198</v>
      </c>
      <c r="K74" s="73">
        <v>135</v>
      </c>
      <c r="L74" s="73"/>
    </row>
    <row r="75" spans="1:14" s="21" customFormat="1" x14ac:dyDescent="0.25">
      <c r="A75" s="43">
        <f t="shared" si="0"/>
        <v>65</v>
      </c>
      <c r="B75" s="104">
        <v>1030654104</v>
      </c>
      <c r="C75" s="44" t="s">
        <v>45</v>
      </c>
      <c r="D75" s="35">
        <v>1.2</v>
      </c>
      <c r="E75" s="39" t="s">
        <v>14</v>
      </c>
      <c r="F75" s="36">
        <v>200</v>
      </c>
      <c r="G75" s="36">
        <f>F75*0.2</f>
        <v>40</v>
      </c>
      <c r="H75" s="86">
        <v>4605025030856</v>
      </c>
      <c r="I75" s="82">
        <v>14605025030853</v>
      </c>
      <c r="J75" s="71" t="s">
        <v>192</v>
      </c>
      <c r="K75" s="73">
        <v>90</v>
      </c>
      <c r="L75" s="71"/>
    </row>
    <row r="76" spans="1:14" s="22" customFormat="1" x14ac:dyDescent="0.25">
      <c r="A76" s="43">
        <f t="shared" si="0"/>
        <v>66</v>
      </c>
      <c r="B76" s="104">
        <v>1031300908</v>
      </c>
      <c r="C76" s="44" t="s">
        <v>82</v>
      </c>
      <c r="D76" s="37">
        <v>0.7</v>
      </c>
      <c r="E76" s="39" t="s">
        <v>14</v>
      </c>
      <c r="F76" s="36">
        <v>0</v>
      </c>
      <c r="G76" s="36">
        <f>F76*0.07</f>
        <v>0</v>
      </c>
      <c r="H76" s="86">
        <v>4605025031662</v>
      </c>
      <c r="I76" s="82">
        <v>14605025031669</v>
      </c>
      <c r="J76" s="71" t="s">
        <v>192</v>
      </c>
      <c r="K76" s="73">
        <v>90</v>
      </c>
      <c r="L76" s="71"/>
      <c r="N76" s="21"/>
    </row>
    <row r="77" spans="1:14" s="21" customFormat="1" x14ac:dyDescent="0.25">
      <c r="A77" s="43">
        <f t="shared" si="0"/>
        <v>67</v>
      </c>
      <c r="B77" s="104">
        <v>1031300808</v>
      </c>
      <c r="C77" s="44" t="s">
        <v>46</v>
      </c>
      <c r="D77" s="37">
        <v>0.7</v>
      </c>
      <c r="E77" s="39" t="s">
        <v>14</v>
      </c>
      <c r="F77" s="36">
        <v>0</v>
      </c>
      <c r="G77" s="36">
        <f>F77*0.07</f>
        <v>0</v>
      </c>
      <c r="H77" s="86">
        <v>4605025032805</v>
      </c>
      <c r="I77" s="82">
        <v>14605025032802</v>
      </c>
      <c r="J77" s="71" t="s">
        <v>192</v>
      </c>
      <c r="K77" s="73">
        <v>90</v>
      </c>
      <c r="L77" s="71"/>
    </row>
    <row r="78" spans="1:14" s="21" customFormat="1" x14ac:dyDescent="0.25">
      <c r="A78" s="43">
        <f t="shared" ref="A78:A141" si="1">A77+1</f>
        <v>68</v>
      </c>
      <c r="B78" s="106">
        <v>1030686241</v>
      </c>
      <c r="C78" s="44" t="s">
        <v>102</v>
      </c>
      <c r="D78" s="37">
        <v>1.8</v>
      </c>
      <c r="E78" s="39" t="s">
        <v>14</v>
      </c>
      <c r="F78" s="36">
        <v>0</v>
      </c>
      <c r="G78" s="36">
        <f>F78*0.3</f>
        <v>0</v>
      </c>
      <c r="H78" s="86">
        <v>4605025020284</v>
      </c>
      <c r="I78" s="82">
        <v>14605025020281</v>
      </c>
      <c r="J78" s="71" t="s">
        <v>198</v>
      </c>
      <c r="K78" s="73">
        <v>135</v>
      </c>
      <c r="L78" s="71"/>
    </row>
    <row r="79" spans="1:14" s="22" customFormat="1" x14ac:dyDescent="0.25">
      <c r="A79" s="43">
        <f t="shared" si="1"/>
        <v>69</v>
      </c>
      <c r="B79" s="107">
        <v>1030657419</v>
      </c>
      <c r="C79" s="44" t="s">
        <v>51</v>
      </c>
      <c r="D79" s="35">
        <v>1.8</v>
      </c>
      <c r="E79" s="39" t="s">
        <v>14</v>
      </c>
      <c r="F79" s="36">
        <v>0</v>
      </c>
      <c r="G79" s="36">
        <f>F79*0.3</f>
        <v>0</v>
      </c>
      <c r="H79" s="86">
        <v>4605025033208</v>
      </c>
      <c r="I79" s="82">
        <v>14605025033205</v>
      </c>
      <c r="J79" s="71" t="s">
        <v>192</v>
      </c>
      <c r="K79" s="73">
        <v>135</v>
      </c>
      <c r="L79" s="71"/>
      <c r="N79" s="21"/>
    </row>
    <row r="80" spans="1:14" s="22" customFormat="1" x14ac:dyDescent="0.25">
      <c r="A80" s="43">
        <f t="shared" si="1"/>
        <v>70</v>
      </c>
      <c r="B80" s="107">
        <v>1030657219</v>
      </c>
      <c r="C80" s="44" t="s">
        <v>52</v>
      </c>
      <c r="D80" s="35">
        <v>2.4</v>
      </c>
      <c r="E80" s="39" t="s">
        <v>13</v>
      </c>
      <c r="F80" s="36">
        <v>0</v>
      </c>
      <c r="G80" s="36">
        <f>F80*1</f>
        <v>0</v>
      </c>
      <c r="H80" s="86">
        <v>2325105</v>
      </c>
      <c r="I80" s="82">
        <v>94605025033218</v>
      </c>
      <c r="J80" s="71" t="s">
        <v>192</v>
      </c>
      <c r="K80" s="73">
        <v>150</v>
      </c>
      <c r="L80" s="71"/>
      <c r="N80" s="21"/>
    </row>
    <row r="81" spans="1:14" s="29" customFormat="1" x14ac:dyDescent="0.25">
      <c r="A81" s="43">
        <f t="shared" si="1"/>
        <v>71</v>
      </c>
      <c r="B81" s="104">
        <v>1030679319</v>
      </c>
      <c r="C81" s="44" t="s">
        <v>95</v>
      </c>
      <c r="D81" s="35">
        <v>1.8</v>
      </c>
      <c r="E81" s="39" t="s">
        <v>14</v>
      </c>
      <c r="F81" s="36">
        <v>0</v>
      </c>
      <c r="G81" s="36">
        <f>F81*0.3</f>
        <v>0</v>
      </c>
      <c r="H81" s="86">
        <v>4605025043009</v>
      </c>
      <c r="I81" s="82">
        <v>14605025043006</v>
      </c>
      <c r="J81" s="71" t="s">
        <v>198</v>
      </c>
      <c r="K81" s="73">
        <v>135</v>
      </c>
      <c r="L81" s="76"/>
      <c r="N81" s="21"/>
    </row>
    <row r="82" spans="1:14" s="29" customFormat="1" x14ac:dyDescent="0.25">
      <c r="A82" s="43">
        <f t="shared" si="1"/>
        <v>72</v>
      </c>
      <c r="B82" s="104">
        <v>1030679419</v>
      </c>
      <c r="C82" s="44" t="s">
        <v>96</v>
      </c>
      <c r="D82" s="35">
        <v>2.4</v>
      </c>
      <c r="E82" s="39" t="s">
        <v>13</v>
      </c>
      <c r="F82" s="36">
        <v>0</v>
      </c>
      <c r="G82" s="36">
        <f>F82*1</f>
        <v>0</v>
      </c>
      <c r="H82" s="127">
        <v>2399955</v>
      </c>
      <c r="I82" s="128">
        <v>94605025042999</v>
      </c>
      <c r="J82" s="71" t="s">
        <v>198</v>
      </c>
      <c r="K82" s="73">
        <v>150</v>
      </c>
      <c r="L82" s="76"/>
      <c r="N82" s="21"/>
    </row>
    <row r="83" spans="1:14" s="22" customFormat="1" x14ac:dyDescent="0.25">
      <c r="A83" s="43">
        <f t="shared" si="1"/>
        <v>73</v>
      </c>
      <c r="B83" s="104">
        <v>1030671534</v>
      </c>
      <c r="C83" s="44" t="s">
        <v>54</v>
      </c>
      <c r="D83" s="35">
        <v>1.35</v>
      </c>
      <c r="E83" s="39" t="s">
        <v>14</v>
      </c>
      <c r="F83" s="36">
        <v>200</v>
      </c>
      <c r="G83" s="36">
        <f>F83*0.225</f>
        <v>45</v>
      </c>
      <c r="H83" s="86">
        <v>4605025027597</v>
      </c>
      <c r="I83" s="82">
        <v>14605025027594</v>
      </c>
      <c r="J83" s="71" t="s">
        <v>198</v>
      </c>
      <c r="K83" s="73">
        <v>135</v>
      </c>
      <c r="L83" s="71"/>
      <c r="N83" s="21"/>
    </row>
    <row r="84" spans="1:14" s="29" customFormat="1" ht="15" customHeight="1" x14ac:dyDescent="0.25">
      <c r="A84" s="43">
        <f t="shared" si="1"/>
        <v>74</v>
      </c>
      <c r="B84" s="104">
        <v>1030640320</v>
      </c>
      <c r="C84" s="44" t="s">
        <v>93</v>
      </c>
      <c r="D84" s="35">
        <v>2.7</v>
      </c>
      <c r="E84" s="39" t="s">
        <v>13</v>
      </c>
      <c r="F84" s="36">
        <v>0</v>
      </c>
      <c r="G84" s="36">
        <f>F84*1</f>
        <v>0</v>
      </c>
      <c r="H84" s="127">
        <v>2324850</v>
      </c>
      <c r="I84" s="128">
        <v>94605025027576</v>
      </c>
      <c r="J84" s="71" t="s">
        <v>198</v>
      </c>
      <c r="K84" s="73">
        <v>150</v>
      </c>
      <c r="L84" s="76"/>
      <c r="N84" s="21"/>
    </row>
    <row r="85" spans="1:14" s="29" customFormat="1" ht="15" customHeight="1" x14ac:dyDescent="0.25">
      <c r="A85" s="43">
        <f t="shared" si="1"/>
        <v>75</v>
      </c>
      <c r="B85" s="104">
        <v>1030688228</v>
      </c>
      <c r="C85" s="44" t="s">
        <v>125</v>
      </c>
      <c r="D85" s="35">
        <v>1.2</v>
      </c>
      <c r="E85" s="39" t="s">
        <v>14</v>
      </c>
      <c r="F85" s="36">
        <v>0</v>
      </c>
      <c r="G85" s="36">
        <f>F85*0.2</f>
        <v>0</v>
      </c>
      <c r="H85" s="86">
        <v>4605025056016</v>
      </c>
      <c r="I85" s="82">
        <v>14605025056013</v>
      </c>
      <c r="J85" s="84" t="s">
        <v>192</v>
      </c>
      <c r="K85" s="73">
        <v>90</v>
      </c>
      <c r="L85" s="76"/>
      <c r="N85" s="21"/>
    </row>
    <row r="86" spans="1:14" s="21" customFormat="1" x14ac:dyDescent="0.25">
      <c r="A86" s="43">
        <f t="shared" si="1"/>
        <v>76</v>
      </c>
      <c r="B86" s="107">
        <v>1030636019</v>
      </c>
      <c r="C86" s="44" t="s">
        <v>56</v>
      </c>
      <c r="D86" s="35">
        <v>1.5</v>
      </c>
      <c r="E86" s="39" t="s">
        <v>14</v>
      </c>
      <c r="F86" s="36">
        <v>0</v>
      </c>
      <c r="G86" s="36">
        <f>F86*0.25</f>
        <v>0</v>
      </c>
      <c r="H86" s="86">
        <v>4605025026521</v>
      </c>
      <c r="I86" s="82">
        <v>14605025026528</v>
      </c>
      <c r="J86" s="71" t="s">
        <v>198</v>
      </c>
      <c r="K86" s="73">
        <v>120</v>
      </c>
      <c r="L86" s="73"/>
    </row>
    <row r="87" spans="1:14" s="21" customFormat="1" x14ac:dyDescent="0.25">
      <c r="A87" s="43">
        <f t="shared" si="1"/>
        <v>77</v>
      </c>
      <c r="B87" s="107">
        <v>1030636520</v>
      </c>
      <c r="C87" s="44" t="s">
        <v>57</v>
      </c>
      <c r="D87" s="35">
        <v>3</v>
      </c>
      <c r="E87" s="39" t="s">
        <v>13</v>
      </c>
      <c r="F87" s="36">
        <v>0</v>
      </c>
      <c r="G87" s="36">
        <f>F87*1</f>
        <v>0</v>
      </c>
      <c r="H87" s="86">
        <v>2324808</v>
      </c>
      <c r="I87" s="82">
        <v>94605025026586</v>
      </c>
      <c r="J87" s="71" t="s">
        <v>198</v>
      </c>
      <c r="K87" s="73">
        <v>150</v>
      </c>
      <c r="L87" s="73"/>
    </row>
    <row r="88" spans="1:14" s="21" customFormat="1" x14ac:dyDescent="0.25">
      <c r="A88" s="43">
        <f t="shared" si="1"/>
        <v>78</v>
      </c>
      <c r="B88" s="104">
        <v>1030688634</v>
      </c>
      <c r="C88" s="44" t="s">
        <v>117</v>
      </c>
      <c r="D88" s="35">
        <v>1.35</v>
      </c>
      <c r="E88" s="39" t="s">
        <v>14</v>
      </c>
      <c r="F88" s="36">
        <v>200</v>
      </c>
      <c r="G88" s="36">
        <f>F88*0.225</f>
        <v>45</v>
      </c>
      <c r="H88" s="86">
        <v>4605025057921</v>
      </c>
      <c r="I88" s="82">
        <v>14605025057928</v>
      </c>
      <c r="J88" s="71" t="s">
        <v>198</v>
      </c>
      <c r="K88" s="73">
        <v>135</v>
      </c>
      <c r="L88" s="73"/>
    </row>
    <row r="89" spans="1:14" s="21" customFormat="1" x14ac:dyDescent="0.25">
      <c r="A89" s="43">
        <f t="shared" si="1"/>
        <v>79</v>
      </c>
      <c r="B89" s="104">
        <v>1030670704</v>
      </c>
      <c r="C89" s="44" t="s">
        <v>59</v>
      </c>
      <c r="D89" s="35">
        <v>3</v>
      </c>
      <c r="E89" s="39" t="s">
        <v>13</v>
      </c>
      <c r="F89" s="36">
        <v>0</v>
      </c>
      <c r="G89" s="36">
        <f>F89*1</f>
        <v>0</v>
      </c>
      <c r="H89" s="86">
        <v>2325343</v>
      </c>
      <c r="I89" s="82">
        <v>94605025037346</v>
      </c>
      <c r="J89" s="84" t="s">
        <v>192</v>
      </c>
      <c r="K89" s="73">
        <v>150</v>
      </c>
      <c r="L89" s="73"/>
    </row>
    <row r="90" spans="1:14" s="21" customFormat="1" x14ac:dyDescent="0.25">
      <c r="A90" s="43">
        <f t="shared" si="1"/>
        <v>80</v>
      </c>
      <c r="B90" s="103">
        <v>1031302048</v>
      </c>
      <c r="C90" s="48" t="s">
        <v>47</v>
      </c>
      <c r="D90" s="37">
        <v>0.7</v>
      </c>
      <c r="E90" s="39" t="s">
        <v>14</v>
      </c>
      <c r="F90" s="36">
        <v>0</v>
      </c>
      <c r="G90" s="36">
        <f>F90*0.07</f>
        <v>0</v>
      </c>
      <c r="H90" s="86">
        <v>4605025034793</v>
      </c>
      <c r="I90" s="82">
        <v>14605025034790</v>
      </c>
      <c r="J90" s="71" t="s">
        <v>192</v>
      </c>
      <c r="K90" s="73">
        <v>90</v>
      </c>
      <c r="L90" s="71"/>
    </row>
    <row r="91" spans="1:14" s="21" customFormat="1" x14ac:dyDescent="0.25">
      <c r="A91" s="43">
        <f t="shared" si="1"/>
        <v>81</v>
      </c>
      <c r="B91" s="103">
        <v>1031302148</v>
      </c>
      <c r="C91" s="45" t="s">
        <v>112</v>
      </c>
      <c r="D91" s="37">
        <v>0.7</v>
      </c>
      <c r="E91" s="39" t="s">
        <v>14</v>
      </c>
      <c r="F91" s="36">
        <v>0</v>
      </c>
      <c r="G91" s="36">
        <f>F91*0.07</f>
        <v>0</v>
      </c>
      <c r="H91" s="86">
        <v>4605025034069</v>
      </c>
      <c r="I91" s="82">
        <v>14605025034066</v>
      </c>
      <c r="J91" s="71" t="s">
        <v>192</v>
      </c>
      <c r="K91" s="73">
        <v>90</v>
      </c>
      <c r="L91" s="71"/>
    </row>
    <row r="92" spans="1:14" s="21" customFormat="1" x14ac:dyDescent="0.25">
      <c r="A92" s="43">
        <f t="shared" si="1"/>
        <v>82</v>
      </c>
      <c r="B92" s="104">
        <v>1031301504</v>
      </c>
      <c r="C92" s="44" t="s">
        <v>98</v>
      </c>
      <c r="D92" s="37">
        <v>0.7</v>
      </c>
      <c r="E92" s="39" t="s">
        <v>14</v>
      </c>
      <c r="F92" s="36">
        <v>0</v>
      </c>
      <c r="G92" s="36">
        <f>F92*0.07</f>
        <v>0</v>
      </c>
      <c r="H92" s="86">
        <v>4605025041609</v>
      </c>
      <c r="I92" s="82">
        <v>14605025041606</v>
      </c>
      <c r="J92" s="71" t="s">
        <v>192</v>
      </c>
      <c r="K92" s="73">
        <v>90</v>
      </c>
      <c r="L92" s="71"/>
    </row>
    <row r="93" spans="1:14" s="29" customFormat="1" x14ac:dyDescent="0.25">
      <c r="A93" s="43">
        <f t="shared" si="1"/>
        <v>83</v>
      </c>
      <c r="B93" s="105">
        <v>1030689334</v>
      </c>
      <c r="C93" s="44" t="s">
        <v>124</v>
      </c>
      <c r="D93" s="38">
        <v>1.35</v>
      </c>
      <c r="E93" s="32" t="s">
        <v>14</v>
      </c>
      <c r="F93" s="36">
        <v>0</v>
      </c>
      <c r="G93" s="36">
        <f>F93*0.225</f>
        <v>0</v>
      </c>
      <c r="H93" s="86">
        <v>4605025059901</v>
      </c>
      <c r="I93" s="82">
        <v>14605025059908</v>
      </c>
      <c r="J93" s="71" t="s">
        <v>198</v>
      </c>
      <c r="K93" s="73">
        <v>135</v>
      </c>
      <c r="L93" s="76" t="s">
        <v>111</v>
      </c>
      <c r="N93" s="21"/>
    </row>
    <row r="94" spans="1:14" s="22" customFormat="1" x14ac:dyDescent="0.25">
      <c r="A94" s="43">
        <f t="shared" si="1"/>
        <v>84</v>
      </c>
      <c r="B94" s="104">
        <v>1030235455</v>
      </c>
      <c r="C94" s="44" t="s">
        <v>60</v>
      </c>
      <c r="D94" s="35">
        <v>6</v>
      </c>
      <c r="E94" s="39" t="s">
        <v>13</v>
      </c>
      <c r="F94" s="36">
        <v>0</v>
      </c>
      <c r="G94" s="36">
        <f>F94*1</f>
        <v>0</v>
      </c>
      <c r="H94" s="126">
        <v>2326758</v>
      </c>
      <c r="I94" s="82">
        <v>94605025058006</v>
      </c>
      <c r="J94" s="71" t="s">
        <v>192</v>
      </c>
      <c r="K94" s="73">
        <v>31</v>
      </c>
      <c r="L94" s="71"/>
      <c r="N94" s="21"/>
    </row>
    <row r="95" spans="1:14" s="21" customFormat="1" x14ac:dyDescent="0.25">
      <c r="A95" s="43">
        <f t="shared" si="1"/>
        <v>85</v>
      </c>
      <c r="B95" s="105">
        <v>1030230771</v>
      </c>
      <c r="C95" s="44" t="s">
        <v>99</v>
      </c>
      <c r="D95" s="34">
        <v>1.8</v>
      </c>
      <c r="E95" s="34" t="s">
        <v>14</v>
      </c>
      <c r="F95" s="36">
        <v>0</v>
      </c>
      <c r="G95" s="36">
        <f>F95*0.3</f>
        <v>0</v>
      </c>
      <c r="H95" s="86">
        <v>4605025046956</v>
      </c>
      <c r="I95" s="82">
        <v>14605025046953</v>
      </c>
      <c r="J95" s="83" t="s">
        <v>194</v>
      </c>
      <c r="K95" s="73">
        <v>31</v>
      </c>
      <c r="L95" s="73"/>
    </row>
    <row r="96" spans="1:14" s="21" customFormat="1" x14ac:dyDescent="0.25">
      <c r="A96" s="43">
        <f t="shared" si="1"/>
        <v>86</v>
      </c>
      <c r="B96" s="105">
        <v>1030231003</v>
      </c>
      <c r="C96" s="44" t="s">
        <v>103</v>
      </c>
      <c r="D96" s="34">
        <v>1.3440000000000001</v>
      </c>
      <c r="E96" s="34" t="s">
        <v>14</v>
      </c>
      <c r="F96" s="36">
        <v>0</v>
      </c>
      <c r="G96" s="36">
        <f>F96*0.336</f>
        <v>0</v>
      </c>
      <c r="H96" s="86">
        <v>4605025048028</v>
      </c>
      <c r="I96" s="82">
        <v>14605025048025</v>
      </c>
      <c r="J96" s="71" t="s">
        <v>192</v>
      </c>
      <c r="K96" s="73">
        <v>31</v>
      </c>
      <c r="L96" s="73"/>
    </row>
    <row r="97" spans="1:14" s="21" customFormat="1" x14ac:dyDescent="0.25">
      <c r="A97" s="43">
        <f t="shared" si="1"/>
        <v>87</v>
      </c>
      <c r="B97" s="107">
        <v>1030228316</v>
      </c>
      <c r="C97" s="44" t="s">
        <v>61</v>
      </c>
      <c r="D97" s="35">
        <v>5</v>
      </c>
      <c r="E97" s="39" t="s">
        <v>13</v>
      </c>
      <c r="F97" s="36">
        <v>50</v>
      </c>
      <c r="G97" s="36">
        <f>F97*1</f>
        <v>50</v>
      </c>
      <c r="H97" s="86">
        <v>2122188</v>
      </c>
      <c r="I97" s="82">
        <v>94605025007394</v>
      </c>
      <c r="J97" s="71" t="s">
        <v>192</v>
      </c>
      <c r="K97" s="73">
        <v>35</v>
      </c>
      <c r="L97" s="73"/>
    </row>
    <row r="98" spans="1:14" s="21" customFormat="1" x14ac:dyDescent="0.25">
      <c r="A98" s="43">
        <f t="shared" si="1"/>
        <v>88</v>
      </c>
      <c r="B98" s="106">
        <v>1030233855</v>
      </c>
      <c r="C98" s="44" t="s">
        <v>119</v>
      </c>
      <c r="D98" s="35">
        <v>6</v>
      </c>
      <c r="E98" s="39" t="s">
        <v>13</v>
      </c>
      <c r="F98" s="36">
        <v>0</v>
      </c>
      <c r="G98" s="36">
        <f>F98*1</f>
        <v>0</v>
      </c>
      <c r="H98" s="86">
        <v>2326565</v>
      </c>
      <c r="I98" s="82">
        <v>94605025054022</v>
      </c>
      <c r="J98" s="71" t="s">
        <v>192</v>
      </c>
      <c r="K98" s="73">
        <v>30</v>
      </c>
      <c r="L98" s="73"/>
    </row>
    <row r="99" spans="1:14" s="42" customFormat="1" x14ac:dyDescent="0.25">
      <c r="A99" s="43">
        <f t="shared" si="1"/>
        <v>89</v>
      </c>
      <c r="B99" s="106">
        <v>1030234120</v>
      </c>
      <c r="C99" s="44" t="s">
        <v>62</v>
      </c>
      <c r="D99" s="37">
        <v>1.6</v>
      </c>
      <c r="E99" s="40" t="s">
        <v>14</v>
      </c>
      <c r="F99" s="36">
        <v>0</v>
      </c>
      <c r="G99" s="36">
        <f>F99*0.4</f>
        <v>0</v>
      </c>
      <c r="H99" s="86">
        <v>4605025027726</v>
      </c>
      <c r="I99" s="82">
        <v>14605025027723</v>
      </c>
      <c r="J99" s="71" t="s">
        <v>192</v>
      </c>
      <c r="K99" s="73">
        <v>41</v>
      </c>
      <c r="L99" s="74"/>
      <c r="N99" s="21"/>
    </row>
    <row r="100" spans="1:14" s="21" customFormat="1" x14ac:dyDescent="0.25">
      <c r="A100" s="43">
        <f t="shared" si="1"/>
        <v>90</v>
      </c>
      <c r="B100" s="104">
        <v>1030207903</v>
      </c>
      <c r="C100" s="44" t="s">
        <v>63</v>
      </c>
      <c r="D100" s="35">
        <v>2</v>
      </c>
      <c r="E100" s="39" t="s">
        <v>14</v>
      </c>
      <c r="F100" s="36">
        <v>0</v>
      </c>
      <c r="G100" s="36">
        <f>F100*0.5</f>
        <v>0</v>
      </c>
      <c r="H100" s="86">
        <v>4610009512815</v>
      </c>
      <c r="I100" s="82">
        <v>14605025017847</v>
      </c>
      <c r="J100" s="71" t="s">
        <v>192</v>
      </c>
      <c r="K100" s="73">
        <v>25</v>
      </c>
      <c r="L100" s="73"/>
    </row>
    <row r="101" spans="1:14" s="21" customFormat="1" x14ac:dyDescent="0.25">
      <c r="A101" s="43">
        <f t="shared" si="1"/>
        <v>91</v>
      </c>
      <c r="B101" s="105">
        <v>1030211055</v>
      </c>
      <c r="C101" s="44" t="s">
        <v>64</v>
      </c>
      <c r="D101" s="35">
        <v>6</v>
      </c>
      <c r="E101" s="39" t="s">
        <v>13</v>
      </c>
      <c r="F101" s="36">
        <v>0</v>
      </c>
      <c r="G101" s="36">
        <f>F101*1</f>
        <v>0</v>
      </c>
      <c r="H101" s="86">
        <v>2324451</v>
      </c>
      <c r="I101" s="82">
        <v>94605025017492</v>
      </c>
      <c r="J101" s="71" t="s">
        <v>192</v>
      </c>
      <c r="K101" s="73">
        <v>30</v>
      </c>
      <c r="L101" s="73"/>
    </row>
    <row r="102" spans="1:14" s="21" customFormat="1" x14ac:dyDescent="0.25">
      <c r="A102" s="43">
        <f t="shared" si="1"/>
        <v>92</v>
      </c>
      <c r="B102" s="109">
        <v>1030228620</v>
      </c>
      <c r="C102" s="44" t="s">
        <v>66</v>
      </c>
      <c r="D102" s="35">
        <v>1.8</v>
      </c>
      <c r="E102" s="39" t="s">
        <v>14</v>
      </c>
      <c r="F102" s="36">
        <v>0</v>
      </c>
      <c r="G102" s="36">
        <f>F102*0.45</f>
        <v>0</v>
      </c>
      <c r="H102" s="86">
        <v>4605025026507</v>
      </c>
      <c r="I102" s="82">
        <v>14605025026504</v>
      </c>
      <c r="J102" s="71" t="s">
        <v>192</v>
      </c>
      <c r="K102" s="73">
        <v>31</v>
      </c>
      <c r="L102" s="73"/>
    </row>
    <row r="103" spans="1:14" s="21" customFormat="1" x14ac:dyDescent="0.25">
      <c r="A103" s="43">
        <f t="shared" si="1"/>
        <v>93</v>
      </c>
      <c r="B103" s="110">
        <v>1030229055</v>
      </c>
      <c r="C103" s="44" t="s">
        <v>65</v>
      </c>
      <c r="D103" s="35">
        <v>6</v>
      </c>
      <c r="E103" s="39" t="s">
        <v>13</v>
      </c>
      <c r="F103" s="36">
        <v>0</v>
      </c>
      <c r="G103" s="36">
        <f>F103*1</f>
        <v>0</v>
      </c>
      <c r="H103" s="86">
        <v>2324445</v>
      </c>
      <c r="I103" s="82">
        <v>94605025017430</v>
      </c>
      <c r="J103" s="71" t="s">
        <v>192</v>
      </c>
      <c r="K103" s="73">
        <v>31</v>
      </c>
      <c r="L103" s="73"/>
    </row>
    <row r="104" spans="1:14" s="21" customFormat="1" x14ac:dyDescent="0.25">
      <c r="A104" s="43">
        <f t="shared" si="1"/>
        <v>94</v>
      </c>
      <c r="B104" s="109">
        <v>1030228716</v>
      </c>
      <c r="C104" s="44" t="s">
        <v>88</v>
      </c>
      <c r="D104" s="35">
        <v>2.6</v>
      </c>
      <c r="E104" s="39" t="s">
        <v>14</v>
      </c>
      <c r="F104" s="36">
        <v>0</v>
      </c>
      <c r="G104" s="36">
        <f>F104*0.65</f>
        <v>0</v>
      </c>
      <c r="H104" s="86">
        <v>4607089699888</v>
      </c>
      <c r="I104" s="82">
        <v>14605025025286</v>
      </c>
      <c r="J104" s="71" t="s">
        <v>192</v>
      </c>
      <c r="K104" s="73">
        <v>31</v>
      </c>
      <c r="L104" s="73"/>
    </row>
    <row r="105" spans="1:14" x14ac:dyDescent="0.25">
      <c r="A105" s="43">
        <f t="shared" si="1"/>
        <v>95</v>
      </c>
      <c r="B105" s="104">
        <v>1030231903</v>
      </c>
      <c r="C105" s="44" t="s">
        <v>104</v>
      </c>
      <c r="D105" s="35">
        <v>1.6</v>
      </c>
      <c r="E105" s="39" t="s">
        <v>14</v>
      </c>
      <c r="F105" s="36">
        <v>0</v>
      </c>
      <c r="G105" s="36">
        <f>F105*0.4</f>
        <v>0</v>
      </c>
      <c r="H105" s="86">
        <v>4605025048967</v>
      </c>
      <c r="I105" s="82">
        <v>14605025048964</v>
      </c>
      <c r="J105" s="71" t="s">
        <v>192</v>
      </c>
      <c r="K105" s="73">
        <v>31</v>
      </c>
      <c r="L105" s="56"/>
      <c r="N105" s="21"/>
    </row>
    <row r="106" spans="1:14" x14ac:dyDescent="0.25">
      <c r="A106" s="43">
        <f t="shared" si="1"/>
        <v>96</v>
      </c>
      <c r="B106" s="104">
        <v>1030229205</v>
      </c>
      <c r="C106" s="44" t="s">
        <v>89</v>
      </c>
      <c r="D106" s="35">
        <v>3.2</v>
      </c>
      <c r="E106" s="39" t="s">
        <v>14</v>
      </c>
      <c r="F106" s="36">
        <v>0</v>
      </c>
      <c r="G106" s="36">
        <f>F106*0.4</f>
        <v>0</v>
      </c>
      <c r="H106" s="86">
        <v>4605025041951</v>
      </c>
      <c r="I106" s="82">
        <v>14605025041958</v>
      </c>
      <c r="J106" s="71" t="s">
        <v>192</v>
      </c>
      <c r="K106" s="73">
        <v>31</v>
      </c>
      <c r="L106" s="56"/>
      <c r="N106" s="21"/>
    </row>
    <row r="107" spans="1:14" ht="16.5" customHeight="1" x14ac:dyDescent="0.25">
      <c r="A107" s="43">
        <f t="shared" si="1"/>
        <v>97</v>
      </c>
      <c r="B107" s="106">
        <v>1030235655</v>
      </c>
      <c r="C107" s="44" t="s">
        <v>120</v>
      </c>
      <c r="D107" s="35">
        <v>6</v>
      </c>
      <c r="E107" s="39" t="s">
        <v>13</v>
      </c>
      <c r="F107" s="36">
        <v>0</v>
      </c>
      <c r="G107" s="36">
        <f>F107*1</f>
        <v>0</v>
      </c>
      <c r="H107" s="86">
        <v>2326887</v>
      </c>
      <c r="I107" s="82">
        <v>94605025058488</v>
      </c>
      <c r="J107" s="71" t="s">
        <v>192</v>
      </c>
      <c r="K107" s="73">
        <v>30</v>
      </c>
      <c r="L107" s="56"/>
      <c r="N107" s="21"/>
    </row>
    <row r="108" spans="1:14" ht="16.5" customHeight="1" x14ac:dyDescent="0.25">
      <c r="A108" s="43">
        <f t="shared" si="1"/>
        <v>98</v>
      </c>
      <c r="B108" s="104">
        <v>1030227903</v>
      </c>
      <c r="C108" s="44" t="s">
        <v>83</v>
      </c>
      <c r="D108" s="35">
        <v>1.6</v>
      </c>
      <c r="E108" s="39" t="s">
        <v>14</v>
      </c>
      <c r="F108" s="36">
        <v>0</v>
      </c>
      <c r="G108" s="36">
        <f>F108*0.4</f>
        <v>0</v>
      </c>
      <c r="H108" s="86">
        <v>4605025039095</v>
      </c>
      <c r="I108" s="82">
        <v>14605025039092</v>
      </c>
      <c r="J108" s="71" t="s">
        <v>192</v>
      </c>
      <c r="K108" s="73">
        <v>30</v>
      </c>
      <c r="L108" s="56"/>
      <c r="N108" s="21"/>
    </row>
    <row r="109" spans="1:14" x14ac:dyDescent="0.25">
      <c r="A109" s="43">
        <f t="shared" si="1"/>
        <v>99</v>
      </c>
      <c r="B109" s="104">
        <v>1030212603</v>
      </c>
      <c r="C109" s="44" t="s">
        <v>67</v>
      </c>
      <c r="D109" s="35">
        <v>1.8</v>
      </c>
      <c r="E109" s="39" t="s">
        <v>14</v>
      </c>
      <c r="F109" s="36">
        <v>100</v>
      </c>
      <c r="G109" s="36">
        <f>F109*0.45</f>
        <v>45</v>
      </c>
      <c r="H109" s="86">
        <v>4605025026491</v>
      </c>
      <c r="I109" s="82">
        <v>14605025026498</v>
      </c>
      <c r="J109" s="71" t="s">
        <v>192</v>
      </c>
      <c r="K109" s="73">
        <v>30</v>
      </c>
      <c r="L109" s="56"/>
      <c r="N109" s="21"/>
    </row>
    <row r="110" spans="1:14" x14ac:dyDescent="0.25">
      <c r="A110" s="43">
        <f t="shared" si="1"/>
        <v>100</v>
      </c>
      <c r="B110" s="105">
        <v>1030228855</v>
      </c>
      <c r="C110" s="44" t="s">
        <v>68</v>
      </c>
      <c r="D110" s="35">
        <v>6</v>
      </c>
      <c r="E110" s="39" t="s">
        <v>13</v>
      </c>
      <c r="F110" s="36">
        <v>60</v>
      </c>
      <c r="G110" s="36">
        <f>F110*1</f>
        <v>60</v>
      </c>
      <c r="H110" s="86">
        <v>2324468</v>
      </c>
      <c r="I110" s="82">
        <v>94605025017461</v>
      </c>
      <c r="J110" s="71" t="s">
        <v>192</v>
      </c>
      <c r="K110" s="73">
        <v>31</v>
      </c>
      <c r="L110" s="56"/>
      <c r="N110" s="21"/>
    </row>
    <row r="111" spans="1:14" s="23" customFormat="1" x14ac:dyDescent="0.25">
      <c r="A111" s="43">
        <f t="shared" si="1"/>
        <v>101</v>
      </c>
      <c r="B111" s="107">
        <v>1030228916</v>
      </c>
      <c r="C111" s="44" t="s">
        <v>86</v>
      </c>
      <c r="D111" s="35">
        <v>2.6</v>
      </c>
      <c r="E111" s="39" t="s">
        <v>14</v>
      </c>
      <c r="F111" s="36">
        <v>0</v>
      </c>
      <c r="G111" s="36">
        <f>F111*0.65</f>
        <v>0</v>
      </c>
      <c r="H111" s="86">
        <v>4610009510026</v>
      </c>
      <c r="I111" s="82">
        <v>14605025017946</v>
      </c>
      <c r="J111" s="71" t="s">
        <v>192</v>
      </c>
      <c r="K111" s="73">
        <v>31</v>
      </c>
      <c r="L111" s="77"/>
      <c r="N111" s="21"/>
    </row>
    <row r="112" spans="1:14" s="23" customFormat="1" x14ac:dyDescent="0.25">
      <c r="A112" s="43">
        <f t="shared" si="1"/>
        <v>102</v>
      </c>
      <c r="B112" s="107">
        <v>1030203205</v>
      </c>
      <c r="C112" s="44" t="s">
        <v>69</v>
      </c>
      <c r="D112" s="35">
        <v>2.5</v>
      </c>
      <c r="E112" s="39" t="s">
        <v>13</v>
      </c>
      <c r="F112" s="36">
        <v>0</v>
      </c>
      <c r="G112" s="36">
        <f>F112*1</f>
        <v>0</v>
      </c>
      <c r="H112" s="86">
        <v>2119227</v>
      </c>
      <c r="I112" s="82">
        <v>94605025007523</v>
      </c>
      <c r="J112" s="71" t="s">
        <v>192</v>
      </c>
      <c r="K112" s="73">
        <v>30</v>
      </c>
      <c r="L112" s="77"/>
      <c r="N112" s="21"/>
    </row>
    <row r="113" spans="1:14" s="23" customFormat="1" x14ac:dyDescent="0.25">
      <c r="A113" s="43">
        <f t="shared" si="1"/>
        <v>103</v>
      </c>
      <c r="B113" s="107">
        <v>1030232736</v>
      </c>
      <c r="C113" s="44" t="s">
        <v>127</v>
      </c>
      <c r="D113" s="35">
        <v>1.44</v>
      </c>
      <c r="E113" s="39" t="s">
        <v>14</v>
      </c>
      <c r="F113" s="36">
        <v>0</v>
      </c>
      <c r="G113" s="36">
        <f>F113*0.24</f>
        <v>0</v>
      </c>
      <c r="H113" s="86">
        <v>4605025051196</v>
      </c>
      <c r="I113" s="82">
        <v>14605025051193</v>
      </c>
      <c r="J113" s="71" t="s">
        <v>192</v>
      </c>
      <c r="K113" s="73">
        <v>31</v>
      </c>
      <c r="L113" s="77" t="s">
        <v>126</v>
      </c>
      <c r="N113" s="21"/>
    </row>
    <row r="114" spans="1:14" s="23" customFormat="1" x14ac:dyDescent="0.25">
      <c r="A114" s="43">
        <f t="shared" si="1"/>
        <v>104</v>
      </c>
      <c r="B114" s="104">
        <v>1030234503</v>
      </c>
      <c r="C114" s="44" t="s">
        <v>109</v>
      </c>
      <c r="D114" s="35">
        <v>2.16</v>
      </c>
      <c r="E114" s="34" t="s">
        <v>14</v>
      </c>
      <c r="F114" s="36">
        <v>0</v>
      </c>
      <c r="G114" s="36">
        <f>F114*0.27</f>
        <v>0</v>
      </c>
      <c r="H114" s="86">
        <v>4605025051196</v>
      </c>
      <c r="I114" s="82">
        <v>14605025051193</v>
      </c>
      <c r="J114" s="71" t="s">
        <v>192</v>
      </c>
      <c r="K114" s="73">
        <v>31</v>
      </c>
      <c r="L114" s="77"/>
      <c r="N114" s="21"/>
    </row>
    <row r="115" spans="1:14" s="23" customFormat="1" x14ac:dyDescent="0.25">
      <c r="A115" s="43">
        <f t="shared" si="1"/>
        <v>105</v>
      </c>
      <c r="B115" s="104">
        <v>1031000837</v>
      </c>
      <c r="C115" s="44" t="s">
        <v>70</v>
      </c>
      <c r="D115" s="35">
        <v>2</v>
      </c>
      <c r="E115" s="39" t="s">
        <v>14</v>
      </c>
      <c r="F115" s="36">
        <v>0</v>
      </c>
      <c r="G115" s="36">
        <f>F115*0.4</f>
        <v>0</v>
      </c>
      <c r="H115" s="86">
        <v>4605025032782</v>
      </c>
      <c r="I115" s="82">
        <v>14605025032789</v>
      </c>
      <c r="J115" s="71" t="s">
        <v>197</v>
      </c>
      <c r="K115" s="73">
        <v>40</v>
      </c>
      <c r="L115" s="77"/>
      <c r="N115" s="21"/>
    </row>
    <row r="116" spans="1:14" s="23" customFormat="1" x14ac:dyDescent="0.25">
      <c r="A116" s="43">
        <f t="shared" si="1"/>
        <v>106</v>
      </c>
      <c r="B116" s="102">
        <v>1030661973</v>
      </c>
      <c r="C116" s="44" t="s">
        <v>81</v>
      </c>
      <c r="D116" s="34">
        <v>7</v>
      </c>
      <c r="E116" s="34" t="s">
        <v>13</v>
      </c>
      <c r="F116" s="36">
        <v>0</v>
      </c>
      <c r="G116" s="36">
        <f>F116*7</f>
        <v>0</v>
      </c>
      <c r="H116" s="86">
        <v>2800879</v>
      </c>
      <c r="I116" s="128">
        <v>94605025038565</v>
      </c>
      <c r="J116" s="84" t="s">
        <v>201</v>
      </c>
      <c r="K116" s="73">
        <v>180</v>
      </c>
      <c r="L116" s="123" t="s">
        <v>208</v>
      </c>
      <c r="N116" s="21"/>
    </row>
    <row r="117" spans="1:14" x14ac:dyDescent="0.25">
      <c r="A117" s="43">
        <f t="shared" si="1"/>
        <v>107</v>
      </c>
      <c r="B117" s="111">
        <v>1030742971</v>
      </c>
      <c r="C117" s="51" t="s">
        <v>129</v>
      </c>
      <c r="D117" s="53">
        <v>4.05</v>
      </c>
      <c r="E117" s="54" t="s">
        <v>130</v>
      </c>
      <c r="F117" s="36">
        <v>0</v>
      </c>
      <c r="G117" s="36">
        <f>F117*1</f>
        <v>0</v>
      </c>
      <c r="H117" s="86">
        <v>2352931</v>
      </c>
      <c r="I117" s="82">
        <v>94605025059010</v>
      </c>
      <c r="J117" s="71" t="s">
        <v>196</v>
      </c>
      <c r="K117" s="73">
        <v>31</v>
      </c>
      <c r="L117" s="56" t="s">
        <v>190</v>
      </c>
      <c r="N117" s="21"/>
    </row>
    <row r="118" spans="1:14" x14ac:dyDescent="0.25">
      <c r="A118" s="43">
        <f t="shared" si="1"/>
        <v>108</v>
      </c>
      <c r="B118" s="111">
        <v>1030817371</v>
      </c>
      <c r="C118" s="51" t="s">
        <v>131</v>
      </c>
      <c r="D118" s="53">
        <v>4</v>
      </c>
      <c r="E118" s="54" t="s">
        <v>132</v>
      </c>
      <c r="F118" s="36">
        <v>0</v>
      </c>
      <c r="G118" s="36">
        <f>F118*0.4</f>
        <v>0</v>
      </c>
      <c r="H118" s="126">
        <v>4610085211268</v>
      </c>
      <c r="I118" s="128">
        <v>14610085211265</v>
      </c>
      <c r="J118" s="84" t="s">
        <v>196</v>
      </c>
      <c r="K118" s="73">
        <v>65</v>
      </c>
      <c r="L118" s="56" t="s">
        <v>190</v>
      </c>
      <c r="N118" s="21"/>
    </row>
    <row r="119" spans="1:14" x14ac:dyDescent="0.25">
      <c r="A119" s="43">
        <f t="shared" si="1"/>
        <v>109</v>
      </c>
      <c r="B119" s="112">
        <v>1030743597</v>
      </c>
      <c r="C119" s="52" t="s">
        <v>133</v>
      </c>
      <c r="D119" s="53">
        <v>3</v>
      </c>
      <c r="E119" s="54" t="s">
        <v>130</v>
      </c>
      <c r="F119" s="36">
        <v>0</v>
      </c>
      <c r="G119" s="36">
        <f>F119*1</f>
        <v>0</v>
      </c>
      <c r="H119" s="86">
        <v>2353057</v>
      </c>
      <c r="I119" s="82">
        <v>94605025059751</v>
      </c>
      <c r="J119" s="71" t="s">
        <v>196</v>
      </c>
      <c r="K119" s="73">
        <v>31</v>
      </c>
      <c r="L119" s="56"/>
      <c r="N119" s="21"/>
    </row>
    <row r="120" spans="1:14" x14ac:dyDescent="0.25">
      <c r="A120" s="43">
        <f t="shared" si="1"/>
        <v>110</v>
      </c>
      <c r="B120" s="111">
        <v>1030732671</v>
      </c>
      <c r="C120" s="51" t="s">
        <v>134</v>
      </c>
      <c r="D120" s="53">
        <v>4.4000000000000004</v>
      </c>
      <c r="E120" s="54" t="s">
        <v>130</v>
      </c>
      <c r="F120" s="36">
        <v>0</v>
      </c>
      <c r="G120" s="36">
        <f>F120*1</f>
        <v>0</v>
      </c>
      <c r="H120" s="86">
        <v>2301037</v>
      </c>
      <c r="I120" s="82">
        <v>94605025050314</v>
      </c>
      <c r="J120" s="71" t="s">
        <v>196</v>
      </c>
      <c r="K120" s="73">
        <v>31</v>
      </c>
      <c r="L120" s="56" t="s">
        <v>190</v>
      </c>
      <c r="N120" s="21"/>
    </row>
    <row r="121" spans="1:14" x14ac:dyDescent="0.25">
      <c r="A121" s="43">
        <f t="shared" si="1"/>
        <v>111</v>
      </c>
      <c r="B121" s="111">
        <v>1030743771</v>
      </c>
      <c r="C121" s="51" t="s">
        <v>158</v>
      </c>
      <c r="D121" s="53">
        <v>3</v>
      </c>
      <c r="E121" s="54" t="s">
        <v>130</v>
      </c>
      <c r="F121" s="36">
        <v>0</v>
      </c>
      <c r="G121" s="36">
        <f>F121*1</f>
        <v>0</v>
      </c>
      <c r="H121" s="86">
        <v>2353047</v>
      </c>
      <c r="I121" s="82">
        <v>94605025060528</v>
      </c>
      <c r="J121" s="71" t="s">
        <v>196</v>
      </c>
      <c r="K121" s="73">
        <v>31</v>
      </c>
      <c r="L121" s="56" t="s">
        <v>190</v>
      </c>
      <c r="N121" s="21"/>
    </row>
    <row r="122" spans="1:14" x14ac:dyDescent="0.25">
      <c r="A122" s="43">
        <f t="shared" si="1"/>
        <v>112</v>
      </c>
      <c r="B122" s="111">
        <v>1030730329</v>
      </c>
      <c r="C122" s="51" t="s">
        <v>135</v>
      </c>
      <c r="D122" s="53">
        <v>3</v>
      </c>
      <c r="E122" s="54" t="s">
        <v>130</v>
      </c>
      <c r="F122" s="36">
        <v>0</v>
      </c>
      <c r="G122" s="36">
        <f>F122*1</f>
        <v>0</v>
      </c>
      <c r="H122" s="86">
        <v>2301038</v>
      </c>
      <c r="I122" s="82">
        <v>94605025050444</v>
      </c>
      <c r="J122" s="71" t="s">
        <v>196</v>
      </c>
      <c r="K122" s="73">
        <v>35</v>
      </c>
      <c r="L122" s="56" t="s">
        <v>190</v>
      </c>
      <c r="N122" s="21"/>
    </row>
    <row r="123" spans="1:14" x14ac:dyDescent="0.25">
      <c r="A123" s="43">
        <f t="shared" si="1"/>
        <v>113</v>
      </c>
      <c r="B123" s="111">
        <v>1030132371</v>
      </c>
      <c r="C123" s="51" t="s">
        <v>136</v>
      </c>
      <c r="D123" s="53">
        <v>4</v>
      </c>
      <c r="E123" s="54" t="s">
        <v>132</v>
      </c>
      <c r="F123" s="36">
        <v>0</v>
      </c>
      <c r="G123" s="36">
        <f>F123*0.4</f>
        <v>0</v>
      </c>
      <c r="H123" s="86">
        <v>4607074652904</v>
      </c>
      <c r="I123" s="82">
        <v>14607074652901</v>
      </c>
      <c r="J123" s="83" t="s">
        <v>196</v>
      </c>
      <c r="K123" s="73">
        <v>65</v>
      </c>
      <c r="L123" s="56" t="s">
        <v>190</v>
      </c>
      <c r="N123" s="21"/>
    </row>
    <row r="124" spans="1:14" x14ac:dyDescent="0.25">
      <c r="A124" s="43">
        <f t="shared" si="1"/>
        <v>114</v>
      </c>
      <c r="B124" s="111">
        <v>1030132487</v>
      </c>
      <c r="C124" s="51" t="s">
        <v>137</v>
      </c>
      <c r="D124" s="53">
        <v>8</v>
      </c>
      <c r="E124" s="54" t="s">
        <v>132</v>
      </c>
      <c r="F124" s="36">
        <v>0</v>
      </c>
      <c r="G124" s="36">
        <f>F124*1</f>
        <v>0</v>
      </c>
      <c r="H124" s="86">
        <v>4607074652928</v>
      </c>
      <c r="I124" s="82">
        <v>14607074652925</v>
      </c>
      <c r="J124" s="83" t="s">
        <v>196</v>
      </c>
      <c r="K124" s="73">
        <v>65</v>
      </c>
      <c r="L124" s="56" t="s">
        <v>190</v>
      </c>
      <c r="N124" s="21"/>
    </row>
    <row r="125" spans="1:14" x14ac:dyDescent="0.25">
      <c r="A125" s="43">
        <f t="shared" si="1"/>
        <v>115</v>
      </c>
      <c r="B125" s="113">
        <v>1030132597</v>
      </c>
      <c r="C125" s="52" t="s">
        <v>138</v>
      </c>
      <c r="D125" s="53">
        <v>2.4</v>
      </c>
      <c r="E125" s="54" t="s">
        <v>132</v>
      </c>
      <c r="F125" s="36">
        <v>0</v>
      </c>
      <c r="G125" s="36">
        <f>F125*0.4</f>
        <v>0</v>
      </c>
      <c r="H125" s="86">
        <v>4605025060457</v>
      </c>
      <c r="I125" s="82">
        <v>14605025060454</v>
      </c>
      <c r="J125" s="83" t="s">
        <v>196</v>
      </c>
      <c r="K125" s="73">
        <v>75</v>
      </c>
      <c r="L125" s="56" t="s">
        <v>190</v>
      </c>
      <c r="N125" s="21"/>
    </row>
    <row r="126" spans="1:14" x14ac:dyDescent="0.25">
      <c r="A126" s="43">
        <f t="shared" si="1"/>
        <v>116</v>
      </c>
      <c r="B126" s="114">
        <v>1030518197</v>
      </c>
      <c r="C126" s="52" t="s">
        <v>139</v>
      </c>
      <c r="D126" s="53">
        <v>2.4</v>
      </c>
      <c r="E126" s="54" t="s">
        <v>132</v>
      </c>
      <c r="F126" s="36">
        <v>60</v>
      </c>
      <c r="G126" s="36">
        <f>F126*0.4</f>
        <v>24</v>
      </c>
      <c r="H126" s="86">
        <v>4605025060440</v>
      </c>
      <c r="I126" s="82">
        <v>14605025060447</v>
      </c>
      <c r="J126" s="71" t="s">
        <v>196</v>
      </c>
      <c r="K126" s="73">
        <v>60</v>
      </c>
      <c r="L126" s="56" t="s">
        <v>190</v>
      </c>
      <c r="N126" s="21"/>
    </row>
    <row r="127" spans="1:14" x14ac:dyDescent="0.25">
      <c r="A127" s="43">
        <f t="shared" si="1"/>
        <v>117</v>
      </c>
      <c r="B127" s="111">
        <v>1030517871</v>
      </c>
      <c r="C127" s="51" t="s">
        <v>140</v>
      </c>
      <c r="D127" s="53">
        <v>4</v>
      </c>
      <c r="E127" s="54" t="s">
        <v>132</v>
      </c>
      <c r="F127" s="36">
        <v>0</v>
      </c>
      <c r="G127" s="36">
        <f>F127*0.4</f>
        <v>0</v>
      </c>
      <c r="H127" s="86">
        <v>4605025058980</v>
      </c>
      <c r="I127" s="82">
        <v>14605025058987</v>
      </c>
      <c r="J127" s="71" t="s">
        <v>196</v>
      </c>
      <c r="K127" s="73">
        <v>60</v>
      </c>
      <c r="L127" s="56" t="s">
        <v>190</v>
      </c>
      <c r="N127" s="21"/>
    </row>
    <row r="128" spans="1:14" x14ac:dyDescent="0.25">
      <c r="A128" s="43">
        <f t="shared" si="1"/>
        <v>118</v>
      </c>
      <c r="B128" s="111">
        <v>1030727671</v>
      </c>
      <c r="C128" s="51" t="s">
        <v>141</v>
      </c>
      <c r="D128" s="53">
        <v>4.8</v>
      </c>
      <c r="E128" s="54" t="s">
        <v>130</v>
      </c>
      <c r="F128" s="36">
        <v>0</v>
      </c>
      <c r="G128" s="36">
        <f>F128*1</f>
        <v>0</v>
      </c>
      <c r="H128" s="86">
        <v>2301122</v>
      </c>
      <c r="I128" s="82">
        <v>94605025050437</v>
      </c>
      <c r="J128" s="71" t="s">
        <v>196</v>
      </c>
      <c r="K128" s="73">
        <v>40</v>
      </c>
      <c r="L128" s="56" t="s">
        <v>190</v>
      </c>
      <c r="N128" s="21"/>
    </row>
    <row r="129" spans="1:14" x14ac:dyDescent="0.25">
      <c r="A129" s="43">
        <f t="shared" si="1"/>
        <v>119</v>
      </c>
      <c r="B129" s="112">
        <v>1030236957</v>
      </c>
      <c r="C129" s="69" t="s">
        <v>142</v>
      </c>
      <c r="D129" s="53">
        <v>2.1</v>
      </c>
      <c r="E129" s="54" t="s">
        <v>132</v>
      </c>
      <c r="F129" s="36">
        <v>0</v>
      </c>
      <c r="G129" s="36">
        <f>F129*0.35</f>
        <v>0</v>
      </c>
      <c r="H129" s="86">
        <v>4605025060518</v>
      </c>
      <c r="I129" s="82">
        <v>4605025060518</v>
      </c>
      <c r="J129" s="71" t="s">
        <v>196</v>
      </c>
      <c r="K129" s="73">
        <v>31</v>
      </c>
      <c r="L129" s="56" t="s">
        <v>190</v>
      </c>
      <c r="N129" s="21"/>
    </row>
    <row r="130" spans="1:14" x14ac:dyDescent="0.25">
      <c r="A130" s="43">
        <f t="shared" si="1"/>
        <v>120</v>
      </c>
      <c r="B130" s="111">
        <v>1030235987</v>
      </c>
      <c r="C130" s="51" t="s">
        <v>143</v>
      </c>
      <c r="D130" s="53">
        <v>8</v>
      </c>
      <c r="E130" s="54" t="s">
        <v>132</v>
      </c>
      <c r="F130" s="36">
        <v>0</v>
      </c>
      <c r="G130" s="36">
        <f>F130*1</f>
        <v>0</v>
      </c>
      <c r="H130" s="86">
        <v>4607074654380</v>
      </c>
      <c r="I130" s="82">
        <v>14607074654387</v>
      </c>
      <c r="J130" s="71" t="s">
        <v>196</v>
      </c>
      <c r="K130" s="73">
        <v>31</v>
      </c>
      <c r="L130" s="56" t="s">
        <v>190</v>
      </c>
      <c r="N130" s="21"/>
    </row>
    <row r="131" spans="1:14" x14ac:dyDescent="0.25">
      <c r="A131" s="43">
        <f t="shared" si="1"/>
        <v>121</v>
      </c>
      <c r="B131" s="111">
        <v>1030629220</v>
      </c>
      <c r="C131" s="49" t="s">
        <v>144</v>
      </c>
      <c r="D131" s="55">
        <v>2.7</v>
      </c>
      <c r="E131" s="55" t="s">
        <v>13</v>
      </c>
      <c r="F131" s="36">
        <v>0</v>
      </c>
      <c r="G131" s="36">
        <f>F131*1</f>
        <v>0</v>
      </c>
      <c r="H131" s="86">
        <v>2327161</v>
      </c>
      <c r="I131" s="82">
        <v>94605025062980</v>
      </c>
      <c r="J131" s="71" t="s">
        <v>198</v>
      </c>
      <c r="K131" s="73">
        <v>150</v>
      </c>
      <c r="L131" s="56"/>
      <c r="N131" s="21"/>
    </row>
    <row r="132" spans="1:14" x14ac:dyDescent="0.25">
      <c r="A132" s="43">
        <f t="shared" si="1"/>
        <v>122</v>
      </c>
      <c r="B132" s="115">
        <v>1030518463</v>
      </c>
      <c r="C132" s="56" t="s">
        <v>145</v>
      </c>
      <c r="D132" s="55">
        <v>1.75</v>
      </c>
      <c r="E132" s="57" t="s">
        <v>14</v>
      </c>
      <c r="F132" s="36">
        <v>0</v>
      </c>
      <c r="G132" s="36">
        <f>F132*0.35</f>
        <v>0</v>
      </c>
      <c r="H132" s="86">
        <v>4605025062826</v>
      </c>
      <c r="I132" s="82">
        <v>14605025062823</v>
      </c>
      <c r="J132" s="71" t="s">
        <v>197</v>
      </c>
      <c r="K132" s="73">
        <v>45</v>
      </c>
      <c r="L132" s="56"/>
      <c r="N132" s="21"/>
    </row>
    <row r="133" spans="1:14" x14ac:dyDescent="0.25">
      <c r="A133" s="43">
        <f t="shared" si="1"/>
        <v>123</v>
      </c>
      <c r="B133" s="115">
        <v>1030130002</v>
      </c>
      <c r="C133" s="58" t="s">
        <v>146</v>
      </c>
      <c r="D133" s="55">
        <v>12</v>
      </c>
      <c r="E133" s="57" t="s">
        <v>13</v>
      </c>
      <c r="F133" s="36">
        <v>0</v>
      </c>
      <c r="G133" s="36">
        <f>F133*1</f>
        <v>0</v>
      </c>
      <c r="H133" s="86">
        <v>2327156</v>
      </c>
      <c r="I133" s="82">
        <v>94605025062850</v>
      </c>
      <c r="J133" s="71" t="s">
        <v>193</v>
      </c>
      <c r="K133" s="73">
        <v>75</v>
      </c>
      <c r="L133" s="56"/>
      <c r="N133" s="21"/>
    </row>
    <row r="134" spans="1:14" x14ac:dyDescent="0.25">
      <c r="A134" s="43">
        <f t="shared" si="1"/>
        <v>124</v>
      </c>
      <c r="B134" s="115">
        <v>1030744105</v>
      </c>
      <c r="C134" s="58" t="s">
        <v>147</v>
      </c>
      <c r="D134" s="55">
        <v>4.5</v>
      </c>
      <c r="E134" s="57" t="s">
        <v>13</v>
      </c>
      <c r="F134" s="36">
        <v>0</v>
      </c>
      <c r="G134" s="36">
        <f>F134*1</f>
        <v>0</v>
      </c>
      <c r="H134" s="86">
        <v>2327158</v>
      </c>
      <c r="I134" s="82">
        <v>94605025062898</v>
      </c>
      <c r="J134" s="71" t="s">
        <v>192</v>
      </c>
      <c r="K134" s="73">
        <v>60</v>
      </c>
      <c r="L134" s="56"/>
      <c r="N134" s="21"/>
    </row>
    <row r="135" spans="1:14" x14ac:dyDescent="0.25">
      <c r="A135" s="43">
        <f t="shared" si="1"/>
        <v>125</v>
      </c>
      <c r="B135" s="115">
        <v>1030744204</v>
      </c>
      <c r="C135" s="58" t="s">
        <v>148</v>
      </c>
      <c r="D135" s="55">
        <v>2.1</v>
      </c>
      <c r="E135" s="57" t="s">
        <v>13</v>
      </c>
      <c r="F135" s="36">
        <v>0</v>
      </c>
      <c r="G135" s="36">
        <f>F135*1</f>
        <v>0</v>
      </c>
      <c r="H135" s="86">
        <v>2327152</v>
      </c>
      <c r="I135" s="82">
        <v>94605025062904</v>
      </c>
      <c r="J135" s="71" t="s">
        <v>192</v>
      </c>
      <c r="K135" s="73">
        <v>60</v>
      </c>
      <c r="L135" s="56"/>
      <c r="N135" s="21"/>
    </row>
    <row r="136" spans="1:14" x14ac:dyDescent="0.25">
      <c r="A136" s="43">
        <f t="shared" si="1"/>
        <v>126</v>
      </c>
      <c r="B136" s="115">
        <v>1030744304</v>
      </c>
      <c r="C136" s="58" t="s">
        <v>149</v>
      </c>
      <c r="D136" s="55">
        <v>2.1</v>
      </c>
      <c r="E136" s="57" t="s">
        <v>13</v>
      </c>
      <c r="F136" s="36">
        <v>0</v>
      </c>
      <c r="G136" s="36">
        <f>F136*1</f>
        <v>0</v>
      </c>
      <c r="H136" s="86">
        <v>2327148</v>
      </c>
      <c r="I136" s="82">
        <v>94605025062911</v>
      </c>
      <c r="J136" s="71" t="s">
        <v>192</v>
      </c>
      <c r="K136" s="73">
        <v>60</v>
      </c>
      <c r="L136" s="56"/>
      <c r="N136" s="21"/>
    </row>
    <row r="137" spans="1:14" x14ac:dyDescent="0.25">
      <c r="A137" s="43">
        <f t="shared" si="1"/>
        <v>127</v>
      </c>
      <c r="B137" s="116">
        <v>1030814815</v>
      </c>
      <c r="C137" s="59" t="s">
        <v>150</v>
      </c>
      <c r="D137" s="55">
        <v>2.4</v>
      </c>
      <c r="E137" s="57" t="s">
        <v>14</v>
      </c>
      <c r="F137" s="36">
        <v>0</v>
      </c>
      <c r="G137" s="36">
        <f>F137*0.4</f>
        <v>0</v>
      </c>
      <c r="H137" s="86">
        <v>4605025055996</v>
      </c>
      <c r="I137" s="82">
        <v>14605025055993</v>
      </c>
      <c r="J137" s="71" t="s">
        <v>192</v>
      </c>
      <c r="K137" s="73">
        <v>31</v>
      </c>
      <c r="L137" s="56"/>
      <c r="N137" s="21"/>
    </row>
    <row r="138" spans="1:14" x14ac:dyDescent="0.25">
      <c r="A138" s="43">
        <f t="shared" si="1"/>
        <v>128</v>
      </c>
      <c r="B138" s="115">
        <v>1030720718</v>
      </c>
      <c r="C138" s="61" t="s">
        <v>152</v>
      </c>
      <c r="D138" s="55">
        <v>21</v>
      </c>
      <c r="E138" s="57" t="s">
        <v>14</v>
      </c>
      <c r="F138" s="36">
        <v>0</v>
      </c>
      <c r="G138" s="36">
        <f>F138*0.5</f>
        <v>0</v>
      </c>
      <c r="H138" s="86">
        <v>4605025038876</v>
      </c>
      <c r="I138" s="82">
        <v>14605025038873</v>
      </c>
      <c r="J138" s="71" t="s">
        <v>192</v>
      </c>
      <c r="K138" s="73">
        <v>90</v>
      </c>
      <c r="L138" s="56"/>
      <c r="N138" s="21"/>
    </row>
    <row r="139" spans="1:14" x14ac:dyDescent="0.25">
      <c r="A139" s="43">
        <f t="shared" si="1"/>
        <v>129</v>
      </c>
      <c r="B139" s="115">
        <v>1030707697</v>
      </c>
      <c r="C139" s="56" t="s">
        <v>153</v>
      </c>
      <c r="D139" s="55">
        <v>6</v>
      </c>
      <c r="E139" s="57" t="s">
        <v>14</v>
      </c>
      <c r="F139" s="36">
        <v>60</v>
      </c>
      <c r="G139" s="36">
        <f>F139*0.4</f>
        <v>24</v>
      </c>
      <c r="H139" s="86">
        <v>4605025065162</v>
      </c>
      <c r="I139" s="82">
        <v>14605025065169</v>
      </c>
      <c r="J139" s="71" t="s">
        <v>196</v>
      </c>
      <c r="K139" s="73">
        <v>40</v>
      </c>
      <c r="L139" s="56"/>
      <c r="N139" s="21"/>
    </row>
    <row r="140" spans="1:14" x14ac:dyDescent="0.25">
      <c r="A140" s="43">
        <f t="shared" si="1"/>
        <v>130</v>
      </c>
      <c r="B140" s="115">
        <v>1030650228</v>
      </c>
      <c r="C140" s="62" t="s">
        <v>48</v>
      </c>
      <c r="D140" s="55">
        <v>12</v>
      </c>
      <c r="E140" s="57" t="s">
        <v>14</v>
      </c>
      <c r="F140" s="36">
        <v>0</v>
      </c>
      <c r="G140" s="36">
        <f>F140*0.1</f>
        <v>0</v>
      </c>
      <c r="H140" s="86">
        <v>4605025024176</v>
      </c>
      <c r="I140" s="82">
        <v>14605025024173</v>
      </c>
      <c r="J140" s="71" t="s">
        <v>192</v>
      </c>
      <c r="K140" s="73">
        <v>90</v>
      </c>
      <c r="L140" s="56"/>
      <c r="N140" s="21"/>
    </row>
    <row r="141" spans="1:14" x14ac:dyDescent="0.25">
      <c r="A141" s="43">
        <f t="shared" si="1"/>
        <v>131</v>
      </c>
      <c r="B141" s="115">
        <v>1030650628</v>
      </c>
      <c r="C141" s="62" t="s">
        <v>53</v>
      </c>
      <c r="D141" s="55">
        <v>12</v>
      </c>
      <c r="E141" s="57" t="s">
        <v>14</v>
      </c>
      <c r="F141" s="36">
        <v>0</v>
      </c>
      <c r="G141" s="36">
        <f>F141*0.085</f>
        <v>0</v>
      </c>
      <c r="H141" s="86">
        <v>4605025027580</v>
      </c>
      <c r="I141" s="82">
        <v>14605025027587</v>
      </c>
      <c r="J141" s="71" t="s">
        <v>192</v>
      </c>
      <c r="K141" s="73">
        <v>90</v>
      </c>
      <c r="L141" s="56"/>
      <c r="N141" s="21"/>
    </row>
    <row r="142" spans="1:14" x14ac:dyDescent="0.25">
      <c r="A142" s="43">
        <f t="shared" ref="A142:A183" si="2">A141+1</f>
        <v>132</v>
      </c>
      <c r="B142" s="115">
        <v>1030650028</v>
      </c>
      <c r="C142" s="62" t="s">
        <v>49</v>
      </c>
      <c r="D142" s="55">
        <v>12</v>
      </c>
      <c r="E142" s="57" t="s">
        <v>14</v>
      </c>
      <c r="F142" s="36">
        <v>0</v>
      </c>
      <c r="G142" s="36">
        <f>F142*0.1</f>
        <v>0</v>
      </c>
      <c r="H142" s="86">
        <v>4610009512037</v>
      </c>
      <c r="I142" s="82">
        <v>14605025018097</v>
      </c>
      <c r="J142" s="84" t="s">
        <v>192</v>
      </c>
      <c r="K142" s="73">
        <v>90</v>
      </c>
      <c r="L142" s="56"/>
      <c r="N142" s="21"/>
    </row>
    <row r="143" spans="1:14" x14ac:dyDescent="0.25">
      <c r="A143" s="43">
        <f t="shared" si="2"/>
        <v>133</v>
      </c>
      <c r="B143" s="115">
        <v>1030719928</v>
      </c>
      <c r="C143" s="63" t="s">
        <v>154</v>
      </c>
      <c r="D143" s="60">
        <v>10</v>
      </c>
      <c r="E143" s="64" t="s">
        <v>14</v>
      </c>
      <c r="F143" s="36">
        <v>0</v>
      </c>
      <c r="G143" s="36">
        <f>F143*0.085</f>
        <v>0</v>
      </c>
      <c r="H143" s="86">
        <v>4605025038210</v>
      </c>
      <c r="I143" s="82">
        <v>14605025038217</v>
      </c>
      <c r="J143" s="71" t="s">
        <v>192</v>
      </c>
      <c r="K143" s="73">
        <v>60</v>
      </c>
      <c r="L143" s="56"/>
      <c r="N143" s="21"/>
    </row>
    <row r="144" spans="1:14" x14ac:dyDescent="0.25">
      <c r="A144" s="43">
        <f t="shared" si="2"/>
        <v>134</v>
      </c>
      <c r="B144" s="115">
        <v>1030683928</v>
      </c>
      <c r="C144" s="63" t="s">
        <v>155</v>
      </c>
      <c r="D144" s="55">
        <v>10</v>
      </c>
      <c r="E144" s="57" t="s">
        <v>14</v>
      </c>
      <c r="F144" s="36">
        <v>100</v>
      </c>
      <c r="G144" s="36">
        <f>F144*0.085</f>
        <v>8.5</v>
      </c>
      <c r="H144" s="86">
        <v>4605025048974</v>
      </c>
      <c r="I144" s="82">
        <v>14605025048971</v>
      </c>
      <c r="J144" s="71" t="s">
        <v>192</v>
      </c>
      <c r="K144" s="73">
        <v>90</v>
      </c>
      <c r="L144" s="56"/>
      <c r="N144" s="21"/>
    </row>
    <row r="145" spans="1:14" x14ac:dyDescent="0.25">
      <c r="A145" s="43">
        <f t="shared" si="2"/>
        <v>135</v>
      </c>
      <c r="B145" s="115">
        <v>1030650128</v>
      </c>
      <c r="C145" s="63" t="s">
        <v>55</v>
      </c>
      <c r="D145" s="55">
        <v>12</v>
      </c>
      <c r="E145" s="57" t="s">
        <v>14</v>
      </c>
      <c r="F145" s="36">
        <v>0</v>
      </c>
      <c r="G145" s="36">
        <f>F145*0.1</f>
        <v>0</v>
      </c>
      <c r="H145" s="86">
        <v>4607089692728</v>
      </c>
      <c r="I145" s="82">
        <v>14605025017984</v>
      </c>
      <c r="J145" s="71" t="s">
        <v>192</v>
      </c>
      <c r="K145" s="73">
        <v>90</v>
      </c>
      <c r="L145" s="56"/>
      <c r="N145" s="21"/>
    </row>
    <row r="146" spans="1:14" x14ac:dyDescent="0.25">
      <c r="A146" s="43">
        <f t="shared" si="2"/>
        <v>136</v>
      </c>
      <c r="B146" s="115">
        <v>1030670928</v>
      </c>
      <c r="C146" s="63" t="s">
        <v>58</v>
      </c>
      <c r="D146" s="55">
        <v>12</v>
      </c>
      <c r="E146" s="57" t="s">
        <v>14</v>
      </c>
      <c r="F146" s="36">
        <v>0</v>
      </c>
      <c r="G146" s="36">
        <f>F146*0.085</f>
        <v>0</v>
      </c>
      <c r="H146" s="86">
        <v>4605025037367</v>
      </c>
      <c r="I146" s="82">
        <v>14605025037364</v>
      </c>
      <c r="J146" s="71" t="s">
        <v>192</v>
      </c>
      <c r="K146" s="73">
        <v>90</v>
      </c>
      <c r="L146" s="56"/>
      <c r="N146" s="21"/>
    </row>
    <row r="147" spans="1:14" x14ac:dyDescent="0.25">
      <c r="A147" s="43">
        <f t="shared" si="2"/>
        <v>137</v>
      </c>
      <c r="B147" s="115">
        <v>1030657628</v>
      </c>
      <c r="C147" s="66" t="s">
        <v>50</v>
      </c>
      <c r="D147" s="65">
        <v>12</v>
      </c>
      <c r="E147" s="65" t="s">
        <v>14</v>
      </c>
      <c r="F147" s="36">
        <v>0</v>
      </c>
      <c r="G147" s="36">
        <f>F147*0.085</f>
        <v>0</v>
      </c>
      <c r="H147" s="86">
        <v>4605025033192</v>
      </c>
      <c r="I147" s="82">
        <v>14605025033199</v>
      </c>
      <c r="J147" s="71" t="s">
        <v>192</v>
      </c>
      <c r="K147" s="73">
        <v>90</v>
      </c>
      <c r="L147" s="56"/>
      <c r="N147" s="21"/>
    </row>
    <row r="148" spans="1:14" x14ac:dyDescent="0.25">
      <c r="A148" s="43">
        <f t="shared" si="2"/>
        <v>138</v>
      </c>
      <c r="B148" s="115">
        <v>1030680328</v>
      </c>
      <c r="C148" s="66" t="s">
        <v>97</v>
      </c>
      <c r="D148" s="65">
        <v>10</v>
      </c>
      <c r="E148" s="65" t="s">
        <v>14</v>
      </c>
      <c r="F148" s="36">
        <v>100</v>
      </c>
      <c r="G148" s="36">
        <f>F148*0.085</f>
        <v>8.5</v>
      </c>
      <c r="H148" s="86">
        <v>4605025044822</v>
      </c>
      <c r="I148" s="82">
        <v>14605025044829</v>
      </c>
      <c r="J148" s="71" t="s">
        <v>192</v>
      </c>
      <c r="K148" s="73">
        <v>90</v>
      </c>
      <c r="L148" s="56"/>
      <c r="N148" s="21"/>
    </row>
    <row r="149" spans="1:14" x14ac:dyDescent="0.25">
      <c r="A149" s="43">
        <f t="shared" si="2"/>
        <v>139</v>
      </c>
      <c r="B149" s="115">
        <v>1030689928</v>
      </c>
      <c r="C149" s="61" t="s">
        <v>159</v>
      </c>
      <c r="D149" s="55">
        <v>12</v>
      </c>
      <c r="E149" s="57" t="s">
        <v>14</v>
      </c>
      <c r="F149" s="36">
        <v>0</v>
      </c>
      <c r="G149" s="36">
        <f>F149*0.085</f>
        <v>0</v>
      </c>
      <c r="H149" s="86">
        <v>4605025061591</v>
      </c>
      <c r="I149" s="82">
        <v>14605025061598</v>
      </c>
      <c r="J149" s="71" t="s">
        <v>192</v>
      </c>
      <c r="K149" s="73">
        <v>90</v>
      </c>
      <c r="L149" s="56"/>
      <c r="N149" s="21"/>
    </row>
    <row r="150" spans="1:14" x14ac:dyDescent="0.25">
      <c r="A150" s="43">
        <f t="shared" si="2"/>
        <v>140</v>
      </c>
      <c r="B150" s="115">
        <v>1030515525</v>
      </c>
      <c r="C150" s="63" t="s">
        <v>160</v>
      </c>
      <c r="D150" s="68">
        <v>34</v>
      </c>
      <c r="E150" s="68" t="s">
        <v>14</v>
      </c>
      <c r="F150" s="36">
        <v>0</v>
      </c>
      <c r="G150" s="36">
        <f>F150*0.35</f>
        <v>0</v>
      </c>
      <c r="H150" s="86">
        <v>4605025038708</v>
      </c>
      <c r="I150" s="82">
        <v>14605025038705</v>
      </c>
      <c r="J150" s="71" t="s">
        <v>197</v>
      </c>
      <c r="K150" s="73">
        <v>45</v>
      </c>
      <c r="L150" s="56"/>
      <c r="N150" s="21"/>
    </row>
    <row r="151" spans="1:14" x14ac:dyDescent="0.25">
      <c r="A151" s="43">
        <f t="shared" si="2"/>
        <v>141</v>
      </c>
      <c r="B151" s="115">
        <v>1030653928</v>
      </c>
      <c r="C151" s="63" t="s">
        <v>161</v>
      </c>
      <c r="D151" s="68">
        <v>12</v>
      </c>
      <c r="E151" s="68" t="s">
        <v>14</v>
      </c>
      <c r="F151" s="36">
        <v>0</v>
      </c>
      <c r="G151" s="36">
        <f>F151*0.085</f>
        <v>0</v>
      </c>
      <c r="H151" s="86">
        <v>4605025030566</v>
      </c>
      <c r="I151" s="82">
        <v>14605025030563</v>
      </c>
      <c r="J151" s="71" t="s">
        <v>192</v>
      </c>
      <c r="K151" s="73">
        <v>90</v>
      </c>
      <c r="L151" s="56"/>
      <c r="N151" s="21"/>
    </row>
    <row r="152" spans="1:14" x14ac:dyDescent="0.25">
      <c r="A152" s="43">
        <f t="shared" si="2"/>
        <v>142</v>
      </c>
      <c r="B152" s="115">
        <v>1030419435</v>
      </c>
      <c r="C152" s="75" t="s">
        <v>162</v>
      </c>
      <c r="D152" s="55">
        <v>6</v>
      </c>
      <c r="E152" s="57" t="s">
        <v>14</v>
      </c>
      <c r="F152" s="36">
        <v>120</v>
      </c>
      <c r="G152" s="36">
        <f>F152*0.3</f>
        <v>36</v>
      </c>
      <c r="H152" s="86">
        <v>4605025058874</v>
      </c>
      <c r="I152" s="82">
        <v>14605025058871</v>
      </c>
      <c r="J152" s="71" t="s">
        <v>192</v>
      </c>
      <c r="K152" s="73">
        <v>45</v>
      </c>
      <c r="L152" s="56" t="s">
        <v>205</v>
      </c>
      <c r="N152" s="21"/>
    </row>
    <row r="153" spans="1:14" x14ac:dyDescent="0.25">
      <c r="A153" s="43">
        <f t="shared" si="2"/>
        <v>143</v>
      </c>
      <c r="B153" s="117">
        <v>1030804515</v>
      </c>
      <c r="C153" s="61" t="s">
        <v>163</v>
      </c>
      <c r="D153" s="55">
        <v>6</v>
      </c>
      <c r="E153" s="57" t="s">
        <v>14</v>
      </c>
      <c r="F153" s="36">
        <v>0</v>
      </c>
      <c r="G153" s="36">
        <f>F153*0.35</f>
        <v>0</v>
      </c>
      <c r="H153" s="86">
        <v>4605025065278</v>
      </c>
      <c r="I153" s="82">
        <v>14605025065275</v>
      </c>
      <c r="J153" s="71" t="s">
        <v>192</v>
      </c>
      <c r="K153" s="73">
        <v>31</v>
      </c>
      <c r="L153" s="56"/>
      <c r="N153" s="21"/>
    </row>
    <row r="154" spans="1:14" x14ac:dyDescent="0.25">
      <c r="A154" s="43">
        <f t="shared" si="2"/>
        <v>144</v>
      </c>
      <c r="B154" s="117">
        <v>1030407328</v>
      </c>
      <c r="C154" s="61" t="s">
        <v>164</v>
      </c>
      <c r="D154" s="55">
        <v>12</v>
      </c>
      <c r="E154" s="57" t="s">
        <v>14</v>
      </c>
      <c r="F154" s="36">
        <v>0</v>
      </c>
      <c r="G154" s="36">
        <f>F154*0.1</f>
        <v>0</v>
      </c>
      <c r="H154" s="86">
        <v>4605025063373</v>
      </c>
      <c r="I154" s="82">
        <v>14605025063370</v>
      </c>
      <c r="J154" s="71" t="s">
        <v>192</v>
      </c>
      <c r="K154" s="73">
        <v>45</v>
      </c>
      <c r="L154" s="56"/>
      <c r="N154" s="21"/>
    </row>
    <row r="155" spans="1:14" x14ac:dyDescent="0.25">
      <c r="A155" s="43">
        <f t="shared" si="2"/>
        <v>145</v>
      </c>
      <c r="B155" s="115">
        <v>1030691842</v>
      </c>
      <c r="C155" s="61" t="s">
        <v>165</v>
      </c>
      <c r="D155" s="67">
        <v>10</v>
      </c>
      <c r="E155" s="67" t="s">
        <v>14</v>
      </c>
      <c r="F155" s="36">
        <v>0</v>
      </c>
      <c r="G155" s="36">
        <f>F155*0.09</f>
        <v>0</v>
      </c>
      <c r="H155" s="86">
        <v>4607025369875</v>
      </c>
      <c r="I155" s="82">
        <v>14607025369872</v>
      </c>
      <c r="J155" s="71" t="s">
        <v>194</v>
      </c>
      <c r="K155" s="73">
        <v>55</v>
      </c>
      <c r="L155" s="56"/>
      <c r="N155" s="21"/>
    </row>
    <row r="156" spans="1:14" x14ac:dyDescent="0.25">
      <c r="A156" s="43">
        <f t="shared" si="2"/>
        <v>146</v>
      </c>
      <c r="B156" s="115">
        <v>1030691928</v>
      </c>
      <c r="C156" s="61" t="s">
        <v>166</v>
      </c>
      <c r="D156" s="67">
        <v>12</v>
      </c>
      <c r="E156" s="67" t="s">
        <v>14</v>
      </c>
      <c r="F156" s="36">
        <v>0</v>
      </c>
      <c r="G156" s="36">
        <f>F156*0.085</f>
        <v>0</v>
      </c>
      <c r="H156" s="86">
        <v>4605025064806</v>
      </c>
      <c r="I156" s="82">
        <v>14605025064803</v>
      </c>
      <c r="J156" s="71" t="s">
        <v>192</v>
      </c>
      <c r="K156" s="73">
        <v>90</v>
      </c>
      <c r="L156" s="56"/>
      <c r="N156" s="21"/>
    </row>
    <row r="157" spans="1:14" x14ac:dyDescent="0.25">
      <c r="A157" s="43">
        <f t="shared" si="2"/>
        <v>147</v>
      </c>
      <c r="B157" s="115">
        <v>1030691620</v>
      </c>
      <c r="C157" s="61" t="s">
        <v>167</v>
      </c>
      <c r="D157" s="67">
        <v>6</v>
      </c>
      <c r="E157" s="67" t="s">
        <v>14</v>
      </c>
      <c r="F157" s="36">
        <v>0</v>
      </c>
      <c r="G157" s="36">
        <f>F157*0.5</f>
        <v>0</v>
      </c>
      <c r="H157" s="86">
        <v>4605025063168</v>
      </c>
      <c r="I157" s="82">
        <v>14605025063165</v>
      </c>
      <c r="J157" s="84" t="s">
        <v>198</v>
      </c>
      <c r="K157" s="73">
        <v>150</v>
      </c>
      <c r="L157" s="92" t="s">
        <v>111</v>
      </c>
      <c r="N157" s="21"/>
    </row>
    <row r="158" spans="1:14" x14ac:dyDescent="0.25">
      <c r="A158" s="43">
        <f t="shared" si="2"/>
        <v>148</v>
      </c>
      <c r="B158" s="115">
        <v>1030815602</v>
      </c>
      <c r="C158" s="61" t="s">
        <v>168</v>
      </c>
      <c r="D158" s="68">
        <v>10</v>
      </c>
      <c r="E158" s="68" t="s">
        <v>14</v>
      </c>
      <c r="F158" s="36">
        <v>0</v>
      </c>
      <c r="G158" s="36">
        <f>F158*0.9</f>
        <v>0</v>
      </c>
      <c r="H158" s="86">
        <v>4605025065186</v>
      </c>
      <c r="I158" s="82">
        <v>14605025065183</v>
      </c>
      <c r="J158" s="71" t="s">
        <v>192</v>
      </c>
      <c r="K158" s="73">
        <v>75</v>
      </c>
      <c r="L158" s="56"/>
      <c r="N158" s="21"/>
    </row>
    <row r="159" spans="1:14" x14ac:dyDescent="0.25">
      <c r="A159" s="43">
        <f t="shared" si="2"/>
        <v>149</v>
      </c>
      <c r="B159" s="106">
        <v>1030420241</v>
      </c>
      <c r="C159" s="61" t="s">
        <v>169</v>
      </c>
      <c r="D159" s="68">
        <v>10</v>
      </c>
      <c r="E159" s="68" t="s">
        <v>14</v>
      </c>
      <c r="F159" s="36">
        <v>0</v>
      </c>
      <c r="G159" s="36">
        <f>F159*0.6</f>
        <v>0</v>
      </c>
      <c r="H159" s="86">
        <v>4605025062840</v>
      </c>
      <c r="I159" s="82">
        <v>14605025062847</v>
      </c>
      <c r="J159" s="71" t="s">
        <v>192</v>
      </c>
      <c r="K159" s="73">
        <v>60</v>
      </c>
      <c r="L159" s="56"/>
      <c r="N159" s="21"/>
    </row>
    <row r="160" spans="1:14" x14ac:dyDescent="0.25">
      <c r="A160" s="43">
        <f t="shared" si="2"/>
        <v>150</v>
      </c>
      <c r="B160" s="115">
        <v>1030745515</v>
      </c>
      <c r="C160" s="61" t="s">
        <v>170</v>
      </c>
      <c r="D160" s="68">
        <v>5</v>
      </c>
      <c r="E160" s="68" t="s">
        <v>13</v>
      </c>
      <c r="F160" s="36">
        <v>0</v>
      </c>
      <c r="G160" s="36">
        <f>F160*1</f>
        <v>0</v>
      </c>
      <c r="H160" s="86">
        <v>2353421</v>
      </c>
      <c r="I160" s="82">
        <v>94605025066926</v>
      </c>
      <c r="J160" s="71" t="s">
        <v>196</v>
      </c>
      <c r="K160" s="73">
        <v>35</v>
      </c>
      <c r="L160" s="56" t="s">
        <v>190</v>
      </c>
      <c r="N160" s="21"/>
    </row>
    <row r="161" spans="1:14" x14ac:dyDescent="0.25">
      <c r="A161" s="43">
        <f t="shared" si="2"/>
        <v>151</v>
      </c>
      <c r="B161" s="115">
        <v>1030745671</v>
      </c>
      <c r="C161" s="61" t="s">
        <v>171</v>
      </c>
      <c r="D161" s="68">
        <v>5</v>
      </c>
      <c r="E161" s="68" t="s">
        <v>13</v>
      </c>
      <c r="F161" s="36">
        <v>0</v>
      </c>
      <c r="G161" s="36">
        <f>F161*1</f>
        <v>0</v>
      </c>
      <c r="H161" s="86">
        <v>2353422</v>
      </c>
      <c r="I161" s="82">
        <v>94605025066919</v>
      </c>
      <c r="J161" s="71" t="s">
        <v>196</v>
      </c>
      <c r="K161" s="73">
        <v>35</v>
      </c>
      <c r="L161" s="56"/>
      <c r="N161" s="21"/>
    </row>
    <row r="162" spans="1:14" x14ac:dyDescent="0.25">
      <c r="A162" s="43">
        <f t="shared" si="2"/>
        <v>152</v>
      </c>
      <c r="B162" s="106">
        <v>1030132255</v>
      </c>
      <c r="C162" s="61" t="s">
        <v>156</v>
      </c>
      <c r="D162" s="68">
        <v>6</v>
      </c>
      <c r="E162" s="68" t="s">
        <v>14</v>
      </c>
      <c r="F162" s="36">
        <v>0</v>
      </c>
      <c r="G162" s="36">
        <f>F162*0.09</f>
        <v>0</v>
      </c>
      <c r="H162" s="86">
        <v>4605025063267</v>
      </c>
      <c r="I162" s="82">
        <v>14605025063264</v>
      </c>
      <c r="J162" s="71" t="s">
        <v>194</v>
      </c>
      <c r="K162" s="73">
        <v>35</v>
      </c>
      <c r="L162" s="56"/>
      <c r="N162" s="21"/>
    </row>
    <row r="163" spans="1:14" x14ac:dyDescent="0.25">
      <c r="A163" s="43">
        <f t="shared" si="2"/>
        <v>153</v>
      </c>
      <c r="B163" s="115">
        <v>1030816755</v>
      </c>
      <c r="C163" s="61" t="s">
        <v>157</v>
      </c>
      <c r="D163" s="68">
        <v>6</v>
      </c>
      <c r="E163" s="68" t="s">
        <v>14</v>
      </c>
      <c r="F163" s="36">
        <v>0</v>
      </c>
      <c r="G163" s="36">
        <f>F163*0.09</f>
        <v>0</v>
      </c>
      <c r="H163" s="86">
        <v>4605025063250</v>
      </c>
      <c r="I163" s="82">
        <v>14605025063257</v>
      </c>
      <c r="J163" s="71" t="s">
        <v>194</v>
      </c>
      <c r="K163" s="73">
        <v>35</v>
      </c>
      <c r="L163" s="56"/>
      <c r="N163" s="21"/>
    </row>
    <row r="164" spans="1:14" x14ac:dyDescent="0.25">
      <c r="A164" s="43">
        <f t="shared" si="2"/>
        <v>154</v>
      </c>
      <c r="B164" s="115">
        <v>1030816133</v>
      </c>
      <c r="C164" s="61" t="s">
        <v>151</v>
      </c>
      <c r="D164" s="68">
        <v>10</v>
      </c>
      <c r="E164" s="68" t="s">
        <v>14</v>
      </c>
      <c r="F164" s="36">
        <v>0</v>
      </c>
      <c r="G164" s="36">
        <f>F164*0.1</f>
        <v>0</v>
      </c>
      <c r="H164" s="86">
        <v>4605025062963</v>
      </c>
      <c r="I164" s="82">
        <v>4605025062963</v>
      </c>
      <c r="J164" s="84" t="s">
        <v>194</v>
      </c>
      <c r="K164" s="73">
        <v>35</v>
      </c>
      <c r="L164" s="56"/>
      <c r="N164" s="21"/>
    </row>
    <row r="165" spans="1:14" x14ac:dyDescent="0.25">
      <c r="A165" s="43">
        <f t="shared" si="2"/>
        <v>155</v>
      </c>
      <c r="B165" s="115">
        <v>1030214428</v>
      </c>
      <c r="C165" s="61" t="s">
        <v>172</v>
      </c>
      <c r="D165" s="68">
        <v>6</v>
      </c>
      <c r="E165" s="68" t="s">
        <v>14</v>
      </c>
      <c r="F165" s="36">
        <v>0</v>
      </c>
      <c r="G165" s="36">
        <f>F165*0.3</f>
        <v>0</v>
      </c>
      <c r="H165" s="86">
        <v>4605025066824</v>
      </c>
      <c r="I165" s="82">
        <v>14605025066821</v>
      </c>
      <c r="J165" s="71" t="s">
        <v>192</v>
      </c>
      <c r="K165" s="73">
        <v>31</v>
      </c>
      <c r="L165" s="56"/>
      <c r="N165" s="21"/>
    </row>
    <row r="166" spans="1:14" x14ac:dyDescent="0.25">
      <c r="A166" s="43">
        <f t="shared" si="2"/>
        <v>156</v>
      </c>
      <c r="B166" s="115">
        <v>1030691204</v>
      </c>
      <c r="C166" s="61" t="s">
        <v>173</v>
      </c>
      <c r="D166" s="68">
        <v>3</v>
      </c>
      <c r="E166" s="68" t="s">
        <v>13</v>
      </c>
      <c r="F166" s="36">
        <v>0</v>
      </c>
      <c r="G166" s="36">
        <f>F166*1</f>
        <v>0</v>
      </c>
      <c r="H166" s="127">
        <v>2327046</v>
      </c>
      <c r="I166" s="82">
        <v>94605025067183</v>
      </c>
      <c r="J166" s="71" t="s">
        <v>192</v>
      </c>
      <c r="K166" s="73">
        <v>150</v>
      </c>
      <c r="L166" s="56"/>
      <c r="N166" s="21"/>
    </row>
    <row r="167" spans="1:14" x14ac:dyDescent="0.25">
      <c r="A167" s="43">
        <f t="shared" si="2"/>
        <v>157</v>
      </c>
      <c r="B167" s="115">
        <v>1030628119</v>
      </c>
      <c r="C167" s="61" t="s">
        <v>174</v>
      </c>
      <c r="D167" s="68">
        <v>6</v>
      </c>
      <c r="E167" s="68" t="s">
        <v>14</v>
      </c>
      <c r="F167" s="36">
        <v>0</v>
      </c>
      <c r="G167" s="36">
        <f>F167*0.225</f>
        <v>0</v>
      </c>
      <c r="H167" s="86">
        <v>4605025067999</v>
      </c>
      <c r="I167" s="82">
        <v>14605025067996</v>
      </c>
      <c r="J167" s="71" t="s">
        <v>198</v>
      </c>
      <c r="K167" s="73">
        <v>135</v>
      </c>
      <c r="L167" s="92" t="s">
        <v>111</v>
      </c>
      <c r="M167" s="91"/>
      <c r="N167" s="21"/>
    </row>
    <row r="168" spans="1:14" x14ac:dyDescent="0.25">
      <c r="A168" s="43">
        <f t="shared" si="2"/>
        <v>158</v>
      </c>
      <c r="B168" s="115">
        <v>1030692277</v>
      </c>
      <c r="C168" s="61" t="s">
        <v>175</v>
      </c>
      <c r="D168" s="68">
        <v>6</v>
      </c>
      <c r="E168" s="68" t="s">
        <v>14</v>
      </c>
      <c r="F168" s="36">
        <v>0</v>
      </c>
      <c r="G168" s="36">
        <f>F168*0.15</f>
        <v>0</v>
      </c>
      <c r="H168" s="86">
        <v>4605025020024</v>
      </c>
      <c r="I168" s="82">
        <v>14605025020021</v>
      </c>
      <c r="J168" s="83" t="s">
        <v>201</v>
      </c>
      <c r="K168" s="73">
        <v>90</v>
      </c>
      <c r="L168" s="123" t="s">
        <v>208</v>
      </c>
      <c r="N168" s="21"/>
    </row>
    <row r="169" spans="1:14" x14ac:dyDescent="0.25">
      <c r="A169" s="43">
        <f t="shared" si="2"/>
        <v>159</v>
      </c>
      <c r="B169" s="115">
        <v>1030692883</v>
      </c>
      <c r="C169" s="61" t="s">
        <v>176</v>
      </c>
      <c r="D169" s="68">
        <v>10</v>
      </c>
      <c r="E169" s="68" t="s">
        <v>14</v>
      </c>
      <c r="F169" s="36">
        <v>0</v>
      </c>
      <c r="G169" s="36">
        <f>F169*0.07</f>
        <v>0</v>
      </c>
      <c r="H169" s="86">
        <v>4605025066930</v>
      </c>
      <c r="I169" s="82">
        <v>14605025066937</v>
      </c>
      <c r="J169" s="84" t="s">
        <v>194</v>
      </c>
      <c r="K169" s="73">
        <v>90</v>
      </c>
      <c r="L169" s="56"/>
      <c r="N169" s="21"/>
    </row>
    <row r="170" spans="1:14" x14ac:dyDescent="0.25">
      <c r="A170" s="43">
        <f t="shared" si="2"/>
        <v>160</v>
      </c>
      <c r="B170" s="115">
        <v>1030420328</v>
      </c>
      <c r="C170" s="61" t="s">
        <v>177</v>
      </c>
      <c r="D170" s="68">
        <v>12</v>
      </c>
      <c r="E170" s="68" t="s">
        <v>14</v>
      </c>
      <c r="F170" s="36">
        <v>0</v>
      </c>
      <c r="G170" s="36">
        <f>F170*0.1</f>
        <v>0</v>
      </c>
      <c r="H170" s="126">
        <v>4605025063472</v>
      </c>
      <c r="I170" s="82">
        <v>14605025063479</v>
      </c>
      <c r="J170" s="71" t="s">
        <v>192</v>
      </c>
      <c r="K170" s="73">
        <v>45</v>
      </c>
      <c r="L170" s="56"/>
      <c r="N170" s="21"/>
    </row>
    <row r="171" spans="1:14" x14ac:dyDescent="0.25">
      <c r="A171" s="43">
        <f t="shared" si="2"/>
        <v>161</v>
      </c>
      <c r="B171" s="115">
        <v>1030745728</v>
      </c>
      <c r="C171" s="61" t="s">
        <v>178</v>
      </c>
      <c r="D171" s="68">
        <v>12</v>
      </c>
      <c r="E171" s="68" t="s">
        <v>14</v>
      </c>
      <c r="F171" s="36">
        <v>0</v>
      </c>
      <c r="G171" s="36">
        <f>F171*0.1</f>
        <v>0</v>
      </c>
      <c r="H171" s="126">
        <v>4605025068330</v>
      </c>
      <c r="I171" s="82">
        <v>14605025068337</v>
      </c>
      <c r="J171" s="84" t="s">
        <v>192</v>
      </c>
      <c r="K171" s="73">
        <v>31</v>
      </c>
      <c r="L171" s="56"/>
      <c r="N171" s="21"/>
    </row>
    <row r="172" spans="1:14" x14ac:dyDescent="0.25">
      <c r="A172" s="43">
        <f t="shared" si="2"/>
        <v>162</v>
      </c>
      <c r="B172" s="115">
        <v>1030670803</v>
      </c>
      <c r="C172" s="61" t="s">
        <v>179</v>
      </c>
      <c r="D172" s="68">
        <v>6</v>
      </c>
      <c r="E172" s="68" t="s">
        <v>14</v>
      </c>
      <c r="F172" s="36">
        <v>200</v>
      </c>
      <c r="G172" s="36">
        <f>F172*0.25</f>
        <v>50</v>
      </c>
      <c r="H172" s="86">
        <v>4605025037374</v>
      </c>
      <c r="I172" s="128">
        <v>14605025037371</v>
      </c>
      <c r="J172" s="84" t="s">
        <v>192</v>
      </c>
      <c r="K172" s="73">
        <v>120</v>
      </c>
      <c r="L172" s="56"/>
      <c r="N172" s="21"/>
    </row>
    <row r="173" spans="1:14" x14ac:dyDescent="0.25">
      <c r="A173" s="43">
        <f t="shared" si="2"/>
        <v>163</v>
      </c>
      <c r="B173" s="115">
        <v>1030623019</v>
      </c>
      <c r="C173" s="61" t="s">
        <v>180</v>
      </c>
      <c r="D173" s="68">
        <v>6</v>
      </c>
      <c r="E173" s="68" t="s">
        <v>14</v>
      </c>
      <c r="F173" s="36">
        <v>0</v>
      </c>
      <c r="G173" s="36">
        <f>F173*0.25</f>
        <v>0</v>
      </c>
      <c r="H173" s="86">
        <v>4605025068187</v>
      </c>
      <c r="I173" s="82">
        <v>14605025068184</v>
      </c>
      <c r="J173" s="71" t="s">
        <v>198</v>
      </c>
      <c r="K173" s="73">
        <v>135</v>
      </c>
      <c r="L173" s="92" t="s">
        <v>111</v>
      </c>
      <c r="M173" s="91"/>
      <c r="N173" s="21"/>
    </row>
    <row r="174" spans="1:14" x14ac:dyDescent="0.25">
      <c r="A174" s="43">
        <f t="shared" si="2"/>
        <v>164</v>
      </c>
      <c r="B174" s="115">
        <v>1030612320</v>
      </c>
      <c r="C174" s="61" t="s">
        <v>181</v>
      </c>
      <c r="D174" s="68">
        <v>6</v>
      </c>
      <c r="E174" s="68" t="s">
        <v>13</v>
      </c>
      <c r="F174" s="36">
        <v>0</v>
      </c>
      <c r="G174" s="36">
        <f>F174*1</f>
        <v>0</v>
      </c>
      <c r="H174" s="86">
        <v>2327492</v>
      </c>
      <c r="I174" s="82">
        <v>94605025068197</v>
      </c>
      <c r="J174" s="84" t="s">
        <v>198</v>
      </c>
      <c r="K174" s="73">
        <v>150</v>
      </c>
      <c r="L174" s="92" t="s">
        <v>111</v>
      </c>
      <c r="N174" s="21"/>
    </row>
    <row r="175" spans="1:14" x14ac:dyDescent="0.25">
      <c r="A175" s="43">
        <f t="shared" si="2"/>
        <v>165</v>
      </c>
      <c r="B175" s="115">
        <v>1030686341</v>
      </c>
      <c r="C175" s="61" t="s">
        <v>182</v>
      </c>
      <c r="D175" s="68">
        <v>6</v>
      </c>
      <c r="E175" s="68" t="s">
        <v>14</v>
      </c>
      <c r="F175" s="36">
        <v>0</v>
      </c>
      <c r="G175" s="36">
        <f>F175*0.3</f>
        <v>0</v>
      </c>
      <c r="H175" s="86">
        <v>4607089698836</v>
      </c>
      <c r="I175" s="82">
        <v>14605025018028</v>
      </c>
      <c r="J175" s="71" t="s">
        <v>198</v>
      </c>
      <c r="K175" s="73">
        <v>135</v>
      </c>
      <c r="L175" s="56"/>
      <c r="N175" s="21"/>
    </row>
    <row r="176" spans="1:14" x14ac:dyDescent="0.25">
      <c r="A176" s="43">
        <f t="shared" si="2"/>
        <v>166</v>
      </c>
      <c r="B176" s="130">
        <v>1030115535</v>
      </c>
      <c r="C176" s="61" t="s">
        <v>183</v>
      </c>
      <c r="D176" s="55">
        <v>3</v>
      </c>
      <c r="E176" s="57" t="s">
        <v>13</v>
      </c>
      <c r="F176" s="36">
        <v>0</v>
      </c>
      <c r="G176" s="36">
        <f t="shared" ref="G176:G183" si="3">F176*1</f>
        <v>0</v>
      </c>
      <c r="H176" s="86">
        <v>2324856</v>
      </c>
      <c r="I176" s="82">
        <v>94605025028412</v>
      </c>
      <c r="J176" s="71" t="s">
        <v>193</v>
      </c>
      <c r="K176" s="73">
        <v>75</v>
      </c>
      <c r="L176" s="56"/>
      <c r="N176" s="21"/>
    </row>
    <row r="177" spans="1:14" x14ac:dyDescent="0.25">
      <c r="A177" s="43">
        <f t="shared" si="2"/>
        <v>167</v>
      </c>
      <c r="B177" s="118">
        <v>1030126135</v>
      </c>
      <c r="C177" s="61" t="s">
        <v>184</v>
      </c>
      <c r="D177" s="55">
        <v>2</v>
      </c>
      <c r="E177" s="57" t="s">
        <v>13</v>
      </c>
      <c r="F177" s="36">
        <v>0</v>
      </c>
      <c r="G177" s="36">
        <f t="shared" si="3"/>
        <v>0</v>
      </c>
      <c r="H177" s="86">
        <v>2326545</v>
      </c>
      <c r="I177" s="82">
        <v>94605025053834</v>
      </c>
      <c r="J177" s="71" t="s">
        <v>193</v>
      </c>
      <c r="K177" s="73">
        <v>75</v>
      </c>
      <c r="L177" s="56"/>
      <c r="N177" s="21"/>
    </row>
    <row r="178" spans="1:14" x14ac:dyDescent="0.25">
      <c r="A178" s="43">
        <f t="shared" si="2"/>
        <v>168</v>
      </c>
      <c r="B178" s="118">
        <v>1030126035</v>
      </c>
      <c r="C178" s="61" t="s">
        <v>185</v>
      </c>
      <c r="D178" s="55">
        <v>3</v>
      </c>
      <c r="E178" s="57" t="s">
        <v>14</v>
      </c>
      <c r="F178" s="36">
        <v>0</v>
      </c>
      <c r="G178" s="36">
        <f t="shared" si="3"/>
        <v>0</v>
      </c>
      <c r="H178" s="86">
        <v>4605025053824</v>
      </c>
      <c r="I178" s="82">
        <v>14605025053821</v>
      </c>
      <c r="J178" s="71" t="s">
        <v>193</v>
      </c>
      <c r="K178" s="73">
        <v>75</v>
      </c>
      <c r="L178" s="56"/>
      <c r="N178" s="21"/>
    </row>
    <row r="179" spans="1:14" x14ac:dyDescent="0.25">
      <c r="A179" s="43">
        <f t="shared" si="2"/>
        <v>169</v>
      </c>
      <c r="B179" s="118">
        <v>1030125635</v>
      </c>
      <c r="C179" s="61" t="s">
        <v>186</v>
      </c>
      <c r="D179" s="55">
        <v>3</v>
      </c>
      <c r="E179" s="57" t="s">
        <v>14</v>
      </c>
      <c r="F179" s="36">
        <v>0</v>
      </c>
      <c r="G179" s="36">
        <f t="shared" si="3"/>
        <v>0</v>
      </c>
      <c r="H179" s="86">
        <v>4605025053787</v>
      </c>
      <c r="I179" s="82">
        <v>14605025053784</v>
      </c>
      <c r="J179" s="84" t="s">
        <v>193</v>
      </c>
      <c r="K179" s="73">
        <v>75</v>
      </c>
      <c r="L179" s="56"/>
      <c r="N179" s="21"/>
    </row>
    <row r="180" spans="1:14" x14ac:dyDescent="0.25">
      <c r="A180" s="43">
        <f t="shared" si="2"/>
        <v>170</v>
      </c>
      <c r="B180" s="118">
        <v>1030126435</v>
      </c>
      <c r="C180" s="61" t="s">
        <v>187</v>
      </c>
      <c r="D180" s="55">
        <v>2</v>
      </c>
      <c r="E180" s="57" t="s">
        <v>13</v>
      </c>
      <c r="F180" s="36">
        <v>0</v>
      </c>
      <c r="G180" s="36">
        <f t="shared" si="3"/>
        <v>0</v>
      </c>
      <c r="H180" s="86">
        <v>2326536</v>
      </c>
      <c r="I180" s="82">
        <v>94605025053919</v>
      </c>
      <c r="J180" s="71" t="s">
        <v>193</v>
      </c>
      <c r="K180" s="73">
        <v>75</v>
      </c>
      <c r="L180" s="56"/>
      <c r="N180" s="21"/>
    </row>
    <row r="181" spans="1:14" x14ac:dyDescent="0.25">
      <c r="A181" s="43">
        <f t="shared" si="2"/>
        <v>171</v>
      </c>
      <c r="B181" s="32" t="s">
        <v>202</v>
      </c>
      <c r="C181" s="61" t="s">
        <v>203</v>
      </c>
      <c r="D181" s="55">
        <v>4</v>
      </c>
      <c r="E181" s="57" t="s">
        <v>13</v>
      </c>
      <c r="F181" s="36">
        <v>0</v>
      </c>
      <c r="G181" s="36">
        <f t="shared" si="3"/>
        <v>0</v>
      </c>
      <c r="H181" s="86">
        <v>2352559</v>
      </c>
      <c r="I181" s="128">
        <v>94605025055029</v>
      </c>
      <c r="J181" s="85" t="s">
        <v>196</v>
      </c>
      <c r="K181" s="73">
        <v>35</v>
      </c>
      <c r="L181" s="56" t="s">
        <v>190</v>
      </c>
      <c r="N181" s="21"/>
    </row>
    <row r="182" spans="1:14" x14ac:dyDescent="0.25">
      <c r="A182" s="43">
        <f t="shared" si="2"/>
        <v>172</v>
      </c>
      <c r="B182" s="32">
        <v>1030126735</v>
      </c>
      <c r="C182" s="96" t="s">
        <v>204</v>
      </c>
      <c r="D182" s="95">
        <v>3</v>
      </c>
      <c r="E182" s="97" t="s">
        <v>14</v>
      </c>
      <c r="F182" s="98">
        <v>0</v>
      </c>
      <c r="G182" s="98">
        <f t="shared" si="3"/>
        <v>0</v>
      </c>
      <c r="H182" s="86">
        <v>4605025054036</v>
      </c>
      <c r="I182" s="101">
        <v>14605025054033</v>
      </c>
      <c r="J182" s="85" t="s">
        <v>193</v>
      </c>
      <c r="K182" s="99">
        <v>75</v>
      </c>
      <c r="L182" s="100" t="s">
        <v>205</v>
      </c>
      <c r="N182" s="21"/>
    </row>
    <row r="183" spans="1:14" x14ac:dyDescent="0.25">
      <c r="A183" s="43">
        <f t="shared" si="2"/>
        <v>173</v>
      </c>
      <c r="B183" s="32">
        <v>1030235255</v>
      </c>
      <c r="C183" s="56" t="s">
        <v>206</v>
      </c>
      <c r="D183" s="55">
        <v>6</v>
      </c>
      <c r="E183" s="57" t="s">
        <v>14</v>
      </c>
      <c r="F183" s="55">
        <v>0</v>
      </c>
      <c r="G183" s="55">
        <f t="shared" si="3"/>
        <v>0</v>
      </c>
      <c r="H183" s="86">
        <v>4605025035110</v>
      </c>
      <c r="I183" s="129">
        <v>24605025035114</v>
      </c>
      <c r="J183" s="56" t="s">
        <v>192</v>
      </c>
      <c r="K183" s="56">
        <v>30</v>
      </c>
      <c r="L183" s="100" t="s">
        <v>205</v>
      </c>
      <c r="N183" s="21"/>
    </row>
  </sheetData>
  <protectedRanges>
    <protectedRange sqref="C1" name="Диапазон2"/>
    <protectedRange sqref="E93 E54 E28 E39 G183 F11:G182" name="Диапазон1_2"/>
  </protectedRanges>
  <autoFilter ref="A10:O183" xr:uid="{00000000-0009-0000-0000-000000000000}"/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Cherkizovo Group PJSC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Фаизова Анастасия Игоревна</dc:creator>
  <cp:lastModifiedBy>Uaer4</cp:lastModifiedBy>
  <dcterms:created xsi:type="dcterms:W3CDTF">2022-02-28T08:14:20Z</dcterms:created>
  <dcterms:modified xsi:type="dcterms:W3CDTF">2026-01-14T13:00:48Z</dcterms:modified>
</cp:coreProperties>
</file>