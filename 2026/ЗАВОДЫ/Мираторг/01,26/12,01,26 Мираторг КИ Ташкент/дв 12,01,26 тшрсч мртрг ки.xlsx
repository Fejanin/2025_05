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КИ Ташкент\"/>
    </mc:Choice>
  </mc:AlternateContent>
  <xr:revisionPtr revIDLastSave="0" documentId="13_ncr:1_{BCF4B776-3FFA-431F-8F02-85AE1EAE32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6" i="1" l="1"/>
  <c r="L36" i="1"/>
  <c r="P35" i="1"/>
  <c r="L35" i="1"/>
  <c r="P34" i="1"/>
  <c r="L34" i="1"/>
  <c r="P33" i="1"/>
  <c r="T33" i="1" s="1"/>
  <c r="L33" i="1"/>
  <c r="P32" i="1"/>
  <c r="L32" i="1"/>
  <c r="P31" i="1"/>
  <c r="L31" i="1"/>
  <c r="P30" i="1"/>
  <c r="L30" i="1"/>
  <c r="P29" i="1"/>
  <c r="L29" i="1"/>
  <c r="P28" i="1"/>
  <c r="L28" i="1"/>
  <c r="F27" i="1"/>
  <c r="E27" i="1"/>
  <c r="L27" i="1" s="1"/>
  <c r="P26" i="1"/>
  <c r="L26" i="1"/>
  <c r="P25" i="1"/>
  <c r="U25" i="1" s="1"/>
  <c r="L25" i="1"/>
  <c r="P24" i="1"/>
  <c r="L24" i="1"/>
  <c r="P23" i="1"/>
  <c r="L23" i="1"/>
  <c r="P22" i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F15" i="1"/>
  <c r="F5" i="1" s="1"/>
  <c r="E15" i="1"/>
  <c r="P15" i="1" s="1"/>
  <c r="P14" i="1"/>
  <c r="L14" i="1"/>
  <c r="P13" i="1"/>
  <c r="L13" i="1"/>
  <c r="P12" i="1"/>
  <c r="L12" i="1"/>
  <c r="P11" i="1"/>
  <c r="L11" i="1"/>
  <c r="P10" i="1"/>
  <c r="U10" i="1" s="1"/>
  <c r="L10" i="1"/>
  <c r="P9" i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U8" i="1" l="1"/>
  <c r="AE8" i="1"/>
  <c r="AE12" i="1"/>
  <c r="U17" i="1"/>
  <c r="AE17" i="1"/>
  <c r="U19" i="1"/>
  <c r="AE20" i="1"/>
  <c r="AE22" i="1"/>
  <c r="U26" i="1"/>
  <c r="U30" i="1"/>
  <c r="AE30" i="1"/>
  <c r="U32" i="1"/>
  <c r="AE34" i="1"/>
  <c r="AE36" i="1"/>
  <c r="U6" i="1"/>
  <c r="AE7" i="1"/>
  <c r="AE9" i="1"/>
  <c r="T10" i="1"/>
  <c r="U11" i="1"/>
  <c r="Q11" i="1"/>
  <c r="AE11" i="1" s="1"/>
  <c r="U13" i="1"/>
  <c r="Q13" i="1"/>
  <c r="T14" i="1"/>
  <c r="AE14" i="1"/>
  <c r="AE15" i="1"/>
  <c r="AE16" i="1"/>
  <c r="Q18" i="1"/>
  <c r="AE18" i="1" s="1"/>
  <c r="U21" i="1"/>
  <c r="AE21" i="1"/>
  <c r="U23" i="1"/>
  <c r="AE24" i="1"/>
  <c r="U28" i="1"/>
  <c r="AE29" i="1"/>
  <c r="AE31" i="1"/>
  <c r="U35" i="1"/>
  <c r="AE35" i="1"/>
  <c r="P27" i="1"/>
  <c r="T11" i="1"/>
  <c r="T21" i="1"/>
  <c r="T25" i="1"/>
  <c r="T30" i="1"/>
  <c r="T15" i="1"/>
  <c r="U15" i="1"/>
  <c r="U7" i="1"/>
  <c r="U9" i="1"/>
  <c r="U12" i="1"/>
  <c r="U14" i="1"/>
  <c r="L15" i="1"/>
  <c r="L5" i="1" s="1"/>
  <c r="U16" i="1"/>
  <c r="U18" i="1"/>
  <c r="U20" i="1"/>
  <c r="U22" i="1"/>
  <c r="U24" i="1"/>
  <c r="U29" i="1"/>
  <c r="U31" i="1"/>
  <c r="U33" i="1"/>
  <c r="U34" i="1"/>
  <c r="U36" i="1"/>
  <c r="E5" i="1"/>
  <c r="AE28" i="1" l="1"/>
  <c r="T28" i="1"/>
  <c r="AE23" i="1"/>
  <c r="T23" i="1"/>
  <c r="AE6" i="1"/>
  <c r="T6" i="1"/>
  <c r="T32" i="1"/>
  <c r="AE32" i="1"/>
  <c r="T26" i="1"/>
  <c r="AE26" i="1"/>
  <c r="T19" i="1"/>
  <c r="AE19" i="1"/>
  <c r="T35" i="1"/>
  <c r="T17" i="1"/>
  <c r="T8" i="1"/>
  <c r="AE27" i="1"/>
  <c r="T31" i="1"/>
  <c r="T29" i="1"/>
  <c r="T24" i="1"/>
  <c r="T18" i="1"/>
  <c r="T16" i="1"/>
  <c r="AE13" i="1"/>
  <c r="T13" i="1"/>
  <c r="T9" i="1"/>
  <c r="T7" i="1"/>
  <c r="T36" i="1"/>
  <c r="T34" i="1"/>
  <c r="T22" i="1"/>
  <c r="T20" i="1"/>
  <c r="T12" i="1"/>
  <c r="U27" i="1"/>
  <c r="P5" i="1"/>
  <c r="T27" i="1" l="1"/>
  <c r="Q5" i="1"/>
  <c r="AE5" i="1"/>
</calcChain>
</file>

<file path=xl/sharedStrings.xml><?xml version="1.0" encoding="utf-8"?>
<sst xmlns="http://schemas.openxmlformats.org/spreadsheetml/2006/main" count="124" uniqueCount="74">
  <si>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</si>
  <si>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</si>
  <si>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</si>
  <si>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</si>
  <si>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</si>
  <si>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</si>
  <si>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</si>
  <si>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</si>
  <si>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</si>
  <si>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</si>
  <si>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</si>
  <si>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</si>
  <si>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</si>
  <si>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</si>
  <si>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</si>
  <si>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</si>
  <si>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</si>
  <si>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</si>
  <si>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</si>
  <si>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</si>
  <si>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</si>
  <si>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</si>
  <si>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</si>
  <si>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</si>
  <si>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13,01,</t>
  </si>
  <si>
    <t>12,01,</t>
  </si>
  <si>
    <t>08,12,</t>
  </si>
  <si>
    <t>01,12,</t>
  </si>
  <si>
    <t>24,11,</t>
  </si>
  <si>
    <t>17,11,</t>
  </si>
  <si>
    <t>10,11,</t>
  </si>
  <si>
    <t>03,10,</t>
  </si>
  <si>
    <t>20,10,</t>
  </si>
  <si>
    <t>13,10,</t>
  </si>
  <si>
    <t>Ветчина Парма с/к нарезка ОХЛ ГЗМС 100г*10 (1,0 кг)  МИРАТОРГ</t>
  </si>
  <si>
    <t>шт</t>
  </si>
  <si>
    <t>новинка / нет в бланке</t>
  </si>
  <si>
    <t>Ветчина Сочная ОХЛ ПА 400г*6 (2,4 кг)  МИРАТОРГ</t>
  </si>
  <si>
    <t>КП Колбаса в/к Балыковая ВУ охл 300г*6  МИРАТОРГ</t>
  </si>
  <si>
    <t>КП Колбаса с/к Neapolitano ВУ ОХЛ 250г*6</t>
  </si>
  <si>
    <t>не отгрузили / новинка / нет в бланке</t>
  </si>
  <si>
    <t>КП Колбаса с/к Брауншвейгская ВУ ОХЛ 300г*6 (1,8кг)  МИРАТОРГ</t>
  </si>
  <si>
    <t>дубль</t>
  </si>
  <si>
    <t>МХБ Колбаса сырокопченая Брауншвейгская ШТ. ВУ ОХЛ 300гр*8 (2,4 кг) МИРАТОРГ</t>
  </si>
  <si>
    <t>Колбаса в/к Черная Бергамо ВУ ОХЛ 280г*6 (1,68 кг)  МИРАТОРГ</t>
  </si>
  <si>
    <t>Колбаса вареная "Филейная" п/а ОХЛ 350г*6 (2,1кг)  МИРАТОРГ</t>
  </si>
  <si>
    <t>Колбаса п/к Краковская ОХЛ ВУ 330г*5 (1,65 кг)  МИРАТОРГ</t>
  </si>
  <si>
    <t>Колбаса с/к Сальчичон ВУ ОХЛ 280г*6 (1,68 кг)  МИРАТОРГ</t>
  </si>
  <si>
    <t>Колбаса с/к Сервелат ГОСТ ВУ ОХЛ 0,3кг*6(1,8кг)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</si>
  <si>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</si>
  <si>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</si>
  <si>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</si>
  <si>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</si>
  <si>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</si>
  <si>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</si>
  <si>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</si>
  <si>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11,05,25 списание 274шт.</t>
  </si>
  <si>
    <t>МХБ Колбаса варено-копченая Сервелат ШТ. Ф/О ОХЛ В/У 375г*6 (2,25кг) МИРАТОРГ</t>
  </si>
  <si>
    <t>22,05,25 списание 310шт.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</si>
  <si>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</si>
  <si>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</si>
  <si>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вывод</t>
  </si>
  <si>
    <t>МХБ Колбаса сырокопченая «Салями» нарезка ШТ. охл ГЗМС 100г*10 (1,0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</si>
  <si>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</si>
  <si>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</si>
  <si>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МХБ Сосиски Сочные ШТ. п/а ОХЛ 350г*6 (2,1кг)  МИРАТОРГ</t>
  </si>
  <si>
    <t>Прошутто с/к нарезка ОХЛ ГЗМС 100г*10 (1,0 кг)  МИРАТОРГ</t>
  </si>
  <si>
    <t>Ребрышки свиные томленые ОХЛ ВУ 500г*4 (2,0кг)  МИРАТОРГ</t>
  </si>
  <si>
    <t>Сервелат полусухой с/к ВУ ОХЛ 300гр МИРАТОРГ</t>
  </si>
  <si>
    <t>Сосиски "Итальянские с сыром" ОХЛГЗМС 350г*6 (2,1кг)  МИРАТОРГ</t>
  </si>
  <si>
    <t>Сосиски "Оригинальные" п/а ОХЛ ГЗМС 350г*6 (2,1кг)  МИРАТОРГ</t>
  </si>
  <si>
    <t>Сосиски Нежные п/а охл 350г*6 (2,1кг)  МИРАТОРГ</t>
  </si>
  <si>
    <t>нужно увеличить продажи!!!</t>
  </si>
  <si>
    <t>нужно увеличить продажи / 22,05,25 списание 215шт.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</si>
</sst>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5" fontId="0" fillId="0" borderId="0" xfId="0" applyNumberFormat="1" applyBorder="1"/>
    <xf numFmtId="164" fontId="2" fillId="4" borderId="1" xfId="1" applyNumberFormat="1" applyFont="1" applyFill="1"/>
    <xf numFmtId="164" fontId="1" fillId="0" borderId="1" xfId="1" applyNumberFormat="1"/>
    <xf numFmtId="165" fontId="1" fillId="0" borderId="1" xfId="1" applyNumberFormat="1"/>
    <xf numFmtId="165" fontId="2" fillId="2" borderId="1" xfId="1" applyNumberFormat="1" applyFont="1" applyFill="1"/>
    <xf numFmtId="164" fontId="4" fillId="0" borderId="1" xfId="1" applyNumberFormat="1" applyFont="1"/>
    <xf numFmtId="164" fontId="4" fillId="5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5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6" fillId="8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" style="5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4.5703125" customWidth="1"/>
    <col min="31" max="31" width="7" customWidth="1"/>
    <col min="32" max="50" width="8" customWidth="1"/>
  </cols>
  <sheetData>
    <row r="1" spans="1:50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0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24</v>
      </c>
      <c r="P4" s="7" t="s">
        <v>25</v>
      </c>
      <c r="Q4" s="7"/>
      <c r="R4" s="7"/>
      <c r="S4" s="7"/>
      <c r="T4" s="7"/>
      <c r="U4" s="7"/>
      <c r="V4" s="7" t="s">
        <v>26</v>
      </c>
      <c r="W4" s="7" t="s">
        <v>27</v>
      </c>
      <c r="X4" s="7" t="s">
        <v>28</v>
      </c>
      <c r="Y4" s="7" t="s">
        <v>29</v>
      </c>
      <c r="Z4" s="7" t="s">
        <v>30</v>
      </c>
      <c r="AA4" s="7" t="s">
        <v>31</v>
      </c>
      <c r="AB4" s="7" t="s">
        <v>32</v>
      </c>
      <c r="AC4" s="7" t="s">
        <v>33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0" x14ac:dyDescent="0.25">
      <c r="A5" s="7"/>
      <c r="B5" s="7"/>
      <c r="C5" s="7"/>
      <c r="D5" s="7"/>
      <c r="E5" s="3">
        <f>SUM(E6:E489)</f>
        <v>1078</v>
      </c>
      <c r="F5" s="3">
        <f>SUM(F6:F489)</f>
        <v>1039</v>
      </c>
      <c r="G5" s="8"/>
      <c r="H5" s="7"/>
      <c r="I5" s="7"/>
      <c r="J5" s="7"/>
      <c r="K5" s="3">
        <f t="shared" ref="K5:R5" si="0">SUM(K6:K489)</f>
        <v>0</v>
      </c>
      <c r="L5" s="3">
        <f t="shared" si="0"/>
        <v>1078</v>
      </c>
      <c r="M5" s="3">
        <f t="shared" si="0"/>
        <v>0</v>
      </c>
      <c r="N5" s="3">
        <f t="shared" si="0"/>
        <v>0</v>
      </c>
      <c r="O5" s="3">
        <f t="shared" si="0"/>
        <v>9240</v>
      </c>
      <c r="P5" s="3">
        <f t="shared" si="0"/>
        <v>215.60000000000002</v>
      </c>
      <c r="Q5" s="3">
        <f t="shared" si="0"/>
        <v>122</v>
      </c>
      <c r="R5" s="3">
        <f t="shared" si="0"/>
        <v>0</v>
      </c>
      <c r="S5" s="7"/>
      <c r="T5" s="7"/>
      <c r="U5" s="7"/>
      <c r="V5" s="3">
        <f t="shared" ref="V5:AC5" si="1">SUM(V6:V489)</f>
        <v>215.80000000000004</v>
      </c>
      <c r="W5" s="3">
        <f t="shared" si="1"/>
        <v>497.00000000000006</v>
      </c>
      <c r="X5" s="3">
        <f t="shared" si="1"/>
        <v>236.60000000000002</v>
      </c>
      <c r="Y5" s="3">
        <f t="shared" si="1"/>
        <v>351.40000000000003</v>
      </c>
      <c r="Z5" s="3">
        <f t="shared" si="1"/>
        <v>480.8</v>
      </c>
      <c r="AA5" s="3">
        <f t="shared" si="1"/>
        <v>275.40000000000003</v>
      </c>
      <c r="AB5" s="3">
        <f t="shared" si="1"/>
        <v>328.59999999999997</v>
      </c>
      <c r="AC5" s="3">
        <f t="shared" si="1"/>
        <v>446.6</v>
      </c>
      <c r="AD5" s="7"/>
      <c r="AE5" s="3">
        <f>SUM(AE6:AE489)</f>
        <v>42.3</v>
      </c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x14ac:dyDescent="0.25">
      <c r="A6" s="7" t="s">
        <v>34</v>
      </c>
      <c r="B6" s="7" t="s">
        <v>35</v>
      </c>
      <c r="C6" s="7">
        <v>40</v>
      </c>
      <c r="D6" s="7"/>
      <c r="E6" s="7">
        <v>18</v>
      </c>
      <c r="F6" s="7">
        <v>22</v>
      </c>
      <c r="G6" s="8">
        <v>0.1</v>
      </c>
      <c r="H6" s="7">
        <v>90</v>
      </c>
      <c r="I6" s="7">
        <v>1010032041</v>
      </c>
      <c r="J6" s="7"/>
      <c r="K6" s="7"/>
      <c r="L6" s="7">
        <f t="shared" ref="L6:L36" si="2">E6-K6</f>
        <v>18</v>
      </c>
      <c r="M6" s="7"/>
      <c r="N6" s="7"/>
      <c r="O6" s="7">
        <v>150</v>
      </c>
      <c r="P6" s="7">
        <f t="shared" ref="P6:P36" si="3">E6/5</f>
        <v>3.6</v>
      </c>
      <c r="Q6" s="4"/>
      <c r="R6" s="4"/>
      <c r="S6" s="7"/>
      <c r="T6" s="7">
        <f t="shared" ref="T6:T36" si="4">(F6+O6+Q6)/P6</f>
        <v>47.777777777777779</v>
      </c>
      <c r="U6" s="7">
        <f t="shared" ref="U6:U36" si="5">(F6+O6)/P6</f>
        <v>47.777777777777779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 t="s">
        <v>36</v>
      </c>
      <c r="AE6" s="7">
        <f>G6*Q6</f>
        <v>0</v>
      </c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x14ac:dyDescent="0.25">
      <c r="A7" s="10" t="s">
        <v>37</v>
      </c>
      <c r="B7" s="7" t="s">
        <v>35</v>
      </c>
      <c r="C7" s="7">
        <v>57</v>
      </c>
      <c r="D7" s="7"/>
      <c r="E7" s="7">
        <v>26</v>
      </c>
      <c r="F7" s="7">
        <v>31</v>
      </c>
      <c r="G7" s="8">
        <v>0.4</v>
      </c>
      <c r="H7" s="7">
        <v>75</v>
      </c>
      <c r="I7" s="7">
        <v>1010023293</v>
      </c>
      <c r="J7" s="7"/>
      <c r="K7" s="7"/>
      <c r="L7" s="7">
        <f t="shared" si="2"/>
        <v>26</v>
      </c>
      <c r="M7" s="7"/>
      <c r="N7" s="7"/>
      <c r="O7" s="7">
        <v>150</v>
      </c>
      <c r="P7" s="7">
        <f t="shared" si="3"/>
        <v>5.2</v>
      </c>
      <c r="Q7" s="4"/>
      <c r="R7" s="4"/>
      <c r="S7" s="7"/>
      <c r="T7" s="7">
        <f t="shared" si="4"/>
        <v>34.807692307692307</v>
      </c>
      <c r="U7" s="7">
        <f t="shared" si="5"/>
        <v>34.807692307692307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 t="s">
        <v>36</v>
      </c>
      <c r="AE7" s="7">
        <f>G7*Q7</f>
        <v>0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x14ac:dyDescent="0.25">
      <c r="A8" s="7" t="s">
        <v>38</v>
      </c>
      <c r="B8" s="7" t="s">
        <v>35</v>
      </c>
      <c r="C8" s="7">
        <v>199</v>
      </c>
      <c r="D8" s="7"/>
      <c r="E8" s="7">
        <v>89</v>
      </c>
      <c r="F8" s="7">
        <v>99</v>
      </c>
      <c r="G8" s="8">
        <v>0.3</v>
      </c>
      <c r="H8" s="7">
        <v>55</v>
      </c>
      <c r="I8" s="7">
        <v>1010027650</v>
      </c>
      <c r="J8" s="7"/>
      <c r="K8" s="7"/>
      <c r="L8" s="7">
        <f t="shared" si="2"/>
        <v>89</v>
      </c>
      <c r="M8" s="7"/>
      <c r="N8" s="7"/>
      <c r="O8" s="7">
        <v>500</v>
      </c>
      <c r="P8" s="7">
        <f t="shared" si="3"/>
        <v>17.8</v>
      </c>
      <c r="Q8" s="4"/>
      <c r="R8" s="4"/>
      <c r="S8" s="7"/>
      <c r="T8" s="7">
        <f t="shared" si="4"/>
        <v>33.651685393258425</v>
      </c>
      <c r="U8" s="7">
        <f t="shared" si="5"/>
        <v>33.651685393258425</v>
      </c>
      <c r="V8" s="7">
        <v>8.1999999999999993</v>
      </c>
      <c r="W8" s="7">
        <v>48.6</v>
      </c>
      <c r="X8" s="7">
        <v>-1</v>
      </c>
      <c r="Y8" s="7">
        <v>29</v>
      </c>
      <c r="Z8" s="7">
        <v>38.200000000000003</v>
      </c>
      <c r="AA8" s="7">
        <v>19.600000000000001</v>
      </c>
      <c r="AB8" s="7">
        <v>27.8</v>
      </c>
      <c r="AC8" s="7">
        <v>37.6</v>
      </c>
      <c r="AD8" s="7"/>
      <c r="AE8" s="7">
        <f>G8*Q8</f>
        <v>0</v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x14ac:dyDescent="0.25">
      <c r="A9" s="12" t="s">
        <v>39</v>
      </c>
      <c r="B9" s="7" t="s">
        <v>35</v>
      </c>
      <c r="C9" s="7"/>
      <c r="D9" s="7"/>
      <c r="E9" s="7"/>
      <c r="F9" s="7"/>
      <c r="G9" s="8">
        <v>0.25</v>
      </c>
      <c r="H9" s="7">
        <v>150</v>
      </c>
      <c r="I9" s="7">
        <v>1010032755</v>
      </c>
      <c r="J9" s="7"/>
      <c r="K9" s="7"/>
      <c r="L9" s="7">
        <f t="shared" si="2"/>
        <v>0</v>
      </c>
      <c r="M9" s="7"/>
      <c r="N9" s="7"/>
      <c r="O9" s="7"/>
      <c r="P9" s="7">
        <f t="shared" si="3"/>
        <v>0</v>
      </c>
      <c r="Q9" s="4"/>
      <c r="R9" s="4"/>
      <c r="S9" s="7"/>
      <c r="T9" s="7" t="e">
        <f t="shared" si="4"/>
        <v>#DIV/0!</v>
      </c>
      <c r="U9" s="7" t="e">
        <f t="shared" si="5"/>
        <v>#DIV/0!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11" t="s">
        <v>40</v>
      </c>
      <c r="AE9" s="7">
        <f>G9*Q9</f>
        <v>0</v>
      </c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x14ac:dyDescent="0.25">
      <c r="A10" s="13" t="s">
        <v>41</v>
      </c>
      <c r="B10" s="16" t="s">
        <v>35</v>
      </c>
      <c r="C10" s="13">
        <v>3</v>
      </c>
      <c r="D10" s="13"/>
      <c r="E10" s="17">
        <v>-10</v>
      </c>
      <c r="F10" s="17">
        <v>3</v>
      </c>
      <c r="G10" s="14">
        <v>0</v>
      </c>
      <c r="H10" s="13"/>
      <c r="I10" s="13" t="s">
        <v>42</v>
      </c>
      <c r="J10" s="13" t="s">
        <v>43</v>
      </c>
      <c r="K10" s="13"/>
      <c r="L10" s="13">
        <f t="shared" si="2"/>
        <v>-10</v>
      </c>
      <c r="M10" s="13"/>
      <c r="N10" s="13"/>
      <c r="O10" s="13"/>
      <c r="P10" s="13">
        <f t="shared" si="3"/>
        <v>-2</v>
      </c>
      <c r="Q10" s="15"/>
      <c r="R10" s="15"/>
      <c r="S10" s="13"/>
      <c r="T10" s="13">
        <f t="shared" si="4"/>
        <v>-1.5</v>
      </c>
      <c r="U10" s="13">
        <f t="shared" si="5"/>
        <v>-1.5</v>
      </c>
      <c r="V10" s="13">
        <v>2.8</v>
      </c>
      <c r="W10" s="13">
        <v>24.8</v>
      </c>
      <c r="X10" s="13">
        <v>18.2</v>
      </c>
      <c r="Y10" s="13">
        <v>17.2</v>
      </c>
      <c r="Z10" s="13">
        <v>0.8</v>
      </c>
      <c r="AA10" s="13">
        <v>2.4</v>
      </c>
      <c r="AB10" s="13">
        <v>0</v>
      </c>
      <c r="AC10" s="13">
        <v>0</v>
      </c>
      <c r="AD10" s="13"/>
      <c r="AE10" s="13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x14ac:dyDescent="0.25">
      <c r="A11" s="10" t="s">
        <v>44</v>
      </c>
      <c r="B11" s="7" t="s">
        <v>35</v>
      </c>
      <c r="C11" s="7">
        <v>56</v>
      </c>
      <c r="D11" s="7"/>
      <c r="E11" s="7">
        <v>36</v>
      </c>
      <c r="F11" s="7">
        <v>20</v>
      </c>
      <c r="G11" s="8">
        <v>0.28000000000000003</v>
      </c>
      <c r="H11" s="7">
        <v>55</v>
      </c>
      <c r="I11" s="7">
        <v>1010032754</v>
      </c>
      <c r="J11" s="7"/>
      <c r="K11" s="7"/>
      <c r="L11" s="7">
        <f t="shared" si="2"/>
        <v>36</v>
      </c>
      <c r="M11" s="7"/>
      <c r="N11" s="7"/>
      <c r="O11" s="7">
        <v>100</v>
      </c>
      <c r="P11" s="7">
        <f t="shared" si="3"/>
        <v>7.2</v>
      </c>
      <c r="Q11" s="4">
        <f t="shared" ref="Q11:Q24" si="6">25*P11-O11-F11</f>
        <v>60</v>
      </c>
      <c r="R11" s="4"/>
      <c r="S11" s="7"/>
      <c r="T11" s="7">
        <f t="shared" si="4"/>
        <v>25</v>
      </c>
      <c r="U11" s="7">
        <f t="shared" si="5"/>
        <v>16.666666666666668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 t="s">
        <v>36</v>
      </c>
      <c r="AE11" s="7">
        <f t="shared" ref="AE11:AE24" si="7">G11*Q11</f>
        <v>16.8</v>
      </c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x14ac:dyDescent="0.25">
      <c r="A12" s="10" t="s">
        <v>45</v>
      </c>
      <c r="B12" s="7" t="s">
        <v>35</v>
      </c>
      <c r="C12" s="7">
        <v>57</v>
      </c>
      <c r="D12" s="7"/>
      <c r="E12" s="7">
        <v>26</v>
      </c>
      <c r="F12" s="7">
        <v>31</v>
      </c>
      <c r="G12" s="8">
        <v>0.35</v>
      </c>
      <c r="H12" s="7">
        <v>75</v>
      </c>
      <c r="I12" s="7">
        <v>1010030635</v>
      </c>
      <c r="J12" s="7"/>
      <c r="K12" s="7"/>
      <c r="L12" s="7">
        <f t="shared" si="2"/>
        <v>26</v>
      </c>
      <c r="M12" s="7"/>
      <c r="N12" s="7"/>
      <c r="O12" s="7">
        <v>150</v>
      </c>
      <c r="P12" s="7">
        <f t="shared" si="3"/>
        <v>5.2</v>
      </c>
      <c r="Q12" s="4"/>
      <c r="R12" s="4"/>
      <c r="S12" s="7"/>
      <c r="T12" s="7">
        <f t="shared" si="4"/>
        <v>34.807692307692307</v>
      </c>
      <c r="U12" s="7">
        <f t="shared" si="5"/>
        <v>34.807692307692307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 t="s">
        <v>36</v>
      </c>
      <c r="AE12" s="7">
        <f t="shared" si="7"/>
        <v>0</v>
      </c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x14ac:dyDescent="0.25">
      <c r="A13" s="7" t="s">
        <v>46</v>
      </c>
      <c r="B13" s="7" t="s">
        <v>35</v>
      </c>
      <c r="C13" s="7">
        <v>203</v>
      </c>
      <c r="D13" s="7"/>
      <c r="E13" s="7">
        <v>79</v>
      </c>
      <c r="F13" s="7">
        <v>119</v>
      </c>
      <c r="G13" s="8">
        <v>0.33</v>
      </c>
      <c r="H13" s="7">
        <v>55</v>
      </c>
      <c r="I13" s="7">
        <v>1010033736</v>
      </c>
      <c r="J13" s="7"/>
      <c r="K13" s="7"/>
      <c r="L13" s="7">
        <f t="shared" si="2"/>
        <v>79</v>
      </c>
      <c r="M13" s="7"/>
      <c r="N13" s="7"/>
      <c r="O13" s="7">
        <v>250</v>
      </c>
      <c r="P13" s="7">
        <f t="shared" si="3"/>
        <v>15.8</v>
      </c>
      <c r="Q13" s="4">
        <f t="shared" si="6"/>
        <v>26</v>
      </c>
      <c r="R13" s="4"/>
      <c r="S13" s="7"/>
      <c r="T13" s="7">
        <f t="shared" si="4"/>
        <v>25</v>
      </c>
      <c r="U13" s="7">
        <f t="shared" si="5"/>
        <v>23.354430379746834</v>
      </c>
      <c r="V13" s="7">
        <v>-0.2</v>
      </c>
      <c r="W13" s="7">
        <v>22.8</v>
      </c>
      <c r="X13" s="7">
        <v>11.2</v>
      </c>
      <c r="Y13" s="7">
        <v>16.600000000000001</v>
      </c>
      <c r="Z13" s="7">
        <v>25.2</v>
      </c>
      <c r="AA13" s="7">
        <v>14.4</v>
      </c>
      <c r="AB13" s="7">
        <v>20.399999999999999</v>
      </c>
      <c r="AC13" s="7">
        <v>30</v>
      </c>
      <c r="AD13" s="7"/>
      <c r="AE13" s="7">
        <f t="shared" si="7"/>
        <v>8.58</v>
      </c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x14ac:dyDescent="0.25">
      <c r="A14" s="7" t="s">
        <v>47</v>
      </c>
      <c r="B14" s="7" t="s">
        <v>35</v>
      </c>
      <c r="C14" s="7">
        <v>19</v>
      </c>
      <c r="D14" s="7"/>
      <c r="E14" s="7">
        <v>12</v>
      </c>
      <c r="F14" s="7">
        <v>7</v>
      </c>
      <c r="G14" s="8">
        <v>0.28000000000000003</v>
      </c>
      <c r="H14" s="7">
        <v>180</v>
      </c>
      <c r="I14" s="7">
        <v>1010033335</v>
      </c>
      <c r="J14" s="7"/>
      <c r="K14" s="7"/>
      <c r="L14" s="7">
        <f t="shared" si="2"/>
        <v>12</v>
      </c>
      <c r="M14" s="7"/>
      <c r="N14" s="7"/>
      <c r="O14" s="7">
        <v>600</v>
      </c>
      <c r="P14" s="7">
        <f t="shared" si="3"/>
        <v>2.4</v>
      </c>
      <c r="Q14" s="4"/>
      <c r="R14" s="4"/>
      <c r="S14" s="7"/>
      <c r="T14" s="7">
        <f t="shared" si="4"/>
        <v>252.91666666666669</v>
      </c>
      <c r="U14" s="7">
        <f t="shared" si="5"/>
        <v>252.91666666666669</v>
      </c>
      <c r="V14" s="7">
        <v>3.8</v>
      </c>
      <c r="W14" s="7">
        <v>8.6</v>
      </c>
      <c r="X14" s="7">
        <v>6</v>
      </c>
      <c r="Y14" s="7">
        <v>10</v>
      </c>
      <c r="Z14" s="7">
        <v>10.4</v>
      </c>
      <c r="AA14" s="7">
        <v>12.4</v>
      </c>
      <c r="AB14" s="7">
        <v>7</v>
      </c>
      <c r="AC14" s="7">
        <v>4</v>
      </c>
      <c r="AD14" s="7"/>
      <c r="AE14" s="7">
        <f t="shared" si="7"/>
        <v>0</v>
      </c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x14ac:dyDescent="0.25">
      <c r="A15" s="7" t="s">
        <v>48</v>
      </c>
      <c r="B15" s="7" t="s">
        <v>35</v>
      </c>
      <c r="C15" s="7">
        <v>-14</v>
      </c>
      <c r="D15" s="7"/>
      <c r="E15" s="17">
        <f>7+E33</f>
        <v>89</v>
      </c>
      <c r="F15" s="17">
        <f>-26+F33</f>
        <v>207</v>
      </c>
      <c r="G15" s="8">
        <v>0.3</v>
      </c>
      <c r="H15" s="7">
        <v>150</v>
      </c>
      <c r="I15" s="7">
        <v>1010033332</v>
      </c>
      <c r="J15" s="7"/>
      <c r="K15" s="7"/>
      <c r="L15" s="7">
        <f t="shared" si="2"/>
        <v>89</v>
      </c>
      <c r="M15" s="7"/>
      <c r="N15" s="7"/>
      <c r="O15" s="7">
        <v>800</v>
      </c>
      <c r="P15" s="7">
        <f t="shared" si="3"/>
        <v>17.8</v>
      </c>
      <c r="Q15" s="4"/>
      <c r="R15" s="4"/>
      <c r="S15" s="7"/>
      <c r="T15" s="7">
        <f t="shared" si="4"/>
        <v>56.573033707865164</v>
      </c>
      <c r="U15" s="7">
        <f t="shared" si="5"/>
        <v>56.573033707865164</v>
      </c>
      <c r="V15" s="7">
        <v>19.8</v>
      </c>
      <c r="W15" s="7">
        <v>0</v>
      </c>
      <c r="X15" s="7">
        <v>-0.4</v>
      </c>
      <c r="Y15" s="7">
        <v>0</v>
      </c>
      <c r="Z15" s="7">
        <v>38</v>
      </c>
      <c r="AA15" s="7">
        <v>17</v>
      </c>
      <c r="AB15" s="7">
        <v>21.8</v>
      </c>
      <c r="AC15" s="7">
        <v>53.4</v>
      </c>
      <c r="AD15" s="7"/>
      <c r="AE15" s="7">
        <f t="shared" si="7"/>
        <v>0</v>
      </c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x14ac:dyDescent="0.25">
      <c r="A16" s="7" t="s">
        <v>49</v>
      </c>
      <c r="B16" s="7" t="s">
        <v>35</v>
      </c>
      <c r="C16" s="7">
        <v>45</v>
      </c>
      <c r="D16" s="7"/>
      <c r="E16" s="7">
        <v>9</v>
      </c>
      <c r="F16" s="7">
        <v>26</v>
      </c>
      <c r="G16" s="8">
        <v>0.4</v>
      </c>
      <c r="H16" s="7">
        <v>75</v>
      </c>
      <c r="I16" s="7">
        <v>1010016111</v>
      </c>
      <c r="J16" s="7"/>
      <c r="K16" s="7"/>
      <c r="L16" s="7">
        <f t="shared" si="2"/>
        <v>9</v>
      </c>
      <c r="M16" s="7"/>
      <c r="N16" s="7"/>
      <c r="O16" s="7">
        <v>100</v>
      </c>
      <c r="P16" s="7">
        <f t="shared" si="3"/>
        <v>1.8</v>
      </c>
      <c r="Q16" s="4"/>
      <c r="R16" s="4"/>
      <c r="S16" s="7"/>
      <c r="T16" s="7">
        <f t="shared" si="4"/>
        <v>70</v>
      </c>
      <c r="U16" s="7">
        <f t="shared" si="5"/>
        <v>70</v>
      </c>
      <c r="V16" s="7">
        <v>2</v>
      </c>
      <c r="W16" s="7">
        <v>4.5999999999999996</v>
      </c>
      <c r="X16" s="7">
        <v>5.6</v>
      </c>
      <c r="Y16" s="7">
        <v>10</v>
      </c>
      <c r="Z16" s="7">
        <v>10.6</v>
      </c>
      <c r="AA16" s="7">
        <v>1.8</v>
      </c>
      <c r="AB16" s="7">
        <v>5.2</v>
      </c>
      <c r="AC16" s="7">
        <v>13.4</v>
      </c>
      <c r="AD16" s="18" t="s">
        <v>72</v>
      </c>
      <c r="AE16" s="7">
        <f t="shared" si="7"/>
        <v>0</v>
      </c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x14ac:dyDescent="0.25">
      <c r="A17" s="7" t="s">
        <v>50</v>
      </c>
      <c r="B17" s="7" t="s">
        <v>35</v>
      </c>
      <c r="C17" s="7">
        <v>30</v>
      </c>
      <c r="D17" s="7"/>
      <c r="E17" s="7">
        <v>51</v>
      </c>
      <c r="F17" s="7">
        <v>-24</v>
      </c>
      <c r="G17" s="8">
        <v>0.28000000000000003</v>
      </c>
      <c r="H17" s="7">
        <v>120</v>
      </c>
      <c r="I17" s="7">
        <v>1010033329</v>
      </c>
      <c r="J17" s="7"/>
      <c r="K17" s="7"/>
      <c r="L17" s="7">
        <f t="shared" si="2"/>
        <v>51</v>
      </c>
      <c r="M17" s="7"/>
      <c r="N17" s="7"/>
      <c r="O17" s="7">
        <v>1000</v>
      </c>
      <c r="P17" s="7">
        <f t="shared" si="3"/>
        <v>10.199999999999999</v>
      </c>
      <c r="Q17" s="4"/>
      <c r="R17" s="4"/>
      <c r="S17" s="7"/>
      <c r="T17" s="7">
        <f t="shared" si="4"/>
        <v>95.686274509803923</v>
      </c>
      <c r="U17" s="7">
        <f t="shared" si="5"/>
        <v>95.686274509803923</v>
      </c>
      <c r="V17" s="7">
        <v>43.2</v>
      </c>
      <c r="W17" s="7">
        <v>51.8</v>
      </c>
      <c r="X17" s="7">
        <v>52</v>
      </c>
      <c r="Y17" s="7">
        <v>53.6</v>
      </c>
      <c r="Z17" s="7">
        <v>50.2</v>
      </c>
      <c r="AA17" s="7">
        <v>34.200000000000003</v>
      </c>
      <c r="AB17" s="7">
        <v>49.4</v>
      </c>
      <c r="AC17" s="7">
        <v>51.4</v>
      </c>
      <c r="AD17" s="7"/>
      <c r="AE17" s="7">
        <f t="shared" si="7"/>
        <v>0</v>
      </c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x14ac:dyDescent="0.25">
      <c r="A18" s="7" t="s">
        <v>51</v>
      </c>
      <c r="B18" s="7" t="s">
        <v>35</v>
      </c>
      <c r="C18" s="7">
        <v>31</v>
      </c>
      <c r="D18" s="7"/>
      <c r="E18" s="7">
        <v>31</v>
      </c>
      <c r="F18" s="7">
        <v>-1</v>
      </c>
      <c r="G18" s="8">
        <v>0.47</v>
      </c>
      <c r="H18" s="7">
        <v>75</v>
      </c>
      <c r="I18" s="7">
        <v>1010015954</v>
      </c>
      <c r="J18" s="7"/>
      <c r="K18" s="7"/>
      <c r="L18" s="7">
        <f t="shared" si="2"/>
        <v>31</v>
      </c>
      <c r="M18" s="7"/>
      <c r="N18" s="7"/>
      <c r="O18" s="7">
        <v>120</v>
      </c>
      <c r="P18" s="7">
        <f t="shared" si="3"/>
        <v>6.2</v>
      </c>
      <c r="Q18" s="4">
        <f t="shared" si="6"/>
        <v>36</v>
      </c>
      <c r="R18" s="4"/>
      <c r="S18" s="7"/>
      <c r="T18" s="7">
        <f t="shared" si="4"/>
        <v>25</v>
      </c>
      <c r="U18" s="7">
        <f t="shared" si="5"/>
        <v>19.193548387096772</v>
      </c>
      <c r="V18" s="7">
        <v>6.6</v>
      </c>
      <c r="W18" s="7">
        <v>12.4</v>
      </c>
      <c r="X18" s="7">
        <v>10</v>
      </c>
      <c r="Y18" s="7">
        <v>7.6</v>
      </c>
      <c r="Z18" s="7">
        <v>10.4</v>
      </c>
      <c r="AA18" s="7">
        <v>7.6</v>
      </c>
      <c r="AB18" s="7">
        <v>13.4</v>
      </c>
      <c r="AC18" s="7">
        <v>5.8</v>
      </c>
      <c r="AD18" s="7"/>
      <c r="AE18" s="7">
        <f t="shared" si="7"/>
        <v>16.919999999999998</v>
      </c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x14ac:dyDescent="0.25">
      <c r="A19" s="7" t="s">
        <v>52</v>
      </c>
      <c r="B19" s="7" t="s">
        <v>35</v>
      </c>
      <c r="C19" s="7">
        <v>5</v>
      </c>
      <c r="D19" s="7"/>
      <c r="E19" s="7">
        <v>4</v>
      </c>
      <c r="F19" s="7">
        <v>1</v>
      </c>
      <c r="G19" s="8">
        <v>0.47</v>
      </c>
      <c r="H19" s="7">
        <v>75</v>
      </c>
      <c r="I19" s="7">
        <v>1010016092</v>
      </c>
      <c r="J19" s="7"/>
      <c r="K19" s="7"/>
      <c r="L19" s="7">
        <f t="shared" si="2"/>
        <v>4</v>
      </c>
      <c r="M19" s="7"/>
      <c r="N19" s="7"/>
      <c r="O19" s="7">
        <v>120</v>
      </c>
      <c r="P19" s="7">
        <f t="shared" si="3"/>
        <v>0.8</v>
      </c>
      <c r="Q19" s="4"/>
      <c r="R19" s="4"/>
      <c r="S19" s="7"/>
      <c r="T19" s="7">
        <f t="shared" si="4"/>
        <v>151.25</v>
      </c>
      <c r="U19" s="7">
        <f t="shared" si="5"/>
        <v>151.25</v>
      </c>
      <c r="V19" s="7">
        <v>0.4</v>
      </c>
      <c r="W19" s="7">
        <v>0.8</v>
      </c>
      <c r="X19" s="7">
        <v>2.8</v>
      </c>
      <c r="Y19" s="7">
        <v>5.2</v>
      </c>
      <c r="Z19" s="7">
        <v>3.2</v>
      </c>
      <c r="AA19" s="7">
        <v>1.6</v>
      </c>
      <c r="AB19" s="7">
        <v>6.6</v>
      </c>
      <c r="AC19" s="7">
        <v>6.2</v>
      </c>
      <c r="AD19" s="7"/>
      <c r="AE19" s="7">
        <f t="shared" si="7"/>
        <v>0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x14ac:dyDescent="0.25">
      <c r="A20" s="7" t="s">
        <v>53</v>
      </c>
      <c r="B20" s="7" t="s">
        <v>35</v>
      </c>
      <c r="C20" s="7">
        <v>-1</v>
      </c>
      <c r="D20" s="7"/>
      <c r="E20" s="7">
        <v>-3</v>
      </c>
      <c r="F20" s="7">
        <v>-1</v>
      </c>
      <c r="G20" s="8">
        <v>0.47</v>
      </c>
      <c r="H20" s="7">
        <v>75</v>
      </c>
      <c r="I20" s="7">
        <v>1010015952</v>
      </c>
      <c r="J20" s="7"/>
      <c r="K20" s="7"/>
      <c r="L20" s="7">
        <f t="shared" si="2"/>
        <v>-3</v>
      </c>
      <c r="M20" s="7"/>
      <c r="N20" s="7"/>
      <c r="O20" s="7">
        <v>120</v>
      </c>
      <c r="P20" s="7">
        <f t="shared" si="3"/>
        <v>-0.6</v>
      </c>
      <c r="Q20" s="4"/>
      <c r="R20" s="4"/>
      <c r="S20" s="7"/>
      <c r="T20" s="7">
        <f t="shared" si="4"/>
        <v>-198.33333333333334</v>
      </c>
      <c r="U20" s="7">
        <f t="shared" si="5"/>
        <v>-198.33333333333334</v>
      </c>
      <c r="V20" s="7">
        <v>1.6</v>
      </c>
      <c r="W20" s="7">
        <v>5.4</v>
      </c>
      <c r="X20" s="7">
        <v>1</v>
      </c>
      <c r="Y20" s="7">
        <v>6</v>
      </c>
      <c r="Z20" s="7">
        <v>6.8</v>
      </c>
      <c r="AA20" s="7">
        <v>2.8</v>
      </c>
      <c r="AB20" s="7">
        <v>5.8</v>
      </c>
      <c r="AC20" s="7">
        <v>5.2</v>
      </c>
      <c r="AD20" s="7"/>
      <c r="AE20" s="7">
        <f t="shared" si="7"/>
        <v>0</v>
      </c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x14ac:dyDescent="0.25">
      <c r="A21" s="7" t="s">
        <v>54</v>
      </c>
      <c r="B21" s="7" t="s">
        <v>35</v>
      </c>
      <c r="C21" s="7">
        <v>211</v>
      </c>
      <c r="D21" s="7"/>
      <c r="E21" s="7">
        <v>68</v>
      </c>
      <c r="F21" s="7">
        <v>131</v>
      </c>
      <c r="G21" s="8">
        <v>0.3</v>
      </c>
      <c r="H21" s="7">
        <v>55</v>
      </c>
      <c r="I21" s="7">
        <v>1010032953</v>
      </c>
      <c r="J21" s="7"/>
      <c r="K21" s="7"/>
      <c r="L21" s="7">
        <f t="shared" si="2"/>
        <v>68</v>
      </c>
      <c r="M21" s="7"/>
      <c r="N21" s="7"/>
      <c r="O21" s="7">
        <v>400</v>
      </c>
      <c r="P21" s="7">
        <f t="shared" si="3"/>
        <v>13.6</v>
      </c>
      <c r="Q21" s="4"/>
      <c r="R21" s="4"/>
      <c r="S21" s="7"/>
      <c r="T21" s="7">
        <f t="shared" si="4"/>
        <v>39.044117647058826</v>
      </c>
      <c r="U21" s="7">
        <f t="shared" si="5"/>
        <v>39.044117647058826</v>
      </c>
      <c r="V21" s="7">
        <v>18.600000000000001</v>
      </c>
      <c r="W21" s="7">
        <v>38.200000000000003</v>
      </c>
      <c r="X21" s="7">
        <v>-3.6</v>
      </c>
      <c r="Y21" s="7">
        <v>22</v>
      </c>
      <c r="Z21" s="7">
        <v>27.6</v>
      </c>
      <c r="AA21" s="7">
        <v>15.4</v>
      </c>
      <c r="AB21" s="7">
        <v>22.6</v>
      </c>
      <c r="AC21" s="7">
        <v>19</v>
      </c>
      <c r="AD21" s="18" t="s">
        <v>72</v>
      </c>
      <c r="AE21" s="7">
        <f t="shared" si="7"/>
        <v>0</v>
      </c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x14ac:dyDescent="0.25">
      <c r="A22" s="7" t="s">
        <v>55</v>
      </c>
      <c r="B22" s="7" t="s">
        <v>35</v>
      </c>
      <c r="C22" s="7">
        <v>56</v>
      </c>
      <c r="D22" s="7"/>
      <c r="E22" s="7">
        <v>53</v>
      </c>
      <c r="F22" s="7">
        <v>-2</v>
      </c>
      <c r="G22" s="8">
        <v>0.375</v>
      </c>
      <c r="H22" s="7">
        <v>55</v>
      </c>
      <c r="I22" s="7">
        <v>1010022954</v>
      </c>
      <c r="J22" s="7"/>
      <c r="K22" s="7"/>
      <c r="L22" s="7">
        <f t="shared" si="2"/>
        <v>53</v>
      </c>
      <c r="M22" s="7"/>
      <c r="N22" s="7"/>
      <c r="O22" s="7">
        <v>600</v>
      </c>
      <c r="P22" s="7">
        <f t="shared" si="3"/>
        <v>10.6</v>
      </c>
      <c r="Q22" s="4"/>
      <c r="R22" s="4"/>
      <c r="S22" s="7"/>
      <c r="T22" s="7">
        <f t="shared" si="4"/>
        <v>56.415094339622641</v>
      </c>
      <c r="U22" s="7">
        <f t="shared" si="5"/>
        <v>56.415094339622641</v>
      </c>
      <c r="V22" s="7">
        <v>5.4</v>
      </c>
      <c r="W22" s="7">
        <v>54.8</v>
      </c>
      <c r="X22" s="7">
        <v>26.2</v>
      </c>
      <c r="Y22" s="7">
        <v>29.8</v>
      </c>
      <c r="Z22" s="7">
        <v>48</v>
      </c>
      <c r="AA22" s="7">
        <v>27.4</v>
      </c>
      <c r="AB22" s="7">
        <v>36.200000000000003</v>
      </c>
      <c r="AC22" s="7">
        <v>44.8</v>
      </c>
      <c r="AD22" s="7" t="s">
        <v>56</v>
      </c>
      <c r="AE22" s="7">
        <f t="shared" si="7"/>
        <v>0</v>
      </c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x14ac:dyDescent="0.25">
      <c r="A23" s="7" t="s">
        <v>57</v>
      </c>
      <c r="B23" s="7" t="s">
        <v>35</v>
      </c>
      <c r="C23" s="7">
        <v>71</v>
      </c>
      <c r="D23" s="7"/>
      <c r="E23" s="7">
        <v>55</v>
      </c>
      <c r="F23" s="7">
        <v>7</v>
      </c>
      <c r="G23" s="8">
        <v>0.375</v>
      </c>
      <c r="H23" s="7">
        <v>55</v>
      </c>
      <c r="I23" s="7">
        <v>1010016034</v>
      </c>
      <c r="J23" s="7"/>
      <c r="K23" s="7"/>
      <c r="L23" s="7">
        <f t="shared" si="2"/>
        <v>55</v>
      </c>
      <c r="M23" s="7"/>
      <c r="N23" s="7"/>
      <c r="O23" s="7">
        <v>600</v>
      </c>
      <c r="P23" s="7">
        <f t="shared" si="3"/>
        <v>11</v>
      </c>
      <c r="Q23" s="4"/>
      <c r="R23" s="4"/>
      <c r="S23" s="7"/>
      <c r="T23" s="7">
        <f t="shared" si="4"/>
        <v>55.18181818181818</v>
      </c>
      <c r="U23" s="7">
        <f t="shared" si="5"/>
        <v>55.18181818181818</v>
      </c>
      <c r="V23" s="7">
        <v>16</v>
      </c>
      <c r="W23" s="7">
        <v>36.6</v>
      </c>
      <c r="X23" s="7">
        <v>19</v>
      </c>
      <c r="Y23" s="7">
        <v>24.4</v>
      </c>
      <c r="Z23" s="7">
        <v>29.8</v>
      </c>
      <c r="AA23" s="7">
        <v>17.8</v>
      </c>
      <c r="AB23" s="7">
        <v>24.8</v>
      </c>
      <c r="AC23" s="7">
        <v>31.8</v>
      </c>
      <c r="AD23" s="7" t="s">
        <v>58</v>
      </c>
      <c r="AE23" s="7">
        <f t="shared" si="7"/>
        <v>0</v>
      </c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x14ac:dyDescent="0.25">
      <c r="A24" s="7" t="s">
        <v>59</v>
      </c>
      <c r="B24" s="7" t="s">
        <v>35</v>
      </c>
      <c r="C24" s="7">
        <v>102</v>
      </c>
      <c r="D24" s="7"/>
      <c r="E24" s="7">
        <v>78</v>
      </c>
      <c r="F24" s="7">
        <v>17</v>
      </c>
      <c r="G24" s="8">
        <v>0.375</v>
      </c>
      <c r="H24" s="7">
        <v>55</v>
      </c>
      <c r="I24" s="7">
        <v>1010023122</v>
      </c>
      <c r="J24" s="7"/>
      <c r="K24" s="7"/>
      <c r="L24" s="7">
        <f t="shared" si="2"/>
        <v>78</v>
      </c>
      <c r="M24" s="7"/>
      <c r="N24" s="7"/>
      <c r="O24" s="7">
        <v>500</v>
      </c>
      <c r="P24" s="7">
        <f t="shared" si="3"/>
        <v>15.6</v>
      </c>
      <c r="Q24" s="4"/>
      <c r="R24" s="4"/>
      <c r="S24" s="7"/>
      <c r="T24" s="7">
        <f t="shared" si="4"/>
        <v>33.141025641025642</v>
      </c>
      <c r="U24" s="7">
        <f t="shared" si="5"/>
        <v>33.141025641025642</v>
      </c>
      <c r="V24" s="7">
        <v>15.8</v>
      </c>
      <c r="W24" s="7">
        <v>42.2</v>
      </c>
      <c r="X24" s="7">
        <v>7.4</v>
      </c>
      <c r="Y24" s="7">
        <v>33.4</v>
      </c>
      <c r="Z24" s="7">
        <v>34</v>
      </c>
      <c r="AA24" s="7">
        <v>18.399999999999999</v>
      </c>
      <c r="AB24" s="7">
        <v>26.2</v>
      </c>
      <c r="AC24" s="7">
        <v>43.4</v>
      </c>
      <c r="AD24" s="7"/>
      <c r="AE24" s="7">
        <f t="shared" si="7"/>
        <v>0</v>
      </c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x14ac:dyDescent="0.25">
      <c r="A25" s="13" t="s">
        <v>60</v>
      </c>
      <c r="B25" s="13" t="s">
        <v>35</v>
      </c>
      <c r="C25" s="13">
        <v>-8</v>
      </c>
      <c r="D25" s="13"/>
      <c r="E25" s="13"/>
      <c r="F25" s="13">
        <v>-8</v>
      </c>
      <c r="G25" s="14">
        <v>0</v>
      </c>
      <c r="H25" s="13">
        <v>120</v>
      </c>
      <c r="I25" s="13" t="s">
        <v>61</v>
      </c>
      <c r="J25" s="13"/>
      <c r="K25" s="13"/>
      <c r="L25" s="13">
        <f t="shared" si="2"/>
        <v>0</v>
      </c>
      <c r="M25" s="13"/>
      <c r="N25" s="13"/>
      <c r="O25" s="13"/>
      <c r="P25" s="13">
        <f t="shared" si="3"/>
        <v>0</v>
      </c>
      <c r="Q25" s="15"/>
      <c r="R25" s="15"/>
      <c r="S25" s="13"/>
      <c r="T25" s="13" t="e">
        <f t="shared" si="4"/>
        <v>#DIV/0!</v>
      </c>
      <c r="U25" s="13" t="e">
        <f t="shared" si="5"/>
        <v>#DIV/0!</v>
      </c>
      <c r="V25" s="13">
        <v>0</v>
      </c>
      <c r="W25" s="13">
        <v>-0.2</v>
      </c>
      <c r="X25" s="13">
        <v>0</v>
      </c>
      <c r="Y25" s="13">
        <v>-1.6</v>
      </c>
      <c r="Z25" s="13">
        <v>-0.2</v>
      </c>
      <c r="AA25" s="13">
        <v>-0.2</v>
      </c>
      <c r="AB25" s="13">
        <v>0</v>
      </c>
      <c r="AC25" s="13">
        <v>0</v>
      </c>
      <c r="AD25" s="13"/>
      <c r="AE25" s="13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x14ac:dyDescent="0.25">
      <c r="A26" s="10" t="s">
        <v>62</v>
      </c>
      <c r="B26" s="7"/>
      <c r="C26" s="7">
        <v>40</v>
      </c>
      <c r="D26" s="7"/>
      <c r="E26" s="7">
        <v>20</v>
      </c>
      <c r="F26" s="7">
        <v>20</v>
      </c>
      <c r="G26" s="8">
        <v>0.1</v>
      </c>
      <c r="H26" s="7">
        <v>120</v>
      </c>
      <c r="I26" s="7">
        <v>1010031576</v>
      </c>
      <c r="J26" s="7"/>
      <c r="K26" s="7"/>
      <c r="L26" s="7">
        <f t="shared" si="2"/>
        <v>20</v>
      </c>
      <c r="M26" s="7"/>
      <c r="N26" s="7"/>
      <c r="O26" s="7">
        <v>200</v>
      </c>
      <c r="P26" s="7">
        <f t="shared" si="3"/>
        <v>4</v>
      </c>
      <c r="Q26" s="4"/>
      <c r="R26" s="4"/>
      <c r="S26" s="7"/>
      <c r="T26" s="7">
        <f t="shared" si="4"/>
        <v>55</v>
      </c>
      <c r="U26" s="7">
        <f t="shared" si="5"/>
        <v>55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 t="s">
        <v>36</v>
      </c>
      <c r="AE26" s="7">
        <f t="shared" ref="AE26:AE32" si="8">G26*Q26</f>
        <v>0</v>
      </c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x14ac:dyDescent="0.25">
      <c r="A27" s="7" t="s">
        <v>43</v>
      </c>
      <c r="B27" s="7" t="s">
        <v>35</v>
      </c>
      <c r="C27" s="7">
        <v>2</v>
      </c>
      <c r="D27" s="7"/>
      <c r="E27" s="17">
        <f>0+E10</f>
        <v>-10</v>
      </c>
      <c r="F27" s="17">
        <f>2+F10</f>
        <v>5</v>
      </c>
      <c r="G27" s="8">
        <v>0.3</v>
      </c>
      <c r="H27" s="7">
        <v>150</v>
      </c>
      <c r="I27" s="7">
        <v>1010033324</v>
      </c>
      <c r="J27" s="7"/>
      <c r="K27" s="7"/>
      <c r="L27" s="7">
        <f t="shared" si="2"/>
        <v>-10</v>
      </c>
      <c r="M27" s="7"/>
      <c r="N27" s="7"/>
      <c r="O27" s="7">
        <v>600</v>
      </c>
      <c r="P27" s="7">
        <f t="shared" si="3"/>
        <v>-2</v>
      </c>
      <c r="Q27" s="4"/>
      <c r="R27" s="4"/>
      <c r="S27" s="7"/>
      <c r="T27" s="7">
        <f t="shared" si="4"/>
        <v>-302.5</v>
      </c>
      <c r="U27" s="7">
        <f t="shared" si="5"/>
        <v>-302.5</v>
      </c>
      <c r="V27" s="7">
        <v>2.8</v>
      </c>
      <c r="W27" s="7">
        <v>0.8</v>
      </c>
      <c r="X27" s="7">
        <v>18.399999999999999</v>
      </c>
      <c r="Y27" s="7">
        <v>2.6</v>
      </c>
      <c r="Z27" s="7">
        <v>16.8</v>
      </c>
      <c r="AA27" s="7">
        <v>13.2</v>
      </c>
      <c r="AB27" s="7">
        <v>6</v>
      </c>
      <c r="AC27" s="7">
        <v>17.8</v>
      </c>
      <c r="AD27" s="7"/>
      <c r="AE27" s="7">
        <f t="shared" si="8"/>
        <v>0</v>
      </c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x14ac:dyDescent="0.25">
      <c r="A28" s="7" t="s">
        <v>63</v>
      </c>
      <c r="B28" s="7" t="s">
        <v>35</v>
      </c>
      <c r="C28" s="7">
        <v>129</v>
      </c>
      <c r="D28" s="7"/>
      <c r="E28" s="7">
        <v>130</v>
      </c>
      <c r="F28" s="7">
        <v>-2</v>
      </c>
      <c r="G28" s="8">
        <v>0.2</v>
      </c>
      <c r="H28" s="7">
        <v>90</v>
      </c>
      <c r="I28" s="7">
        <v>1010025585</v>
      </c>
      <c r="J28" s="7"/>
      <c r="K28" s="7"/>
      <c r="L28" s="7">
        <f t="shared" si="2"/>
        <v>130</v>
      </c>
      <c r="M28" s="7"/>
      <c r="N28" s="7"/>
      <c r="O28" s="7">
        <v>800</v>
      </c>
      <c r="P28" s="7">
        <f t="shared" si="3"/>
        <v>26</v>
      </c>
      <c r="Q28" s="4"/>
      <c r="R28" s="4"/>
      <c r="S28" s="7"/>
      <c r="T28" s="7">
        <f t="shared" si="4"/>
        <v>30.692307692307693</v>
      </c>
      <c r="U28" s="7">
        <f t="shared" si="5"/>
        <v>30.692307692307693</v>
      </c>
      <c r="V28" s="7">
        <v>29</v>
      </c>
      <c r="W28" s="7">
        <v>53.6</v>
      </c>
      <c r="X28" s="7">
        <v>48.4</v>
      </c>
      <c r="Y28" s="7">
        <v>41.6</v>
      </c>
      <c r="Z28" s="7">
        <v>56.2</v>
      </c>
      <c r="AA28" s="7">
        <v>52.6</v>
      </c>
      <c r="AB28" s="7">
        <v>31</v>
      </c>
      <c r="AC28" s="7">
        <v>53</v>
      </c>
      <c r="AD28" s="7"/>
      <c r="AE28" s="7">
        <f t="shared" si="8"/>
        <v>0</v>
      </c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x14ac:dyDescent="0.25">
      <c r="A29" s="7" t="s">
        <v>64</v>
      </c>
      <c r="B29" s="7" t="s">
        <v>35</v>
      </c>
      <c r="C29" s="7">
        <v>168</v>
      </c>
      <c r="D29" s="7"/>
      <c r="E29" s="7">
        <v>82</v>
      </c>
      <c r="F29" s="7">
        <v>75</v>
      </c>
      <c r="G29" s="8">
        <v>0.33</v>
      </c>
      <c r="H29" s="7">
        <v>55</v>
      </c>
      <c r="I29" s="7">
        <v>1010029655</v>
      </c>
      <c r="J29" s="7"/>
      <c r="K29" s="7"/>
      <c r="L29" s="7">
        <f t="shared" si="2"/>
        <v>82</v>
      </c>
      <c r="M29" s="7"/>
      <c r="N29" s="7"/>
      <c r="O29" s="7">
        <v>500</v>
      </c>
      <c r="P29" s="7">
        <f t="shared" si="3"/>
        <v>16.399999999999999</v>
      </c>
      <c r="Q29" s="4"/>
      <c r="R29" s="4"/>
      <c r="S29" s="7"/>
      <c r="T29" s="7">
        <f t="shared" si="4"/>
        <v>35.060975609756099</v>
      </c>
      <c r="U29" s="7">
        <f t="shared" si="5"/>
        <v>35.060975609756099</v>
      </c>
      <c r="V29" s="7">
        <v>20.2</v>
      </c>
      <c r="W29" s="7">
        <v>32.200000000000003</v>
      </c>
      <c r="X29" s="7">
        <v>15.4</v>
      </c>
      <c r="Y29" s="7">
        <v>23.8</v>
      </c>
      <c r="Z29" s="7">
        <v>36.6</v>
      </c>
      <c r="AA29" s="7">
        <v>10.199999999999999</v>
      </c>
      <c r="AB29" s="7">
        <v>24.4</v>
      </c>
      <c r="AC29" s="7">
        <v>29.8</v>
      </c>
      <c r="AD29" s="19" t="s">
        <v>73</v>
      </c>
      <c r="AE29" s="7">
        <f t="shared" si="8"/>
        <v>0</v>
      </c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x14ac:dyDescent="0.25">
      <c r="A30" s="10" t="s">
        <v>65</v>
      </c>
      <c r="B30" s="7" t="s">
        <v>35</v>
      </c>
      <c r="C30" s="7">
        <v>9</v>
      </c>
      <c r="D30" s="7"/>
      <c r="E30" s="7">
        <v>6</v>
      </c>
      <c r="F30" s="7">
        <v>3</v>
      </c>
      <c r="G30" s="8">
        <v>0.35</v>
      </c>
      <c r="H30" s="7">
        <v>45</v>
      </c>
      <c r="I30" s="7">
        <v>1010031142</v>
      </c>
      <c r="J30" s="7"/>
      <c r="K30" s="7"/>
      <c r="L30" s="7">
        <f t="shared" si="2"/>
        <v>6</v>
      </c>
      <c r="M30" s="7"/>
      <c r="N30" s="7"/>
      <c r="O30" s="7">
        <v>120</v>
      </c>
      <c r="P30" s="7">
        <f t="shared" si="3"/>
        <v>1.2</v>
      </c>
      <c r="Q30" s="4"/>
      <c r="R30" s="4"/>
      <c r="S30" s="7"/>
      <c r="T30" s="7">
        <f t="shared" si="4"/>
        <v>102.5</v>
      </c>
      <c r="U30" s="7">
        <f t="shared" si="5"/>
        <v>102.5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 t="s">
        <v>36</v>
      </c>
      <c r="AE30" s="7">
        <f t="shared" si="8"/>
        <v>0</v>
      </c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x14ac:dyDescent="0.25">
      <c r="A31" s="10" t="s">
        <v>66</v>
      </c>
      <c r="B31" s="7" t="s">
        <v>35</v>
      </c>
      <c r="C31" s="7">
        <v>40</v>
      </c>
      <c r="D31" s="7"/>
      <c r="E31" s="7">
        <v>20</v>
      </c>
      <c r="F31" s="7">
        <v>20</v>
      </c>
      <c r="G31" s="8">
        <v>0.1</v>
      </c>
      <c r="H31" s="7">
        <v>90</v>
      </c>
      <c r="I31" s="7">
        <v>1010032043</v>
      </c>
      <c r="J31" s="7"/>
      <c r="K31" s="7"/>
      <c r="L31" s="7">
        <f t="shared" si="2"/>
        <v>20</v>
      </c>
      <c r="M31" s="7"/>
      <c r="N31" s="7"/>
      <c r="O31" s="7">
        <v>200</v>
      </c>
      <c r="P31" s="7">
        <f t="shared" si="3"/>
        <v>4</v>
      </c>
      <c r="Q31" s="4"/>
      <c r="R31" s="4"/>
      <c r="S31" s="7"/>
      <c r="T31" s="7">
        <f t="shared" si="4"/>
        <v>55</v>
      </c>
      <c r="U31" s="7">
        <f t="shared" si="5"/>
        <v>55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 t="s">
        <v>36</v>
      </c>
      <c r="AE31" s="7">
        <f t="shared" si="8"/>
        <v>0</v>
      </c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x14ac:dyDescent="0.25">
      <c r="A32" s="10" t="s">
        <v>67</v>
      </c>
      <c r="B32" s="7" t="s">
        <v>35</v>
      </c>
      <c r="C32" s="7">
        <v>10</v>
      </c>
      <c r="D32" s="7"/>
      <c r="E32" s="7">
        <v>10</v>
      </c>
      <c r="F32" s="7"/>
      <c r="G32" s="8">
        <v>0.5</v>
      </c>
      <c r="H32" s="7">
        <v>45</v>
      </c>
      <c r="I32" s="7">
        <v>1010033903</v>
      </c>
      <c r="J32" s="7"/>
      <c r="K32" s="7"/>
      <c r="L32" s="7">
        <f t="shared" si="2"/>
        <v>10</v>
      </c>
      <c r="M32" s="7"/>
      <c r="N32" s="7"/>
      <c r="O32" s="7">
        <v>200</v>
      </c>
      <c r="P32" s="7">
        <f t="shared" si="3"/>
        <v>2</v>
      </c>
      <c r="Q32" s="4"/>
      <c r="R32" s="4"/>
      <c r="S32" s="7"/>
      <c r="T32" s="7">
        <f t="shared" si="4"/>
        <v>100</v>
      </c>
      <c r="U32" s="7">
        <f t="shared" si="5"/>
        <v>100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 t="s">
        <v>36</v>
      </c>
      <c r="AE32" s="7">
        <f t="shared" si="8"/>
        <v>0</v>
      </c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x14ac:dyDescent="0.25">
      <c r="A33" s="13" t="s">
        <v>68</v>
      </c>
      <c r="B33" s="13" t="s">
        <v>35</v>
      </c>
      <c r="C33" s="13">
        <v>316</v>
      </c>
      <c r="D33" s="13"/>
      <c r="E33" s="17">
        <v>82</v>
      </c>
      <c r="F33" s="17">
        <v>233</v>
      </c>
      <c r="G33" s="14">
        <v>0</v>
      </c>
      <c r="H33" s="13"/>
      <c r="I33" s="13" t="s">
        <v>42</v>
      </c>
      <c r="J33" s="13" t="s">
        <v>48</v>
      </c>
      <c r="K33" s="13"/>
      <c r="L33" s="13">
        <f t="shared" si="2"/>
        <v>82</v>
      </c>
      <c r="M33" s="13"/>
      <c r="N33" s="13"/>
      <c r="O33" s="13"/>
      <c r="P33" s="13">
        <f t="shared" si="3"/>
        <v>16.399999999999999</v>
      </c>
      <c r="Q33" s="15"/>
      <c r="R33" s="15"/>
      <c r="S33" s="13"/>
      <c r="T33" s="13">
        <f t="shared" si="4"/>
        <v>14.207317073170733</v>
      </c>
      <c r="U33" s="13">
        <f t="shared" si="5"/>
        <v>14.207317073170733</v>
      </c>
      <c r="V33" s="13">
        <v>19.8</v>
      </c>
      <c r="W33" s="13">
        <v>59</v>
      </c>
      <c r="X33" s="13">
        <v>0</v>
      </c>
      <c r="Y33" s="13">
        <v>20.2</v>
      </c>
      <c r="Z33" s="13">
        <v>38.200000000000003</v>
      </c>
      <c r="AA33" s="13">
        <v>6.8</v>
      </c>
      <c r="AB33" s="13">
        <v>0</v>
      </c>
      <c r="AC33" s="13">
        <v>0</v>
      </c>
      <c r="AD33" s="13"/>
      <c r="AE33" s="13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x14ac:dyDescent="0.25">
      <c r="A34" s="10" t="s">
        <v>69</v>
      </c>
      <c r="B34" s="7" t="s">
        <v>35</v>
      </c>
      <c r="C34" s="7">
        <v>9</v>
      </c>
      <c r="D34" s="7"/>
      <c r="E34" s="7">
        <v>9</v>
      </c>
      <c r="F34" s="7"/>
      <c r="G34" s="8">
        <v>0.35</v>
      </c>
      <c r="H34" s="7">
        <v>45</v>
      </c>
      <c r="I34" s="7">
        <v>1010032675</v>
      </c>
      <c r="J34" s="7"/>
      <c r="K34" s="7"/>
      <c r="L34" s="7">
        <f t="shared" si="2"/>
        <v>9</v>
      </c>
      <c r="M34" s="7"/>
      <c r="N34" s="7"/>
      <c r="O34" s="7">
        <v>120</v>
      </c>
      <c r="P34" s="7">
        <f t="shared" si="3"/>
        <v>1.8</v>
      </c>
      <c r="Q34" s="4"/>
      <c r="R34" s="4"/>
      <c r="S34" s="7"/>
      <c r="T34" s="7">
        <f t="shared" si="4"/>
        <v>66.666666666666671</v>
      </c>
      <c r="U34" s="7">
        <f t="shared" si="5"/>
        <v>66.666666666666671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 t="s">
        <v>36</v>
      </c>
      <c r="AE34" s="7">
        <f>G34*Q34</f>
        <v>0</v>
      </c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x14ac:dyDescent="0.25">
      <c r="A35" s="10" t="s">
        <v>70</v>
      </c>
      <c r="B35" s="7" t="s">
        <v>35</v>
      </c>
      <c r="C35" s="7">
        <v>9</v>
      </c>
      <c r="D35" s="7"/>
      <c r="E35" s="7">
        <v>9</v>
      </c>
      <c r="F35" s="7"/>
      <c r="G35" s="8">
        <v>0.35</v>
      </c>
      <c r="H35" s="7">
        <v>45</v>
      </c>
      <c r="I35" s="7">
        <v>1010031149</v>
      </c>
      <c r="J35" s="7"/>
      <c r="K35" s="7"/>
      <c r="L35" s="7">
        <f t="shared" si="2"/>
        <v>9</v>
      </c>
      <c r="M35" s="7"/>
      <c r="N35" s="7"/>
      <c r="O35" s="7">
        <v>120</v>
      </c>
      <c r="P35" s="7">
        <f t="shared" si="3"/>
        <v>1.8</v>
      </c>
      <c r="Q35" s="4"/>
      <c r="R35" s="4"/>
      <c r="S35" s="7"/>
      <c r="T35" s="7">
        <f t="shared" si="4"/>
        <v>66.666666666666671</v>
      </c>
      <c r="U35" s="7">
        <f t="shared" si="5"/>
        <v>66.666666666666671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 t="s">
        <v>36</v>
      </c>
      <c r="AE35" s="7">
        <f>G35*Q35</f>
        <v>0</v>
      </c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x14ac:dyDescent="0.25">
      <c r="A36" s="7" t="s">
        <v>71</v>
      </c>
      <c r="B36" s="7" t="s">
        <v>35</v>
      </c>
      <c r="C36" s="7">
        <v>9</v>
      </c>
      <c r="D36" s="7"/>
      <c r="E36" s="7">
        <v>9</v>
      </c>
      <c r="F36" s="7"/>
      <c r="G36" s="8">
        <v>0.35</v>
      </c>
      <c r="H36" s="7">
        <v>45</v>
      </c>
      <c r="I36" s="7">
        <v>1010031327</v>
      </c>
      <c r="J36" s="7"/>
      <c r="K36" s="7"/>
      <c r="L36" s="7">
        <f t="shared" si="2"/>
        <v>9</v>
      </c>
      <c r="M36" s="7"/>
      <c r="N36" s="7"/>
      <c r="O36" s="7">
        <v>120</v>
      </c>
      <c r="P36" s="7">
        <f t="shared" si="3"/>
        <v>1.8</v>
      </c>
      <c r="Q36" s="4"/>
      <c r="R36" s="4"/>
      <c r="S36" s="7"/>
      <c r="T36" s="7">
        <f t="shared" si="4"/>
        <v>66.666666666666671</v>
      </c>
      <c r="U36" s="7">
        <f t="shared" si="5"/>
        <v>66.666666666666671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 t="s">
        <v>36</v>
      </c>
      <c r="AE36" s="7">
        <f>G36*Q36</f>
        <v>0</v>
      </c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x14ac:dyDescent="0.25">
      <c r="A37" s="7"/>
      <c r="B37" s="7"/>
      <c r="C37" s="7"/>
      <c r="D37" s="7"/>
      <c r="E37" s="7"/>
      <c r="F37" s="7"/>
      <c r="G37" s="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x14ac:dyDescent="0.25">
      <c r="A38" s="7"/>
      <c r="B38" s="7"/>
      <c r="C38" s="7"/>
      <c r="D38" s="7"/>
      <c r="E38" s="7"/>
      <c r="F38" s="7"/>
      <c r="G38" s="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x14ac:dyDescent="0.25">
      <c r="A39" s="7"/>
      <c r="B39" s="7"/>
      <c r="C39" s="7"/>
      <c r="D39" s="7"/>
      <c r="E39" s="7"/>
      <c r="F39" s="7"/>
      <c r="G39" s="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x14ac:dyDescent="0.25">
      <c r="A40" s="7"/>
      <c r="B40" s="7"/>
      <c r="C40" s="7"/>
      <c r="D40" s="7"/>
      <c r="E40" s="7"/>
      <c r="F40" s="7"/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x14ac:dyDescent="0.25">
      <c r="A41" s="7"/>
      <c r="B41" s="7"/>
      <c r="C41" s="7"/>
      <c r="D41" s="7"/>
      <c r="E41" s="7"/>
      <c r="F41" s="7"/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x14ac:dyDescent="0.25">
      <c r="A42" s="7"/>
      <c r="B42" s="7"/>
      <c r="C42" s="7"/>
      <c r="D42" s="7"/>
      <c r="E42" s="7"/>
      <c r="F42" s="7"/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x14ac:dyDescent="0.25">
      <c r="A43" s="7"/>
      <c r="B43" s="7"/>
      <c r="C43" s="7"/>
      <c r="D43" s="7"/>
      <c r="E43" s="7"/>
      <c r="F43" s="7"/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x14ac:dyDescent="0.25">
      <c r="A44" s="7"/>
      <c r="B44" s="7"/>
      <c r="C44" s="7"/>
      <c r="D44" s="7"/>
      <c r="E44" s="7"/>
      <c r="F44" s="7"/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x14ac:dyDescent="0.25">
      <c r="A45" s="7"/>
      <c r="B45" s="7"/>
      <c r="C45" s="7"/>
      <c r="D45" s="7"/>
      <c r="E45" s="7"/>
      <c r="F45" s="7"/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x14ac:dyDescent="0.25">
      <c r="A46" s="7"/>
      <c r="B46" s="7"/>
      <c r="C46" s="7"/>
      <c r="D46" s="7"/>
      <c r="E46" s="7"/>
      <c r="F46" s="7"/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x14ac:dyDescent="0.25">
      <c r="A47" s="7"/>
      <c r="B47" s="7"/>
      <c r="C47" s="7"/>
      <c r="D47" s="7"/>
      <c r="E47" s="7"/>
      <c r="F47" s="7"/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x14ac:dyDescent="0.25">
      <c r="A48" s="7"/>
      <c r="B48" s="7"/>
      <c r="C48" s="7"/>
      <c r="D48" s="7"/>
      <c r="E48" s="7"/>
      <c r="F48" s="7"/>
      <c r="G48" s="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x14ac:dyDescent="0.25">
      <c r="A49" s="7"/>
      <c r="B49" s="7"/>
      <c r="C49" s="7"/>
      <c r="D49" s="7"/>
      <c r="E49" s="7"/>
      <c r="F49" s="7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x14ac:dyDescent="0.25">
      <c r="A50" s="7"/>
      <c r="B50" s="7"/>
      <c r="C50" s="7"/>
      <c r="D50" s="7"/>
      <c r="E50" s="7"/>
      <c r="F50" s="7"/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x14ac:dyDescent="0.25">
      <c r="A51" s="7"/>
      <c r="B51" s="7"/>
      <c r="C51" s="7"/>
      <c r="D51" s="7"/>
      <c r="E51" s="7"/>
      <c r="F51" s="7"/>
      <c r="G51" s="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x14ac:dyDescent="0.25">
      <c r="A52" s="7"/>
      <c r="B52" s="7"/>
      <c r="C52" s="7"/>
      <c r="D52" s="7"/>
      <c r="E52" s="7"/>
      <c r="F52" s="7"/>
      <c r="G52" s="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x14ac:dyDescent="0.25">
      <c r="A53" s="7"/>
      <c r="B53" s="7"/>
      <c r="C53" s="7"/>
      <c r="D53" s="7"/>
      <c r="E53" s="7"/>
      <c r="F53" s="7"/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x14ac:dyDescent="0.25">
      <c r="A54" s="7"/>
      <c r="B54" s="7"/>
      <c r="C54" s="7"/>
      <c r="D54" s="7"/>
      <c r="E54" s="7"/>
      <c r="F54" s="7"/>
      <c r="G54" s="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x14ac:dyDescent="0.25">
      <c r="A55" s="7"/>
      <c r="B55" s="7"/>
      <c r="C55" s="7"/>
      <c r="D55" s="7"/>
      <c r="E55" s="7"/>
      <c r="F55" s="7"/>
      <c r="G55" s="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x14ac:dyDescent="0.25">
      <c r="A56" s="7"/>
      <c r="B56" s="7"/>
      <c r="C56" s="7"/>
      <c r="D56" s="7"/>
      <c r="E56" s="7"/>
      <c r="F56" s="7"/>
      <c r="G56" s="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x14ac:dyDescent="0.25">
      <c r="A57" s="7"/>
      <c r="B57" s="7"/>
      <c r="C57" s="7"/>
      <c r="D57" s="7"/>
      <c r="E57" s="7"/>
      <c r="F57" s="7"/>
      <c r="G57" s="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x14ac:dyDescent="0.25">
      <c r="A58" s="7"/>
      <c r="B58" s="7"/>
      <c r="C58" s="7"/>
      <c r="D58" s="7"/>
      <c r="E58" s="7"/>
      <c r="F58" s="7"/>
      <c r="G58" s="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x14ac:dyDescent="0.25">
      <c r="A59" s="7"/>
      <c r="B59" s="7"/>
      <c r="C59" s="7"/>
      <c r="D59" s="7"/>
      <c r="E59" s="7"/>
      <c r="F59" s="7"/>
      <c r="G59" s="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x14ac:dyDescent="0.25">
      <c r="A60" s="7"/>
      <c r="B60" s="7"/>
      <c r="C60" s="7"/>
      <c r="D60" s="7"/>
      <c r="E60" s="7"/>
      <c r="F60" s="7"/>
      <c r="G60" s="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x14ac:dyDescent="0.25">
      <c r="A61" s="7"/>
      <c r="B61" s="7"/>
      <c r="C61" s="7"/>
      <c r="D61" s="7"/>
      <c r="E61" s="7"/>
      <c r="F61" s="7"/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x14ac:dyDescent="0.25">
      <c r="A62" s="7"/>
      <c r="B62" s="7"/>
      <c r="C62" s="7"/>
      <c r="D62" s="7"/>
      <c r="E62" s="7"/>
      <c r="F62" s="7"/>
      <c r="G62" s="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x14ac:dyDescent="0.25">
      <c r="A63" s="7"/>
      <c r="B63" s="7"/>
      <c r="C63" s="7"/>
      <c r="D63" s="7"/>
      <c r="E63" s="7"/>
      <c r="F63" s="7"/>
      <c r="G63" s="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x14ac:dyDescent="0.25">
      <c r="A64" s="7"/>
      <c r="B64" s="7"/>
      <c r="C64" s="7"/>
      <c r="D64" s="7"/>
      <c r="E64" s="7"/>
      <c r="F64" s="7"/>
      <c r="G64" s="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x14ac:dyDescent="0.25">
      <c r="A65" s="7"/>
      <c r="B65" s="7"/>
      <c r="C65" s="7"/>
      <c r="D65" s="7"/>
      <c r="E65" s="7"/>
      <c r="F65" s="7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x14ac:dyDescent="0.25">
      <c r="A66" s="7"/>
      <c r="B66" s="7"/>
      <c r="C66" s="7"/>
      <c r="D66" s="7"/>
      <c r="E66" s="7"/>
      <c r="F66" s="7"/>
      <c r="G66" s="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x14ac:dyDescent="0.25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x14ac:dyDescent="0.25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x14ac:dyDescent="0.25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x14ac:dyDescent="0.25">
      <c r="A70" s="7"/>
      <c r="B70" s="7"/>
      <c r="C70" s="7"/>
      <c r="D70" s="7"/>
      <c r="E70" s="7"/>
      <c r="F70" s="7"/>
      <c r="G70" s="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x14ac:dyDescent="0.25">
      <c r="A71" s="7"/>
      <c r="B71" s="7"/>
      <c r="C71" s="7"/>
      <c r="D71" s="7"/>
      <c r="E71" s="7"/>
      <c r="F71" s="7"/>
      <c r="G71" s="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x14ac:dyDescent="0.25">
      <c r="A72" s="7"/>
      <c r="B72" s="7"/>
      <c r="C72" s="7"/>
      <c r="D72" s="7"/>
      <c r="E72" s="7"/>
      <c r="F72" s="7"/>
      <c r="G72" s="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x14ac:dyDescent="0.25">
      <c r="A73" s="7"/>
      <c r="B73" s="7"/>
      <c r="C73" s="7"/>
      <c r="D73" s="7"/>
      <c r="E73" s="7"/>
      <c r="F73" s="7"/>
      <c r="G73" s="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x14ac:dyDescent="0.25">
      <c r="A74" s="7"/>
      <c r="B74" s="7"/>
      <c r="C74" s="7"/>
      <c r="D74" s="7"/>
      <c r="E74" s="7"/>
      <c r="F74" s="7"/>
      <c r="G74" s="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x14ac:dyDescent="0.25">
      <c r="A75" s="7"/>
      <c r="B75" s="7"/>
      <c r="C75" s="7"/>
      <c r="D75" s="7"/>
      <c r="E75" s="7"/>
      <c r="F75" s="7"/>
      <c r="G75" s="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x14ac:dyDescent="0.25">
      <c r="A76" s="7"/>
      <c r="B76" s="7"/>
      <c r="C76" s="7"/>
      <c r="D76" s="7"/>
      <c r="E76" s="7"/>
      <c r="F76" s="7"/>
      <c r="G76" s="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x14ac:dyDescent="0.25">
      <c r="A77" s="7"/>
      <c r="B77" s="7"/>
      <c r="C77" s="7"/>
      <c r="D77" s="7"/>
      <c r="E77" s="7"/>
      <c r="F77" s="7"/>
      <c r="G77" s="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x14ac:dyDescent="0.25">
      <c r="A78" s="7"/>
      <c r="B78" s="7"/>
      <c r="C78" s="7"/>
      <c r="D78" s="7"/>
      <c r="E78" s="7"/>
      <c r="F78" s="7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x14ac:dyDescent="0.25">
      <c r="A79" s="7"/>
      <c r="B79" s="7"/>
      <c r="C79" s="7"/>
      <c r="D79" s="7"/>
      <c r="E79" s="7"/>
      <c r="F79" s="7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x14ac:dyDescent="0.25">
      <c r="A80" s="7"/>
      <c r="B80" s="7"/>
      <c r="C80" s="7"/>
      <c r="D80" s="7"/>
      <c r="E80" s="7"/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x14ac:dyDescent="0.25">
      <c r="A81" s="7"/>
      <c r="B81" s="7"/>
      <c r="C81" s="7"/>
      <c r="D81" s="7"/>
      <c r="E81" s="7"/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x14ac:dyDescent="0.25">
      <c r="A82" s="7"/>
      <c r="B82" s="7"/>
      <c r="C82" s="7"/>
      <c r="D82" s="7"/>
      <c r="E82" s="7"/>
      <c r="F82" s="7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x14ac:dyDescent="0.25">
      <c r="A83" s="7"/>
      <c r="B83" s="7"/>
      <c r="C83" s="7"/>
      <c r="D83" s="7"/>
      <c r="E83" s="7"/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x14ac:dyDescent="0.25">
      <c r="A84" s="7"/>
      <c r="B84" s="7"/>
      <c r="C84" s="7"/>
      <c r="D84" s="7"/>
      <c r="E84" s="7"/>
      <c r="F84" s="7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x14ac:dyDescent="0.25">
      <c r="A85" s="7"/>
      <c r="B85" s="7"/>
      <c r="C85" s="7"/>
      <c r="D85" s="7"/>
      <c r="E85" s="7"/>
      <c r="F85" s="7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x14ac:dyDescent="0.25">
      <c r="A86" s="7"/>
      <c r="B86" s="7"/>
      <c r="C86" s="7"/>
      <c r="D86" s="7"/>
      <c r="E86" s="7"/>
      <c r="F86" s="7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x14ac:dyDescent="0.25">
      <c r="A87" s="7"/>
      <c r="B87" s="7"/>
      <c r="C87" s="7"/>
      <c r="D87" s="7"/>
      <c r="E87" s="7"/>
      <c r="F87" s="7"/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x14ac:dyDescent="0.25">
      <c r="A88" s="7"/>
      <c r="B88" s="7"/>
      <c r="C88" s="7"/>
      <c r="D88" s="7"/>
      <c r="E88" s="7"/>
      <c r="F88" s="7"/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x14ac:dyDescent="0.25">
      <c r="A89" s="7"/>
      <c r="B89" s="7"/>
      <c r="C89" s="7"/>
      <c r="D89" s="7"/>
      <c r="E89" s="7"/>
      <c r="F89" s="7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x14ac:dyDescent="0.25">
      <c r="A90" s="7"/>
      <c r="B90" s="7"/>
      <c r="C90" s="7"/>
      <c r="D90" s="7"/>
      <c r="E90" s="7"/>
      <c r="F90" s="7"/>
      <c r="G90" s="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x14ac:dyDescent="0.25">
      <c r="A91" s="7"/>
      <c r="B91" s="7"/>
      <c r="C91" s="7"/>
      <c r="D91" s="7"/>
      <c r="E91" s="7"/>
      <c r="F91" s="7"/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x14ac:dyDescent="0.25">
      <c r="A92" s="7"/>
      <c r="B92" s="7"/>
      <c r="C92" s="7"/>
      <c r="D92" s="7"/>
      <c r="E92" s="7"/>
      <c r="F92" s="7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x14ac:dyDescent="0.25">
      <c r="A93" s="7"/>
      <c r="B93" s="7"/>
      <c r="C93" s="7"/>
      <c r="D93" s="7"/>
      <c r="E93" s="7"/>
      <c r="F93" s="7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x14ac:dyDescent="0.25">
      <c r="A94" s="7"/>
      <c r="B94" s="7"/>
      <c r="C94" s="7"/>
      <c r="D94" s="7"/>
      <c r="E94" s="7"/>
      <c r="F94" s="7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x14ac:dyDescent="0.25">
      <c r="A95" s="7"/>
      <c r="B95" s="7"/>
      <c r="C95" s="7"/>
      <c r="D95" s="7"/>
      <c r="E95" s="7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x14ac:dyDescent="0.25">
      <c r="A96" s="7"/>
      <c r="B96" s="7"/>
      <c r="C96" s="7"/>
      <c r="D96" s="7"/>
      <c r="E96" s="7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x14ac:dyDescent="0.25">
      <c r="A97" s="7"/>
      <c r="B97" s="7"/>
      <c r="C97" s="7"/>
      <c r="D97" s="7"/>
      <c r="E97" s="7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x14ac:dyDescent="0.25">
      <c r="A98" s="7"/>
      <c r="B98" s="7"/>
      <c r="C98" s="7"/>
      <c r="D98" s="7"/>
      <c r="E98" s="7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x14ac:dyDescent="0.25">
      <c r="A99" s="7"/>
      <c r="B99" s="7"/>
      <c r="C99" s="7"/>
      <c r="D99" s="7"/>
      <c r="E99" s="7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x14ac:dyDescent="0.25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x14ac:dyDescent="0.25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x14ac:dyDescent="0.25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x14ac:dyDescent="0.25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x14ac:dyDescent="0.25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x14ac:dyDescent="0.25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x14ac:dyDescent="0.25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x14ac:dyDescent="0.25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x14ac:dyDescent="0.25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x14ac:dyDescent="0.25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x14ac:dyDescent="0.25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x14ac:dyDescent="0.25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x14ac:dyDescent="0.25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x14ac:dyDescent="0.25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x14ac:dyDescent="0.25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x14ac:dyDescent="0.25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x14ac:dyDescent="0.25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x14ac:dyDescent="0.25">
      <c r="A486" s="7"/>
      <c r="B486" s="7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x14ac:dyDescent="0.25">
      <c r="A487" s="7"/>
      <c r="B487" s="7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x14ac:dyDescent="0.25">
      <c r="A488" s="7"/>
      <c r="B488" s="7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x14ac:dyDescent="0.25">
      <c r="A489" s="7"/>
      <c r="B489" s="7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</sheetData>
  <autoFilter ref="A3:AE3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2026-01-12T08:10:53Z</dcterms:created>
  <dcterms:modified xsi:type="dcterms:W3CDTF">2026-01-12T08:26:11Z</dcterms:modified>
</cp:coreProperties>
</file>