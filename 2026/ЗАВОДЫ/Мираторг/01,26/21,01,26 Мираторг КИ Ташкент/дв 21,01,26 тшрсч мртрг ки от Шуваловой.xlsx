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01,26 Мираторг КИ Ташкент\"/>
    </mc:Choice>
  </mc:AlternateContent>
  <xr:revisionPtr revIDLastSave="0" documentId="13_ncr:1_{CC61B32F-5210-4A1D-B1CC-829AAA1497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  <externalReference r:id="rId3"/>
  </externalReferences>
  <definedNames>
    <definedName name="_xlnm._FilterDatabase" localSheetId="0" hidden="1">Sheet!$A$3:$AF$36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6" i="1" l="1"/>
  <c r="AJ35" i="1"/>
  <c r="AJ34" i="1"/>
  <c r="AJ32" i="1"/>
  <c r="AJ31" i="1"/>
  <c r="AJ30" i="1"/>
  <c r="AJ29" i="1"/>
  <c r="AJ28" i="1"/>
  <c r="AJ27" i="1"/>
  <c r="AJ26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8" i="1"/>
  <c r="AJ7" i="1"/>
  <c r="AJ6" i="1"/>
  <c r="R7" i="1" l="1"/>
  <c r="R8" i="1"/>
  <c r="R9" i="1"/>
  <c r="AF9" i="1" s="1"/>
  <c r="R10" i="1"/>
  <c r="AF10" i="1" s="1"/>
  <c r="R11" i="1"/>
  <c r="R12" i="1"/>
  <c r="R13" i="1"/>
  <c r="AF13" i="1" s="1"/>
  <c r="R14" i="1"/>
  <c r="R15" i="1"/>
  <c r="R16" i="1"/>
  <c r="R17" i="1"/>
  <c r="AF17" i="1" s="1"/>
  <c r="R18" i="1"/>
  <c r="R19" i="1"/>
  <c r="R20" i="1"/>
  <c r="R21" i="1"/>
  <c r="AF21" i="1" s="1"/>
  <c r="R22" i="1"/>
  <c r="R23" i="1"/>
  <c r="R24" i="1"/>
  <c r="R25" i="1"/>
  <c r="AF25" i="1" s="1"/>
  <c r="R26" i="1"/>
  <c r="R27" i="1"/>
  <c r="R28" i="1"/>
  <c r="R29" i="1"/>
  <c r="AF29" i="1" s="1"/>
  <c r="R30" i="1"/>
  <c r="R31" i="1"/>
  <c r="R32" i="1"/>
  <c r="R33" i="1"/>
  <c r="AF33" i="1" s="1"/>
  <c r="R34" i="1"/>
  <c r="R35" i="1"/>
  <c r="R36" i="1"/>
  <c r="R6" i="1"/>
  <c r="AF6" i="1" s="1"/>
  <c r="AG7" i="1"/>
  <c r="AG8" i="1"/>
  <c r="AG9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6" i="1"/>
  <c r="AG27" i="1"/>
  <c r="AG28" i="1"/>
  <c r="AG29" i="1"/>
  <c r="AG30" i="1"/>
  <c r="AG31" i="1"/>
  <c r="AG32" i="1"/>
  <c r="AG34" i="1"/>
  <c r="AG35" i="1"/>
  <c r="AG36" i="1"/>
  <c r="AG6" i="1"/>
  <c r="AH32" i="1" l="1"/>
  <c r="AH30" i="1"/>
  <c r="AH28" i="1"/>
  <c r="AH26" i="1"/>
  <c r="AH8" i="1"/>
  <c r="AH36" i="1"/>
  <c r="AH34" i="1"/>
  <c r="AH24" i="1"/>
  <c r="AI24" i="1" s="1"/>
  <c r="AH22" i="1"/>
  <c r="AI22" i="1" s="1"/>
  <c r="AH20" i="1"/>
  <c r="AH18" i="1"/>
  <c r="AI18" i="1" s="1"/>
  <c r="AH16" i="1"/>
  <c r="AI16" i="1" s="1"/>
  <c r="AH14" i="1"/>
  <c r="AH12" i="1"/>
  <c r="AH6" i="1"/>
  <c r="AH35" i="1"/>
  <c r="AH31" i="1"/>
  <c r="AH29" i="1"/>
  <c r="AI29" i="1" s="1"/>
  <c r="AH27" i="1"/>
  <c r="AI27" i="1" s="1"/>
  <c r="AH23" i="1"/>
  <c r="AI23" i="1" s="1"/>
  <c r="AH21" i="1"/>
  <c r="AH19" i="1"/>
  <c r="AH17" i="1"/>
  <c r="AH15" i="1"/>
  <c r="AH13" i="1"/>
  <c r="AI13" i="1" s="1"/>
  <c r="AH11" i="1"/>
  <c r="AH9" i="1"/>
  <c r="AH7" i="1"/>
  <c r="AF35" i="1"/>
  <c r="AF31" i="1"/>
  <c r="AF27" i="1"/>
  <c r="AF23" i="1"/>
  <c r="AF19" i="1"/>
  <c r="AF15" i="1"/>
  <c r="AF11" i="1"/>
  <c r="AF7" i="1"/>
  <c r="AF36" i="1"/>
  <c r="AF34" i="1"/>
  <c r="AF32" i="1"/>
  <c r="AF30" i="1"/>
  <c r="AF28" i="1"/>
  <c r="AF26" i="1"/>
  <c r="AF24" i="1"/>
  <c r="AF22" i="1"/>
  <c r="AF20" i="1"/>
  <c r="AF18" i="1"/>
  <c r="AF16" i="1"/>
  <c r="AF14" i="1"/>
  <c r="AF12" i="1"/>
  <c r="AF8" i="1"/>
  <c r="R5" i="1"/>
  <c r="R2" i="1" s="1"/>
  <c r="AI9" i="1" l="1"/>
  <c r="AI17" i="1"/>
  <c r="AI21" i="1"/>
  <c r="AI31" i="1"/>
  <c r="AI6" i="1"/>
  <c r="AI14" i="1"/>
  <c r="AI34" i="1"/>
  <c r="AI8" i="1"/>
  <c r="AI28" i="1"/>
  <c r="AI32" i="1"/>
  <c r="AI7" i="1"/>
  <c r="AI11" i="1"/>
  <c r="AI15" i="1"/>
  <c r="AI19" i="1"/>
  <c r="AI35" i="1"/>
  <c r="AI12" i="1"/>
  <c r="AI20" i="1"/>
  <c r="AI36" i="1"/>
  <c r="AI26" i="1"/>
  <c r="AI30" i="1"/>
  <c r="AH5" i="1"/>
  <c r="AH1" i="1" s="1"/>
  <c r="AI5" i="1" l="1"/>
  <c r="AI1" i="1" s="1"/>
  <c r="AK5" i="1"/>
  <c r="P36" i="1"/>
  <c r="U36" i="1" s="1"/>
  <c r="L36" i="1"/>
  <c r="P35" i="1"/>
  <c r="V35" i="1" s="1"/>
  <c r="L35" i="1"/>
  <c r="P34" i="1"/>
  <c r="U34" i="1" s="1"/>
  <c r="L34" i="1"/>
  <c r="P33" i="1"/>
  <c r="U33" i="1" s="1"/>
  <c r="L33" i="1"/>
  <c r="P32" i="1"/>
  <c r="U32" i="1" s="1"/>
  <c r="L32" i="1"/>
  <c r="P31" i="1"/>
  <c r="V31" i="1" s="1"/>
  <c r="L31" i="1"/>
  <c r="P30" i="1"/>
  <c r="V30" i="1" s="1"/>
  <c r="L30" i="1"/>
  <c r="P29" i="1"/>
  <c r="U29" i="1" s="1"/>
  <c r="L29" i="1"/>
  <c r="P28" i="1"/>
  <c r="V28" i="1" s="1"/>
  <c r="L28" i="1"/>
  <c r="E27" i="1"/>
  <c r="L27" i="1" s="1"/>
  <c r="P26" i="1"/>
  <c r="V26" i="1" s="1"/>
  <c r="L26" i="1"/>
  <c r="P25" i="1"/>
  <c r="U25" i="1" s="1"/>
  <c r="L25" i="1"/>
  <c r="P24" i="1"/>
  <c r="V24" i="1" s="1"/>
  <c r="L24" i="1"/>
  <c r="P23" i="1"/>
  <c r="V23" i="1" s="1"/>
  <c r="L23" i="1"/>
  <c r="P22" i="1"/>
  <c r="U22" i="1" s="1"/>
  <c r="L22" i="1"/>
  <c r="P21" i="1"/>
  <c r="U21" i="1" s="1"/>
  <c r="L21" i="1"/>
  <c r="P20" i="1"/>
  <c r="U20" i="1" s="1"/>
  <c r="L20" i="1"/>
  <c r="P19" i="1"/>
  <c r="V19" i="1" s="1"/>
  <c r="L19" i="1"/>
  <c r="P18" i="1"/>
  <c r="V18" i="1" s="1"/>
  <c r="L18" i="1"/>
  <c r="P17" i="1"/>
  <c r="V17" i="1" s="1"/>
  <c r="L17" i="1"/>
  <c r="P16" i="1"/>
  <c r="V16" i="1" s="1"/>
  <c r="L16" i="1"/>
  <c r="F5" i="1"/>
  <c r="E15" i="1"/>
  <c r="L15" i="1" s="1"/>
  <c r="P14" i="1"/>
  <c r="V14" i="1" s="1"/>
  <c r="L14" i="1"/>
  <c r="P13" i="1"/>
  <c r="Q13" i="1" s="1"/>
  <c r="U13" i="1" s="1"/>
  <c r="L13" i="1"/>
  <c r="P12" i="1"/>
  <c r="U12" i="1" s="1"/>
  <c r="L12" i="1"/>
  <c r="P11" i="1"/>
  <c r="Q11" i="1" s="1"/>
  <c r="L11" i="1"/>
  <c r="P10" i="1"/>
  <c r="V10" i="1" s="1"/>
  <c r="L10" i="1"/>
  <c r="P9" i="1"/>
  <c r="U9" i="1" s="1"/>
  <c r="L9" i="1"/>
  <c r="P8" i="1"/>
  <c r="U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AF5" i="1"/>
  <c r="V33" i="1" l="1"/>
  <c r="V21" i="1"/>
  <c r="V20" i="1"/>
  <c r="P15" i="1"/>
  <c r="U15" i="1" s="1"/>
  <c r="V34" i="1"/>
  <c r="U23" i="1"/>
  <c r="V8" i="1"/>
  <c r="V15" i="1"/>
  <c r="U31" i="1"/>
  <c r="P27" i="1"/>
  <c r="P5" i="1" s="1"/>
  <c r="U30" i="1"/>
  <c r="V12" i="1"/>
  <c r="U17" i="1"/>
  <c r="E5" i="1"/>
  <c r="U7" i="1"/>
  <c r="V29" i="1"/>
  <c r="U16" i="1"/>
  <c r="U24" i="1"/>
  <c r="L5" i="1"/>
  <c r="V22" i="1"/>
  <c r="V32" i="1"/>
  <c r="Q18" i="1"/>
  <c r="U18" i="1" s="1"/>
  <c r="U26" i="1"/>
  <c r="V13" i="1"/>
  <c r="U35" i="1"/>
  <c r="V9" i="1"/>
  <c r="U19" i="1"/>
  <c r="U11" i="1"/>
  <c r="V25" i="1"/>
  <c r="U28" i="1"/>
  <c r="U6" i="1"/>
  <c r="U14" i="1"/>
  <c r="V11" i="1"/>
  <c r="V36" i="1"/>
  <c r="U10" i="1"/>
  <c r="V27" i="1" l="1"/>
  <c r="U27" i="1"/>
  <c r="Q5" i="1"/>
</calcChain>
</file>

<file path=xl/sharedStrings.xml><?xml version="1.0" encoding="utf-8"?>
<sst xmlns="http://schemas.openxmlformats.org/spreadsheetml/2006/main" count="148" uniqueCount="83">
  <si>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</si>
  <si>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</si>
  <si>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</si>
  <si>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</si>
  <si>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</si>
  <si>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</si>
  <si>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</si>
  <si>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</si>
  <si>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</si>
  <si>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</si>
  <si>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</si>
  <si>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</si>
  <si>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</si>
  <si>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</si>
  <si>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</si>
  <si>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</si>
  <si>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</si>
  <si>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</si>
  <si>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</si>
  <si>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</si>
  <si>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</si>
  <si>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</si>
  <si>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</si>
  <si>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</si>
  <si>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13,01,</t>
  </si>
  <si>
    <t>12,01,</t>
  </si>
  <si>
    <t>08,12,</t>
  </si>
  <si>
    <t>01,12,</t>
  </si>
  <si>
    <t>24,11,</t>
  </si>
  <si>
    <t>17,11,</t>
  </si>
  <si>
    <t>10,11,</t>
  </si>
  <si>
    <t>03,10,</t>
  </si>
  <si>
    <t>20,10,</t>
  </si>
  <si>
    <t>13,10,</t>
  </si>
  <si>
    <t>Ветчина Парма с/к нарезка ОХЛ ГЗМС 100г*10 (1,0 кг)  МИРАТОРГ</t>
  </si>
  <si>
    <t>шт</t>
  </si>
  <si>
    <t>Ветчина Сочная ОХЛ ПА 400г*6 (2,4 кг)  МИРАТОРГ</t>
  </si>
  <si>
    <t>КП Колбаса в/к Балыковая ВУ охл 300г*6  МИРАТОРГ</t>
  </si>
  <si>
    <t>КП Колбаса с/к Neapolitano ВУ ОХЛ 250г*6</t>
  </si>
  <si>
    <t>не отгрузили / новинка / нет в бланке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</si>
  <si>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</si>
  <si>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</si>
  <si>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</si>
  <si>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</si>
  <si>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</si>
  <si>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</si>
  <si>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</si>
  <si>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</si>
  <si>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</si>
  <si>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</si>
  <si>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</si>
  <si>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</si>
  <si>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</si>
  <si>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</si>
  <si>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</si>
  <si>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</si>
  <si>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</si>
  <si>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</si>
  <si>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</si>
  <si>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Колбаса сырокопченая «Салями» нарезка ШТ. охл ГЗМС 100г*10 (1,0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</si>
  <si>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</si>
  <si>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</si>
  <si>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</si>
  <si>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</si>
  <si>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</si>
  <si>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</si>
  <si>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</si>
  <si>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</si>
  <si>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</si>
  <si>
    <t>нужно увеличить продажи!!!</t>
  </si>
  <si>
    <t>новинка</t>
  </si>
  <si>
    <t>старые данные</t>
  </si>
  <si>
    <t>ЗАКАЗ</t>
  </si>
  <si>
    <t>вес кор.</t>
  </si>
  <si>
    <t>КОЛ-ВО кор.</t>
  </si>
  <si>
    <t>ВЕС</t>
  </si>
  <si>
    <t>заказ</t>
  </si>
  <si>
    <t>26,01,</t>
  </si>
  <si>
    <t>нет в бланке</t>
  </si>
  <si>
    <t>нужно увеличить продажи!!! / нет в бланке</t>
  </si>
  <si>
    <t>нет в бланке / 11,05,25 списание 274шт.</t>
  </si>
  <si>
    <t>нет в бланке / 22,05,25 списание 310шт.</t>
  </si>
  <si>
    <t>нужно увеличить продажи / нет в бланке / 22,05,25 списание 215шт.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</si>
</sst>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13E22E"/>
      </patternFill>
    </fill>
    <fill>
      <patternFill patternType="solid">
        <fgColor theme="3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 applyBorder="1"/>
    <xf numFmtId="164" fontId="2" fillId="2" borderId="0" xfId="1" applyNumberFormat="1" applyFont="1" applyFill="1"/>
    <xf numFmtId="164" fontId="5" fillId="2" borderId="0" xfId="1" applyNumberFormat="1" applyFont="1" applyFill="1"/>
    <xf numFmtId="164" fontId="1" fillId="3" borderId="0" xfId="1" applyNumberFormat="1" applyFill="1"/>
    <xf numFmtId="164" fontId="1" fillId="0" borderId="1" xfId="1" applyNumberFormat="1" applyBorder="1"/>
    <xf numFmtId="165" fontId="0" fillId="0" borderId="0" xfId="0" applyNumberFormat="1" applyBorder="1"/>
    <xf numFmtId="164" fontId="2" fillId="4" borderId="0" xfId="1" applyNumberFormat="1" applyFont="1" applyFill="1"/>
    <xf numFmtId="164" fontId="1" fillId="0" borderId="0" xfId="1" applyNumberFormat="1"/>
    <xf numFmtId="165" fontId="1" fillId="0" borderId="0" xfId="1" applyNumberFormat="1"/>
    <xf numFmtId="165" fontId="2" fillId="2" borderId="0" xfId="1" applyNumberFormat="1" applyFont="1" applyFill="1"/>
    <xf numFmtId="164" fontId="3" fillId="0" borderId="0" xfId="1" applyNumberFormat="1" applyFont="1"/>
    <xf numFmtId="164" fontId="3" fillId="5" borderId="0" xfId="1" applyNumberFormat="1" applyFont="1" applyFill="1"/>
    <xf numFmtId="164" fontId="1" fillId="5" borderId="0" xfId="1" applyNumberFormat="1" applyFill="1"/>
    <xf numFmtId="164" fontId="1" fillId="6" borderId="0" xfId="1" applyNumberFormat="1" applyFill="1"/>
    <xf numFmtId="165" fontId="1" fillId="6" borderId="0" xfId="1" applyNumberFormat="1" applyFill="1"/>
    <xf numFmtId="164" fontId="1" fillId="6" borderId="1" xfId="1" applyNumberFormat="1" applyFill="1" applyBorder="1"/>
    <xf numFmtId="164" fontId="3" fillId="6" borderId="0" xfId="1" applyNumberFormat="1" applyFont="1" applyFill="1"/>
    <xf numFmtId="164" fontId="6" fillId="7" borderId="0" xfId="1" applyNumberFormat="1" applyFont="1" applyFill="1"/>
    <xf numFmtId="164" fontId="7" fillId="8" borderId="0" xfId="1" applyNumberFormat="1" applyFont="1" applyFill="1"/>
    <xf numFmtId="164" fontId="1" fillId="8" borderId="0" xfId="1" applyNumberFormat="1" applyFill="1"/>
    <xf numFmtId="164" fontId="1" fillId="9" borderId="0" xfId="1" applyNumberFormat="1" applyFill="1"/>
    <xf numFmtId="164" fontId="4" fillId="10" borderId="0" xfId="1" applyNumberFormat="1" applyFont="1" applyFill="1"/>
    <xf numFmtId="164" fontId="1" fillId="11" borderId="0" xfId="1" applyNumberFormat="1" applyFill="1"/>
    <xf numFmtId="164" fontId="1" fillId="9" borderId="1" xfId="1" applyNumberFormat="1" applyFill="1" applyBorder="1"/>
    <xf numFmtId="0" fontId="0" fillId="9" borderId="0" xfId="0" applyFill="1"/>
    <xf numFmtId="2" fontId="1" fillId="0" borderId="0" xfId="1" applyNumberFormat="1"/>
    <xf numFmtId="164" fontId="9" fillId="0" borderId="0" xfId="1" applyNumberFormat="1" applyFont="1"/>
    <xf numFmtId="2" fontId="2" fillId="2" borderId="0" xfId="1" applyNumberFormat="1" applyFont="1" applyFill="1"/>
    <xf numFmtId="164" fontId="9" fillId="3" borderId="0" xfId="1" applyNumberFormat="1" applyFont="1" applyFill="1"/>
    <xf numFmtId="2" fontId="0" fillId="0" borderId="0" xfId="0" applyNumberFormat="1"/>
    <xf numFmtId="0" fontId="8" fillId="0" borderId="0" xfId="0" applyFont="1"/>
    <xf numFmtId="0" fontId="0" fillId="0" borderId="0" xfId="0"/>
    <xf numFmtId="164" fontId="1" fillId="8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6/&#1047;&#1040;&#1042;&#1054;&#1044;&#1067;/&#1052;&#1080;&#1088;&#1072;&#1090;&#1086;&#1088;&#1075;/01,26/12,01,26%20&#1052;&#1080;&#1088;&#1072;&#1090;&#1086;&#1088;&#1075;%20&#1050;&#1048;%20&#1058;&#1072;&#1096;&#1082;&#1077;&#1085;&#1090;/&#1076;&#1074;%2012,01,26%20&#1090;&#1096;&#1088;&#1089;&#1095;%20&#1084;&#1088;&#1090;&#1088;&#1075;%20&#1082;&#1080;%20&#1086;&#1090;%20&#1051;&#1099;&#1075;&#1080;&#1085;&#107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83;&#1072;&#1085;&#1082;%20&#1079;&#1072;&#1082;&#1072;&#1079;&#1072;%20&#1052;&#1086;&#1089;&#1087;&#1088;&#1086;&#1076;&#1090;&#1086;&#1088;&#1075;%20&#1079;&#1072;&#1082;&#1072;&#1079;%20&#1085;&#1072;%2026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>
        <row r="1">
          <cell r="AC1">
            <v>-67</v>
          </cell>
          <cell r="AF1">
            <v>424</v>
          </cell>
          <cell r="AG1">
            <v>908</v>
          </cell>
        </row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</v>
          </cell>
          <cell r="S3" t="str">
            <v>заказ филиала</v>
          </cell>
          <cell r="T3" t="str">
            <v>Комментарии филиала</v>
          </cell>
          <cell r="U3" t="str">
            <v>кон ост</v>
          </cell>
          <cell r="V3" t="str">
            <v>факт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ср</v>
          </cell>
          <cell r="AE3" t="str">
            <v>комментарии</v>
          </cell>
          <cell r="AF3" t="str">
            <v>вес</v>
          </cell>
          <cell r="AG3" t="str">
            <v>вес кор.</v>
          </cell>
        </row>
        <row r="4">
          <cell r="O4" t="str">
            <v>13,01,</v>
          </cell>
          <cell r="P4" t="str">
            <v>12,01,</v>
          </cell>
          <cell r="Q4" t="str">
            <v>тк</v>
          </cell>
          <cell r="R4" t="str">
            <v>19,01,(ориентировочно)</v>
          </cell>
          <cell r="W4" t="str">
            <v>08,12,</v>
          </cell>
          <cell r="X4" t="str">
            <v>01,12,</v>
          </cell>
          <cell r="Y4" t="str">
            <v>24,11,</v>
          </cell>
          <cell r="Z4" t="str">
            <v>17,11,</v>
          </cell>
          <cell r="AA4" t="str">
            <v>10,11,</v>
          </cell>
          <cell r="AB4" t="str">
            <v>03,10,</v>
          </cell>
          <cell r="AC4" t="str">
            <v>20,10,</v>
          </cell>
          <cell r="AD4" t="str">
            <v>13,10,</v>
          </cell>
        </row>
        <row r="5">
          <cell r="K5">
            <v>0</v>
          </cell>
          <cell r="L5">
            <v>1078</v>
          </cell>
          <cell r="M5">
            <v>0</v>
          </cell>
          <cell r="N5">
            <v>0</v>
          </cell>
          <cell r="O5">
            <v>9240</v>
          </cell>
          <cell r="P5">
            <v>215.60000000000002</v>
          </cell>
          <cell r="Q5">
            <v>6530</v>
          </cell>
          <cell r="R5">
            <v>6530</v>
          </cell>
          <cell r="S5">
            <v>6530</v>
          </cell>
          <cell r="W5">
            <v>215.80000000000004</v>
          </cell>
          <cell r="X5">
            <v>497.00000000000006</v>
          </cell>
          <cell r="Y5">
            <v>236.60000000000002</v>
          </cell>
          <cell r="Z5">
            <v>351.40000000000003</v>
          </cell>
          <cell r="AA5">
            <v>480.8</v>
          </cell>
          <cell r="AB5">
            <v>275.40000000000003</v>
          </cell>
          <cell r="AC5">
            <v>328.59999999999997</v>
          </cell>
          <cell r="AD5">
            <v>446.6</v>
          </cell>
          <cell r="AF5">
            <v>2085.1999999999998</v>
          </cell>
        </row>
        <row r="6">
          <cell r="I6">
            <v>1010032041</v>
          </cell>
          <cell r="L6">
            <v>18</v>
          </cell>
          <cell r="O6">
            <v>150</v>
          </cell>
          <cell r="P6">
            <v>3.6</v>
          </cell>
          <cell r="Q6">
            <v>150</v>
          </cell>
          <cell r="R6">
            <v>150</v>
          </cell>
          <cell r="S6">
            <v>150</v>
          </cell>
          <cell r="U6">
            <v>89.444444444444443</v>
          </cell>
          <cell r="V6">
            <v>47.777777777777779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 t="str">
            <v>новинка</v>
          </cell>
          <cell r="AF6">
            <v>15</v>
          </cell>
          <cell r="AG6">
            <v>1</v>
          </cell>
        </row>
        <row r="7">
          <cell r="I7">
            <v>1010023293</v>
          </cell>
          <cell r="L7">
            <v>26</v>
          </cell>
          <cell r="O7">
            <v>150</v>
          </cell>
          <cell r="P7">
            <v>5.2</v>
          </cell>
          <cell r="Q7">
            <v>150</v>
          </cell>
          <cell r="R7">
            <v>150</v>
          </cell>
          <cell r="S7">
            <v>150</v>
          </cell>
          <cell r="U7">
            <v>63.653846153846153</v>
          </cell>
          <cell r="V7">
            <v>34.807692307692307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 t="str">
            <v>новинка</v>
          </cell>
          <cell r="AF7">
            <v>60</v>
          </cell>
          <cell r="AG7">
            <v>2.4</v>
          </cell>
        </row>
        <row r="8">
          <cell r="I8">
            <v>1010027650</v>
          </cell>
          <cell r="L8">
            <v>89</v>
          </cell>
          <cell r="O8">
            <v>500</v>
          </cell>
          <cell r="P8">
            <v>17.8</v>
          </cell>
          <cell r="Q8">
            <v>400</v>
          </cell>
          <cell r="R8">
            <v>400</v>
          </cell>
          <cell r="S8">
            <v>400</v>
          </cell>
          <cell r="U8">
            <v>56.123595505617978</v>
          </cell>
          <cell r="V8">
            <v>33.651685393258425</v>
          </cell>
          <cell r="W8">
            <v>8.1999999999999993</v>
          </cell>
          <cell r="X8">
            <v>48.6</v>
          </cell>
          <cell r="Y8">
            <v>-1</v>
          </cell>
          <cell r="Z8">
            <v>29</v>
          </cell>
          <cell r="AA8">
            <v>38.200000000000003</v>
          </cell>
          <cell r="AB8">
            <v>19.600000000000001</v>
          </cell>
          <cell r="AC8">
            <v>27.8</v>
          </cell>
          <cell r="AD8">
            <v>37.6</v>
          </cell>
          <cell r="AF8">
            <v>120</v>
          </cell>
          <cell r="AG8">
            <v>1.7999999999999998</v>
          </cell>
        </row>
        <row r="9">
          <cell r="I9">
            <v>1010032755</v>
          </cell>
          <cell r="L9">
            <v>0</v>
          </cell>
          <cell r="P9">
            <v>0</v>
          </cell>
          <cell r="R9">
            <v>0</v>
          </cell>
          <cell r="S9">
            <v>0</v>
          </cell>
          <cell r="U9" t="e">
            <v>#DIV/0!</v>
          </cell>
          <cell r="V9" t="e">
            <v>#DIV/0!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 t="str">
            <v>не отгрузили / новинка</v>
          </cell>
          <cell r="AF9">
            <v>0</v>
          </cell>
          <cell r="AG9">
            <v>1.5</v>
          </cell>
        </row>
        <row r="10">
          <cell r="I10" t="str">
            <v>дубль</v>
          </cell>
          <cell r="J10" t="str">
            <v>МХБ Колбаса сырокопченая Брауншвейгская ШТ. ВУ ОХЛ 300гр*8 (2,4 кг) МИРАТОРГ</v>
          </cell>
          <cell r="L10">
            <v>-10</v>
          </cell>
          <cell r="P10">
            <v>-2</v>
          </cell>
          <cell r="R10">
            <v>0</v>
          </cell>
          <cell r="S10">
            <v>0</v>
          </cell>
          <cell r="U10">
            <v>-1.5</v>
          </cell>
          <cell r="V10">
            <v>-1.5</v>
          </cell>
          <cell r="W10">
            <v>2.8</v>
          </cell>
          <cell r="X10">
            <v>24.8</v>
          </cell>
          <cell r="Y10">
            <v>18.2</v>
          </cell>
          <cell r="Z10">
            <v>17.2</v>
          </cell>
          <cell r="AA10">
            <v>0.8</v>
          </cell>
          <cell r="AB10">
            <v>2.4</v>
          </cell>
          <cell r="AC10">
            <v>0</v>
          </cell>
          <cell r="AD10">
            <v>0</v>
          </cell>
        </row>
        <row r="11">
          <cell r="I11">
            <v>1010032754</v>
          </cell>
          <cell r="L11">
            <v>36</v>
          </cell>
          <cell r="O11">
            <v>100</v>
          </cell>
          <cell r="P11">
            <v>7.2</v>
          </cell>
          <cell r="Q11">
            <v>200</v>
          </cell>
          <cell r="R11">
            <v>200</v>
          </cell>
          <cell r="S11">
            <v>200</v>
          </cell>
          <cell r="T11">
            <v>60</v>
          </cell>
          <cell r="U11">
            <v>44.444444444444443</v>
          </cell>
          <cell r="V11">
            <v>16.666666666666668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 t="str">
            <v>новинка</v>
          </cell>
          <cell r="AF11">
            <v>56.000000000000007</v>
          </cell>
          <cell r="AG11">
            <v>1.6800000000000002</v>
          </cell>
        </row>
        <row r="12">
          <cell r="I12">
            <v>1010030635</v>
          </cell>
          <cell r="L12">
            <v>26</v>
          </cell>
          <cell r="O12">
            <v>150</v>
          </cell>
          <cell r="P12">
            <v>5.2</v>
          </cell>
          <cell r="Q12">
            <v>120</v>
          </cell>
          <cell r="R12">
            <v>120</v>
          </cell>
          <cell r="S12">
            <v>120</v>
          </cell>
          <cell r="U12">
            <v>57.88461538461538</v>
          </cell>
          <cell r="V12">
            <v>34.807692307692307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 t="str">
            <v>новинка</v>
          </cell>
          <cell r="AF12">
            <v>42</v>
          </cell>
          <cell r="AG12">
            <v>2.1</v>
          </cell>
        </row>
        <row r="13">
          <cell r="I13">
            <v>1010033736</v>
          </cell>
          <cell r="L13">
            <v>79</v>
          </cell>
          <cell r="O13">
            <v>250</v>
          </cell>
          <cell r="P13">
            <v>15.8</v>
          </cell>
          <cell r="Q13">
            <v>100</v>
          </cell>
          <cell r="R13">
            <v>100</v>
          </cell>
          <cell r="S13">
            <v>100</v>
          </cell>
          <cell r="T13">
            <v>26</v>
          </cell>
          <cell r="U13">
            <v>29.683544303797468</v>
          </cell>
          <cell r="V13">
            <v>23.354430379746834</v>
          </cell>
          <cell r="W13">
            <v>-0.2</v>
          </cell>
          <cell r="X13">
            <v>22.8</v>
          </cell>
          <cell r="Y13">
            <v>11.2</v>
          </cell>
          <cell r="Z13">
            <v>16.600000000000001</v>
          </cell>
          <cell r="AA13">
            <v>25.2</v>
          </cell>
          <cell r="AB13">
            <v>14.4</v>
          </cell>
          <cell r="AC13">
            <v>20.399999999999999</v>
          </cell>
          <cell r="AD13">
            <v>30</v>
          </cell>
          <cell r="AE13" t="str">
            <v>нет в бланке</v>
          </cell>
          <cell r="AF13">
            <v>33</v>
          </cell>
          <cell r="AG13">
            <v>1.65</v>
          </cell>
        </row>
        <row r="14">
          <cell r="I14">
            <v>1010033335</v>
          </cell>
          <cell r="L14">
            <v>12</v>
          </cell>
          <cell r="O14">
            <v>600</v>
          </cell>
          <cell r="P14">
            <v>2.4</v>
          </cell>
          <cell r="Q14">
            <v>200</v>
          </cell>
          <cell r="R14">
            <v>200</v>
          </cell>
          <cell r="S14">
            <v>200</v>
          </cell>
          <cell r="U14">
            <v>336.25</v>
          </cell>
          <cell r="V14">
            <v>252.91666666666669</v>
          </cell>
          <cell r="W14">
            <v>3.8</v>
          </cell>
          <cell r="X14">
            <v>8.6</v>
          </cell>
          <cell r="Y14">
            <v>6</v>
          </cell>
          <cell r="Z14">
            <v>10</v>
          </cell>
          <cell r="AA14">
            <v>10.4</v>
          </cell>
          <cell r="AB14">
            <v>12.4</v>
          </cell>
          <cell r="AC14">
            <v>7</v>
          </cell>
          <cell r="AD14">
            <v>4</v>
          </cell>
          <cell r="AF14">
            <v>56.000000000000007</v>
          </cell>
          <cell r="AG14">
            <v>1.68</v>
          </cell>
        </row>
        <row r="15">
          <cell r="I15">
            <v>1010033332</v>
          </cell>
          <cell r="L15">
            <v>89</v>
          </cell>
          <cell r="O15">
            <v>800</v>
          </cell>
          <cell r="P15">
            <v>17.8</v>
          </cell>
          <cell r="Q15">
            <v>400</v>
          </cell>
          <cell r="R15">
            <v>400</v>
          </cell>
          <cell r="S15">
            <v>400</v>
          </cell>
          <cell r="U15">
            <v>79.044943820224717</v>
          </cell>
          <cell r="V15">
            <v>56.573033707865164</v>
          </cell>
          <cell r="W15">
            <v>19.8</v>
          </cell>
          <cell r="X15">
            <v>0</v>
          </cell>
          <cell r="Y15">
            <v>-0.4</v>
          </cell>
          <cell r="Z15">
            <v>0</v>
          </cell>
          <cell r="AA15">
            <v>38</v>
          </cell>
          <cell r="AB15">
            <v>17</v>
          </cell>
          <cell r="AC15">
            <v>21.8</v>
          </cell>
          <cell r="AD15">
            <v>53.4</v>
          </cell>
          <cell r="AF15">
            <v>120</v>
          </cell>
          <cell r="AG15">
            <v>1.7999999999999998</v>
          </cell>
        </row>
        <row r="16">
          <cell r="I16">
            <v>1010016111</v>
          </cell>
          <cell r="L16">
            <v>9</v>
          </cell>
          <cell r="O16">
            <v>100</v>
          </cell>
          <cell r="P16">
            <v>1.8</v>
          </cell>
          <cell r="Q16">
            <v>120</v>
          </cell>
          <cell r="R16">
            <v>120</v>
          </cell>
          <cell r="S16">
            <v>120</v>
          </cell>
          <cell r="U16">
            <v>136.66666666666666</v>
          </cell>
          <cell r="V16">
            <v>70</v>
          </cell>
          <cell r="W16">
            <v>2</v>
          </cell>
          <cell r="X16">
            <v>4.5999999999999996</v>
          </cell>
          <cell r="Y16">
            <v>5.6</v>
          </cell>
          <cell r="Z16">
            <v>10</v>
          </cell>
          <cell r="AA16">
            <v>10.6</v>
          </cell>
          <cell r="AB16">
            <v>1.8</v>
          </cell>
          <cell r="AC16">
            <v>5.2</v>
          </cell>
          <cell r="AD16">
            <v>13.4</v>
          </cell>
          <cell r="AE16" t="str">
            <v>нет в бланке / нужно увеличить продажи!!!</v>
          </cell>
          <cell r="AF16">
            <v>48</v>
          </cell>
          <cell r="AG16">
            <v>2.4</v>
          </cell>
        </row>
        <row r="17">
          <cell r="I17">
            <v>1010033329</v>
          </cell>
          <cell r="L17">
            <v>51</v>
          </cell>
          <cell r="O17">
            <v>1000</v>
          </cell>
          <cell r="P17">
            <v>10.199999999999999</v>
          </cell>
          <cell r="Q17">
            <v>300</v>
          </cell>
          <cell r="R17">
            <v>300</v>
          </cell>
          <cell r="S17">
            <v>300</v>
          </cell>
          <cell r="U17">
            <v>125.09803921568628</v>
          </cell>
          <cell r="V17">
            <v>95.686274509803923</v>
          </cell>
          <cell r="W17">
            <v>43.2</v>
          </cell>
          <cell r="X17">
            <v>51.8</v>
          </cell>
          <cell r="Y17">
            <v>52</v>
          </cell>
          <cell r="Z17">
            <v>53.6</v>
          </cell>
          <cell r="AA17">
            <v>50.2</v>
          </cell>
          <cell r="AB17">
            <v>34.200000000000003</v>
          </cell>
          <cell r="AC17">
            <v>49.4</v>
          </cell>
          <cell r="AD17">
            <v>51.4</v>
          </cell>
          <cell r="AF17">
            <v>84.000000000000014</v>
          </cell>
          <cell r="AG17">
            <v>1.6800000000000002</v>
          </cell>
        </row>
        <row r="18">
          <cell r="I18">
            <v>1010015954</v>
          </cell>
          <cell r="L18">
            <v>31</v>
          </cell>
          <cell r="O18">
            <v>120</v>
          </cell>
          <cell r="P18">
            <v>6.2</v>
          </cell>
          <cell r="Q18">
            <v>200</v>
          </cell>
          <cell r="R18">
            <v>200</v>
          </cell>
          <cell r="S18">
            <v>200</v>
          </cell>
          <cell r="T18">
            <v>36</v>
          </cell>
          <cell r="U18">
            <v>51.451612903225808</v>
          </cell>
          <cell r="V18">
            <v>19.193548387096772</v>
          </cell>
          <cell r="W18">
            <v>6.6</v>
          </cell>
          <cell r="X18">
            <v>12.4</v>
          </cell>
          <cell r="Y18">
            <v>10</v>
          </cell>
          <cell r="Z18">
            <v>7.6</v>
          </cell>
          <cell r="AA18">
            <v>10.4</v>
          </cell>
          <cell r="AB18">
            <v>7.6</v>
          </cell>
          <cell r="AC18">
            <v>13.4</v>
          </cell>
          <cell r="AD18">
            <v>5.8</v>
          </cell>
          <cell r="AE18" t="str">
            <v>нет в бланке</v>
          </cell>
          <cell r="AF18">
            <v>94</v>
          </cell>
          <cell r="AG18">
            <v>2.82</v>
          </cell>
        </row>
        <row r="19">
          <cell r="I19">
            <v>1010016092</v>
          </cell>
          <cell r="L19">
            <v>4</v>
          </cell>
          <cell r="O19">
            <v>120</v>
          </cell>
          <cell r="P19">
            <v>0.8</v>
          </cell>
          <cell r="Q19">
            <v>60</v>
          </cell>
          <cell r="R19">
            <v>60</v>
          </cell>
          <cell r="S19">
            <v>60</v>
          </cell>
          <cell r="U19">
            <v>226.25</v>
          </cell>
          <cell r="V19">
            <v>151.25</v>
          </cell>
          <cell r="W19">
            <v>0.4</v>
          </cell>
          <cell r="X19">
            <v>0.8</v>
          </cell>
          <cell r="Y19">
            <v>2.8</v>
          </cell>
          <cell r="Z19">
            <v>5.2</v>
          </cell>
          <cell r="AA19">
            <v>3.2</v>
          </cell>
          <cell r="AB19">
            <v>1.6</v>
          </cell>
          <cell r="AC19">
            <v>6.6</v>
          </cell>
          <cell r="AD19">
            <v>6.2</v>
          </cell>
          <cell r="AF19">
            <v>28.2</v>
          </cell>
          <cell r="AG19">
            <v>2.82</v>
          </cell>
        </row>
        <row r="20">
          <cell r="I20">
            <v>1010015952</v>
          </cell>
          <cell r="L20">
            <v>-3</v>
          </cell>
          <cell r="O20">
            <v>120</v>
          </cell>
          <cell r="P20">
            <v>-0.6</v>
          </cell>
          <cell r="Q20">
            <v>200</v>
          </cell>
          <cell r="R20">
            <v>200</v>
          </cell>
          <cell r="S20">
            <v>200</v>
          </cell>
          <cell r="U20">
            <v>-531.66666666666674</v>
          </cell>
          <cell r="V20">
            <v>-198.33333333333334</v>
          </cell>
          <cell r="W20">
            <v>1.6</v>
          </cell>
          <cell r="X20">
            <v>5.4</v>
          </cell>
          <cell r="Y20">
            <v>1</v>
          </cell>
          <cell r="Z20">
            <v>6</v>
          </cell>
          <cell r="AA20">
            <v>6.8</v>
          </cell>
          <cell r="AB20">
            <v>2.8</v>
          </cell>
          <cell r="AC20">
            <v>5.8</v>
          </cell>
          <cell r="AD20">
            <v>5.2</v>
          </cell>
          <cell r="AF20">
            <v>94</v>
          </cell>
          <cell r="AG20">
            <v>2.82</v>
          </cell>
        </row>
        <row r="21">
          <cell r="I21">
            <v>1010032953</v>
          </cell>
          <cell r="L21">
            <v>68</v>
          </cell>
          <cell r="O21">
            <v>400</v>
          </cell>
          <cell r="P21">
            <v>13.6</v>
          </cell>
          <cell r="Q21">
            <v>300</v>
          </cell>
          <cell r="R21">
            <v>300</v>
          </cell>
          <cell r="S21">
            <v>300</v>
          </cell>
          <cell r="U21">
            <v>61.102941176470587</v>
          </cell>
          <cell r="V21">
            <v>39.044117647058826</v>
          </cell>
          <cell r="W21">
            <v>18.600000000000001</v>
          </cell>
          <cell r="X21">
            <v>38.200000000000003</v>
          </cell>
          <cell r="Y21">
            <v>-3.6</v>
          </cell>
          <cell r="Z21">
            <v>22</v>
          </cell>
          <cell r="AA21">
            <v>27.6</v>
          </cell>
          <cell r="AB21">
            <v>15.4</v>
          </cell>
          <cell r="AC21">
            <v>22.6</v>
          </cell>
          <cell r="AD21">
            <v>19</v>
          </cell>
          <cell r="AE21" t="str">
            <v>нужно увеличить продажи!!!</v>
          </cell>
          <cell r="AF21">
            <v>90</v>
          </cell>
          <cell r="AG21">
            <v>1.7999999999999998</v>
          </cell>
        </row>
        <row r="22">
          <cell r="I22">
            <v>1010022954</v>
          </cell>
          <cell r="L22">
            <v>53</v>
          </cell>
          <cell r="O22">
            <v>600</v>
          </cell>
          <cell r="P22">
            <v>10.6</v>
          </cell>
          <cell r="Q22">
            <v>400</v>
          </cell>
          <cell r="R22">
            <v>400</v>
          </cell>
          <cell r="S22">
            <v>400</v>
          </cell>
          <cell r="U22">
            <v>94.150943396226424</v>
          </cell>
          <cell r="V22">
            <v>56.415094339622641</v>
          </cell>
          <cell r="W22">
            <v>5.4</v>
          </cell>
          <cell r="X22">
            <v>54.8</v>
          </cell>
          <cell r="Y22">
            <v>26.2</v>
          </cell>
          <cell r="Z22">
            <v>29.8</v>
          </cell>
          <cell r="AA22">
            <v>48</v>
          </cell>
          <cell r="AB22">
            <v>27.4</v>
          </cell>
          <cell r="AC22">
            <v>36.200000000000003</v>
          </cell>
          <cell r="AD22">
            <v>44.8</v>
          </cell>
          <cell r="AE22" t="str">
            <v>нет в бланке / 11,05,25 списание 274шт.</v>
          </cell>
          <cell r="AF22">
            <v>150</v>
          </cell>
          <cell r="AG22">
            <v>2.25</v>
          </cell>
        </row>
        <row r="23">
          <cell r="I23">
            <v>1010016034</v>
          </cell>
          <cell r="L23">
            <v>55</v>
          </cell>
          <cell r="O23">
            <v>600</v>
          </cell>
          <cell r="P23">
            <v>11</v>
          </cell>
          <cell r="Q23">
            <v>400</v>
          </cell>
          <cell r="R23">
            <v>400</v>
          </cell>
          <cell r="S23">
            <v>400</v>
          </cell>
          <cell r="U23">
            <v>91.545454545454547</v>
          </cell>
          <cell r="V23">
            <v>55.18181818181818</v>
          </cell>
          <cell r="W23">
            <v>16</v>
          </cell>
          <cell r="X23">
            <v>36.6</v>
          </cell>
          <cell r="Y23">
            <v>19</v>
          </cell>
          <cell r="Z23">
            <v>24.4</v>
          </cell>
          <cell r="AA23">
            <v>29.8</v>
          </cell>
          <cell r="AB23">
            <v>17.8</v>
          </cell>
          <cell r="AC23">
            <v>24.8</v>
          </cell>
          <cell r="AD23">
            <v>31.8</v>
          </cell>
          <cell r="AE23" t="str">
            <v>нет в бланке / 22,05,25 списание 310шт.</v>
          </cell>
          <cell r="AF23">
            <v>150</v>
          </cell>
          <cell r="AG23">
            <v>2.25</v>
          </cell>
        </row>
        <row r="24">
          <cell r="I24">
            <v>1010023122</v>
          </cell>
          <cell r="L24">
            <v>78</v>
          </cell>
          <cell r="O24">
            <v>500</v>
          </cell>
          <cell r="P24">
            <v>15.6</v>
          </cell>
          <cell r="Q24">
            <v>400</v>
          </cell>
          <cell r="R24">
            <v>400</v>
          </cell>
          <cell r="S24">
            <v>400</v>
          </cell>
          <cell r="U24">
            <v>58.782051282051285</v>
          </cell>
          <cell r="V24">
            <v>33.141025641025642</v>
          </cell>
          <cell r="W24">
            <v>15.8</v>
          </cell>
          <cell r="X24">
            <v>42.2</v>
          </cell>
          <cell r="Y24">
            <v>7.4</v>
          </cell>
          <cell r="Z24">
            <v>33.4</v>
          </cell>
          <cell r="AA24">
            <v>34</v>
          </cell>
          <cell r="AB24">
            <v>18.399999999999999</v>
          </cell>
          <cell r="AC24">
            <v>26.2</v>
          </cell>
          <cell r="AD24">
            <v>43.4</v>
          </cell>
          <cell r="AE24" t="str">
            <v>нет в бланке</v>
          </cell>
          <cell r="AF24">
            <v>150</v>
          </cell>
          <cell r="AG24">
            <v>2.25</v>
          </cell>
        </row>
        <row r="25">
          <cell r="I25" t="str">
            <v>вывод</v>
          </cell>
          <cell r="L25">
            <v>0</v>
          </cell>
          <cell r="P25">
            <v>0</v>
          </cell>
          <cell r="R25">
            <v>0</v>
          </cell>
          <cell r="S25">
            <v>0</v>
          </cell>
          <cell r="U25" t="e">
            <v>#DIV/0!</v>
          </cell>
          <cell r="V25" t="e">
            <v>#DIV/0!</v>
          </cell>
          <cell r="W25">
            <v>0</v>
          </cell>
          <cell r="X25">
            <v>-0.2</v>
          </cell>
          <cell r="Y25">
            <v>0</v>
          </cell>
          <cell r="Z25">
            <v>-1.6</v>
          </cell>
          <cell r="AA25">
            <v>-0.2</v>
          </cell>
          <cell r="AB25">
            <v>-0.2</v>
          </cell>
          <cell r="AC25">
            <v>0</v>
          </cell>
          <cell r="AD25">
            <v>0</v>
          </cell>
        </row>
        <row r="26">
          <cell r="I26">
            <v>1010031576</v>
          </cell>
          <cell r="L26">
            <v>20</v>
          </cell>
          <cell r="O26">
            <v>200</v>
          </cell>
          <cell r="P26">
            <v>4</v>
          </cell>
          <cell r="Q26">
            <v>150</v>
          </cell>
          <cell r="R26">
            <v>150</v>
          </cell>
          <cell r="S26">
            <v>150</v>
          </cell>
          <cell r="U26">
            <v>92.5</v>
          </cell>
          <cell r="V26">
            <v>55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 t="str">
            <v>новинка</v>
          </cell>
          <cell r="AF26">
            <v>15</v>
          </cell>
          <cell r="AG26">
            <v>1</v>
          </cell>
        </row>
        <row r="27">
          <cell r="I27">
            <v>1010033324</v>
          </cell>
          <cell r="L27">
            <v>-10</v>
          </cell>
          <cell r="O27">
            <v>600</v>
          </cell>
          <cell r="P27">
            <v>-2</v>
          </cell>
          <cell r="Q27">
            <v>500</v>
          </cell>
          <cell r="R27">
            <v>500</v>
          </cell>
          <cell r="S27">
            <v>500</v>
          </cell>
          <cell r="U27">
            <v>-552.5</v>
          </cell>
          <cell r="V27">
            <v>-302.5</v>
          </cell>
          <cell r="W27">
            <v>2.8</v>
          </cell>
          <cell r="X27">
            <v>0.8</v>
          </cell>
          <cell r="Y27">
            <v>18.399999999999999</v>
          </cell>
          <cell r="Z27">
            <v>2.6</v>
          </cell>
          <cell r="AA27">
            <v>16.8</v>
          </cell>
          <cell r="AB27">
            <v>13.2</v>
          </cell>
          <cell r="AC27">
            <v>6</v>
          </cell>
          <cell r="AD27">
            <v>17.8</v>
          </cell>
          <cell r="AE27" t="str">
            <v>нет в бланке</v>
          </cell>
          <cell r="AF27">
            <v>150</v>
          </cell>
          <cell r="AG27">
            <v>1.8</v>
          </cell>
        </row>
        <row r="28">
          <cell r="I28">
            <v>1010025585</v>
          </cell>
          <cell r="L28">
            <v>130</v>
          </cell>
          <cell r="O28">
            <v>800</v>
          </cell>
          <cell r="P28">
            <v>26</v>
          </cell>
          <cell r="Q28">
            <v>600</v>
          </cell>
          <cell r="R28">
            <v>600</v>
          </cell>
          <cell r="S28">
            <v>600</v>
          </cell>
          <cell r="U28">
            <v>53.769230769230766</v>
          </cell>
          <cell r="V28">
            <v>30.692307692307693</v>
          </cell>
          <cell r="W28">
            <v>29</v>
          </cell>
          <cell r="X28">
            <v>53.6</v>
          </cell>
          <cell r="Y28">
            <v>48.4</v>
          </cell>
          <cell r="Z28">
            <v>41.6</v>
          </cell>
          <cell r="AA28">
            <v>56.2</v>
          </cell>
          <cell r="AB28">
            <v>52.6</v>
          </cell>
          <cell r="AC28">
            <v>31</v>
          </cell>
          <cell r="AD28">
            <v>53</v>
          </cell>
          <cell r="AF28">
            <v>120</v>
          </cell>
          <cell r="AG28">
            <v>2</v>
          </cell>
        </row>
        <row r="29">
          <cell r="I29">
            <v>1010029655</v>
          </cell>
          <cell r="L29">
            <v>82</v>
          </cell>
          <cell r="O29">
            <v>500</v>
          </cell>
          <cell r="P29">
            <v>16.399999999999999</v>
          </cell>
          <cell r="Q29">
            <v>400</v>
          </cell>
          <cell r="R29">
            <v>400</v>
          </cell>
          <cell r="S29">
            <v>400</v>
          </cell>
          <cell r="U29">
            <v>59.451219512195124</v>
          </cell>
          <cell r="V29">
            <v>35.060975609756099</v>
          </cell>
          <cell r="W29">
            <v>20.2</v>
          </cell>
          <cell r="X29">
            <v>32.200000000000003</v>
          </cell>
          <cell r="Y29">
            <v>15.4</v>
          </cell>
          <cell r="Z29">
            <v>23.8</v>
          </cell>
          <cell r="AA29">
            <v>36.6</v>
          </cell>
          <cell r="AB29">
            <v>10.199999999999999</v>
          </cell>
          <cell r="AC29">
            <v>24.4</v>
          </cell>
          <cell r="AD29">
            <v>29.8</v>
          </cell>
          <cell r="AE29" t="str">
            <v>нет в бланке / нужно увеличить продажи / 22,05,25 списание 215шт.</v>
          </cell>
          <cell r="AF29">
            <v>132</v>
          </cell>
          <cell r="AG29">
            <v>1.98</v>
          </cell>
        </row>
        <row r="30">
          <cell r="I30">
            <v>1010031142</v>
          </cell>
          <cell r="L30">
            <v>6</v>
          </cell>
          <cell r="O30">
            <v>120</v>
          </cell>
          <cell r="P30">
            <v>1.2</v>
          </cell>
          <cell r="Q30">
            <v>120</v>
          </cell>
          <cell r="R30">
            <v>120</v>
          </cell>
          <cell r="S30">
            <v>120</v>
          </cell>
          <cell r="U30">
            <v>202.5</v>
          </cell>
          <cell r="V30">
            <v>102.5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 t="str">
            <v>новинка</v>
          </cell>
          <cell r="AF30">
            <v>42</v>
          </cell>
          <cell r="AG30">
            <v>2.1</v>
          </cell>
        </row>
        <row r="31">
          <cell r="I31">
            <v>1010032043</v>
          </cell>
          <cell r="L31">
            <v>20</v>
          </cell>
          <cell r="O31">
            <v>200</v>
          </cell>
          <cell r="P31">
            <v>4</v>
          </cell>
          <cell r="Q31">
            <v>100</v>
          </cell>
          <cell r="R31">
            <v>100</v>
          </cell>
          <cell r="S31">
            <v>100</v>
          </cell>
          <cell r="U31">
            <v>80</v>
          </cell>
          <cell r="V31">
            <v>55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 t="str">
            <v>новинка</v>
          </cell>
          <cell r="AF31">
            <v>10</v>
          </cell>
          <cell r="AG31">
            <v>1</v>
          </cell>
        </row>
        <row r="32">
          <cell r="I32">
            <v>1010033903</v>
          </cell>
          <cell r="L32">
            <v>10</v>
          </cell>
          <cell r="O32">
            <v>200</v>
          </cell>
          <cell r="P32">
            <v>2</v>
          </cell>
          <cell r="Q32">
            <v>200</v>
          </cell>
          <cell r="R32">
            <v>200</v>
          </cell>
          <cell r="S32">
            <v>200</v>
          </cell>
          <cell r="U32">
            <v>200</v>
          </cell>
          <cell r="V32">
            <v>100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 t="str">
            <v>новинка</v>
          </cell>
          <cell r="AF32">
            <v>100</v>
          </cell>
          <cell r="AG32">
            <v>2</v>
          </cell>
        </row>
        <row r="33">
          <cell r="I33" t="str">
            <v>дубль</v>
          </cell>
          <cell r="J33" t="str">
            <v>Колбаса с/к Сервелат ГОСТ ВУ ОХЛ 0,3кг*6(1,8кг)  МИРАТОРГ</v>
          </cell>
          <cell r="L33">
            <v>82</v>
          </cell>
          <cell r="P33">
            <v>16.399999999999999</v>
          </cell>
          <cell r="R33">
            <v>0</v>
          </cell>
          <cell r="S33">
            <v>0</v>
          </cell>
          <cell r="U33">
            <v>14.207317073170733</v>
          </cell>
          <cell r="V33">
            <v>14.207317073170733</v>
          </cell>
          <cell r="W33">
            <v>19.8</v>
          </cell>
          <cell r="X33">
            <v>59</v>
          </cell>
          <cell r="Y33">
            <v>0</v>
          </cell>
          <cell r="Z33">
            <v>20.2</v>
          </cell>
          <cell r="AA33">
            <v>38.200000000000003</v>
          </cell>
          <cell r="AB33">
            <v>6.8</v>
          </cell>
          <cell r="AC33">
            <v>0</v>
          </cell>
          <cell r="AD33">
            <v>0</v>
          </cell>
        </row>
        <row r="34">
          <cell r="I34">
            <v>1010032675</v>
          </cell>
          <cell r="L34">
            <v>9</v>
          </cell>
          <cell r="O34">
            <v>120</v>
          </cell>
          <cell r="P34">
            <v>1.8</v>
          </cell>
          <cell r="Q34">
            <v>120</v>
          </cell>
          <cell r="R34">
            <v>120</v>
          </cell>
          <cell r="S34">
            <v>120</v>
          </cell>
          <cell r="U34">
            <v>133.33333333333334</v>
          </cell>
          <cell r="V34">
            <v>66.666666666666671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 t="str">
            <v>новинка</v>
          </cell>
          <cell r="AF34">
            <v>42</v>
          </cell>
          <cell r="AG34">
            <v>2.0999999999999996</v>
          </cell>
        </row>
        <row r="35">
          <cell r="I35">
            <v>1010031149</v>
          </cell>
          <cell r="L35">
            <v>9</v>
          </cell>
          <cell r="O35">
            <v>120</v>
          </cell>
          <cell r="P35">
            <v>1.8</v>
          </cell>
          <cell r="Q35">
            <v>120</v>
          </cell>
          <cell r="R35">
            <v>120</v>
          </cell>
          <cell r="S35">
            <v>120</v>
          </cell>
          <cell r="U35">
            <v>133.33333333333334</v>
          </cell>
          <cell r="V35">
            <v>66.666666666666671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 t="str">
            <v>новинка</v>
          </cell>
          <cell r="AF35">
            <v>42</v>
          </cell>
          <cell r="AG35">
            <v>2.1</v>
          </cell>
        </row>
        <row r="36">
          <cell r="I36">
            <v>1010031327</v>
          </cell>
          <cell r="L36">
            <v>9</v>
          </cell>
          <cell r="O36">
            <v>120</v>
          </cell>
          <cell r="P36">
            <v>1.8</v>
          </cell>
          <cell r="Q36">
            <v>120</v>
          </cell>
          <cell r="R36">
            <v>120</v>
          </cell>
          <cell r="S36">
            <v>120</v>
          </cell>
          <cell r="U36">
            <v>133.33333333333334</v>
          </cell>
          <cell r="V36">
            <v>66.666666666666671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 t="str">
            <v>новинка</v>
          </cell>
          <cell r="AF36">
            <v>42</v>
          </cell>
          <cell r="AG36">
            <v>2.0999999999999996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ссортимент 2026г"/>
    </sheetNames>
    <sheetDataSet>
      <sheetData sheetId="0">
        <row r="6">
          <cell r="A6" t="str">
            <v>Артикул</v>
          </cell>
        </row>
        <row r="7">
          <cell r="A7">
            <v>1010034180</v>
          </cell>
        </row>
        <row r="8">
          <cell r="A8">
            <v>1010015952</v>
          </cell>
        </row>
        <row r="9">
          <cell r="A9">
            <v>1010017107</v>
          </cell>
        </row>
        <row r="10">
          <cell r="A10">
            <v>1010016092</v>
          </cell>
        </row>
        <row r="11">
          <cell r="A11">
            <v>1010024328</v>
          </cell>
        </row>
        <row r="12">
          <cell r="A12">
            <v>1010030635</v>
          </cell>
        </row>
        <row r="13">
          <cell r="A13">
            <v>1010033785</v>
          </cell>
        </row>
        <row r="14">
          <cell r="A14">
            <v>1010033784</v>
          </cell>
        </row>
        <row r="15">
          <cell r="A15">
            <v>1010027650</v>
          </cell>
        </row>
        <row r="16">
          <cell r="A16">
            <v>1010032754</v>
          </cell>
        </row>
        <row r="17">
          <cell r="A17">
            <v>1010027653</v>
          </cell>
        </row>
        <row r="18">
          <cell r="A18">
            <v>1010032953</v>
          </cell>
        </row>
        <row r="19">
          <cell r="A19">
            <v>1010032954</v>
          </cell>
        </row>
        <row r="20">
          <cell r="A20">
            <v>1010027650</v>
          </cell>
        </row>
        <row r="21">
          <cell r="A21">
            <v>1010032949</v>
          </cell>
        </row>
        <row r="22">
          <cell r="A22">
            <v>1010023293</v>
          </cell>
        </row>
        <row r="23">
          <cell r="A23">
            <v>1010034058</v>
          </cell>
        </row>
        <row r="24">
          <cell r="A24">
            <v>1010030987</v>
          </cell>
        </row>
        <row r="25">
          <cell r="A25">
            <v>1010030988</v>
          </cell>
        </row>
        <row r="26">
          <cell r="A26">
            <v>1010030989</v>
          </cell>
        </row>
        <row r="27">
          <cell r="A27">
            <v>1010033764</v>
          </cell>
        </row>
        <row r="28">
          <cell r="A28">
            <v>1010033765</v>
          </cell>
        </row>
        <row r="29">
          <cell r="A29">
            <v>1010025585</v>
          </cell>
        </row>
        <row r="30">
          <cell r="A30">
            <v>1010018239</v>
          </cell>
        </row>
        <row r="31">
          <cell r="A31">
            <v>1010031330</v>
          </cell>
        </row>
        <row r="32">
          <cell r="A32">
            <v>1010031341</v>
          </cell>
        </row>
        <row r="33">
          <cell r="A33">
            <v>1010031576</v>
          </cell>
        </row>
        <row r="34">
          <cell r="A34">
            <v>1010031574</v>
          </cell>
        </row>
        <row r="35">
          <cell r="A35">
            <v>1010031575</v>
          </cell>
        </row>
        <row r="36">
          <cell r="A36">
            <v>1010030936</v>
          </cell>
        </row>
        <row r="37">
          <cell r="A37">
            <v>1010032041</v>
          </cell>
        </row>
        <row r="38">
          <cell r="A38">
            <v>1010032043</v>
          </cell>
        </row>
        <row r="39">
          <cell r="A39">
            <v>1010031149</v>
          </cell>
        </row>
        <row r="40">
          <cell r="A40">
            <v>1010031142</v>
          </cell>
        </row>
        <row r="41">
          <cell r="A41">
            <v>1010015949</v>
          </cell>
        </row>
        <row r="42">
          <cell r="A42">
            <v>1010031327</v>
          </cell>
        </row>
        <row r="43">
          <cell r="A43">
            <v>1010031948</v>
          </cell>
        </row>
        <row r="44">
          <cell r="A44">
            <v>1010031947</v>
          </cell>
        </row>
        <row r="45">
          <cell r="A45">
            <v>1010032373</v>
          </cell>
        </row>
        <row r="46">
          <cell r="A46">
            <v>1010032677</v>
          </cell>
        </row>
        <row r="47">
          <cell r="A47">
            <v>1010032675</v>
          </cell>
        </row>
        <row r="48">
          <cell r="A48">
            <v>1010034142</v>
          </cell>
        </row>
        <row r="49">
          <cell r="A49">
            <v>1010033333</v>
          </cell>
        </row>
        <row r="50">
          <cell r="A50">
            <v>1010033332</v>
          </cell>
        </row>
        <row r="51">
          <cell r="A51">
            <v>1010033334</v>
          </cell>
        </row>
        <row r="52">
          <cell r="A52">
            <v>1010033331</v>
          </cell>
        </row>
        <row r="53">
          <cell r="A53">
            <v>1010033325</v>
          </cell>
        </row>
        <row r="54">
          <cell r="A54">
            <v>1010032371</v>
          </cell>
        </row>
        <row r="55">
          <cell r="A55">
            <v>1010032887</v>
          </cell>
        </row>
        <row r="56">
          <cell r="A56">
            <v>1010032755</v>
          </cell>
        </row>
        <row r="57">
          <cell r="A57">
            <v>1010033329</v>
          </cell>
        </row>
        <row r="58">
          <cell r="A58">
            <v>1010033335</v>
          </cell>
        </row>
        <row r="59">
          <cell r="A59">
            <v>1010033901</v>
          </cell>
        </row>
        <row r="60">
          <cell r="A60">
            <v>1010033903</v>
          </cell>
        </row>
        <row r="61">
          <cell r="A61">
            <v>1010026904</v>
          </cell>
        </row>
        <row r="62">
          <cell r="A62">
            <v>1010026900</v>
          </cell>
        </row>
        <row r="63">
          <cell r="A63">
            <v>1010026898</v>
          </cell>
        </row>
        <row r="64">
          <cell r="A64">
            <v>1010033140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2" sqref="T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8" width="7" customWidth="1"/>
    <col min="19" max="19" width="8.85546875" customWidth="1"/>
    <col min="20" max="20" width="21" customWidth="1"/>
    <col min="21" max="22" width="5" customWidth="1"/>
    <col min="23" max="30" width="6" customWidth="1"/>
    <col min="31" max="31" width="23.5703125" customWidth="1"/>
    <col min="32" max="32" width="7" customWidth="1"/>
    <col min="33" max="33" width="8" style="29" customWidth="1"/>
    <col min="34" max="34" width="5.85546875" style="30" customWidth="1"/>
    <col min="35" max="35" width="6.7109375" style="31" customWidth="1"/>
    <col min="36" max="36" width="13.42578125" customWidth="1"/>
    <col min="37" max="37" width="14.5703125" style="24" customWidth="1"/>
    <col min="38" max="53" width="8" customWidth="1"/>
  </cols>
  <sheetData>
    <row r="1" spans="1:53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>
        <v>2570</v>
      </c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>
        <v>434</v>
      </c>
      <c r="AG1" s="25">
        <v>925</v>
      </c>
      <c r="AH1" s="26">
        <f>AH5-AF1</f>
        <v>752</v>
      </c>
      <c r="AI1" s="26">
        <f>AI5-AG1</f>
        <v>1379.8100000000004</v>
      </c>
      <c r="AJ1" s="7"/>
      <c r="AK1" s="20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</row>
    <row r="2" spans="1:53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>
        <f>R5-R1</f>
        <v>5010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5"/>
      <c r="AH2" s="26" t="s">
        <v>72</v>
      </c>
      <c r="AI2" s="7"/>
      <c r="AJ2" s="7"/>
      <c r="AK2" s="20" t="s">
        <v>71</v>
      </c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76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27" t="s">
        <v>73</v>
      </c>
      <c r="AH3" s="27" t="s">
        <v>74</v>
      </c>
      <c r="AI3" s="1" t="s">
        <v>75</v>
      </c>
      <c r="AJ3" s="7"/>
      <c r="AK3" s="21" t="s">
        <v>17</v>
      </c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</row>
    <row r="4" spans="1:53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/>
      <c r="R4" s="7" t="s">
        <v>77</v>
      </c>
      <c r="S4" s="7"/>
      <c r="T4" s="7"/>
      <c r="U4" s="7"/>
      <c r="V4" s="7"/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/>
      <c r="AF4" s="7"/>
      <c r="AG4" s="25"/>
      <c r="AH4" s="26"/>
      <c r="AI4" s="7"/>
      <c r="AJ4" s="7"/>
      <c r="AK4" s="20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x14ac:dyDescent="0.25">
      <c r="A5" s="7"/>
      <c r="B5" s="7"/>
      <c r="C5" s="7"/>
      <c r="D5" s="7"/>
      <c r="E5" s="3">
        <f>SUM(E6:E489)</f>
        <v>1078</v>
      </c>
      <c r="F5" s="3">
        <f>SUM(F6:F489)</f>
        <v>-18</v>
      </c>
      <c r="G5" s="8"/>
      <c r="H5" s="7"/>
      <c r="I5" s="7"/>
      <c r="J5" s="7"/>
      <c r="K5" s="3">
        <f t="shared" ref="K5:S5" si="0">SUM(K6:K489)</f>
        <v>0</v>
      </c>
      <c r="L5" s="3">
        <f t="shared" si="0"/>
        <v>1078</v>
      </c>
      <c r="M5" s="3">
        <f t="shared" si="0"/>
        <v>0</v>
      </c>
      <c r="N5" s="3">
        <f t="shared" si="0"/>
        <v>0</v>
      </c>
      <c r="O5" s="3">
        <f t="shared" si="0"/>
        <v>9240</v>
      </c>
      <c r="P5" s="3">
        <f t="shared" si="0"/>
        <v>215.60000000000002</v>
      </c>
      <c r="Q5" s="3">
        <f t="shared" si="0"/>
        <v>261</v>
      </c>
      <c r="R5" s="3">
        <f t="shared" si="0"/>
        <v>7580</v>
      </c>
      <c r="S5" s="3">
        <f t="shared" si="0"/>
        <v>7580</v>
      </c>
      <c r="T5" s="7"/>
      <c r="U5" s="7"/>
      <c r="V5" s="7"/>
      <c r="W5" s="3">
        <f t="shared" ref="W5:AD5" si="1">SUM(W6:W489)</f>
        <v>215.80000000000004</v>
      </c>
      <c r="X5" s="3">
        <f t="shared" si="1"/>
        <v>497.00000000000006</v>
      </c>
      <c r="Y5" s="3">
        <f t="shared" si="1"/>
        <v>236.60000000000002</v>
      </c>
      <c r="Z5" s="3">
        <f t="shared" si="1"/>
        <v>351.40000000000003</v>
      </c>
      <c r="AA5" s="3">
        <f t="shared" si="1"/>
        <v>480.8</v>
      </c>
      <c r="AB5" s="3">
        <f t="shared" si="1"/>
        <v>275.40000000000003</v>
      </c>
      <c r="AC5" s="3">
        <f t="shared" si="1"/>
        <v>328.59999999999997</v>
      </c>
      <c r="AD5" s="3">
        <f t="shared" si="1"/>
        <v>446.6</v>
      </c>
      <c r="AE5" s="7"/>
      <c r="AF5" s="3">
        <f>SUM(AF6:AF489)</f>
        <v>2301.1999999999998</v>
      </c>
      <c r="AG5" s="25"/>
      <c r="AH5" s="28">
        <f>SUM(AH6:AH499)</f>
        <v>1186</v>
      </c>
      <c r="AI5" s="3">
        <f t="shared" ref="AI5" si="2">SUM(AI6:AI499)</f>
        <v>2304.8100000000004</v>
      </c>
      <c r="AJ5" s="7"/>
      <c r="AK5" s="22">
        <f>SUM(AK6:AK489)</f>
        <v>6530</v>
      </c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</row>
    <row r="6" spans="1:53" x14ac:dyDescent="0.25">
      <c r="A6" s="7" t="s">
        <v>34</v>
      </c>
      <c r="B6" s="7" t="s">
        <v>35</v>
      </c>
      <c r="C6" s="7">
        <v>40</v>
      </c>
      <c r="D6" s="7"/>
      <c r="E6" s="7">
        <v>18</v>
      </c>
      <c r="F6" s="7"/>
      <c r="G6" s="8">
        <v>0.1</v>
      </c>
      <c r="H6" s="7">
        <v>90</v>
      </c>
      <c r="I6" s="7">
        <v>1010032041</v>
      </c>
      <c r="J6" s="7"/>
      <c r="K6" s="7"/>
      <c r="L6" s="7">
        <f t="shared" ref="L6:L36" si="3">E6-K6</f>
        <v>18</v>
      </c>
      <c r="M6" s="7"/>
      <c r="N6" s="7"/>
      <c r="O6" s="7">
        <v>150</v>
      </c>
      <c r="P6" s="7">
        <f t="shared" ref="P6:P36" si="4">E6/5</f>
        <v>3.6</v>
      </c>
      <c r="Q6" s="4"/>
      <c r="R6" s="4">
        <f>S6</f>
        <v>300</v>
      </c>
      <c r="S6" s="4">
        <v>300</v>
      </c>
      <c r="T6" s="19" t="s">
        <v>70</v>
      </c>
      <c r="U6" s="7">
        <f t="shared" ref="U6:U36" si="5">(F6+O6+Q6)/P6</f>
        <v>41.666666666666664</v>
      </c>
      <c r="V6" s="7">
        <f t="shared" ref="V6:V36" si="6">(F6+O6)/P6</f>
        <v>41.666666666666664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 t="s">
        <v>70</v>
      </c>
      <c r="AF6" s="7">
        <f>G6*R6</f>
        <v>30</v>
      </c>
      <c r="AG6" s="25">
        <f>VLOOKUP(I6,[1]Sheet!$I:$AG,25,0)</f>
        <v>1</v>
      </c>
      <c r="AH6" s="26">
        <f>MROUND(G6*R6,AG6)/AG6</f>
        <v>30</v>
      </c>
      <c r="AI6" s="7">
        <f t="shared" ref="AI6" si="7">AH6*AG6</f>
        <v>30</v>
      </c>
      <c r="AJ6" s="7">
        <f>VLOOKUP(I6,'[2]Ассортимент 2026г'!$A:$A,1,0)</f>
        <v>1010032041</v>
      </c>
      <c r="AK6" s="23">
        <v>150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</row>
    <row r="7" spans="1:53" x14ac:dyDescent="0.25">
      <c r="A7" s="10" t="s">
        <v>36</v>
      </c>
      <c r="B7" s="7" t="s">
        <v>35</v>
      </c>
      <c r="C7" s="7">
        <v>57</v>
      </c>
      <c r="D7" s="7"/>
      <c r="E7" s="7">
        <v>26</v>
      </c>
      <c r="F7" s="7"/>
      <c r="G7" s="8">
        <v>0.4</v>
      </c>
      <c r="H7" s="7">
        <v>75</v>
      </c>
      <c r="I7" s="7">
        <v>1010023293</v>
      </c>
      <c r="J7" s="7"/>
      <c r="K7" s="7"/>
      <c r="L7" s="7">
        <f t="shared" si="3"/>
        <v>26</v>
      </c>
      <c r="M7" s="7"/>
      <c r="N7" s="7"/>
      <c r="O7" s="7">
        <v>150</v>
      </c>
      <c r="P7" s="7">
        <f t="shared" si="4"/>
        <v>5.2</v>
      </c>
      <c r="Q7" s="4"/>
      <c r="R7" s="4">
        <f t="shared" ref="R7:R36" si="8">S7</f>
        <v>150</v>
      </c>
      <c r="S7" s="4">
        <v>150</v>
      </c>
      <c r="T7" s="19" t="s">
        <v>70</v>
      </c>
      <c r="U7" s="7">
        <f t="shared" si="5"/>
        <v>28.846153846153847</v>
      </c>
      <c r="V7" s="7">
        <f t="shared" si="6"/>
        <v>28.846153846153847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 t="s">
        <v>70</v>
      </c>
      <c r="AF7" s="7">
        <f t="shared" ref="AF7:AF36" si="9">G7*R7</f>
        <v>60</v>
      </c>
      <c r="AG7" s="25">
        <f>VLOOKUP(I7,[1]Sheet!$I:$AG,25,0)</f>
        <v>2.4</v>
      </c>
      <c r="AH7" s="26">
        <f t="shared" ref="AH7:AH36" si="10">MROUND(G7*R7,AG7)/AG7</f>
        <v>25</v>
      </c>
      <c r="AI7" s="7">
        <f t="shared" ref="AI7:AI36" si="11">AH7*AG7</f>
        <v>60</v>
      </c>
      <c r="AJ7" s="7">
        <f>VLOOKUP(I7,'[2]Ассортимент 2026г'!$A:$A,1,0)</f>
        <v>1010023293</v>
      </c>
      <c r="AK7" s="23">
        <v>150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</row>
    <row r="8" spans="1:53" x14ac:dyDescent="0.25">
      <c r="A8" s="7" t="s">
        <v>37</v>
      </c>
      <c r="B8" s="7" t="s">
        <v>35</v>
      </c>
      <c r="C8" s="7">
        <v>199</v>
      </c>
      <c r="D8" s="7"/>
      <c r="E8" s="7">
        <v>89</v>
      </c>
      <c r="F8" s="7"/>
      <c r="G8" s="8">
        <v>0.3</v>
      </c>
      <c r="H8" s="7">
        <v>55</v>
      </c>
      <c r="I8" s="7">
        <v>1010027650</v>
      </c>
      <c r="J8" s="7"/>
      <c r="K8" s="7"/>
      <c r="L8" s="7">
        <f t="shared" si="3"/>
        <v>89</v>
      </c>
      <c r="M8" s="7"/>
      <c r="N8" s="7"/>
      <c r="O8" s="7">
        <v>500</v>
      </c>
      <c r="P8" s="7">
        <f t="shared" si="4"/>
        <v>17.8</v>
      </c>
      <c r="Q8" s="4"/>
      <c r="R8" s="4">
        <f t="shared" si="8"/>
        <v>400</v>
      </c>
      <c r="S8" s="4">
        <v>400</v>
      </c>
      <c r="T8" s="7"/>
      <c r="U8" s="7">
        <f t="shared" si="5"/>
        <v>28.089887640449437</v>
      </c>
      <c r="V8" s="7">
        <f t="shared" si="6"/>
        <v>28.089887640449437</v>
      </c>
      <c r="W8" s="7">
        <v>8.1999999999999993</v>
      </c>
      <c r="X8" s="7">
        <v>48.6</v>
      </c>
      <c r="Y8" s="7">
        <v>-1</v>
      </c>
      <c r="Z8" s="7">
        <v>29</v>
      </c>
      <c r="AA8" s="7">
        <v>38.200000000000003</v>
      </c>
      <c r="AB8" s="7">
        <v>19.600000000000001</v>
      </c>
      <c r="AC8" s="7">
        <v>27.8</v>
      </c>
      <c r="AD8" s="7">
        <v>37.6</v>
      </c>
      <c r="AE8" s="7"/>
      <c r="AF8" s="7">
        <f t="shared" si="9"/>
        <v>120</v>
      </c>
      <c r="AG8" s="25">
        <f>VLOOKUP(I8,[1]Sheet!$I:$AG,25,0)</f>
        <v>1.7999999999999998</v>
      </c>
      <c r="AH8" s="26">
        <f t="shared" si="10"/>
        <v>67</v>
      </c>
      <c r="AI8" s="7">
        <f t="shared" si="11"/>
        <v>120.6</v>
      </c>
      <c r="AJ8" s="7">
        <f>VLOOKUP(I8,'[2]Ассортимент 2026г'!$A:$A,1,0)</f>
        <v>1010027650</v>
      </c>
      <c r="AK8" s="23">
        <v>400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3" x14ac:dyDescent="0.25">
      <c r="A9" s="12" t="s">
        <v>38</v>
      </c>
      <c r="B9" s="7" t="s">
        <v>35</v>
      </c>
      <c r="C9" s="7"/>
      <c r="D9" s="7"/>
      <c r="E9" s="7"/>
      <c r="F9" s="7"/>
      <c r="G9" s="8">
        <v>0.25</v>
      </c>
      <c r="H9" s="7">
        <v>150</v>
      </c>
      <c r="I9" s="7">
        <v>1010032755</v>
      </c>
      <c r="J9" s="7"/>
      <c r="K9" s="7"/>
      <c r="L9" s="7">
        <f t="shared" si="3"/>
        <v>0</v>
      </c>
      <c r="M9" s="7"/>
      <c r="N9" s="7"/>
      <c r="O9" s="7"/>
      <c r="P9" s="7">
        <f t="shared" si="4"/>
        <v>0</v>
      </c>
      <c r="Q9" s="4"/>
      <c r="R9" s="4">
        <f t="shared" si="8"/>
        <v>0</v>
      </c>
      <c r="S9" s="4"/>
      <c r="T9" s="7"/>
      <c r="U9" s="7" t="e">
        <f t="shared" si="5"/>
        <v>#DIV/0!</v>
      </c>
      <c r="V9" s="7" t="e">
        <f t="shared" si="6"/>
        <v>#DIV/0!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11" t="s">
        <v>39</v>
      </c>
      <c r="AF9" s="7">
        <f t="shared" si="9"/>
        <v>0</v>
      </c>
      <c r="AG9" s="25">
        <f>VLOOKUP(I9,[1]Sheet!$I:$AG,25,0)</f>
        <v>1.5</v>
      </c>
      <c r="AH9" s="26">
        <f t="shared" si="10"/>
        <v>0</v>
      </c>
      <c r="AI9" s="7">
        <f t="shared" si="11"/>
        <v>0</v>
      </c>
      <c r="AJ9" s="7"/>
      <c r="AK9" s="23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</row>
    <row r="10" spans="1:53" x14ac:dyDescent="0.25">
      <c r="A10" s="13" t="s">
        <v>40</v>
      </c>
      <c r="B10" s="16" t="s">
        <v>35</v>
      </c>
      <c r="C10" s="13">
        <v>3</v>
      </c>
      <c r="D10" s="13"/>
      <c r="E10" s="17">
        <v>-10</v>
      </c>
      <c r="F10" s="17"/>
      <c r="G10" s="14">
        <v>0</v>
      </c>
      <c r="H10" s="13"/>
      <c r="I10" s="13" t="s">
        <v>41</v>
      </c>
      <c r="J10" s="13" t="s">
        <v>42</v>
      </c>
      <c r="K10" s="13"/>
      <c r="L10" s="13">
        <f t="shared" si="3"/>
        <v>-10</v>
      </c>
      <c r="M10" s="13"/>
      <c r="N10" s="13"/>
      <c r="O10" s="13"/>
      <c r="P10" s="13">
        <f t="shared" si="4"/>
        <v>-2</v>
      </c>
      <c r="Q10" s="15"/>
      <c r="R10" s="4">
        <f t="shared" si="8"/>
        <v>0</v>
      </c>
      <c r="S10" s="15"/>
      <c r="T10" s="13"/>
      <c r="U10" s="13">
        <f t="shared" si="5"/>
        <v>0</v>
      </c>
      <c r="V10" s="13">
        <f t="shared" si="6"/>
        <v>0</v>
      </c>
      <c r="W10" s="13">
        <v>2.8</v>
      </c>
      <c r="X10" s="13">
        <v>24.8</v>
      </c>
      <c r="Y10" s="13">
        <v>18.2</v>
      </c>
      <c r="Z10" s="13">
        <v>17.2</v>
      </c>
      <c r="AA10" s="13">
        <v>0.8</v>
      </c>
      <c r="AB10" s="13">
        <v>2.4</v>
      </c>
      <c r="AC10" s="13">
        <v>0</v>
      </c>
      <c r="AD10" s="13">
        <v>0</v>
      </c>
      <c r="AE10" s="13"/>
      <c r="AF10" s="7">
        <f t="shared" si="9"/>
        <v>0</v>
      </c>
      <c r="AG10" s="25"/>
      <c r="AH10" s="26"/>
      <c r="AI10" s="7"/>
      <c r="AJ10" s="7"/>
      <c r="AK10" s="23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</row>
    <row r="11" spans="1:53" x14ac:dyDescent="0.25">
      <c r="A11" s="10" t="s">
        <v>43</v>
      </c>
      <c r="B11" s="7" t="s">
        <v>35</v>
      </c>
      <c r="C11" s="7">
        <v>56</v>
      </c>
      <c r="D11" s="7"/>
      <c r="E11" s="7">
        <v>36</v>
      </c>
      <c r="F11" s="7"/>
      <c r="G11" s="8">
        <v>0.28000000000000003</v>
      </c>
      <c r="H11" s="7">
        <v>55</v>
      </c>
      <c r="I11" s="7">
        <v>1010032754</v>
      </c>
      <c r="J11" s="7"/>
      <c r="K11" s="7"/>
      <c r="L11" s="7">
        <f t="shared" si="3"/>
        <v>36</v>
      </c>
      <c r="M11" s="7"/>
      <c r="N11" s="7"/>
      <c r="O11" s="7">
        <v>100</v>
      </c>
      <c r="P11" s="7">
        <f t="shared" si="4"/>
        <v>7.2</v>
      </c>
      <c r="Q11" s="4">
        <f>25*P11-O11-F11</f>
        <v>80</v>
      </c>
      <c r="R11" s="4">
        <f t="shared" si="8"/>
        <v>300</v>
      </c>
      <c r="S11" s="4">
        <v>300</v>
      </c>
      <c r="T11" s="19" t="s">
        <v>70</v>
      </c>
      <c r="U11" s="7">
        <f t="shared" si="5"/>
        <v>25</v>
      </c>
      <c r="V11" s="7">
        <f t="shared" si="6"/>
        <v>13.888888888888889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 t="s">
        <v>70</v>
      </c>
      <c r="AF11" s="7">
        <f t="shared" si="9"/>
        <v>84.000000000000014</v>
      </c>
      <c r="AG11" s="25">
        <f>VLOOKUP(I11,[1]Sheet!$I:$AG,25,0)</f>
        <v>1.6800000000000002</v>
      </c>
      <c r="AH11" s="26">
        <f t="shared" si="10"/>
        <v>50.000000000000007</v>
      </c>
      <c r="AI11" s="7">
        <f t="shared" si="11"/>
        <v>84.000000000000014</v>
      </c>
      <c r="AJ11" s="7">
        <f>VLOOKUP(I11,'[2]Ассортимент 2026г'!$A:$A,1,0)</f>
        <v>1010032754</v>
      </c>
      <c r="AK11" s="23">
        <v>200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</row>
    <row r="12" spans="1:53" x14ac:dyDescent="0.25">
      <c r="A12" s="10" t="s">
        <v>44</v>
      </c>
      <c r="B12" s="7" t="s">
        <v>35</v>
      </c>
      <c r="C12" s="7">
        <v>57</v>
      </c>
      <c r="D12" s="7"/>
      <c r="E12" s="7">
        <v>26</v>
      </c>
      <c r="F12" s="7"/>
      <c r="G12" s="8">
        <v>0.35</v>
      </c>
      <c r="H12" s="7">
        <v>75</v>
      </c>
      <c r="I12" s="7">
        <v>1010030635</v>
      </c>
      <c r="J12" s="7"/>
      <c r="K12" s="7"/>
      <c r="L12" s="7">
        <f t="shared" si="3"/>
        <v>26</v>
      </c>
      <c r="M12" s="7"/>
      <c r="N12" s="7"/>
      <c r="O12" s="7">
        <v>150</v>
      </c>
      <c r="P12" s="7">
        <f t="shared" si="4"/>
        <v>5.2</v>
      </c>
      <c r="Q12" s="4"/>
      <c r="R12" s="4">
        <f t="shared" si="8"/>
        <v>120</v>
      </c>
      <c r="S12" s="4">
        <v>120</v>
      </c>
      <c r="T12" s="19" t="s">
        <v>70</v>
      </c>
      <c r="U12" s="7">
        <f t="shared" si="5"/>
        <v>28.846153846153847</v>
      </c>
      <c r="V12" s="7">
        <f t="shared" si="6"/>
        <v>28.846153846153847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 t="s">
        <v>70</v>
      </c>
      <c r="AF12" s="7">
        <f t="shared" si="9"/>
        <v>42</v>
      </c>
      <c r="AG12" s="25">
        <f>VLOOKUP(I12,[1]Sheet!$I:$AG,25,0)</f>
        <v>2.1</v>
      </c>
      <c r="AH12" s="26">
        <f t="shared" si="10"/>
        <v>20</v>
      </c>
      <c r="AI12" s="7">
        <f t="shared" si="11"/>
        <v>42</v>
      </c>
      <c r="AJ12" s="7">
        <f>VLOOKUP(I12,'[2]Ассортимент 2026г'!$A:$A,1,0)</f>
        <v>1010030635</v>
      </c>
      <c r="AK12" s="23">
        <v>120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</row>
    <row r="13" spans="1:53" x14ac:dyDescent="0.25">
      <c r="A13" s="7" t="s">
        <v>45</v>
      </c>
      <c r="B13" s="7" t="s">
        <v>35</v>
      </c>
      <c r="C13" s="7">
        <v>203</v>
      </c>
      <c r="D13" s="7"/>
      <c r="E13" s="7">
        <v>79</v>
      </c>
      <c r="F13" s="7"/>
      <c r="G13" s="8">
        <v>0.33</v>
      </c>
      <c r="H13" s="7">
        <v>55</v>
      </c>
      <c r="I13" s="7">
        <v>1010033736</v>
      </c>
      <c r="J13" s="7"/>
      <c r="K13" s="7"/>
      <c r="L13" s="7">
        <f t="shared" si="3"/>
        <v>79</v>
      </c>
      <c r="M13" s="7"/>
      <c r="N13" s="7"/>
      <c r="O13" s="7">
        <v>250</v>
      </c>
      <c r="P13" s="7">
        <f t="shared" si="4"/>
        <v>15.8</v>
      </c>
      <c r="Q13" s="4">
        <f>25*P13-O13-F13</f>
        <v>145</v>
      </c>
      <c r="R13" s="4">
        <f t="shared" si="8"/>
        <v>150</v>
      </c>
      <c r="S13" s="4">
        <v>150</v>
      </c>
      <c r="T13" s="7"/>
      <c r="U13" s="7">
        <f t="shared" si="5"/>
        <v>25</v>
      </c>
      <c r="V13" s="7">
        <f t="shared" si="6"/>
        <v>15.822784810126581</v>
      </c>
      <c r="W13" s="7">
        <v>-0.2</v>
      </c>
      <c r="X13" s="7">
        <v>22.8</v>
      </c>
      <c r="Y13" s="7">
        <v>11.2</v>
      </c>
      <c r="Z13" s="7">
        <v>16.600000000000001</v>
      </c>
      <c r="AA13" s="7">
        <v>25.2</v>
      </c>
      <c r="AB13" s="7">
        <v>14.4</v>
      </c>
      <c r="AC13" s="7">
        <v>20.399999999999999</v>
      </c>
      <c r="AD13" s="7">
        <v>30</v>
      </c>
      <c r="AE13" s="7" t="s">
        <v>78</v>
      </c>
      <c r="AF13" s="7">
        <f t="shared" si="9"/>
        <v>49.5</v>
      </c>
      <c r="AG13" s="25">
        <f>VLOOKUP(I13,[1]Sheet!$I:$AG,25,0)</f>
        <v>1.65</v>
      </c>
      <c r="AH13" s="26">
        <f t="shared" si="10"/>
        <v>30</v>
      </c>
      <c r="AI13" s="7">
        <f t="shared" si="11"/>
        <v>49.5</v>
      </c>
      <c r="AJ13" s="7" t="e">
        <f>VLOOKUP(I13,'[2]Ассортимент 2026г'!$A:$A,1,0)</f>
        <v>#N/A</v>
      </c>
      <c r="AK13" s="23">
        <v>100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</row>
    <row r="14" spans="1:53" x14ac:dyDescent="0.25">
      <c r="A14" s="7" t="s">
        <v>46</v>
      </c>
      <c r="B14" s="7" t="s">
        <v>35</v>
      </c>
      <c r="C14" s="7">
        <v>19</v>
      </c>
      <c r="D14" s="7"/>
      <c r="E14" s="7">
        <v>12</v>
      </c>
      <c r="F14" s="7"/>
      <c r="G14" s="8">
        <v>0.28000000000000003</v>
      </c>
      <c r="H14" s="7">
        <v>180</v>
      </c>
      <c r="I14" s="7">
        <v>1010033335</v>
      </c>
      <c r="J14" s="7"/>
      <c r="K14" s="7"/>
      <c r="L14" s="7">
        <f t="shared" si="3"/>
        <v>12</v>
      </c>
      <c r="M14" s="7"/>
      <c r="N14" s="7"/>
      <c r="O14" s="7">
        <v>600</v>
      </c>
      <c r="P14" s="7">
        <f t="shared" si="4"/>
        <v>2.4</v>
      </c>
      <c r="Q14" s="4"/>
      <c r="R14" s="4">
        <f t="shared" si="8"/>
        <v>200</v>
      </c>
      <c r="S14" s="4">
        <v>200</v>
      </c>
      <c r="T14" s="7"/>
      <c r="U14" s="7">
        <f t="shared" si="5"/>
        <v>250</v>
      </c>
      <c r="V14" s="7">
        <f t="shared" si="6"/>
        <v>250</v>
      </c>
      <c r="W14" s="7">
        <v>3.8</v>
      </c>
      <c r="X14" s="7">
        <v>8.6</v>
      </c>
      <c r="Y14" s="7">
        <v>6</v>
      </c>
      <c r="Z14" s="7">
        <v>10</v>
      </c>
      <c r="AA14" s="7">
        <v>10.4</v>
      </c>
      <c r="AB14" s="7">
        <v>12.4</v>
      </c>
      <c r="AC14" s="7">
        <v>7</v>
      </c>
      <c r="AD14" s="7">
        <v>4</v>
      </c>
      <c r="AE14" s="7"/>
      <c r="AF14" s="7">
        <f t="shared" si="9"/>
        <v>56.000000000000007</v>
      </c>
      <c r="AG14" s="25">
        <f>VLOOKUP(I14,[1]Sheet!$I:$AG,25,0)</f>
        <v>1.68</v>
      </c>
      <c r="AH14" s="26">
        <f t="shared" si="10"/>
        <v>33</v>
      </c>
      <c r="AI14" s="7">
        <f t="shared" si="11"/>
        <v>55.44</v>
      </c>
      <c r="AJ14" s="7">
        <f>VLOOKUP(I14,'[2]Ассортимент 2026г'!$A:$A,1,0)</f>
        <v>1010033335</v>
      </c>
      <c r="AK14" s="23">
        <v>200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</row>
    <row r="15" spans="1:53" x14ac:dyDescent="0.25">
      <c r="A15" s="7" t="s">
        <v>47</v>
      </c>
      <c r="B15" s="7" t="s">
        <v>35</v>
      </c>
      <c r="C15" s="7">
        <v>-14</v>
      </c>
      <c r="D15" s="7"/>
      <c r="E15" s="17">
        <f>7+E33</f>
        <v>89</v>
      </c>
      <c r="F15" s="17"/>
      <c r="G15" s="8">
        <v>0.3</v>
      </c>
      <c r="H15" s="7">
        <v>150</v>
      </c>
      <c r="I15" s="7">
        <v>1010033332</v>
      </c>
      <c r="J15" s="7"/>
      <c r="K15" s="7"/>
      <c r="L15" s="7">
        <f t="shared" si="3"/>
        <v>89</v>
      </c>
      <c r="M15" s="7"/>
      <c r="N15" s="7"/>
      <c r="O15" s="7">
        <v>800</v>
      </c>
      <c r="P15" s="7">
        <f t="shared" si="4"/>
        <v>17.8</v>
      </c>
      <c r="Q15" s="4"/>
      <c r="R15" s="4">
        <f t="shared" si="8"/>
        <v>400</v>
      </c>
      <c r="S15" s="4">
        <v>400</v>
      </c>
      <c r="T15" s="7"/>
      <c r="U15" s="7">
        <f t="shared" si="5"/>
        <v>44.943820224719097</v>
      </c>
      <c r="V15" s="7">
        <f t="shared" si="6"/>
        <v>44.943820224719097</v>
      </c>
      <c r="W15" s="7">
        <v>19.8</v>
      </c>
      <c r="X15" s="7">
        <v>0</v>
      </c>
      <c r="Y15" s="7">
        <v>-0.4</v>
      </c>
      <c r="Z15" s="7">
        <v>0</v>
      </c>
      <c r="AA15" s="7">
        <v>38</v>
      </c>
      <c r="AB15" s="7">
        <v>17</v>
      </c>
      <c r="AC15" s="7">
        <v>21.8</v>
      </c>
      <c r="AD15" s="7">
        <v>53.4</v>
      </c>
      <c r="AE15" s="7"/>
      <c r="AF15" s="7">
        <f t="shared" si="9"/>
        <v>120</v>
      </c>
      <c r="AG15" s="25">
        <f>VLOOKUP(I15,[1]Sheet!$I:$AG,25,0)</f>
        <v>1.7999999999999998</v>
      </c>
      <c r="AH15" s="26">
        <f t="shared" si="10"/>
        <v>67</v>
      </c>
      <c r="AI15" s="7">
        <f t="shared" si="11"/>
        <v>120.6</v>
      </c>
      <c r="AJ15" s="7">
        <f>VLOOKUP(I15,'[2]Ассортимент 2026г'!$A:$A,1,0)</f>
        <v>1010033332</v>
      </c>
      <c r="AK15" s="23">
        <v>400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</row>
    <row r="16" spans="1:53" x14ac:dyDescent="0.25">
      <c r="A16" s="7" t="s">
        <v>48</v>
      </c>
      <c r="B16" s="7" t="s">
        <v>35</v>
      </c>
      <c r="C16" s="7">
        <v>45</v>
      </c>
      <c r="D16" s="7"/>
      <c r="E16" s="7">
        <v>9</v>
      </c>
      <c r="F16" s="7">
        <v>20</v>
      </c>
      <c r="G16" s="8">
        <v>0.4</v>
      </c>
      <c r="H16" s="7">
        <v>75</v>
      </c>
      <c r="I16" s="7">
        <v>1010016111</v>
      </c>
      <c r="J16" s="7"/>
      <c r="K16" s="7"/>
      <c r="L16" s="7">
        <f t="shared" si="3"/>
        <v>9</v>
      </c>
      <c r="M16" s="7"/>
      <c r="N16" s="7"/>
      <c r="O16" s="7">
        <v>100</v>
      </c>
      <c r="P16" s="7">
        <f t="shared" si="4"/>
        <v>1.8</v>
      </c>
      <c r="Q16" s="4"/>
      <c r="R16" s="4">
        <f t="shared" si="8"/>
        <v>120</v>
      </c>
      <c r="S16" s="4">
        <v>120</v>
      </c>
      <c r="T16" s="7"/>
      <c r="U16" s="7">
        <f t="shared" si="5"/>
        <v>66.666666666666671</v>
      </c>
      <c r="V16" s="7">
        <f t="shared" si="6"/>
        <v>66.666666666666671</v>
      </c>
      <c r="W16" s="7">
        <v>2</v>
      </c>
      <c r="X16" s="7">
        <v>4.5999999999999996</v>
      </c>
      <c r="Y16" s="7">
        <v>5.6</v>
      </c>
      <c r="Z16" s="7">
        <v>10</v>
      </c>
      <c r="AA16" s="7">
        <v>10.6</v>
      </c>
      <c r="AB16" s="7">
        <v>1.8</v>
      </c>
      <c r="AC16" s="7">
        <v>5.2</v>
      </c>
      <c r="AD16" s="7">
        <v>13.4</v>
      </c>
      <c r="AE16" s="18" t="s">
        <v>79</v>
      </c>
      <c r="AF16" s="7">
        <f t="shared" si="9"/>
        <v>48</v>
      </c>
      <c r="AG16" s="25">
        <f>VLOOKUP(I16,[1]Sheet!$I:$AG,25,0)</f>
        <v>2.4</v>
      </c>
      <c r="AH16" s="26">
        <f t="shared" si="10"/>
        <v>20</v>
      </c>
      <c r="AI16" s="7">
        <f t="shared" si="11"/>
        <v>48</v>
      </c>
      <c r="AJ16" s="7" t="e">
        <f>VLOOKUP(I16,'[2]Ассортимент 2026г'!$A:$A,1,0)</f>
        <v>#N/A</v>
      </c>
      <c r="AK16" s="23">
        <v>120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</row>
    <row r="17" spans="1:53" x14ac:dyDescent="0.25">
      <c r="A17" s="7" t="s">
        <v>49</v>
      </c>
      <c r="B17" s="7" t="s">
        <v>35</v>
      </c>
      <c r="C17" s="7">
        <v>30</v>
      </c>
      <c r="D17" s="7"/>
      <c r="E17" s="7">
        <v>51</v>
      </c>
      <c r="F17" s="7">
        <v>-24</v>
      </c>
      <c r="G17" s="8">
        <v>0.28000000000000003</v>
      </c>
      <c r="H17" s="7">
        <v>120</v>
      </c>
      <c r="I17" s="7">
        <v>1010033329</v>
      </c>
      <c r="J17" s="7"/>
      <c r="K17" s="7"/>
      <c r="L17" s="7">
        <f t="shared" si="3"/>
        <v>51</v>
      </c>
      <c r="M17" s="7"/>
      <c r="N17" s="7"/>
      <c r="O17" s="7">
        <v>1000</v>
      </c>
      <c r="P17" s="7">
        <f t="shared" si="4"/>
        <v>10.199999999999999</v>
      </c>
      <c r="Q17" s="4"/>
      <c r="R17" s="4">
        <f t="shared" si="8"/>
        <v>300</v>
      </c>
      <c r="S17" s="4">
        <v>300</v>
      </c>
      <c r="T17" s="7"/>
      <c r="U17" s="7">
        <f t="shared" si="5"/>
        <v>95.686274509803923</v>
      </c>
      <c r="V17" s="7">
        <f t="shared" si="6"/>
        <v>95.686274509803923</v>
      </c>
      <c r="W17" s="7">
        <v>43.2</v>
      </c>
      <c r="X17" s="7">
        <v>51.8</v>
      </c>
      <c r="Y17" s="7">
        <v>52</v>
      </c>
      <c r="Z17" s="7">
        <v>53.6</v>
      </c>
      <c r="AA17" s="7">
        <v>50.2</v>
      </c>
      <c r="AB17" s="7">
        <v>34.200000000000003</v>
      </c>
      <c r="AC17" s="7">
        <v>49.4</v>
      </c>
      <c r="AD17" s="7">
        <v>51.4</v>
      </c>
      <c r="AE17" s="7"/>
      <c r="AF17" s="7">
        <f t="shared" si="9"/>
        <v>84.000000000000014</v>
      </c>
      <c r="AG17" s="25">
        <f>VLOOKUP(I17,[1]Sheet!$I:$AG,25,0)</f>
        <v>1.6800000000000002</v>
      </c>
      <c r="AH17" s="26">
        <f t="shared" si="10"/>
        <v>50.000000000000007</v>
      </c>
      <c r="AI17" s="7">
        <f t="shared" si="11"/>
        <v>84.000000000000014</v>
      </c>
      <c r="AJ17" s="7">
        <f>VLOOKUP(I17,'[2]Ассортимент 2026г'!$A:$A,1,0)</f>
        <v>1010033329</v>
      </c>
      <c r="AK17" s="23">
        <v>300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</row>
    <row r="18" spans="1:53" x14ac:dyDescent="0.25">
      <c r="A18" s="7" t="s">
        <v>50</v>
      </c>
      <c r="B18" s="7" t="s">
        <v>35</v>
      </c>
      <c r="C18" s="7">
        <v>31</v>
      </c>
      <c r="D18" s="7"/>
      <c r="E18" s="7">
        <v>31</v>
      </c>
      <c r="F18" s="7">
        <v>-1</v>
      </c>
      <c r="G18" s="8">
        <v>0.47</v>
      </c>
      <c r="H18" s="7">
        <v>75</v>
      </c>
      <c r="I18" s="7">
        <v>1010015954</v>
      </c>
      <c r="J18" s="7"/>
      <c r="K18" s="7"/>
      <c r="L18" s="7">
        <f t="shared" si="3"/>
        <v>31</v>
      </c>
      <c r="M18" s="7"/>
      <c r="N18" s="7"/>
      <c r="O18" s="7">
        <v>120</v>
      </c>
      <c r="P18" s="7">
        <f t="shared" si="4"/>
        <v>6.2</v>
      </c>
      <c r="Q18" s="4">
        <f>25*P18-O18-F18</f>
        <v>36</v>
      </c>
      <c r="R18" s="4">
        <f t="shared" si="8"/>
        <v>200</v>
      </c>
      <c r="S18" s="4">
        <v>200</v>
      </c>
      <c r="T18" s="7"/>
      <c r="U18" s="7">
        <f t="shared" si="5"/>
        <v>25</v>
      </c>
      <c r="V18" s="7">
        <f t="shared" si="6"/>
        <v>19.193548387096772</v>
      </c>
      <c r="W18" s="7">
        <v>6.6</v>
      </c>
      <c r="X18" s="7">
        <v>12.4</v>
      </c>
      <c r="Y18" s="7">
        <v>10</v>
      </c>
      <c r="Z18" s="7">
        <v>7.6</v>
      </c>
      <c r="AA18" s="7">
        <v>10.4</v>
      </c>
      <c r="AB18" s="7">
        <v>7.6</v>
      </c>
      <c r="AC18" s="7">
        <v>13.4</v>
      </c>
      <c r="AD18" s="7">
        <v>5.8</v>
      </c>
      <c r="AE18" s="7" t="s">
        <v>78</v>
      </c>
      <c r="AF18" s="7">
        <f t="shared" si="9"/>
        <v>94</v>
      </c>
      <c r="AG18" s="25">
        <f>VLOOKUP(I18,[1]Sheet!$I:$AG,25,0)</f>
        <v>2.82</v>
      </c>
      <c r="AH18" s="26">
        <f t="shared" si="10"/>
        <v>33</v>
      </c>
      <c r="AI18" s="7">
        <f t="shared" si="11"/>
        <v>93.059999999999988</v>
      </c>
      <c r="AJ18" s="7" t="e">
        <f>VLOOKUP(I18,'[2]Ассортимент 2026г'!$A:$A,1,0)</f>
        <v>#N/A</v>
      </c>
      <c r="AK18" s="23">
        <v>200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</row>
    <row r="19" spans="1:53" x14ac:dyDescent="0.25">
      <c r="A19" s="7" t="s">
        <v>51</v>
      </c>
      <c r="B19" s="7" t="s">
        <v>35</v>
      </c>
      <c r="C19" s="7">
        <v>5</v>
      </c>
      <c r="D19" s="7"/>
      <c r="E19" s="7">
        <v>4</v>
      </c>
      <c r="F19" s="7"/>
      <c r="G19" s="8">
        <v>0.47</v>
      </c>
      <c r="H19" s="7">
        <v>75</v>
      </c>
      <c r="I19" s="7">
        <v>1010016092</v>
      </c>
      <c r="J19" s="7"/>
      <c r="K19" s="7"/>
      <c r="L19" s="7">
        <f t="shared" si="3"/>
        <v>4</v>
      </c>
      <c r="M19" s="7"/>
      <c r="N19" s="7"/>
      <c r="O19" s="7">
        <v>120</v>
      </c>
      <c r="P19" s="7">
        <f t="shared" si="4"/>
        <v>0.8</v>
      </c>
      <c r="Q19" s="4"/>
      <c r="R19" s="4">
        <f t="shared" si="8"/>
        <v>60</v>
      </c>
      <c r="S19" s="4">
        <v>60</v>
      </c>
      <c r="T19" s="7"/>
      <c r="U19" s="7">
        <f t="shared" si="5"/>
        <v>150</v>
      </c>
      <c r="V19" s="7">
        <f t="shared" si="6"/>
        <v>150</v>
      </c>
      <c r="W19" s="7">
        <v>0.4</v>
      </c>
      <c r="X19" s="7">
        <v>0.8</v>
      </c>
      <c r="Y19" s="7">
        <v>2.8</v>
      </c>
      <c r="Z19" s="7">
        <v>5.2</v>
      </c>
      <c r="AA19" s="7">
        <v>3.2</v>
      </c>
      <c r="AB19" s="7">
        <v>1.6</v>
      </c>
      <c r="AC19" s="7">
        <v>6.6</v>
      </c>
      <c r="AD19" s="7">
        <v>6.2</v>
      </c>
      <c r="AE19" s="7"/>
      <c r="AF19" s="7">
        <f t="shared" si="9"/>
        <v>28.2</v>
      </c>
      <c r="AG19" s="25">
        <f>VLOOKUP(I19,[1]Sheet!$I:$AG,25,0)</f>
        <v>2.82</v>
      </c>
      <c r="AH19" s="26">
        <f t="shared" si="10"/>
        <v>10</v>
      </c>
      <c r="AI19" s="7">
        <f t="shared" si="11"/>
        <v>28.2</v>
      </c>
      <c r="AJ19" s="7">
        <f>VLOOKUP(I19,'[2]Ассортимент 2026г'!$A:$A,1,0)</f>
        <v>1010016092</v>
      </c>
      <c r="AK19" s="23">
        <v>60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</row>
    <row r="20" spans="1:53" x14ac:dyDescent="0.25">
      <c r="A20" s="7" t="s">
        <v>52</v>
      </c>
      <c r="B20" s="7" t="s">
        <v>35</v>
      </c>
      <c r="C20" s="7">
        <v>-1</v>
      </c>
      <c r="D20" s="7"/>
      <c r="E20" s="7">
        <v>-3</v>
      </c>
      <c r="F20" s="7">
        <v>-1</v>
      </c>
      <c r="G20" s="8">
        <v>0.47</v>
      </c>
      <c r="H20" s="7">
        <v>75</v>
      </c>
      <c r="I20" s="7">
        <v>1010015952</v>
      </c>
      <c r="J20" s="7"/>
      <c r="K20" s="7"/>
      <c r="L20" s="7">
        <f t="shared" si="3"/>
        <v>-3</v>
      </c>
      <c r="M20" s="7"/>
      <c r="N20" s="7"/>
      <c r="O20" s="7">
        <v>120</v>
      </c>
      <c r="P20" s="7">
        <f t="shared" si="4"/>
        <v>-0.6</v>
      </c>
      <c r="Q20" s="4"/>
      <c r="R20" s="4">
        <f t="shared" si="8"/>
        <v>150</v>
      </c>
      <c r="S20" s="4">
        <v>150</v>
      </c>
      <c r="T20" s="7"/>
      <c r="U20" s="7">
        <f t="shared" si="5"/>
        <v>-198.33333333333334</v>
      </c>
      <c r="V20" s="7">
        <f t="shared" si="6"/>
        <v>-198.33333333333334</v>
      </c>
      <c r="W20" s="7">
        <v>1.6</v>
      </c>
      <c r="X20" s="7">
        <v>5.4</v>
      </c>
      <c r="Y20" s="7">
        <v>1</v>
      </c>
      <c r="Z20" s="7">
        <v>6</v>
      </c>
      <c r="AA20" s="7">
        <v>6.8</v>
      </c>
      <c r="AB20" s="7">
        <v>2.8</v>
      </c>
      <c r="AC20" s="7">
        <v>5.8</v>
      </c>
      <c r="AD20" s="7">
        <v>5.2</v>
      </c>
      <c r="AE20" s="7"/>
      <c r="AF20" s="7">
        <f t="shared" si="9"/>
        <v>70.5</v>
      </c>
      <c r="AG20" s="25">
        <f>VLOOKUP(I20,[1]Sheet!$I:$AG,25,0)</f>
        <v>2.82</v>
      </c>
      <c r="AH20" s="26">
        <f t="shared" si="10"/>
        <v>25</v>
      </c>
      <c r="AI20" s="7">
        <f t="shared" si="11"/>
        <v>70.5</v>
      </c>
      <c r="AJ20" s="7">
        <f>VLOOKUP(I20,'[2]Ассортимент 2026г'!$A:$A,1,0)</f>
        <v>1010015952</v>
      </c>
      <c r="AK20" s="23">
        <v>200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</row>
    <row r="21" spans="1:53" x14ac:dyDescent="0.25">
      <c r="A21" s="7" t="s">
        <v>53</v>
      </c>
      <c r="B21" s="7" t="s">
        <v>35</v>
      </c>
      <c r="C21" s="7">
        <v>211</v>
      </c>
      <c r="D21" s="7"/>
      <c r="E21" s="7">
        <v>68</v>
      </c>
      <c r="F21" s="7"/>
      <c r="G21" s="8">
        <v>0.3</v>
      </c>
      <c r="H21" s="7">
        <v>55</v>
      </c>
      <c r="I21" s="7">
        <v>1010032953</v>
      </c>
      <c r="J21" s="7"/>
      <c r="K21" s="7"/>
      <c r="L21" s="7">
        <f t="shared" si="3"/>
        <v>68</v>
      </c>
      <c r="M21" s="7"/>
      <c r="N21" s="7"/>
      <c r="O21" s="7">
        <v>400</v>
      </c>
      <c r="P21" s="7">
        <f t="shared" si="4"/>
        <v>13.6</v>
      </c>
      <c r="Q21" s="4"/>
      <c r="R21" s="4">
        <f t="shared" si="8"/>
        <v>400</v>
      </c>
      <c r="S21" s="4">
        <v>400</v>
      </c>
      <c r="T21" s="7"/>
      <c r="U21" s="7">
        <f t="shared" si="5"/>
        <v>29.411764705882355</v>
      </c>
      <c r="V21" s="7">
        <f t="shared" si="6"/>
        <v>29.411764705882355</v>
      </c>
      <c r="W21" s="7">
        <v>18.600000000000001</v>
      </c>
      <c r="X21" s="7">
        <v>38.200000000000003</v>
      </c>
      <c r="Y21" s="7">
        <v>-3.6</v>
      </c>
      <c r="Z21" s="7">
        <v>22</v>
      </c>
      <c r="AA21" s="7">
        <v>27.6</v>
      </c>
      <c r="AB21" s="7">
        <v>15.4</v>
      </c>
      <c r="AC21" s="7">
        <v>22.6</v>
      </c>
      <c r="AD21" s="7">
        <v>19</v>
      </c>
      <c r="AE21" s="18" t="s">
        <v>69</v>
      </c>
      <c r="AF21" s="7">
        <f t="shared" si="9"/>
        <v>120</v>
      </c>
      <c r="AG21" s="25">
        <f>VLOOKUP(I21,[1]Sheet!$I:$AG,25,0)</f>
        <v>1.7999999999999998</v>
      </c>
      <c r="AH21" s="26">
        <f t="shared" si="10"/>
        <v>67</v>
      </c>
      <c r="AI21" s="7">
        <f t="shared" si="11"/>
        <v>120.6</v>
      </c>
      <c r="AJ21" s="7">
        <f>VLOOKUP(I21,'[2]Ассортимент 2026г'!$A:$A,1,0)</f>
        <v>1010032953</v>
      </c>
      <c r="AK21" s="23">
        <v>300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</row>
    <row r="22" spans="1:53" x14ac:dyDescent="0.25">
      <c r="A22" s="7" t="s">
        <v>54</v>
      </c>
      <c r="B22" s="7" t="s">
        <v>35</v>
      </c>
      <c r="C22" s="7">
        <v>56</v>
      </c>
      <c r="D22" s="7"/>
      <c r="E22" s="7">
        <v>53</v>
      </c>
      <c r="F22" s="7">
        <v>-2</v>
      </c>
      <c r="G22" s="8">
        <v>0.375</v>
      </c>
      <c r="H22" s="7">
        <v>55</v>
      </c>
      <c r="I22" s="7">
        <v>1010022954</v>
      </c>
      <c r="J22" s="7"/>
      <c r="K22" s="7"/>
      <c r="L22" s="7">
        <f t="shared" si="3"/>
        <v>53</v>
      </c>
      <c r="M22" s="7"/>
      <c r="N22" s="7"/>
      <c r="O22" s="7">
        <v>600</v>
      </c>
      <c r="P22" s="7">
        <f t="shared" si="4"/>
        <v>10.6</v>
      </c>
      <c r="Q22" s="4"/>
      <c r="R22" s="4">
        <f t="shared" si="8"/>
        <v>400</v>
      </c>
      <c r="S22" s="4">
        <v>400</v>
      </c>
      <c r="T22" s="7"/>
      <c r="U22" s="7">
        <f t="shared" si="5"/>
        <v>56.415094339622641</v>
      </c>
      <c r="V22" s="7">
        <f t="shared" si="6"/>
        <v>56.415094339622641</v>
      </c>
      <c r="W22" s="7">
        <v>5.4</v>
      </c>
      <c r="X22" s="7">
        <v>54.8</v>
      </c>
      <c r="Y22" s="7">
        <v>26.2</v>
      </c>
      <c r="Z22" s="7">
        <v>29.8</v>
      </c>
      <c r="AA22" s="7">
        <v>48</v>
      </c>
      <c r="AB22" s="7">
        <v>27.4</v>
      </c>
      <c r="AC22" s="7">
        <v>36.200000000000003</v>
      </c>
      <c r="AD22" s="7">
        <v>44.8</v>
      </c>
      <c r="AE22" s="7" t="s">
        <v>80</v>
      </c>
      <c r="AF22" s="7">
        <f t="shared" si="9"/>
        <v>150</v>
      </c>
      <c r="AG22" s="25">
        <f>VLOOKUP(I22,[1]Sheet!$I:$AG,25,0)</f>
        <v>2.25</v>
      </c>
      <c r="AH22" s="26">
        <f t="shared" si="10"/>
        <v>67</v>
      </c>
      <c r="AI22" s="7">
        <f t="shared" si="11"/>
        <v>150.75</v>
      </c>
      <c r="AJ22" s="7" t="e">
        <f>VLOOKUP(I22,'[2]Ассортимент 2026г'!$A:$A,1,0)</f>
        <v>#N/A</v>
      </c>
      <c r="AK22" s="23">
        <v>400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</row>
    <row r="23" spans="1:53" x14ac:dyDescent="0.25">
      <c r="A23" s="7" t="s">
        <v>55</v>
      </c>
      <c r="B23" s="7" t="s">
        <v>35</v>
      </c>
      <c r="C23" s="7">
        <v>71</v>
      </c>
      <c r="D23" s="7"/>
      <c r="E23" s="7">
        <v>55</v>
      </c>
      <c r="F23" s="7"/>
      <c r="G23" s="8">
        <v>0.375</v>
      </c>
      <c r="H23" s="7">
        <v>55</v>
      </c>
      <c r="I23" s="7">
        <v>1010016034</v>
      </c>
      <c r="J23" s="7"/>
      <c r="K23" s="7"/>
      <c r="L23" s="7">
        <f t="shared" si="3"/>
        <v>55</v>
      </c>
      <c r="M23" s="7"/>
      <c r="N23" s="7"/>
      <c r="O23" s="7">
        <v>600</v>
      </c>
      <c r="P23" s="7">
        <f t="shared" si="4"/>
        <v>11</v>
      </c>
      <c r="Q23" s="4"/>
      <c r="R23" s="4">
        <f t="shared" si="8"/>
        <v>400</v>
      </c>
      <c r="S23" s="4">
        <v>400</v>
      </c>
      <c r="T23" s="7"/>
      <c r="U23" s="7">
        <f t="shared" si="5"/>
        <v>54.545454545454547</v>
      </c>
      <c r="V23" s="7">
        <f t="shared" si="6"/>
        <v>54.545454545454547</v>
      </c>
      <c r="W23" s="7">
        <v>16</v>
      </c>
      <c r="X23" s="7">
        <v>36.6</v>
      </c>
      <c r="Y23" s="7">
        <v>19</v>
      </c>
      <c r="Z23" s="7">
        <v>24.4</v>
      </c>
      <c r="AA23" s="7">
        <v>29.8</v>
      </c>
      <c r="AB23" s="7">
        <v>17.8</v>
      </c>
      <c r="AC23" s="7">
        <v>24.8</v>
      </c>
      <c r="AD23" s="7">
        <v>31.8</v>
      </c>
      <c r="AE23" s="7" t="s">
        <v>81</v>
      </c>
      <c r="AF23" s="7">
        <f t="shared" si="9"/>
        <v>150</v>
      </c>
      <c r="AG23" s="25">
        <f>VLOOKUP(I23,[1]Sheet!$I:$AG,25,0)</f>
        <v>2.25</v>
      </c>
      <c r="AH23" s="26">
        <f t="shared" si="10"/>
        <v>67</v>
      </c>
      <c r="AI23" s="7">
        <f t="shared" si="11"/>
        <v>150.75</v>
      </c>
      <c r="AJ23" s="7" t="e">
        <f>VLOOKUP(I23,'[2]Ассортимент 2026г'!$A:$A,1,0)</f>
        <v>#N/A</v>
      </c>
      <c r="AK23" s="23">
        <v>400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1:53" x14ac:dyDescent="0.25">
      <c r="A24" s="7" t="s">
        <v>56</v>
      </c>
      <c r="B24" s="7" t="s">
        <v>35</v>
      </c>
      <c r="C24" s="7">
        <v>102</v>
      </c>
      <c r="D24" s="7"/>
      <c r="E24" s="7">
        <v>78</v>
      </c>
      <c r="F24" s="7"/>
      <c r="G24" s="8">
        <v>0.375</v>
      </c>
      <c r="H24" s="7">
        <v>55</v>
      </c>
      <c r="I24" s="7">
        <v>1010023122</v>
      </c>
      <c r="J24" s="7"/>
      <c r="K24" s="7"/>
      <c r="L24" s="7">
        <f t="shared" si="3"/>
        <v>78</v>
      </c>
      <c r="M24" s="7"/>
      <c r="N24" s="7"/>
      <c r="O24" s="7">
        <v>500</v>
      </c>
      <c r="P24" s="7">
        <f t="shared" si="4"/>
        <v>15.6</v>
      </c>
      <c r="Q24" s="4"/>
      <c r="R24" s="4">
        <f t="shared" si="8"/>
        <v>400</v>
      </c>
      <c r="S24" s="4">
        <v>400</v>
      </c>
      <c r="T24" s="7"/>
      <c r="U24" s="7">
        <f t="shared" si="5"/>
        <v>32.051282051282051</v>
      </c>
      <c r="V24" s="7">
        <f t="shared" si="6"/>
        <v>32.051282051282051</v>
      </c>
      <c r="W24" s="7">
        <v>15.8</v>
      </c>
      <c r="X24" s="7">
        <v>42.2</v>
      </c>
      <c r="Y24" s="7">
        <v>7.4</v>
      </c>
      <c r="Z24" s="7">
        <v>33.4</v>
      </c>
      <c r="AA24" s="7">
        <v>34</v>
      </c>
      <c r="AB24" s="7">
        <v>18.399999999999999</v>
      </c>
      <c r="AC24" s="7">
        <v>26.2</v>
      </c>
      <c r="AD24" s="7">
        <v>43.4</v>
      </c>
      <c r="AE24" s="7" t="s">
        <v>78</v>
      </c>
      <c r="AF24" s="7">
        <f t="shared" si="9"/>
        <v>150</v>
      </c>
      <c r="AG24" s="25">
        <f>VLOOKUP(I24,[1]Sheet!$I:$AG,25,0)</f>
        <v>2.25</v>
      </c>
      <c r="AH24" s="26">
        <f t="shared" si="10"/>
        <v>67</v>
      </c>
      <c r="AI24" s="7">
        <f t="shared" si="11"/>
        <v>150.75</v>
      </c>
      <c r="AJ24" s="7" t="e">
        <f>VLOOKUP(I24,'[2]Ассортимент 2026г'!$A:$A,1,0)</f>
        <v>#N/A</v>
      </c>
      <c r="AK24" s="23">
        <v>400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</row>
    <row r="25" spans="1:53" x14ac:dyDescent="0.25">
      <c r="A25" s="13" t="s">
        <v>57</v>
      </c>
      <c r="B25" s="13" t="s">
        <v>35</v>
      </c>
      <c r="C25" s="13">
        <v>-8</v>
      </c>
      <c r="D25" s="13"/>
      <c r="E25" s="13"/>
      <c r="F25" s="13">
        <v>-8</v>
      </c>
      <c r="G25" s="14">
        <v>0</v>
      </c>
      <c r="H25" s="13">
        <v>120</v>
      </c>
      <c r="I25" s="13" t="s">
        <v>58</v>
      </c>
      <c r="J25" s="13"/>
      <c r="K25" s="13"/>
      <c r="L25" s="13">
        <f t="shared" si="3"/>
        <v>0</v>
      </c>
      <c r="M25" s="13"/>
      <c r="N25" s="13"/>
      <c r="O25" s="13"/>
      <c r="P25" s="13">
        <f t="shared" si="4"/>
        <v>0</v>
      </c>
      <c r="Q25" s="15"/>
      <c r="R25" s="4">
        <f t="shared" si="8"/>
        <v>0</v>
      </c>
      <c r="S25" s="15"/>
      <c r="T25" s="13"/>
      <c r="U25" s="13" t="e">
        <f t="shared" si="5"/>
        <v>#DIV/0!</v>
      </c>
      <c r="V25" s="13" t="e">
        <f t="shared" si="6"/>
        <v>#DIV/0!</v>
      </c>
      <c r="W25" s="13">
        <v>0</v>
      </c>
      <c r="X25" s="13">
        <v>-0.2</v>
      </c>
      <c r="Y25" s="13">
        <v>0</v>
      </c>
      <c r="Z25" s="13">
        <v>-1.6</v>
      </c>
      <c r="AA25" s="13">
        <v>-0.2</v>
      </c>
      <c r="AB25" s="13">
        <v>-0.2</v>
      </c>
      <c r="AC25" s="13">
        <v>0</v>
      </c>
      <c r="AD25" s="13">
        <v>0</v>
      </c>
      <c r="AE25" s="13"/>
      <c r="AF25" s="7">
        <f t="shared" si="9"/>
        <v>0</v>
      </c>
      <c r="AG25" s="25"/>
      <c r="AH25" s="26"/>
      <c r="AI25" s="7"/>
      <c r="AJ25" s="7"/>
      <c r="AK25" s="23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</row>
    <row r="26" spans="1:53" x14ac:dyDescent="0.25">
      <c r="A26" s="10" t="s">
        <v>59</v>
      </c>
      <c r="B26" s="7" t="s">
        <v>35</v>
      </c>
      <c r="C26" s="7">
        <v>40</v>
      </c>
      <c r="D26" s="7"/>
      <c r="E26" s="7">
        <v>20</v>
      </c>
      <c r="F26" s="7"/>
      <c r="G26" s="8">
        <v>0.1</v>
      </c>
      <c r="H26" s="7">
        <v>120</v>
      </c>
      <c r="I26" s="7">
        <v>1010031576</v>
      </c>
      <c r="J26" s="7"/>
      <c r="K26" s="7"/>
      <c r="L26" s="7">
        <f t="shared" si="3"/>
        <v>20</v>
      </c>
      <c r="M26" s="7"/>
      <c r="N26" s="7"/>
      <c r="O26" s="7">
        <v>200</v>
      </c>
      <c r="P26" s="7">
        <f t="shared" si="4"/>
        <v>4</v>
      </c>
      <c r="Q26" s="4"/>
      <c r="R26" s="4">
        <f t="shared" si="8"/>
        <v>300</v>
      </c>
      <c r="S26" s="4">
        <v>300</v>
      </c>
      <c r="T26" s="19" t="s">
        <v>70</v>
      </c>
      <c r="U26" s="7">
        <f t="shared" si="5"/>
        <v>50</v>
      </c>
      <c r="V26" s="7">
        <f t="shared" si="6"/>
        <v>50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 t="s">
        <v>70</v>
      </c>
      <c r="AF26" s="7">
        <f t="shared" si="9"/>
        <v>30</v>
      </c>
      <c r="AG26" s="25">
        <f>VLOOKUP(I26,[1]Sheet!$I:$AG,25,0)</f>
        <v>1</v>
      </c>
      <c r="AH26" s="26">
        <f t="shared" si="10"/>
        <v>30</v>
      </c>
      <c r="AI26" s="7">
        <f t="shared" si="11"/>
        <v>30</v>
      </c>
      <c r="AJ26" s="7">
        <f>VLOOKUP(I26,'[2]Ассортимент 2026г'!$A:$A,1,0)</f>
        <v>1010031576</v>
      </c>
      <c r="AK26" s="23">
        <v>150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</row>
    <row r="27" spans="1:53" x14ac:dyDescent="0.25">
      <c r="A27" s="7" t="s">
        <v>42</v>
      </c>
      <c r="B27" s="7" t="s">
        <v>35</v>
      </c>
      <c r="C27" s="7">
        <v>2</v>
      </c>
      <c r="D27" s="7"/>
      <c r="E27" s="17">
        <f>0+E10</f>
        <v>-10</v>
      </c>
      <c r="F27" s="17"/>
      <c r="G27" s="8">
        <v>0.3</v>
      </c>
      <c r="H27" s="7">
        <v>150</v>
      </c>
      <c r="I27" s="7">
        <v>1010033324</v>
      </c>
      <c r="J27" s="7"/>
      <c r="K27" s="7"/>
      <c r="L27" s="7">
        <f t="shared" si="3"/>
        <v>-10</v>
      </c>
      <c r="M27" s="7"/>
      <c r="N27" s="7"/>
      <c r="O27" s="7">
        <v>600</v>
      </c>
      <c r="P27" s="7">
        <f t="shared" si="4"/>
        <v>-2</v>
      </c>
      <c r="Q27" s="4"/>
      <c r="R27" s="4">
        <f t="shared" si="8"/>
        <v>500</v>
      </c>
      <c r="S27" s="4">
        <v>500</v>
      </c>
      <c r="T27" s="7"/>
      <c r="U27" s="7">
        <f t="shared" si="5"/>
        <v>-300</v>
      </c>
      <c r="V27" s="7">
        <f t="shared" si="6"/>
        <v>-300</v>
      </c>
      <c r="W27" s="7">
        <v>2.8</v>
      </c>
      <c r="X27" s="7">
        <v>0.8</v>
      </c>
      <c r="Y27" s="7">
        <v>18.399999999999999</v>
      </c>
      <c r="Z27" s="7">
        <v>2.6</v>
      </c>
      <c r="AA27" s="7">
        <v>16.8</v>
      </c>
      <c r="AB27" s="7">
        <v>13.2</v>
      </c>
      <c r="AC27" s="7">
        <v>6</v>
      </c>
      <c r="AD27" s="7">
        <v>17.8</v>
      </c>
      <c r="AE27" s="7" t="s">
        <v>78</v>
      </c>
      <c r="AF27" s="7">
        <f t="shared" si="9"/>
        <v>150</v>
      </c>
      <c r="AG27" s="25">
        <f>VLOOKUP(I27,[1]Sheet!$I:$AG,25,0)</f>
        <v>1.8</v>
      </c>
      <c r="AH27" s="26">
        <f t="shared" si="10"/>
        <v>83</v>
      </c>
      <c r="AI27" s="7">
        <f t="shared" si="11"/>
        <v>149.4</v>
      </c>
      <c r="AJ27" s="7" t="e">
        <f>VLOOKUP(I27,'[2]Ассортимент 2026г'!$A:$A,1,0)</f>
        <v>#N/A</v>
      </c>
      <c r="AK27" s="23">
        <v>500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</row>
    <row r="28" spans="1:53" x14ac:dyDescent="0.25">
      <c r="A28" s="7" t="s">
        <v>60</v>
      </c>
      <c r="B28" s="7" t="s">
        <v>35</v>
      </c>
      <c r="C28" s="7">
        <v>129</v>
      </c>
      <c r="D28" s="7"/>
      <c r="E28" s="7">
        <v>130</v>
      </c>
      <c r="F28" s="7">
        <v>-2</v>
      </c>
      <c r="G28" s="8">
        <v>0.2</v>
      </c>
      <c r="H28" s="7">
        <v>90</v>
      </c>
      <c r="I28" s="7">
        <v>1010025585</v>
      </c>
      <c r="J28" s="7"/>
      <c r="K28" s="7"/>
      <c r="L28" s="7">
        <f t="shared" si="3"/>
        <v>130</v>
      </c>
      <c r="M28" s="7"/>
      <c r="N28" s="7"/>
      <c r="O28" s="7">
        <v>800</v>
      </c>
      <c r="P28" s="7">
        <f t="shared" si="4"/>
        <v>26</v>
      </c>
      <c r="Q28" s="4"/>
      <c r="R28" s="4">
        <f t="shared" si="8"/>
        <v>800</v>
      </c>
      <c r="S28" s="4">
        <v>800</v>
      </c>
      <c r="T28" s="7"/>
      <c r="U28" s="7">
        <f t="shared" si="5"/>
        <v>30.692307692307693</v>
      </c>
      <c r="V28" s="7">
        <f t="shared" si="6"/>
        <v>30.692307692307693</v>
      </c>
      <c r="W28" s="7">
        <v>29</v>
      </c>
      <c r="X28" s="7">
        <v>53.6</v>
      </c>
      <c r="Y28" s="7">
        <v>48.4</v>
      </c>
      <c r="Z28" s="7">
        <v>41.6</v>
      </c>
      <c r="AA28" s="7">
        <v>56.2</v>
      </c>
      <c r="AB28" s="7">
        <v>52.6</v>
      </c>
      <c r="AC28" s="7">
        <v>31</v>
      </c>
      <c r="AD28" s="7">
        <v>53</v>
      </c>
      <c r="AE28" s="7"/>
      <c r="AF28" s="7">
        <f t="shared" si="9"/>
        <v>160</v>
      </c>
      <c r="AG28" s="25">
        <f>VLOOKUP(I28,[1]Sheet!$I:$AG,25,0)</f>
        <v>2</v>
      </c>
      <c r="AH28" s="26">
        <f t="shared" si="10"/>
        <v>80</v>
      </c>
      <c r="AI28" s="7">
        <f t="shared" si="11"/>
        <v>160</v>
      </c>
      <c r="AJ28" s="7">
        <f>VLOOKUP(I28,'[2]Ассортимент 2026г'!$A:$A,1,0)</f>
        <v>1010025585</v>
      </c>
      <c r="AK28" s="23">
        <v>600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</row>
    <row r="29" spans="1:53" x14ac:dyDescent="0.25">
      <c r="A29" s="7" t="s">
        <v>61</v>
      </c>
      <c r="B29" s="7" t="s">
        <v>35</v>
      </c>
      <c r="C29" s="7">
        <v>168</v>
      </c>
      <c r="D29" s="7"/>
      <c r="E29" s="7">
        <v>82</v>
      </c>
      <c r="F29" s="7"/>
      <c r="G29" s="8">
        <v>0.33</v>
      </c>
      <c r="H29" s="7">
        <v>55</v>
      </c>
      <c r="I29" s="7">
        <v>1010029655</v>
      </c>
      <c r="J29" s="7"/>
      <c r="K29" s="7"/>
      <c r="L29" s="7">
        <f t="shared" si="3"/>
        <v>82</v>
      </c>
      <c r="M29" s="7"/>
      <c r="N29" s="7"/>
      <c r="O29" s="7">
        <v>500</v>
      </c>
      <c r="P29" s="7">
        <f t="shared" si="4"/>
        <v>16.399999999999999</v>
      </c>
      <c r="Q29" s="4"/>
      <c r="R29" s="4">
        <f t="shared" si="8"/>
        <v>400</v>
      </c>
      <c r="S29" s="4">
        <v>400</v>
      </c>
      <c r="T29" s="7"/>
      <c r="U29" s="7">
        <f t="shared" si="5"/>
        <v>30.487804878048784</v>
      </c>
      <c r="V29" s="7">
        <f t="shared" si="6"/>
        <v>30.487804878048784</v>
      </c>
      <c r="W29" s="7">
        <v>20.2</v>
      </c>
      <c r="X29" s="7">
        <v>32.200000000000003</v>
      </c>
      <c r="Y29" s="7">
        <v>15.4</v>
      </c>
      <c r="Z29" s="7">
        <v>23.8</v>
      </c>
      <c r="AA29" s="7">
        <v>36.6</v>
      </c>
      <c r="AB29" s="7">
        <v>10.199999999999999</v>
      </c>
      <c r="AC29" s="7">
        <v>24.4</v>
      </c>
      <c r="AD29" s="7">
        <v>29.8</v>
      </c>
      <c r="AE29" s="32" t="s">
        <v>82</v>
      </c>
      <c r="AF29" s="7">
        <f t="shared" si="9"/>
        <v>132</v>
      </c>
      <c r="AG29" s="25">
        <f>VLOOKUP(I29,[1]Sheet!$I:$AG,25,0)</f>
        <v>1.98</v>
      </c>
      <c r="AH29" s="26">
        <f t="shared" si="10"/>
        <v>67</v>
      </c>
      <c r="AI29" s="7">
        <f t="shared" si="11"/>
        <v>132.66</v>
      </c>
      <c r="AJ29" s="7" t="e">
        <f>VLOOKUP(I29,'[2]Ассортимент 2026г'!$A:$A,1,0)</f>
        <v>#N/A</v>
      </c>
      <c r="AK29" s="23">
        <v>400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</row>
    <row r="30" spans="1:53" x14ac:dyDescent="0.25">
      <c r="A30" s="10" t="s">
        <v>62</v>
      </c>
      <c r="B30" s="7" t="s">
        <v>35</v>
      </c>
      <c r="C30" s="7">
        <v>9</v>
      </c>
      <c r="D30" s="7"/>
      <c r="E30" s="7">
        <v>6</v>
      </c>
      <c r="F30" s="7"/>
      <c r="G30" s="8">
        <v>0.35</v>
      </c>
      <c r="H30" s="7">
        <v>45</v>
      </c>
      <c r="I30" s="7">
        <v>1010031142</v>
      </c>
      <c r="J30" s="7"/>
      <c r="K30" s="7"/>
      <c r="L30" s="7">
        <f t="shared" si="3"/>
        <v>6</v>
      </c>
      <c r="M30" s="7"/>
      <c r="N30" s="7"/>
      <c r="O30" s="7">
        <v>120</v>
      </c>
      <c r="P30" s="7">
        <f t="shared" si="4"/>
        <v>1.2</v>
      </c>
      <c r="Q30" s="4"/>
      <c r="R30" s="4">
        <f t="shared" si="8"/>
        <v>120</v>
      </c>
      <c r="S30" s="4">
        <v>120</v>
      </c>
      <c r="T30" s="19" t="s">
        <v>70</v>
      </c>
      <c r="U30" s="7">
        <f t="shared" si="5"/>
        <v>100</v>
      </c>
      <c r="V30" s="7">
        <f t="shared" si="6"/>
        <v>100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 t="s">
        <v>70</v>
      </c>
      <c r="AF30" s="7">
        <f t="shared" si="9"/>
        <v>42</v>
      </c>
      <c r="AG30" s="25">
        <f>VLOOKUP(I30,[1]Sheet!$I:$AG,25,0)</f>
        <v>2.1</v>
      </c>
      <c r="AH30" s="26">
        <f t="shared" si="10"/>
        <v>20</v>
      </c>
      <c r="AI30" s="7">
        <f t="shared" si="11"/>
        <v>42</v>
      </c>
      <c r="AJ30" s="7">
        <f>VLOOKUP(I30,'[2]Ассортимент 2026г'!$A:$A,1,0)</f>
        <v>1010031142</v>
      </c>
      <c r="AK30" s="23">
        <v>120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</row>
    <row r="31" spans="1:53" x14ac:dyDescent="0.25">
      <c r="A31" s="10" t="s">
        <v>63</v>
      </c>
      <c r="B31" s="7" t="s">
        <v>35</v>
      </c>
      <c r="C31" s="7">
        <v>40</v>
      </c>
      <c r="D31" s="7"/>
      <c r="E31" s="7">
        <v>20</v>
      </c>
      <c r="F31" s="7"/>
      <c r="G31" s="8">
        <v>0.1</v>
      </c>
      <c r="H31" s="7">
        <v>90</v>
      </c>
      <c r="I31" s="7">
        <v>1010032043</v>
      </c>
      <c r="J31" s="7"/>
      <c r="K31" s="7"/>
      <c r="L31" s="7">
        <f t="shared" si="3"/>
        <v>20</v>
      </c>
      <c r="M31" s="7"/>
      <c r="N31" s="7"/>
      <c r="O31" s="7">
        <v>200</v>
      </c>
      <c r="P31" s="7">
        <f t="shared" si="4"/>
        <v>4</v>
      </c>
      <c r="Q31" s="4"/>
      <c r="R31" s="4">
        <f t="shared" si="8"/>
        <v>300</v>
      </c>
      <c r="S31" s="4">
        <v>300</v>
      </c>
      <c r="T31" s="19" t="s">
        <v>70</v>
      </c>
      <c r="U31" s="7">
        <f t="shared" si="5"/>
        <v>50</v>
      </c>
      <c r="V31" s="7">
        <f t="shared" si="6"/>
        <v>50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 t="s">
        <v>70</v>
      </c>
      <c r="AF31" s="7">
        <f t="shared" si="9"/>
        <v>30</v>
      </c>
      <c r="AG31" s="25">
        <f>VLOOKUP(I31,[1]Sheet!$I:$AG,25,0)</f>
        <v>1</v>
      </c>
      <c r="AH31" s="26">
        <f t="shared" si="10"/>
        <v>30</v>
      </c>
      <c r="AI31" s="7">
        <f t="shared" si="11"/>
        <v>30</v>
      </c>
      <c r="AJ31" s="7">
        <f>VLOOKUP(I31,'[2]Ассортимент 2026г'!$A:$A,1,0)</f>
        <v>1010032043</v>
      </c>
      <c r="AK31" s="23">
        <v>100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</row>
    <row r="32" spans="1:53" x14ac:dyDescent="0.25">
      <c r="A32" s="10" t="s">
        <v>64</v>
      </c>
      <c r="B32" s="7" t="s">
        <v>35</v>
      </c>
      <c r="C32" s="7">
        <v>10</v>
      </c>
      <c r="D32" s="7"/>
      <c r="E32" s="7">
        <v>10</v>
      </c>
      <c r="F32" s="7"/>
      <c r="G32" s="8">
        <v>0.5</v>
      </c>
      <c r="H32" s="7">
        <v>45</v>
      </c>
      <c r="I32" s="7">
        <v>1010033903</v>
      </c>
      <c r="J32" s="7"/>
      <c r="K32" s="7"/>
      <c r="L32" s="7">
        <f t="shared" si="3"/>
        <v>10</v>
      </c>
      <c r="M32" s="7"/>
      <c r="N32" s="7"/>
      <c r="O32" s="7">
        <v>200</v>
      </c>
      <c r="P32" s="7">
        <f t="shared" si="4"/>
        <v>2</v>
      </c>
      <c r="Q32" s="4"/>
      <c r="R32" s="4">
        <f t="shared" si="8"/>
        <v>350</v>
      </c>
      <c r="S32" s="4">
        <v>350</v>
      </c>
      <c r="T32" s="19" t="s">
        <v>70</v>
      </c>
      <c r="U32" s="7">
        <f t="shared" si="5"/>
        <v>100</v>
      </c>
      <c r="V32" s="7">
        <f t="shared" si="6"/>
        <v>100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 t="s">
        <v>70</v>
      </c>
      <c r="AF32" s="7">
        <f t="shared" si="9"/>
        <v>175</v>
      </c>
      <c r="AG32" s="25">
        <f>VLOOKUP(I32,[1]Sheet!$I:$AG,25,0)</f>
        <v>2</v>
      </c>
      <c r="AH32" s="26">
        <f t="shared" si="10"/>
        <v>88</v>
      </c>
      <c r="AI32" s="7">
        <f t="shared" si="11"/>
        <v>176</v>
      </c>
      <c r="AJ32" s="7">
        <f>VLOOKUP(I32,'[2]Ассортимент 2026г'!$A:$A,1,0)</f>
        <v>1010033903</v>
      </c>
      <c r="AK32" s="23">
        <v>200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 x14ac:dyDescent="0.25">
      <c r="A33" s="13" t="s">
        <v>65</v>
      </c>
      <c r="B33" s="13" t="s">
        <v>35</v>
      </c>
      <c r="C33" s="13">
        <v>316</v>
      </c>
      <c r="D33" s="13"/>
      <c r="E33" s="17">
        <v>82</v>
      </c>
      <c r="F33" s="17"/>
      <c r="G33" s="14">
        <v>0</v>
      </c>
      <c r="H33" s="13"/>
      <c r="I33" s="13" t="s">
        <v>41</v>
      </c>
      <c r="J33" s="13" t="s">
        <v>47</v>
      </c>
      <c r="K33" s="13"/>
      <c r="L33" s="13">
        <f t="shared" si="3"/>
        <v>82</v>
      </c>
      <c r="M33" s="13"/>
      <c r="N33" s="13"/>
      <c r="O33" s="13"/>
      <c r="P33" s="13">
        <f t="shared" si="4"/>
        <v>16.399999999999999</v>
      </c>
      <c r="Q33" s="15"/>
      <c r="R33" s="4">
        <f t="shared" si="8"/>
        <v>0</v>
      </c>
      <c r="S33" s="15"/>
      <c r="T33" s="13"/>
      <c r="U33" s="13">
        <f t="shared" si="5"/>
        <v>0</v>
      </c>
      <c r="V33" s="13">
        <f t="shared" si="6"/>
        <v>0</v>
      </c>
      <c r="W33" s="13">
        <v>19.8</v>
      </c>
      <c r="X33" s="13">
        <v>59</v>
      </c>
      <c r="Y33" s="13">
        <v>0</v>
      </c>
      <c r="Z33" s="13">
        <v>20.2</v>
      </c>
      <c r="AA33" s="13">
        <v>38.200000000000003</v>
      </c>
      <c r="AB33" s="13">
        <v>6.8</v>
      </c>
      <c r="AC33" s="13">
        <v>0</v>
      </c>
      <c r="AD33" s="13">
        <v>0</v>
      </c>
      <c r="AE33" s="13"/>
      <c r="AF33" s="7">
        <f t="shared" si="9"/>
        <v>0</v>
      </c>
      <c r="AG33" s="25"/>
      <c r="AH33" s="26"/>
      <c r="AI33" s="7"/>
      <c r="AJ33" s="7"/>
      <c r="AK33" s="23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</row>
    <row r="34" spans="1:53" x14ac:dyDescent="0.25">
      <c r="A34" s="10" t="s">
        <v>66</v>
      </c>
      <c r="B34" s="7" t="s">
        <v>35</v>
      </c>
      <c r="C34" s="7">
        <v>9</v>
      </c>
      <c r="D34" s="7"/>
      <c r="E34" s="7">
        <v>9</v>
      </c>
      <c r="F34" s="7"/>
      <c r="G34" s="8">
        <v>0.35</v>
      </c>
      <c r="H34" s="7">
        <v>45</v>
      </c>
      <c r="I34" s="7">
        <v>1010032675</v>
      </c>
      <c r="J34" s="7"/>
      <c r="K34" s="7"/>
      <c r="L34" s="7">
        <f t="shared" si="3"/>
        <v>9</v>
      </c>
      <c r="M34" s="7"/>
      <c r="N34" s="7"/>
      <c r="O34" s="7">
        <v>120</v>
      </c>
      <c r="P34" s="7">
        <f t="shared" si="4"/>
        <v>1.8</v>
      </c>
      <c r="Q34" s="4"/>
      <c r="R34" s="4">
        <f t="shared" si="8"/>
        <v>120</v>
      </c>
      <c r="S34" s="4">
        <v>120</v>
      </c>
      <c r="T34" s="19" t="s">
        <v>70</v>
      </c>
      <c r="U34" s="7">
        <f t="shared" si="5"/>
        <v>66.666666666666671</v>
      </c>
      <c r="V34" s="7">
        <f t="shared" si="6"/>
        <v>66.666666666666671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 t="s">
        <v>70</v>
      </c>
      <c r="AF34" s="7">
        <f t="shared" si="9"/>
        <v>42</v>
      </c>
      <c r="AG34" s="25">
        <f>VLOOKUP(I34,[1]Sheet!$I:$AG,25,0)</f>
        <v>2.0999999999999996</v>
      </c>
      <c r="AH34" s="26">
        <f t="shared" si="10"/>
        <v>20</v>
      </c>
      <c r="AI34" s="7">
        <f t="shared" si="11"/>
        <v>41.999999999999993</v>
      </c>
      <c r="AJ34" s="7">
        <f>VLOOKUP(I34,'[2]Ассортимент 2026г'!$A:$A,1,0)</f>
        <v>1010032675</v>
      </c>
      <c r="AK34" s="23">
        <v>120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</row>
    <row r="35" spans="1:53" x14ac:dyDescent="0.25">
      <c r="A35" s="10" t="s">
        <v>67</v>
      </c>
      <c r="B35" s="7" t="s">
        <v>35</v>
      </c>
      <c r="C35" s="7">
        <v>9</v>
      </c>
      <c r="D35" s="7"/>
      <c r="E35" s="7">
        <v>9</v>
      </c>
      <c r="F35" s="7"/>
      <c r="G35" s="8">
        <v>0.35</v>
      </c>
      <c r="H35" s="7">
        <v>45</v>
      </c>
      <c r="I35" s="7">
        <v>1010031149</v>
      </c>
      <c r="J35" s="7"/>
      <c r="K35" s="7"/>
      <c r="L35" s="7">
        <f t="shared" si="3"/>
        <v>9</v>
      </c>
      <c r="M35" s="7"/>
      <c r="N35" s="7"/>
      <c r="O35" s="7">
        <v>120</v>
      </c>
      <c r="P35" s="7">
        <f t="shared" si="4"/>
        <v>1.8</v>
      </c>
      <c r="Q35" s="4"/>
      <c r="R35" s="4">
        <f t="shared" si="8"/>
        <v>120</v>
      </c>
      <c r="S35" s="4">
        <v>120</v>
      </c>
      <c r="T35" s="19" t="s">
        <v>70</v>
      </c>
      <c r="U35" s="7">
        <f t="shared" si="5"/>
        <v>66.666666666666671</v>
      </c>
      <c r="V35" s="7">
        <f t="shared" si="6"/>
        <v>66.666666666666671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 t="s">
        <v>70</v>
      </c>
      <c r="AF35" s="7">
        <f t="shared" si="9"/>
        <v>42</v>
      </c>
      <c r="AG35" s="25">
        <f>VLOOKUP(I35,[1]Sheet!$I:$AG,25,0)</f>
        <v>2.1</v>
      </c>
      <c r="AH35" s="26">
        <f t="shared" si="10"/>
        <v>20</v>
      </c>
      <c r="AI35" s="7">
        <f t="shared" si="11"/>
        <v>42</v>
      </c>
      <c r="AJ35" s="7">
        <f>VLOOKUP(I35,'[2]Ассортимент 2026г'!$A:$A,1,0)</f>
        <v>1010031149</v>
      </c>
      <c r="AK35" s="23">
        <v>120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</row>
    <row r="36" spans="1:53" x14ac:dyDescent="0.25">
      <c r="A36" s="7" t="s">
        <v>68</v>
      </c>
      <c r="B36" s="7" t="s">
        <v>35</v>
      </c>
      <c r="C36" s="7">
        <v>9</v>
      </c>
      <c r="D36" s="7"/>
      <c r="E36" s="7">
        <v>9</v>
      </c>
      <c r="F36" s="7"/>
      <c r="G36" s="8">
        <v>0.35</v>
      </c>
      <c r="H36" s="7">
        <v>45</v>
      </c>
      <c r="I36" s="7">
        <v>1010031327</v>
      </c>
      <c r="J36" s="7"/>
      <c r="K36" s="7"/>
      <c r="L36" s="7">
        <f t="shared" si="3"/>
        <v>9</v>
      </c>
      <c r="M36" s="7"/>
      <c r="N36" s="7"/>
      <c r="O36" s="7">
        <v>120</v>
      </c>
      <c r="P36" s="7">
        <f t="shared" si="4"/>
        <v>1.8</v>
      </c>
      <c r="Q36" s="4"/>
      <c r="R36" s="4">
        <f t="shared" si="8"/>
        <v>120</v>
      </c>
      <c r="S36" s="4">
        <v>120</v>
      </c>
      <c r="T36" s="19" t="s">
        <v>70</v>
      </c>
      <c r="U36" s="7">
        <f t="shared" si="5"/>
        <v>66.666666666666671</v>
      </c>
      <c r="V36" s="7">
        <f t="shared" si="6"/>
        <v>66.666666666666671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 t="s">
        <v>70</v>
      </c>
      <c r="AF36" s="7">
        <f t="shared" si="9"/>
        <v>42</v>
      </c>
      <c r="AG36" s="25">
        <f>VLOOKUP(I36,[1]Sheet!$I:$AG,25,0)</f>
        <v>2.0999999999999996</v>
      </c>
      <c r="AH36" s="26">
        <f t="shared" si="10"/>
        <v>20</v>
      </c>
      <c r="AI36" s="7">
        <f t="shared" si="11"/>
        <v>41.999999999999993</v>
      </c>
      <c r="AJ36" s="7">
        <f>VLOOKUP(I36,'[2]Ассортимент 2026г'!$A:$A,1,0)</f>
        <v>1010031327</v>
      </c>
      <c r="AK36" s="23">
        <v>120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</row>
    <row r="37" spans="1:53" x14ac:dyDescent="0.25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25"/>
      <c r="AH37" s="26"/>
      <c r="AI37" s="7"/>
      <c r="AJ37" s="7"/>
      <c r="AK37" s="20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</row>
    <row r="38" spans="1:53" x14ac:dyDescent="0.25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25"/>
      <c r="AH38" s="26"/>
      <c r="AI38" s="7"/>
      <c r="AJ38" s="7"/>
      <c r="AK38" s="20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</row>
    <row r="39" spans="1:53" x14ac:dyDescent="0.25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25"/>
      <c r="AH39" s="26"/>
      <c r="AI39" s="7"/>
      <c r="AJ39" s="7"/>
      <c r="AK39" s="20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</row>
    <row r="40" spans="1:53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25"/>
      <c r="AH40" s="26"/>
      <c r="AI40" s="7"/>
      <c r="AJ40" s="7"/>
      <c r="AK40" s="20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</row>
    <row r="41" spans="1:53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25"/>
      <c r="AH41" s="26"/>
      <c r="AI41" s="7"/>
      <c r="AJ41" s="7"/>
      <c r="AK41" s="20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</row>
    <row r="42" spans="1:53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25"/>
      <c r="AH42" s="26"/>
      <c r="AI42" s="7"/>
      <c r="AJ42" s="7"/>
      <c r="AK42" s="20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</row>
    <row r="43" spans="1:53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25"/>
      <c r="AH43" s="26"/>
      <c r="AI43" s="7"/>
      <c r="AJ43" s="7"/>
      <c r="AK43" s="20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1:53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25"/>
      <c r="AH44" s="26"/>
      <c r="AI44" s="7"/>
      <c r="AJ44" s="7"/>
      <c r="AK44" s="20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</row>
    <row r="45" spans="1:53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25"/>
      <c r="AH45" s="26"/>
      <c r="AI45" s="7"/>
      <c r="AJ45" s="7"/>
      <c r="AK45" s="20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</row>
    <row r="46" spans="1:53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25"/>
      <c r="AH46" s="26"/>
      <c r="AI46" s="7"/>
      <c r="AJ46" s="7"/>
      <c r="AK46" s="20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</row>
    <row r="47" spans="1:53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25"/>
      <c r="AH47" s="26"/>
      <c r="AI47" s="7"/>
      <c r="AJ47" s="7"/>
      <c r="AK47" s="20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</row>
    <row r="48" spans="1:53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25"/>
      <c r="AH48" s="26"/>
      <c r="AI48" s="7"/>
      <c r="AJ48" s="7"/>
      <c r="AK48" s="20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</row>
    <row r="49" spans="1:53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25"/>
      <c r="AH49" s="26"/>
      <c r="AI49" s="7"/>
      <c r="AJ49" s="7"/>
      <c r="AK49" s="20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</row>
    <row r="50" spans="1:53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25"/>
      <c r="AH50" s="26"/>
      <c r="AI50" s="7"/>
      <c r="AJ50" s="7"/>
      <c r="AK50" s="20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</row>
    <row r="51" spans="1:53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25"/>
      <c r="AH51" s="26"/>
      <c r="AI51" s="7"/>
      <c r="AJ51" s="7"/>
      <c r="AK51" s="20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</row>
    <row r="52" spans="1:53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25"/>
      <c r="AH52" s="26"/>
      <c r="AI52" s="7"/>
      <c r="AJ52" s="7"/>
      <c r="AK52" s="20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</row>
    <row r="53" spans="1:53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25"/>
      <c r="AH53" s="26"/>
      <c r="AI53" s="7"/>
      <c r="AJ53" s="7"/>
      <c r="AK53" s="20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</row>
    <row r="54" spans="1:53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25"/>
      <c r="AH54" s="26"/>
      <c r="AI54" s="7"/>
      <c r="AJ54" s="7"/>
      <c r="AK54" s="20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</row>
    <row r="55" spans="1:53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25"/>
      <c r="AH55" s="26"/>
      <c r="AI55" s="7"/>
      <c r="AJ55" s="7"/>
      <c r="AK55" s="20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</row>
    <row r="56" spans="1:53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25"/>
      <c r="AH56" s="26"/>
      <c r="AI56" s="7"/>
      <c r="AJ56" s="7"/>
      <c r="AK56" s="20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</row>
    <row r="57" spans="1:53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25"/>
      <c r="AH57" s="26"/>
      <c r="AI57" s="7"/>
      <c r="AJ57" s="7"/>
      <c r="AK57" s="20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</row>
    <row r="58" spans="1:53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25"/>
      <c r="AH58" s="26"/>
      <c r="AI58" s="7"/>
      <c r="AJ58" s="7"/>
      <c r="AK58" s="20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  <row r="59" spans="1:53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25"/>
      <c r="AH59" s="26"/>
      <c r="AI59" s="7"/>
      <c r="AJ59" s="7"/>
      <c r="AK59" s="20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</row>
    <row r="60" spans="1:53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25"/>
      <c r="AH60" s="26"/>
      <c r="AI60" s="7"/>
      <c r="AJ60" s="7"/>
      <c r="AK60" s="20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</row>
    <row r="61" spans="1:53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25"/>
      <c r="AH61" s="26"/>
      <c r="AI61" s="7"/>
      <c r="AJ61" s="7"/>
      <c r="AK61" s="20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</row>
    <row r="62" spans="1:53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25"/>
      <c r="AH62" s="26"/>
      <c r="AI62" s="7"/>
      <c r="AJ62" s="7"/>
      <c r="AK62" s="20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</row>
    <row r="63" spans="1:53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25"/>
      <c r="AH63" s="26"/>
      <c r="AI63" s="7"/>
      <c r="AJ63" s="7"/>
      <c r="AK63" s="20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</row>
    <row r="64" spans="1:53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25"/>
      <c r="AH64" s="26"/>
      <c r="AI64" s="7"/>
      <c r="AJ64" s="7"/>
      <c r="AK64" s="20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</row>
    <row r="65" spans="1:53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25"/>
      <c r="AH65" s="26"/>
      <c r="AI65" s="7"/>
      <c r="AJ65" s="7"/>
      <c r="AK65" s="20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</row>
    <row r="66" spans="1:53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25"/>
      <c r="AH66" s="26"/>
      <c r="AI66" s="7"/>
      <c r="AJ66" s="7"/>
      <c r="AK66" s="20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</row>
    <row r="67" spans="1:53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25"/>
      <c r="AH67" s="26"/>
      <c r="AI67" s="7"/>
      <c r="AJ67" s="7"/>
      <c r="AK67" s="20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</row>
    <row r="68" spans="1:53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25"/>
      <c r="AH68" s="26"/>
      <c r="AI68" s="7"/>
      <c r="AJ68" s="7"/>
      <c r="AK68" s="20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</row>
    <row r="69" spans="1:53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25"/>
      <c r="AH69" s="26"/>
      <c r="AI69" s="7"/>
      <c r="AJ69" s="7"/>
      <c r="AK69" s="20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</row>
    <row r="70" spans="1:53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25"/>
      <c r="AH70" s="26"/>
      <c r="AI70" s="7"/>
      <c r="AJ70" s="7"/>
      <c r="AK70" s="20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</row>
    <row r="71" spans="1:53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25"/>
      <c r="AH71" s="26"/>
      <c r="AI71" s="7"/>
      <c r="AJ71" s="7"/>
      <c r="AK71" s="20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</row>
    <row r="72" spans="1:53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25"/>
      <c r="AH72" s="26"/>
      <c r="AI72" s="7"/>
      <c r="AJ72" s="7"/>
      <c r="AK72" s="20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</row>
    <row r="73" spans="1:53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25"/>
      <c r="AH73" s="26"/>
      <c r="AI73" s="7"/>
      <c r="AJ73" s="7"/>
      <c r="AK73" s="20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</row>
    <row r="74" spans="1:53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25"/>
      <c r="AH74" s="26"/>
      <c r="AI74" s="7"/>
      <c r="AJ74" s="7"/>
      <c r="AK74" s="20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</row>
    <row r="75" spans="1:53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25"/>
      <c r="AH75" s="26"/>
      <c r="AI75" s="7"/>
      <c r="AJ75" s="7"/>
      <c r="AK75" s="20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</row>
    <row r="76" spans="1:53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25"/>
      <c r="AH76" s="26"/>
      <c r="AI76" s="7"/>
      <c r="AJ76" s="7"/>
      <c r="AK76" s="20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</row>
    <row r="77" spans="1:53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25"/>
      <c r="AH77" s="26"/>
      <c r="AI77" s="7"/>
      <c r="AJ77" s="7"/>
      <c r="AK77" s="20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</row>
    <row r="78" spans="1:53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25"/>
      <c r="AH78" s="26"/>
      <c r="AI78" s="7"/>
      <c r="AJ78" s="7"/>
      <c r="AK78" s="20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</row>
    <row r="79" spans="1:53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25"/>
      <c r="AH79" s="26"/>
      <c r="AI79" s="7"/>
      <c r="AJ79" s="7"/>
      <c r="AK79" s="20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</row>
    <row r="80" spans="1:53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25"/>
      <c r="AH80" s="26"/>
      <c r="AI80" s="7"/>
      <c r="AJ80" s="7"/>
      <c r="AK80" s="20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</row>
    <row r="81" spans="1:53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25"/>
      <c r="AH81" s="26"/>
      <c r="AI81" s="7"/>
      <c r="AJ81" s="7"/>
      <c r="AK81" s="20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</row>
    <row r="82" spans="1:53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25"/>
      <c r="AH82" s="26"/>
      <c r="AI82" s="7"/>
      <c r="AJ82" s="7"/>
      <c r="AK82" s="20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</row>
    <row r="83" spans="1:53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25"/>
      <c r="AH83" s="26"/>
      <c r="AI83" s="7"/>
      <c r="AJ83" s="7"/>
      <c r="AK83" s="20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</row>
    <row r="84" spans="1:53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25"/>
      <c r="AH84" s="26"/>
      <c r="AI84" s="7"/>
      <c r="AJ84" s="7"/>
      <c r="AK84" s="20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</row>
    <row r="85" spans="1:53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25"/>
      <c r="AH85" s="26"/>
      <c r="AI85" s="7"/>
      <c r="AJ85" s="7"/>
      <c r="AK85" s="20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</row>
    <row r="86" spans="1:53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25"/>
      <c r="AH86" s="26"/>
      <c r="AI86" s="7"/>
      <c r="AJ86" s="7"/>
      <c r="AK86" s="20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</row>
    <row r="87" spans="1:53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25"/>
      <c r="AH87" s="26"/>
      <c r="AI87" s="7"/>
      <c r="AJ87" s="7"/>
      <c r="AK87" s="20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</row>
    <row r="88" spans="1:53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25"/>
      <c r="AH88" s="26"/>
      <c r="AI88" s="7"/>
      <c r="AJ88" s="7"/>
      <c r="AK88" s="20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</row>
    <row r="89" spans="1:53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25"/>
      <c r="AH89" s="26"/>
      <c r="AI89" s="7"/>
      <c r="AJ89" s="7"/>
      <c r="AK89" s="20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</row>
    <row r="90" spans="1:53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25"/>
      <c r="AH90" s="26"/>
      <c r="AI90" s="7"/>
      <c r="AJ90" s="7"/>
      <c r="AK90" s="20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</row>
    <row r="91" spans="1:53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25"/>
      <c r="AH91" s="26"/>
      <c r="AI91" s="7"/>
      <c r="AJ91" s="7"/>
      <c r="AK91" s="20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</row>
    <row r="92" spans="1:53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25"/>
      <c r="AH92" s="26"/>
      <c r="AI92" s="7"/>
      <c r="AJ92" s="7"/>
      <c r="AK92" s="20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</row>
    <row r="93" spans="1:53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25"/>
      <c r="AH93" s="26"/>
      <c r="AI93" s="7"/>
      <c r="AJ93" s="7"/>
      <c r="AK93" s="20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</row>
    <row r="94" spans="1:53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25"/>
      <c r="AH94" s="26"/>
      <c r="AI94" s="7"/>
      <c r="AJ94" s="7"/>
      <c r="AK94" s="20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</row>
    <row r="95" spans="1:53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25"/>
      <c r="AH95" s="26"/>
      <c r="AI95" s="7"/>
      <c r="AJ95" s="7"/>
      <c r="AK95" s="20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</row>
    <row r="96" spans="1:53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25"/>
      <c r="AH96" s="26"/>
      <c r="AI96" s="7"/>
      <c r="AJ96" s="7"/>
      <c r="AK96" s="20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</row>
    <row r="97" spans="1:53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25"/>
      <c r="AH97" s="26"/>
      <c r="AI97" s="7"/>
      <c r="AJ97" s="7"/>
      <c r="AK97" s="20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</row>
    <row r="98" spans="1:53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25"/>
      <c r="AH98" s="26"/>
      <c r="AI98" s="7"/>
      <c r="AJ98" s="7"/>
      <c r="AK98" s="20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</row>
    <row r="99" spans="1:53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25"/>
      <c r="AH99" s="26"/>
      <c r="AI99" s="7"/>
      <c r="AJ99" s="7"/>
      <c r="AK99" s="20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</row>
    <row r="100" spans="1:53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25"/>
      <c r="AH100" s="26"/>
      <c r="AI100" s="7"/>
      <c r="AJ100" s="7"/>
      <c r="AK100" s="20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</row>
    <row r="101" spans="1:53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25"/>
      <c r="AH101" s="26"/>
      <c r="AI101" s="7"/>
      <c r="AJ101" s="7"/>
      <c r="AK101" s="20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</row>
    <row r="102" spans="1:53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25"/>
      <c r="AH102" s="26"/>
      <c r="AI102" s="7"/>
      <c r="AJ102" s="7"/>
      <c r="AK102" s="20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</row>
    <row r="103" spans="1:53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25"/>
      <c r="AH103" s="26"/>
      <c r="AI103" s="7"/>
      <c r="AJ103" s="7"/>
      <c r="AK103" s="20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</row>
    <row r="104" spans="1:53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25"/>
      <c r="AH104" s="26"/>
      <c r="AI104" s="7"/>
      <c r="AJ104" s="7"/>
      <c r="AK104" s="20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</row>
    <row r="105" spans="1:53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25"/>
      <c r="AH105" s="26"/>
      <c r="AI105" s="7"/>
      <c r="AJ105" s="7"/>
      <c r="AK105" s="20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</row>
    <row r="106" spans="1:53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25"/>
      <c r="AH106" s="26"/>
      <c r="AI106" s="7"/>
      <c r="AJ106" s="7"/>
      <c r="AK106" s="20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</row>
    <row r="107" spans="1:53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25"/>
      <c r="AH107" s="26"/>
      <c r="AI107" s="7"/>
      <c r="AJ107" s="7"/>
      <c r="AK107" s="20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</row>
    <row r="108" spans="1:53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25"/>
      <c r="AH108" s="26"/>
      <c r="AI108" s="7"/>
      <c r="AJ108" s="7"/>
      <c r="AK108" s="20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</row>
    <row r="109" spans="1:53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25"/>
      <c r="AH109" s="26"/>
      <c r="AI109" s="7"/>
      <c r="AJ109" s="7"/>
      <c r="AK109" s="20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</row>
    <row r="110" spans="1:53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25"/>
      <c r="AH110" s="26"/>
      <c r="AI110" s="7"/>
      <c r="AJ110" s="7"/>
      <c r="AK110" s="20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</row>
    <row r="111" spans="1:53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25"/>
      <c r="AH111" s="26"/>
      <c r="AI111" s="7"/>
      <c r="AJ111" s="7"/>
      <c r="AK111" s="20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</row>
    <row r="112" spans="1:53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25"/>
      <c r="AH112" s="26"/>
      <c r="AI112" s="7"/>
      <c r="AJ112" s="7"/>
      <c r="AK112" s="20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</row>
    <row r="113" spans="1:53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25"/>
      <c r="AH113" s="26"/>
      <c r="AI113" s="7"/>
      <c r="AJ113" s="7"/>
      <c r="AK113" s="20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</row>
    <row r="114" spans="1:53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25"/>
      <c r="AH114" s="26"/>
      <c r="AI114" s="7"/>
      <c r="AJ114" s="7"/>
      <c r="AK114" s="20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</row>
    <row r="115" spans="1:53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25"/>
      <c r="AH115" s="26"/>
      <c r="AI115" s="7"/>
      <c r="AJ115" s="7"/>
      <c r="AK115" s="20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</row>
    <row r="116" spans="1:53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25"/>
      <c r="AH116" s="26"/>
      <c r="AI116" s="7"/>
      <c r="AJ116" s="7"/>
      <c r="AK116" s="20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</row>
    <row r="117" spans="1:53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25"/>
      <c r="AH117" s="26"/>
      <c r="AI117" s="7"/>
      <c r="AJ117" s="7"/>
      <c r="AK117" s="20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</row>
    <row r="118" spans="1:53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25"/>
      <c r="AH118" s="26"/>
      <c r="AI118" s="7"/>
      <c r="AJ118" s="7"/>
      <c r="AK118" s="20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</row>
    <row r="119" spans="1:53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25"/>
      <c r="AH119" s="26"/>
      <c r="AI119" s="7"/>
      <c r="AJ119" s="7"/>
      <c r="AK119" s="20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</row>
    <row r="120" spans="1:53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25"/>
      <c r="AH120" s="26"/>
      <c r="AI120" s="7"/>
      <c r="AJ120" s="7"/>
      <c r="AK120" s="20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</row>
    <row r="121" spans="1:53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25"/>
      <c r="AH121" s="26"/>
      <c r="AI121" s="7"/>
      <c r="AJ121" s="7"/>
      <c r="AK121" s="20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</row>
    <row r="122" spans="1:53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25"/>
      <c r="AH122" s="26"/>
      <c r="AI122" s="7"/>
      <c r="AJ122" s="7"/>
      <c r="AK122" s="20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</row>
    <row r="123" spans="1:53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25"/>
      <c r="AH123" s="26"/>
      <c r="AI123" s="7"/>
      <c r="AJ123" s="7"/>
      <c r="AK123" s="20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</row>
    <row r="124" spans="1:53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25"/>
      <c r="AH124" s="26"/>
      <c r="AI124" s="7"/>
      <c r="AJ124" s="7"/>
      <c r="AK124" s="20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</row>
    <row r="125" spans="1:53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25"/>
      <c r="AH125" s="26"/>
      <c r="AI125" s="7"/>
      <c r="AJ125" s="7"/>
      <c r="AK125" s="20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</row>
    <row r="126" spans="1:53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25"/>
      <c r="AH126" s="26"/>
      <c r="AI126" s="7"/>
      <c r="AJ126" s="7"/>
      <c r="AK126" s="20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</row>
    <row r="127" spans="1:53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25"/>
      <c r="AH127" s="26"/>
      <c r="AI127" s="7"/>
      <c r="AJ127" s="7"/>
      <c r="AK127" s="20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</row>
    <row r="128" spans="1:53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25"/>
      <c r="AH128" s="26"/>
      <c r="AI128" s="7"/>
      <c r="AJ128" s="7"/>
      <c r="AK128" s="20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</row>
    <row r="129" spans="1:53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25"/>
      <c r="AH129" s="26"/>
      <c r="AI129" s="7"/>
      <c r="AJ129" s="7"/>
      <c r="AK129" s="20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</row>
    <row r="130" spans="1:53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25"/>
      <c r="AH130" s="26"/>
      <c r="AI130" s="7"/>
      <c r="AJ130" s="7"/>
      <c r="AK130" s="20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</row>
    <row r="131" spans="1:53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25"/>
      <c r="AH131" s="26"/>
      <c r="AI131" s="7"/>
      <c r="AJ131" s="7"/>
      <c r="AK131" s="20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</row>
    <row r="132" spans="1:53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25"/>
      <c r="AH132" s="26"/>
      <c r="AI132" s="7"/>
      <c r="AJ132" s="7"/>
      <c r="AK132" s="20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</row>
    <row r="133" spans="1:53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25"/>
      <c r="AH133" s="26"/>
      <c r="AI133" s="7"/>
      <c r="AJ133" s="7"/>
      <c r="AK133" s="20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</row>
    <row r="134" spans="1:53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25"/>
      <c r="AH134" s="26"/>
      <c r="AI134" s="7"/>
      <c r="AJ134" s="7"/>
      <c r="AK134" s="20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</row>
    <row r="135" spans="1:53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25"/>
      <c r="AH135" s="26"/>
      <c r="AI135" s="7"/>
      <c r="AJ135" s="7"/>
      <c r="AK135" s="20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</row>
    <row r="136" spans="1:53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25"/>
      <c r="AH136" s="26"/>
      <c r="AI136" s="7"/>
      <c r="AJ136" s="7"/>
      <c r="AK136" s="20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</row>
    <row r="137" spans="1:53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25"/>
      <c r="AH137" s="26"/>
      <c r="AI137" s="7"/>
      <c r="AJ137" s="7"/>
      <c r="AK137" s="20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</row>
    <row r="138" spans="1:53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25"/>
      <c r="AH138" s="26"/>
      <c r="AI138" s="7"/>
      <c r="AJ138" s="7"/>
      <c r="AK138" s="20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</row>
    <row r="139" spans="1:53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25"/>
      <c r="AH139" s="26"/>
      <c r="AI139" s="7"/>
      <c r="AJ139" s="7"/>
      <c r="AK139" s="20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</row>
    <row r="140" spans="1:53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25"/>
      <c r="AH140" s="26"/>
      <c r="AI140" s="7"/>
      <c r="AJ140" s="7"/>
      <c r="AK140" s="20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</row>
    <row r="141" spans="1:53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25"/>
      <c r="AH141" s="26"/>
      <c r="AI141" s="7"/>
      <c r="AJ141" s="7"/>
      <c r="AK141" s="20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</row>
    <row r="142" spans="1:53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25"/>
      <c r="AH142" s="26"/>
      <c r="AI142" s="7"/>
      <c r="AJ142" s="7"/>
      <c r="AK142" s="20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</row>
    <row r="143" spans="1:53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25"/>
      <c r="AH143" s="26"/>
      <c r="AI143" s="7"/>
      <c r="AJ143" s="7"/>
      <c r="AK143" s="20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</row>
    <row r="144" spans="1:53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25"/>
      <c r="AH144" s="26"/>
      <c r="AI144" s="7"/>
      <c r="AJ144" s="7"/>
      <c r="AK144" s="20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</row>
    <row r="145" spans="1:53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25"/>
      <c r="AH145" s="26"/>
      <c r="AI145" s="7"/>
      <c r="AJ145" s="7"/>
      <c r="AK145" s="20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</row>
    <row r="146" spans="1:53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25"/>
      <c r="AH146" s="26"/>
      <c r="AI146" s="7"/>
      <c r="AJ146" s="7"/>
      <c r="AK146" s="20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</row>
    <row r="147" spans="1:53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25"/>
      <c r="AH147" s="26"/>
      <c r="AI147" s="7"/>
      <c r="AJ147" s="7"/>
      <c r="AK147" s="20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</row>
    <row r="148" spans="1:53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25"/>
      <c r="AH148" s="26"/>
      <c r="AI148" s="7"/>
      <c r="AJ148" s="7"/>
      <c r="AK148" s="20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</row>
    <row r="149" spans="1:53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25"/>
      <c r="AH149" s="26"/>
      <c r="AI149" s="7"/>
      <c r="AJ149" s="7"/>
      <c r="AK149" s="20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</row>
    <row r="150" spans="1:53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25"/>
      <c r="AH150" s="26"/>
      <c r="AI150" s="7"/>
      <c r="AJ150" s="7"/>
      <c r="AK150" s="20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</row>
    <row r="151" spans="1:53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25"/>
      <c r="AH151" s="26"/>
      <c r="AI151" s="7"/>
      <c r="AJ151" s="7"/>
      <c r="AK151" s="20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</row>
    <row r="152" spans="1:53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25"/>
      <c r="AH152" s="26"/>
      <c r="AI152" s="7"/>
      <c r="AJ152" s="7"/>
      <c r="AK152" s="20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</row>
    <row r="153" spans="1:53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25"/>
      <c r="AH153" s="26"/>
      <c r="AI153" s="7"/>
      <c r="AJ153" s="7"/>
      <c r="AK153" s="20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</row>
    <row r="154" spans="1:53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25"/>
      <c r="AH154" s="26"/>
      <c r="AI154" s="7"/>
      <c r="AJ154" s="7"/>
      <c r="AK154" s="20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</row>
    <row r="155" spans="1:53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25"/>
      <c r="AH155" s="26"/>
      <c r="AI155" s="7"/>
      <c r="AJ155" s="7"/>
      <c r="AK155" s="20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</row>
    <row r="156" spans="1:53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25"/>
      <c r="AH156" s="26"/>
      <c r="AI156" s="7"/>
      <c r="AJ156" s="7"/>
      <c r="AK156" s="20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</row>
    <row r="157" spans="1:53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25"/>
      <c r="AH157" s="26"/>
      <c r="AI157" s="7"/>
      <c r="AJ157" s="7"/>
      <c r="AK157" s="20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</row>
    <row r="158" spans="1:53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25"/>
      <c r="AH158" s="26"/>
      <c r="AI158" s="7"/>
      <c r="AJ158" s="7"/>
      <c r="AK158" s="20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</row>
    <row r="159" spans="1:53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25"/>
      <c r="AH159" s="26"/>
      <c r="AI159" s="7"/>
      <c r="AJ159" s="7"/>
      <c r="AK159" s="20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</row>
    <row r="160" spans="1:53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25"/>
      <c r="AH160" s="26"/>
      <c r="AI160" s="7"/>
      <c r="AJ160" s="7"/>
      <c r="AK160" s="20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</row>
    <row r="161" spans="1:53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25"/>
      <c r="AH161" s="26"/>
      <c r="AI161" s="7"/>
      <c r="AJ161" s="7"/>
      <c r="AK161" s="20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</row>
    <row r="162" spans="1:53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25"/>
      <c r="AH162" s="26"/>
      <c r="AI162" s="7"/>
      <c r="AJ162" s="7"/>
      <c r="AK162" s="20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</row>
    <row r="163" spans="1:53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25"/>
      <c r="AH163" s="26"/>
      <c r="AI163" s="7"/>
      <c r="AJ163" s="7"/>
      <c r="AK163" s="20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</row>
    <row r="164" spans="1:53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25"/>
      <c r="AH164" s="26"/>
      <c r="AI164" s="7"/>
      <c r="AJ164" s="7"/>
      <c r="AK164" s="20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</row>
    <row r="165" spans="1:53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25"/>
      <c r="AH165" s="26"/>
      <c r="AI165" s="7"/>
      <c r="AJ165" s="7"/>
      <c r="AK165" s="20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</row>
    <row r="166" spans="1:53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25"/>
      <c r="AH166" s="26"/>
      <c r="AI166" s="7"/>
      <c r="AJ166" s="7"/>
      <c r="AK166" s="20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</row>
    <row r="167" spans="1:53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25"/>
      <c r="AH167" s="26"/>
      <c r="AI167" s="7"/>
      <c r="AJ167" s="7"/>
      <c r="AK167" s="20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</row>
    <row r="168" spans="1:53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25"/>
      <c r="AH168" s="26"/>
      <c r="AI168" s="7"/>
      <c r="AJ168" s="7"/>
      <c r="AK168" s="20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</row>
    <row r="169" spans="1:53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25"/>
      <c r="AH169" s="26"/>
      <c r="AI169" s="7"/>
      <c r="AJ169" s="7"/>
      <c r="AK169" s="20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</row>
    <row r="170" spans="1:53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25"/>
      <c r="AH170" s="26"/>
      <c r="AI170" s="7"/>
      <c r="AJ170" s="7"/>
      <c r="AK170" s="20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</row>
    <row r="171" spans="1:53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25"/>
      <c r="AH171" s="26"/>
      <c r="AI171" s="7"/>
      <c r="AJ171" s="7"/>
      <c r="AK171" s="20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</row>
    <row r="172" spans="1:53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25"/>
      <c r="AH172" s="26"/>
      <c r="AI172" s="7"/>
      <c r="AJ172" s="7"/>
      <c r="AK172" s="20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</row>
    <row r="173" spans="1:53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25"/>
      <c r="AH173" s="26"/>
      <c r="AI173" s="7"/>
      <c r="AJ173" s="7"/>
      <c r="AK173" s="20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</row>
    <row r="174" spans="1:53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25"/>
      <c r="AH174" s="26"/>
      <c r="AI174" s="7"/>
      <c r="AJ174" s="7"/>
      <c r="AK174" s="20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</row>
    <row r="175" spans="1:53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25"/>
      <c r="AH175" s="26"/>
      <c r="AI175" s="7"/>
      <c r="AJ175" s="7"/>
      <c r="AK175" s="20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</row>
    <row r="176" spans="1:53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25"/>
      <c r="AH176" s="26"/>
      <c r="AI176" s="7"/>
      <c r="AJ176" s="7"/>
      <c r="AK176" s="20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</row>
    <row r="177" spans="1:53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25"/>
      <c r="AH177" s="26"/>
      <c r="AI177" s="7"/>
      <c r="AJ177" s="7"/>
      <c r="AK177" s="20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</row>
    <row r="178" spans="1:53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25"/>
      <c r="AH178" s="26"/>
      <c r="AI178" s="7"/>
      <c r="AJ178" s="7"/>
      <c r="AK178" s="20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</row>
    <row r="179" spans="1:53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25"/>
      <c r="AH179" s="26"/>
      <c r="AI179" s="7"/>
      <c r="AJ179" s="7"/>
      <c r="AK179" s="20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</row>
    <row r="180" spans="1:53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25"/>
      <c r="AH180" s="26"/>
      <c r="AI180" s="7"/>
      <c r="AJ180" s="7"/>
      <c r="AK180" s="20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</row>
    <row r="181" spans="1:53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25"/>
      <c r="AH181" s="26"/>
      <c r="AI181" s="7"/>
      <c r="AJ181" s="7"/>
      <c r="AK181" s="20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</row>
    <row r="182" spans="1:53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25"/>
      <c r="AH182" s="26"/>
      <c r="AI182" s="7"/>
      <c r="AJ182" s="7"/>
      <c r="AK182" s="20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 spans="1:53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25"/>
      <c r="AH183" s="26"/>
      <c r="AI183" s="7"/>
      <c r="AJ183" s="7"/>
      <c r="AK183" s="20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 spans="1:53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25"/>
      <c r="AH184" s="26"/>
      <c r="AI184" s="7"/>
      <c r="AJ184" s="7"/>
      <c r="AK184" s="20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 spans="1:53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25"/>
      <c r="AH185" s="26"/>
      <c r="AI185" s="7"/>
      <c r="AJ185" s="7"/>
      <c r="AK185" s="20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 spans="1:53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25"/>
      <c r="AH186" s="26"/>
      <c r="AI186" s="7"/>
      <c r="AJ186" s="7"/>
      <c r="AK186" s="20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 spans="1:53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25"/>
      <c r="AH187" s="26"/>
      <c r="AI187" s="7"/>
      <c r="AJ187" s="7"/>
      <c r="AK187" s="20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 spans="1:53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25"/>
      <c r="AH188" s="26"/>
      <c r="AI188" s="7"/>
      <c r="AJ188" s="7"/>
      <c r="AK188" s="20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 spans="1:53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25"/>
      <c r="AH189" s="26"/>
      <c r="AI189" s="7"/>
      <c r="AJ189" s="7"/>
      <c r="AK189" s="20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 spans="1:53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25"/>
      <c r="AH190" s="26"/>
      <c r="AI190" s="7"/>
      <c r="AJ190" s="7"/>
      <c r="AK190" s="20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 spans="1:53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25"/>
      <c r="AH191" s="26"/>
      <c r="AI191" s="7"/>
      <c r="AJ191" s="7"/>
      <c r="AK191" s="20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 spans="1:53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25"/>
      <c r="AH192" s="26"/>
      <c r="AI192" s="7"/>
      <c r="AJ192" s="7"/>
      <c r="AK192" s="20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 spans="1:53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25"/>
      <c r="AH193" s="26"/>
      <c r="AI193" s="7"/>
      <c r="AJ193" s="7"/>
      <c r="AK193" s="20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 spans="1:53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25"/>
      <c r="AH194" s="26"/>
      <c r="AI194" s="7"/>
      <c r="AJ194" s="7"/>
      <c r="AK194" s="20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 spans="1:53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25"/>
      <c r="AH195" s="26"/>
      <c r="AI195" s="7"/>
      <c r="AJ195" s="7"/>
      <c r="AK195" s="20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 spans="1:53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25"/>
      <c r="AH196" s="26"/>
      <c r="AI196" s="7"/>
      <c r="AJ196" s="7"/>
      <c r="AK196" s="20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 spans="1:53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25"/>
      <c r="AH197" s="26"/>
      <c r="AI197" s="7"/>
      <c r="AJ197" s="7"/>
      <c r="AK197" s="20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 spans="1:53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25"/>
      <c r="AH198" s="26"/>
      <c r="AI198" s="7"/>
      <c r="AJ198" s="7"/>
      <c r="AK198" s="20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 spans="1:53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25"/>
      <c r="AH199" s="26"/>
      <c r="AI199" s="7"/>
      <c r="AJ199" s="7"/>
      <c r="AK199" s="20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 spans="1:53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25"/>
      <c r="AH200" s="26"/>
      <c r="AI200" s="7"/>
      <c r="AJ200" s="7"/>
      <c r="AK200" s="20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 spans="1:53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25"/>
      <c r="AH201" s="26"/>
      <c r="AI201" s="7"/>
      <c r="AJ201" s="7"/>
      <c r="AK201" s="20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 spans="1:53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25"/>
      <c r="AH202" s="26"/>
      <c r="AI202" s="7"/>
      <c r="AJ202" s="7"/>
      <c r="AK202" s="20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 spans="1:53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25"/>
      <c r="AH203" s="26"/>
      <c r="AI203" s="7"/>
      <c r="AJ203" s="7"/>
      <c r="AK203" s="20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 spans="1:53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25"/>
      <c r="AH204" s="26"/>
      <c r="AI204" s="7"/>
      <c r="AJ204" s="7"/>
      <c r="AK204" s="20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 spans="1:53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25"/>
      <c r="AH205" s="26"/>
      <c r="AI205" s="7"/>
      <c r="AJ205" s="7"/>
      <c r="AK205" s="20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 spans="1:53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25"/>
      <c r="AH206" s="26"/>
      <c r="AI206" s="7"/>
      <c r="AJ206" s="7"/>
      <c r="AK206" s="20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 spans="1:53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25"/>
      <c r="AH207" s="26"/>
      <c r="AI207" s="7"/>
      <c r="AJ207" s="7"/>
      <c r="AK207" s="20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 spans="1:53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25"/>
      <c r="AH208" s="26"/>
      <c r="AI208" s="7"/>
      <c r="AJ208" s="7"/>
      <c r="AK208" s="20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 spans="1:53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25"/>
      <c r="AH209" s="26"/>
      <c r="AI209" s="7"/>
      <c r="AJ209" s="7"/>
      <c r="AK209" s="20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 spans="1:53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25"/>
      <c r="AH210" s="26"/>
      <c r="AI210" s="7"/>
      <c r="AJ210" s="7"/>
      <c r="AK210" s="20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 spans="1:53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25"/>
      <c r="AH211" s="26"/>
      <c r="AI211" s="7"/>
      <c r="AJ211" s="7"/>
      <c r="AK211" s="20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 spans="1:53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25"/>
      <c r="AH212" s="26"/>
      <c r="AI212" s="7"/>
      <c r="AJ212" s="7"/>
      <c r="AK212" s="20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 spans="1:53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25"/>
      <c r="AH213" s="26"/>
      <c r="AI213" s="7"/>
      <c r="AJ213" s="7"/>
      <c r="AK213" s="20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 spans="1:53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25"/>
      <c r="AH214" s="26"/>
      <c r="AI214" s="7"/>
      <c r="AJ214" s="7"/>
      <c r="AK214" s="20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 spans="1:53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25"/>
      <c r="AH215" s="26"/>
      <c r="AI215" s="7"/>
      <c r="AJ215" s="7"/>
      <c r="AK215" s="20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 spans="1:53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25"/>
      <c r="AH216" s="26"/>
      <c r="AI216" s="7"/>
      <c r="AJ216" s="7"/>
      <c r="AK216" s="20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 spans="1:53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25"/>
      <c r="AH217" s="26"/>
      <c r="AI217" s="7"/>
      <c r="AJ217" s="7"/>
      <c r="AK217" s="20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 spans="1:53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25"/>
      <c r="AH218" s="26"/>
      <c r="AI218" s="7"/>
      <c r="AJ218" s="7"/>
      <c r="AK218" s="20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 spans="1:53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25"/>
      <c r="AH219" s="26"/>
      <c r="AI219" s="7"/>
      <c r="AJ219" s="7"/>
      <c r="AK219" s="20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 spans="1:53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25"/>
      <c r="AH220" s="26"/>
      <c r="AI220" s="7"/>
      <c r="AJ220" s="7"/>
      <c r="AK220" s="20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 spans="1:53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25"/>
      <c r="AH221" s="26"/>
      <c r="AI221" s="7"/>
      <c r="AJ221" s="7"/>
      <c r="AK221" s="20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 spans="1:53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25"/>
      <c r="AH222" s="26"/>
      <c r="AI222" s="7"/>
      <c r="AJ222" s="7"/>
      <c r="AK222" s="20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 spans="1:53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25"/>
      <c r="AH223" s="26"/>
      <c r="AI223" s="7"/>
      <c r="AJ223" s="7"/>
      <c r="AK223" s="20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 spans="1:53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25"/>
      <c r="AH224" s="26"/>
      <c r="AI224" s="7"/>
      <c r="AJ224" s="7"/>
      <c r="AK224" s="20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 spans="1:53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25"/>
      <c r="AH225" s="26"/>
      <c r="AI225" s="7"/>
      <c r="AJ225" s="7"/>
      <c r="AK225" s="20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 spans="1:53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25"/>
      <c r="AH226" s="26"/>
      <c r="AI226" s="7"/>
      <c r="AJ226" s="7"/>
      <c r="AK226" s="20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 spans="1:53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25"/>
      <c r="AH227" s="26"/>
      <c r="AI227" s="7"/>
      <c r="AJ227" s="7"/>
      <c r="AK227" s="20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 spans="1:53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25"/>
      <c r="AH228" s="26"/>
      <c r="AI228" s="7"/>
      <c r="AJ228" s="7"/>
      <c r="AK228" s="20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 spans="1:53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25"/>
      <c r="AH229" s="26"/>
      <c r="AI229" s="7"/>
      <c r="AJ229" s="7"/>
      <c r="AK229" s="20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 spans="1:53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25"/>
      <c r="AH230" s="26"/>
      <c r="AI230" s="7"/>
      <c r="AJ230" s="7"/>
      <c r="AK230" s="20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 spans="1:53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25"/>
      <c r="AH231" s="26"/>
      <c r="AI231" s="7"/>
      <c r="AJ231" s="7"/>
      <c r="AK231" s="20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 spans="1:53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25"/>
      <c r="AH232" s="26"/>
      <c r="AI232" s="7"/>
      <c r="AJ232" s="7"/>
      <c r="AK232" s="20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 spans="1:53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25"/>
      <c r="AH233" s="26"/>
      <c r="AI233" s="7"/>
      <c r="AJ233" s="7"/>
      <c r="AK233" s="20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</row>
    <row r="234" spans="1:53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25"/>
      <c r="AH234" s="26"/>
      <c r="AI234" s="7"/>
      <c r="AJ234" s="7"/>
      <c r="AK234" s="20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</row>
    <row r="235" spans="1:53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25"/>
      <c r="AH235" s="26"/>
      <c r="AI235" s="7"/>
      <c r="AJ235" s="7"/>
      <c r="AK235" s="20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</row>
    <row r="236" spans="1:53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25"/>
      <c r="AH236" s="26"/>
      <c r="AI236" s="7"/>
      <c r="AJ236" s="7"/>
      <c r="AK236" s="20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</row>
    <row r="237" spans="1:53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25"/>
      <c r="AH237" s="26"/>
      <c r="AI237" s="7"/>
      <c r="AJ237" s="7"/>
      <c r="AK237" s="20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</row>
    <row r="238" spans="1:53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25"/>
      <c r="AH238" s="26"/>
      <c r="AI238" s="7"/>
      <c r="AJ238" s="7"/>
      <c r="AK238" s="20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</row>
    <row r="239" spans="1:53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25"/>
      <c r="AH239" s="26"/>
      <c r="AI239" s="7"/>
      <c r="AJ239" s="7"/>
      <c r="AK239" s="20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</row>
    <row r="240" spans="1:53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25"/>
      <c r="AH240" s="26"/>
      <c r="AI240" s="7"/>
      <c r="AJ240" s="7"/>
      <c r="AK240" s="20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</row>
    <row r="241" spans="1:53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25"/>
      <c r="AH241" s="26"/>
      <c r="AI241" s="7"/>
      <c r="AJ241" s="7"/>
      <c r="AK241" s="20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</row>
    <row r="242" spans="1:53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25"/>
      <c r="AH242" s="26"/>
      <c r="AI242" s="7"/>
      <c r="AJ242" s="7"/>
      <c r="AK242" s="20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</row>
    <row r="243" spans="1:53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25"/>
      <c r="AH243" s="26"/>
      <c r="AI243" s="7"/>
      <c r="AJ243" s="7"/>
      <c r="AK243" s="20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</row>
    <row r="244" spans="1:53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25"/>
      <c r="AH244" s="26"/>
      <c r="AI244" s="7"/>
      <c r="AJ244" s="7"/>
      <c r="AK244" s="20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  <row r="245" spans="1:53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25"/>
      <c r="AH245" s="26"/>
      <c r="AI245" s="7"/>
      <c r="AJ245" s="7"/>
      <c r="AK245" s="20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</row>
    <row r="246" spans="1:53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25"/>
      <c r="AH246" s="26"/>
      <c r="AI246" s="7"/>
      <c r="AJ246" s="7"/>
      <c r="AK246" s="20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</row>
    <row r="247" spans="1:53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25"/>
      <c r="AH247" s="26"/>
      <c r="AI247" s="7"/>
      <c r="AJ247" s="7"/>
      <c r="AK247" s="20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</row>
    <row r="248" spans="1:53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25"/>
      <c r="AH248" s="26"/>
      <c r="AI248" s="7"/>
      <c r="AJ248" s="7"/>
      <c r="AK248" s="20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</row>
    <row r="249" spans="1:53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25"/>
      <c r="AH249" s="26"/>
      <c r="AI249" s="7"/>
      <c r="AJ249" s="7"/>
      <c r="AK249" s="20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</row>
    <row r="250" spans="1:53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25"/>
      <c r="AH250" s="26"/>
      <c r="AI250" s="7"/>
      <c r="AJ250" s="7"/>
      <c r="AK250" s="20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</row>
    <row r="251" spans="1:53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25"/>
      <c r="AH251" s="26"/>
      <c r="AI251" s="7"/>
      <c r="AJ251" s="7"/>
      <c r="AK251" s="20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</row>
    <row r="252" spans="1:53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25"/>
      <c r="AH252" s="26"/>
      <c r="AI252" s="7"/>
      <c r="AJ252" s="7"/>
      <c r="AK252" s="20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</row>
    <row r="253" spans="1:53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25"/>
      <c r="AH253" s="26"/>
      <c r="AI253" s="7"/>
      <c r="AJ253" s="7"/>
      <c r="AK253" s="20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</row>
    <row r="254" spans="1:53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25"/>
      <c r="AH254" s="26"/>
      <c r="AI254" s="7"/>
      <c r="AJ254" s="7"/>
      <c r="AK254" s="20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</row>
    <row r="255" spans="1:53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25"/>
      <c r="AH255" s="26"/>
      <c r="AI255" s="7"/>
      <c r="AJ255" s="7"/>
      <c r="AK255" s="20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</row>
    <row r="256" spans="1:53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25"/>
      <c r="AH256" s="26"/>
      <c r="AI256" s="7"/>
      <c r="AJ256" s="7"/>
      <c r="AK256" s="20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</row>
    <row r="257" spans="1:53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25"/>
      <c r="AH257" s="26"/>
      <c r="AI257" s="7"/>
      <c r="AJ257" s="7"/>
      <c r="AK257" s="20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</row>
    <row r="258" spans="1:53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25"/>
      <c r="AH258" s="26"/>
      <c r="AI258" s="7"/>
      <c r="AJ258" s="7"/>
      <c r="AK258" s="20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</row>
    <row r="259" spans="1:53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25"/>
      <c r="AH259" s="26"/>
      <c r="AI259" s="7"/>
      <c r="AJ259" s="7"/>
      <c r="AK259" s="20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</row>
    <row r="260" spans="1:53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25"/>
      <c r="AH260" s="26"/>
      <c r="AI260" s="7"/>
      <c r="AJ260" s="7"/>
      <c r="AK260" s="20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</row>
    <row r="261" spans="1:53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25"/>
      <c r="AH261" s="26"/>
      <c r="AI261" s="7"/>
      <c r="AJ261" s="7"/>
      <c r="AK261" s="20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</row>
    <row r="262" spans="1:53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25"/>
      <c r="AH262" s="26"/>
      <c r="AI262" s="7"/>
      <c r="AJ262" s="7"/>
      <c r="AK262" s="20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</row>
    <row r="263" spans="1:53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25"/>
      <c r="AH263" s="26"/>
      <c r="AI263" s="7"/>
      <c r="AJ263" s="7"/>
      <c r="AK263" s="20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</row>
    <row r="264" spans="1:53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25"/>
      <c r="AH264" s="26"/>
      <c r="AI264" s="7"/>
      <c r="AJ264" s="7"/>
      <c r="AK264" s="20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</row>
    <row r="265" spans="1:53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25"/>
      <c r="AH265" s="26"/>
      <c r="AI265" s="7"/>
      <c r="AJ265" s="7"/>
      <c r="AK265" s="20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</row>
    <row r="266" spans="1:53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25"/>
      <c r="AH266" s="26"/>
      <c r="AI266" s="7"/>
      <c r="AJ266" s="7"/>
      <c r="AK266" s="20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</row>
    <row r="267" spans="1:53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25"/>
      <c r="AH267" s="26"/>
      <c r="AI267" s="7"/>
      <c r="AJ267" s="7"/>
      <c r="AK267" s="20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</row>
    <row r="268" spans="1:53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25"/>
      <c r="AH268" s="26"/>
      <c r="AI268" s="7"/>
      <c r="AJ268" s="7"/>
      <c r="AK268" s="20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</row>
    <row r="269" spans="1:53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25"/>
      <c r="AH269" s="26"/>
      <c r="AI269" s="7"/>
      <c r="AJ269" s="7"/>
      <c r="AK269" s="20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</row>
    <row r="270" spans="1:53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25"/>
      <c r="AH270" s="26"/>
      <c r="AI270" s="7"/>
      <c r="AJ270" s="7"/>
      <c r="AK270" s="20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</row>
    <row r="271" spans="1:53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25"/>
      <c r="AH271" s="26"/>
      <c r="AI271" s="7"/>
      <c r="AJ271" s="7"/>
      <c r="AK271" s="20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</row>
    <row r="272" spans="1:53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25"/>
      <c r="AH272" s="26"/>
      <c r="AI272" s="7"/>
      <c r="AJ272" s="7"/>
      <c r="AK272" s="20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</row>
    <row r="273" spans="1:53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25"/>
      <c r="AH273" s="26"/>
      <c r="AI273" s="7"/>
      <c r="AJ273" s="7"/>
      <c r="AK273" s="20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</row>
    <row r="274" spans="1:53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25"/>
      <c r="AH274" s="26"/>
      <c r="AI274" s="7"/>
      <c r="AJ274" s="7"/>
      <c r="AK274" s="20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</row>
    <row r="275" spans="1:53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25"/>
      <c r="AH275" s="26"/>
      <c r="AI275" s="7"/>
      <c r="AJ275" s="7"/>
      <c r="AK275" s="20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</row>
    <row r="276" spans="1:53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25"/>
      <c r="AH276" s="26"/>
      <c r="AI276" s="7"/>
      <c r="AJ276" s="7"/>
      <c r="AK276" s="20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</row>
    <row r="277" spans="1:53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25"/>
      <c r="AH277" s="26"/>
      <c r="AI277" s="7"/>
      <c r="AJ277" s="7"/>
      <c r="AK277" s="20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</row>
    <row r="278" spans="1:53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25"/>
      <c r="AH278" s="26"/>
      <c r="AI278" s="7"/>
      <c r="AJ278" s="7"/>
      <c r="AK278" s="20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</row>
    <row r="279" spans="1:53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25"/>
      <c r="AH279" s="26"/>
      <c r="AI279" s="7"/>
      <c r="AJ279" s="7"/>
      <c r="AK279" s="20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</row>
    <row r="280" spans="1:53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25"/>
      <c r="AH280" s="26"/>
      <c r="AI280" s="7"/>
      <c r="AJ280" s="7"/>
      <c r="AK280" s="20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</row>
    <row r="281" spans="1:53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25"/>
      <c r="AH281" s="26"/>
      <c r="AI281" s="7"/>
      <c r="AJ281" s="7"/>
      <c r="AK281" s="20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</row>
    <row r="282" spans="1:53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25"/>
      <c r="AH282" s="26"/>
      <c r="AI282" s="7"/>
      <c r="AJ282" s="7"/>
      <c r="AK282" s="20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</row>
    <row r="283" spans="1:53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25"/>
      <c r="AH283" s="26"/>
      <c r="AI283" s="7"/>
      <c r="AJ283" s="7"/>
      <c r="AK283" s="20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</row>
    <row r="284" spans="1:53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25"/>
      <c r="AH284" s="26"/>
      <c r="AI284" s="7"/>
      <c r="AJ284" s="7"/>
      <c r="AK284" s="20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</row>
    <row r="285" spans="1:53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25"/>
      <c r="AH285" s="26"/>
      <c r="AI285" s="7"/>
      <c r="AJ285" s="7"/>
      <c r="AK285" s="20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</row>
    <row r="286" spans="1:53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25"/>
      <c r="AH286" s="26"/>
      <c r="AI286" s="7"/>
      <c r="AJ286" s="7"/>
      <c r="AK286" s="20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</row>
    <row r="287" spans="1:53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25"/>
      <c r="AH287" s="26"/>
      <c r="AI287" s="7"/>
      <c r="AJ287" s="7"/>
      <c r="AK287" s="20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</row>
    <row r="288" spans="1:53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25"/>
      <c r="AH288" s="26"/>
      <c r="AI288" s="7"/>
      <c r="AJ288" s="7"/>
      <c r="AK288" s="20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</row>
    <row r="289" spans="1:53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25"/>
      <c r="AH289" s="26"/>
      <c r="AI289" s="7"/>
      <c r="AJ289" s="7"/>
      <c r="AK289" s="20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</row>
    <row r="290" spans="1:53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25"/>
      <c r="AH290" s="26"/>
      <c r="AI290" s="7"/>
      <c r="AJ290" s="7"/>
      <c r="AK290" s="20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</row>
    <row r="291" spans="1:53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25"/>
      <c r="AH291" s="26"/>
      <c r="AI291" s="7"/>
      <c r="AJ291" s="7"/>
      <c r="AK291" s="20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</row>
    <row r="292" spans="1:53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25"/>
      <c r="AH292" s="26"/>
      <c r="AI292" s="7"/>
      <c r="AJ292" s="7"/>
      <c r="AK292" s="20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</row>
    <row r="293" spans="1:53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25"/>
      <c r="AH293" s="26"/>
      <c r="AI293" s="7"/>
      <c r="AJ293" s="7"/>
      <c r="AK293" s="20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</row>
    <row r="294" spans="1:53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25"/>
      <c r="AH294" s="26"/>
      <c r="AI294" s="7"/>
      <c r="AJ294" s="7"/>
      <c r="AK294" s="20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</row>
    <row r="295" spans="1:53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25"/>
      <c r="AH295" s="26"/>
      <c r="AI295" s="7"/>
      <c r="AJ295" s="7"/>
      <c r="AK295" s="20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</row>
    <row r="296" spans="1:53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25"/>
      <c r="AH296" s="26"/>
      <c r="AI296" s="7"/>
      <c r="AJ296" s="7"/>
      <c r="AK296" s="20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</row>
    <row r="297" spans="1:53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25"/>
      <c r="AH297" s="26"/>
      <c r="AI297" s="7"/>
      <c r="AJ297" s="7"/>
      <c r="AK297" s="20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</row>
    <row r="298" spans="1:53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25"/>
      <c r="AH298" s="26"/>
      <c r="AI298" s="7"/>
      <c r="AJ298" s="7"/>
      <c r="AK298" s="20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</row>
    <row r="299" spans="1:53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25"/>
      <c r="AH299" s="26"/>
      <c r="AI299" s="7"/>
      <c r="AJ299" s="7"/>
      <c r="AK299" s="20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</row>
    <row r="300" spans="1:53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25"/>
      <c r="AH300" s="26"/>
      <c r="AI300" s="7"/>
      <c r="AJ300" s="7"/>
      <c r="AK300" s="20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</row>
    <row r="301" spans="1:53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25"/>
      <c r="AH301" s="26"/>
      <c r="AI301" s="7"/>
      <c r="AJ301" s="7"/>
      <c r="AK301" s="20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</row>
    <row r="302" spans="1:53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25"/>
      <c r="AH302" s="26"/>
      <c r="AI302" s="7"/>
      <c r="AJ302" s="7"/>
      <c r="AK302" s="20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</row>
    <row r="303" spans="1:53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25"/>
      <c r="AH303" s="26"/>
      <c r="AI303" s="7"/>
      <c r="AJ303" s="7"/>
      <c r="AK303" s="20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</row>
    <row r="304" spans="1:53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25"/>
      <c r="AH304" s="26"/>
      <c r="AI304" s="7"/>
      <c r="AJ304" s="7"/>
      <c r="AK304" s="20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</row>
    <row r="305" spans="1:53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25"/>
      <c r="AH305" s="26"/>
      <c r="AI305" s="7"/>
      <c r="AJ305" s="7"/>
      <c r="AK305" s="20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</row>
    <row r="306" spans="1:53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25"/>
      <c r="AH306" s="26"/>
      <c r="AI306" s="7"/>
      <c r="AJ306" s="7"/>
      <c r="AK306" s="20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</row>
    <row r="307" spans="1:53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25"/>
      <c r="AH307" s="26"/>
      <c r="AI307" s="7"/>
      <c r="AJ307" s="7"/>
      <c r="AK307" s="20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</row>
    <row r="308" spans="1:53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25"/>
      <c r="AH308" s="26"/>
      <c r="AI308" s="7"/>
      <c r="AJ308" s="7"/>
      <c r="AK308" s="20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</row>
    <row r="309" spans="1:53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25"/>
      <c r="AH309" s="26"/>
      <c r="AI309" s="7"/>
      <c r="AJ309" s="7"/>
      <c r="AK309" s="20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</row>
    <row r="310" spans="1:53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25"/>
      <c r="AH310" s="26"/>
      <c r="AI310" s="7"/>
      <c r="AJ310" s="7"/>
      <c r="AK310" s="20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</row>
    <row r="311" spans="1:53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25"/>
      <c r="AH311" s="26"/>
      <c r="AI311" s="7"/>
      <c r="AJ311" s="7"/>
      <c r="AK311" s="20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</row>
    <row r="312" spans="1:53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25"/>
      <c r="AH312" s="26"/>
      <c r="AI312" s="7"/>
      <c r="AJ312" s="7"/>
      <c r="AK312" s="20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</row>
    <row r="313" spans="1:53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25"/>
      <c r="AH313" s="26"/>
      <c r="AI313" s="7"/>
      <c r="AJ313" s="7"/>
      <c r="AK313" s="20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</row>
    <row r="314" spans="1:53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25"/>
      <c r="AH314" s="26"/>
      <c r="AI314" s="7"/>
      <c r="AJ314" s="7"/>
      <c r="AK314" s="20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</row>
    <row r="315" spans="1:53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25"/>
      <c r="AH315" s="26"/>
      <c r="AI315" s="7"/>
      <c r="AJ315" s="7"/>
      <c r="AK315" s="20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</row>
    <row r="316" spans="1:53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25"/>
      <c r="AH316" s="26"/>
      <c r="AI316" s="7"/>
      <c r="AJ316" s="7"/>
      <c r="AK316" s="20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</row>
    <row r="317" spans="1:53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25"/>
      <c r="AH317" s="26"/>
      <c r="AI317" s="7"/>
      <c r="AJ317" s="7"/>
      <c r="AK317" s="20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</row>
    <row r="318" spans="1:53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25"/>
      <c r="AH318" s="26"/>
      <c r="AI318" s="7"/>
      <c r="AJ318" s="7"/>
      <c r="AK318" s="20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</row>
    <row r="319" spans="1:53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25"/>
      <c r="AH319" s="26"/>
      <c r="AI319" s="7"/>
      <c r="AJ319" s="7"/>
      <c r="AK319" s="20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</row>
    <row r="320" spans="1:53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25"/>
      <c r="AH320" s="26"/>
      <c r="AI320" s="7"/>
      <c r="AJ320" s="7"/>
      <c r="AK320" s="20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</row>
    <row r="321" spans="1:53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25"/>
      <c r="AH321" s="26"/>
      <c r="AI321" s="7"/>
      <c r="AJ321" s="7"/>
      <c r="AK321" s="20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</row>
    <row r="322" spans="1:53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25"/>
      <c r="AH322" s="26"/>
      <c r="AI322" s="7"/>
      <c r="AJ322" s="7"/>
      <c r="AK322" s="20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</row>
    <row r="323" spans="1:53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25"/>
      <c r="AH323" s="26"/>
      <c r="AI323" s="7"/>
      <c r="AJ323" s="7"/>
      <c r="AK323" s="20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</row>
    <row r="324" spans="1:53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25"/>
      <c r="AH324" s="26"/>
      <c r="AI324" s="7"/>
      <c r="AJ324" s="7"/>
      <c r="AK324" s="20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</row>
    <row r="325" spans="1:53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25"/>
      <c r="AH325" s="26"/>
      <c r="AI325" s="7"/>
      <c r="AJ325" s="7"/>
      <c r="AK325" s="20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</row>
    <row r="326" spans="1:53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25"/>
      <c r="AH326" s="26"/>
      <c r="AI326" s="7"/>
      <c r="AJ326" s="7"/>
      <c r="AK326" s="20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</row>
    <row r="327" spans="1:53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25"/>
      <c r="AH327" s="26"/>
      <c r="AI327" s="7"/>
      <c r="AJ327" s="7"/>
      <c r="AK327" s="20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</row>
    <row r="328" spans="1:53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25"/>
      <c r="AH328" s="26"/>
      <c r="AI328" s="7"/>
      <c r="AJ328" s="7"/>
      <c r="AK328" s="20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</row>
    <row r="329" spans="1:53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25"/>
      <c r="AH329" s="26"/>
      <c r="AI329" s="7"/>
      <c r="AJ329" s="7"/>
      <c r="AK329" s="20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</row>
    <row r="330" spans="1:53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25"/>
      <c r="AH330" s="26"/>
      <c r="AI330" s="7"/>
      <c r="AJ330" s="7"/>
      <c r="AK330" s="20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</row>
    <row r="331" spans="1:53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25"/>
      <c r="AH331" s="26"/>
      <c r="AI331" s="7"/>
      <c r="AJ331" s="7"/>
      <c r="AK331" s="20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</row>
    <row r="332" spans="1:53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25"/>
      <c r="AH332" s="26"/>
      <c r="AI332" s="7"/>
      <c r="AJ332" s="7"/>
      <c r="AK332" s="20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</row>
    <row r="333" spans="1:53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25"/>
      <c r="AH333" s="26"/>
      <c r="AI333" s="7"/>
      <c r="AJ333" s="7"/>
      <c r="AK333" s="20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</row>
    <row r="334" spans="1:53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25"/>
      <c r="AH334" s="26"/>
      <c r="AI334" s="7"/>
      <c r="AJ334" s="7"/>
      <c r="AK334" s="20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</row>
    <row r="335" spans="1:53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25"/>
      <c r="AH335" s="26"/>
      <c r="AI335" s="7"/>
      <c r="AJ335" s="7"/>
      <c r="AK335" s="20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</row>
    <row r="336" spans="1:53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25"/>
      <c r="AH336" s="26"/>
      <c r="AI336" s="7"/>
      <c r="AJ336" s="7"/>
      <c r="AK336" s="20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</row>
    <row r="337" spans="1:53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25"/>
      <c r="AH337" s="26"/>
      <c r="AI337" s="7"/>
      <c r="AJ337" s="7"/>
      <c r="AK337" s="20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</row>
    <row r="338" spans="1:53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25"/>
      <c r="AH338" s="26"/>
      <c r="AI338" s="7"/>
      <c r="AJ338" s="7"/>
      <c r="AK338" s="20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</row>
    <row r="339" spans="1:53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25"/>
      <c r="AH339" s="26"/>
      <c r="AI339" s="7"/>
      <c r="AJ339" s="7"/>
      <c r="AK339" s="20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</row>
    <row r="340" spans="1:53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25"/>
      <c r="AH340" s="26"/>
      <c r="AI340" s="7"/>
      <c r="AJ340" s="7"/>
      <c r="AK340" s="20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</row>
    <row r="341" spans="1:53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25"/>
      <c r="AH341" s="26"/>
      <c r="AI341" s="7"/>
      <c r="AJ341" s="7"/>
      <c r="AK341" s="20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</row>
    <row r="342" spans="1:53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25"/>
      <c r="AH342" s="26"/>
      <c r="AI342" s="7"/>
      <c r="AJ342" s="7"/>
      <c r="AK342" s="20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</row>
    <row r="343" spans="1:53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25"/>
      <c r="AH343" s="26"/>
      <c r="AI343" s="7"/>
      <c r="AJ343" s="7"/>
      <c r="AK343" s="20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</row>
    <row r="344" spans="1:53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25"/>
      <c r="AH344" s="26"/>
      <c r="AI344" s="7"/>
      <c r="AJ344" s="7"/>
      <c r="AK344" s="20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</row>
    <row r="345" spans="1:53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25"/>
      <c r="AH345" s="26"/>
      <c r="AI345" s="7"/>
      <c r="AJ345" s="7"/>
      <c r="AK345" s="20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</row>
    <row r="346" spans="1:53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25"/>
      <c r="AH346" s="26"/>
      <c r="AI346" s="7"/>
      <c r="AJ346" s="7"/>
      <c r="AK346" s="20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</row>
    <row r="347" spans="1:53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25"/>
      <c r="AH347" s="26"/>
      <c r="AI347" s="7"/>
      <c r="AJ347" s="7"/>
      <c r="AK347" s="20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</row>
    <row r="348" spans="1:53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25"/>
      <c r="AH348" s="26"/>
      <c r="AI348" s="7"/>
      <c r="AJ348" s="7"/>
      <c r="AK348" s="20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</row>
    <row r="349" spans="1:53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25"/>
      <c r="AH349" s="26"/>
      <c r="AI349" s="7"/>
      <c r="AJ349" s="7"/>
      <c r="AK349" s="20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</row>
    <row r="350" spans="1:53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25"/>
      <c r="AH350" s="26"/>
      <c r="AI350" s="7"/>
      <c r="AJ350" s="7"/>
      <c r="AK350" s="20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</row>
    <row r="351" spans="1:53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25"/>
      <c r="AH351" s="26"/>
      <c r="AI351" s="7"/>
      <c r="AJ351" s="7"/>
      <c r="AK351" s="20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</row>
    <row r="352" spans="1:53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25"/>
      <c r="AH352" s="26"/>
      <c r="AI352" s="7"/>
      <c r="AJ352" s="7"/>
      <c r="AK352" s="20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</row>
    <row r="353" spans="1:53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25"/>
      <c r="AH353" s="26"/>
      <c r="AI353" s="7"/>
      <c r="AJ353" s="7"/>
      <c r="AK353" s="20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</row>
    <row r="354" spans="1:53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25"/>
      <c r="AH354" s="26"/>
      <c r="AI354" s="7"/>
      <c r="AJ354" s="7"/>
      <c r="AK354" s="20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</row>
    <row r="355" spans="1:53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25"/>
      <c r="AH355" s="26"/>
      <c r="AI355" s="7"/>
      <c r="AJ355" s="7"/>
      <c r="AK355" s="20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</row>
    <row r="356" spans="1:53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25"/>
      <c r="AH356" s="26"/>
      <c r="AI356" s="7"/>
      <c r="AJ356" s="7"/>
      <c r="AK356" s="20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</row>
    <row r="357" spans="1:53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25"/>
      <c r="AH357" s="26"/>
      <c r="AI357" s="7"/>
      <c r="AJ357" s="7"/>
      <c r="AK357" s="20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</row>
    <row r="358" spans="1:53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25"/>
      <c r="AH358" s="26"/>
      <c r="AI358" s="7"/>
      <c r="AJ358" s="7"/>
      <c r="AK358" s="20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</row>
    <row r="359" spans="1:53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25"/>
      <c r="AH359" s="26"/>
      <c r="AI359" s="7"/>
      <c r="AJ359" s="7"/>
      <c r="AK359" s="20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</row>
    <row r="360" spans="1:53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25"/>
      <c r="AH360" s="26"/>
      <c r="AI360" s="7"/>
      <c r="AJ360" s="7"/>
      <c r="AK360" s="20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</row>
    <row r="361" spans="1:53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25"/>
      <c r="AH361" s="26"/>
      <c r="AI361" s="7"/>
      <c r="AJ361" s="7"/>
      <c r="AK361" s="20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</row>
    <row r="362" spans="1:53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25"/>
      <c r="AH362" s="26"/>
      <c r="AI362" s="7"/>
      <c r="AJ362" s="7"/>
      <c r="AK362" s="20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</row>
    <row r="363" spans="1:53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25"/>
      <c r="AH363" s="26"/>
      <c r="AI363" s="7"/>
      <c r="AJ363" s="7"/>
      <c r="AK363" s="20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</row>
    <row r="364" spans="1:53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25"/>
      <c r="AH364" s="26"/>
      <c r="AI364" s="7"/>
      <c r="AJ364" s="7"/>
      <c r="AK364" s="20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</row>
    <row r="365" spans="1:53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25"/>
      <c r="AH365" s="26"/>
      <c r="AI365" s="7"/>
      <c r="AJ365" s="7"/>
      <c r="AK365" s="20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</row>
    <row r="366" spans="1:53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25"/>
      <c r="AH366" s="26"/>
      <c r="AI366" s="7"/>
      <c r="AJ366" s="7"/>
      <c r="AK366" s="20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</row>
    <row r="367" spans="1:53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25"/>
      <c r="AH367" s="26"/>
      <c r="AI367" s="7"/>
      <c r="AJ367" s="7"/>
      <c r="AK367" s="20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</row>
    <row r="368" spans="1:53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25"/>
      <c r="AH368" s="26"/>
      <c r="AI368" s="7"/>
      <c r="AJ368" s="7"/>
      <c r="AK368" s="20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</row>
    <row r="369" spans="1:53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25"/>
      <c r="AH369" s="26"/>
      <c r="AI369" s="7"/>
      <c r="AJ369" s="7"/>
      <c r="AK369" s="20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</row>
    <row r="370" spans="1:53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25"/>
      <c r="AH370" s="26"/>
      <c r="AI370" s="7"/>
      <c r="AJ370" s="7"/>
      <c r="AK370" s="20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</row>
    <row r="371" spans="1:53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25"/>
      <c r="AH371" s="26"/>
      <c r="AI371" s="7"/>
      <c r="AJ371" s="7"/>
      <c r="AK371" s="20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</row>
    <row r="372" spans="1:53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25"/>
      <c r="AH372" s="26"/>
      <c r="AI372" s="7"/>
      <c r="AJ372" s="7"/>
      <c r="AK372" s="20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</row>
    <row r="373" spans="1:53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25"/>
      <c r="AH373" s="26"/>
      <c r="AI373" s="7"/>
      <c r="AJ373" s="7"/>
      <c r="AK373" s="20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</row>
    <row r="374" spans="1:53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25"/>
      <c r="AH374" s="26"/>
      <c r="AI374" s="7"/>
      <c r="AJ374" s="7"/>
      <c r="AK374" s="20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</row>
    <row r="375" spans="1:53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25"/>
      <c r="AH375" s="26"/>
      <c r="AI375" s="7"/>
      <c r="AJ375" s="7"/>
      <c r="AK375" s="20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</row>
    <row r="376" spans="1:53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25"/>
      <c r="AH376" s="26"/>
      <c r="AI376" s="7"/>
      <c r="AJ376" s="7"/>
      <c r="AK376" s="20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</row>
    <row r="377" spans="1:53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25"/>
      <c r="AH377" s="26"/>
      <c r="AI377" s="7"/>
      <c r="AJ377" s="7"/>
      <c r="AK377" s="20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</row>
    <row r="378" spans="1:53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25"/>
      <c r="AH378" s="26"/>
      <c r="AI378" s="7"/>
      <c r="AJ378" s="7"/>
      <c r="AK378" s="20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</row>
    <row r="379" spans="1:53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25"/>
      <c r="AH379" s="26"/>
      <c r="AI379" s="7"/>
      <c r="AJ379" s="7"/>
      <c r="AK379" s="20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</row>
    <row r="380" spans="1:53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25"/>
      <c r="AH380" s="26"/>
      <c r="AI380" s="7"/>
      <c r="AJ380" s="7"/>
      <c r="AK380" s="20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</row>
    <row r="381" spans="1:53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25"/>
      <c r="AH381" s="26"/>
      <c r="AI381" s="7"/>
      <c r="AJ381" s="7"/>
      <c r="AK381" s="20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</row>
    <row r="382" spans="1:53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25"/>
      <c r="AH382" s="26"/>
      <c r="AI382" s="7"/>
      <c r="AJ382" s="7"/>
      <c r="AK382" s="20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</row>
    <row r="383" spans="1:53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25"/>
      <c r="AH383" s="26"/>
      <c r="AI383" s="7"/>
      <c r="AJ383" s="7"/>
      <c r="AK383" s="20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</row>
    <row r="384" spans="1:53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25"/>
      <c r="AH384" s="26"/>
      <c r="AI384" s="7"/>
      <c r="AJ384" s="7"/>
      <c r="AK384" s="20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</row>
    <row r="385" spans="1:53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25"/>
      <c r="AH385" s="26"/>
      <c r="AI385" s="7"/>
      <c r="AJ385" s="7"/>
      <c r="AK385" s="20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</row>
    <row r="386" spans="1:53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25"/>
      <c r="AH386" s="26"/>
      <c r="AI386" s="7"/>
      <c r="AJ386" s="7"/>
      <c r="AK386" s="20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</row>
    <row r="387" spans="1:53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25"/>
      <c r="AH387" s="26"/>
      <c r="AI387" s="7"/>
      <c r="AJ387" s="7"/>
      <c r="AK387" s="20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</row>
    <row r="388" spans="1:53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25"/>
      <c r="AH388" s="26"/>
      <c r="AI388" s="7"/>
      <c r="AJ388" s="7"/>
      <c r="AK388" s="20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 spans="1:53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25"/>
      <c r="AH389" s="26"/>
      <c r="AI389" s="7"/>
      <c r="AJ389" s="7"/>
      <c r="AK389" s="20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</row>
    <row r="390" spans="1:53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25"/>
      <c r="AH390" s="26"/>
      <c r="AI390" s="7"/>
      <c r="AJ390" s="7"/>
      <c r="AK390" s="20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</row>
    <row r="391" spans="1:53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25"/>
      <c r="AH391" s="26"/>
      <c r="AI391" s="7"/>
      <c r="AJ391" s="7"/>
      <c r="AK391" s="20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</row>
    <row r="392" spans="1:53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25"/>
      <c r="AH392" s="26"/>
      <c r="AI392" s="7"/>
      <c r="AJ392" s="7"/>
      <c r="AK392" s="20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</row>
    <row r="393" spans="1:53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25"/>
      <c r="AH393" s="26"/>
      <c r="AI393" s="7"/>
      <c r="AJ393" s="7"/>
      <c r="AK393" s="20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</row>
    <row r="394" spans="1:53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25"/>
      <c r="AH394" s="26"/>
      <c r="AI394" s="7"/>
      <c r="AJ394" s="7"/>
      <c r="AK394" s="20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</row>
    <row r="395" spans="1:53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25"/>
      <c r="AH395" s="26"/>
      <c r="AI395" s="7"/>
      <c r="AJ395" s="7"/>
      <c r="AK395" s="20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</row>
    <row r="396" spans="1:53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25"/>
      <c r="AH396" s="26"/>
      <c r="AI396" s="7"/>
      <c r="AJ396" s="7"/>
      <c r="AK396" s="20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</row>
    <row r="397" spans="1:53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25"/>
      <c r="AH397" s="26"/>
      <c r="AI397" s="7"/>
      <c r="AJ397" s="7"/>
      <c r="AK397" s="20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</row>
    <row r="398" spans="1:53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25"/>
      <c r="AH398" s="26"/>
      <c r="AI398" s="7"/>
      <c r="AJ398" s="7"/>
      <c r="AK398" s="20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</row>
    <row r="399" spans="1:53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25"/>
      <c r="AH399" s="26"/>
      <c r="AI399" s="7"/>
      <c r="AJ399" s="7"/>
      <c r="AK399" s="20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</row>
    <row r="400" spans="1:53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25"/>
      <c r="AH400" s="26"/>
      <c r="AI400" s="7"/>
      <c r="AJ400" s="7"/>
      <c r="AK400" s="20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</row>
    <row r="401" spans="1:53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25"/>
      <c r="AH401" s="26"/>
      <c r="AI401" s="7"/>
      <c r="AJ401" s="7"/>
      <c r="AK401" s="20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</row>
    <row r="402" spans="1:53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25"/>
      <c r="AH402" s="26"/>
      <c r="AI402" s="7"/>
      <c r="AJ402" s="7"/>
      <c r="AK402" s="20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</row>
    <row r="403" spans="1:53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25"/>
      <c r="AH403" s="26"/>
      <c r="AI403" s="7"/>
      <c r="AJ403" s="7"/>
      <c r="AK403" s="20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</row>
    <row r="404" spans="1:53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25"/>
      <c r="AH404" s="26"/>
      <c r="AI404" s="7"/>
      <c r="AJ404" s="7"/>
      <c r="AK404" s="20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</row>
    <row r="405" spans="1:53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25"/>
      <c r="AH405" s="26"/>
      <c r="AI405" s="7"/>
      <c r="AJ405" s="7"/>
      <c r="AK405" s="20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</row>
    <row r="406" spans="1:53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25"/>
      <c r="AH406" s="26"/>
      <c r="AI406" s="7"/>
      <c r="AJ406" s="7"/>
      <c r="AK406" s="20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</row>
    <row r="407" spans="1:53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25"/>
      <c r="AH407" s="26"/>
      <c r="AI407" s="7"/>
      <c r="AJ407" s="7"/>
      <c r="AK407" s="20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</row>
    <row r="408" spans="1:53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25"/>
      <c r="AH408" s="26"/>
      <c r="AI408" s="7"/>
      <c r="AJ408" s="7"/>
      <c r="AK408" s="20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</row>
    <row r="409" spans="1:53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25"/>
      <c r="AH409" s="26"/>
      <c r="AI409" s="7"/>
      <c r="AJ409" s="7"/>
      <c r="AK409" s="20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</row>
    <row r="410" spans="1:53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25"/>
      <c r="AH410" s="26"/>
      <c r="AI410" s="7"/>
      <c r="AJ410" s="7"/>
      <c r="AK410" s="20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</row>
    <row r="411" spans="1:53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25"/>
      <c r="AH411" s="26"/>
      <c r="AI411" s="7"/>
      <c r="AJ411" s="7"/>
      <c r="AK411" s="20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</row>
    <row r="412" spans="1:53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25"/>
      <c r="AH412" s="26"/>
      <c r="AI412" s="7"/>
      <c r="AJ412" s="7"/>
      <c r="AK412" s="20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</row>
    <row r="413" spans="1:53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25"/>
      <c r="AH413" s="26"/>
      <c r="AI413" s="7"/>
      <c r="AJ413" s="7"/>
      <c r="AK413" s="20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</row>
    <row r="414" spans="1:53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25"/>
      <c r="AH414" s="26"/>
      <c r="AI414" s="7"/>
      <c r="AJ414" s="7"/>
      <c r="AK414" s="20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</row>
    <row r="415" spans="1:53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25"/>
      <c r="AH415" s="26"/>
      <c r="AI415" s="7"/>
      <c r="AJ415" s="7"/>
      <c r="AK415" s="20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</row>
    <row r="416" spans="1:53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25"/>
      <c r="AH416" s="26"/>
      <c r="AI416" s="7"/>
      <c r="AJ416" s="7"/>
      <c r="AK416" s="20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</row>
    <row r="417" spans="1:53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25"/>
      <c r="AH417" s="26"/>
      <c r="AI417" s="7"/>
      <c r="AJ417" s="7"/>
      <c r="AK417" s="20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</row>
    <row r="418" spans="1:53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25"/>
      <c r="AH418" s="26"/>
      <c r="AI418" s="7"/>
      <c r="AJ418" s="7"/>
      <c r="AK418" s="20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</row>
    <row r="419" spans="1:53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25"/>
      <c r="AH419" s="26"/>
      <c r="AI419" s="7"/>
      <c r="AJ419" s="7"/>
      <c r="AK419" s="20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</row>
    <row r="420" spans="1:53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25"/>
      <c r="AH420" s="26"/>
      <c r="AI420" s="7"/>
      <c r="AJ420" s="7"/>
      <c r="AK420" s="20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</row>
    <row r="421" spans="1:53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25"/>
      <c r="AH421" s="26"/>
      <c r="AI421" s="7"/>
      <c r="AJ421" s="7"/>
      <c r="AK421" s="20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</row>
    <row r="422" spans="1:53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25"/>
      <c r="AH422" s="26"/>
      <c r="AI422" s="7"/>
      <c r="AJ422" s="7"/>
      <c r="AK422" s="20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</row>
    <row r="423" spans="1:53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25"/>
      <c r="AH423" s="26"/>
      <c r="AI423" s="7"/>
      <c r="AJ423" s="7"/>
      <c r="AK423" s="20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</row>
    <row r="424" spans="1:53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25"/>
      <c r="AH424" s="26"/>
      <c r="AI424" s="7"/>
      <c r="AJ424" s="7"/>
      <c r="AK424" s="20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</row>
    <row r="425" spans="1:53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25"/>
      <c r="AH425" s="26"/>
      <c r="AI425" s="7"/>
      <c r="AJ425" s="7"/>
      <c r="AK425" s="20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</row>
    <row r="426" spans="1:53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25"/>
      <c r="AH426" s="26"/>
      <c r="AI426" s="7"/>
      <c r="AJ426" s="7"/>
      <c r="AK426" s="20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</row>
    <row r="427" spans="1:53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25"/>
      <c r="AH427" s="26"/>
      <c r="AI427" s="7"/>
      <c r="AJ427" s="7"/>
      <c r="AK427" s="20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</row>
    <row r="428" spans="1:53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25"/>
      <c r="AH428" s="26"/>
      <c r="AI428" s="7"/>
      <c r="AJ428" s="7"/>
      <c r="AK428" s="20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</row>
    <row r="429" spans="1:53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25"/>
      <c r="AH429" s="26"/>
      <c r="AI429" s="7"/>
      <c r="AJ429" s="7"/>
      <c r="AK429" s="20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</row>
    <row r="430" spans="1:53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25"/>
      <c r="AH430" s="26"/>
      <c r="AI430" s="7"/>
      <c r="AJ430" s="7"/>
      <c r="AK430" s="20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</row>
    <row r="431" spans="1:53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25"/>
      <c r="AH431" s="26"/>
      <c r="AI431" s="7"/>
      <c r="AJ431" s="7"/>
      <c r="AK431" s="20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</row>
    <row r="432" spans="1:53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25"/>
      <c r="AH432" s="26"/>
      <c r="AI432" s="7"/>
      <c r="AJ432" s="7"/>
      <c r="AK432" s="20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</row>
    <row r="433" spans="1:53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25"/>
      <c r="AH433" s="26"/>
      <c r="AI433" s="7"/>
      <c r="AJ433" s="7"/>
      <c r="AK433" s="20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</row>
    <row r="434" spans="1:53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25"/>
      <c r="AH434" s="26"/>
      <c r="AI434" s="7"/>
      <c r="AJ434" s="7"/>
      <c r="AK434" s="20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</row>
    <row r="435" spans="1:53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25"/>
      <c r="AH435" s="26"/>
      <c r="AI435" s="7"/>
      <c r="AJ435" s="7"/>
      <c r="AK435" s="20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</row>
    <row r="436" spans="1:53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25"/>
      <c r="AH436" s="26"/>
      <c r="AI436" s="7"/>
      <c r="AJ436" s="7"/>
      <c r="AK436" s="20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</row>
    <row r="437" spans="1:53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25"/>
      <c r="AH437" s="26"/>
      <c r="AI437" s="7"/>
      <c r="AJ437" s="7"/>
      <c r="AK437" s="20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</row>
    <row r="438" spans="1:53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25"/>
      <c r="AH438" s="26"/>
      <c r="AI438" s="7"/>
      <c r="AJ438" s="7"/>
      <c r="AK438" s="20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</row>
    <row r="439" spans="1:53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25"/>
      <c r="AH439" s="26"/>
      <c r="AI439" s="7"/>
      <c r="AJ439" s="7"/>
      <c r="AK439" s="20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</row>
    <row r="440" spans="1:53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25"/>
      <c r="AH440" s="26"/>
      <c r="AI440" s="7"/>
      <c r="AJ440" s="7"/>
      <c r="AK440" s="20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</row>
    <row r="441" spans="1:53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25"/>
      <c r="AH441" s="26"/>
      <c r="AI441" s="7"/>
      <c r="AJ441" s="7"/>
      <c r="AK441" s="20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</row>
    <row r="442" spans="1:53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25"/>
      <c r="AH442" s="26"/>
      <c r="AI442" s="7"/>
      <c r="AJ442" s="7"/>
      <c r="AK442" s="20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</row>
    <row r="443" spans="1:53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25"/>
      <c r="AH443" s="26"/>
      <c r="AI443" s="7"/>
      <c r="AJ443" s="7"/>
      <c r="AK443" s="20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</row>
    <row r="444" spans="1:53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25"/>
      <c r="AH444" s="26"/>
      <c r="AI444" s="7"/>
      <c r="AJ444" s="7"/>
      <c r="AK444" s="20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</row>
    <row r="445" spans="1:53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25"/>
      <c r="AH445" s="26"/>
      <c r="AI445" s="7"/>
      <c r="AJ445" s="7"/>
      <c r="AK445" s="20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</row>
    <row r="446" spans="1:53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25"/>
      <c r="AH446" s="26"/>
      <c r="AI446" s="7"/>
      <c r="AJ446" s="7"/>
      <c r="AK446" s="20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</row>
    <row r="447" spans="1:53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25"/>
      <c r="AH447" s="26"/>
      <c r="AI447" s="7"/>
      <c r="AJ447" s="7"/>
      <c r="AK447" s="20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</row>
    <row r="448" spans="1:53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25"/>
      <c r="AH448" s="26"/>
      <c r="AI448" s="7"/>
      <c r="AJ448" s="7"/>
      <c r="AK448" s="20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</row>
    <row r="449" spans="1:53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25"/>
      <c r="AH449" s="26"/>
      <c r="AI449" s="7"/>
      <c r="AJ449" s="7"/>
      <c r="AK449" s="20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</row>
    <row r="450" spans="1:53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25"/>
      <c r="AH450" s="26"/>
      <c r="AI450" s="7"/>
      <c r="AJ450" s="7"/>
      <c r="AK450" s="20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</row>
    <row r="451" spans="1:53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25"/>
      <c r="AH451" s="26"/>
      <c r="AI451" s="7"/>
      <c r="AJ451" s="7"/>
      <c r="AK451" s="20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</row>
    <row r="452" spans="1:53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25"/>
      <c r="AH452" s="26"/>
      <c r="AI452" s="7"/>
      <c r="AJ452" s="7"/>
      <c r="AK452" s="20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</row>
    <row r="453" spans="1:53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25"/>
      <c r="AH453" s="26"/>
      <c r="AI453" s="7"/>
      <c r="AJ453" s="7"/>
      <c r="AK453" s="20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</row>
    <row r="454" spans="1:53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25"/>
      <c r="AH454" s="26"/>
      <c r="AI454" s="7"/>
      <c r="AJ454" s="7"/>
      <c r="AK454" s="20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</row>
    <row r="455" spans="1:53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25"/>
      <c r="AH455" s="26"/>
      <c r="AI455" s="7"/>
      <c r="AJ455" s="7"/>
      <c r="AK455" s="20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</row>
    <row r="456" spans="1:53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25"/>
      <c r="AH456" s="26"/>
      <c r="AI456" s="7"/>
      <c r="AJ456" s="7"/>
      <c r="AK456" s="20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</row>
    <row r="457" spans="1:53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25"/>
      <c r="AH457" s="26"/>
      <c r="AI457" s="7"/>
      <c r="AJ457" s="7"/>
      <c r="AK457" s="20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</row>
    <row r="458" spans="1:53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25"/>
      <c r="AH458" s="26"/>
      <c r="AI458" s="7"/>
      <c r="AJ458" s="7"/>
      <c r="AK458" s="20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</row>
    <row r="459" spans="1:53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25"/>
      <c r="AH459" s="26"/>
      <c r="AI459" s="7"/>
      <c r="AJ459" s="7"/>
      <c r="AK459" s="20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</row>
    <row r="460" spans="1:53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25"/>
      <c r="AH460" s="26"/>
      <c r="AI460" s="7"/>
      <c r="AJ460" s="7"/>
      <c r="AK460" s="20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</row>
    <row r="461" spans="1:53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25"/>
      <c r="AH461" s="26"/>
      <c r="AI461" s="7"/>
      <c r="AJ461" s="7"/>
      <c r="AK461" s="20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</row>
    <row r="462" spans="1:53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25"/>
      <c r="AH462" s="26"/>
      <c r="AI462" s="7"/>
      <c r="AJ462" s="7"/>
      <c r="AK462" s="20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</row>
    <row r="463" spans="1:53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25"/>
      <c r="AH463" s="26"/>
      <c r="AI463" s="7"/>
      <c r="AJ463" s="7"/>
      <c r="AK463" s="20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</row>
    <row r="464" spans="1:53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25"/>
      <c r="AH464" s="26"/>
      <c r="AI464" s="7"/>
      <c r="AJ464" s="7"/>
      <c r="AK464" s="20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</row>
    <row r="465" spans="1:53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25"/>
      <c r="AH465" s="26"/>
      <c r="AI465" s="7"/>
      <c r="AJ465" s="7"/>
      <c r="AK465" s="20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</row>
    <row r="466" spans="1:53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25"/>
      <c r="AH466" s="26"/>
      <c r="AI466" s="7"/>
      <c r="AJ466" s="7"/>
      <c r="AK466" s="20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</row>
    <row r="467" spans="1:53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25"/>
      <c r="AH467" s="26"/>
      <c r="AI467" s="7"/>
      <c r="AJ467" s="7"/>
      <c r="AK467" s="20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</row>
    <row r="468" spans="1:53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25"/>
      <c r="AH468" s="26"/>
      <c r="AI468" s="7"/>
      <c r="AJ468" s="7"/>
      <c r="AK468" s="20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</row>
    <row r="469" spans="1:53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25"/>
      <c r="AH469" s="26"/>
      <c r="AI469" s="7"/>
      <c r="AJ469" s="7"/>
      <c r="AK469" s="20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</row>
    <row r="470" spans="1:53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25"/>
      <c r="AH470" s="26"/>
      <c r="AI470" s="7"/>
      <c r="AJ470" s="7"/>
      <c r="AK470" s="20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</row>
    <row r="471" spans="1:53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25"/>
      <c r="AH471" s="26"/>
      <c r="AI471" s="7"/>
      <c r="AJ471" s="7"/>
      <c r="AK471" s="20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</row>
    <row r="472" spans="1:53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25"/>
      <c r="AH472" s="26"/>
      <c r="AI472" s="7"/>
      <c r="AJ472" s="7"/>
      <c r="AK472" s="20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</row>
    <row r="473" spans="1:53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25"/>
      <c r="AH473" s="26"/>
      <c r="AI473" s="7"/>
      <c r="AJ473" s="7"/>
      <c r="AK473" s="20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</row>
    <row r="474" spans="1:53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25"/>
      <c r="AH474" s="26"/>
      <c r="AI474" s="7"/>
      <c r="AJ474" s="7"/>
      <c r="AK474" s="20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</row>
    <row r="475" spans="1:53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25"/>
      <c r="AH475" s="26"/>
      <c r="AI475" s="7"/>
      <c r="AJ475" s="7"/>
      <c r="AK475" s="20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</row>
    <row r="476" spans="1:53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25"/>
      <c r="AH476" s="26"/>
      <c r="AI476" s="7"/>
      <c r="AJ476" s="7"/>
      <c r="AK476" s="20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</row>
    <row r="477" spans="1:53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25"/>
      <c r="AH477" s="26"/>
      <c r="AI477" s="7"/>
      <c r="AJ477" s="7"/>
      <c r="AK477" s="20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</row>
    <row r="478" spans="1:53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25"/>
      <c r="AH478" s="26"/>
      <c r="AI478" s="7"/>
      <c r="AJ478" s="7"/>
      <c r="AK478" s="20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</row>
    <row r="479" spans="1:53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25"/>
      <c r="AH479" s="26"/>
      <c r="AI479" s="7"/>
      <c r="AJ479" s="7"/>
      <c r="AK479" s="20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</row>
    <row r="480" spans="1:53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25"/>
      <c r="AH480" s="26"/>
      <c r="AI480" s="7"/>
      <c r="AJ480" s="7"/>
      <c r="AK480" s="20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</row>
    <row r="481" spans="1:53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25"/>
      <c r="AH481" s="26"/>
      <c r="AI481" s="7"/>
      <c r="AJ481" s="7"/>
      <c r="AK481" s="20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</row>
    <row r="482" spans="1:53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25"/>
      <c r="AH482" s="26"/>
      <c r="AI482" s="7"/>
      <c r="AJ482" s="7"/>
      <c r="AK482" s="20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</row>
    <row r="483" spans="1:53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25"/>
      <c r="AH483" s="26"/>
      <c r="AI483" s="7"/>
      <c r="AJ483" s="7"/>
      <c r="AK483" s="20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</row>
    <row r="484" spans="1:53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25"/>
      <c r="AH484" s="26"/>
      <c r="AI484" s="7"/>
      <c r="AJ484" s="7"/>
      <c r="AK484" s="20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</row>
    <row r="485" spans="1:53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25"/>
      <c r="AH485" s="26"/>
      <c r="AI485" s="7"/>
      <c r="AJ485" s="7"/>
      <c r="AK485" s="20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</row>
    <row r="486" spans="1:53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25"/>
      <c r="AH486" s="26"/>
      <c r="AI486" s="7"/>
      <c r="AJ486" s="7"/>
      <c r="AK486" s="20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</row>
    <row r="487" spans="1:53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25"/>
      <c r="AH487" s="26"/>
      <c r="AI487" s="7"/>
      <c r="AJ487" s="7"/>
      <c r="AK487" s="20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</row>
    <row r="488" spans="1:53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25"/>
      <c r="AH488" s="26"/>
      <c r="AI488" s="7"/>
      <c r="AJ488" s="7"/>
      <c r="AK488" s="20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</row>
    <row r="489" spans="1:53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25"/>
      <c r="AH489" s="26"/>
      <c r="AI489" s="7"/>
      <c r="AJ489" s="7"/>
      <c r="AK489" s="20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</row>
    <row r="490" spans="1:53" x14ac:dyDescent="0.25">
      <c r="AG490" s="25"/>
      <c r="AH490" s="26"/>
      <c r="AI490" s="7"/>
    </row>
    <row r="491" spans="1:53" x14ac:dyDescent="0.25">
      <c r="AG491" s="25"/>
      <c r="AH491" s="26"/>
      <c r="AI491" s="7"/>
    </row>
    <row r="492" spans="1:53" x14ac:dyDescent="0.25">
      <c r="AG492" s="25"/>
      <c r="AH492" s="26"/>
      <c r="AI492" s="7"/>
    </row>
    <row r="493" spans="1:53" x14ac:dyDescent="0.25">
      <c r="AG493" s="25"/>
      <c r="AH493" s="26"/>
      <c r="AI493" s="7"/>
    </row>
    <row r="494" spans="1:53" x14ac:dyDescent="0.25">
      <c r="AG494" s="25"/>
      <c r="AH494" s="26"/>
      <c r="AI494" s="7"/>
    </row>
    <row r="495" spans="1:53" x14ac:dyDescent="0.25">
      <c r="AG495" s="25"/>
      <c r="AH495" s="26"/>
      <c r="AI495" s="7"/>
    </row>
  </sheetData>
  <autoFilter ref="A3:AF3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2026-01-12T08:10:53Z</dcterms:created>
  <dcterms:modified xsi:type="dcterms:W3CDTF">2026-01-21T08:13:30Z</dcterms:modified>
</cp:coreProperties>
</file>