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1,01,26 Мираторг КИ Ташкент\"/>
    </mc:Choice>
  </mc:AlternateContent>
  <xr:revisionPtr revIDLastSave="0" documentId="13_ncr:1_{CB219CD8-E954-4526-8D84-46F8583C1731}" xr6:coauthVersionLast="45" xr6:coauthVersionMax="47" xr10:uidLastSave="{00000000-0000-0000-0000-000000000000}"/>
  <bookViews>
    <workbookView xWindow="-120" yWindow="-120" windowWidth="29040" windowHeight="15840" xr2:uid="{99DD3BF1-62F9-4FCE-87EB-B780BA3801EE}"/>
  </bookViews>
  <sheets>
    <sheet name="Ассортимент 2026г" sheetId="2" r:id="rId1"/>
  </sheets>
  <definedNames>
    <definedName name="_xlnm._FilterDatabase" localSheetId="0" hidden="1">'Ассортимент 2026г'!$A$6:$O$37</definedName>
    <definedName name="Срез_ТН2111">#N/A</definedName>
  </definedName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65" i="2" l="1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5" i="2" l="1"/>
</calcChain>
</file>

<file path=xl/sharedStrings.xml><?xml version="1.0" encoding="utf-8"?>
<sst xmlns="http://schemas.openxmlformats.org/spreadsheetml/2006/main" count="315" uniqueCount="93">
  <si>
    <t>Артикул</t>
  </si>
  <si>
    <t>Наименование</t>
  </si>
  <si>
    <t>ТН</t>
  </si>
  <si>
    <t>Сегмент</t>
  </si>
  <si>
    <t>Завод-производитель</t>
  </si>
  <si>
    <t>ЕИ</t>
  </si>
  <si>
    <t>Вес, ЕИ</t>
  </si>
  <si>
    <t>Вес коробки кг</t>
  </si>
  <si>
    <t>СГ</t>
  </si>
  <si>
    <t xml:space="preserve">ТНВЭД коды </t>
  </si>
  <si>
    <t>Заказ в коробах</t>
  </si>
  <si>
    <t>Заказ в КГ</t>
  </si>
  <si>
    <t>МХБ Колбаса вареная Молочная п/а ОХЛ 470*6 (2,82 кг) ООО "Мираторг-Курск" РОССИЯ</t>
  </si>
  <si>
    <t>КОЛБАСА</t>
  </si>
  <si>
    <t>ВАРЕНАЯ КОЛБАСА</t>
  </si>
  <si>
    <t>МХБ Курск</t>
  </si>
  <si>
    <t>Шт</t>
  </si>
  <si>
    <t>МХБ Колбаса вареная Филейная п/а ОХЛ 400г*6 (2,4кг) ООО "Мираторг-Курск" РОССИЯ</t>
  </si>
  <si>
    <t>МХБ Колбаса вареная Классическая ОХЛ п/а 470г*6 (2,82кг) ООО "Мираторг-Курск" РОССИЯ</t>
  </si>
  <si>
    <t>СЫРОКОПЧЕНАЯ КОЛБАСА</t>
  </si>
  <si>
    <t>ВАРЕНО-КОПЧЕНАЯ</t>
  </si>
  <si>
    <t>ВЕТЧИНЫ</t>
  </si>
  <si>
    <t>МХБ Ветчина Сочная п/а ОХЛ 400*6 (2,4 кг )ООО "Мираторг-Курск" РОССИЯ</t>
  </si>
  <si>
    <t>МХБ Мясной продукт из свинины сырокопченый Бекон  ОХЛ ВУ 200г*10 (2 кг) ООО "Мираторг-Курск" РОССИЯ</t>
  </si>
  <si>
    <t>НАРЕЗКА</t>
  </si>
  <si>
    <t>МХБ Колбаса сырокопченая Брауншвейгская нарезка охл ГЗМС 100г*10 (1,0 кг) ООО "Мираторг-Курск" РОССИЯ</t>
  </si>
  <si>
    <t>МХБ Сухиничи из куриного филе ОХЛ ГЗМС 40г*10 (0,4кг) ООО "Мираторг-Курск" Россия</t>
  </si>
  <si>
    <t>ЧИПСЫ МЯСНЫЕ</t>
  </si>
  <si>
    <t>МХБ Сухиничи из мраморной говядины ОХЛ ГЗМС 40г*10 (0,4кг) ООО "Мираторг-Курск" Россия</t>
  </si>
  <si>
    <t>МХБ Сухиничи из свинины классические ОХЛ ГЗМС 40г*10 (0,4кг) ООО "Мираторг-Курск" Россия</t>
  </si>
  <si>
    <t>МХБ Колбаса вар. Докторская п/а 400г</t>
  </si>
  <si>
    <t>МХБ Колбаса Филейная охл п/а 350*6</t>
  </si>
  <si>
    <t>СОСИСКИ</t>
  </si>
  <si>
    <t>МХБ Сосис "Оригинальные" п/а ОХЛ ГЗМС 350*6</t>
  </si>
  <si>
    <t>МХБ Сосиски Сочные охл п/а 350*6</t>
  </si>
  <si>
    <t>МХБ Набор с/к колбас ГОСТ нар 100г*10</t>
  </si>
  <si>
    <t>МХБ Сосиски Нежные п/а охл 350г*6 (45)</t>
  </si>
  <si>
    <t>МХБ Колб ск Неаполитано ГЗМС ОХЛ 100г*10</t>
  </si>
  <si>
    <t>ЗКБ Брянск</t>
  </si>
  <si>
    <t>МХБ Сосиски Молочные ц/о ОХЛ 400г*6 (2,4кг) ООО "Мираторг-Курск" РОССИЯ</t>
  </si>
  <si>
    <t>ЗКБ Цыпленок тушеный стекло охл 350*4</t>
  </si>
  <si>
    <t>КОНСЕРВАЦИЯ</t>
  </si>
  <si>
    <t>ЗКБ Свинина тушеная стекло охл 350*4</t>
  </si>
  <si>
    <t>ЗКБ Говядина тушеная стекло охл 350*4</t>
  </si>
  <si>
    <t>МХБ Колбаса ск Салями нар охл 100г*10</t>
  </si>
  <si>
    <t>МХБ Колбаса с/к Куршская нар 100г*10</t>
  </si>
  <si>
    <t>МХБ Колбаса с/к Сальчичон нар 100г*10</t>
  </si>
  <si>
    <t>МХБ Коппа с/к нарезка ОХЛ ГЗМС 100г*10</t>
  </si>
  <si>
    <t>МХБ Ветчина Парма ск нар ГЗМС 100г*10</t>
  </si>
  <si>
    <t>МХБ Прошутто ск нар ГЗМС 100г*10</t>
  </si>
  <si>
    <t>МХБ Сосис Венские ОХЛ ГЗМС 350г*6(2,1кг)</t>
  </si>
  <si>
    <t>МХБ Сос Баварские ОХЛ ГЗМС 350г*6(2,1кг)</t>
  </si>
  <si>
    <t>МХБ Колб ск Тапас ОХЛ ГЗМС 70г*10</t>
  </si>
  <si>
    <t>МХБ Сосиски Мини ОХЛ ГЗМС 475г*4</t>
  </si>
  <si>
    <t>КП Сосиски Ита с беконом ОХЛ ГЗМС 350г*6</t>
  </si>
  <si>
    <t>КП Колб вк Черная Бергамо ВУ ОХЛ 280г*6</t>
  </si>
  <si>
    <t>КП Сосиски Ита с сыром ОХЛ ГЗМС 350г*6</t>
  </si>
  <si>
    <t>КП Колбаски ск Тапас с чили ОХЛ 50г*12</t>
  </si>
  <si>
    <t>КП Сухиничи из куриного филе Манго-чили</t>
  </si>
  <si>
    <t>МХБ Колбаса вк Сервелат ГОСТ охл 300г*6</t>
  </si>
  <si>
    <t>КП сервелат в/к Коньячный ОХЛ ВУ 300г*6</t>
  </si>
  <si>
    <t>ЗКБ Томленая мраморная говядина стекло</t>
  </si>
  <si>
    <t>ЗКБ Томленая мрам.говяд.с тимьян стекло</t>
  </si>
  <si>
    <t>КП Колбаса с/к Neapolitano ВУ ОХЛ 250г*6</t>
  </si>
  <si>
    <t>КП Сервелат в/к Финский ОХЛ ВУ 300г*6</t>
  </si>
  <si>
    <t>КП Колбаса вк Балыковая ВУ охл 300г*6</t>
  </si>
  <si>
    <t>КП Колбаса в/к Московская ОХЛ ВУ 300г*6</t>
  </si>
  <si>
    <t>КП Колбаса пс Салями ВУ ОХЛ 280г*6</t>
  </si>
  <si>
    <t>КП Колбаса с/к Сальчичон ВУ ОХЛ 280г*6</t>
  </si>
  <si>
    <t>КП Грудинка кв Классическая 300г*6 (1,8 кг)</t>
  </si>
  <si>
    <t>КП Карбонад Классический ОХЛ ВУ 300г*6</t>
  </si>
  <si>
    <t>КП Колбаса ск Брауншвейгская ОХЛ 280г*6</t>
  </si>
  <si>
    <t>1602491900</t>
  </si>
  <si>
    <t>Сухиничи из свинины Шрирача ОХЛ/ГЗМС 40*10</t>
  </si>
  <si>
    <t>КП Медальоны свиные томленые ОХЛ ВУ 500г</t>
  </si>
  <si>
    <t>ТОМЛЕНОЕ МЯСО</t>
  </si>
  <si>
    <t>КП Ребрышки свиные томленые ОХЛ ВУ 500г</t>
  </si>
  <si>
    <t>1602493000</t>
  </si>
  <si>
    <t>КП Колбаса с/к Сервелат ГОСТ ОХЛ 280г*6</t>
  </si>
  <si>
    <t>1601009101</t>
  </si>
  <si>
    <t>МХБ Колбаса сырокопченая Сервелат полусухой ф/о охл 300г*6 (1,8кг) ООО "Мираторг-Курск" РОССИЯ</t>
  </si>
  <si>
    <t>МХБ Колбаса ск "Венская" ВУ ОХЛ 0,28кг*6</t>
  </si>
  <si>
    <t>КП Колбаса ск Куршская ВУ охл 280г*6</t>
  </si>
  <si>
    <t>Количество ШТ в коробе</t>
  </si>
  <si>
    <t>ЗКБ Томл баран с мож ягодой охл ст 350г</t>
  </si>
  <si>
    <t>КП Колбаса вареная С молоком па ОХЛ 400г</t>
  </si>
  <si>
    <t>1601009901</t>
  </si>
  <si>
    <t>1602909100</t>
  </si>
  <si>
    <t>ВАРЕНО-КОПЧ. ДЕЛИКАТАТЕСЫ</t>
  </si>
  <si>
    <t>1 кв 2026, руб/шт</t>
  </si>
  <si>
    <t>1 кв 2026, руб/кг</t>
  </si>
  <si>
    <t>Столбец1</t>
  </si>
  <si>
    <t>ДУБЛЬ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</si>
</sst>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b/>
      <sz val="10"/>
      <color theme="1"/>
      <name val="Aptos Narrow"/>
      <family val="2"/>
      <charset val="204"/>
      <scheme val="minor"/>
    </font>
    <font>
      <sz val="10"/>
      <name val="Aptos Narrow"/>
      <family val="2"/>
      <scheme val="minor"/>
    </font>
    <font>
      <sz val="10"/>
      <name val="Aptos Narrow"/>
      <family val="2"/>
      <charset val="204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/>
    </xf>
    <xf numFmtId="0" fontId="3" fillId="0" borderId="5" xfId="0" applyNumberFormat="1" applyFont="1" applyBorder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6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" fontId="4" fillId="3" borderId="5" xfId="0" applyNumberFormat="1" applyFont="1" applyFill="1" applyBorder="1" applyAlignment="1">
      <alignment horizontal="center"/>
    </xf>
    <xf numFmtId="4" fontId="4" fillId="3" borderId="6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/>
    </xf>
    <xf numFmtId="0" fontId="3" fillId="0" borderId="2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4" fontId="4" fillId="0" borderId="2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/>
    <xf numFmtId="0" fontId="3" fillId="0" borderId="3" xfId="0" applyFont="1" applyFill="1" applyBorder="1"/>
    <xf numFmtId="0" fontId="0" fillId="0" borderId="0" xfId="0" applyFill="1"/>
    <xf numFmtId="0" fontId="2" fillId="0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2" fontId="3" fillId="5" borderId="2" xfId="0" applyNumberFormat="1" applyFont="1" applyFill="1" applyBorder="1" applyAlignment="1">
      <alignment horizontal="center"/>
    </xf>
    <xf numFmtId="0" fontId="3" fillId="5" borderId="2" xfId="0" applyNumberFormat="1" applyFont="1" applyFill="1" applyBorder="1" applyAlignment="1">
      <alignment horizontal="center"/>
    </xf>
    <xf numFmtId="4" fontId="4" fillId="5" borderId="2" xfId="0" applyNumberFormat="1" applyFont="1" applyFill="1" applyBorder="1" applyAlignment="1">
      <alignment horizontal="center"/>
    </xf>
  </cellXfs>
  <cellStyles count="1">
    <cellStyle name="Обычный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bottom style="thin">
          <color auto="1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191988</xdr:colOff>
      <xdr:row>5</xdr:row>
      <xdr:rowOff>1500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ТН 6">
              <a:extLst>
                <a:ext uri="{FF2B5EF4-FFF2-40B4-BE49-F238E27FC236}">
                  <a16:creationId xmlns:a16="http://schemas.microsoft.com/office/drawing/2014/main" id="{518E2E0C-5AC0-48CC-A1D6-1602B8D223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ТН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8916888" cy="95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ТН2111" xr10:uid="{2046D655-4C84-4F84-A876-9976CACB7673}" sourceName="ТН">
  <extLst>
    <x:ext xmlns:x15="http://schemas.microsoft.com/office/spreadsheetml/2010/11/main" uri="{2F2917AC-EB37-4324-AD4E-5DD8C200BD13}">
      <x15:tableSlicerCache tableId="2" column="3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ТН 6" xr10:uid="{C59879CC-C7B1-4952-A529-7BB7C275C4B6}" cache="Срез_ТН2111" caption="ТН" columnCount="6" style="SlicerStyleLight3" rowHeight="2124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34838-05C1-41CF-9822-6E5AD384CFF6}" name="Прайс2кв5623" displayName="Прайс2кв5623" ref="A6:P65" totalsRowCount="1" headerRowDxfId="34" dataDxfId="32" headerRowBorderDxfId="33" tableBorderDxfId="31">
  <autoFilter ref="A6:P64" xr:uid="{6DD31734-2B62-46C9-8CDA-128F112E0755}"/>
  <sortState xmlns:xlrd2="http://schemas.microsoft.com/office/spreadsheetml/2017/richdata2" ref="A7:O64">
    <sortCondition ref="D6:D64"/>
  </sortState>
  <tableColumns count="16">
    <tableColumn id="1" xr3:uid="{3E6695DF-AE22-4212-B0F6-41A843772780}" name="Артикул" dataDxfId="30" totalsRowDxfId="14"/>
    <tableColumn id="2" xr3:uid="{DEA08E98-FA51-497F-A6A9-A5B5F9667A83}" name="Наименование" dataDxfId="29" totalsRowDxfId="13"/>
    <tableColumn id="3" xr3:uid="{75A780F2-5CA5-4757-B6E1-64B5ABE273B2}" name="ТН" dataDxfId="28" totalsRowDxfId="12"/>
    <tableColumn id="4" xr3:uid="{25376231-8C32-465B-BA6E-CA612E07806A}" name="Сегмент" dataDxfId="27" totalsRowDxfId="11"/>
    <tableColumn id="5" xr3:uid="{26248E06-58D2-4D2D-942B-80800F80004A}" name="Завод-производитель" dataDxfId="26" totalsRowDxfId="10"/>
    <tableColumn id="6" xr3:uid="{D4870A9A-37E5-4AF8-8319-A6800A7F778F}" name="ЕИ" dataDxfId="25" totalsRowDxfId="9"/>
    <tableColumn id="7" xr3:uid="{6079B5EA-DE80-4561-9EE3-287D8A539C09}" name="Вес, ЕИ" dataDxfId="24" totalsRowDxfId="8"/>
    <tableColumn id="8" xr3:uid="{1005DE19-E3B4-4D5C-9BC8-49015EC5DFB1}" name="Вес коробки кг" dataDxfId="23" totalsRowDxfId="7"/>
    <tableColumn id="17" xr3:uid="{9B5E2197-F3E2-45AD-BE2A-DCE4CC1F1773}" name="Количество ШТ в коробе" dataDxfId="22" totalsRowDxfId="6"/>
    <tableColumn id="9" xr3:uid="{858C5772-666F-4C38-B4FB-3EE26EF95DB3}" name="СГ" dataDxfId="21" totalsRowDxfId="5"/>
    <tableColumn id="10" xr3:uid="{B0D3E159-020B-496A-93E0-FC500FEDF400}" name="ТНВЭД коды " dataDxfId="20" totalsRowDxfId="4"/>
    <tableColumn id="12" xr3:uid="{70C0E3F4-48F2-463C-A8F5-5B7E979BEA9B}" name="1 кв 2026, руб/шт" dataDxfId="19" totalsRowDxfId="3"/>
    <tableColumn id="15" xr3:uid="{16088B24-8B54-4556-B182-2676ED9933D9}" name="1 кв 2026, руб/кг" dataDxfId="18" totalsRowDxfId="2"/>
    <tableColumn id="11" xr3:uid="{461F57B6-8BB5-46A2-8E42-BC0762749560}" name="Заказ в коробах" totalsRowFunction="sum" dataDxfId="17" totalsRowDxfId="1"/>
    <tableColumn id="14" xr3:uid="{11A43EF2-4512-4CC0-AE08-FB4E657BFCBF}" name="Заказ в КГ" totalsRowFunction="sum" dataDxfId="16" totalsRowDxfId="0">
      <calculatedColumnFormula>Прайс2кв5623[[#This Row],[Заказ в коробах]]*Прайс2кв5623[[#This Row],[Вес коробки кг]]</calculatedColumnFormula>
    </tableColumn>
    <tableColumn id="16" xr3:uid="{308FEC00-8E07-40B7-AC55-B12305E00E75}" name="Столбец1" dataDxfId="1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D540-68BC-4E2B-B009-278E40EDEFB7}">
  <dimension ref="A6:P65"/>
  <sheetViews>
    <sheetView showGridLines="0" tabSelected="1" zoomScale="85" zoomScaleNormal="85" workbookViewId="0">
      <pane ySplit="6" topLeftCell="A7" activePane="bottomLeft" state="frozen"/>
      <selection pane="bottomLeft" activeCell="R9" sqref="R9"/>
    </sheetView>
  </sheetViews>
  <sheetFormatPr defaultRowHeight="15" customHeight="1" outlineLevelCol="1"/>
  <cols>
    <col min="1" max="1" width="14.125" style="3" customWidth="1"/>
    <col min="2" max="2" width="49.625" style="4" customWidth="1"/>
    <col min="3" max="3" width="10.25" style="4" customWidth="1"/>
    <col min="4" max="4" width="18.375" style="5" customWidth="1" outlineLevel="1"/>
    <col min="5" max="5" width="10.75" style="5" customWidth="1" outlineLevel="1"/>
    <col min="6" max="6" width="8.125" style="5" customWidth="1" outlineLevel="1"/>
    <col min="7" max="8" width="9.625" style="5" customWidth="1" outlineLevel="1"/>
    <col min="9" max="9" width="8.875" style="16" customWidth="1" outlineLevel="1"/>
    <col min="10" max="10" width="9.625" style="5" customWidth="1" outlineLevel="1"/>
    <col min="11" max="13" width="13.75" style="5" customWidth="1" outlineLevel="1"/>
    <col min="14" max="15" width="13.75" style="5" customWidth="1"/>
  </cols>
  <sheetData>
    <row r="6" spans="1:16" ht="45" customHeight="1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4" t="s">
        <v>83</v>
      </c>
      <c r="J6" s="1" t="s">
        <v>8</v>
      </c>
      <c r="K6" s="1" t="s">
        <v>9</v>
      </c>
      <c r="L6" s="1" t="s">
        <v>89</v>
      </c>
      <c r="M6" s="19" t="s">
        <v>90</v>
      </c>
      <c r="N6" s="1" t="s">
        <v>10</v>
      </c>
      <c r="O6" s="1" t="s">
        <v>11</v>
      </c>
      <c r="P6" s="58" t="s">
        <v>91</v>
      </c>
    </row>
    <row r="7" spans="1:16" ht="15" customHeight="1">
      <c r="A7" s="20">
        <v>1010034180</v>
      </c>
      <c r="B7" s="21" t="s">
        <v>85</v>
      </c>
      <c r="C7" s="21" t="s">
        <v>13</v>
      </c>
      <c r="D7" s="22" t="s">
        <v>14</v>
      </c>
      <c r="E7" s="21" t="s">
        <v>15</v>
      </c>
      <c r="F7" s="23" t="s">
        <v>16</v>
      </c>
      <c r="G7" s="24">
        <v>0.4</v>
      </c>
      <c r="H7" s="25">
        <v>2.4</v>
      </c>
      <c r="I7" s="25">
        <v>5.9999999999999991</v>
      </c>
      <c r="J7" s="26">
        <v>100</v>
      </c>
      <c r="K7" s="26" t="s">
        <v>86</v>
      </c>
      <c r="L7" s="27">
        <v>117.084</v>
      </c>
      <c r="M7" s="26">
        <v>292.70999999999998</v>
      </c>
      <c r="N7" s="28">
        <v>0</v>
      </c>
      <c r="O7" s="28">
        <f>Прайс2кв5623[[#This Row],[Заказ в коробах]]*Прайс2кв5623[[#This Row],[Вес коробки кг]]</f>
        <v>0</v>
      </c>
      <c r="P7" s="56"/>
    </row>
    <row r="8" spans="1:16" ht="15" customHeight="1">
      <c r="A8" s="29">
        <v>1010015952</v>
      </c>
      <c r="B8" s="30" t="s">
        <v>12</v>
      </c>
      <c r="C8" s="31" t="s">
        <v>13</v>
      </c>
      <c r="D8" s="32" t="s">
        <v>14</v>
      </c>
      <c r="E8" s="21" t="s">
        <v>15</v>
      </c>
      <c r="F8" s="23" t="s">
        <v>16</v>
      </c>
      <c r="G8" s="33">
        <v>0.04</v>
      </c>
      <c r="H8" s="33">
        <v>2.82</v>
      </c>
      <c r="I8" s="34">
        <v>6</v>
      </c>
      <c r="J8" s="35">
        <v>75</v>
      </c>
      <c r="K8" s="35">
        <v>1601009901</v>
      </c>
      <c r="L8" s="23">
        <v>13.9084</v>
      </c>
      <c r="M8" s="23">
        <v>347.71</v>
      </c>
      <c r="N8" s="28">
        <v>25</v>
      </c>
      <c r="O8" s="36">
        <f>Прайс2кв5623[[#This Row],[Заказ в коробах]]*Прайс2кв5623[[#This Row],[Вес коробки кг]]</f>
        <v>70.5</v>
      </c>
      <c r="P8" s="56"/>
    </row>
    <row r="9" spans="1:16" ht="15" customHeight="1">
      <c r="A9" s="29">
        <v>1010017107</v>
      </c>
      <c r="B9" s="30" t="s">
        <v>17</v>
      </c>
      <c r="C9" s="31" t="s">
        <v>13</v>
      </c>
      <c r="D9" s="32" t="s">
        <v>14</v>
      </c>
      <c r="E9" s="21" t="s">
        <v>15</v>
      </c>
      <c r="F9" s="23" t="s">
        <v>16</v>
      </c>
      <c r="G9" s="33">
        <v>0.35</v>
      </c>
      <c r="H9" s="33">
        <v>2.4</v>
      </c>
      <c r="I9" s="34">
        <v>5.9999999999999991</v>
      </c>
      <c r="J9" s="35">
        <v>75</v>
      </c>
      <c r="K9" s="35">
        <v>1601009901</v>
      </c>
      <c r="L9" s="23">
        <v>93.362499999999997</v>
      </c>
      <c r="M9" s="23">
        <v>266.75</v>
      </c>
      <c r="N9" s="28">
        <v>0</v>
      </c>
      <c r="O9" s="36">
        <f>Прайс2кв5623[[#This Row],[Заказ в коробах]]*Прайс2кв5623[[#This Row],[Вес коробки кг]]</f>
        <v>0</v>
      </c>
      <c r="P9" s="56"/>
    </row>
    <row r="10" spans="1:16" ht="15" customHeight="1">
      <c r="A10" s="29">
        <v>1010016092</v>
      </c>
      <c r="B10" s="30" t="s">
        <v>18</v>
      </c>
      <c r="C10" s="31" t="s">
        <v>13</v>
      </c>
      <c r="D10" s="32" t="s">
        <v>14</v>
      </c>
      <c r="E10" s="21" t="s">
        <v>15</v>
      </c>
      <c r="F10" s="23" t="s">
        <v>16</v>
      </c>
      <c r="G10" s="33">
        <v>0.33800000000000002</v>
      </c>
      <c r="H10" s="33">
        <v>2.82</v>
      </c>
      <c r="I10" s="34">
        <v>6</v>
      </c>
      <c r="J10" s="35">
        <v>75</v>
      </c>
      <c r="K10" s="35">
        <v>1601009901</v>
      </c>
      <c r="L10" s="23">
        <v>89.715340000000012</v>
      </c>
      <c r="M10" s="23">
        <v>265.43</v>
      </c>
      <c r="N10" s="28">
        <v>10</v>
      </c>
      <c r="O10" s="36">
        <f>Прайс2кв5623[[#This Row],[Заказ в коробах]]*Прайс2кв5623[[#This Row],[Вес коробки кг]]</f>
        <v>28.2</v>
      </c>
      <c r="P10" s="56"/>
    </row>
    <row r="11" spans="1:16" ht="15" customHeight="1">
      <c r="A11" s="29">
        <v>1010024328</v>
      </c>
      <c r="B11" s="30" t="s">
        <v>30</v>
      </c>
      <c r="C11" s="31" t="s">
        <v>13</v>
      </c>
      <c r="D11" s="32" t="s">
        <v>14</v>
      </c>
      <c r="E11" s="21" t="s">
        <v>15</v>
      </c>
      <c r="F11" s="23" t="s">
        <v>16</v>
      </c>
      <c r="G11" s="33">
        <v>0.4</v>
      </c>
      <c r="H11" s="33">
        <v>2.4</v>
      </c>
      <c r="I11" s="34">
        <v>5.9999999999999991</v>
      </c>
      <c r="J11" s="35">
        <v>75</v>
      </c>
      <c r="K11" s="35">
        <v>1601009901</v>
      </c>
      <c r="L11" s="23">
        <v>147.66399999999999</v>
      </c>
      <c r="M11" s="23">
        <v>369.15999999999997</v>
      </c>
      <c r="N11" s="28">
        <v>0</v>
      </c>
      <c r="O11" s="36">
        <f>Прайс2кв5623[[#This Row],[Заказ в коробах]]*Прайс2кв5623[[#This Row],[Вес коробки кг]]</f>
        <v>0</v>
      </c>
      <c r="P11" s="56"/>
    </row>
    <row r="12" spans="1:16" ht="15" customHeight="1">
      <c r="A12" s="37">
        <v>1010030635</v>
      </c>
      <c r="B12" s="38" t="s">
        <v>31</v>
      </c>
      <c r="C12" s="31" t="s">
        <v>13</v>
      </c>
      <c r="D12" s="32" t="s">
        <v>14</v>
      </c>
      <c r="E12" s="21" t="s">
        <v>15</v>
      </c>
      <c r="F12" s="23" t="s">
        <v>16</v>
      </c>
      <c r="G12" s="33">
        <v>0.3</v>
      </c>
      <c r="H12" s="33">
        <v>2.1</v>
      </c>
      <c r="I12" s="34">
        <v>6.0000000000000009</v>
      </c>
      <c r="J12" s="35">
        <v>75</v>
      </c>
      <c r="K12" s="35">
        <v>1601009901</v>
      </c>
      <c r="L12" s="23">
        <v>80.982000000000014</v>
      </c>
      <c r="M12" s="23">
        <v>269.94000000000005</v>
      </c>
      <c r="N12" s="28">
        <v>20</v>
      </c>
      <c r="O12" s="36">
        <f>Прайс2кв5623[[#This Row],[Заказ в коробах]]*Прайс2кв5623[[#This Row],[Вес коробки кг]]</f>
        <v>42</v>
      </c>
      <c r="P12" s="56"/>
    </row>
    <row r="13" spans="1:16" ht="15" customHeight="1">
      <c r="A13" s="23">
        <v>1010033785</v>
      </c>
      <c r="B13" s="21" t="s">
        <v>69</v>
      </c>
      <c r="C13" s="39" t="s">
        <v>13</v>
      </c>
      <c r="D13" s="40" t="s">
        <v>88</v>
      </c>
      <c r="E13" s="21" t="s">
        <v>15</v>
      </c>
      <c r="F13" s="41" t="s">
        <v>16</v>
      </c>
      <c r="G13" s="24">
        <v>0.3</v>
      </c>
      <c r="H13" s="24">
        <v>1.8</v>
      </c>
      <c r="I13" s="26">
        <v>6</v>
      </c>
      <c r="J13" s="23">
        <v>45</v>
      </c>
      <c r="K13" s="23">
        <v>1602491900</v>
      </c>
      <c r="L13" s="23">
        <v>217.10700000000006</v>
      </c>
      <c r="M13" s="23">
        <v>723.69000000000017</v>
      </c>
      <c r="N13" s="28">
        <v>0</v>
      </c>
      <c r="O13" s="28">
        <f>Прайс2кв5623[[#This Row],[Заказ в коробах]]*Прайс2кв5623[[#This Row],[Вес коробки кг]]</f>
        <v>0</v>
      </c>
      <c r="P13" s="56"/>
    </row>
    <row r="14" spans="1:16" ht="15" customHeight="1">
      <c r="A14" s="23">
        <v>1010033784</v>
      </c>
      <c r="B14" s="21" t="s">
        <v>70</v>
      </c>
      <c r="C14" s="39" t="s">
        <v>13</v>
      </c>
      <c r="D14" s="40" t="s">
        <v>88</v>
      </c>
      <c r="E14" s="21" t="s">
        <v>15</v>
      </c>
      <c r="F14" s="41" t="s">
        <v>16</v>
      </c>
      <c r="G14" s="24">
        <v>0.3</v>
      </c>
      <c r="H14" s="24">
        <v>1.8</v>
      </c>
      <c r="I14" s="26">
        <v>6</v>
      </c>
      <c r="J14" s="23">
        <v>45</v>
      </c>
      <c r="K14" s="23">
        <v>1602491900</v>
      </c>
      <c r="L14" s="23">
        <v>169.42200000000003</v>
      </c>
      <c r="M14" s="23">
        <v>564.74000000000012</v>
      </c>
      <c r="N14" s="28">
        <v>0</v>
      </c>
      <c r="O14" s="28">
        <f>Прайс2кв5623[[#This Row],[Заказ в коробах]]*Прайс2кв5623[[#This Row],[Вес коробки кг]]</f>
        <v>0</v>
      </c>
      <c r="P14" s="56"/>
    </row>
    <row r="15" spans="1:16" s="56" customFormat="1" ht="15" customHeight="1">
      <c r="A15" s="59">
        <v>1010027650</v>
      </c>
      <c r="B15" s="60" t="s">
        <v>65</v>
      </c>
      <c r="C15" s="60" t="s">
        <v>13</v>
      </c>
      <c r="D15" s="60" t="s">
        <v>20</v>
      </c>
      <c r="E15" s="61" t="s">
        <v>15</v>
      </c>
      <c r="F15" s="62" t="s">
        <v>16</v>
      </c>
      <c r="G15" s="63">
        <v>0.3</v>
      </c>
      <c r="H15" s="63">
        <v>1.8</v>
      </c>
      <c r="I15" s="64">
        <v>6</v>
      </c>
      <c r="J15" s="62">
        <v>55</v>
      </c>
      <c r="K15" s="62">
        <v>1601009901</v>
      </c>
      <c r="L15" s="62">
        <v>132.363</v>
      </c>
      <c r="M15" s="62">
        <v>441.21</v>
      </c>
      <c r="N15" s="65">
        <v>67</v>
      </c>
      <c r="O15" s="65">
        <f>Прайс2кв5623[[#This Row],[Заказ в коробах]]*Прайс2кв5623[[#This Row],[Вес коробки кг]]</f>
        <v>120.60000000000001</v>
      </c>
    </row>
    <row r="16" spans="1:16" ht="15" customHeight="1">
      <c r="A16" s="29">
        <v>1010032754</v>
      </c>
      <c r="B16" s="42" t="s">
        <v>55</v>
      </c>
      <c r="C16" s="31" t="s">
        <v>13</v>
      </c>
      <c r="D16" s="39" t="s">
        <v>20</v>
      </c>
      <c r="E16" s="42" t="s">
        <v>15</v>
      </c>
      <c r="F16" s="35" t="s">
        <v>16</v>
      </c>
      <c r="G16" s="43">
        <v>0.28000000000000003</v>
      </c>
      <c r="H16" s="43">
        <v>1.6800000000000002</v>
      </c>
      <c r="I16" s="26">
        <v>6</v>
      </c>
      <c r="J16" s="35">
        <v>55</v>
      </c>
      <c r="K16" s="23">
        <v>1601009901</v>
      </c>
      <c r="L16" s="23">
        <v>137.42960000000002</v>
      </c>
      <c r="M16" s="23">
        <v>490.82000000000005</v>
      </c>
      <c r="N16" s="28">
        <v>50.000000000000007</v>
      </c>
      <c r="O16" s="28">
        <f>Прайс2кв5623[[#This Row],[Заказ в коробах]]*Прайс2кв5623[[#This Row],[Вес коробки кг]]</f>
        <v>84.000000000000014</v>
      </c>
      <c r="P16" s="56"/>
    </row>
    <row r="17" spans="1:16" ht="15" customHeight="1">
      <c r="A17" s="29">
        <v>1010027653</v>
      </c>
      <c r="B17" s="42" t="s">
        <v>59</v>
      </c>
      <c r="C17" s="31" t="s">
        <v>13</v>
      </c>
      <c r="D17" s="39" t="s">
        <v>20</v>
      </c>
      <c r="E17" s="42" t="s">
        <v>15</v>
      </c>
      <c r="F17" s="44" t="s">
        <v>16</v>
      </c>
      <c r="G17" s="43">
        <v>0.3</v>
      </c>
      <c r="H17" s="43">
        <v>1.7999999999999998</v>
      </c>
      <c r="I17" s="26">
        <v>6</v>
      </c>
      <c r="J17" s="35">
        <v>55</v>
      </c>
      <c r="K17" s="23">
        <v>1601009901</v>
      </c>
      <c r="L17" s="23">
        <v>146.916</v>
      </c>
      <c r="M17" s="23">
        <v>489.72</v>
      </c>
      <c r="N17" s="28">
        <v>0</v>
      </c>
      <c r="O17" s="28">
        <f>Прайс2кв5623[[#This Row],[Заказ в коробах]]*Прайс2кв5623[[#This Row],[Вес коробки кг]]</f>
        <v>0</v>
      </c>
      <c r="P17" s="56"/>
    </row>
    <row r="18" spans="1:16" ht="15" customHeight="1">
      <c r="A18" s="29">
        <v>1010032953</v>
      </c>
      <c r="B18" s="42" t="s">
        <v>60</v>
      </c>
      <c r="C18" s="31" t="s">
        <v>13</v>
      </c>
      <c r="D18" s="39" t="s">
        <v>20</v>
      </c>
      <c r="E18" s="42" t="s">
        <v>15</v>
      </c>
      <c r="F18" s="44" t="s">
        <v>16</v>
      </c>
      <c r="G18" s="43">
        <v>0.3</v>
      </c>
      <c r="H18" s="43">
        <v>1.7999999999999998</v>
      </c>
      <c r="I18" s="26">
        <v>6</v>
      </c>
      <c r="J18" s="35">
        <v>55</v>
      </c>
      <c r="K18" s="23">
        <v>1601009901</v>
      </c>
      <c r="L18" s="23">
        <v>132</v>
      </c>
      <c r="M18" s="23">
        <v>440</v>
      </c>
      <c r="N18" s="28">
        <v>67</v>
      </c>
      <c r="O18" s="28">
        <f>Прайс2кв5623[[#This Row],[Заказ в коробах]]*Прайс2кв5623[[#This Row],[Вес коробки кг]]</f>
        <v>120.6</v>
      </c>
      <c r="P18" s="56"/>
    </row>
    <row r="19" spans="1:16" ht="15" customHeight="1">
      <c r="A19" s="35">
        <v>1010032954</v>
      </c>
      <c r="B19" s="42" t="s">
        <v>64</v>
      </c>
      <c r="C19" s="31" t="s">
        <v>13</v>
      </c>
      <c r="D19" s="39" t="s">
        <v>20</v>
      </c>
      <c r="E19" s="42" t="s">
        <v>15</v>
      </c>
      <c r="F19" s="44" t="s">
        <v>16</v>
      </c>
      <c r="G19" s="43">
        <v>0.3</v>
      </c>
      <c r="H19" s="43">
        <v>1.7999999999999998</v>
      </c>
      <c r="I19" s="26">
        <v>6</v>
      </c>
      <c r="J19" s="35">
        <v>55</v>
      </c>
      <c r="K19" s="23">
        <v>1601009901</v>
      </c>
      <c r="L19" s="23">
        <v>126.88500000000001</v>
      </c>
      <c r="M19" s="23">
        <v>422.95000000000005</v>
      </c>
      <c r="N19" s="28">
        <v>0</v>
      </c>
      <c r="O19" s="28">
        <f>Прайс2кв5623[[#This Row],[Заказ в коробах]]*Прайс2кв5623[[#This Row],[Вес коробки кг]]</f>
        <v>0</v>
      </c>
      <c r="P19" s="56"/>
    </row>
    <row r="20" spans="1:16" s="56" customFormat="1" ht="15" customHeight="1">
      <c r="A20" s="59">
        <v>1010027650</v>
      </c>
      <c r="B20" s="60" t="s">
        <v>65</v>
      </c>
      <c r="C20" s="60" t="s">
        <v>13</v>
      </c>
      <c r="D20" s="60" t="s">
        <v>20</v>
      </c>
      <c r="E20" s="61" t="s">
        <v>15</v>
      </c>
      <c r="F20" s="62" t="s">
        <v>16</v>
      </c>
      <c r="G20" s="63">
        <v>0.3</v>
      </c>
      <c r="H20" s="63">
        <v>1.7999999999999998</v>
      </c>
      <c r="I20" s="64">
        <v>6</v>
      </c>
      <c r="J20" s="62">
        <v>55</v>
      </c>
      <c r="K20" s="62">
        <v>1601009901</v>
      </c>
      <c r="L20" s="62">
        <v>132.363</v>
      </c>
      <c r="M20" s="62">
        <v>441.21</v>
      </c>
      <c r="N20" s="65">
        <v>0</v>
      </c>
      <c r="O20" s="65">
        <f>Прайс2кв5623[[#This Row],[Заказ в коробах]]*Прайс2кв5623[[#This Row],[Вес коробки кг]]</f>
        <v>0</v>
      </c>
      <c r="P20" s="56" t="s">
        <v>92</v>
      </c>
    </row>
    <row r="21" spans="1:16" ht="15" customHeight="1">
      <c r="A21" s="35">
        <v>1010032949</v>
      </c>
      <c r="B21" s="42" t="s">
        <v>66</v>
      </c>
      <c r="C21" s="31" t="s">
        <v>13</v>
      </c>
      <c r="D21" s="39" t="s">
        <v>20</v>
      </c>
      <c r="E21" s="42" t="s">
        <v>15</v>
      </c>
      <c r="F21" s="44" t="s">
        <v>16</v>
      </c>
      <c r="G21" s="43">
        <v>0.3</v>
      </c>
      <c r="H21" s="43">
        <v>1.8</v>
      </c>
      <c r="I21" s="26">
        <v>6</v>
      </c>
      <c r="J21" s="35">
        <v>55</v>
      </c>
      <c r="K21" s="23">
        <v>1601009901</v>
      </c>
      <c r="L21" s="23">
        <v>257.07</v>
      </c>
      <c r="M21" s="23">
        <v>856.90000000000009</v>
      </c>
      <c r="N21" s="28">
        <v>0</v>
      </c>
      <c r="O21" s="28">
        <f>Прайс2кв5623[[#This Row],[Заказ в коробах]]*Прайс2кв5623[[#This Row],[Вес коробки кг]]</f>
        <v>0</v>
      </c>
      <c r="P21" s="56"/>
    </row>
    <row r="22" spans="1:16" ht="15" customHeight="1">
      <c r="A22" s="29">
        <v>1010023293</v>
      </c>
      <c r="B22" s="31" t="s">
        <v>22</v>
      </c>
      <c r="C22" s="31" t="s">
        <v>13</v>
      </c>
      <c r="D22" s="39" t="s">
        <v>21</v>
      </c>
      <c r="E22" s="42" t="s">
        <v>15</v>
      </c>
      <c r="F22" s="35" t="s">
        <v>16</v>
      </c>
      <c r="G22" s="33">
        <v>0.4</v>
      </c>
      <c r="H22" s="33">
        <v>2.4</v>
      </c>
      <c r="I22" s="26">
        <v>5.9999999999999991</v>
      </c>
      <c r="J22" s="35">
        <v>75</v>
      </c>
      <c r="K22" s="23">
        <v>1601009901</v>
      </c>
      <c r="L22" s="23">
        <v>137.76399999999998</v>
      </c>
      <c r="M22" s="23">
        <v>344.40999999999997</v>
      </c>
      <c r="N22" s="28">
        <v>25</v>
      </c>
      <c r="O22" s="28">
        <f>Прайс2кв5623[[#This Row],[Заказ в коробах]]*Прайс2кв5623[[#This Row],[Вес коробки кг]]</f>
        <v>60</v>
      </c>
      <c r="P22" s="56"/>
    </row>
    <row r="23" spans="1:16" ht="15" customHeight="1">
      <c r="A23" s="29">
        <v>1010034058</v>
      </c>
      <c r="B23" s="42" t="s">
        <v>84</v>
      </c>
      <c r="C23" s="42" t="s">
        <v>13</v>
      </c>
      <c r="D23" s="22" t="s">
        <v>41</v>
      </c>
      <c r="E23" s="42" t="s">
        <v>15</v>
      </c>
      <c r="F23" s="35" t="s">
        <v>16</v>
      </c>
      <c r="G23" s="43">
        <v>0.35</v>
      </c>
      <c r="H23" s="43">
        <v>1.4</v>
      </c>
      <c r="I23" s="25">
        <v>4</v>
      </c>
      <c r="J23" s="34">
        <v>1095</v>
      </c>
      <c r="K23" s="26" t="s">
        <v>87</v>
      </c>
      <c r="L23" s="26">
        <v>334.21850000000001</v>
      </c>
      <c r="M23" s="26">
        <v>954.91000000000008</v>
      </c>
      <c r="N23" s="28">
        <v>0</v>
      </c>
      <c r="O23" s="28">
        <f>Прайс2кв5623[[#This Row],[Заказ в коробах]]*Прайс2кв5623[[#This Row],[Вес коробки кг]]</f>
        <v>0</v>
      </c>
      <c r="P23" s="56"/>
    </row>
    <row r="24" spans="1:16" ht="15" customHeight="1">
      <c r="A24" s="29">
        <v>1010030987</v>
      </c>
      <c r="B24" s="42" t="s">
        <v>40</v>
      </c>
      <c r="C24" s="31" t="s">
        <v>13</v>
      </c>
      <c r="D24" s="39" t="s">
        <v>41</v>
      </c>
      <c r="E24" s="45" t="s">
        <v>38</v>
      </c>
      <c r="F24" s="35" t="s">
        <v>16</v>
      </c>
      <c r="G24" s="43">
        <v>0.35</v>
      </c>
      <c r="H24" s="43">
        <v>0.3</v>
      </c>
      <c r="I24" s="26">
        <v>4</v>
      </c>
      <c r="J24" s="35">
        <v>912</v>
      </c>
      <c r="K24" s="23">
        <v>1602321900</v>
      </c>
      <c r="L24" s="23">
        <v>128.28200000000001</v>
      </c>
      <c r="M24" s="23">
        <v>366.52000000000004</v>
      </c>
      <c r="N24" s="28">
        <v>0</v>
      </c>
      <c r="O24" s="28">
        <f>Прайс2кв5623[[#This Row],[Заказ в коробах]]*Прайс2кв5623[[#This Row],[Вес коробки кг]]</f>
        <v>0</v>
      </c>
      <c r="P24" s="56"/>
    </row>
    <row r="25" spans="1:16" ht="15" customHeight="1">
      <c r="A25" s="29">
        <v>1010030988</v>
      </c>
      <c r="B25" s="42" t="s">
        <v>42</v>
      </c>
      <c r="C25" s="31" t="s">
        <v>13</v>
      </c>
      <c r="D25" s="39" t="s">
        <v>41</v>
      </c>
      <c r="E25" s="45" t="s">
        <v>38</v>
      </c>
      <c r="F25" s="35" t="s">
        <v>16</v>
      </c>
      <c r="G25" s="43">
        <v>0.35</v>
      </c>
      <c r="H25" s="43">
        <v>1.4</v>
      </c>
      <c r="I25" s="26">
        <v>4</v>
      </c>
      <c r="J25" s="35">
        <v>1095</v>
      </c>
      <c r="K25" s="23">
        <v>1602493000</v>
      </c>
      <c r="L25" s="23">
        <v>164.31800000000001</v>
      </c>
      <c r="M25" s="23">
        <v>469.48000000000008</v>
      </c>
      <c r="N25" s="28">
        <v>0</v>
      </c>
      <c r="O25" s="28">
        <f>Прайс2кв5623[[#This Row],[Заказ в коробах]]*Прайс2кв5623[[#This Row],[Вес коробки кг]]</f>
        <v>0</v>
      </c>
      <c r="P25" s="56"/>
    </row>
    <row r="26" spans="1:16" ht="15" customHeight="1">
      <c r="A26" s="29">
        <v>1010030989</v>
      </c>
      <c r="B26" s="42" t="s">
        <v>43</v>
      </c>
      <c r="C26" s="31" t="s">
        <v>13</v>
      </c>
      <c r="D26" s="39" t="s">
        <v>41</v>
      </c>
      <c r="E26" s="45" t="s">
        <v>38</v>
      </c>
      <c r="F26" s="35" t="s">
        <v>16</v>
      </c>
      <c r="G26" s="43">
        <v>0.35</v>
      </c>
      <c r="H26" s="43">
        <v>1.4</v>
      </c>
      <c r="I26" s="26">
        <v>4</v>
      </c>
      <c r="J26" s="35">
        <v>1095</v>
      </c>
      <c r="K26" s="23">
        <v>1602509501</v>
      </c>
      <c r="L26" s="23">
        <v>217.60200000000003</v>
      </c>
      <c r="M26" s="23">
        <v>621.72000000000014</v>
      </c>
      <c r="N26" s="28">
        <v>0</v>
      </c>
      <c r="O26" s="28">
        <f>Прайс2кв5623[[#This Row],[Заказ в коробах]]*Прайс2кв5623[[#This Row],[Вес коробки кг]]</f>
        <v>0</v>
      </c>
      <c r="P26" s="56"/>
    </row>
    <row r="27" spans="1:16" ht="15" customHeight="1">
      <c r="A27" s="29">
        <v>1010033764</v>
      </c>
      <c r="B27" s="42" t="s">
        <v>61</v>
      </c>
      <c r="C27" s="31" t="s">
        <v>13</v>
      </c>
      <c r="D27" s="39" t="s">
        <v>41</v>
      </c>
      <c r="E27" s="45" t="s">
        <v>38</v>
      </c>
      <c r="F27" s="44" t="s">
        <v>16</v>
      </c>
      <c r="G27" s="43">
        <v>0.35</v>
      </c>
      <c r="H27" s="43">
        <v>1.4</v>
      </c>
      <c r="I27" s="26">
        <v>4</v>
      </c>
      <c r="J27" s="35">
        <v>1095</v>
      </c>
      <c r="K27" s="23">
        <v>1602509501</v>
      </c>
      <c r="L27" s="23">
        <v>334.41100000000006</v>
      </c>
      <c r="M27" s="23">
        <v>955.46000000000015</v>
      </c>
      <c r="N27" s="28">
        <v>0</v>
      </c>
      <c r="O27" s="28">
        <f>Прайс2кв5623[[#This Row],[Заказ в коробах]]*Прайс2кв5623[[#This Row],[Вес коробки кг]]</f>
        <v>0</v>
      </c>
      <c r="P27" s="56"/>
    </row>
    <row r="28" spans="1:16" ht="15" customHeight="1">
      <c r="A28" s="29">
        <v>1010033765</v>
      </c>
      <c r="B28" s="42" t="s">
        <v>62</v>
      </c>
      <c r="C28" s="31" t="s">
        <v>13</v>
      </c>
      <c r="D28" s="39" t="s">
        <v>41</v>
      </c>
      <c r="E28" s="45" t="s">
        <v>38</v>
      </c>
      <c r="F28" s="44" t="s">
        <v>16</v>
      </c>
      <c r="G28" s="43">
        <v>0.35</v>
      </c>
      <c r="H28" s="43">
        <v>1.4</v>
      </c>
      <c r="I28" s="26">
        <v>4</v>
      </c>
      <c r="J28" s="35">
        <v>1095</v>
      </c>
      <c r="K28" s="23">
        <v>1602509501</v>
      </c>
      <c r="L28" s="23">
        <v>334.41100000000006</v>
      </c>
      <c r="M28" s="23">
        <v>955.46000000000015</v>
      </c>
      <c r="N28" s="28">
        <v>0</v>
      </c>
      <c r="O28" s="28">
        <f>Прайс2кв5623[[#This Row],[Заказ в коробах]]*Прайс2кв5623[[#This Row],[Вес коробки кг]]</f>
        <v>0</v>
      </c>
      <c r="P28" s="56"/>
    </row>
    <row r="29" spans="1:16" ht="15" customHeight="1">
      <c r="A29" s="29">
        <v>1010025585</v>
      </c>
      <c r="B29" s="31" t="s">
        <v>23</v>
      </c>
      <c r="C29" s="31" t="s">
        <v>13</v>
      </c>
      <c r="D29" s="39" t="s">
        <v>24</v>
      </c>
      <c r="E29" s="42" t="s">
        <v>15</v>
      </c>
      <c r="F29" s="35" t="s">
        <v>16</v>
      </c>
      <c r="G29" s="33">
        <v>0.2</v>
      </c>
      <c r="H29" s="33">
        <v>2</v>
      </c>
      <c r="I29" s="26">
        <v>10</v>
      </c>
      <c r="J29" s="35">
        <v>90</v>
      </c>
      <c r="K29" s="23">
        <v>1602491900</v>
      </c>
      <c r="L29" s="23">
        <v>118.31600000000003</v>
      </c>
      <c r="M29" s="23">
        <v>591.58000000000015</v>
      </c>
      <c r="N29" s="28">
        <v>80</v>
      </c>
      <c r="O29" s="28">
        <f>Прайс2кв5623[[#This Row],[Заказ в коробах]]*Прайс2кв5623[[#This Row],[Вес коробки кг]]</f>
        <v>160</v>
      </c>
      <c r="P29" s="56"/>
    </row>
    <row r="30" spans="1:16" ht="15" customHeight="1">
      <c r="A30" s="29">
        <v>1010018239</v>
      </c>
      <c r="B30" s="31" t="s">
        <v>25</v>
      </c>
      <c r="C30" s="31" t="s">
        <v>13</v>
      </c>
      <c r="D30" s="39" t="s">
        <v>24</v>
      </c>
      <c r="E30" s="42" t="s">
        <v>15</v>
      </c>
      <c r="F30" s="35" t="s">
        <v>16</v>
      </c>
      <c r="G30" s="33">
        <v>0.1</v>
      </c>
      <c r="H30" s="33">
        <v>1</v>
      </c>
      <c r="I30" s="26">
        <v>10</v>
      </c>
      <c r="J30" s="35">
        <v>90</v>
      </c>
      <c r="K30" s="23">
        <v>1601009901</v>
      </c>
      <c r="L30" s="23">
        <v>103.80700000000002</v>
      </c>
      <c r="M30" s="23">
        <v>1038.0700000000002</v>
      </c>
      <c r="N30" s="28">
        <v>0</v>
      </c>
      <c r="O30" s="28">
        <f>Прайс2кв5623[[#This Row],[Заказ в коробах]]*Прайс2кв5623[[#This Row],[Вес коробки кг]]</f>
        <v>0</v>
      </c>
      <c r="P30" s="56"/>
    </row>
    <row r="31" spans="1:16" ht="15" customHeight="1">
      <c r="A31" s="29">
        <v>1010031330</v>
      </c>
      <c r="B31" s="42" t="s">
        <v>35</v>
      </c>
      <c r="C31" s="31" t="s">
        <v>13</v>
      </c>
      <c r="D31" s="39" t="s">
        <v>24</v>
      </c>
      <c r="E31" s="42" t="s">
        <v>15</v>
      </c>
      <c r="F31" s="35" t="s">
        <v>16</v>
      </c>
      <c r="G31" s="43">
        <v>0.1</v>
      </c>
      <c r="H31" s="43">
        <v>1</v>
      </c>
      <c r="I31" s="26">
        <v>10</v>
      </c>
      <c r="J31" s="35">
        <v>90</v>
      </c>
      <c r="K31" s="23">
        <v>1601009901</v>
      </c>
      <c r="L31" s="23">
        <v>101.77200000000002</v>
      </c>
      <c r="M31" s="23">
        <v>1017.7200000000001</v>
      </c>
      <c r="N31" s="28">
        <v>0</v>
      </c>
      <c r="O31" s="28">
        <f>Прайс2кв5623[[#This Row],[Заказ в коробах]]*Прайс2кв5623[[#This Row],[Вес коробки кг]]</f>
        <v>0</v>
      </c>
      <c r="P31" s="56"/>
    </row>
    <row r="32" spans="1:16" ht="15" customHeight="1">
      <c r="A32" s="29">
        <v>1010031341</v>
      </c>
      <c r="B32" s="46" t="s">
        <v>37</v>
      </c>
      <c r="C32" s="31" t="s">
        <v>13</v>
      </c>
      <c r="D32" s="39" t="s">
        <v>24</v>
      </c>
      <c r="E32" s="42" t="s">
        <v>15</v>
      </c>
      <c r="F32" s="35" t="s">
        <v>16</v>
      </c>
      <c r="G32" s="43">
        <v>0.1</v>
      </c>
      <c r="H32" s="43">
        <v>1</v>
      </c>
      <c r="I32" s="26">
        <v>10</v>
      </c>
      <c r="J32" s="35">
        <v>120</v>
      </c>
      <c r="K32" s="23">
        <v>1601009101</v>
      </c>
      <c r="L32" s="23">
        <v>102.96000000000002</v>
      </c>
      <c r="M32" s="23">
        <v>1029.6000000000001</v>
      </c>
      <c r="N32" s="28">
        <v>0</v>
      </c>
      <c r="O32" s="28">
        <f>Прайс2кв5623[[#This Row],[Заказ в коробах]]*Прайс2кв5623[[#This Row],[Вес коробки кг]]</f>
        <v>0</v>
      </c>
      <c r="P32" s="56"/>
    </row>
    <row r="33" spans="1:16" ht="15" customHeight="1">
      <c r="A33" s="29">
        <v>1010031576</v>
      </c>
      <c r="B33" s="42" t="s">
        <v>44</v>
      </c>
      <c r="C33" s="31" t="s">
        <v>13</v>
      </c>
      <c r="D33" s="39" t="s">
        <v>24</v>
      </c>
      <c r="E33" s="42" t="s">
        <v>15</v>
      </c>
      <c r="F33" s="35" t="s">
        <v>16</v>
      </c>
      <c r="G33" s="43">
        <v>0.1</v>
      </c>
      <c r="H33" s="43">
        <v>1</v>
      </c>
      <c r="I33" s="26">
        <v>10</v>
      </c>
      <c r="J33" s="35">
        <v>120</v>
      </c>
      <c r="K33" s="23">
        <v>1601009101</v>
      </c>
      <c r="L33" s="23">
        <v>78.694000000000017</v>
      </c>
      <c r="M33" s="23">
        <v>786.94000000000017</v>
      </c>
      <c r="N33" s="28">
        <v>30</v>
      </c>
      <c r="O33" s="28">
        <f>Прайс2кв5623[[#This Row],[Заказ в коробах]]*Прайс2кв5623[[#This Row],[Вес коробки кг]]</f>
        <v>30</v>
      </c>
      <c r="P33" s="56"/>
    </row>
    <row r="34" spans="1:16" ht="15" customHeight="1">
      <c r="A34" s="29">
        <v>1010031574</v>
      </c>
      <c r="B34" s="42" t="s">
        <v>45</v>
      </c>
      <c r="C34" s="31" t="s">
        <v>13</v>
      </c>
      <c r="D34" s="39" t="s">
        <v>24</v>
      </c>
      <c r="E34" s="42" t="s">
        <v>15</v>
      </c>
      <c r="F34" s="35" t="s">
        <v>16</v>
      </c>
      <c r="G34" s="43">
        <v>0.1</v>
      </c>
      <c r="H34" s="43">
        <v>1</v>
      </c>
      <c r="I34" s="26">
        <v>10</v>
      </c>
      <c r="J34" s="35">
        <v>120</v>
      </c>
      <c r="K34" s="23">
        <v>1601009101</v>
      </c>
      <c r="L34" s="23">
        <v>89.980000000000018</v>
      </c>
      <c r="M34" s="23">
        <v>899.80000000000007</v>
      </c>
      <c r="N34" s="28">
        <v>0</v>
      </c>
      <c r="O34" s="28">
        <f>Прайс2кв5623[[#This Row],[Заказ в коробах]]*Прайс2кв5623[[#This Row],[Вес коробки кг]]</f>
        <v>0</v>
      </c>
      <c r="P34" s="56"/>
    </row>
    <row r="35" spans="1:16" ht="15" customHeight="1">
      <c r="A35" s="29">
        <v>1010031575</v>
      </c>
      <c r="B35" s="42" t="s">
        <v>46</v>
      </c>
      <c r="C35" s="31" t="s">
        <v>13</v>
      </c>
      <c r="D35" s="39" t="s">
        <v>24</v>
      </c>
      <c r="E35" s="42" t="s">
        <v>15</v>
      </c>
      <c r="F35" s="35" t="s">
        <v>16</v>
      </c>
      <c r="G35" s="43">
        <v>0.1</v>
      </c>
      <c r="H35" s="43">
        <v>1</v>
      </c>
      <c r="I35" s="26">
        <v>10</v>
      </c>
      <c r="J35" s="35">
        <v>120</v>
      </c>
      <c r="K35" s="23">
        <v>1601009101</v>
      </c>
      <c r="L35" s="23">
        <v>92.114000000000033</v>
      </c>
      <c r="M35" s="23">
        <v>921.14000000000033</v>
      </c>
      <c r="N35" s="28">
        <v>0</v>
      </c>
      <c r="O35" s="28">
        <f>Прайс2кв5623[[#This Row],[Заказ в коробах]]*Прайс2кв5623[[#This Row],[Вес коробки кг]]</f>
        <v>0</v>
      </c>
      <c r="P35" s="56"/>
    </row>
    <row r="36" spans="1:16" ht="15" customHeight="1">
      <c r="A36" s="29">
        <v>1010030936</v>
      </c>
      <c r="B36" s="42" t="s">
        <v>47</v>
      </c>
      <c r="C36" s="31" t="s">
        <v>13</v>
      </c>
      <c r="D36" s="39" t="s">
        <v>24</v>
      </c>
      <c r="E36" s="42" t="s">
        <v>15</v>
      </c>
      <c r="F36" s="35" t="s">
        <v>16</v>
      </c>
      <c r="G36" s="43">
        <v>0.1</v>
      </c>
      <c r="H36" s="43">
        <v>1</v>
      </c>
      <c r="I36" s="26">
        <v>10</v>
      </c>
      <c r="J36" s="35">
        <v>90</v>
      </c>
      <c r="K36" s="23">
        <v>1602491300</v>
      </c>
      <c r="L36" s="23">
        <v>120.72500000000001</v>
      </c>
      <c r="M36" s="23">
        <v>1207.25</v>
      </c>
      <c r="N36" s="28">
        <v>0</v>
      </c>
      <c r="O36" s="28">
        <f>Прайс2кв5623[[#This Row],[Заказ в коробах]]*Прайс2кв5623[[#This Row],[Вес коробки кг]]</f>
        <v>0</v>
      </c>
      <c r="P36" s="56"/>
    </row>
    <row r="37" spans="1:16" ht="15" customHeight="1">
      <c r="A37" s="29">
        <v>1010032041</v>
      </c>
      <c r="B37" s="42" t="s">
        <v>48</v>
      </c>
      <c r="C37" s="31" t="s">
        <v>13</v>
      </c>
      <c r="D37" s="39" t="s">
        <v>24</v>
      </c>
      <c r="E37" s="42" t="s">
        <v>15</v>
      </c>
      <c r="F37" s="35" t="s">
        <v>16</v>
      </c>
      <c r="G37" s="43">
        <v>0.1</v>
      </c>
      <c r="H37" s="43">
        <v>1</v>
      </c>
      <c r="I37" s="26">
        <v>10</v>
      </c>
      <c r="J37" s="35">
        <v>90</v>
      </c>
      <c r="K37" s="23">
        <v>1602491900</v>
      </c>
      <c r="L37" s="23">
        <v>89.749000000000038</v>
      </c>
      <c r="M37" s="23">
        <v>897.49000000000035</v>
      </c>
      <c r="N37" s="28">
        <v>30</v>
      </c>
      <c r="O37" s="28">
        <f>Прайс2кв5623[[#This Row],[Заказ в коробах]]*Прайс2кв5623[[#This Row],[Вес коробки кг]]</f>
        <v>30</v>
      </c>
      <c r="P37" s="56"/>
    </row>
    <row r="38" spans="1:16" s="2" customFormat="1" ht="15" customHeight="1">
      <c r="A38" s="29">
        <v>1010032043</v>
      </c>
      <c r="B38" s="42" t="s">
        <v>49</v>
      </c>
      <c r="C38" s="31" t="s">
        <v>13</v>
      </c>
      <c r="D38" s="39" t="s">
        <v>24</v>
      </c>
      <c r="E38" s="42" t="s">
        <v>15</v>
      </c>
      <c r="F38" s="35" t="s">
        <v>16</v>
      </c>
      <c r="G38" s="43">
        <v>0.1</v>
      </c>
      <c r="H38" s="43">
        <v>1</v>
      </c>
      <c r="I38" s="26">
        <v>10</v>
      </c>
      <c r="J38" s="35">
        <v>90</v>
      </c>
      <c r="K38" s="23">
        <v>1602491900</v>
      </c>
      <c r="L38" s="23">
        <v>99.110000000000014</v>
      </c>
      <c r="M38" s="23">
        <v>991.10000000000014</v>
      </c>
      <c r="N38" s="28">
        <v>30</v>
      </c>
      <c r="O38" s="28">
        <f>Прайс2кв5623[[#This Row],[Заказ в коробах]]*Прайс2кв5623[[#This Row],[Вес коробки кг]]</f>
        <v>30</v>
      </c>
      <c r="P38" s="57"/>
    </row>
    <row r="39" spans="1:16" ht="15" customHeight="1">
      <c r="A39" s="29">
        <v>1010031149</v>
      </c>
      <c r="B39" s="31" t="s">
        <v>33</v>
      </c>
      <c r="C39" s="31" t="s">
        <v>13</v>
      </c>
      <c r="D39" s="39" t="s">
        <v>32</v>
      </c>
      <c r="E39" s="42" t="s">
        <v>15</v>
      </c>
      <c r="F39" s="35" t="s">
        <v>16</v>
      </c>
      <c r="G39" s="33">
        <v>0.35</v>
      </c>
      <c r="H39" s="33">
        <v>2.1</v>
      </c>
      <c r="I39" s="26">
        <v>6.0000000000000009</v>
      </c>
      <c r="J39" s="35">
        <v>45</v>
      </c>
      <c r="K39" s="23">
        <v>1601009901</v>
      </c>
      <c r="L39" s="23">
        <v>123.85449999999999</v>
      </c>
      <c r="M39" s="23">
        <v>353.87</v>
      </c>
      <c r="N39" s="28">
        <v>20</v>
      </c>
      <c r="O39" s="28">
        <f>Прайс2кв5623[[#This Row],[Заказ в коробах]]*Прайс2кв5623[[#This Row],[Вес коробки кг]]</f>
        <v>42</v>
      </c>
      <c r="P39" s="56"/>
    </row>
    <row r="40" spans="1:16" ht="15" customHeight="1">
      <c r="A40" s="47">
        <v>1010031142</v>
      </c>
      <c r="B40" s="31" t="s">
        <v>34</v>
      </c>
      <c r="C40" s="31" t="s">
        <v>13</v>
      </c>
      <c r="D40" s="39" t="s">
        <v>32</v>
      </c>
      <c r="E40" s="42" t="s">
        <v>15</v>
      </c>
      <c r="F40" s="35" t="s">
        <v>16</v>
      </c>
      <c r="G40" s="33">
        <v>0.35</v>
      </c>
      <c r="H40" s="33">
        <v>2.1</v>
      </c>
      <c r="I40" s="26">
        <v>6.0000000000000009</v>
      </c>
      <c r="J40" s="35">
        <v>45</v>
      </c>
      <c r="K40" s="23">
        <v>1601009901</v>
      </c>
      <c r="L40" s="23">
        <v>117.04</v>
      </c>
      <c r="M40" s="23">
        <v>334.40000000000003</v>
      </c>
      <c r="N40" s="28">
        <v>20</v>
      </c>
      <c r="O40" s="28">
        <f>Прайс2кв5623[[#This Row],[Заказ в коробах]]*Прайс2кв5623[[#This Row],[Вес коробки кг]]</f>
        <v>42</v>
      </c>
      <c r="P40" s="56"/>
    </row>
    <row r="41" spans="1:16" ht="15" customHeight="1">
      <c r="A41" s="47">
        <v>1010015949</v>
      </c>
      <c r="B41" s="31" t="s">
        <v>39</v>
      </c>
      <c r="C41" s="31" t="s">
        <v>13</v>
      </c>
      <c r="D41" s="39" t="s">
        <v>32</v>
      </c>
      <c r="E41" s="42" t="s">
        <v>15</v>
      </c>
      <c r="F41" s="35" t="s">
        <v>16</v>
      </c>
      <c r="G41" s="33">
        <v>0.4</v>
      </c>
      <c r="H41" s="33">
        <v>2.4000000000000004</v>
      </c>
      <c r="I41" s="26">
        <v>6.0000000000000009</v>
      </c>
      <c r="J41" s="35">
        <v>45</v>
      </c>
      <c r="K41" s="23">
        <v>1601009901</v>
      </c>
      <c r="L41" s="23">
        <v>159.28000000000003</v>
      </c>
      <c r="M41" s="23">
        <v>398.20000000000005</v>
      </c>
      <c r="N41" s="28">
        <v>0</v>
      </c>
      <c r="O41" s="28">
        <f>Прайс2кв5623[[#This Row],[Заказ в коробах]]*Прайс2кв5623[[#This Row],[Вес коробки кг]]</f>
        <v>0</v>
      </c>
      <c r="P41" s="56"/>
    </row>
    <row r="42" spans="1:16" ht="15" customHeight="1">
      <c r="A42" s="29">
        <v>1010031327</v>
      </c>
      <c r="B42" s="45" t="s">
        <v>36</v>
      </c>
      <c r="C42" s="31" t="s">
        <v>13</v>
      </c>
      <c r="D42" s="39" t="s">
        <v>32</v>
      </c>
      <c r="E42" s="42" t="s">
        <v>15</v>
      </c>
      <c r="F42" s="35" t="s">
        <v>16</v>
      </c>
      <c r="G42" s="43">
        <v>0.35</v>
      </c>
      <c r="H42" s="43">
        <v>2.0999999999999996</v>
      </c>
      <c r="I42" s="26">
        <v>5.9999999999999991</v>
      </c>
      <c r="J42" s="35">
        <v>45</v>
      </c>
      <c r="K42" s="23">
        <v>1601009901</v>
      </c>
      <c r="L42" s="23">
        <v>103.21849999999998</v>
      </c>
      <c r="M42" s="23">
        <v>294.90999999999997</v>
      </c>
      <c r="N42" s="28">
        <v>20</v>
      </c>
      <c r="O42" s="28">
        <f>Прайс2кв5623[[#This Row],[Заказ в коробах]]*Прайс2кв5623[[#This Row],[Вес коробки кг]]</f>
        <v>41.999999999999993</v>
      </c>
      <c r="P42" s="56"/>
    </row>
    <row r="43" spans="1:16" ht="15" customHeight="1">
      <c r="A43" s="29">
        <v>1010031948</v>
      </c>
      <c r="B43" s="42" t="s">
        <v>50</v>
      </c>
      <c r="C43" s="31" t="s">
        <v>13</v>
      </c>
      <c r="D43" s="39" t="s">
        <v>32</v>
      </c>
      <c r="E43" s="42" t="s">
        <v>15</v>
      </c>
      <c r="F43" s="35" t="s">
        <v>16</v>
      </c>
      <c r="G43" s="43">
        <v>0.35</v>
      </c>
      <c r="H43" s="43">
        <v>2.1</v>
      </c>
      <c r="I43" s="26">
        <v>6.0000000000000009</v>
      </c>
      <c r="J43" s="35">
        <v>45</v>
      </c>
      <c r="K43" s="23">
        <v>1601009901</v>
      </c>
      <c r="L43" s="23">
        <v>131.3235</v>
      </c>
      <c r="M43" s="23">
        <v>375.21</v>
      </c>
      <c r="N43" s="28">
        <v>0</v>
      </c>
      <c r="O43" s="28">
        <f>Прайс2кв5623[[#This Row],[Заказ в коробах]]*Прайс2кв5623[[#This Row],[Вес коробки кг]]</f>
        <v>0</v>
      </c>
      <c r="P43" s="56"/>
    </row>
    <row r="44" spans="1:16" ht="15" customHeight="1">
      <c r="A44" s="29">
        <v>1010031947</v>
      </c>
      <c r="B44" s="42" t="s">
        <v>51</v>
      </c>
      <c r="C44" s="31" t="s">
        <v>13</v>
      </c>
      <c r="D44" s="39" t="s">
        <v>32</v>
      </c>
      <c r="E44" s="42" t="s">
        <v>15</v>
      </c>
      <c r="F44" s="35" t="s">
        <v>16</v>
      </c>
      <c r="G44" s="43">
        <v>0.35</v>
      </c>
      <c r="H44" s="43">
        <v>2.1</v>
      </c>
      <c r="I44" s="26">
        <v>6.0000000000000009</v>
      </c>
      <c r="J44" s="35">
        <v>45</v>
      </c>
      <c r="K44" s="23">
        <v>1601009901</v>
      </c>
      <c r="L44" s="23">
        <v>128.08950000000002</v>
      </c>
      <c r="M44" s="23">
        <v>365.97</v>
      </c>
      <c r="N44" s="28">
        <v>0</v>
      </c>
      <c r="O44" s="28">
        <f>Прайс2кв5623[[#This Row],[Заказ в коробах]]*Прайс2кв5623[[#This Row],[Вес коробки кг]]</f>
        <v>0</v>
      </c>
      <c r="P44" s="56"/>
    </row>
    <row r="45" spans="1:16" ht="15" customHeight="1">
      <c r="A45" s="29">
        <v>1010032373</v>
      </c>
      <c r="B45" s="42" t="s">
        <v>53</v>
      </c>
      <c r="C45" s="31" t="s">
        <v>13</v>
      </c>
      <c r="D45" s="39" t="s">
        <v>32</v>
      </c>
      <c r="E45" s="42" t="s">
        <v>15</v>
      </c>
      <c r="F45" s="35" t="s">
        <v>16</v>
      </c>
      <c r="G45" s="43">
        <v>0.47499999999999998</v>
      </c>
      <c r="H45" s="43">
        <v>1.9</v>
      </c>
      <c r="I45" s="26">
        <v>4</v>
      </c>
      <c r="J45" s="35">
        <v>45</v>
      </c>
      <c r="K45" s="23">
        <v>1601009901</v>
      </c>
      <c r="L45" s="23">
        <v>169.23775000000001</v>
      </c>
      <c r="M45" s="23">
        <v>356.29</v>
      </c>
      <c r="N45" s="28">
        <v>0</v>
      </c>
      <c r="O45" s="28">
        <f>Прайс2кв5623[[#This Row],[Заказ в коробах]]*Прайс2кв5623[[#This Row],[Вес коробки кг]]</f>
        <v>0</v>
      </c>
      <c r="P45" s="56"/>
    </row>
    <row r="46" spans="1:16" ht="15" customHeight="1">
      <c r="A46" s="29">
        <v>1010032677</v>
      </c>
      <c r="B46" s="48" t="s">
        <v>54</v>
      </c>
      <c r="C46" s="31" t="s">
        <v>13</v>
      </c>
      <c r="D46" s="39" t="s">
        <v>32</v>
      </c>
      <c r="E46" s="42" t="s">
        <v>15</v>
      </c>
      <c r="F46" s="35" t="s">
        <v>16</v>
      </c>
      <c r="G46" s="43">
        <v>0.35</v>
      </c>
      <c r="H46" s="43">
        <v>2.0999999999999996</v>
      </c>
      <c r="I46" s="26">
        <v>5.9999999999999991</v>
      </c>
      <c r="J46" s="35">
        <v>45</v>
      </c>
      <c r="K46" s="23">
        <v>1601009901</v>
      </c>
      <c r="L46" s="23">
        <v>132.13200000000001</v>
      </c>
      <c r="M46" s="23">
        <v>377.52000000000004</v>
      </c>
      <c r="N46" s="28">
        <v>0</v>
      </c>
      <c r="O46" s="28">
        <f>Прайс2кв5623[[#This Row],[Заказ в коробах]]*Прайс2кв5623[[#This Row],[Вес коробки кг]]</f>
        <v>0</v>
      </c>
      <c r="P46" s="56"/>
    </row>
    <row r="47" spans="1:16" ht="15" customHeight="1">
      <c r="A47" s="29">
        <v>1010032675</v>
      </c>
      <c r="B47" s="42" t="s">
        <v>56</v>
      </c>
      <c r="C47" s="31" t="s">
        <v>13</v>
      </c>
      <c r="D47" s="39" t="s">
        <v>32</v>
      </c>
      <c r="E47" s="42" t="s">
        <v>15</v>
      </c>
      <c r="F47" s="35" t="s">
        <v>16</v>
      </c>
      <c r="G47" s="43">
        <v>0.35</v>
      </c>
      <c r="H47" s="43">
        <v>2.0999999999999996</v>
      </c>
      <c r="I47" s="26">
        <v>5.9999999999999991</v>
      </c>
      <c r="J47" s="35">
        <v>45</v>
      </c>
      <c r="K47" s="23">
        <v>1601009901</v>
      </c>
      <c r="L47" s="23">
        <v>139.90899999999999</v>
      </c>
      <c r="M47" s="23">
        <v>399.74</v>
      </c>
      <c r="N47" s="28">
        <v>20</v>
      </c>
      <c r="O47" s="28">
        <f>Прайс2кв5623[[#This Row],[Заказ в коробах]]*Прайс2кв5623[[#This Row],[Вес коробки кг]]</f>
        <v>41.999999999999993</v>
      </c>
      <c r="P47" s="56"/>
    </row>
    <row r="48" spans="1:16" ht="15" customHeight="1">
      <c r="A48" s="29">
        <v>1010034142</v>
      </c>
      <c r="B48" s="31" t="s">
        <v>73</v>
      </c>
      <c r="C48" s="31" t="s">
        <v>13</v>
      </c>
      <c r="D48" s="39" t="s">
        <v>19</v>
      </c>
      <c r="E48" s="42" t="s">
        <v>15</v>
      </c>
      <c r="F48" s="35" t="s">
        <v>16</v>
      </c>
      <c r="G48" s="33">
        <v>0.04</v>
      </c>
      <c r="H48" s="33">
        <v>0.4</v>
      </c>
      <c r="I48" s="26">
        <v>10</v>
      </c>
      <c r="J48" s="35">
        <v>120</v>
      </c>
      <c r="K48" s="35" t="s">
        <v>72</v>
      </c>
      <c r="L48" s="23">
        <v>77.985600000000019</v>
      </c>
      <c r="M48" s="23">
        <v>1949.6400000000003</v>
      </c>
      <c r="N48" s="28">
        <v>0</v>
      </c>
      <c r="O48" s="36">
        <f>Прайс2кв5623[[#This Row],[Заказ в коробах]]*Прайс2кв5623[[#This Row],[Вес коробки кг]]</f>
        <v>0</v>
      </c>
      <c r="P48" s="56"/>
    </row>
    <row r="49" spans="1:16" ht="15" customHeight="1">
      <c r="A49" s="29">
        <v>1010033333</v>
      </c>
      <c r="B49" s="30" t="s">
        <v>78</v>
      </c>
      <c r="C49" s="31" t="s">
        <v>13</v>
      </c>
      <c r="D49" s="39" t="s">
        <v>19</v>
      </c>
      <c r="E49" s="42" t="s">
        <v>15</v>
      </c>
      <c r="F49" s="35" t="s">
        <v>16</v>
      </c>
      <c r="G49" s="33">
        <v>0.28000000000000003</v>
      </c>
      <c r="H49" s="33">
        <v>1.6800000000000002</v>
      </c>
      <c r="I49" s="26">
        <v>6</v>
      </c>
      <c r="J49" s="35">
        <v>150</v>
      </c>
      <c r="K49" s="35" t="s">
        <v>79</v>
      </c>
      <c r="L49" s="23">
        <v>254.71600000000004</v>
      </c>
      <c r="M49" s="23">
        <v>909.7</v>
      </c>
      <c r="N49" s="28">
        <v>0</v>
      </c>
      <c r="O49" s="36">
        <f>Прайс2кв5623[[#This Row],[Заказ в коробах]]*Прайс2кв5623[[#This Row],[Вес коробки кг]]</f>
        <v>0</v>
      </c>
      <c r="P49" s="56"/>
    </row>
    <row r="50" spans="1:16" ht="15" customHeight="1">
      <c r="A50" s="29">
        <v>1010033332</v>
      </c>
      <c r="B50" s="31" t="s">
        <v>80</v>
      </c>
      <c r="C50" s="31" t="s">
        <v>13</v>
      </c>
      <c r="D50" s="39" t="s">
        <v>19</v>
      </c>
      <c r="E50" s="42" t="s">
        <v>15</v>
      </c>
      <c r="F50" s="35" t="s">
        <v>16</v>
      </c>
      <c r="G50" s="33">
        <v>0.3</v>
      </c>
      <c r="H50" s="33">
        <v>1.8</v>
      </c>
      <c r="I50" s="26">
        <v>6</v>
      </c>
      <c r="J50" s="35">
        <v>180</v>
      </c>
      <c r="K50" s="35" t="s">
        <v>79</v>
      </c>
      <c r="L50" s="23">
        <v>272.91000000000003</v>
      </c>
      <c r="M50" s="23">
        <v>909.7</v>
      </c>
      <c r="N50" s="28">
        <v>67</v>
      </c>
      <c r="O50" s="36">
        <f>Прайс2кв5623[[#This Row],[Заказ в коробах]]*Прайс2кв5623[[#This Row],[Вес коробки кг]]</f>
        <v>120.60000000000001</v>
      </c>
      <c r="P50" s="56"/>
    </row>
    <row r="51" spans="1:16" ht="15" customHeight="1">
      <c r="A51" s="29">
        <v>1010033334</v>
      </c>
      <c r="B51" s="30" t="s">
        <v>82</v>
      </c>
      <c r="C51" s="31" t="s">
        <v>13</v>
      </c>
      <c r="D51" s="39" t="s">
        <v>19</v>
      </c>
      <c r="E51" s="42" t="s">
        <v>15</v>
      </c>
      <c r="F51" s="35" t="s">
        <v>16</v>
      </c>
      <c r="G51" s="33">
        <v>0.28000000000000003</v>
      </c>
      <c r="H51" s="33">
        <v>1.68</v>
      </c>
      <c r="I51" s="26">
        <v>5.9999999999999991</v>
      </c>
      <c r="J51" s="35">
        <v>120</v>
      </c>
      <c r="K51" s="35" t="s">
        <v>79</v>
      </c>
      <c r="L51" s="23">
        <v>210.48720000000006</v>
      </c>
      <c r="M51" s="23">
        <v>751.74000000000012</v>
      </c>
      <c r="N51" s="28">
        <v>0</v>
      </c>
      <c r="O51" s="36">
        <f>Прайс2кв5623[[#This Row],[Заказ в коробах]]*Прайс2кв5623[[#This Row],[Вес коробки кг]]</f>
        <v>0</v>
      </c>
      <c r="P51" s="56"/>
    </row>
    <row r="52" spans="1:16" ht="15" customHeight="1">
      <c r="A52" s="49">
        <v>1010033331</v>
      </c>
      <c r="B52" s="50" t="s">
        <v>81</v>
      </c>
      <c r="C52" s="31" t="s">
        <v>13</v>
      </c>
      <c r="D52" s="39" t="s">
        <v>19</v>
      </c>
      <c r="E52" s="42" t="s">
        <v>15</v>
      </c>
      <c r="F52" s="35" t="s">
        <v>16</v>
      </c>
      <c r="G52" s="33">
        <v>0.28000000000000003</v>
      </c>
      <c r="H52" s="33">
        <v>1.68</v>
      </c>
      <c r="I52" s="26">
        <v>5.9999999999999991</v>
      </c>
      <c r="J52" s="35">
        <v>180</v>
      </c>
      <c r="K52" s="35">
        <v>1601009101</v>
      </c>
      <c r="L52" s="23">
        <v>187.01760000000004</v>
      </c>
      <c r="M52" s="23">
        <v>667.92000000000007</v>
      </c>
      <c r="N52" s="28">
        <v>0</v>
      </c>
      <c r="O52" s="36">
        <f>Прайс2кв5623[[#This Row],[Заказ в коробах]]*Прайс2кв5623[[#This Row],[Вес коробки кг]]</f>
        <v>0</v>
      </c>
      <c r="P52" s="56"/>
    </row>
    <row r="53" spans="1:16" ht="15" customHeight="1">
      <c r="A53" s="29">
        <v>1010033325</v>
      </c>
      <c r="B53" s="51" t="s">
        <v>71</v>
      </c>
      <c r="C53" s="31" t="s">
        <v>13</v>
      </c>
      <c r="D53" s="39" t="s">
        <v>19</v>
      </c>
      <c r="E53" s="42" t="s">
        <v>15</v>
      </c>
      <c r="F53" s="35" t="s">
        <v>16</v>
      </c>
      <c r="G53" s="52">
        <v>0.28000000000000003</v>
      </c>
      <c r="H53" s="53">
        <v>1.68</v>
      </c>
      <c r="I53" s="26">
        <v>5.9999999999999991</v>
      </c>
      <c r="J53" s="35">
        <v>180</v>
      </c>
      <c r="K53" s="35">
        <v>1601009101</v>
      </c>
      <c r="L53" s="23">
        <v>246.46160000000006</v>
      </c>
      <c r="M53" s="23">
        <v>880.22000000000014</v>
      </c>
      <c r="N53" s="28">
        <v>0</v>
      </c>
      <c r="O53" s="36">
        <f>Прайс2кв5623[[#This Row],[Заказ в коробах]]*Прайс2кв5623[[#This Row],[Вес коробки кг]]</f>
        <v>0</v>
      </c>
      <c r="P53" s="56"/>
    </row>
    <row r="54" spans="1:16" ht="15" customHeight="1">
      <c r="A54" s="29">
        <v>1010032371</v>
      </c>
      <c r="B54" s="48" t="s">
        <v>52</v>
      </c>
      <c r="C54" s="31" t="s">
        <v>13</v>
      </c>
      <c r="D54" s="39" t="s">
        <v>19</v>
      </c>
      <c r="E54" s="42" t="s">
        <v>15</v>
      </c>
      <c r="F54" s="35" t="s">
        <v>16</v>
      </c>
      <c r="G54" s="43">
        <v>7.0000000000000007E-2</v>
      </c>
      <c r="H54" s="43">
        <v>0.70000000000000007</v>
      </c>
      <c r="I54" s="26">
        <v>10</v>
      </c>
      <c r="J54" s="35">
        <v>90</v>
      </c>
      <c r="K54" s="35">
        <v>1601009101</v>
      </c>
      <c r="L54" s="23">
        <v>80.115000000000009</v>
      </c>
      <c r="M54" s="23">
        <v>1144.5</v>
      </c>
      <c r="N54" s="28">
        <v>0</v>
      </c>
      <c r="O54" s="36">
        <f>Прайс2кв5623[[#This Row],[Заказ в коробах]]*Прайс2кв5623[[#This Row],[Вес коробки кг]]</f>
        <v>0</v>
      </c>
      <c r="P54" s="56"/>
    </row>
    <row r="55" spans="1:16" ht="15" customHeight="1">
      <c r="A55" s="29">
        <v>1010032887</v>
      </c>
      <c r="B55" s="54" t="s">
        <v>57</v>
      </c>
      <c r="C55" s="31" t="s">
        <v>13</v>
      </c>
      <c r="D55" s="39" t="s">
        <v>19</v>
      </c>
      <c r="E55" s="42" t="s">
        <v>15</v>
      </c>
      <c r="F55" s="44" t="s">
        <v>16</v>
      </c>
      <c r="G55" s="43">
        <v>0.05</v>
      </c>
      <c r="H55" s="43">
        <v>0.60000000000000009</v>
      </c>
      <c r="I55" s="26">
        <v>12.000000000000002</v>
      </c>
      <c r="J55" s="35">
        <v>90</v>
      </c>
      <c r="K55" s="35">
        <v>1601009101</v>
      </c>
      <c r="L55" s="23">
        <v>60.758500000000005</v>
      </c>
      <c r="M55" s="23">
        <v>1215.17</v>
      </c>
      <c r="N55" s="28">
        <v>0</v>
      </c>
      <c r="O55" s="36">
        <f>Прайс2кв5623[[#This Row],[Заказ в коробах]]*Прайс2кв5623[[#This Row],[Вес коробки кг]]</f>
        <v>0</v>
      </c>
      <c r="P55" s="56"/>
    </row>
    <row r="56" spans="1:16" ht="15" customHeight="1">
      <c r="A56" s="29">
        <v>1010032755</v>
      </c>
      <c r="B56" s="48" t="s">
        <v>63</v>
      </c>
      <c r="C56" s="31" t="s">
        <v>13</v>
      </c>
      <c r="D56" s="39" t="s">
        <v>19</v>
      </c>
      <c r="E56" s="42" t="s">
        <v>15</v>
      </c>
      <c r="F56" s="44" t="s">
        <v>16</v>
      </c>
      <c r="G56" s="43">
        <v>0.25</v>
      </c>
      <c r="H56" s="43">
        <v>1.5</v>
      </c>
      <c r="I56" s="26">
        <v>6</v>
      </c>
      <c r="J56" s="35">
        <v>150</v>
      </c>
      <c r="K56" s="35">
        <v>1601009101</v>
      </c>
      <c r="L56" s="23">
        <v>227.28750000000002</v>
      </c>
      <c r="M56" s="23">
        <v>909.15000000000009</v>
      </c>
      <c r="N56" s="28">
        <v>0</v>
      </c>
      <c r="O56" s="36">
        <f>Прайс2кв5623[[#This Row],[Заказ в коробах]]*Прайс2кв5623[[#This Row],[Вес коробки кг]]</f>
        <v>0</v>
      </c>
      <c r="P56" s="56"/>
    </row>
    <row r="57" spans="1:16" ht="15" customHeight="1">
      <c r="A57" s="35">
        <v>1010033329</v>
      </c>
      <c r="B57" s="48" t="s">
        <v>67</v>
      </c>
      <c r="C57" s="31" t="s">
        <v>13</v>
      </c>
      <c r="D57" s="39" t="s">
        <v>19</v>
      </c>
      <c r="E57" s="42" t="s">
        <v>15</v>
      </c>
      <c r="F57" s="44" t="s">
        <v>16</v>
      </c>
      <c r="G57" s="43">
        <v>0.28000000000000003</v>
      </c>
      <c r="H57" s="43">
        <v>1.6800000000000002</v>
      </c>
      <c r="I57" s="26">
        <v>6</v>
      </c>
      <c r="J57" s="35">
        <v>120</v>
      </c>
      <c r="K57" s="35">
        <v>1601009101</v>
      </c>
      <c r="L57" s="23">
        <v>180.48800000000003</v>
      </c>
      <c r="M57" s="23">
        <v>644.6</v>
      </c>
      <c r="N57" s="28">
        <v>50.000000000000007</v>
      </c>
      <c r="O57" s="36">
        <f>Прайс2кв5623[[#This Row],[Заказ в коробах]]*Прайс2кв5623[[#This Row],[Вес коробки кг]]</f>
        <v>84.000000000000014</v>
      </c>
      <c r="P57" s="56"/>
    </row>
    <row r="58" spans="1:16" ht="15" customHeight="1">
      <c r="A58" s="35">
        <v>1010033335</v>
      </c>
      <c r="B58" s="48" t="s">
        <v>68</v>
      </c>
      <c r="C58" s="31" t="s">
        <v>13</v>
      </c>
      <c r="D58" s="39" t="s">
        <v>19</v>
      </c>
      <c r="E58" s="42" t="s">
        <v>15</v>
      </c>
      <c r="F58" s="44" t="s">
        <v>16</v>
      </c>
      <c r="G58" s="43">
        <v>0.28000000000000003</v>
      </c>
      <c r="H58" s="43">
        <v>1.6800000000000002</v>
      </c>
      <c r="I58" s="26">
        <v>6</v>
      </c>
      <c r="J58" s="35">
        <v>120</v>
      </c>
      <c r="K58" s="35">
        <v>1601009101</v>
      </c>
      <c r="L58" s="23">
        <v>269.31520000000006</v>
      </c>
      <c r="M58" s="23">
        <v>961.84</v>
      </c>
      <c r="N58" s="28">
        <v>33</v>
      </c>
      <c r="O58" s="36">
        <f>Прайс2кв5623[[#This Row],[Заказ в коробах]]*Прайс2кв5623[[#This Row],[Вес коробки кг]]</f>
        <v>55.440000000000005</v>
      </c>
      <c r="P58" s="56"/>
    </row>
    <row r="59" spans="1:16" ht="15" customHeight="1">
      <c r="A59" s="29">
        <v>1010033901</v>
      </c>
      <c r="B59" s="30" t="s">
        <v>74</v>
      </c>
      <c r="C59" s="31" t="s">
        <v>13</v>
      </c>
      <c r="D59" s="39" t="s">
        <v>75</v>
      </c>
      <c r="E59" s="42" t="s">
        <v>15</v>
      </c>
      <c r="F59" s="35" t="s">
        <v>16</v>
      </c>
      <c r="G59" s="33">
        <v>0.5</v>
      </c>
      <c r="H59" s="33">
        <v>2</v>
      </c>
      <c r="I59" s="26">
        <v>4</v>
      </c>
      <c r="J59" s="35">
        <v>45</v>
      </c>
      <c r="K59" s="35" t="s">
        <v>72</v>
      </c>
      <c r="L59" s="23">
        <v>315.20500000000004</v>
      </c>
      <c r="M59" s="23">
        <v>630.41000000000008</v>
      </c>
      <c r="N59" s="28">
        <v>0</v>
      </c>
      <c r="O59" s="36">
        <f>Прайс2кв5623[[#This Row],[Заказ в коробах]]*Прайс2кв5623[[#This Row],[Вес коробки кг]]</f>
        <v>0</v>
      </c>
      <c r="P59" s="56"/>
    </row>
    <row r="60" spans="1:16" ht="15" customHeight="1">
      <c r="A60" s="29">
        <v>1010033903</v>
      </c>
      <c r="B60" s="30" t="s">
        <v>76</v>
      </c>
      <c r="C60" s="31" t="s">
        <v>13</v>
      </c>
      <c r="D60" s="39" t="s">
        <v>75</v>
      </c>
      <c r="E60" s="42" t="s">
        <v>15</v>
      </c>
      <c r="F60" s="35" t="s">
        <v>16</v>
      </c>
      <c r="G60" s="33">
        <v>0.5</v>
      </c>
      <c r="H60" s="33">
        <v>2</v>
      </c>
      <c r="I60" s="26">
        <v>4</v>
      </c>
      <c r="J60" s="35">
        <v>45</v>
      </c>
      <c r="K60" s="35" t="s">
        <v>77</v>
      </c>
      <c r="L60" s="23">
        <v>266.03500000000003</v>
      </c>
      <c r="M60" s="23">
        <v>532.07000000000005</v>
      </c>
      <c r="N60" s="28">
        <v>88</v>
      </c>
      <c r="O60" s="36">
        <f>Прайс2кв5623[[#This Row],[Заказ в коробах]]*Прайс2кв5623[[#This Row],[Вес коробки кг]]</f>
        <v>176</v>
      </c>
      <c r="P60" s="56"/>
    </row>
    <row r="61" spans="1:16" ht="15" customHeight="1">
      <c r="A61" s="29">
        <v>1010026904</v>
      </c>
      <c r="B61" s="30" t="s">
        <v>26</v>
      </c>
      <c r="C61" s="31" t="s">
        <v>13</v>
      </c>
      <c r="D61" s="39" t="s">
        <v>27</v>
      </c>
      <c r="E61" s="42" t="s">
        <v>15</v>
      </c>
      <c r="F61" s="35" t="s">
        <v>16</v>
      </c>
      <c r="G61" s="33">
        <v>0.04</v>
      </c>
      <c r="H61" s="33">
        <v>0.4</v>
      </c>
      <c r="I61" s="26">
        <v>10</v>
      </c>
      <c r="J61" s="35">
        <v>120</v>
      </c>
      <c r="K61" s="35">
        <v>1602321900</v>
      </c>
      <c r="L61" s="23">
        <v>72.424000000000007</v>
      </c>
      <c r="M61" s="23">
        <v>1810.6000000000001</v>
      </c>
      <c r="N61" s="28">
        <v>0</v>
      </c>
      <c r="O61" s="36">
        <f>Прайс2кв5623[[#This Row],[Заказ в коробах]]*Прайс2кв5623[[#This Row],[Вес коробки кг]]</f>
        <v>0</v>
      </c>
      <c r="P61" s="56"/>
    </row>
    <row r="62" spans="1:16" ht="15" customHeight="1">
      <c r="A62" s="29">
        <v>1010026900</v>
      </c>
      <c r="B62" s="30" t="s">
        <v>28</v>
      </c>
      <c r="C62" s="31" t="s">
        <v>13</v>
      </c>
      <c r="D62" s="39" t="s">
        <v>27</v>
      </c>
      <c r="E62" s="42" t="s">
        <v>15</v>
      </c>
      <c r="F62" s="35" t="s">
        <v>16</v>
      </c>
      <c r="G62" s="33">
        <v>0.04</v>
      </c>
      <c r="H62" s="33">
        <v>0.4</v>
      </c>
      <c r="I62" s="26">
        <v>10</v>
      </c>
      <c r="J62" s="35">
        <v>120</v>
      </c>
      <c r="K62" s="35">
        <v>1602509509</v>
      </c>
      <c r="L62" s="23">
        <v>149.30080000000001</v>
      </c>
      <c r="M62" s="23">
        <v>3732.52</v>
      </c>
      <c r="N62" s="28">
        <v>0</v>
      </c>
      <c r="O62" s="36">
        <f>Прайс2кв5623[[#This Row],[Заказ в коробах]]*Прайс2кв5623[[#This Row],[Вес коробки кг]]</f>
        <v>0</v>
      </c>
      <c r="P62" s="56"/>
    </row>
    <row r="63" spans="1:16" ht="15" customHeight="1">
      <c r="A63" s="29">
        <v>1010026898</v>
      </c>
      <c r="B63" s="30" t="s">
        <v>29</v>
      </c>
      <c r="C63" s="31" t="s">
        <v>13</v>
      </c>
      <c r="D63" s="39" t="s">
        <v>27</v>
      </c>
      <c r="E63" s="42" t="s">
        <v>15</v>
      </c>
      <c r="F63" s="35" t="s">
        <v>16</v>
      </c>
      <c r="G63" s="33">
        <v>0.04</v>
      </c>
      <c r="H63" s="33">
        <v>0.4</v>
      </c>
      <c r="I63" s="26">
        <v>10</v>
      </c>
      <c r="J63" s="35">
        <v>120</v>
      </c>
      <c r="K63" s="35">
        <v>1602491900</v>
      </c>
      <c r="L63" s="23">
        <v>78.641200000000012</v>
      </c>
      <c r="M63" s="23">
        <v>1966.0300000000002</v>
      </c>
      <c r="N63" s="28">
        <v>0</v>
      </c>
      <c r="O63" s="36">
        <f>Прайс2кв5623[[#This Row],[Заказ в коробах]]*Прайс2кв5623[[#This Row],[Вес коробки кг]]</f>
        <v>0</v>
      </c>
      <c r="P63" s="56"/>
    </row>
    <row r="64" spans="1:16" ht="15" customHeight="1">
      <c r="A64" s="35">
        <v>1010033140</v>
      </c>
      <c r="B64" s="55" t="s">
        <v>58</v>
      </c>
      <c r="C64" s="31" t="s">
        <v>13</v>
      </c>
      <c r="D64" s="39" t="s">
        <v>27</v>
      </c>
      <c r="E64" s="42" t="s">
        <v>15</v>
      </c>
      <c r="F64" s="44" t="s">
        <v>16</v>
      </c>
      <c r="G64" s="43">
        <v>0.04</v>
      </c>
      <c r="H64" s="43">
        <v>0.4</v>
      </c>
      <c r="I64" s="26">
        <v>10</v>
      </c>
      <c r="J64" s="35">
        <v>120</v>
      </c>
      <c r="K64" s="35">
        <v>1602321900</v>
      </c>
      <c r="L64" s="23">
        <v>71.799199999999999</v>
      </c>
      <c r="M64" s="23">
        <v>1794.98</v>
      </c>
      <c r="N64" s="28">
        <v>0</v>
      </c>
      <c r="O64" s="36">
        <f>Прайс2кв5623[[#This Row],[Заказ в коробах]]*Прайс2кв5623[[#This Row],[Вес коробки кг]]</f>
        <v>0</v>
      </c>
      <c r="P64" s="56"/>
    </row>
    <row r="65" spans="1:15" ht="15" customHeight="1">
      <c r="A65" s="6"/>
      <c r="B65" s="7"/>
      <c r="C65" s="8"/>
      <c r="D65" s="9"/>
      <c r="E65" s="8"/>
      <c r="F65" s="10"/>
      <c r="G65" s="11"/>
      <c r="H65" s="11"/>
      <c r="I65" s="15"/>
      <c r="J65" s="12"/>
      <c r="K65" s="12"/>
      <c r="L65" s="13"/>
      <c r="M65" s="13"/>
      <c r="N65" s="17">
        <f>SUBTOTAL(109,Прайс2кв5623[Заказ в коробах])</f>
        <v>752</v>
      </c>
      <c r="O65" s="18">
        <f>SUBTOTAL(109,Прайс2кв5623[Заказ в КГ])</f>
        <v>1379.94</v>
      </c>
    </row>
  </sheetData>
  <phoneticPr fontId="8" type="noConversion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Ассортимент 2026г</vt:lpstr>
    </vt:vector>
  </TitlesOfParts>
  <Company>Miratorg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Байжанов</dc:creator>
  <cp:lastModifiedBy>Uaer4</cp:lastModifiedBy>
  <dcterms:created xsi:type="dcterms:W3CDTF">2025-07-09T05:58:53Z</dcterms:created>
  <dcterms:modified xsi:type="dcterms:W3CDTF">2026-01-21T08:02:54Z</dcterms:modified>
</cp:coreProperties>
</file>