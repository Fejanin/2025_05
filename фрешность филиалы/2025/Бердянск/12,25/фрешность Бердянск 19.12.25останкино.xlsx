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25725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86" i="1"/>
  <c r="AB85"/>
  <c r="AB84"/>
  <c r="AB90"/>
  <c r="AB91"/>
  <c r="AA72"/>
  <c r="AA73"/>
  <c r="AA74"/>
  <c r="AA75"/>
  <c r="AA76"/>
  <c r="AA77"/>
  <c r="AA78"/>
  <c r="AA79"/>
  <c r="AA80"/>
  <c r="AA81"/>
  <c r="AA82"/>
  <c r="AA83"/>
  <c r="AA84"/>
  <c r="AA85"/>
  <c r="AA86"/>
  <c r="AA87"/>
  <c r="AA88"/>
  <c r="AA89"/>
  <c r="AA90"/>
  <c r="AA91"/>
  <c r="AA71"/>
  <c r="AB80"/>
  <c r="AB83"/>
  <c r="AB82"/>
  <c r="AB78"/>
  <c r="Z103" l="1"/>
  <c r="Z102"/>
  <c r="Z101"/>
  <c r="Z100"/>
  <c r="Z99"/>
  <c r="Z98"/>
  <c r="Z97"/>
  <c r="Z96"/>
  <c r="Z95"/>
  <c r="Z94"/>
  <c r="Z93"/>
  <c r="Z92"/>
  <c r="Z91"/>
  <c r="Z90"/>
  <c r="Z89"/>
  <c r="Z88"/>
  <c r="Z87"/>
  <c r="Z86"/>
  <c r="Z85"/>
  <c r="Z84"/>
  <c r="Z83"/>
  <c r="Z82"/>
  <c r="Z81"/>
  <c r="Z80"/>
  <c r="Z79"/>
  <c r="Z78"/>
  <c r="Z77"/>
  <c r="Z76"/>
  <c r="Z75"/>
  <c r="Z74"/>
  <c r="Z73"/>
  <c r="Z72"/>
  <c r="Z71"/>
  <c r="Z70"/>
  <c r="Z69"/>
  <c r="Z68"/>
  <c r="Z67"/>
  <c r="Z66"/>
  <c r="Z65"/>
  <c r="Z64"/>
  <c r="Z63"/>
  <c r="Z62"/>
  <c r="Z61"/>
  <c r="Z60"/>
  <c r="Z59"/>
  <c r="Z58"/>
  <c r="Z57"/>
  <c r="Z56"/>
  <c r="Z55"/>
  <c r="Z54"/>
  <c r="Z53"/>
  <c r="Z52"/>
  <c r="Z51"/>
  <c r="Z50"/>
  <c r="Z49"/>
  <c r="Z48"/>
  <c r="Z47"/>
  <c r="Z46"/>
  <c r="Z45"/>
  <c r="Z44"/>
  <c r="Z43"/>
  <c r="Z42"/>
  <c r="Z41"/>
  <c r="Z40"/>
  <c r="Z39"/>
  <c r="Z38"/>
  <c r="Z37"/>
  <c r="Z36"/>
  <c r="Z35"/>
  <c r="Z34"/>
  <c r="Z33"/>
  <c r="Z32"/>
  <c r="Z31"/>
  <c r="Z30"/>
  <c r="Z29"/>
  <c r="Z28"/>
  <c r="Z27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Z6"/>
  <c r="Z5"/>
  <c r="Z4"/>
  <c r="Z3"/>
  <c r="Z1"/>
  <c r="U84"/>
  <c r="U83"/>
  <c r="U82"/>
  <c r="U78"/>
  <c r="U79"/>
  <c r="U80"/>
  <c r="U81"/>
  <c r="U77"/>
  <c r="U76" l="1"/>
  <c r="U75"/>
  <c r="U74"/>
  <c r="U73"/>
  <c r="U72"/>
  <c r="T103"/>
  <c r="S103"/>
  <c r="T102"/>
  <c r="S102"/>
  <c r="T101"/>
  <c r="S101"/>
  <c r="T100"/>
  <c r="S100"/>
  <c r="T99"/>
  <c r="S99"/>
  <c r="T98"/>
  <c r="S98"/>
  <c r="T97"/>
  <c r="S97"/>
  <c r="T96"/>
  <c r="S96"/>
  <c r="T95"/>
  <c r="S95"/>
  <c r="T94"/>
  <c r="S94"/>
  <c r="T93"/>
  <c r="S93"/>
  <c r="T92"/>
  <c r="S92"/>
  <c r="T91"/>
  <c r="S91"/>
  <c r="T90"/>
  <c r="S90"/>
  <c r="T89"/>
  <c r="S89"/>
  <c r="T88"/>
  <c r="S88"/>
  <c r="T87"/>
  <c r="S87"/>
  <c r="T86"/>
  <c r="S86"/>
  <c r="T85"/>
  <c r="S85"/>
  <c r="T84"/>
  <c r="S84"/>
  <c r="T83"/>
  <c r="S83"/>
  <c r="T82"/>
  <c r="S82"/>
  <c r="T81"/>
  <c r="S81"/>
  <c r="T80"/>
  <c r="S80"/>
  <c r="T79"/>
  <c r="S79"/>
  <c r="T78"/>
  <c r="S78"/>
  <c r="T77"/>
  <c r="S77"/>
  <c r="T76"/>
  <c r="S76"/>
  <c r="T75"/>
  <c r="S75"/>
  <c r="T74"/>
  <c r="S74"/>
  <c r="T73"/>
  <c r="S73"/>
  <c r="T72"/>
  <c r="S72"/>
  <c r="T71"/>
  <c r="S71"/>
  <c r="T70"/>
  <c r="S70"/>
  <c r="T69"/>
  <c r="S69"/>
  <c r="T68"/>
  <c r="S68"/>
  <c r="T67"/>
  <c r="S67"/>
  <c r="T66"/>
  <c r="S66"/>
  <c r="T65"/>
  <c r="S65"/>
  <c r="T64"/>
  <c r="S64"/>
  <c r="T63"/>
  <c r="S63"/>
  <c r="T62"/>
  <c r="S62"/>
  <c r="T61"/>
  <c r="S61"/>
  <c r="T60"/>
  <c r="S60"/>
  <c r="T59"/>
  <c r="S59"/>
  <c r="T58"/>
  <c r="S58"/>
  <c r="T57"/>
  <c r="S57"/>
  <c r="T56"/>
  <c r="S56"/>
  <c r="T55"/>
  <c r="S55"/>
  <c r="T54"/>
  <c r="S54"/>
  <c r="T53"/>
  <c r="S53"/>
  <c r="T52"/>
  <c r="S52"/>
  <c r="T51"/>
  <c r="S51"/>
  <c r="T50"/>
  <c r="S50"/>
  <c r="T49"/>
  <c r="S49"/>
  <c r="T48"/>
  <c r="S48"/>
  <c r="T47"/>
  <c r="S47"/>
  <c r="T46"/>
  <c r="S46"/>
  <c r="T45"/>
  <c r="S45"/>
  <c r="T44"/>
  <c r="S44"/>
  <c r="T43"/>
  <c r="S43"/>
  <c r="T42"/>
  <c r="S42"/>
  <c r="T41"/>
  <c r="S41"/>
  <c r="T40"/>
  <c r="S40"/>
  <c r="T39"/>
  <c r="S39"/>
  <c r="T38"/>
  <c r="S38"/>
  <c r="T37"/>
  <c r="S37"/>
  <c r="T36"/>
  <c r="S36"/>
  <c r="T35"/>
  <c r="S35"/>
  <c r="T34"/>
  <c r="S34"/>
  <c r="T33"/>
  <c r="S33"/>
  <c r="T32"/>
  <c r="S32"/>
  <c r="T31"/>
  <c r="S31"/>
  <c r="T30"/>
  <c r="S30"/>
  <c r="T29"/>
  <c r="S29"/>
  <c r="T28"/>
  <c r="S28"/>
  <c r="T27"/>
  <c r="S27"/>
  <c r="T26"/>
  <c r="S26"/>
  <c r="T25"/>
  <c r="S25"/>
  <c r="T24"/>
  <c r="S24"/>
  <c r="T23"/>
  <c r="S23"/>
  <c r="T22"/>
  <c r="S22"/>
  <c r="T21"/>
  <c r="S21"/>
  <c r="T20"/>
  <c r="S20"/>
  <c r="T19"/>
  <c r="S19"/>
  <c r="T18"/>
  <c r="S18"/>
  <c r="T17"/>
  <c r="S17"/>
  <c r="T16"/>
  <c r="S16"/>
  <c r="T15"/>
  <c r="S15"/>
  <c r="T14"/>
  <c r="S14"/>
  <c r="T13"/>
  <c r="S13"/>
  <c r="T12"/>
  <c r="S12"/>
  <c r="T11"/>
  <c r="S11"/>
  <c r="T10"/>
  <c r="S10"/>
  <c r="T9"/>
  <c r="S9"/>
  <c r="T8"/>
  <c r="S8"/>
  <c r="T7"/>
  <c r="S7"/>
  <c r="T6"/>
  <c r="S6"/>
  <c r="T5"/>
  <c r="S5"/>
  <c r="T4"/>
  <c r="S4"/>
  <c r="T3"/>
  <c r="S3"/>
  <c r="M103" l="1"/>
  <c r="M101"/>
  <c r="M99"/>
  <c r="M97"/>
  <c r="M95"/>
  <c r="M93"/>
  <c r="M91"/>
  <c r="M89"/>
  <c r="M87"/>
  <c r="M85"/>
  <c r="M83"/>
  <c r="M81"/>
  <c r="M79"/>
  <c r="M77"/>
  <c r="M75"/>
  <c r="M73"/>
  <c r="M71"/>
  <c r="M69"/>
  <c r="M67"/>
  <c r="M65"/>
  <c r="M63"/>
  <c r="M61"/>
  <c r="M59"/>
  <c r="M57"/>
  <c r="M55"/>
  <c r="M53"/>
  <c r="M51"/>
  <c r="M49"/>
  <c r="M47"/>
  <c r="M45"/>
  <c r="M43"/>
  <c r="M41"/>
  <c r="M39"/>
  <c r="M37"/>
  <c r="M35"/>
  <c r="M33"/>
  <c r="M31"/>
  <c r="M29"/>
  <c r="M27"/>
  <c r="M25"/>
  <c r="M23"/>
  <c r="M21"/>
  <c r="M19"/>
  <c r="M18"/>
  <c r="M17"/>
  <c r="M16"/>
  <c r="M15"/>
  <c r="M14"/>
  <c r="M13"/>
  <c r="M12"/>
  <c r="M11"/>
  <c r="M10"/>
  <c r="M9"/>
  <c r="M8"/>
  <c r="M7"/>
  <c r="M6"/>
  <c r="M5"/>
  <c r="M4"/>
  <c r="M3"/>
  <c r="M102"/>
  <c r="M100"/>
  <c r="M98"/>
  <c r="M96"/>
  <c r="M94"/>
  <c r="M92"/>
  <c r="M90"/>
  <c r="M88"/>
  <c r="M86"/>
  <c r="M84"/>
  <c r="M82"/>
  <c r="M80"/>
  <c r="M78"/>
  <c r="M76"/>
  <c r="M74"/>
  <c r="M72"/>
  <c r="M70"/>
  <c r="M68"/>
  <c r="M66"/>
  <c r="M64"/>
  <c r="M62"/>
  <c r="M60"/>
  <c r="M58"/>
  <c r="M56"/>
  <c r="M54"/>
  <c r="M52"/>
  <c r="M50"/>
  <c r="M48"/>
  <c r="M46"/>
  <c r="M44"/>
  <c r="M42"/>
  <c r="M40"/>
  <c r="M38"/>
  <c r="M36"/>
  <c r="M34"/>
  <c r="M32"/>
  <c r="M30"/>
  <c r="M28"/>
  <c r="M26"/>
  <c r="M24"/>
  <c r="M22"/>
  <c r="M20"/>
  <c r="N103"/>
  <c r="N102"/>
  <c r="N101"/>
  <c r="N100"/>
  <c r="N99"/>
  <c r="N98"/>
  <c r="N97"/>
  <c r="N96"/>
  <c r="N95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N8"/>
  <c r="N7"/>
  <c r="N6"/>
  <c r="N5"/>
  <c r="N4"/>
  <c r="N3"/>
  <c r="H71"/>
  <c r="H95"/>
  <c r="H97"/>
  <c r="H99"/>
  <c r="H101"/>
  <c r="H103"/>
  <c r="H96"/>
  <c r="H98"/>
  <c r="H100"/>
  <c r="H102"/>
  <c r="G71"/>
  <c r="G95"/>
  <c r="G97"/>
  <c r="G99"/>
  <c r="G101"/>
  <c r="G103"/>
  <c r="G96"/>
  <c r="G98"/>
  <c r="G100"/>
  <c r="G102"/>
  <c r="H94"/>
  <c r="G94"/>
  <c r="H92"/>
  <c r="G92"/>
  <c r="H93"/>
  <c r="H91"/>
  <c r="G93"/>
  <c r="G91"/>
  <c r="G90"/>
  <c r="H90"/>
  <c r="H89"/>
  <c r="G89"/>
  <c r="H88"/>
  <c r="G88"/>
  <c r="H87"/>
  <c r="G87"/>
  <c r="H86"/>
  <c r="G86"/>
  <c r="H85"/>
  <c r="G85"/>
  <c r="H84"/>
  <c r="G84"/>
  <c r="H83"/>
  <c r="G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<sst xmlns="http://schemas.openxmlformats.org/spreadsheetml/2006/main" count="408" uniqueCount="94">
  <si>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</si>
  <si>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</si>
  <si>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</si>
  <si>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</si>
  <si>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</si>
  <si>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</si>
  <si>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</si>
  <si>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</si>
  <si>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</si>
  <si>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</si>
  <si>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</si>
  <si>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</si>
  <si>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</si>
  <si>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</si>
  <si>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</si>
  <si>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</si>
  <si>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</si>
  <si>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</si>
  <si>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</si>
  <si>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</si>
  <si>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</si>
  <si>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</si>
  <si>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</si>
  <si>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</si>
  <si>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</si>
  <si>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</si>
  <si>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</si>
  <si>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</si>
  <si>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</si>
  <si>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</si>
  <si>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</si>
  <si>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</si>
  <si>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</si>
  <si>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</si>
  <si>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</si>
  <si>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</si>
  <si>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</si>
  <si>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</si>
  <si>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</si>
  <si>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</si>
  <si>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</si>
  <si>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</si>
  <si>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</si>
  <si>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</si>
  <si>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</si>
  <si>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</si>
  <si>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</si>
  <si>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</si>
  <si>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</si>
  <si>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</si>
  <si>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</si>
  <si>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</si>
  <si>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</si>
  <si>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</si>
  <si>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</si>
  <si>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</si>
  <si>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</si>
  <si>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</si>
  <si>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</si>
  <si>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</si>
  <si>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</si>
  <si>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</si>
  <si>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</si>
  <si>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</si>
  <si>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</si>
  <si>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</si>
  <si>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</si>
  <si>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</si>
  <si>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</si>
  <si>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</si>
  <si>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</si>
  <si>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</si>
  <si>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</si>
  <si>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</si>
  <si>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</si>
  <si>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</si>
  <si>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</si>
  <si>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</si>
  <si>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КГ</t>
  </si>
  <si>
    <t>Сыр Сливочный со вкусом топленого молока 45% ти Папа Может, брус (2 шт)  Останкино, 5522704</t>
  </si>
  <si>
    <t>Плавленый Сыр колбасный копченый 40% СТМ"ПапаМожет"400гр  Останкино, 9988452</t>
  </si>
  <si>
    <t>6793 БАЛЫКОВАЯ в/к в/у 0,33кг 8шт  Останкино, 1001303636793</t>
  </si>
  <si>
    <t>7276 СЛИВОЧНЫЕ ПМ сос п/о мгс 0,3кг 7шт  Останкино, 1001022467276</t>
  </si>
  <si>
    <t>6208 ДЫМОВИЦА ИЗ ЛОПАТКИ ПМ к/в с/н в/у 1/150  Останкино, 1001220226208</t>
  </si>
  <si>
    <t>7284 ДЛЯ ДЕТЕЙ сос п/о мгс 0,33кг 6шт  Останкино, 1001025767284</t>
  </si>
  <si>
    <t>6602 БАВАРСКИЕ ПМ сос ц/о мгс 0,35кг 8шт  Останкино, 1001021966602</t>
  </si>
  <si>
    <t>7001 КЛАССИЧЕСКИЕ Папа может сар б/о мгс 1*3  Останкино, 1001035937001</t>
  </si>
  <si>
    <t>Продано</t>
  </si>
  <si>
    <t>Списано</t>
  </si>
  <si>
    <t>7149 БАЛЫКОВАЯ Коровино п/к в/у 0,84кг_50с  Останкино, 1001303637149</t>
  </si>
  <si>
    <t>7075 МОЛОЧ.ПРЕМИУМ ПМ сос п/о мгс 1,5*4_О_50с  Останкино, 1001022657075</t>
  </si>
  <si>
    <t>6787 СЕРВЕЛАТ КРЕМЛЕВСКИЙ в/к в/у 0,33кг 8шт  Останкино, 1001300456787</t>
  </si>
  <si>
    <t>6807 СЕРВЕЛАТ ЕВРОПЕЙСКИЙ в/к в/у 0,33кг 8шт  Останкино, 1001300366807</t>
  </si>
  <si>
    <t>156,681 (не продано, не списывалось)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</si>
</sst>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  <font>
      <sz val="11"/>
      <color indexed="24"/>
      <name val="Calibri"/>
      <family val="2"/>
      <charset val="204"/>
      <scheme val="minor"/>
    </font>
    <font>
      <sz val="11"/>
      <color indexed="63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8" fillId="0" borderId="0"/>
  </cellStyleXfs>
  <cellXfs count="65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1" fontId="7" fillId="0" borderId="1" xfId="1" applyNumberFormat="1" applyFont="1" applyBorder="1" applyAlignment="1">
      <alignment horizontal="center" vertical="center"/>
    </xf>
    <xf numFmtId="0" fontId="8" fillId="0" borderId="2" xfId="2" applyNumberFormat="1" applyFont="1" applyBorder="1" applyAlignment="1">
      <alignment vertical="top" wrapText="1" indent="6"/>
    </xf>
    <xf numFmtId="1" fontId="7" fillId="0" borderId="5" xfId="1" applyNumberFormat="1" applyFont="1" applyBorder="1" applyAlignment="1">
      <alignment horizontal="center" vertical="center"/>
    </xf>
    <xf numFmtId="0" fontId="8" fillId="5" borderId="2" xfId="2" applyNumberFormat="1" applyFont="1" applyFill="1" applyBorder="1" applyAlignment="1">
      <alignment vertical="top" wrapText="1" indent="6"/>
    </xf>
    <xf numFmtId="0" fontId="8" fillId="5" borderId="2" xfId="2" applyFill="1" applyBorder="1" applyAlignment="1">
      <alignment vertical="top" wrapText="1" indent="4"/>
    </xf>
    <xf numFmtId="2" fontId="10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7" borderId="0" xfId="0" applyNumberFormat="1" applyFill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0" fillId="7" borderId="0" xfId="0" applyNumberForma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2" fontId="11" fillId="3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6" fontId="8" fillId="5" borderId="2" xfId="2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12" fillId="5" borderId="2" xfId="2" applyNumberFormat="1" applyFon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 wrapText="1"/>
    </xf>
    <xf numFmtId="2" fontId="12" fillId="0" borderId="2" xfId="2" applyNumberFormat="1" applyFont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 wrapText="1"/>
    </xf>
    <xf numFmtId="166" fontId="8" fillId="0" borderId="2" xfId="2" applyNumberFormat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 wrapText="1"/>
    </xf>
    <xf numFmtId="167" fontId="8" fillId="0" borderId="2" xfId="2" applyNumberForma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16" fontId="5" fillId="3" borderId="1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66" fontId="8" fillId="0" borderId="4" xfId="2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 wrapText="1"/>
    </xf>
    <xf numFmtId="2" fontId="12" fillId="0" borderId="4" xfId="2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2" fontId="12" fillId="6" borderId="2" xfId="2" applyNumberFormat="1" applyFont="1" applyFill="1" applyBorder="1" applyAlignment="1">
      <alignment horizontal="center" vertical="center"/>
    </xf>
    <xf numFmtId="2" fontId="1" fillId="6" borderId="0" xfId="0" applyNumberFormat="1" applyFont="1" applyFill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57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O110"/>
  <sheetViews>
    <sheetView tabSelected="1" zoomScale="85" zoomScaleNormal="85" workbookViewId="0">
      <selection activeCell="B1" sqref="B1:X1048576"/>
    </sheetView>
  </sheetViews>
  <sheetFormatPr defaultColWidth="8.85546875" defaultRowHeight="15"/>
  <cols>
    <col min="1" max="1" width="4" style="1" customWidth="1"/>
    <col min="2" max="2" width="44.7109375" style="1" customWidth="1"/>
    <col min="3" max="3" width="4.85546875" style="13" customWidth="1"/>
    <col min="4" max="4" width="9" style="13" customWidth="1"/>
    <col min="5" max="5" width="12.7109375" style="14" customWidth="1"/>
    <col min="6" max="6" width="10.5703125" style="14" customWidth="1"/>
    <col min="7" max="7" width="13.28515625" style="13" customWidth="1"/>
    <col min="8" max="8" width="13" style="13" customWidth="1"/>
    <col min="9" max="9" width="4.85546875" style="13" customWidth="1"/>
    <col min="10" max="10" width="7.42578125" style="16" customWidth="1"/>
    <col min="11" max="11" width="11.42578125" style="14" customWidth="1"/>
    <col min="12" max="12" width="10.28515625" style="14" customWidth="1"/>
    <col min="13" max="14" width="11.28515625" style="13" customWidth="1"/>
    <col min="15" max="15" width="4.85546875" style="13" customWidth="1"/>
    <col min="16" max="16" width="8.42578125" style="16" customWidth="1"/>
    <col min="17" max="17" width="11.42578125" style="14" customWidth="1"/>
    <col min="18" max="18" width="10.28515625" style="14" customWidth="1"/>
    <col min="19" max="20" width="11.28515625" style="13" customWidth="1"/>
    <col min="21" max="21" width="0.140625" style="61" customWidth="1"/>
    <col min="22" max="22" width="4.85546875" style="13" customWidth="1"/>
    <col min="23" max="23" width="8.42578125" style="16" customWidth="1"/>
    <col min="24" max="25" width="13" style="14" customWidth="1"/>
    <col min="26" max="26" width="13" style="13" customWidth="1"/>
    <col min="27" max="27" width="11.28515625" style="13" customWidth="1"/>
    <col min="28" max="28" width="20.5703125" style="61" customWidth="1"/>
    <col min="29" max="41" width="23.42578125" style="13" customWidth="1"/>
    <col min="42" max="107" width="8.85546875" style="1"/>
    <col min="108" max="108" width="4" style="1" customWidth="1"/>
    <col min="109" max="109" width="59.7109375" style="1" customWidth="1"/>
    <col min="110" max="110" width="4.85546875" style="1" customWidth="1"/>
    <col min="111" max="111" width="9" style="1" customWidth="1"/>
    <col min="112" max="112" width="15.85546875" style="1" customWidth="1"/>
    <col min="113" max="113" width="15.7109375" style="1" customWidth="1"/>
    <col min="114" max="114" width="15.42578125" style="1" customWidth="1"/>
    <col min="115" max="115" width="17.140625" style="1" customWidth="1"/>
    <col min="116" max="116" width="37.85546875" style="1" customWidth="1"/>
    <col min="117" max="117" width="36.5703125" style="1" customWidth="1"/>
    <col min="118" max="118" width="29.42578125" style="1" customWidth="1"/>
    <col min="119" max="363" width="8.85546875" style="1"/>
    <col min="364" max="364" width="4" style="1" customWidth="1"/>
    <col min="365" max="365" width="59.7109375" style="1" customWidth="1"/>
    <col min="366" max="366" width="4.85546875" style="1" customWidth="1"/>
    <col min="367" max="367" width="9" style="1" customWidth="1"/>
    <col min="368" max="368" width="15.85546875" style="1" customWidth="1"/>
    <col min="369" max="369" width="15.7109375" style="1" customWidth="1"/>
    <col min="370" max="370" width="15.42578125" style="1" customWidth="1"/>
    <col min="371" max="371" width="17.140625" style="1" customWidth="1"/>
    <col min="372" max="372" width="37.85546875" style="1" customWidth="1"/>
    <col min="373" max="373" width="36.5703125" style="1" customWidth="1"/>
    <col min="374" max="374" width="29.42578125" style="1" customWidth="1"/>
    <col min="375" max="619" width="8.85546875" style="1"/>
    <col min="620" max="620" width="4" style="1" customWidth="1"/>
    <col min="621" max="621" width="59.7109375" style="1" customWidth="1"/>
    <col min="622" max="622" width="4.85546875" style="1" customWidth="1"/>
    <col min="623" max="623" width="9" style="1" customWidth="1"/>
    <col min="624" max="624" width="15.85546875" style="1" customWidth="1"/>
    <col min="625" max="625" width="15.7109375" style="1" customWidth="1"/>
    <col min="626" max="626" width="15.42578125" style="1" customWidth="1"/>
    <col min="627" max="627" width="17.140625" style="1" customWidth="1"/>
    <col min="628" max="628" width="37.85546875" style="1" customWidth="1"/>
    <col min="629" max="629" width="36.5703125" style="1" customWidth="1"/>
    <col min="630" max="630" width="29.42578125" style="1" customWidth="1"/>
    <col min="631" max="875" width="8.85546875" style="1"/>
    <col min="876" max="876" width="4" style="1" customWidth="1"/>
    <col min="877" max="877" width="59.7109375" style="1" customWidth="1"/>
    <col min="878" max="878" width="4.85546875" style="1" customWidth="1"/>
    <col min="879" max="879" width="9" style="1" customWidth="1"/>
    <col min="880" max="880" width="15.85546875" style="1" customWidth="1"/>
    <col min="881" max="881" width="15.7109375" style="1" customWidth="1"/>
    <col min="882" max="882" width="15.42578125" style="1" customWidth="1"/>
    <col min="883" max="883" width="17.140625" style="1" customWidth="1"/>
    <col min="884" max="884" width="37.85546875" style="1" customWidth="1"/>
    <col min="885" max="885" width="36.5703125" style="1" customWidth="1"/>
    <col min="886" max="886" width="29.42578125" style="1" customWidth="1"/>
    <col min="887" max="1131" width="8.85546875" style="1"/>
    <col min="1132" max="1132" width="4" style="1" customWidth="1"/>
    <col min="1133" max="1133" width="59.7109375" style="1" customWidth="1"/>
    <col min="1134" max="1134" width="4.85546875" style="1" customWidth="1"/>
    <col min="1135" max="1135" width="9" style="1" customWidth="1"/>
    <col min="1136" max="1136" width="15.85546875" style="1" customWidth="1"/>
    <col min="1137" max="1137" width="15.7109375" style="1" customWidth="1"/>
    <col min="1138" max="1138" width="15.42578125" style="1" customWidth="1"/>
    <col min="1139" max="1139" width="17.140625" style="1" customWidth="1"/>
    <col min="1140" max="1140" width="37.85546875" style="1" customWidth="1"/>
    <col min="1141" max="1141" width="36.5703125" style="1" customWidth="1"/>
    <col min="1142" max="1142" width="29.42578125" style="1" customWidth="1"/>
    <col min="1143" max="1387" width="8.85546875" style="1"/>
    <col min="1388" max="1388" width="4" style="1" customWidth="1"/>
    <col min="1389" max="1389" width="59.7109375" style="1" customWidth="1"/>
    <col min="1390" max="1390" width="4.85546875" style="1" customWidth="1"/>
    <col min="1391" max="1391" width="9" style="1" customWidth="1"/>
    <col min="1392" max="1392" width="15.85546875" style="1" customWidth="1"/>
    <col min="1393" max="1393" width="15.7109375" style="1" customWidth="1"/>
    <col min="1394" max="1394" width="15.42578125" style="1" customWidth="1"/>
    <col min="1395" max="1395" width="17.140625" style="1" customWidth="1"/>
    <col min="1396" max="1396" width="37.85546875" style="1" customWidth="1"/>
    <col min="1397" max="1397" width="36.5703125" style="1" customWidth="1"/>
    <col min="1398" max="1398" width="29.42578125" style="1" customWidth="1"/>
    <col min="1399" max="1643" width="8.85546875" style="1"/>
    <col min="1644" max="1644" width="4" style="1" customWidth="1"/>
    <col min="1645" max="1645" width="59.7109375" style="1" customWidth="1"/>
    <col min="1646" max="1646" width="4.85546875" style="1" customWidth="1"/>
    <col min="1647" max="1647" width="9" style="1" customWidth="1"/>
    <col min="1648" max="1648" width="15.85546875" style="1" customWidth="1"/>
    <col min="1649" max="1649" width="15.7109375" style="1" customWidth="1"/>
    <col min="1650" max="1650" width="15.42578125" style="1" customWidth="1"/>
    <col min="1651" max="1651" width="17.140625" style="1" customWidth="1"/>
    <col min="1652" max="1652" width="37.85546875" style="1" customWidth="1"/>
    <col min="1653" max="1653" width="36.5703125" style="1" customWidth="1"/>
    <col min="1654" max="1654" width="29.42578125" style="1" customWidth="1"/>
    <col min="1655" max="1899" width="8.85546875" style="1"/>
    <col min="1900" max="1900" width="4" style="1" customWidth="1"/>
    <col min="1901" max="1901" width="59.7109375" style="1" customWidth="1"/>
    <col min="1902" max="1902" width="4.85546875" style="1" customWidth="1"/>
    <col min="1903" max="1903" width="9" style="1" customWidth="1"/>
    <col min="1904" max="1904" width="15.85546875" style="1" customWidth="1"/>
    <col min="1905" max="1905" width="15.7109375" style="1" customWidth="1"/>
    <col min="1906" max="1906" width="15.42578125" style="1" customWidth="1"/>
    <col min="1907" max="1907" width="17.140625" style="1" customWidth="1"/>
    <col min="1908" max="1908" width="37.85546875" style="1" customWidth="1"/>
    <col min="1909" max="1909" width="36.5703125" style="1" customWidth="1"/>
    <col min="1910" max="1910" width="29.42578125" style="1" customWidth="1"/>
    <col min="1911" max="2155" width="8.85546875" style="1"/>
    <col min="2156" max="2156" width="4" style="1" customWidth="1"/>
    <col min="2157" max="2157" width="59.7109375" style="1" customWidth="1"/>
    <col min="2158" max="2158" width="4.85546875" style="1" customWidth="1"/>
    <col min="2159" max="2159" width="9" style="1" customWidth="1"/>
    <col min="2160" max="2160" width="15.85546875" style="1" customWidth="1"/>
    <col min="2161" max="2161" width="15.7109375" style="1" customWidth="1"/>
    <col min="2162" max="2162" width="15.42578125" style="1" customWidth="1"/>
    <col min="2163" max="2163" width="17.140625" style="1" customWidth="1"/>
    <col min="2164" max="2164" width="37.85546875" style="1" customWidth="1"/>
    <col min="2165" max="2165" width="36.5703125" style="1" customWidth="1"/>
    <col min="2166" max="2166" width="29.42578125" style="1" customWidth="1"/>
    <col min="2167" max="2411" width="8.85546875" style="1"/>
    <col min="2412" max="2412" width="4" style="1" customWidth="1"/>
    <col min="2413" max="2413" width="59.7109375" style="1" customWidth="1"/>
    <col min="2414" max="2414" width="4.85546875" style="1" customWidth="1"/>
    <col min="2415" max="2415" width="9" style="1" customWidth="1"/>
    <col min="2416" max="2416" width="15.85546875" style="1" customWidth="1"/>
    <col min="2417" max="2417" width="15.7109375" style="1" customWidth="1"/>
    <col min="2418" max="2418" width="15.42578125" style="1" customWidth="1"/>
    <col min="2419" max="2419" width="17.140625" style="1" customWidth="1"/>
    <col min="2420" max="2420" width="37.85546875" style="1" customWidth="1"/>
    <col min="2421" max="2421" width="36.5703125" style="1" customWidth="1"/>
    <col min="2422" max="2422" width="29.42578125" style="1" customWidth="1"/>
    <col min="2423" max="2667" width="8.85546875" style="1"/>
    <col min="2668" max="2668" width="4" style="1" customWidth="1"/>
    <col min="2669" max="2669" width="59.7109375" style="1" customWidth="1"/>
    <col min="2670" max="2670" width="4.85546875" style="1" customWidth="1"/>
    <col min="2671" max="2671" width="9" style="1" customWidth="1"/>
    <col min="2672" max="2672" width="15.85546875" style="1" customWidth="1"/>
    <col min="2673" max="2673" width="15.7109375" style="1" customWidth="1"/>
    <col min="2674" max="2674" width="15.42578125" style="1" customWidth="1"/>
    <col min="2675" max="2675" width="17.140625" style="1" customWidth="1"/>
    <col min="2676" max="2676" width="37.85546875" style="1" customWidth="1"/>
    <col min="2677" max="2677" width="36.5703125" style="1" customWidth="1"/>
    <col min="2678" max="2678" width="29.42578125" style="1" customWidth="1"/>
    <col min="2679" max="2923" width="8.85546875" style="1"/>
    <col min="2924" max="2924" width="4" style="1" customWidth="1"/>
    <col min="2925" max="2925" width="59.7109375" style="1" customWidth="1"/>
    <col min="2926" max="2926" width="4.85546875" style="1" customWidth="1"/>
    <col min="2927" max="2927" width="9" style="1" customWidth="1"/>
    <col min="2928" max="2928" width="15.85546875" style="1" customWidth="1"/>
    <col min="2929" max="2929" width="15.7109375" style="1" customWidth="1"/>
    <col min="2930" max="2930" width="15.42578125" style="1" customWidth="1"/>
    <col min="2931" max="2931" width="17.140625" style="1" customWidth="1"/>
    <col min="2932" max="2932" width="37.85546875" style="1" customWidth="1"/>
    <col min="2933" max="2933" width="36.5703125" style="1" customWidth="1"/>
    <col min="2934" max="2934" width="29.42578125" style="1" customWidth="1"/>
    <col min="2935" max="3179" width="8.85546875" style="1"/>
    <col min="3180" max="3180" width="4" style="1" customWidth="1"/>
    <col min="3181" max="3181" width="59.7109375" style="1" customWidth="1"/>
    <col min="3182" max="3182" width="4.85546875" style="1" customWidth="1"/>
    <col min="3183" max="3183" width="9" style="1" customWidth="1"/>
    <col min="3184" max="3184" width="15.85546875" style="1" customWidth="1"/>
    <col min="3185" max="3185" width="15.7109375" style="1" customWidth="1"/>
    <col min="3186" max="3186" width="15.42578125" style="1" customWidth="1"/>
    <col min="3187" max="3187" width="17.140625" style="1" customWidth="1"/>
    <col min="3188" max="3188" width="37.85546875" style="1" customWidth="1"/>
    <col min="3189" max="3189" width="36.5703125" style="1" customWidth="1"/>
    <col min="3190" max="3190" width="29.42578125" style="1" customWidth="1"/>
    <col min="3191" max="3435" width="8.85546875" style="1"/>
    <col min="3436" max="3436" width="4" style="1" customWidth="1"/>
    <col min="3437" max="3437" width="59.7109375" style="1" customWidth="1"/>
    <col min="3438" max="3438" width="4.85546875" style="1" customWidth="1"/>
    <col min="3439" max="3439" width="9" style="1" customWidth="1"/>
    <col min="3440" max="3440" width="15.85546875" style="1" customWidth="1"/>
    <col min="3441" max="3441" width="15.7109375" style="1" customWidth="1"/>
    <col min="3442" max="3442" width="15.42578125" style="1" customWidth="1"/>
    <col min="3443" max="3443" width="17.140625" style="1" customWidth="1"/>
    <col min="3444" max="3444" width="37.85546875" style="1" customWidth="1"/>
    <col min="3445" max="3445" width="36.5703125" style="1" customWidth="1"/>
    <col min="3446" max="3446" width="29.42578125" style="1" customWidth="1"/>
    <col min="3447" max="3691" width="8.85546875" style="1"/>
    <col min="3692" max="3692" width="4" style="1" customWidth="1"/>
    <col min="3693" max="3693" width="59.7109375" style="1" customWidth="1"/>
    <col min="3694" max="3694" width="4.85546875" style="1" customWidth="1"/>
    <col min="3695" max="3695" width="9" style="1" customWidth="1"/>
    <col min="3696" max="3696" width="15.85546875" style="1" customWidth="1"/>
    <col min="3697" max="3697" width="15.7109375" style="1" customWidth="1"/>
    <col min="3698" max="3698" width="15.42578125" style="1" customWidth="1"/>
    <col min="3699" max="3699" width="17.140625" style="1" customWidth="1"/>
    <col min="3700" max="3700" width="37.85546875" style="1" customWidth="1"/>
    <col min="3701" max="3701" width="36.5703125" style="1" customWidth="1"/>
    <col min="3702" max="3702" width="29.42578125" style="1" customWidth="1"/>
    <col min="3703" max="3947" width="8.85546875" style="1"/>
    <col min="3948" max="3948" width="4" style="1" customWidth="1"/>
    <col min="3949" max="3949" width="59.7109375" style="1" customWidth="1"/>
    <col min="3950" max="3950" width="4.85546875" style="1" customWidth="1"/>
    <col min="3951" max="3951" width="9" style="1" customWidth="1"/>
    <col min="3952" max="3952" width="15.85546875" style="1" customWidth="1"/>
    <col min="3953" max="3953" width="15.7109375" style="1" customWidth="1"/>
    <col min="3954" max="3954" width="15.42578125" style="1" customWidth="1"/>
    <col min="3955" max="3955" width="17.140625" style="1" customWidth="1"/>
    <col min="3956" max="3956" width="37.85546875" style="1" customWidth="1"/>
    <col min="3957" max="3957" width="36.5703125" style="1" customWidth="1"/>
    <col min="3958" max="3958" width="29.42578125" style="1" customWidth="1"/>
    <col min="3959" max="4203" width="8.85546875" style="1"/>
    <col min="4204" max="4204" width="4" style="1" customWidth="1"/>
    <col min="4205" max="4205" width="59.7109375" style="1" customWidth="1"/>
    <col min="4206" max="4206" width="4.85546875" style="1" customWidth="1"/>
    <col min="4207" max="4207" width="9" style="1" customWidth="1"/>
    <col min="4208" max="4208" width="15.85546875" style="1" customWidth="1"/>
    <col min="4209" max="4209" width="15.7109375" style="1" customWidth="1"/>
    <col min="4210" max="4210" width="15.42578125" style="1" customWidth="1"/>
    <col min="4211" max="4211" width="17.140625" style="1" customWidth="1"/>
    <col min="4212" max="4212" width="37.85546875" style="1" customWidth="1"/>
    <col min="4213" max="4213" width="36.5703125" style="1" customWidth="1"/>
    <col min="4214" max="4214" width="29.42578125" style="1" customWidth="1"/>
    <col min="4215" max="4459" width="8.85546875" style="1"/>
    <col min="4460" max="4460" width="4" style="1" customWidth="1"/>
    <col min="4461" max="4461" width="59.7109375" style="1" customWidth="1"/>
    <col min="4462" max="4462" width="4.85546875" style="1" customWidth="1"/>
    <col min="4463" max="4463" width="9" style="1" customWidth="1"/>
    <col min="4464" max="4464" width="15.85546875" style="1" customWidth="1"/>
    <col min="4465" max="4465" width="15.7109375" style="1" customWidth="1"/>
    <col min="4466" max="4466" width="15.42578125" style="1" customWidth="1"/>
    <col min="4467" max="4467" width="17.140625" style="1" customWidth="1"/>
    <col min="4468" max="4468" width="37.85546875" style="1" customWidth="1"/>
    <col min="4469" max="4469" width="36.5703125" style="1" customWidth="1"/>
    <col min="4470" max="4470" width="29.42578125" style="1" customWidth="1"/>
    <col min="4471" max="4715" width="8.85546875" style="1"/>
    <col min="4716" max="4716" width="4" style="1" customWidth="1"/>
    <col min="4717" max="4717" width="59.7109375" style="1" customWidth="1"/>
    <col min="4718" max="4718" width="4.85546875" style="1" customWidth="1"/>
    <col min="4719" max="4719" width="9" style="1" customWidth="1"/>
    <col min="4720" max="4720" width="15.85546875" style="1" customWidth="1"/>
    <col min="4721" max="4721" width="15.7109375" style="1" customWidth="1"/>
    <col min="4722" max="4722" width="15.42578125" style="1" customWidth="1"/>
    <col min="4723" max="4723" width="17.140625" style="1" customWidth="1"/>
    <col min="4724" max="4724" width="37.85546875" style="1" customWidth="1"/>
    <col min="4725" max="4725" width="36.5703125" style="1" customWidth="1"/>
    <col min="4726" max="4726" width="29.42578125" style="1" customWidth="1"/>
    <col min="4727" max="4971" width="8.85546875" style="1"/>
    <col min="4972" max="4972" width="4" style="1" customWidth="1"/>
    <col min="4973" max="4973" width="59.7109375" style="1" customWidth="1"/>
    <col min="4974" max="4974" width="4.85546875" style="1" customWidth="1"/>
    <col min="4975" max="4975" width="9" style="1" customWidth="1"/>
    <col min="4976" max="4976" width="15.85546875" style="1" customWidth="1"/>
    <col min="4977" max="4977" width="15.7109375" style="1" customWidth="1"/>
    <col min="4978" max="4978" width="15.42578125" style="1" customWidth="1"/>
    <col min="4979" max="4979" width="17.140625" style="1" customWidth="1"/>
    <col min="4980" max="4980" width="37.85546875" style="1" customWidth="1"/>
    <col min="4981" max="4981" width="36.5703125" style="1" customWidth="1"/>
    <col min="4982" max="4982" width="29.42578125" style="1" customWidth="1"/>
    <col min="4983" max="5227" width="8.85546875" style="1"/>
    <col min="5228" max="5228" width="4" style="1" customWidth="1"/>
    <col min="5229" max="5229" width="59.7109375" style="1" customWidth="1"/>
    <col min="5230" max="5230" width="4.85546875" style="1" customWidth="1"/>
    <col min="5231" max="5231" width="9" style="1" customWidth="1"/>
    <col min="5232" max="5232" width="15.85546875" style="1" customWidth="1"/>
    <col min="5233" max="5233" width="15.7109375" style="1" customWidth="1"/>
    <col min="5234" max="5234" width="15.42578125" style="1" customWidth="1"/>
    <col min="5235" max="5235" width="17.140625" style="1" customWidth="1"/>
    <col min="5236" max="5236" width="37.85546875" style="1" customWidth="1"/>
    <col min="5237" max="5237" width="36.5703125" style="1" customWidth="1"/>
    <col min="5238" max="5238" width="29.42578125" style="1" customWidth="1"/>
    <col min="5239" max="5483" width="8.85546875" style="1"/>
    <col min="5484" max="5484" width="4" style="1" customWidth="1"/>
    <col min="5485" max="5485" width="59.7109375" style="1" customWidth="1"/>
    <col min="5486" max="5486" width="4.85546875" style="1" customWidth="1"/>
    <col min="5487" max="5487" width="9" style="1" customWidth="1"/>
    <col min="5488" max="5488" width="15.85546875" style="1" customWidth="1"/>
    <col min="5489" max="5489" width="15.7109375" style="1" customWidth="1"/>
    <col min="5490" max="5490" width="15.42578125" style="1" customWidth="1"/>
    <col min="5491" max="5491" width="17.140625" style="1" customWidth="1"/>
    <col min="5492" max="5492" width="37.85546875" style="1" customWidth="1"/>
    <col min="5493" max="5493" width="36.5703125" style="1" customWidth="1"/>
    <col min="5494" max="5494" width="29.42578125" style="1" customWidth="1"/>
    <col min="5495" max="5739" width="8.85546875" style="1"/>
    <col min="5740" max="5740" width="4" style="1" customWidth="1"/>
    <col min="5741" max="5741" width="59.7109375" style="1" customWidth="1"/>
    <col min="5742" max="5742" width="4.85546875" style="1" customWidth="1"/>
    <col min="5743" max="5743" width="9" style="1" customWidth="1"/>
    <col min="5744" max="5744" width="15.85546875" style="1" customWidth="1"/>
    <col min="5745" max="5745" width="15.7109375" style="1" customWidth="1"/>
    <col min="5746" max="5746" width="15.42578125" style="1" customWidth="1"/>
    <col min="5747" max="5747" width="17.140625" style="1" customWidth="1"/>
    <col min="5748" max="5748" width="37.85546875" style="1" customWidth="1"/>
    <col min="5749" max="5749" width="36.5703125" style="1" customWidth="1"/>
    <col min="5750" max="5750" width="29.42578125" style="1" customWidth="1"/>
    <col min="5751" max="5995" width="8.85546875" style="1"/>
    <col min="5996" max="5996" width="4" style="1" customWidth="1"/>
    <col min="5997" max="5997" width="59.7109375" style="1" customWidth="1"/>
    <col min="5998" max="5998" width="4.85546875" style="1" customWidth="1"/>
    <col min="5999" max="5999" width="9" style="1" customWidth="1"/>
    <col min="6000" max="6000" width="15.85546875" style="1" customWidth="1"/>
    <col min="6001" max="6001" width="15.7109375" style="1" customWidth="1"/>
    <col min="6002" max="6002" width="15.42578125" style="1" customWidth="1"/>
    <col min="6003" max="6003" width="17.140625" style="1" customWidth="1"/>
    <col min="6004" max="6004" width="37.85546875" style="1" customWidth="1"/>
    <col min="6005" max="6005" width="36.5703125" style="1" customWidth="1"/>
    <col min="6006" max="6006" width="29.42578125" style="1" customWidth="1"/>
    <col min="6007" max="6251" width="8.85546875" style="1"/>
    <col min="6252" max="6252" width="4" style="1" customWidth="1"/>
    <col min="6253" max="6253" width="59.7109375" style="1" customWidth="1"/>
    <col min="6254" max="6254" width="4.85546875" style="1" customWidth="1"/>
    <col min="6255" max="6255" width="9" style="1" customWidth="1"/>
    <col min="6256" max="6256" width="15.85546875" style="1" customWidth="1"/>
    <col min="6257" max="6257" width="15.7109375" style="1" customWidth="1"/>
    <col min="6258" max="6258" width="15.42578125" style="1" customWidth="1"/>
    <col min="6259" max="6259" width="17.140625" style="1" customWidth="1"/>
    <col min="6260" max="6260" width="37.85546875" style="1" customWidth="1"/>
    <col min="6261" max="6261" width="36.5703125" style="1" customWidth="1"/>
    <col min="6262" max="6262" width="29.42578125" style="1" customWidth="1"/>
    <col min="6263" max="6507" width="8.85546875" style="1"/>
    <col min="6508" max="6508" width="4" style="1" customWidth="1"/>
    <col min="6509" max="6509" width="59.7109375" style="1" customWidth="1"/>
    <col min="6510" max="6510" width="4.85546875" style="1" customWidth="1"/>
    <col min="6511" max="6511" width="9" style="1" customWidth="1"/>
    <col min="6512" max="6512" width="15.85546875" style="1" customWidth="1"/>
    <col min="6513" max="6513" width="15.7109375" style="1" customWidth="1"/>
    <col min="6514" max="6514" width="15.42578125" style="1" customWidth="1"/>
    <col min="6515" max="6515" width="17.140625" style="1" customWidth="1"/>
    <col min="6516" max="6516" width="37.85546875" style="1" customWidth="1"/>
    <col min="6517" max="6517" width="36.5703125" style="1" customWidth="1"/>
    <col min="6518" max="6518" width="29.42578125" style="1" customWidth="1"/>
    <col min="6519" max="6763" width="8.85546875" style="1"/>
    <col min="6764" max="6764" width="4" style="1" customWidth="1"/>
    <col min="6765" max="6765" width="59.7109375" style="1" customWidth="1"/>
    <col min="6766" max="6766" width="4.85546875" style="1" customWidth="1"/>
    <col min="6767" max="6767" width="9" style="1" customWidth="1"/>
    <col min="6768" max="6768" width="15.85546875" style="1" customWidth="1"/>
    <col min="6769" max="6769" width="15.7109375" style="1" customWidth="1"/>
    <col min="6770" max="6770" width="15.42578125" style="1" customWidth="1"/>
    <col min="6771" max="6771" width="17.140625" style="1" customWidth="1"/>
    <col min="6772" max="6772" width="37.85546875" style="1" customWidth="1"/>
    <col min="6773" max="6773" width="36.5703125" style="1" customWidth="1"/>
    <col min="6774" max="6774" width="29.42578125" style="1" customWidth="1"/>
    <col min="6775" max="7019" width="8.85546875" style="1"/>
    <col min="7020" max="7020" width="4" style="1" customWidth="1"/>
    <col min="7021" max="7021" width="59.7109375" style="1" customWidth="1"/>
    <col min="7022" max="7022" width="4.85546875" style="1" customWidth="1"/>
    <col min="7023" max="7023" width="9" style="1" customWidth="1"/>
    <col min="7024" max="7024" width="15.85546875" style="1" customWidth="1"/>
    <col min="7025" max="7025" width="15.7109375" style="1" customWidth="1"/>
    <col min="7026" max="7026" width="15.42578125" style="1" customWidth="1"/>
    <col min="7027" max="7027" width="17.140625" style="1" customWidth="1"/>
    <col min="7028" max="7028" width="37.85546875" style="1" customWidth="1"/>
    <col min="7029" max="7029" width="36.5703125" style="1" customWidth="1"/>
    <col min="7030" max="7030" width="29.42578125" style="1" customWidth="1"/>
    <col min="7031" max="7275" width="8.85546875" style="1"/>
    <col min="7276" max="7276" width="4" style="1" customWidth="1"/>
    <col min="7277" max="7277" width="59.7109375" style="1" customWidth="1"/>
    <col min="7278" max="7278" width="4.85546875" style="1" customWidth="1"/>
    <col min="7279" max="7279" width="9" style="1" customWidth="1"/>
    <col min="7280" max="7280" width="15.85546875" style="1" customWidth="1"/>
    <col min="7281" max="7281" width="15.7109375" style="1" customWidth="1"/>
    <col min="7282" max="7282" width="15.42578125" style="1" customWidth="1"/>
    <col min="7283" max="7283" width="17.140625" style="1" customWidth="1"/>
    <col min="7284" max="7284" width="37.85546875" style="1" customWidth="1"/>
    <col min="7285" max="7285" width="36.5703125" style="1" customWidth="1"/>
    <col min="7286" max="7286" width="29.42578125" style="1" customWidth="1"/>
    <col min="7287" max="7531" width="8.85546875" style="1"/>
    <col min="7532" max="7532" width="4" style="1" customWidth="1"/>
    <col min="7533" max="7533" width="59.7109375" style="1" customWidth="1"/>
    <col min="7534" max="7534" width="4.85546875" style="1" customWidth="1"/>
    <col min="7535" max="7535" width="9" style="1" customWidth="1"/>
    <col min="7536" max="7536" width="15.85546875" style="1" customWidth="1"/>
    <col min="7537" max="7537" width="15.7109375" style="1" customWidth="1"/>
    <col min="7538" max="7538" width="15.42578125" style="1" customWidth="1"/>
    <col min="7539" max="7539" width="17.140625" style="1" customWidth="1"/>
    <col min="7540" max="7540" width="37.85546875" style="1" customWidth="1"/>
    <col min="7541" max="7541" width="36.5703125" style="1" customWidth="1"/>
    <col min="7542" max="7542" width="29.42578125" style="1" customWidth="1"/>
    <col min="7543" max="7787" width="8.85546875" style="1"/>
    <col min="7788" max="7788" width="4" style="1" customWidth="1"/>
    <col min="7789" max="7789" width="59.7109375" style="1" customWidth="1"/>
    <col min="7790" max="7790" width="4.85546875" style="1" customWidth="1"/>
    <col min="7791" max="7791" width="9" style="1" customWidth="1"/>
    <col min="7792" max="7792" width="15.85546875" style="1" customWidth="1"/>
    <col min="7793" max="7793" width="15.7109375" style="1" customWidth="1"/>
    <col min="7794" max="7794" width="15.42578125" style="1" customWidth="1"/>
    <col min="7795" max="7795" width="17.140625" style="1" customWidth="1"/>
    <col min="7796" max="7796" width="37.85546875" style="1" customWidth="1"/>
    <col min="7797" max="7797" width="36.5703125" style="1" customWidth="1"/>
    <col min="7798" max="7798" width="29.42578125" style="1" customWidth="1"/>
    <col min="7799" max="8043" width="8.85546875" style="1"/>
    <col min="8044" max="8044" width="4" style="1" customWidth="1"/>
    <col min="8045" max="8045" width="59.7109375" style="1" customWidth="1"/>
    <col min="8046" max="8046" width="4.85546875" style="1" customWidth="1"/>
    <col min="8047" max="8047" width="9" style="1" customWidth="1"/>
    <col min="8048" max="8048" width="15.85546875" style="1" customWidth="1"/>
    <col min="8049" max="8049" width="15.7109375" style="1" customWidth="1"/>
    <col min="8050" max="8050" width="15.42578125" style="1" customWidth="1"/>
    <col min="8051" max="8051" width="17.140625" style="1" customWidth="1"/>
    <col min="8052" max="8052" width="37.85546875" style="1" customWidth="1"/>
    <col min="8053" max="8053" width="36.5703125" style="1" customWidth="1"/>
    <col min="8054" max="8054" width="29.42578125" style="1" customWidth="1"/>
    <col min="8055" max="8299" width="8.85546875" style="1"/>
    <col min="8300" max="8300" width="4" style="1" customWidth="1"/>
    <col min="8301" max="8301" width="59.7109375" style="1" customWidth="1"/>
    <col min="8302" max="8302" width="4.85546875" style="1" customWidth="1"/>
    <col min="8303" max="8303" width="9" style="1" customWidth="1"/>
    <col min="8304" max="8304" width="15.85546875" style="1" customWidth="1"/>
    <col min="8305" max="8305" width="15.7109375" style="1" customWidth="1"/>
    <col min="8306" max="8306" width="15.42578125" style="1" customWidth="1"/>
    <col min="8307" max="8307" width="17.140625" style="1" customWidth="1"/>
    <col min="8308" max="8308" width="37.85546875" style="1" customWidth="1"/>
    <col min="8309" max="8309" width="36.5703125" style="1" customWidth="1"/>
    <col min="8310" max="8310" width="29.42578125" style="1" customWidth="1"/>
    <col min="8311" max="8555" width="8.85546875" style="1"/>
    <col min="8556" max="8556" width="4" style="1" customWidth="1"/>
    <col min="8557" max="8557" width="59.7109375" style="1" customWidth="1"/>
    <col min="8558" max="8558" width="4.85546875" style="1" customWidth="1"/>
    <col min="8559" max="8559" width="9" style="1" customWidth="1"/>
    <col min="8560" max="8560" width="15.85546875" style="1" customWidth="1"/>
    <col min="8561" max="8561" width="15.7109375" style="1" customWidth="1"/>
    <col min="8562" max="8562" width="15.42578125" style="1" customWidth="1"/>
    <col min="8563" max="8563" width="17.140625" style="1" customWidth="1"/>
    <col min="8564" max="8564" width="37.85546875" style="1" customWidth="1"/>
    <col min="8565" max="8565" width="36.5703125" style="1" customWidth="1"/>
    <col min="8566" max="8566" width="29.42578125" style="1" customWidth="1"/>
    <col min="8567" max="8811" width="8.85546875" style="1"/>
    <col min="8812" max="8812" width="4" style="1" customWidth="1"/>
    <col min="8813" max="8813" width="59.7109375" style="1" customWidth="1"/>
    <col min="8814" max="8814" width="4.85546875" style="1" customWidth="1"/>
    <col min="8815" max="8815" width="9" style="1" customWidth="1"/>
    <col min="8816" max="8816" width="15.85546875" style="1" customWidth="1"/>
    <col min="8817" max="8817" width="15.7109375" style="1" customWidth="1"/>
    <col min="8818" max="8818" width="15.42578125" style="1" customWidth="1"/>
    <col min="8819" max="8819" width="17.140625" style="1" customWidth="1"/>
    <col min="8820" max="8820" width="37.85546875" style="1" customWidth="1"/>
    <col min="8821" max="8821" width="36.5703125" style="1" customWidth="1"/>
    <col min="8822" max="8822" width="29.42578125" style="1" customWidth="1"/>
    <col min="8823" max="9067" width="8.85546875" style="1"/>
    <col min="9068" max="9068" width="4" style="1" customWidth="1"/>
    <col min="9069" max="9069" width="59.7109375" style="1" customWidth="1"/>
    <col min="9070" max="9070" width="4.85546875" style="1" customWidth="1"/>
    <col min="9071" max="9071" width="9" style="1" customWidth="1"/>
    <col min="9072" max="9072" width="15.85546875" style="1" customWidth="1"/>
    <col min="9073" max="9073" width="15.7109375" style="1" customWidth="1"/>
    <col min="9074" max="9074" width="15.42578125" style="1" customWidth="1"/>
    <col min="9075" max="9075" width="17.140625" style="1" customWidth="1"/>
    <col min="9076" max="9076" width="37.85546875" style="1" customWidth="1"/>
    <col min="9077" max="9077" width="36.5703125" style="1" customWidth="1"/>
    <col min="9078" max="9078" width="29.42578125" style="1" customWidth="1"/>
    <col min="9079" max="9323" width="8.85546875" style="1"/>
    <col min="9324" max="9324" width="4" style="1" customWidth="1"/>
    <col min="9325" max="9325" width="59.7109375" style="1" customWidth="1"/>
    <col min="9326" max="9326" width="4.85546875" style="1" customWidth="1"/>
    <col min="9327" max="9327" width="9" style="1" customWidth="1"/>
    <col min="9328" max="9328" width="15.85546875" style="1" customWidth="1"/>
    <col min="9329" max="9329" width="15.7109375" style="1" customWidth="1"/>
    <col min="9330" max="9330" width="15.42578125" style="1" customWidth="1"/>
    <col min="9331" max="9331" width="17.140625" style="1" customWidth="1"/>
    <col min="9332" max="9332" width="37.85546875" style="1" customWidth="1"/>
    <col min="9333" max="9333" width="36.5703125" style="1" customWidth="1"/>
    <col min="9334" max="9334" width="29.42578125" style="1" customWidth="1"/>
    <col min="9335" max="9579" width="8.85546875" style="1"/>
    <col min="9580" max="9580" width="4" style="1" customWidth="1"/>
    <col min="9581" max="9581" width="59.7109375" style="1" customWidth="1"/>
    <col min="9582" max="9582" width="4.85546875" style="1" customWidth="1"/>
    <col min="9583" max="9583" width="9" style="1" customWidth="1"/>
    <col min="9584" max="9584" width="15.85546875" style="1" customWidth="1"/>
    <col min="9585" max="9585" width="15.7109375" style="1" customWidth="1"/>
    <col min="9586" max="9586" width="15.42578125" style="1" customWidth="1"/>
    <col min="9587" max="9587" width="17.140625" style="1" customWidth="1"/>
    <col min="9588" max="9588" width="37.85546875" style="1" customWidth="1"/>
    <col min="9589" max="9589" width="36.5703125" style="1" customWidth="1"/>
    <col min="9590" max="9590" width="29.42578125" style="1" customWidth="1"/>
    <col min="9591" max="9835" width="8.85546875" style="1"/>
    <col min="9836" max="9836" width="4" style="1" customWidth="1"/>
    <col min="9837" max="9837" width="59.7109375" style="1" customWidth="1"/>
    <col min="9838" max="9838" width="4.85546875" style="1" customWidth="1"/>
    <col min="9839" max="9839" width="9" style="1" customWidth="1"/>
    <col min="9840" max="9840" width="15.85546875" style="1" customWidth="1"/>
    <col min="9841" max="9841" width="15.7109375" style="1" customWidth="1"/>
    <col min="9842" max="9842" width="15.42578125" style="1" customWidth="1"/>
    <col min="9843" max="9843" width="17.140625" style="1" customWidth="1"/>
    <col min="9844" max="9844" width="37.85546875" style="1" customWidth="1"/>
    <col min="9845" max="9845" width="36.5703125" style="1" customWidth="1"/>
    <col min="9846" max="9846" width="29.42578125" style="1" customWidth="1"/>
    <col min="9847" max="10091" width="8.85546875" style="1"/>
    <col min="10092" max="10092" width="4" style="1" customWidth="1"/>
    <col min="10093" max="10093" width="59.7109375" style="1" customWidth="1"/>
    <col min="10094" max="10094" width="4.85546875" style="1" customWidth="1"/>
    <col min="10095" max="10095" width="9" style="1" customWidth="1"/>
    <col min="10096" max="10096" width="15.85546875" style="1" customWidth="1"/>
    <col min="10097" max="10097" width="15.7109375" style="1" customWidth="1"/>
    <col min="10098" max="10098" width="15.42578125" style="1" customWidth="1"/>
    <col min="10099" max="10099" width="17.140625" style="1" customWidth="1"/>
    <col min="10100" max="10100" width="37.85546875" style="1" customWidth="1"/>
    <col min="10101" max="10101" width="36.5703125" style="1" customWidth="1"/>
    <col min="10102" max="10102" width="29.42578125" style="1" customWidth="1"/>
    <col min="10103" max="10347" width="8.85546875" style="1"/>
    <col min="10348" max="10348" width="4" style="1" customWidth="1"/>
    <col min="10349" max="10349" width="59.7109375" style="1" customWidth="1"/>
    <col min="10350" max="10350" width="4.85546875" style="1" customWidth="1"/>
    <col min="10351" max="10351" width="9" style="1" customWidth="1"/>
    <col min="10352" max="10352" width="15.85546875" style="1" customWidth="1"/>
    <col min="10353" max="10353" width="15.7109375" style="1" customWidth="1"/>
    <col min="10354" max="10354" width="15.42578125" style="1" customWidth="1"/>
    <col min="10355" max="10355" width="17.140625" style="1" customWidth="1"/>
    <col min="10356" max="10356" width="37.85546875" style="1" customWidth="1"/>
    <col min="10357" max="10357" width="36.5703125" style="1" customWidth="1"/>
    <col min="10358" max="10358" width="29.42578125" style="1" customWidth="1"/>
    <col min="10359" max="10603" width="8.85546875" style="1"/>
    <col min="10604" max="10604" width="4" style="1" customWidth="1"/>
    <col min="10605" max="10605" width="59.7109375" style="1" customWidth="1"/>
    <col min="10606" max="10606" width="4.85546875" style="1" customWidth="1"/>
    <col min="10607" max="10607" width="9" style="1" customWidth="1"/>
    <col min="10608" max="10608" width="15.85546875" style="1" customWidth="1"/>
    <col min="10609" max="10609" width="15.7109375" style="1" customWidth="1"/>
    <col min="10610" max="10610" width="15.42578125" style="1" customWidth="1"/>
    <col min="10611" max="10611" width="17.140625" style="1" customWidth="1"/>
    <col min="10612" max="10612" width="37.85546875" style="1" customWidth="1"/>
    <col min="10613" max="10613" width="36.5703125" style="1" customWidth="1"/>
    <col min="10614" max="10614" width="29.42578125" style="1" customWidth="1"/>
    <col min="10615" max="10859" width="8.85546875" style="1"/>
    <col min="10860" max="10860" width="4" style="1" customWidth="1"/>
    <col min="10861" max="10861" width="59.7109375" style="1" customWidth="1"/>
    <col min="10862" max="10862" width="4.85546875" style="1" customWidth="1"/>
    <col min="10863" max="10863" width="9" style="1" customWidth="1"/>
    <col min="10864" max="10864" width="15.85546875" style="1" customWidth="1"/>
    <col min="10865" max="10865" width="15.7109375" style="1" customWidth="1"/>
    <col min="10866" max="10866" width="15.42578125" style="1" customWidth="1"/>
    <col min="10867" max="10867" width="17.140625" style="1" customWidth="1"/>
    <col min="10868" max="10868" width="37.85546875" style="1" customWidth="1"/>
    <col min="10869" max="10869" width="36.5703125" style="1" customWidth="1"/>
    <col min="10870" max="10870" width="29.42578125" style="1" customWidth="1"/>
    <col min="10871" max="11115" width="8.85546875" style="1"/>
    <col min="11116" max="11116" width="4" style="1" customWidth="1"/>
    <col min="11117" max="11117" width="59.7109375" style="1" customWidth="1"/>
    <col min="11118" max="11118" width="4.85546875" style="1" customWidth="1"/>
    <col min="11119" max="11119" width="9" style="1" customWidth="1"/>
    <col min="11120" max="11120" width="15.85546875" style="1" customWidth="1"/>
    <col min="11121" max="11121" width="15.7109375" style="1" customWidth="1"/>
    <col min="11122" max="11122" width="15.42578125" style="1" customWidth="1"/>
    <col min="11123" max="11123" width="17.140625" style="1" customWidth="1"/>
    <col min="11124" max="11124" width="37.85546875" style="1" customWidth="1"/>
    <col min="11125" max="11125" width="36.5703125" style="1" customWidth="1"/>
    <col min="11126" max="11126" width="29.42578125" style="1" customWidth="1"/>
    <col min="11127" max="11371" width="8.85546875" style="1"/>
    <col min="11372" max="11372" width="4" style="1" customWidth="1"/>
    <col min="11373" max="11373" width="59.7109375" style="1" customWidth="1"/>
    <col min="11374" max="11374" width="4.85546875" style="1" customWidth="1"/>
    <col min="11375" max="11375" width="9" style="1" customWidth="1"/>
    <col min="11376" max="11376" width="15.85546875" style="1" customWidth="1"/>
    <col min="11377" max="11377" width="15.7109375" style="1" customWidth="1"/>
    <col min="11378" max="11378" width="15.42578125" style="1" customWidth="1"/>
    <col min="11379" max="11379" width="17.140625" style="1" customWidth="1"/>
    <col min="11380" max="11380" width="37.85546875" style="1" customWidth="1"/>
    <col min="11381" max="11381" width="36.5703125" style="1" customWidth="1"/>
    <col min="11382" max="11382" width="29.42578125" style="1" customWidth="1"/>
    <col min="11383" max="11627" width="8.85546875" style="1"/>
    <col min="11628" max="11628" width="4" style="1" customWidth="1"/>
    <col min="11629" max="11629" width="59.7109375" style="1" customWidth="1"/>
    <col min="11630" max="11630" width="4.85546875" style="1" customWidth="1"/>
    <col min="11631" max="11631" width="9" style="1" customWidth="1"/>
    <col min="11632" max="11632" width="15.85546875" style="1" customWidth="1"/>
    <col min="11633" max="11633" width="15.7109375" style="1" customWidth="1"/>
    <col min="11634" max="11634" width="15.42578125" style="1" customWidth="1"/>
    <col min="11635" max="11635" width="17.140625" style="1" customWidth="1"/>
    <col min="11636" max="11636" width="37.85546875" style="1" customWidth="1"/>
    <col min="11637" max="11637" width="36.5703125" style="1" customWidth="1"/>
    <col min="11638" max="11638" width="29.42578125" style="1" customWidth="1"/>
    <col min="11639" max="11883" width="8.85546875" style="1"/>
    <col min="11884" max="11884" width="4" style="1" customWidth="1"/>
    <col min="11885" max="11885" width="59.7109375" style="1" customWidth="1"/>
    <col min="11886" max="11886" width="4.85546875" style="1" customWidth="1"/>
    <col min="11887" max="11887" width="9" style="1" customWidth="1"/>
    <col min="11888" max="11888" width="15.85546875" style="1" customWidth="1"/>
    <col min="11889" max="11889" width="15.7109375" style="1" customWidth="1"/>
    <col min="11890" max="11890" width="15.42578125" style="1" customWidth="1"/>
    <col min="11891" max="11891" width="17.140625" style="1" customWidth="1"/>
    <col min="11892" max="11892" width="37.85546875" style="1" customWidth="1"/>
    <col min="11893" max="11893" width="36.5703125" style="1" customWidth="1"/>
    <col min="11894" max="11894" width="29.42578125" style="1" customWidth="1"/>
    <col min="11895" max="12139" width="8.85546875" style="1"/>
    <col min="12140" max="12140" width="4" style="1" customWidth="1"/>
    <col min="12141" max="12141" width="59.7109375" style="1" customWidth="1"/>
    <col min="12142" max="12142" width="4.85546875" style="1" customWidth="1"/>
    <col min="12143" max="12143" width="9" style="1" customWidth="1"/>
    <col min="12144" max="12144" width="15.85546875" style="1" customWidth="1"/>
    <col min="12145" max="12145" width="15.7109375" style="1" customWidth="1"/>
    <col min="12146" max="12146" width="15.42578125" style="1" customWidth="1"/>
    <col min="12147" max="12147" width="17.140625" style="1" customWidth="1"/>
    <col min="12148" max="12148" width="37.85546875" style="1" customWidth="1"/>
    <col min="12149" max="12149" width="36.5703125" style="1" customWidth="1"/>
    <col min="12150" max="12150" width="29.42578125" style="1" customWidth="1"/>
    <col min="12151" max="12395" width="8.85546875" style="1"/>
    <col min="12396" max="12396" width="4" style="1" customWidth="1"/>
    <col min="12397" max="12397" width="59.7109375" style="1" customWidth="1"/>
    <col min="12398" max="12398" width="4.85546875" style="1" customWidth="1"/>
    <col min="12399" max="12399" width="9" style="1" customWidth="1"/>
    <col min="12400" max="12400" width="15.85546875" style="1" customWidth="1"/>
    <col min="12401" max="12401" width="15.7109375" style="1" customWidth="1"/>
    <col min="12402" max="12402" width="15.42578125" style="1" customWidth="1"/>
    <col min="12403" max="12403" width="17.140625" style="1" customWidth="1"/>
    <col min="12404" max="12404" width="37.85546875" style="1" customWidth="1"/>
    <col min="12405" max="12405" width="36.5703125" style="1" customWidth="1"/>
    <col min="12406" max="12406" width="29.42578125" style="1" customWidth="1"/>
    <col min="12407" max="12651" width="8.85546875" style="1"/>
    <col min="12652" max="12652" width="4" style="1" customWidth="1"/>
    <col min="12653" max="12653" width="59.7109375" style="1" customWidth="1"/>
    <col min="12654" max="12654" width="4.85546875" style="1" customWidth="1"/>
    <col min="12655" max="12655" width="9" style="1" customWidth="1"/>
    <col min="12656" max="12656" width="15.85546875" style="1" customWidth="1"/>
    <col min="12657" max="12657" width="15.7109375" style="1" customWidth="1"/>
    <col min="12658" max="12658" width="15.42578125" style="1" customWidth="1"/>
    <col min="12659" max="12659" width="17.140625" style="1" customWidth="1"/>
    <col min="12660" max="12660" width="37.85546875" style="1" customWidth="1"/>
    <col min="12661" max="12661" width="36.5703125" style="1" customWidth="1"/>
    <col min="12662" max="12662" width="29.42578125" style="1" customWidth="1"/>
    <col min="12663" max="12907" width="8.85546875" style="1"/>
    <col min="12908" max="12908" width="4" style="1" customWidth="1"/>
    <col min="12909" max="12909" width="59.7109375" style="1" customWidth="1"/>
    <col min="12910" max="12910" width="4.85546875" style="1" customWidth="1"/>
    <col min="12911" max="12911" width="9" style="1" customWidth="1"/>
    <col min="12912" max="12912" width="15.85546875" style="1" customWidth="1"/>
    <col min="12913" max="12913" width="15.7109375" style="1" customWidth="1"/>
    <col min="12914" max="12914" width="15.42578125" style="1" customWidth="1"/>
    <col min="12915" max="12915" width="17.140625" style="1" customWidth="1"/>
    <col min="12916" max="12916" width="37.85546875" style="1" customWidth="1"/>
    <col min="12917" max="12917" width="36.5703125" style="1" customWidth="1"/>
    <col min="12918" max="12918" width="29.42578125" style="1" customWidth="1"/>
    <col min="12919" max="13163" width="8.85546875" style="1"/>
    <col min="13164" max="13164" width="4" style="1" customWidth="1"/>
    <col min="13165" max="13165" width="59.7109375" style="1" customWidth="1"/>
    <col min="13166" max="13166" width="4.85546875" style="1" customWidth="1"/>
    <col min="13167" max="13167" width="9" style="1" customWidth="1"/>
    <col min="13168" max="13168" width="15.85546875" style="1" customWidth="1"/>
    <col min="13169" max="13169" width="15.7109375" style="1" customWidth="1"/>
    <col min="13170" max="13170" width="15.42578125" style="1" customWidth="1"/>
    <col min="13171" max="13171" width="17.140625" style="1" customWidth="1"/>
    <col min="13172" max="13172" width="37.85546875" style="1" customWidth="1"/>
    <col min="13173" max="13173" width="36.5703125" style="1" customWidth="1"/>
    <col min="13174" max="13174" width="29.42578125" style="1" customWidth="1"/>
    <col min="13175" max="13419" width="8.85546875" style="1"/>
    <col min="13420" max="13420" width="4" style="1" customWidth="1"/>
    <col min="13421" max="13421" width="59.7109375" style="1" customWidth="1"/>
    <col min="13422" max="13422" width="4.85546875" style="1" customWidth="1"/>
    <col min="13423" max="13423" width="9" style="1" customWidth="1"/>
    <col min="13424" max="13424" width="15.85546875" style="1" customWidth="1"/>
    <col min="13425" max="13425" width="15.7109375" style="1" customWidth="1"/>
    <col min="13426" max="13426" width="15.42578125" style="1" customWidth="1"/>
    <col min="13427" max="13427" width="17.140625" style="1" customWidth="1"/>
    <col min="13428" max="13428" width="37.85546875" style="1" customWidth="1"/>
    <col min="13429" max="13429" width="36.5703125" style="1" customWidth="1"/>
    <col min="13430" max="13430" width="29.42578125" style="1" customWidth="1"/>
    <col min="13431" max="13675" width="8.85546875" style="1"/>
    <col min="13676" max="13676" width="4" style="1" customWidth="1"/>
    <col min="13677" max="13677" width="59.7109375" style="1" customWidth="1"/>
    <col min="13678" max="13678" width="4.85546875" style="1" customWidth="1"/>
    <col min="13679" max="13679" width="9" style="1" customWidth="1"/>
    <col min="13680" max="13680" width="15.85546875" style="1" customWidth="1"/>
    <col min="13681" max="13681" width="15.7109375" style="1" customWidth="1"/>
    <col min="13682" max="13682" width="15.42578125" style="1" customWidth="1"/>
    <col min="13683" max="13683" width="17.140625" style="1" customWidth="1"/>
    <col min="13684" max="13684" width="37.85546875" style="1" customWidth="1"/>
    <col min="13685" max="13685" width="36.5703125" style="1" customWidth="1"/>
    <col min="13686" max="13686" width="29.42578125" style="1" customWidth="1"/>
    <col min="13687" max="13931" width="8.85546875" style="1"/>
    <col min="13932" max="13932" width="4" style="1" customWidth="1"/>
    <col min="13933" max="13933" width="59.7109375" style="1" customWidth="1"/>
    <col min="13934" max="13934" width="4.85546875" style="1" customWidth="1"/>
    <col min="13935" max="13935" width="9" style="1" customWidth="1"/>
    <col min="13936" max="13936" width="15.85546875" style="1" customWidth="1"/>
    <col min="13937" max="13937" width="15.7109375" style="1" customWidth="1"/>
    <col min="13938" max="13938" width="15.42578125" style="1" customWidth="1"/>
    <col min="13939" max="13939" width="17.140625" style="1" customWidth="1"/>
    <col min="13940" max="13940" width="37.85546875" style="1" customWidth="1"/>
    <col min="13941" max="13941" width="36.5703125" style="1" customWidth="1"/>
    <col min="13942" max="13942" width="29.42578125" style="1" customWidth="1"/>
    <col min="13943" max="14187" width="8.85546875" style="1"/>
    <col min="14188" max="14188" width="4" style="1" customWidth="1"/>
    <col min="14189" max="14189" width="59.7109375" style="1" customWidth="1"/>
    <col min="14190" max="14190" width="4.85546875" style="1" customWidth="1"/>
    <col min="14191" max="14191" width="9" style="1" customWidth="1"/>
    <col min="14192" max="14192" width="15.85546875" style="1" customWidth="1"/>
    <col min="14193" max="14193" width="15.7109375" style="1" customWidth="1"/>
    <col min="14194" max="14194" width="15.42578125" style="1" customWidth="1"/>
    <col min="14195" max="14195" width="17.140625" style="1" customWidth="1"/>
    <col min="14196" max="14196" width="37.85546875" style="1" customWidth="1"/>
    <col min="14197" max="14197" width="36.5703125" style="1" customWidth="1"/>
    <col min="14198" max="14198" width="29.42578125" style="1" customWidth="1"/>
    <col min="14199" max="14443" width="8.85546875" style="1"/>
    <col min="14444" max="14444" width="4" style="1" customWidth="1"/>
    <col min="14445" max="14445" width="59.7109375" style="1" customWidth="1"/>
    <col min="14446" max="14446" width="4.85546875" style="1" customWidth="1"/>
    <col min="14447" max="14447" width="9" style="1" customWidth="1"/>
    <col min="14448" max="14448" width="15.85546875" style="1" customWidth="1"/>
    <col min="14449" max="14449" width="15.7109375" style="1" customWidth="1"/>
    <col min="14450" max="14450" width="15.42578125" style="1" customWidth="1"/>
    <col min="14451" max="14451" width="17.140625" style="1" customWidth="1"/>
    <col min="14452" max="14452" width="37.85546875" style="1" customWidth="1"/>
    <col min="14453" max="14453" width="36.5703125" style="1" customWidth="1"/>
    <col min="14454" max="14454" width="29.42578125" style="1" customWidth="1"/>
    <col min="14455" max="14699" width="8.85546875" style="1"/>
    <col min="14700" max="14700" width="4" style="1" customWidth="1"/>
    <col min="14701" max="14701" width="59.7109375" style="1" customWidth="1"/>
    <col min="14702" max="14702" width="4.85546875" style="1" customWidth="1"/>
    <col min="14703" max="14703" width="9" style="1" customWidth="1"/>
    <col min="14704" max="14704" width="15.85546875" style="1" customWidth="1"/>
    <col min="14705" max="14705" width="15.7109375" style="1" customWidth="1"/>
    <col min="14706" max="14706" width="15.42578125" style="1" customWidth="1"/>
    <col min="14707" max="14707" width="17.140625" style="1" customWidth="1"/>
    <col min="14708" max="14708" width="37.85546875" style="1" customWidth="1"/>
    <col min="14709" max="14709" width="36.5703125" style="1" customWidth="1"/>
    <col min="14710" max="14710" width="29.42578125" style="1" customWidth="1"/>
    <col min="14711" max="14955" width="8.85546875" style="1"/>
    <col min="14956" max="14956" width="4" style="1" customWidth="1"/>
    <col min="14957" max="14957" width="59.7109375" style="1" customWidth="1"/>
    <col min="14958" max="14958" width="4.85546875" style="1" customWidth="1"/>
    <col min="14959" max="14959" width="9" style="1" customWidth="1"/>
    <col min="14960" max="14960" width="15.85546875" style="1" customWidth="1"/>
    <col min="14961" max="14961" width="15.7109375" style="1" customWidth="1"/>
    <col min="14962" max="14962" width="15.42578125" style="1" customWidth="1"/>
    <col min="14963" max="14963" width="17.140625" style="1" customWidth="1"/>
    <col min="14964" max="14964" width="37.85546875" style="1" customWidth="1"/>
    <col min="14965" max="14965" width="36.5703125" style="1" customWidth="1"/>
    <col min="14966" max="14966" width="29.42578125" style="1" customWidth="1"/>
    <col min="14967" max="15211" width="8.85546875" style="1"/>
    <col min="15212" max="15212" width="4" style="1" customWidth="1"/>
    <col min="15213" max="15213" width="59.7109375" style="1" customWidth="1"/>
    <col min="15214" max="15214" width="4.85546875" style="1" customWidth="1"/>
    <col min="15215" max="15215" width="9" style="1" customWidth="1"/>
    <col min="15216" max="15216" width="15.85546875" style="1" customWidth="1"/>
    <col min="15217" max="15217" width="15.7109375" style="1" customWidth="1"/>
    <col min="15218" max="15218" width="15.42578125" style="1" customWidth="1"/>
    <col min="15219" max="15219" width="17.140625" style="1" customWidth="1"/>
    <col min="15220" max="15220" width="37.85546875" style="1" customWidth="1"/>
    <col min="15221" max="15221" width="36.5703125" style="1" customWidth="1"/>
    <col min="15222" max="15222" width="29.42578125" style="1" customWidth="1"/>
    <col min="15223" max="15467" width="8.85546875" style="1"/>
    <col min="15468" max="15468" width="4" style="1" customWidth="1"/>
    <col min="15469" max="15469" width="59.7109375" style="1" customWidth="1"/>
    <col min="15470" max="15470" width="4.85546875" style="1" customWidth="1"/>
    <col min="15471" max="15471" width="9" style="1" customWidth="1"/>
    <col min="15472" max="15472" width="15.85546875" style="1" customWidth="1"/>
    <col min="15473" max="15473" width="15.7109375" style="1" customWidth="1"/>
    <col min="15474" max="15474" width="15.42578125" style="1" customWidth="1"/>
    <col min="15475" max="15475" width="17.140625" style="1" customWidth="1"/>
    <col min="15476" max="15476" width="37.85546875" style="1" customWidth="1"/>
    <col min="15477" max="15477" width="36.5703125" style="1" customWidth="1"/>
    <col min="15478" max="15478" width="29.42578125" style="1" customWidth="1"/>
    <col min="15479" max="15723" width="8.85546875" style="1"/>
    <col min="15724" max="15724" width="4" style="1" customWidth="1"/>
    <col min="15725" max="15725" width="59.7109375" style="1" customWidth="1"/>
    <col min="15726" max="15726" width="4.85546875" style="1" customWidth="1"/>
    <col min="15727" max="15727" width="9" style="1" customWidth="1"/>
    <col min="15728" max="15728" width="15.85546875" style="1" customWidth="1"/>
    <col min="15729" max="15729" width="15.7109375" style="1" customWidth="1"/>
    <col min="15730" max="15730" width="15.42578125" style="1" customWidth="1"/>
    <col min="15731" max="15731" width="17.140625" style="1" customWidth="1"/>
    <col min="15732" max="15732" width="37.85546875" style="1" customWidth="1"/>
    <col min="15733" max="15733" width="36.5703125" style="1" customWidth="1"/>
    <col min="15734" max="15734" width="29.42578125" style="1" customWidth="1"/>
    <col min="15735" max="15979" width="8.85546875" style="1"/>
    <col min="15980" max="15980" width="4" style="1" customWidth="1"/>
    <col min="15981" max="15981" width="59.7109375" style="1" customWidth="1"/>
    <col min="15982" max="15982" width="4.85546875" style="1" customWidth="1"/>
    <col min="15983" max="15983" width="9" style="1" customWidth="1"/>
    <col min="15984" max="15984" width="15.85546875" style="1" customWidth="1"/>
    <col min="15985" max="15985" width="15.7109375" style="1" customWidth="1"/>
    <col min="15986" max="15986" width="15.42578125" style="1" customWidth="1"/>
    <col min="15987" max="15987" width="17.140625" style="1" customWidth="1"/>
    <col min="15988" max="15988" width="37.85546875" style="1" customWidth="1"/>
    <col min="15989" max="15989" width="36.5703125" style="1" customWidth="1"/>
    <col min="15990" max="15990" width="29.42578125" style="1" customWidth="1"/>
    <col min="15991" max="16384" width="8.85546875" style="1"/>
  </cols>
  <sheetData>
    <row r="1" spans="1:41" ht="22.15" customHeight="1">
      <c r="G1" s="15">
        <v>45999</v>
      </c>
      <c r="H1" s="15">
        <v>45999</v>
      </c>
      <c r="M1" s="15">
        <v>46002</v>
      </c>
      <c r="N1" s="15">
        <v>46002</v>
      </c>
      <c r="S1" s="15">
        <v>46006</v>
      </c>
      <c r="T1" s="15">
        <v>46006</v>
      </c>
      <c r="U1" s="17" t="s">
        <v>87</v>
      </c>
      <c r="Z1" s="15">
        <f ca="1">TODAY()</f>
        <v>46010</v>
      </c>
      <c r="AA1" s="15"/>
      <c r="AB1" s="17" t="s">
        <v>87</v>
      </c>
      <c r="AC1" s="18" t="s">
        <v>88</v>
      </c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</row>
    <row r="2" spans="1:41" ht="30" customHeight="1">
      <c r="A2"/>
      <c r="B2" s="2" t="s">
        <v>0</v>
      </c>
      <c r="C2" s="3" t="s">
        <v>1</v>
      </c>
      <c r="D2" s="3" t="s">
        <v>2</v>
      </c>
      <c r="E2" s="4" t="s">
        <v>3</v>
      </c>
      <c r="F2" s="4" t="s">
        <v>4</v>
      </c>
      <c r="G2" s="5" t="s">
        <v>5</v>
      </c>
      <c r="H2" s="5" t="s">
        <v>6</v>
      </c>
      <c r="I2" s="3" t="s">
        <v>1</v>
      </c>
      <c r="J2" s="12" t="s">
        <v>2</v>
      </c>
      <c r="K2" s="4" t="s">
        <v>3</v>
      </c>
      <c r="L2" s="4" t="s">
        <v>4</v>
      </c>
      <c r="M2" s="5" t="s">
        <v>5</v>
      </c>
      <c r="N2" s="5" t="s">
        <v>6</v>
      </c>
      <c r="O2" s="3" t="s">
        <v>1</v>
      </c>
      <c r="P2" s="12" t="s">
        <v>2</v>
      </c>
      <c r="Q2" s="4" t="s">
        <v>3</v>
      </c>
      <c r="R2" s="4" t="s">
        <v>4</v>
      </c>
      <c r="S2" s="5" t="s">
        <v>5</v>
      </c>
      <c r="T2" s="5" t="s">
        <v>6</v>
      </c>
      <c r="U2" s="19"/>
      <c r="V2" s="3" t="s">
        <v>1</v>
      </c>
      <c r="W2" s="12" t="s">
        <v>2</v>
      </c>
      <c r="X2" s="4" t="s">
        <v>3</v>
      </c>
      <c r="Y2" s="4" t="s">
        <v>4</v>
      </c>
      <c r="Z2" s="5" t="s">
        <v>5</v>
      </c>
      <c r="AA2" s="5"/>
      <c r="AB2" s="19"/>
      <c r="AC2" s="20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</row>
    <row r="3" spans="1:41" ht="22.15" hidden="1" customHeight="1">
      <c r="A3"/>
      <c r="B3" s="6" t="s">
        <v>7</v>
      </c>
      <c r="C3" s="21" t="s">
        <v>8</v>
      </c>
      <c r="D3" s="22">
        <v>124</v>
      </c>
      <c r="E3" s="23">
        <v>45254</v>
      </c>
      <c r="F3" s="23">
        <v>45299</v>
      </c>
      <c r="G3" s="7">
        <f t="shared" ref="G3:G37" si="0">IFERROR((F3-$G$1)/(F3-E3)*100,"")</f>
        <v>-1555.5555555555554</v>
      </c>
      <c r="H3" s="7">
        <f t="shared" ref="H3:H37" si="1">F3-$H$1</f>
        <v>-700</v>
      </c>
      <c r="I3" s="21" t="s">
        <v>8</v>
      </c>
      <c r="J3" s="24">
        <v>124</v>
      </c>
      <c r="K3" s="23">
        <v>45254</v>
      </c>
      <c r="L3" s="23">
        <v>45299</v>
      </c>
      <c r="M3" s="7">
        <f t="shared" ref="M3:M37" si="2">IFERROR((L3-$G$1)/(L3-K3)*100,"")</f>
        <v>-1555.5555555555554</v>
      </c>
      <c r="N3" s="7">
        <f t="shared" ref="N3:N37" si="3">L3-$H$1</f>
        <v>-700</v>
      </c>
      <c r="O3" s="21" t="s">
        <v>8</v>
      </c>
      <c r="P3" s="24">
        <v>124</v>
      </c>
      <c r="Q3" s="23">
        <v>45254</v>
      </c>
      <c r="R3" s="23">
        <v>45299</v>
      </c>
      <c r="S3" s="7">
        <f t="shared" ref="S3:S37" si="4">IFERROR((R3-$G$1)/(R3-Q3)*100,"")</f>
        <v>-1555.5555555555554</v>
      </c>
      <c r="T3" s="7">
        <f t="shared" ref="T3:T37" si="5">R3-$H$1</f>
        <v>-700</v>
      </c>
      <c r="U3" s="19"/>
      <c r="V3" s="21" t="s">
        <v>8</v>
      </c>
      <c r="W3" s="24">
        <v>124</v>
      </c>
      <c r="X3" s="23">
        <v>45254</v>
      </c>
      <c r="Y3" s="23">
        <v>45299</v>
      </c>
      <c r="Z3" s="7">
        <f t="shared" ref="Z3:Z37" si="6">IFERROR((Y3-$G$1)/(Y3-X3)*100,"")</f>
        <v>-1555.5555555555554</v>
      </c>
      <c r="AA3" s="7"/>
      <c r="AB3" s="19"/>
      <c r="AC3" s="20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</row>
    <row r="4" spans="1:41" ht="22.15" hidden="1" customHeight="1">
      <c r="A4"/>
      <c r="B4" s="6" t="s">
        <v>9</v>
      </c>
      <c r="C4" s="21" t="s">
        <v>8</v>
      </c>
      <c r="D4" s="22">
        <v>115</v>
      </c>
      <c r="E4" s="23">
        <v>45254</v>
      </c>
      <c r="F4" s="23">
        <v>45299</v>
      </c>
      <c r="G4" s="7">
        <f t="shared" si="0"/>
        <v>-1555.5555555555554</v>
      </c>
      <c r="H4" s="7">
        <f t="shared" si="1"/>
        <v>-700</v>
      </c>
      <c r="I4" s="21" t="s">
        <v>8</v>
      </c>
      <c r="J4" s="24">
        <v>115</v>
      </c>
      <c r="K4" s="23">
        <v>45254</v>
      </c>
      <c r="L4" s="23">
        <v>45299</v>
      </c>
      <c r="M4" s="7">
        <f t="shared" si="2"/>
        <v>-1555.5555555555554</v>
      </c>
      <c r="N4" s="7">
        <f t="shared" si="3"/>
        <v>-700</v>
      </c>
      <c r="O4" s="21" t="s">
        <v>8</v>
      </c>
      <c r="P4" s="24">
        <v>115</v>
      </c>
      <c r="Q4" s="23">
        <v>45254</v>
      </c>
      <c r="R4" s="23">
        <v>45299</v>
      </c>
      <c r="S4" s="7">
        <f t="shared" si="4"/>
        <v>-1555.5555555555554</v>
      </c>
      <c r="T4" s="7">
        <f t="shared" si="5"/>
        <v>-700</v>
      </c>
      <c r="U4" s="19"/>
      <c r="V4" s="21" t="s">
        <v>8</v>
      </c>
      <c r="W4" s="24">
        <v>115</v>
      </c>
      <c r="X4" s="23">
        <v>45254</v>
      </c>
      <c r="Y4" s="23">
        <v>45299</v>
      </c>
      <c r="Z4" s="7">
        <f t="shared" si="6"/>
        <v>-1555.5555555555554</v>
      </c>
      <c r="AA4" s="7"/>
      <c r="AB4" s="19"/>
      <c r="AC4" s="20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</row>
    <row r="5" spans="1:41" ht="22.15" hidden="1" customHeight="1">
      <c r="A5"/>
      <c r="B5" s="6" t="s">
        <v>10</v>
      </c>
      <c r="C5" s="21" t="s">
        <v>8</v>
      </c>
      <c r="D5" s="22">
        <v>54</v>
      </c>
      <c r="E5" s="25">
        <v>45256</v>
      </c>
      <c r="F5" s="25">
        <v>45301</v>
      </c>
      <c r="G5" s="7">
        <f t="shared" si="0"/>
        <v>-1551.1111111111111</v>
      </c>
      <c r="H5" s="7">
        <f t="shared" si="1"/>
        <v>-698</v>
      </c>
      <c r="I5" s="21" t="s">
        <v>8</v>
      </c>
      <c r="J5" s="24">
        <v>54</v>
      </c>
      <c r="K5" s="25">
        <v>45256</v>
      </c>
      <c r="L5" s="25">
        <v>45301</v>
      </c>
      <c r="M5" s="7">
        <f t="shared" si="2"/>
        <v>-1551.1111111111111</v>
      </c>
      <c r="N5" s="7">
        <f t="shared" si="3"/>
        <v>-698</v>
      </c>
      <c r="O5" s="21" t="s">
        <v>8</v>
      </c>
      <c r="P5" s="24">
        <v>54</v>
      </c>
      <c r="Q5" s="25">
        <v>45256</v>
      </c>
      <c r="R5" s="25">
        <v>45301</v>
      </c>
      <c r="S5" s="7">
        <f t="shared" si="4"/>
        <v>-1551.1111111111111</v>
      </c>
      <c r="T5" s="7">
        <f t="shared" si="5"/>
        <v>-698</v>
      </c>
      <c r="U5" s="19"/>
      <c r="V5" s="21" t="s">
        <v>8</v>
      </c>
      <c r="W5" s="24">
        <v>54</v>
      </c>
      <c r="X5" s="25">
        <v>45256</v>
      </c>
      <c r="Y5" s="25">
        <v>45301</v>
      </c>
      <c r="Z5" s="7">
        <f t="shared" si="6"/>
        <v>-1551.1111111111111</v>
      </c>
      <c r="AA5" s="7"/>
      <c r="AB5" s="19"/>
      <c r="AC5" s="20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</row>
    <row r="6" spans="1:41" ht="22.15" hidden="1" customHeight="1">
      <c r="A6"/>
      <c r="B6" s="6" t="s">
        <v>11</v>
      </c>
      <c r="C6" s="21" t="s">
        <v>8</v>
      </c>
      <c r="D6" s="22">
        <v>65</v>
      </c>
      <c r="E6" s="25">
        <v>45268</v>
      </c>
      <c r="F6" s="25">
        <v>45303</v>
      </c>
      <c r="G6" s="7">
        <f t="shared" si="0"/>
        <v>-1988.5714285714287</v>
      </c>
      <c r="H6" s="7">
        <f t="shared" si="1"/>
        <v>-696</v>
      </c>
      <c r="I6" s="21" t="s">
        <v>8</v>
      </c>
      <c r="J6" s="24">
        <v>65</v>
      </c>
      <c r="K6" s="25">
        <v>45268</v>
      </c>
      <c r="L6" s="25">
        <v>45303</v>
      </c>
      <c r="M6" s="7">
        <f t="shared" si="2"/>
        <v>-1988.5714285714287</v>
      </c>
      <c r="N6" s="7">
        <f t="shared" si="3"/>
        <v>-696</v>
      </c>
      <c r="O6" s="21" t="s">
        <v>8</v>
      </c>
      <c r="P6" s="24">
        <v>65</v>
      </c>
      <c r="Q6" s="25">
        <v>45268</v>
      </c>
      <c r="R6" s="25">
        <v>45303</v>
      </c>
      <c r="S6" s="7">
        <f t="shared" si="4"/>
        <v>-1988.5714285714287</v>
      </c>
      <c r="T6" s="7">
        <f t="shared" si="5"/>
        <v>-696</v>
      </c>
      <c r="U6" s="19"/>
      <c r="V6" s="21" t="s">
        <v>8</v>
      </c>
      <c r="W6" s="24">
        <v>65</v>
      </c>
      <c r="X6" s="25">
        <v>45268</v>
      </c>
      <c r="Y6" s="25">
        <v>45303</v>
      </c>
      <c r="Z6" s="7">
        <f t="shared" si="6"/>
        <v>-1988.5714285714287</v>
      </c>
      <c r="AA6" s="7"/>
      <c r="AB6" s="19"/>
      <c r="AC6" s="20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</row>
    <row r="7" spans="1:41" ht="22.15" hidden="1" customHeight="1">
      <c r="A7"/>
      <c r="B7" s="6" t="s">
        <v>12</v>
      </c>
      <c r="C7" s="21" t="s">
        <v>8</v>
      </c>
      <c r="D7" s="22">
        <v>32</v>
      </c>
      <c r="E7" s="25">
        <v>45269</v>
      </c>
      <c r="F7" s="25">
        <v>45304</v>
      </c>
      <c r="G7" s="7">
        <f t="shared" si="0"/>
        <v>-1985.7142857142858</v>
      </c>
      <c r="H7" s="7">
        <f t="shared" si="1"/>
        <v>-695</v>
      </c>
      <c r="I7" s="21" t="s">
        <v>8</v>
      </c>
      <c r="J7" s="24">
        <v>32</v>
      </c>
      <c r="K7" s="25">
        <v>45269</v>
      </c>
      <c r="L7" s="25">
        <v>45304</v>
      </c>
      <c r="M7" s="7">
        <f t="shared" si="2"/>
        <v>-1985.7142857142858</v>
      </c>
      <c r="N7" s="7">
        <f t="shared" si="3"/>
        <v>-695</v>
      </c>
      <c r="O7" s="21" t="s">
        <v>8</v>
      </c>
      <c r="P7" s="24">
        <v>32</v>
      </c>
      <c r="Q7" s="25">
        <v>45269</v>
      </c>
      <c r="R7" s="25">
        <v>45304</v>
      </c>
      <c r="S7" s="7">
        <f t="shared" si="4"/>
        <v>-1985.7142857142858</v>
      </c>
      <c r="T7" s="7">
        <f t="shared" si="5"/>
        <v>-695</v>
      </c>
      <c r="U7" s="19"/>
      <c r="V7" s="21" t="s">
        <v>8</v>
      </c>
      <c r="W7" s="24">
        <v>32</v>
      </c>
      <c r="X7" s="25">
        <v>45269</v>
      </c>
      <c r="Y7" s="25">
        <v>45304</v>
      </c>
      <c r="Z7" s="7">
        <f t="shared" si="6"/>
        <v>-1985.7142857142858</v>
      </c>
      <c r="AA7" s="7"/>
      <c r="AB7" s="19"/>
      <c r="AC7" s="20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</row>
    <row r="8" spans="1:41" ht="22.15" hidden="1" customHeight="1">
      <c r="A8"/>
      <c r="B8" s="6" t="s">
        <v>13</v>
      </c>
      <c r="C8" s="21" t="s">
        <v>14</v>
      </c>
      <c r="D8" s="22">
        <v>217.8</v>
      </c>
      <c r="E8" s="25">
        <v>45275</v>
      </c>
      <c r="F8" s="25">
        <v>45305</v>
      </c>
      <c r="G8" s="7">
        <f t="shared" si="0"/>
        <v>-2313.3333333333335</v>
      </c>
      <c r="H8" s="7">
        <f t="shared" si="1"/>
        <v>-694</v>
      </c>
      <c r="I8" s="21" t="s">
        <v>14</v>
      </c>
      <c r="J8" s="24">
        <v>217.8</v>
      </c>
      <c r="K8" s="25">
        <v>45275</v>
      </c>
      <c r="L8" s="25">
        <v>45305</v>
      </c>
      <c r="M8" s="7">
        <f t="shared" si="2"/>
        <v>-2313.3333333333335</v>
      </c>
      <c r="N8" s="7">
        <f t="shared" si="3"/>
        <v>-694</v>
      </c>
      <c r="O8" s="21" t="s">
        <v>14</v>
      </c>
      <c r="P8" s="24">
        <v>217.8</v>
      </c>
      <c r="Q8" s="25">
        <v>45275</v>
      </c>
      <c r="R8" s="25">
        <v>45305</v>
      </c>
      <c r="S8" s="7">
        <f t="shared" si="4"/>
        <v>-2313.3333333333335</v>
      </c>
      <c r="T8" s="7">
        <f t="shared" si="5"/>
        <v>-694</v>
      </c>
      <c r="U8" s="19"/>
      <c r="V8" s="21" t="s">
        <v>14</v>
      </c>
      <c r="W8" s="24">
        <v>217.8</v>
      </c>
      <c r="X8" s="25">
        <v>45275</v>
      </c>
      <c r="Y8" s="25">
        <v>45305</v>
      </c>
      <c r="Z8" s="7">
        <f t="shared" si="6"/>
        <v>-2313.3333333333335</v>
      </c>
      <c r="AA8" s="7"/>
      <c r="AB8" s="19"/>
      <c r="AC8" s="20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</row>
    <row r="9" spans="1:41" ht="22.15" hidden="1" customHeight="1">
      <c r="A9"/>
      <c r="B9" s="6" t="s">
        <v>15</v>
      </c>
      <c r="C9" s="21" t="s">
        <v>14</v>
      </c>
      <c r="D9" s="22">
        <v>68.8</v>
      </c>
      <c r="E9" s="25">
        <v>45265</v>
      </c>
      <c r="F9" s="25">
        <v>45305</v>
      </c>
      <c r="G9" s="7">
        <f t="shared" si="0"/>
        <v>-1735.0000000000002</v>
      </c>
      <c r="H9" s="7">
        <f t="shared" si="1"/>
        <v>-694</v>
      </c>
      <c r="I9" s="21" t="s">
        <v>14</v>
      </c>
      <c r="J9" s="24">
        <v>68.8</v>
      </c>
      <c r="K9" s="25">
        <v>45265</v>
      </c>
      <c r="L9" s="25">
        <v>45305</v>
      </c>
      <c r="M9" s="7">
        <f t="shared" si="2"/>
        <v>-1735.0000000000002</v>
      </c>
      <c r="N9" s="7">
        <f t="shared" si="3"/>
        <v>-694</v>
      </c>
      <c r="O9" s="21" t="s">
        <v>14</v>
      </c>
      <c r="P9" s="24">
        <v>68.8</v>
      </c>
      <c r="Q9" s="25">
        <v>45265</v>
      </c>
      <c r="R9" s="25">
        <v>45305</v>
      </c>
      <c r="S9" s="7">
        <f t="shared" si="4"/>
        <v>-1735.0000000000002</v>
      </c>
      <c r="T9" s="7">
        <f t="shared" si="5"/>
        <v>-694</v>
      </c>
      <c r="U9" s="19"/>
      <c r="V9" s="21" t="s">
        <v>14</v>
      </c>
      <c r="W9" s="24">
        <v>68.8</v>
      </c>
      <c r="X9" s="25">
        <v>45265</v>
      </c>
      <c r="Y9" s="25">
        <v>45305</v>
      </c>
      <c r="Z9" s="7">
        <f t="shared" si="6"/>
        <v>-1735.0000000000002</v>
      </c>
      <c r="AA9" s="7"/>
      <c r="AB9" s="19"/>
      <c r="AC9" s="20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</row>
    <row r="10" spans="1:41" ht="22.15" hidden="1" customHeight="1">
      <c r="A10"/>
      <c r="B10" s="6" t="s">
        <v>16</v>
      </c>
      <c r="C10" s="21" t="s">
        <v>14</v>
      </c>
      <c r="D10" s="22">
        <v>42.16</v>
      </c>
      <c r="E10" s="25">
        <v>45260</v>
      </c>
      <c r="F10" s="25">
        <v>45305</v>
      </c>
      <c r="G10" s="7">
        <f t="shared" si="0"/>
        <v>-1542.2222222222222</v>
      </c>
      <c r="H10" s="7">
        <f t="shared" si="1"/>
        <v>-694</v>
      </c>
      <c r="I10" s="21" t="s">
        <v>14</v>
      </c>
      <c r="J10" s="24">
        <v>42.16</v>
      </c>
      <c r="K10" s="25">
        <v>45260</v>
      </c>
      <c r="L10" s="25">
        <v>45305</v>
      </c>
      <c r="M10" s="7">
        <f t="shared" si="2"/>
        <v>-1542.2222222222222</v>
      </c>
      <c r="N10" s="7">
        <f t="shared" si="3"/>
        <v>-694</v>
      </c>
      <c r="O10" s="21" t="s">
        <v>14</v>
      </c>
      <c r="P10" s="24">
        <v>42.16</v>
      </c>
      <c r="Q10" s="25">
        <v>45260</v>
      </c>
      <c r="R10" s="25">
        <v>45305</v>
      </c>
      <c r="S10" s="7">
        <f t="shared" si="4"/>
        <v>-1542.2222222222222</v>
      </c>
      <c r="T10" s="7">
        <f t="shared" si="5"/>
        <v>-694</v>
      </c>
      <c r="U10" s="19"/>
      <c r="V10" s="21" t="s">
        <v>14</v>
      </c>
      <c r="W10" s="24">
        <v>42.16</v>
      </c>
      <c r="X10" s="25">
        <v>45260</v>
      </c>
      <c r="Y10" s="25">
        <v>45305</v>
      </c>
      <c r="Z10" s="7">
        <f t="shared" si="6"/>
        <v>-1542.2222222222222</v>
      </c>
      <c r="AA10" s="7"/>
      <c r="AB10" s="19"/>
      <c r="AC10" s="20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</row>
    <row r="11" spans="1:41" ht="22.15" hidden="1" customHeight="1">
      <c r="A11"/>
      <c r="B11" s="6" t="s">
        <v>17</v>
      </c>
      <c r="C11" s="21" t="s">
        <v>14</v>
      </c>
      <c r="D11" s="22">
        <v>205.58</v>
      </c>
      <c r="E11" s="25">
        <v>45276</v>
      </c>
      <c r="F11" s="25">
        <v>45306</v>
      </c>
      <c r="G11" s="7">
        <f t="shared" si="0"/>
        <v>-2310</v>
      </c>
      <c r="H11" s="7">
        <f t="shared" si="1"/>
        <v>-693</v>
      </c>
      <c r="I11" s="21" t="s">
        <v>14</v>
      </c>
      <c r="J11" s="24">
        <v>205.58</v>
      </c>
      <c r="K11" s="25">
        <v>45276</v>
      </c>
      <c r="L11" s="25">
        <v>45306</v>
      </c>
      <c r="M11" s="7">
        <f t="shared" si="2"/>
        <v>-2310</v>
      </c>
      <c r="N11" s="7">
        <f t="shared" si="3"/>
        <v>-693</v>
      </c>
      <c r="O11" s="21" t="s">
        <v>14</v>
      </c>
      <c r="P11" s="24">
        <v>205.58</v>
      </c>
      <c r="Q11" s="25">
        <v>45276</v>
      </c>
      <c r="R11" s="25">
        <v>45306</v>
      </c>
      <c r="S11" s="7">
        <f t="shared" si="4"/>
        <v>-2310</v>
      </c>
      <c r="T11" s="7">
        <f t="shared" si="5"/>
        <v>-693</v>
      </c>
      <c r="U11" s="19"/>
      <c r="V11" s="21" t="s">
        <v>14</v>
      </c>
      <c r="W11" s="24">
        <v>205.58</v>
      </c>
      <c r="X11" s="25">
        <v>45276</v>
      </c>
      <c r="Y11" s="25">
        <v>45306</v>
      </c>
      <c r="Z11" s="7">
        <f t="shared" si="6"/>
        <v>-2310</v>
      </c>
      <c r="AA11" s="7"/>
      <c r="AB11" s="19"/>
      <c r="AC11" s="20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</row>
    <row r="12" spans="1:41" ht="22.15" hidden="1" customHeight="1">
      <c r="A12"/>
      <c r="B12" s="6" t="s">
        <v>18</v>
      </c>
      <c r="C12" s="21" t="s">
        <v>14</v>
      </c>
      <c r="D12" s="22">
        <v>12</v>
      </c>
      <c r="E12" s="25">
        <v>45256</v>
      </c>
      <c r="F12" s="25">
        <v>45306</v>
      </c>
      <c r="G12" s="7">
        <f t="shared" si="0"/>
        <v>-1386</v>
      </c>
      <c r="H12" s="7">
        <f t="shared" si="1"/>
        <v>-693</v>
      </c>
      <c r="I12" s="21" t="s">
        <v>14</v>
      </c>
      <c r="J12" s="24">
        <v>12</v>
      </c>
      <c r="K12" s="25">
        <v>45256</v>
      </c>
      <c r="L12" s="25">
        <v>45306</v>
      </c>
      <c r="M12" s="7">
        <f t="shared" si="2"/>
        <v>-1386</v>
      </c>
      <c r="N12" s="7">
        <f t="shared" si="3"/>
        <v>-693</v>
      </c>
      <c r="O12" s="21" t="s">
        <v>14</v>
      </c>
      <c r="P12" s="24">
        <v>12</v>
      </c>
      <c r="Q12" s="25">
        <v>45256</v>
      </c>
      <c r="R12" s="25">
        <v>45306</v>
      </c>
      <c r="S12" s="7">
        <f t="shared" si="4"/>
        <v>-1386</v>
      </c>
      <c r="T12" s="7">
        <f t="shared" si="5"/>
        <v>-693</v>
      </c>
      <c r="U12" s="19"/>
      <c r="V12" s="21" t="s">
        <v>14</v>
      </c>
      <c r="W12" s="24">
        <v>12</v>
      </c>
      <c r="X12" s="25">
        <v>45256</v>
      </c>
      <c r="Y12" s="25">
        <v>45306</v>
      </c>
      <c r="Z12" s="7">
        <f t="shared" si="6"/>
        <v>-1386</v>
      </c>
      <c r="AA12" s="7"/>
      <c r="AB12" s="19"/>
      <c r="AC12" s="20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</row>
    <row r="13" spans="1:41" ht="22.15" hidden="1" customHeight="1">
      <c r="A13"/>
      <c r="B13" s="6" t="s">
        <v>19</v>
      </c>
      <c r="C13" s="21" t="s">
        <v>14</v>
      </c>
      <c r="D13" s="22">
        <v>89.266999999999996</v>
      </c>
      <c r="E13" s="25">
        <v>45276</v>
      </c>
      <c r="F13" s="25">
        <v>45306</v>
      </c>
      <c r="G13" s="7">
        <f t="shared" si="0"/>
        <v>-2310</v>
      </c>
      <c r="H13" s="7">
        <f t="shared" si="1"/>
        <v>-693</v>
      </c>
      <c r="I13" s="21" t="s">
        <v>14</v>
      </c>
      <c r="J13" s="24">
        <v>89.266999999999996</v>
      </c>
      <c r="K13" s="25">
        <v>45276</v>
      </c>
      <c r="L13" s="25">
        <v>45306</v>
      </c>
      <c r="M13" s="7">
        <f t="shared" si="2"/>
        <v>-2310</v>
      </c>
      <c r="N13" s="7">
        <f t="shared" si="3"/>
        <v>-693</v>
      </c>
      <c r="O13" s="21" t="s">
        <v>14</v>
      </c>
      <c r="P13" s="24">
        <v>89.266999999999996</v>
      </c>
      <c r="Q13" s="25">
        <v>45276</v>
      </c>
      <c r="R13" s="25">
        <v>45306</v>
      </c>
      <c r="S13" s="7">
        <f t="shared" si="4"/>
        <v>-2310</v>
      </c>
      <c r="T13" s="7">
        <f t="shared" si="5"/>
        <v>-693</v>
      </c>
      <c r="U13" s="19"/>
      <c r="V13" s="21" t="s">
        <v>14</v>
      </c>
      <c r="W13" s="24">
        <v>89.266999999999996</v>
      </c>
      <c r="X13" s="25">
        <v>45276</v>
      </c>
      <c r="Y13" s="25">
        <v>45306</v>
      </c>
      <c r="Z13" s="7">
        <f t="shared" si="6"/>
        <v>-2310</v>
      </c>
      <c r="AA13" s="7"/>
      <c r="AB13" s="19"/>
      <c r="AC13" s="20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</row>
    <row r="14" spans="1:41" ht="22.15" hidden="1" customHeight="1">
      <c r="A14"/>
      <c r="B14" s="6" t="s">
        <v>20</v>
      </c>
      <c r="C14" s="21" t="s">
        <v>14</v>
      </c>
      <c r="D14" s="22">
        <v>57.1</v>
      </c>
      <c r="E14" s="25">
        <v>45229</v>
      </c>
      <c r="F14" s="25">
        <v>45306</v>
      </c>
      <c r="G14" s="7">
        <f t="shared" si="0"/>
        <v>-900</v>
      </c>
      <c r="H14" s="7">
        <f t="shared" si="1"/>
        <v>-693</v>
      </c>
      <c r="I14" s="21" t="s">
        <v>14</v>
      </c>
      <c r="J14" s="24">
        <v>57.1</v>
      </c>
      <c r="K14" s="25">
        <v>45229</v>
      </c>
      <c r="L14" s="25">
        <v>45306</v>
      </c>
      <c r="M14" s="7">
        <f t="shared" si="2"/>
        <v>-900</v>
      </c>
      <c r="N14" s="7">
        <f t="shared" si="3"/>
        <v>-693</v>
      </c>
      <c r="O14" s="21" t="s">
        <v>14</v>
      </c>
      <c r="P14" s="24">
        <v>57.1</v>
      </c>
      <c r="Q14" s="25">
        <v>45229</v>
      </c>
      <c r="R14" s="25">
        <v>45306</v>
      </c>
      <c r="S14" s="7">
        <f t="shared" si="4"/>
        <v>-900</v>
      </c>
      <c r="T14" s="7">
        <f t="shared" si="5"/>
        <v>-693</v>
      </c>
      <c r="U14" s="19" t="s">
        <v>21</v>
      </c>
      <c r="V14" s="21" t="s">
        <v>14</v>
      </c>
      <c r="W14" s="24">
        <v>57.1</v>
      </c>
      <c r="X14" s="25">
        <v>45229</v>
      </c>
      <c r="Y14" s="25">
        <v>45306</v>
      </c>
      <c r="Z14" s="7">
        <f t="shared" si="6"/>
        <v>-900</v>
      </c>
      <c r="AA14" s="7"/>
      <c r="AB14" s="19" t="s">
        <v>21</v>
      </c>
      <c r="AC14" s="20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spans="1:41" ht="22.15" hidden="1" customHeight="1">
      <c r="A15"/>
      <c r="B15" s="6" t="s">
        <v>22</v>
      </c>
      <c r="C15" s="21" t="s">
        <v>14</v>
      </c>
      <c r="D15" s="22">
        <v>159.1</v>
      </c>
      <c r="E15" s="25">
        <v>45262</v>
      </c>
      <c r="F15" s="25">
        <v>45307</v>
      </c>
      <c r="G15" s="7">
        <f t="shared" si="0"/>
        <v>-1537.7777777777778</v>
      </c>
      <c r="H15" s="7">
        <f t="shared" si="1"/>
        <v>-692</v>
      </c>
      <c r="I15" s="21" t="s">
        <v>14</v>
      </c>
      <c r="J15" s="24">
        <v>159.1</v>
      </c>
      <c r="K15" s="25">
        <v>45262</v>
      </c>
      <c r="L15" s="25">
        <v>45307</v>
      </c>
      <c r="M15" s="7">
        <f t="shared" si="2"/>
        <v>-1537.7777777777778</v>
      </c>
      <c r="N15" s="7">
        <f t="shared" si="3"/>
        <v>-692</v>
      </c>
      <c r="O15" s="21" t="s">
        <v>14</v>
      </c>
      <c r="P15" s="24">
        <v>159.1</v>
      </c>
      <c r="Q15" s="25">
        <v>45262</v>
      </c>
      <c r="R15" s="25">
        <v>45307</v>
      </c>
      <c r="S15" s="7">
        <f t="shared" si="4"/>
        <v>-1537.7777777777778</v>
      </c>
      <c r="T15" s="7">
        <f t="shared" si="5"/>
        <v>-692</v>
      </c>
      <c r="U15" s="19"/>
      <c r="V15" s="21" t="s">
        <v>14</v>
      </c>
      <c r="W15" s="24">
        <v>159.1</v>
      </c>
      <c r="X15" s="25">
        <v>45262</v>
      </c>
      <c r="Y15" s="25">
        <v>45307</v>
      </c>
      <c r="Z15" s="7">
        <f t="shared" si="6"/>
        <v>-1537.7777777777778</v>
      </c>
      <c r="AA15" s="7"/>
      <c r="AB15" s="19"/>
      <c r="AC15" s="20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 ht="22.15" hidden="1" customHeight="1">
      <c r="A16"/>
      <c r="B16" s="6" t="s">
        <v>23</v>
      </c>
      <c r="C16" s="21" t="s">
        <v>14</v>
      </c>
      <c r="D16" s="22">
        <v>218.5</v>
      </c>
      <c r="E16" s="25">
        <v>45277</v>
      </c>
      <c r="F16" s="25">
        <v>45307</v>
      </c>
      <c r="G16" s="7">
        <f t="shared" si="0"/>
        <v>-2306.6666666666665</v>
      </c>
      <c r="H16" s="7">
        <f t="shared" si="1"/>
        <v>-692</v>
      </c>
      <c r="I16" s="21" t="s">
        <v>14</v>
      </c>
      <c r="J16" s="24">
        <v>218.5</v>
      </c>
      <c r="K16" s="25">
        <v>45277</v>
      </c>
      <c r="L16" s="25">
        <v>45307</v>
      </c>
      <c r="M16" s="7">
        <f t="shared" si="2"/>
        <v>-2306.6666666666665</v>
      </c>
      <c r="N16" s="7">
        <f t="shared" si="3"/>
        <v>-692</v>
      </c>
      <c r="O16" s="21" t="s">
        <v>14</v>
      </c>
      <c r="P16" s="24">
        <v>218.5</v>
      </c>
      <c r="Q16" s="25">
        <v>45277</v>
      </c>
      <c r="R16" s="25">
        <v>45307</v>
      </c>
      <c r="S16" s="7">
        <f t="shared" si="4"/>
        <v>-2306.6666666666665</v>
      </c>
      <c r="T16" s="7">
        <f t="shared" si="5"/>
        <v>-692</v>
      </c>
      <c r="U16" s="19"/>
      <c r="V16" s="21" t="s">
        <v>14</v>
      </c>
      <c r="W16" s="24">
        <v>218.5</v>
      </c>
      <c r="X16" s="25">
        <v>45277</v>
      </c>
      <c r="Y16" s="25">
        <v>45307</v>
      </c>
      <c r="Z16" s="7">
        <f t="shared" si="6"/>
        <v>-2306.6666666666665</v>
      </c>
      <c r="AA16" s="7"/>
      <c r="AB16" s="19"/>
      <c r="AC16" s="20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</row>
    <row r="17" spans="1:41" ht="22.15" hidden="1" customHeight="1">
      <c r="A17"/>
      <c r="B17" s="6" t="s">
        <v>24</v>
      </c>
      <c r="C17" s="21" t="s">
        <v>14</v>
      </c>
      <c r="D17" s="22">
        <v>187.7</v>
      </c>
      <c r="E17" s="25">
        <v>45267</v>
      </c>
      <c r="F17" s="25">
        <v>45307</v>
      </c>
      <c r="G17" s="7">
        <f t="shared" si="0"/>
        <v>-1730</v>
      </c>
      <c r="H17" s="7">
        <f t="shared" si="1"/>
        <v>-692</v>
      </c>
      <c r="I17" s="21" t="s">
        <v>14</v>
      </c>
      <c r="J17" s="24">
        <v>187.7</v>
      </c>
      <c r="K17" s="25">
        <v>45267</v>
      </c>
      <c r="L17" s="25">
        <v>45307</v>
      </c>
      <c r="M17" s="7">
        <f t="shared" si="2"/>
        <v>-1730</v>
      </c>
      <c r="N17" s="7">
        <f t="shared" si="3"/>
        <v>-692</v>
      </c>
      <c r="O17" s="21" t="s">
        <v>14</v>
      </c>
      <c r="P17" s="24">
        <v>187.7</v>
      </c>
      <c r="Q17" s="25">
        <v>45267</v>
      </c>
      <c r="R17" s="25">
        <v>45307</v>
      </c>
      <c r="S17" s="7">
        <f t="shared" si="4"/>
        <v>-1730</v>
      </c>
      <c r="T17" s="7">
        <f t="shared" si="5"/>
        <v>-692</v>
      </c>
      <c r="U17" s="19"/>
      <c r="V17" s="21" t="s">
        <v>14</v>
      </c>
      <c r="W17" s="24">
        <v>187.7</v>
      </c>
      <c r="X17" s="25">
        <v>45267</v>
      </c>
      <c r="Y17" s="25">
        <v>45307</v>
      </c>
      <c r="Z17" s="7">
        <f t="shared" si="6"/>
        <v>-1730</v>
      </c>
      <c r="AA17" s="7"/>
      <c r="AB17" s="19"/>
      <c r="AC17" s="20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</row>
    <row r="18" spans="1:41" ht="22.15" hidden="1" customHeight="1">
      <c r="A18"/>
      <c r="B18" s="6" t="s">
        <v>25</v>
      </c>
      <c r="C18" s="21" t="s">
        <v>8</v>
      </c>
      <c r="D18" s="22">
        <v>77</v>
      </c>
      <c r="E18" s="25">
        <v>45268</v>
      </c>
      <c r="F18" s="25">
        <v>45308</v>
      </c>
      <c r="G18" s="7">
        <f t="shared" si="0"/>
        <v>-1727.4999999999998</v>
      </c>
      <c r="H18" s="7">
        <f t="shared" si="1"/>
        <v>-691</v>
      </c>
      <c r="I18" s="21" t="s">
        <v>8</v>
      </c>
      <c r="J18" s="24">
        <v>77</v>
      </c>
      <c r="K18" s="25">
        <v>45268</v>
      </c>
      <c r="L18" s="25">
        <v>45308</v>
      </c>
      <c r="M18" s="7">
        <f t="shared" si="2"/>
        <v>-1727.4999999999998</v>
      </c>
      <c r="N18" s="7">
        <f t="shared" si="3"/>
        <v>-691</v>
      </c>
      <c r="O18" s="21" t="s">
        <v>8</v>
      </c>
      <c r="P18" s="24">
        <v>77</v>
      </c>
      <c r="Q18" s="25">
        <v>45268</v>
      </c>
      <c r="R18" s="25">
        <v>45308</v>
      </c>
      <c r="S18" s="7">
        <f t="shared" si="4"/>
        <v>-1727.4999999999998</v>
      </c>
      <c r="T18" s="7">
        <f t="shared" si="5"/>
        <v>-691</v>
      </c>
      <c r="U18" s="19"/>
      <c r="V18" s="21" t="s">
        <v>8</v>
      </c>
      <c r="W18" s="24">
        <v>77</v>
      </c>
      <c r="X18" s="25">
        <v>45268</v>
      </c>
      <c r="Y18" s="25">
        <v>45308</v>
      </c>
      <c r="Z18" s="7">
        <f t="shared" si="6"/>
        <v>-1727.4999999999998</v>
      </c>
      <c r="AA18" s="7"/>
      <c r="AB18" s="19"/>
      <c r="AC18" s="20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</row>
    <row r="19" spans="1:41" ht="22.15" hidden="1" customHeight="1">
      <c r="A19"/>
      <c r="B19" s="6" t="s">
        <v>26</v>
      </c>
      <c r="C19" s="21" t="s">
        <v>8</v>
      </c>
      <c r="D19" s="22">
        <v>241</v>
      </c>
      <c r="E19" s="25">
        <v>45268</v>
      </c>
      <c r="F19" s="25">
        <v>45308</v>
      </c>
      <c r="G19" s="7">
        <f t="shared" si="0"/>
        <v>-1727.4999999999998</v>
      </c>
      <c r="H19" s="7">
        <f t="shared" si="1"/>
        <v>-691</v>
      </c>
      <c r="I19" s="21" t="s">
        <v>8</v>
      </c>
      <c r="J19" s="24">
        <v>241</v>
      </c>
      <c r="K19" s="25">
        <v>45268</v>
      </c>
      <c r="L19" s="25">
        <v>45308</v>
      </c>
      <c r="M19" s="7">
        <f t="shared" si="2"/>
        <v>-1727.4999999999998</v>
      </c>
      <c r="N19" s="7">
        <f t="shared" si="3"/>
        <v>-691</v>
      </c>
      <c r="O19" s="21" t="s">
        <v>8</v>
      </c>
      <c r="P19" s="24">
        <v>241</v>
      </c>
      <c r="Q19" s="25">
        <v>45268</v>
      </c>
      <c r="R19" s="25">
        <v>45308</v>
      </c>
      <c r="S19" s="7">
        <f t="shared" si="4"/>
        <v>-1727.4999999999998</v>
      </c>
      <c r="T19" s="7">
        <f t="shared" si="5"/>
        <v>-691</v>
      </c>
      <c r="U19" s="19"/>
      <c r="V19" s="21" t="s">
        <v>8</v>
      </c>
      <c r="W19" s="24">
        <v>241</v>
      </c>
      <c r="X19" s="25">
        <v>45268</v>
      </c>
      <c r="Y19" s="25">
        <v>45308</v>
      </c>
      <c r="Z19" s="7">
        <f t="shared" si="6"/>
        <v>-1727.4999999999998</v>
      </c>
      <c r="AA19" s="7"/>
      <c r="AB19" s="19"/>
      <c r="AC19" s="20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</row>
    <row r="20" spans="1:41" ht="22.15" hidden="1" customHeight="1">
      <c r="A20"/>
      <c r="B20" s="6" t="s">
        <v>27</v>
      </c>
      <c r="C20" s="21" t="s">
        <v>8</v>
      </c>
      <c r="D20" s="22">
        <v>354</v>
      </c>
      <c r="E20" s="25">
        <v>45268</v>
      </c>
      <c r="F20" s="25">
        <v>45308</v>
      </c>
      <c r="G20" s="7">
        <f t="shared" si="0"/>
        <v>-1727.4999999999998</v>
      </c>
      <c r="H20" s="7">
        <f t="shared" si="1"/>
        <v>-691</v>
      </c>
      <c r="I20" s="21" t="s">
        <v>8</v>
      </c>
      <c r="J20" s="24">
        <v>354</v>
      </c>
      <c r="K20" s="25">
        <v>45268</v>
      </c>
      <c r="L20" s="25">
        <v>45308</v>
      </c>
      <c r="M20" s="7">
        <f t="shared" si="2"/>
        <v>-1727.4999999999998</v>
      </c>
      <c r="N20" s="7">
        <f t="shared" si="3"/>
        <v>-691</v>
      </c>
      <c r="O20" s="21" t="s">
        <v>8</v>
      </c>
      <c r="P20" s="24">
        <v>354</v>
      </c>
      <c r="Q20" s="25">
        <v>45268</v>
      </c>
      <c r="R20" s="25">
        <v>45308</v>
      </c>
      <c r="S20" s="7">
        <f t="shared" si="4"/>
        <v>-1727.4999999999998</v>
      </c>
      <c r="T20" s="7">
        <f t="shared" si="5"/>
        <v>-691</v>
      </c>
      <c r="U20" s="19"/>
      <c r="V20" s="21" t="s">
        <v>8</v>
      </c>
      <c r="W20" s="24">
        <v>354</v>
      </c>
      <c r="X20" s="25">
        <v>45268</v>
      </c>
      <c r="Y20" s="25">
        <v>45308</v>
      </c>
      <c r="Z20" s="7">
        <f t="shared" si="6"/>
        <v>-1727.4999999999998</v>
      </c>
      <c r="AA20" s="7"/>
      <c r="AB20" s="19"/>
      <c r="AC20" s="20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</row>
    <row r="21" spans="1:41" ht="22.15" hidden="1" customHeight="1">
      <c r="A21"/>
      <c r="B21" s="6" t="s">
        <v>28</v>
      </c>
      <c r="C21" s="21" t="s">
        <v>8</v>
      </c>
      <c r="D21" s="22">
        <v>3</v>
      </c>
      <c r="E21" s="25">
        <v>45270</v>
      </c>
      <c r="F21" s="25">
        <v>45310</v>
      </c>
      <c r="G21" s="7">
        <f t="shared" si="0"/>
        <v>-1722.5000000000002</v>
      </c>
      <c r="H21" s="7">
        <f t="shared" si="1"/>
        <v>-689</v>
      </c>
      <c r="I21" s="21" t="s">
        <v>8</v>
      </c>
      <c r="J21" s="24">
        <v>3</v>
      </c>
      <c r="K21" s="25">
        <v>45270</v>
      </c>
      <c r="L21" s="25">
        <v>45310</v>
      </c>
      <c r="M21" s="7">
        <f t="shared" si="2"/>
        <v>-1722.5000000000002</v>
      </c>
      <c r="N21" s="7">
        <f t="shared" si="3"/>
        <v>-689</v>
      </c>
      <c r="O21" s="21" t="s">
        <v>8</v>
      </c>
      <c r="P21" s="24">
        <v>3</v>
      </c>
      <c r="Q21" s="25">
        <v>45270</v>
      </c>
      <c r="R21" s="25">
        <v>45310</v>
      </c>
      <c r="S21" s="7">
        <f t="shared" si="4"/>
        <v>-1722.5000000000002</v>
      </c>
      <c r="T21" s="7">
        <f t="shared" si="5"/>
        <v>-689</v>
      </c>
      <c r="U21" s="19"/>
      <c r="V21" s="21" t="s">
        <v>8</v>
      </c>
      <c r="W21" s="24">
        <v>3</v>
      </c>
      <c r="X21" s="25">
        <v>45270</v>
      </c>
      <c r="Y21" s="25">
        <v>45310</v>
      </c>
      <c r="Z21" s="7">
        <f t="shared" si="6"/>
        <v>-1722.5000000000002</v>
      </c>
      <c r="AA21" s="7"/>
      <c r="AB21" s="19"/>
      <c r="AC21" s="20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</row>
    <row r="22" spans="1:41" ht="22.15" hidden="1" customHeight="1">
      <c r="A22"/>
      <c r="B22" s="6" t="s">
        <v>29</v>
      </c>
      <c r="C22" s="21" t="s">
        <v>8</v>
      </c>
      <c r="D22" s="22">
        <v>45</v>
      </c>
      <c r="E22" s="25">
        <v>45268</v>
      </c>
      <c r="F22" s="25">
        <v>45311</v>
      </c>
      <c r="G22" s="7">
        <f t="shared" si="0"/>
        <v>-1600</v>
      </c>
      <c r="H22" s="7">
        <f t="shared" si="1"/>
        <v>-688</v>
      </c>
      <c r="I22" s="21" t="s">
        <v>8</v>
      </c>
      <c r="J22" s="24">
        <v>45</v>
      </c>
      <c r="K22" s="25">
        <v>45268</v>
      </c>
      <c r="L22" s="25">
        <v>45311</v>
      </c>
      <c r="M22" s="7">
        <f t="shared" si="2"/>
        <v>-1600</v>
      </c>
      <c r="N22" s="7">
        <f t="shared" si="3"/>
        <v>-688</v>
      </c>
      <c r="O22" s="21" t="s">
        <v>8</v>
      </c>
      <c r="P22" s="24">
        <v>45</v>
      </c>
      <c r="Q22" s="25">
        <v>45268</v>
      </c>
      <c r="R22" s="25">
        <v>45311</v>
      </c>
      <c r="S22" s="7">
        <f t="shared" si="4"/>
        <v>-1600</v>
      </c>
      <c r="T22" s="7">
        <f t="shared" si="5"/>
        <v>-688</v>
      </c>
      <c r="U22" s="19"/>
      <c r="V22" s="21" t="s">
        <v>8</v>
      </c>
      <c r="W22" s="24">
        <v>45</v>
      </c>
      <c r="X22" s="25">
        <v>45268</v>
      </c>
      <c r="Y22" s="25">
        <v>45311</v>
      </c>
      <c r="Z22" s="7">
        <f t="shared" si="6"/>
        <v>-1600</v>
      </c>
      <c r="AA22" s="7"/>
      <c r="AB22" s="19"/>
      <c r="AC22" s="20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</row>
    <row r="23" spans="1:41" ht="22.15" hidden="1" customHeight="1">
      <c r="A23"/>
      <c r="B23" s="6" t="s">
        <v>30</v>
      </c>
      <c r="C23" s="21" t="s">
        <v>14</v>
      </c>
      <c r="D23" s="22">
        <v>97.5</v>
      </c>
      <c r="E23" s="25">
        <v>45268</v>
      </c>
      <c r="F23" s="25">
        <v>45311</v>
      </c>
      <c r="G23" s="7">
        <f t="shared" si="0"/>
        <v>-1600</v>
      </c>
      <c r="H23" s="7">
        <f t="shared" si="1"/>
        <v>-688</v>
      </c>
      <c r="I23" s="21" t="s">
        <v>14</v>
      </c>
      <c r="J23" s="24">
        <v>97.5</v>
      </c>
      <c r="K23" s="25">
        <v>45268</v>
      </c>
      <c r="L23" s="25">
        <v>45311</v>
      </c>
      <c r="M23" s="7">
        <f t="shared" si="2"/>
        <v>-1600</v>
      </c>
      <c r="N23" s="7">
        <f t="shared" si="3"/>
        <v>-688</v>
      </c>
      <c r="O23" s="21" t="s">
        <v>14</v>
      </c>
      <c r="P23" s="24">
        <v>97.5</v>
      </c>
      <c r="Q23" s="25">
        <v>45268</v>
      </c>
      <c r="R23" s="25">
        <v>45311</v>
      </c>
      <c r="S23" s="7">
        <f t="shared" si="4"/>
        <v>-1600</v>
      </c>
      <c r="T23" s="7">
        <f t="shared" si="5"/>
        <v>-688</v>
      </c>
      <c r="U23" s="19"/>
      <c r="V23" s="21" t="s">
        <v>14</v>
      </c>
      <c r="W23" s="24">
        <v>97.5</v>
      </c>
      <c r="X23" s="25">
        <v>45268</v>
      </c>
      <c r="Y23" s="25">
        <v>45311</v>
      </c>
      <c r="Z23" s="7">
        <f t="shared" si="6"/>
        <v>-1600</v>
      </c>
      <c r="AA23" s="7"/>
      <c r="AB23" s="19"/>
      <c r="AC23" s="20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</row>
    <row r="24" spans="1:41" ht="22.15" hidden="1" customHeight="1">
      <c r="A24"/>
      <c r="B24" s="6" t="s">
        <v>31</v>
      </c>
      <c r="C24" s="21" t="s">
        <v>14</v>
      </c>
      <c r="D24" s="22">
        <v>85.93</v>
      </c>
      <c r="E24" s="25">
        <v>45276</v>
      </c>
      <c r="F24" s="25">
        <v>45311</v>
      </c>
      <c r="G24" s="7">
        <f t="shared" si="0"/>
        <v>-1965.7142857142858</v>
      </c>
      <c r="H24" s="7">
        <f t="shared" si="1"/>
        <v>-688</v>
      </c>
      <c r="I24" s="21" t="s">
        <v>14</v>
      </c>
      <c r="J24" s="24">
        <v>85.93</v>
      </c>
      <c r="K24" s="25">
        <v>45276</v>
      </c>
      <c r="L24" s="25">
        <v>45311</v>
      </c>
      <c r="M24" s="7">
        <f t="shared" si="2"/>
        <v>-1965.7142857142858</v>
      </c>
      <c r="N24" s="7">
        <f t="shared" si="3"/>
        <v>-688</v>
      </c>
      <c r="O24" s="21" t="s">
        <v>14</v>
      </c>
      <c r="P24" s="24">
        <v>85.93</v>
      </c>
      <c r="Q24" s="25">
        <v>45276</v>
      </c>
      <c r="R24" s="25">
        <v>45311</v>
      </c>
      <c r="S24" s="7">
        <f t="shared" si="4"/>
        <v>-1965.7142857142858</v>
      </c>
      <c r="T24" s="7">
        <f t="shared" si="5"/>
        <v>-688</v>
      </c>
      <c r="U24" s="19"/>
      <c r="V24" s="21" t="s">
        <v>14</v>
      </c>
      <c r="W24" s="24">
        <v>85.93</v>
      </c>
      <c r="X24" s="25">
        <v>45276</v>
      </c>
      <c r="Y24" s="25">
        <v>45311</v>
      </c>
      <c r="Z24" s="7">
        <f t="shared" si="6"/>
        <v>-1965.7142857142858</v>
      </c>
      <c r="AA24" s="7"/>
      <c r="AB24" s="19"/>
      <c r="AC24" s="20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</row>
    <row r="25" spans="1:41" ht="22.15" hidden="1" customHeight="1">
      <c r="A25"/>
      <c r="B25" s="6" t="s">
        <v>32</v>
      </c>
      <c r="C25" s="21" t="s">
        <v>14</v>
      </c>
      <c r="D25" s="22">
        <v>216.8</v>
      </c>
      <c r="E25" s="25">
        <v>45267</v>
      </c>
      <c r="F25" s="25">
        <v>45312</v>
      </c>
      <c r="G25" s="7">
        <f t="shared" si="0"/>
        <v>-1526.6666666666667</v>
      </c>
      <c r="H25" s="7">
        <f t="shared" si="1"/>
        <v>-687</v>
      </c>
      <c r="I25" s="21" t="s">
        <v>14</v>
      </c>
      <c r="J25" s="24">
        <v>216.8</v>
      </c>
      <c r="K25" s="25">
        <v>45267</v>
      </c>
      <c r="L25" s="25">
        <v>45312</v>
      </c>
      <c r="M25" s="7">
        <f t="shared" si="2"/>
        <v>-1526.6666666666667</v>
      </c>
      <c r="N25" s="7">
        <f t="shared" si="3"/>
        <v>-687</v>
      </c>
      <c r="O25" s="21" t="s">
        <v>14</v>
      </c>
      <c r="P25" s="24">
        <v>216.8</v>
      </c>
      <c r="Q25" s="25">
        <v>45267</v>
      </c>
      <c r="R25" s="25">
        <v>45312</v>
      </c>
      <c r="S25" s="7">
        <f t="shared" si="4"/>
        <v>-1526.6666666666667</v>
      </c>
      <c r="T25" s="7">
        <f t="shared" si="5"/>
        <v>-687</v>
      </c>
      <c r="U25" s="19"/>
      <c r="V25" s="21" t="s">
        <v>14</v>
      </c>
      <c r="W25" s="24">
        <v>216.8</v>
      </c>
      <c r="X25" s="25">
        <v>45267</v>
      </c>
      <c r="Y25" s="25">
        <v>45312</v>
      </c>
      <c r="Z25" s="7">
        <f t="shared" si="6"/>
        <v>-1526.6666666666667</v>
      </c>
      <c r="AA25" s="7"/>
      <c r="AB25" s="19"/>
      <c r="AC25" s="20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</row>
    <row r="26" spans="1:41" ht="22.15" hidden="1" customHeight="1">
      <c r="A26"/>
      <c r="B26" s="6" t="s">
        <v>33</v>
      </c>
      <c r="C26" s="21" t="s">
        <v>14</v>
      </c>
      <c r="D26" s="22">
        <v>170.9</v>
      </c>
      <c r="E26" s="25">
        <v>45277</v>
      </c>
      <c r="F26" s="25">
        <v>45312</v>
      </c>
      <c r="G26" s="7">
        <f t="shared" si="0"/>
        <v>-1962.8571428571429</v>
      </c>
      <c r="H26" s="7">
        <f t="shared" si="1"/>
        <v>-687</v>
      </c>
      <c r="I26" s="21" t="s">
        <v>14</v>
      </c>
      <c r="J26" s="24">
        <v>170.9</v>
      </c>
      <c r="K26" s="25">
        <v>45277</v>
      </c>
      <c r="L26" s="25">
        <v>45312</v>
      </c>
      <c r="M26" s="7">
        <f t="shared" si="2"/>
        <v>-1962.8571428571429</v>
      </c>
      <c r="N26" s="7">
        <f t="shared" si="3"/>
        <v>-687</v>
      </c>
      <c r="O26" s="21" t="s">
        <v>14</v>
      </c>
      <c r="P26" s="24">
        <v>170.9</v>
      </c>
      <c r="Q26" s="25">
        <v>45277</v>
      </c>
      <c r="R26" s="25">
        <v>45312</v>
      </c>
      <c r="S26" s="7">
        <f t="shared" si="4"/>
        <v>-1962.8571428571429</v>
      </c>
      <c r="T26" s="7">
        <f t="shared" si="5"/>
        <v>-687</v>
      </c>
      <c r="U26" s="19"/>
      <c r="V26" s="21" t="s">
        <v>14</v>
      </c>
      <c r="W26" s="24">
        <v>170.9</v>
      </c>
      <c r="X26" s="25">
        <v>45277</v>
      </c>
      <c r="Y26" s="25">
        <v>45312</v>
      </c>
      <c r="Z26" s="7">
        <f t="shared" si="6"/>
        <v>-1962.8571428571429</v>
      </c>
      <c r="AA26" s="7"/>
      <c r="AB26" s="19"/>
      <c r="AC26" s="20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</row>
    <row r="27" spans="1:41" ht="22.15" hidden="1" customHeight="1">
      <c r="A27"/>
      <c r="B27" s="6" t="s">
        <v>34</v>
      </c>
      <c r="C27" s="21" t="s">
        <v>14</v>
      </c>
      <c r="D27" s="22">
        <v>159.9</v>
      </c>
      <c r="E27" s="25">
        <v>45277</v>
      </c>
      <c r="F27" s="25">
        <v>45312</v>
      </c>
      <c r="G27" s="7">
        <f t="shared" si="0"/>
        <v>-1962.8571428571429</v>
      </c>
      <c r="H27" s="7">
        <f t="shared" si="1"/>
        <v>-687</v>
      </c>
      <c r="I27" s="21" t="s">
        <v>14</v>
      </c>
      <c r="J27" s="24">
        <v>159.9</v>
      </c>
      <c r="K27" s="25">
        <v>45277</v>
      </c>
      <c r="L27" s="25">
        <v>45312</v>
      </c>
      <c r="M27" s="7">
        <f t="shared" si="2"/>
        <v>-1962.8571428571429</v>
      </c>
      <c r="N27" s="7">
        <f t="shared" si="3"/>
        <v>-687</v>
      </c>
      <c r="O27" s="21" t="s">
        <v>14</v>
      </c>
      <c r="P27" s="24">
        <v>159.9</v>
      </c>
      <c r="Q27" s="25">
        <v>45277</v>
      </c>
      <c r="R27" s="25">
        <v>45312</v>
      </c>
      <c r="S27" s="7">
        <f t="shared" si="4"/>
        <v>-1962.8571428571429</v>
      </c>
      <c r="T27" s="7">
        <f t="shared" si="5"/>
        <v>-687</v>
      </c>
      <c r="U27" s="19"/>
      <c r="V27" s="21" t="s">
        <v>14</v>
      </c>
      <c r="W27" s="24">
        <v>159.9</v>
      </c>
      <c r="X27" s="25">
        <v>45277</v>
      </c>
      <c r="Y27" s="25">
        <v>45312</v>
      </c>
      <c r="Z27" s="7">
        <f t="shared" si="6"/>
        <v>-1962.8571428571429</v>
      </c>
      <c r="AA27" s="7"/>
      <c r="AB27" s="19"/>
      <c r="AC27" s="20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</row>
    <row r="28" spans="1:41" ht="22.15" hidden="1" customHeight="1">
      <c r="A28"/>
      <c r="B28" s="6" t="s">
        <v>35</v>
      </c>
      <c r="C28" s="21" t="s">
        <v>14</v>
      </c>
      <c r="D28" s="22">
        <v>358.6</v>
      </c>
      <c r="E28" s="25">
        <v>45272</v>
      </c>
      <c r="F28" s="25">
        <v>45312</v>
      </c>
      <c r="G28" s="7">
        <f t="shared" si="0"/>
        <v>-1717.5</v>
      </c>
      <c r="H28" s="7">
        <f t="shared" si="1"/>
        <v>-687</v>
      </c>
      <c r="I28" s="21" t="s">
        <v>14</v>
      </c>
      <c r="J28" s="24">
        <v>358.6</v>
      </c>
      <c r="K28" s="25">
        <v>45272</v>
      </c>
      <c r="L28" s="25">
        <v>45312</v>
      </c>
      <c r="M28" s="7">
        <f t="shared" si="2"/>
        <v>-1717.5</v>
      </c>
      <c r="N28" s="7">
        <f t="shared" si="3"/>
        <v>-687</v>
      </c>
      <c r="O28" s="21" t="s">
        <v>14</v>
      </c>
      <c r="P28" s="24">
        <v>358.6</v>
      </c>
      <c r="Q28" s="25">
        <v>45272</v>
      </c>
      <c r="R28" s="25">
        <v>45312</v>
      </c>
      <c r="S28" s="7">
        <f t="shared" si="4"/>
        <v>-1717.5</v>
      </c>
      <c r="T28" s="7">
        <f t="shared" si="5"/>
        <v>-687</v>
      </c>
      <c r="U28" s="19"/>
      <c r="V28" s="21" t="s">
        <v>14</v>
      </c>
      <c r="W28" s="24">
        <v>358.6</v>
      </c>
      <c r="X28" s="25">
        <v>45272</v>
      </c>
      <c r="Y28" s="25">
        <v>45312</v>
      </c>
      <c r="Z28" s="7">
        <f t="shared" si="6"/>
        <v>-1717.5</v>
      </c>
      <c r="AA28" s="7"/>
      <c r="AB28" s="19"/>
      <c r="AC28" s="20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</row>
    <row r="29" spans="1:41" ht="22.15" hidden="1" customHeight="1">
      <c r="A29"/>
      <c r="B29" s="6" t="s">
        <v>36</v>
      </c>
      <c r="C29" s="21" t="s">
        <v>8</v>
      </c>
      <c r="D29" s="22">
        <v>94</v>
      </c>
      <c r="E29" s="25">
        <v>45268</v>
      </c>
      <c r="F29" s="25">
        <v>45313</v>
      </c>
      <c r="G29" s="7">
        <f t="shared" si="0"/>
        <v>-1524.4444444444443</v>
      </c>
      <c r="H29" s="7">
        <f t="shared" si="1"/>
        <v>-686</v>
      </c>
      <c r="I29" s="21" t="s">
        <v>8</v>
      </c>
      <c r="J29" s="24">
        <v>94</v>
      </c>
      <c r="K29" s="25">
        <v>45268</v>
      </c>
      <c r="L29" s="25">
        <v>45313</v>
      </c>
      <c r="M29" s="7">
        <f t="shared" si="2"/>
        <v>-1524.4444444444443</v>
      </c>
      <c r="N29" s="7">
        <f t="shared" si="3"/>
        <v>-686</v>
      </c>
      <c r="O29" s="21" t="s">
        <v>8</v>
      </c>
      <c r="P29" s="24">
        <v>94</v>
      </c>
      <c r="Q29" s="25">
        <v>45268</v>
      </c>
      <c r="R29" s="25">
        <v>45313</v>
      </c>
      <c r="S29" s="7">
        <f t="shared" si="4"/>
        <v>-1524.4444444444443</v>
      </c>
      <c r="T29" s="7">
        <f t="shared" si="5"/>
        <v>-686</v>
      </c>
      <c r="U29" s="19"/>
      <c r="V29" s="21" t="s">
        <v>8</v>
      </c>
      <c r="W29" s="24">
        <v>94</v>
      </c>
      <c r="X29" s="25">
        <v>45268</v>
      </c>
      <c r="Y29" s="25">
        <v>45313</v>
      </c>
      <c r="Z29" s="7">
        <f t="shared" si="6"/>
        <v>-1524.4444444444443</v>
      </c>
      <c r="AA29" s="7"/>
      <c r="AB29" s="19"/>
      <c r="AC29" s="20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</row>
    <row r="30" spans="1:41" ht="22.15" hidden="1" customHeight="1">
      <c r="A30"/>
      <c r="B30" s="6" t="s">
        <v>37</v>
      </c>
      <c r="C30" s="21" t="s">
        <v>8</v>
      </c>
      <c r="D30" s="22">
        <v>134</v>
      </c>
      <c r="E30" s="25">
        <v>45268</v>
      </c>
      <c r="F30" s="25">
        <v>45313</v>
      </c>
      <c r="G30" s="7">
        <f t="shared" si="0"/>
        <v>-1524.4444444444443</v>
      </c>
      <c r="H30" s="7">
        <f t="shared" si="1"/>
        <v>-686</v>
      </c>
      <c r="I30" s="21" t="s">
        <v>8</v>
      </c>
      <c r="J30" s="24">
        <v>134</v>
      </c>
      <c r="K30" s="25">
        <v>45268</v>
      </c>
      <c r="L30" s="25">
        <v>45313</v>
      </c>
      <c r="M30" s="7">
        <f t="shared" si="2"/>
        <v>-1524.4444444444443</v>
      </c>
      <c r="N30" s="7">
        <f t="shared" si="3"/>
        <v>-686</v>
      </c>
      <c r="O30" s="21" t="s">
        <v>8</v>
      </c>
      <c r="P30" s="24">
        <v>134</v>
      </c>
      <c r="Q30" s="25">
        <v>45268</v>
      </c>
      <c r="R30" s="25">
        <v>45313</v>
      </c>
      <c r="S30" s="7">
        <f t="shared" si="4"/>
        <v>-1524.4444444444443</v>
      </c>
      <c r="T30" s="7">
        <f t="shared" si="5"/>
        <v>-686</v>
      </c>
      <c r="U30" s="19"/>
      <c r="V30" s="21" t="s">
        <v>8</v>
      </c>
      <c r="W30" s="24">
        <v>134</v>
      </c>
      <c r="X30" s="25">
        <v>45268</v>
      </c>
      <c r="Y30" s="25">
        <v>45313</v>
      </c>
      <c r="Z30" s="7">
        <f t="shared" si="6"/>
        <v>-1524.4444444444443</v>
      </c>
      <c r="AA30" s="7"/>
      <c r="AB30" s="19"/>
      <c r="AC30" s="20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</row>
    <row r="31" spans="1:41" ht="22.15" hidden="1" customHeight="1">
      <c r="A31"/>
      <c r="B31" s="6" t="s">
        <v>38</v>
      </c>
      <c r="C31" s="21" t="s">
        <v>8</v>
      </c>
      <c r="D31" s="22">
        <v>2</v>
      </c>
      <c r="E31" s="25">
        <v>45268</v>
      </c>
      <c r="F31" s="25">
        <v>45313</v>
      </c>
      <c r="G31" s="7">
        <f t="shared" si="0"/>
        <v>-1524.4444444444443</v>
      </c>
      <c r="H31" s="7">
        <f t="shared" si="1"/>
        <v>-686</v>
      </c>
      <c r="I31" s="21" t="s">
        <v>8</v>
      </c>
      <c r="J31" s="24">
        <v>2</v>
      </c>
      <c r="K31" s="25">
        <v>45268</v>
      </c>
      <c r="L31" s="25">
        <v>45313</v>
      </c>
      <c r="M31" s="7">
        <f t="shared" si="2"/>
        <v>-1524.4444444444443</v>
      </c>
      <c r="N31" s="7">
        <f t="shared" si="3"/>
        <v>-686</v>
      </c>
      <c r="O31" s="21" t="s">
        <v>8</v>
      </c>
      <c r="P31" s="24">
        <v>2</v>
      </c>
      <c r="Q31" s="25">
        <v>45268</v>
      </c>
      <c r="R31" s="25">
        <v>45313</v>
      </c>
      <c r="S31" s="7">
        <f t="shared" si="4"/>
        <v>-1524.4444444444443</v>
      </c>
      <c r="T31" s="7">
        <f t="shared" si="5"/>
        <v>-686</v>
      </c>
      <c r="U31" s="19"/>
      <c r="V31" s="21" t="s">
        <v>8</v>
      </c>
      <c r="W31" s="24">
        <v>2</v>
      </c>
      <c r="X31" s="25">
        <v>45268</v>
      </c>
      <c r="Y31" s="25">
        <v>45313</v>
      </c>
      <c r="Z31" s="7">
        <f t="shared" si="6"/>
        <v>-1524.4444444444443</v>
      </c>
      <c r="AA31" s="7"/>
      <c r="AB31" s="19"/>
      <c r="AC31" s="20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</row>
    <row r="32" spans="1:41" ht="22.15" hidden="1" customHeight="1">
      <c r="A32"/>
      <c r="B32" s="6" t="s">
        <v>39</v>
      </c>
      <c r="C32" s="21" t="s">
        <v>14</v>
      </c>
      <c r="D32" s="22">
        <v>273.39999999999998</v>
      </c>
      <c r="E32" s="25">
        <v>45268</v>
      </c>
      <c r="F32" s="25">
        <v>45313</v>
      </c>
      <c r="G32" s="7">
        <f t="shared" si="0"/>
        <v>-1524.4444444444443</v>
      </c>
      <c r="H32" s="7">
        <f t="shared" si="1"/>
        <v>-686</v>
      </c>
      <c r="I32" s="21" t="s">
        <v>14</v>
      </c>
      <c r="J32" s="24">
        <v>273.39999999999998</v>
      </c>
      <c r="K32" s="25">
        <v>45268</v>
      </c>
      <c r="L32" s="25">
        <v>45313</v>
      </c>
      <c r="M32" s="7">
        <f t="shared" si="2"/>
        <v>-1524.4444444444443</v>
      </c>
      <c r="N32" s="7">
        <f t="shared" si="3"/>
        <v>-686</v>
      </c>
      <c r="O32" s="21" t="s">
        <v>14</v>
      </c>
      <c r="P32" s="24">
        <v>273.39999999999998</v>
      </c>
      <c r="Q32" s="25">
        <v>45268</v>
      </c>
      <c r="R32" s="25">
        <v>45313</v>
      </c>
      <c r="S32" s="7">
        <f t="shared" si="4"/>
        <v>-1524.4444444444443</v>
      </c>
      <c r="T32" s="7">
        <f t="shared" si="5"/>
        <v>-686</v>
      </c>
      <c r="U32" s="19"/>
      <c r="V32" s="21" t="s">
        <v>14</v>
      </c>
      <c r="W32" s="24">
        <v>273.39999999999998</v>
      </c>
      <c r="X32" s="25">
        <v>45268</v>
      </c>
      <c r="Y32" s="25">
        <v>45313</v>
      </c>
      <c r="Z32" s="7">
        <f t="shared" si="6"/>
        <v>-1524.4444444444443</v>
      </c>
      <c r="AA32" s="7"/>
      <c r="AB32" s="19"/>
      <c r="AC32" s="20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</row>
    <row r="33" spans="1:41" ht="22.15" hidden="1" customHeight="1">
      <c r="A33"/>
      <c r="B33" s="6" t="s">
        <v>40</v>
      </c>
      <c r="C33" s="21" t="s">
        <v>14</v>
      </c>
      <c r="D33" s="22">
        <v>160.19999999999999</v>
      </c>
      <c r="E33" s="25">
        <v>45274</v>
      </c>
      <c r="F33" s="25">
        <v>45314</v>
      </c>
      <c r="G33" s="7">
        <f t="shared" si="0"/>
        <v>-1712.5</v>
      </c>
      <c r="H33" s="7">
        <f t="shared" si="1"/>
        <v>-685</v>
      </c>
      <c r="I33" s="21" t="s">
        <v>14</v>
      </c>
      <c r="J33" s="24">
        <v>160.19999999999999</v>
      </c>
      <c r="K33" s="25">
        <v>45274</v>
      </c>
      <c r="L33" s="25">
        <v>45314</v>
      </c>
      <c r="M33" s="7">
        <f t="shared" si="2"/>
        <v>-1712.5</v>
      </c>
      <c r="N33" s="7">
        <f t="shared" si="3"/>
        <v>-685</v>
      </c>
      <c r="O33" s="21" t="s">
        <v>14</v>
      </c>
      <c r="P33" s="24">
        <v>160.19999999999999</v>
      </c>
      <c r="Q33" s="25">
        <v>45274</v>
      </c>
      <c r="R33" s="25">
        <v>45314</v>
      </c>
      <c r="S33" s="7">
        <f t="shared" si="4"/>
        <v>-1712.5</v>
      </c>
      <c r="T33" s="7">
        <f t="shared" si="5"/>
        <v>-685</v>
      </c>
      <c r="U33" s="19"/>
      <c r="V33" s="21" t="s">
        <v>14</v>
      </c>
      <c r="W33" s="24">
        <v>160.19999999999999</v>
      </c>
      <c r="X33" s="25">
        <v>45274</v>
      </c>
      <c r="Y33" s="25">
        <v>45314</v>
      </c>
      <c r="Z33" s="7">
        <f t="shared" si="6"/>
        <v>-1712.5</v>
      </c>
      <c r="AA33" s="7"/>
      <c r="AB33" s="19"/>
      <c r="AC33" s="20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</row>
    <row r="34" spans="1:41" ht="22.15" hidden="1" customHeight="1">
      <c r="A34"/>
      <c r="B34" s="6" t="s">
        <v>41</v>
      </c>
      <c r="C34" s="21" t="s">
        <v>14</v>
      </c>
      <c r="D34" s="22">
        <v>351.4</v>
      </c>
      <c r="E34" s="25">
        <v>45275</v>
      </c>
      <c r="F34" s="25">
        <v>45315</v>
      </c>
      <c r="G34" s="7">
        <f t="shared" si="0"/>
        <v>-1710.0000000000002</v>
      </c>
      <c r="H34" s="7">
        <f t="shared" si="1"/>
        <v>-684</v>
      </c>
      <c r="I34" s="21" t="s">
        <v>14</v>
      </c>
      <c r="J34" s="24">
        <v>351.4</v>
      </c>
      <c r="K34" s="25">
        <v>45275</v>
      </c>
      <c r="L34" s="25">
        <v>45315</v>
      </c>
      <c r="M34" s="7">
        <f t="shared" si="2"/>
        <v>-1710.0000000000002</v>
      </c>
      <c r="N34" s="7">
        <f t="shared" si="3"/>
        <v>-684</v>
      </c>
      <c r="O34" s="21" t="s">
        <v>14</v>
      </c>
      <c r="P34" s="24">
        <v>351.4</v>
      </c>
      <c r="Q34" s="25">
        <v>45275</v>
      </c>
      <c r="R34" s="25">
        <v>45315</v>
      </c>
      <c r="S34" s="7">
        <f t="shared" si="4"/>
        <v>-1710.0000000000002</v>
      </c>
      <c r="T34" s="7">
        <f t="shared" si="5"/>
        <v>-684</v>
      </c>
      <c r="U34" s="19"/>
      <c r="V34" s="21" t="s">
        <v>14</v>
      </c>
      <c r="W34" s="24">
        <v>351.4</v>
      </c>
      <c r="X34" s="25">
        <v>45275</v>
      </c>
      <c r="Y34" s="25">
        <v>45315</v>
      </c>
      <c r="Z34" s="7">
        <f t="shared" si="6"/>
        <v>-1710.0000000000002</v>
      </c>
      <c r="AA34" s="7"/>
      <c r="AB34" s="19"/>
      <c r="AC34" s="20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</row>
    <row r="35" spans="1:41" ht="22.15" hidden="1" customHeight="1">
      <c r="A35"/>
      <c r="B35" s="6" t="s">
        <v>42</v>
      </c>
      <c r="C35" s="21" t="s">
        <v>14</v>
      </c>
      <c r="D35" s="22">
        <v>19.004000000000001</v>
      </c>
      <c r="E35" s="25">
        <v>45275</v>
      </c>
      <c r="F35" s="25">
        <v>45315</v>
      </c>
      <c r="G35" s="7">
        <f t="shared" si="0"/>
        <v>-1710.0000000000002</v>
      </c>
      <c r="H35" s="7">
        <f t="shared" si="1"/>
        <v>-684</v>
      </c>
      <c r="I35" s="21" t="s">
        <v>14</v>
      </c>
      <c r="J35" s="24">
        <v>19.004000000000001</v>
      </c>
      <c r="K35" s="25">
        <v>45275</v>
      </c>
      <c r="L35" s="25">
        <v>45315</v>
      </c>
      <c r="M35" s="7">
        <f t="shared" si="2"/>
        <v>-1710.0000000000002</v>
      </c>
      <c r="N35" s="7">
        <f t="shared" si="3"/>
        <v>-684</v>
      </c>
      <c r="O35" s="21" t="s">
        <v>14</v>
      </c>
      <c r="P35" s="24">
        <v>19.004000000000001</v>
      </c>
      <c r="Q35" s="25">
        <v>45275</v>
      </c>
      <c r="R35" s="25">
        <v>45315</v>
      </c>
      <c r="S35" s="7">
        <f t="shared" si="4"/>
        <v>-1710.0000000000002</v>
      </c>
      <c r="T35" s="7">
        <f t="shared" si="5"/>
        <v>-684</v>
      </c>
      <c r="U35" s="19"/>
      <c r="V35" s="21" t="s">
        <v>14</v>
      </c>
      <c r="W35" s="24">
        <v>19.004000000000001</v>
      </c>
      <c r="X35" s="25">
        <v>45275</v>
      </c>
      <c r="Y35" s="25">
        <v>45315</v>
      </c>
      <c r="Z35" s="7">
        <f t="shared" si="6"/>
        <v>-1710.0000000000002</v>
      </c>
      <c r="AA35" s="7"/>
      <c r="AB35" s="19"/>
      <c r="AC35" s="20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</row>
    <row r="36" spans="1:41" ht="22.15" hidden="1" customHeight="1">
      <c r="A36"/>
      <c r="B36" s="6" t="s">
        <v>43</v>
      </c>
      <c r="C36" s="21" t="s">
        <v>14</v>
      </c>
      <c r="D36" s="22">
        <v>6.56</v>
      </c>
      <c r="E36" s="25"/>
      <c r="F36" s="25"/>
      <c r="G36" s="7" t="str">
        <f t="shared" si="0"/>
        <v/>
      </c>
      <c r="H36" s="7">
        <f t="shared" si="1"/>
        <v>-45999</v>
      </c>
      <c r="I36" s="21" t="s">
        <v>14</v>
      </c>
      <c r="J36" s="24">
        <v>6.56</v>
      </c>
      <c r="K36" s="25"/>
      <c r="L36" s="25"/>
      <c r="M36" s="7" t="str">
        <f t="shared" si="2"/>
        <v/>
      </c>
      <c r="N36" s="7">
        <f t="shared" si="3"/>
        <v>-45999</v>
      </c>
      <c r="O36" s="21" t="s">
        <v>14</v>
      </c>
      <c r="P36" s="24">
        <v>6.56</v>
      </c>
      <c r="Q36" s="25"/>
      <c r="R36" s="25"/>
      <c r="S36" s="7" t="str">
        <f t="shared" si="4"/>
        <v/>
      </c>
      <c r="T36" s="7">
        <f t="shared" si="5"/>
        <v>-45999</v>
      </c>
      <c r="U36" s="19"/>
      <c r="V36" s="21" t="s">
        <v>14</v>
      </c>
      <c r="W36" s="24">
        <v>6.56</v>
      </c>
      <c r="X36" s="25"/>
      <c r="Y36" s="25"/>
      <c r="Z36" s="7" t="str">
        <f t="shared" si="6"/>
        <v/>
      </c>
      <c r="AA36" s="7"/>
      <c r="AB36" s="19"/>
      <c r="AC36" s="20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</row>
    <row r="37" spans="1:41" ht="22.15" hidden="1" customHeight="1">
      <c r="A37"/>
      <c r="B37" s="6" t="s">
        <v>44</v>
      </c>
      <c r="C37" s="21" t="s">
        <v>14</v>
      </c>
      <c r="D37" s="22">
        <v>115.69499999999999</v>
      </c>
      <c r="E37" s="25">
        <v>45276</v>
      </c>
      <c r="F37" s="25">
        <v>45316</v>
      </c>
      <c r="G37" s="7">
        <f t="shared" si="0"/>
        <v>-1707.5</v>
      </c>
      <c r="H37" s="7">
        <f t="shared" si="1"/>
        <v>-683</v>
      </c>
      <c r="I37" s="21" t="s">
        <v>14</v>
      </c>
      <c r="J37" s="24">
        <v>115.69499999999999</v>
      </c>
      <c r="K37" s="25">
        <v>45276</v>
      </c>
      <c r="L37" s="25">
        <v>45316</v>
      </c>
      <c r="M37" s="7">
        <f t="shared" si="2"/>
        <v>-1707.5</v>
      </c>
      <c r="N37" s="7">
        <f t="shared" si="3"/>
        <v>-683</v>
      </c>
      <c r="O37" s="21" t="s">
        <v>14</v>
      </c>
      <c r="P37" s="24">
        <v>115.69499999999999</v>
      </c>
      <c r="Q37" s="25">
        <v>45276</v>
      </c>
      <c r="R37" s="25">
        <v>45316</v>
      </c>
      <c r="S37" s="7">
        <f t="shared" si="4"/>
        <v>-1707.5</v>
      </c>
      <c r="T37" s="7">
        <f t="shared" si="5"/>
        <v>-683</v>
      </c>
      <c r="U37" s="19"/>
      <c r="V37" s="21" t="s">
        <v>14</v>
      </c>
      <c r="W37" s="24">
        <v>115.69499999999999</v>
      </c>
      <c r="X37" s="25">
        <v>45276</v>
      </c>
      <c r="Y37" s="25">
        <v>45316</v>
      </c>
      <c r="Z37" s="7">
        <f t="shared" si="6"/>
        <v>-1707.5</v>
      </c>
      <c r="AA37" s="7"/>
      <c r="AB37" s="19"/>
      <c r="AC37" s="20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</row>
    <row r="38" spans="1:41" ht="22.15" hidden="1" customHeight="1">
      <c r="A38"/>
      <c r="B38" s="6" t="s">
        <v>45</v>
      </c>
      <c r="C38" s="21" t="s">
        <v>8</v>
      </c>
      <c r="D38" s="22">
        <v>234</v>
      </c>
      <c r="E38" s="25">
        <v>45260</v>
      </c>
      <c r="F38" s="25">
        <v>45320</v>
      </c>
      <c r="G38" s="7">
        <f>IFERROR((F38-$G$1)/(F38-E38)*100,"")</f>
        <v>-1131.6666666666667</v>
      </c>
      <c r="H38" s="7">
        <f>F38-$H$1</f>
        <v>-679</v>
      </c>
      <c r="I38" s="21" t="s">
        <v>8</v>
      </c>
      <c r="J38" s="24">
        <v>234</v>
      </c>
      <c r="K38" s="25">
        <v>45260</v>
      </c>
      <c r="L38" s="25">
        <v>45320</v>
      </c>
      <c r="M38" s="7">
        <f>IFERROR((L38-$G$1)/(L38-K38)*100,"")</f>
        <v>-1131.6666666666667</v>
      </c>
      <c r="N38" s="7">
        <f>L38-$H$1</f>
        <v>-679</v>
      </c>
      <c r="O38" s="21" t="s">
        <v>8</v>
      </c>
      <c r="P38" s="24">
        <v>234</v>
      </c>
      <c r="Q38" s="25">
        <v>45260</v>
      </c>
      <c r="R38" s="25">
        <v>45320</v>
      </c>
      <c r="S38" s="7">
        <f>IFERROR((R38-$G$1)/(R38-Q38)*100,"")</f>
        <v>-1131.6666666666667</v>
      </c>
      <c r="T38" s="7">
        <f>R38-$H$1</f>
        <v>-679</v>
      </c>
      <c r="U38" s="19"/>
      <c r="V38" s="21" t="s">
        <v>8</v>
      </c>
      <c r="W38" s="24">
        <v>234</v>
      </c>
      <c r="X38" s="25">
        <v>45260</v>
      </c>
      <c r="Y38" s="25">
        <v>45320</v>
      </c>
      <c r="Z38" s="7">
        <f>IFERROR((Y38-$G$1)/(Y38-X38)*100,"")</f>
        <v>-1131.6666666666667</v>
      </c>
      <c r="AA38" s="7"/>
      <c r="AB38" s="19"/>
      <c r="AC38" s="20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</row>
    <row r="39" spans="1:41" ht="22.15" hidden="1" customHeight="1">
      <c r="A39"/>
      <c r="B39" s="6" t="s">
        <v>46</v>
      </c>
      <c r="C39" s="21" t="s">
        <v>8</v>
      </c>
      <c r="D39" s="22">
        <v>480</v>
      </c>
      <c r="E39" s="25"/>
      <c r="F39" s="25"/>
      <c r="G39" s="7" t="str">
        <f t="shared" ref="G39:G71" si="7">IFERROR((F39-$G$1)/(F39-E39)*100,"")</f>
        <v/>
      </c>
      <c r="H39" s="7">
        <f t="shared" ref="H39:H71" si="8">F39-$H$1</f>
        <v>-45999</v>
      </c>
      <c r="I39" s="21" t="s">
        <v>8</v>
      </c>
      <c r="J39" s="24">
        <v>480</v>
      </c>
      <c r="K39" s="25"/>
      <c r="L39" s="25"/>
      <c r="M39" s="7" t="str">
        <f t="shared" ref="M39:M102" si="9">IFERROR((L39-$G$1)/(L39-K39)*100,"")</f>
        <v/>
      </c>
      <c r="N39" s="7">
        <f t="shared" ref="N39:N102" si="10">L39-$H$1</f>
        <v>-45999</v>
      </c>
      <c r="O39" s="21" t="s">
        <v>8</v>
      </c>
      <c r="P39" s="24">
        <v>480</v>
      </c>
      <c r="Q39" s="25"/>
      <c r="R39" s="25"/>
      <c r="S39" s="7" t="str">
        <f t="shared" ref="S39:S102" si="11">IFERROR((R39-$G$1)/(R39-Q39)*100,"")</f>
        <v/>
      </c>
      <c r="T39" s="7">
        <f t="shared" ref="T39:T102" si="12">R39-$H$1</f>
        <v>-45999</v>
      </c>
      <c r="U39" s="19"/>
      <c r="V39" s="21" t="s">
        <v>8</v>
      </c>
      <c r="W39" s="24">
        <v>480</v>
      </c>
      <c r="X39" s="25"/>
      <c r="Y39" s="25"/>
      <c r="Z39" s="7" t="str">
        <f t="shared" ref="Z39:Z102" si="13">IFERROR((Y39-$G$1)/(Y39-X39)*100,"")</f>
        <v/>
      </c>
      <c r="AA39" s="7"/>
      <c r="AB39" s="19"/>
      <c r="AC39" s="20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</row>
    <row r="40" spans="1:41" ht="22.15" hidden="1" customHeight="1">
      <c r="A40"/>
      <c r="B40" s="6" t="s">
        <v>47</v>
      </c>
      <c r="C40" s="21" t="s">
        <v>8</v>
      </c>
      <c r="D40" s="22">
        <v>480</v>
      </c>
      <c r="E40" s="25"/>
      <c r="F40" s="25"/>
      <c r="G40" s="7" t="str">
        <f t="shared" si="7"/>
        <v/>
      </c>
      <c r="H40" s="7">
        <f t="shared" si="8"/>
        <v>-45999</v>
      </c>
      <c r="I40" s="21" t="s">
        <v>8</v>
      </c>
      <c r="J40" s="24">
        <v>480</v>
      </c>
      <c r="K40" s="25"/>
      <c r="L40" s="25"/>
      <c r="M40" s="7" t="str">
        <f t="shared" si="9"/>
        <v/>
      </c>
      <c r="N40" s="7">
        <f t="shared" si="10"/>
        <v>-45999</v>
      </c>
      <c r="O40" s="21" t="s">
        <v>8</v>
      </c>
      <c r="P40" s="24">
        <v>480</v>
      </c>
      <c r="Q40" s="25"/>
      <c r="R40" s="25"/>
      <c r="S40" s="7" t="str">
        <f t="shared" si="11"/>
        <v/>
      </c>
      <c r="T40" s="7">
        <f t="shared" si="12"/>
        <v>-45999</v>
      </c>
      <c r="U40" s="19"/>
      <c r="V40" s="21" t="s">
        <v>8</v>
      </c>
      <c r="W40" s="24">
        <v>480</v>
      </c>
      <c r="X40" s="25"/>
      <c r="Y40" s="25"/>
      <c r="Z40" s="7" t="str">
        <f t="shared" si="13"/>
        <v/>
      </c>
      <c r="AA40" s="7"/>
      <c r="AB40" s="19"/>
      <c r="AC40" s="20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</row>
    <row r="41" spans="1:41" ht="22.15" hidden="1" customHeight="1">
      <c r="A41"/>
      <c r="B41" s="6" t="s">
        <v>48</v>
      </c>
      <c r="C41" s="21" t="s">
        <v>8</v>
      </c>
      <c r="D41" s="26">
        <v>2136</v>
      </c>
      <c r="E41" s="25"/>
      <c r="F41" s="25"/>
      <c r="G41" s="7" t="str">
        <f t="shared" si="7"/>
        <v/>
      </c>
      <c r="H41" s="7">
        <f t="shared" si="8"/>
        <v>-45999</v>
      </c>
      <c r="I41" s="21" t="s">
        <v>8</v>
      </c>
      <c r="J41" s="24">
        <v>2136</v>
      </c>
      <c r="K41" s="25"/>
      <c r="L41" s="25"/>
      <c r="M41" s="7" t="str">
        <f t="shared" si="9"/>
        <v/>
      </c>
      <c r="N41" s="7">
        <f t="shared" si="10"/>
        <v>-45999</v>
      </c>
      <c r="O41" s="21" t="s">
        <v>8</v>
      </c>
      <c r="P41" s="24">
        <v>2136</v>
      </c>
      <c r="Q41" s="25"/>
      <c r="R41" s="25"/>
      <c r="S41" s="7" t="str">
        <f t="shared" si="11"/>
        <v/>
      </c>
      <c r="T41" s="7">
        <f t="shared" si="12"/>
        <v>-45999</v>
      </c>
      <c r="U41" s="19"/>
      <c r="V41" s="21" t="s">
        <v>8</v>
      </c>
      <c r="W41" s="24">
        <v>2136</v>
      </c>
      <c r="X41" s="25"/>
      <c r="Y41" s="25"/>
      <c r="Z41" s="7" t="str">
        <f t="shared" si="13"/>
        <v/>
      </c>
      <c r="AA41" s="7"/>
      <c r="AB41" s="19"/>
      <c r="AC41" s="20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</row>
    <row r="42" spans="1:41" ht="22.15" hidden="1" customHeight="1">
      <c r="A42"/>
      <c r="B42" s="6" t="s">
        <v>49</v>
      </c>
      <c r="C42" s="21" t="s">
        <v>8</v>
      </c>
      <c r="D42" s="22">
        <v>192</v>
      </c>
      <c r="E42" s="25"/>
      <c r="F42" s="25"/>
      <c r="G42" s="7" t="str">
        <f t="shared" si="7"/>
        <v/>
      </c>
      <c r="H42" s="7">
        <f t="shared" si="8"/>
        <v>-45999</v>
      </c>
      <c r="I42" s="21" t="s">
        <v>8</v>
      </c>
      <c r="J42" s="24">
        <v>192</v>
      </c>
      <c r="K42" s="25"/>
      <c r="L42" s="25"/>
      <c r="M42" s="7" t="str">
        <f t="shared" si="9"/>
        <v/>
      </c>
      <c r="N42" s="7">
        <f t="shared" si="10"/>
        <v>-45999</v>
      </c>
      <c r="O42" s="21" t="s">
        <v>8</v>
      </c>
      <c r="P42" s="24">
        <v>192</v>
      </c>
      <c r="Q42" s="25"/>
      <c r="R42" s="25"/>
      <c r="S42" s="7" t="str">
        <f t="shared" si="11"/>
        <v/>
      </c>
      <c r="T42" s="7">
        <f t="shared" si="12"/>
        <v>-45999</v>
      </c>
      <c r="U42" s="19"/>
      <c r="V42" s="21" t="s">
        <v>8</v>
      </c>
      <c r="W42" s="24">
        <v>192</v>
      </c>
      <c r="X42" s="25"/>
      <c r="Y42" s="25"/>
      <c r="Z42" s="7" t="str">
        <f t="shared" si="13"/>
        <v/>
      </c>
      <c r="AA42" s="7"/>
      <c r="AB42" s="19"/>
      <c r="AC42" s="20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</row>
    <row r="43" spans="1:41" ht="22.15" hidden="1" customHeight="1">
      <c r="A43"/>
      <c r="B43" s="6" t="s">
        <v>50</v>
      </c>
      <c r="C43" s="21" t="s">
        <v>8</v>
      </c>
      <c r="D43" s="22">
        <v>192</v>
      </c>
      <c r="E43" s="25"/>
      <c r="F43" s="25"/>
      <c r="G43" s="7" t="str">
        <f t="shared" si="7"/>
        <v/>
      </c>
      <c r="H43" s="7">
        <f t="shared" si="8"/>
        <v>-45999</v>
      </c>
      <c r="I43" s="21" t="s">
        <v>8</v>
      </c>
      <c r="J43" s="24">
        <v>192</v>
      </c>
      <c r="K43" s="25"/>
      <c r="L43" s="25"/>
      <c r="M43" s="7" t="str">
        <f t="shared" si="9"/>
        <v/>
      </c>
      <c r="N43" s="7">
        <f t="shared" si="10"/>
        <v>-45999</v>
      </c>
      <c r="O43" s="21" t="s">
        <v>8</v>
      </c>
      <c r="P43" s="24">
        <v>192</v>
      </c>
      <c r="Q43" s="25"/>
      <c r="R43" s="25"/>
      <c r="S43" s="7" t="str">
        <f t="shared" si="11"/>
        <v/>
      </c>
      <c r="T43" s="7">
        <f t="shared" si="12"/>
        <v>-45999</v>
      </c>
      <c r="U43" s="19"/>
      <c r="V43" s="21" t="s">
        <v>8</v>
      </c>
      <c r="W43" s="24">
        <v>192</v>
      </c>
      <c r="X43" s="25"/>
      <c r="Y43" s="25"/>
      <c r="Z43" s="7" t="str">
        <f t="shared" si="13"/>
        <v/>
      </c>
      <c r="AA43" s="7"/>
      <c r="AB43" s="19"/>
      <c r="AC43" s="20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</row>
    <row r="44" spans="1:41" ht="22.15" hidden="1" customHeight="1">
      <c r="A44"/>
      <c r="B44" s="6" t="s">
        <v>51</v>
      </c>
      <c r="C44" s="21" t="s">
        <v>8</v>
      </c>
      <c r="D44" s="26">
        <v>2368</v>
      </c>
      <c r="E44" s="25"/>
      <c r="F44" s="25"/>
      <c r="G44" s="7" t="str">
        <f t="shared" si="7"/>
        <v/>
      </c>
      <c r="H44" s="7">
        <f t="shared" si="8"/>
        <v>-45999</v>
      </c>
      <c r="I44" s="21" t="s">
        <v>8</v>
      </c>
      <c r="J44" s="24">
        <v>2368</v>
      </c>
      <c r="K44" s="25"/>
      <c r="L44" s="25"/>
      <c r="M44" s="7" t="str">
        <f t="shared" si="9"/>
        <v/>
      </c>
      <c r="N44" s="7">
        <f t="shared" si="10"/>
        <v>-45999</v>
      </c>
      <c r="O44" s="21" t="s">
        <v>8</v>
      </c>
      <c r="P44" s="24">
        <v>2368</v>
      </c>
      <c r="Q44" s="25"/>
      <c r="R44" s="25"/>
      <c r="S44" s="7" t="str">
        <f t="shared" si="11"/>
        <v/>
      </c>
      <c r="T44" s="7">
        <f t="shared" si="12"/>
        <v>-45999</v>
      </c>
      <c r="U44" s="19"/>
      <c r="V44" s="21" t="s">
        <v>8</v>
      </c>
      <c r="W44" s="24">
        <v>2368</v>
      </c>
      <c r="X44" s="25"/>
      <c r="Y44" s="25"/>
      <c r="Z44" s="7" t="str">
        <f t="shared" si="13"/>
        <v/>
      </c>
      <c r="AA44" s="7"/>
      <c r="AB44" s="19"/>
      <c r="AC44" s="20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</row>
    <row r="45" spans="1:41" ht="22.15" hidden="1" customHeight="1">
      <c r="A45"/>
      <c r="B45" s="6" t="s">
        <v>52</v>
      </c>
      <c r="C45" s="21" t="s">
        <v>8</v>
      </c>
      <c r="D45" s="22">
        <v>836</v>
      </c>
      <c r="E45" s="25"/>
      <c r="F45" s="25"/>
      <c r="G45" s="7" t="str">
        <f t="shared" si="7"/>
        <v/>
      </c>
      <c r="H45" s="7">
        <f t="shared" si="8"/>
        <v>-45999</v>
      </c>
      <c r="I45" s="21" t="s">
        <v>8</v>
      </c>
      <c r="J45" s="24">
        <v>836</v>
      </c>
      <c r="K45" s="25"/>
      <c r="L45" s="25"/>
      <c r="M45" s="7" t="str">
        <f t="shared" si="9"/>
        <v/>
      </c>
      <c r="N45" s="7">
        <f t="shared" si="10"/>
        <v>-45999</v>
      </c>
      <c r="O45" s="21" t="s">
        <v>8</v>
      </c>
      <c r="P45" s="24">
        <v>836</v>
      </c>
      <c r="Q45" s="25"/>
      <c r="R45" s="25"/>
      <c r="S45" s="7" t="str">
        <f t="shared" si="11"/>
        <v/>
      </c>
      <c r="T45" s="7">
        <f t="shared" si="12"/>
        <v>-45999</v>
      </c>
      <c r="U45" s="19"/>
      <c r="V45" s="21" t="s">
        <v>8</v>
      </c>
      <c r="W45" s="24">
        <v>836</v>
      </c>
      <c r="X45" s="25"/>
      <c r="Y45" s="25"/>
      <c r="Z45" s="7" t="str">
        <f t="shared" si="13"/>
        <v/>
      </c>
      <c r="AA45" s="7"/>
      <c r="AB45" s="19"/>
      <c r="AC45" s="20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</row>
    <row r="46" spans="1:41" ht="22.15" hidden="1" customHeight="1">
      <c r="A46"/>
      <c r="B46" s="6" t="s">
        <v>53</v>
      </c>
      <c r="C46" s="21" t="s">
        <v>8</v>
      </c>
      <c r="D46" s="22">
        <v>620</v>
      </c>
      <c r="E46" s="25"/>
      <c r="F46" s="25"/>
      <c r="G46" s="7" t="str">
        <f t="shared" si="7"/>
        <v/>
      </c>
      <c r="H46" s="7">
        <f t="shared" si="8"/>
        <v>-45999</v>
      </c>
      <c r="I46" s="21" t="s">
        <v>8</v>
      </c>
      <c r="J46" s="24">
        <v>620</v>
      </c>
      <c r="K46" s="25"/>
      <c r="L46" s="25"/>
      <c r="M46" s="7" t="str">
        <f t="shared" si="9"/>
        <v/>
      </c>
      <c r="N46" s="7">
        <f t="shared" si="10"/>
        <v>-45999</v>
      </c>
      <c r="O46" s="21" t="s">
        <v>8</v>
      </c>
      <c r="P46" s="24">
        <v>620</v>
      </c>
      <c r="Q46" s="25"/>
      <c r="R46" s="25"/>
      <c r="S46" s="7" t="str">
        <f t="shared" si="11"/>
        <v/>
      </c>
      <c r="T46" s="7">
        <f t="shared" si="12"/>
        <v>-45999</v>
      </c>
      <c r="U46" s="19"/>
      <c r="V46" s="21" t="s">
        <v>8</v>
      </c>
      <c r="W46" s="24">
        <v>620</v>
      </c>
      <c r="X46" s="25"/>
      <c r="Y46" s="25"/>
      <c r="Z46" s="7" t="str">
        <f t="shared" si="13"/>
        <v/>
      </c>
      <c r="AA46" s="7"/>
      <c r="AB46" s="19"/>
      <c r="AC46" s="20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</row>
    <row r="47" spans="1:41" ht="22.15" hidden="1" customHeight="1">
      <c r="A47"/>
      <c r="B47" s="6" t="s">
        <v>54</v>
      </c>
      <c r="C47" s="21" t="s">
        <v>8</v>
      </c>
      <c r="D47" s="26">
        <v>1484</v>
      </c>
      <c r="E47" s="25"/>
      <c r="F47" s="25"/>
      <c r="G47" s="7" t="str">
        <f t="shared" si="7"/>
        <v/>
      </c>
      <c r="H47" s="7">
        <f t="shared" si="8"/>
        <v>-45999</v>
      </c>
      <c r="I47" s="21" t="s">
        <v>8</v>
      </c>
      <c r="J47" s="24">
        <v>1484</v>
      </c>
      <c r="K47" s="25"/>
      <c r="L47" s="25"/>
      <c r="M47" s="7" t="str">
        <f t="shared" si="9"/>
        <v/>
      </c>
      <c r="N47" s="7">
        <f t="shared" si="10"/>
        <v>-45999</v>
      </c>
      <c r="O47" s="21" t="s">
        <v>8</v>
      </c>
      <c r="P47" s="24">
        <v>1484</v>
      </c>
      <c r="Q47" s="25"/>
      <c r="R47" s="25"/>
      <c r="S47" s="7" t="str">
        <f t="shared" si="11"/>
        <v/>
      </c>
      <c r="T47" s="7">
        <f t="shared" si="12"/>
        <v>-45999</v>
      </c>
      <c r="U47" s="19"/>
      <c r="V47" s="21" t="s">
        <v>8</v>
      </c>
      <c r="W47" s="24">
        <v>1484</v>
      </c>
      <c r="X47" s="25"/>
      <c r="Y47" s="25"/>
      <c r="Z47" s="7" t="str">
        <f t="shared" si="13"/>
        <v/>
      </c>
      <c r="AA47" s="7"/>
      <c r="AB47" s="19"/>
      <c r="AC47" s="20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</row>
    <row r="48" spans="1:41" ht="22.15" hidden="1" customHeight="1">
      <c r="A48"/>
      <c r="B48" s="6" t="s">
        <v>55</v>
      </c>
      <c r="C48" s="21" t="s">
        <v>8</v>
      </c>
      <c r="D48" s="22">
        <v>644</v>
      </c>
      <c r="E48" s="25"/>
      <c r="F48" s="25"/>
      <c r="G48" s="7" t="str">
        <f t="shared" si="7"/>
        <v/>
      </c>
      <c r="H48" s="7">
        <f t="shared" si="8"/>
        <v>-45999</v>
      </c>
      <c r="I48" s="21" t="s">
        <v>8</v>
      </c>
      <c r="J48" s="24">
        <v>644</v>
      </c>
      <c r="K48" s="25"/>
      <c r="L48" s="25"/>
      <c r="M48" s="7" t="str">
        <f t="shared" si="9"/>
        <v/>
      </c>
      <c r="N48" s="7">
        <f t="shared" si="10"/>
        <v>-45999</v>
      </c>
      <c r="O48" s="21" t="s">
        <v>8</v>
      </c>
      <c r="P48" s="24">
        <v>644</v>
      </c>
      <c r="Q48" s="25"/>
      <c r="R48" s="25"/>
      <c r="S48" s="7" t="str">
        <f t="shared" si="11"/>
        <v/>
      </c>
      <c r="T48" s="7">
        <f t="shared" si="12"/>
        <v>-45999</v>
      </c>
      <c r="U48" s="19"/>
      <c r="V48" s="21" t="s">
        <v>8</v>
      </c>
      <c r="W48" s="24">
        <v>644</v>
      </c>
      <c r="X48" s="25"/>
      <c r="Y48" s="25"/>
      <c r="Z48" s="7" t="str">
        <f t="shared" si="13"/>
        <v/>
      </c>
      <c r="AA48" s="7"/>
      <c r="AB48" s="19"/>
      <c r="AC48" s="20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</row>
    <row r="49" spans="1:41" ht="22.15" hidden="1" customHeight="1">
      <c r="A49"/>
      <c r="B49" s="6" t="s">
        <v>56</v>
      </c>
      <c r="C49" s="21" t="s">
        <v>8</v>
      </c>
      <c r="D49" s="22">
        <v>716</v>
      </c>
      <c r="E49" s="25"/>
      <c r="F49" s="25"/>
      <c r="G49" s="7" t="str">
        <f t="shared" si="7"/>
        <v/>
      </c>
      <c r="H49" s="7">
        <f t="shared" si="8"/>
        <v>-45999</v>
      </c>
      <c r="I49" s="21" t="s">
        <v>8</v>
      </c>
      <c r="J49" s="24">
        <v>716</v>
      </c>
      <c r="K49" s="25"/>
      <c r="L49" s="25"/>
      <c r="M49" s="7" t="str">
        <f t="shared" si="9"/>
        <v/>
      </c>
      <c r="N49" s="7">
        <f t="shared" si="10"/>
        <v>-45999</v>
      </c>
      <c r="O49" s="21" t="s">
        <v>8</v>
      </c>
      <c r="P49" s="24">
        <v>716</v>
      </c>
      <c r="Q49" s="25"/>
      <c r="R49" s="25"/>
      <c r="S49" s="7" t="str">
        <f t="shared" si="11"/>
        <v/>
      </c>
      <c r="T49" s="7">
        <f t="shared" si="12"/>
        <v>-45999</v>
      </c>
      <c r="U49" s="19"/>
      <c r="V49" s="21" t="s">
        <v>8</v>
      </c>
      <c r="W49" s="24">
        <v>716</v>
      </c>
      <c r="X49" s="25"/>
      <c r="Y49" s="25"/>
      <c r="Z49" s="7" t="str">
        <f t="shared" si="13"/>
        <v/>
      </c>
      <c r="AA49" s="7"/>
      <c r="AB49" s="19"/>
      <c r="AC49" s="20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</row>
    <row r="50" spans="1:41" ht="22.15" hidden="1" customHeight="1">
      <c r="A50"/>
      <c r="B50" s="6" t="s">
        <v>57</v>
      </c>
      <c r="C50" s="21" t="s">
        <v>8</v>
      </c>
      <c r="D50" s="22">
        <v>500</v>
      </c>
      <c r="E50" s="25"/>
      <c r="F50" s="25"/>
      <c r="G50" s="7" t="str">
        <f t="shared" si="7"/>
        <v/>
      </c>
      <c r="H50" s="7">
        <f t="shared" si="8"/>
        <v>-45999</v>
      </c>
      <c r="I50" s="21" t="s">
        <v>8</v>
      </c>
      <c r="J50" s="24">
        <v>500</v>
      </c>
      <c r="K50" s="25"/>
      <c r="L50" s="25"/>
      <c r="M50" s="7" t="str">
        <f t="shared" si="9"/>
        <v/>
      </c>
      <c r="N50" s="7">
        <f t="shared" si="10"/>
        <v>-45999</v>
      </c>
      <c r="O50" s="21" t="s">
        <v>8</v>
      </c>
      <c r="P50" s="24">
        <v>500</v>
      </c>
      <c r="Q50" s="25"/>
      <c r="R50" s="25"/>
      <c r="S50" s="7" t="str">
        <f t="shared" si="11"/>
        <v/>
      </c>
      <c r="T50" s="7">
        <f t="shared" si="12"/>
        <v>-45999</v>
      </c>
      <c r="U50" s="19"/>
      <c r="V50" s="21" t="s">
        <v>8</v>
      </c>
      <c r="W50" s="24">
        <v>500</v>
      </c>
      <c r="X50" s="25"/>
      <c r="Y50" s="25"/>
      <c r="Z50" s="7" t="str">
        <f t="shared" si="13"/>
        <v/>
      </c>
      <c r="AA50" s="7"/>
      <c r="AB50" s="19"/>
      <c r="AC50" s="20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</row>
    <row r="51" spans="1:41" ht="22.15" hidden="1" customHeight="1">
      <c r="A51"/>
      <c r="B51" s="6" t="s">
        <v>58</v>
      </c>
      <c r="C51" s="21" t="s">
        <v>8</v>
      </c>
      <c r="D51" s="22">
        <v>956</v>
      </c>
      <c r="E51" s="25"/>
      <c r="F51" s="25"/>
      <c r="G51" s="7" t="str">
        <f t="shared" si="7"/>
        <v/>
      </c>
      <c r="H51" s="7">
        <f t="shared" si="8"/>
        <v>-45999</v>
      </c>
      <c r="I51" s="21" t="s">
        <v>8</v>
      </c>
      <c r="J51" s="24">
        <v>956</v>
      </c>
      <c r="K51" s="25"/>
      <c r="L51" s="25"/>
      <c r="M51" s="7" t="str">
        <f t="shared" si="9"/>
        <v/>
      </c>
      <c r="N51" s="7">
        <f t="shared" si="10"/>
        <v>-45999</v>
      </c>
      <c r="O51" s="21" t="s">
        <v>8</v>
      </c>
      <c r="P51" s="24">
        <v>956</v>
      </c>
      <c r="Q51" s="25"/>
      <c r="R51" s="25"/>
      <c r="S51" s="7" t="str">
        <f t="shared" si="11"/>
        <v/>
      </c>
      <c r="T51" s="7">
        <f t="shared" si="12"/>
        <v>-45999</v>
      </c>
      <c r="U51" s="19"/>
      <c r="V51" s="21" t="s">
        <v>8</v>
      </c>
      <c r="W51" s="24">
        <v>956</v>
      </c>
      <c r="X51" s="25"/>
      <c r="Y51" s="25"/>
      <c r="Z51" s="7" t="str">
        <f t="shared" si="13"/>
        <v/>
      </c>
      <c r="AA51" s="7"/>
      <c r="AB51" s="19"/>
      <c r="AC51" s="20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</row>
    <row r="52" spans="1:41" ht="22.15" hidden="1" customHeight="1">
      <c r="A52"/>
      <c r="B52" s="6" t="s">
        <v>59</v>
      </c>
      <c r="C52" s="21" t="s">
        <v>8</v>
      </c>
      <c r="D52" s="26">
        <v>2012</v>
      </c>
      <c r="E52" s="25"/>
      <c r="F52" s="25"/>
      <c r="G52" s="7" t="str">
        <f t="shared" si="7"/>
        <v/>
      </c>
      <c r="H52" s="7">
        <f t="shared" si="8"/>
        <v>-45999</v>
      </c>
      <c r="I52" s="21" t="s">
        <v>8</v>
      </c>
      <c r="J52" s="24">
        <v>2012</v>
      </c>
      <c r="K52" s="25"/>
      <c r="L52" s="25"/>
      <c r="M52" s="7" t="str">
        <f t="shared" si="9"/>
        <v/>
      </c>
      <c r="N52" s="7">
        <f t="shared" si="10"/>
        <v>-45999</v>
      </c>
      <c r="O52" s="21" t="s">
        <v>8</v>
      </c>
      <c r="P52" s="24">
        <v>2012</v>
      </c>
      <c r="Q52" s="25"/>
      <c r="R52" s="25"/>
      <c r="S52" s="7" t="str">
        <f t="shared" si="11"/>
        <v/>
      </c>
      <c r="T52" s="7">
        <f t="shared" si="12"/>
        <v>-45999</v>
      </c>
      <c r="U52" s="19"/>
      <c r="V52" s="21" t="s">
        <v>8</v>
      </c>
      <c r="W52" s="24">
        <v>2012</v>
      </c>
      <c r="X52" s="25"/>
      <c r="Y52" s="25"/>
      <c r="Z52" s="7" t="str">
        <f t="shared" si="13"/>
        <v/>
      </c>
      <c r="AA52" s="7"/>
      <c r="AB52" s="19"/>
      <c r="AC52" s="20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</row>
    <row r="53" spans="1:41" ht="22.15" hidden="1" customHeight="1">
      <c r="A53"/>
      <c r="B53" s="6" t="s">
        <v>60</v>
      </c>
      <c r="C53" s="21" t="s">
        <v>8</v>
      </c>
      <c r="D53" s="22">
        <v>740</v>
      </c>
      <c r="E53" s="25"/>
      <c r="F53" s="25"/>
      <c r="G53" s="7" t="str">
        <f t="shared" si="7"/>
        <v/>
      </c>
      <c r="H53" s="7">
        <f t="shared" si="8"/>
        <v>-45999</v>
      </c>
      <c r="I53" s="21" t="s">
        <v>8</v>
      </c>
      <c r="J53" s="24">
        <v>740</v>
      </c>
      <c r="K53" s="25"/>
      <c r="L53" s="25"/>
      <c r="M53" s="7" t="str">
        <f t="shared" si="9"/>
        <v/>
      </c>
      <c r="N53" s="7">
        <f t="shared" si="10"/>
        <v>-45999</v>
      </c>
      <c r="O53" s="21" t="s">
        <v>8</v>
      </c>
      <c r="P53" s="24">
        <v>740</v>
      </c>
      <c r="Q53" s="25"/>
      <c r="R53" s="25"/>
      <c r="S53" s="7" t="str">
        <f t="shared" si="11"/>
        <v/>
      </c>
      <c r="T53" s="7">
        <f t="shared" si="12"/>
        <v>-45999</v>
      </c>
      <c r="U53" s="19"/>
      <c r="V53" s="21" t="s">
        <v>8</v>
      </c>
      <c r="W53" s="24">
        <v>740</v>
      </c>
      <c r="X53" s="25"/>
      <c r="Y53" s="25"/>
      <c r="Z53" s="7" t="str">
        <f t="shared" si="13"/>
        <v/>
      </c>
      <c r="AA53" s="7"/>
      <c r="AB53" s="19"/>
      <c r="AC53" s="20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</row>
    <row r="54" spans="1:41" ht="22.15" hidden="1" customHeight="1">
      <c r="A54"/>
      <c r="B54" s="6" t="s">
        <v>61</v>
      </c>
      <c r="C54" s="21" t="s">
        <v>8</v>
      </c>
      <c r="D54" s="22">
        <v>92</v>
      </c>
      <c r="E54" s="25"/>
      <c r="F54" s="25"/>
      <c r="G54" s="7" t="str">
        <f t="shared" si="7"/>
        <v/>
      </c>
      <c r="H54" s="7">
        <f t="shared" si="8"/>
        <v>-45999</v>
      </c>
      <c r="I54" s="21" t="s">
        <v>8</v>
      </c>
      <c r="J54" s="24">
        <v>92</v>
      </c>
      <c r="K54" s="25"/>
      <c r="L54" s="25"/>
      <c r="M54" s="7" t="str">
        <f t="shared" si="9"/>
        <v/>
      </c>
      <c r="N54" s="7">
        <f t="shared" si="10"/>
        <v>-45999</v>
      </c>
      <c r="O54" s="21" t="s">
        <v>8</v>
      </c>
      <c r="P54" s="24">
        <v>92</v>
      </c>
      <c r="Q54" s="25"/>
      <c r="R54" s="25"/>
      <c r="S54" s="7" t="str">
        <f t="shared" si="11"/>
        <v/>
      </c>
      <c r="T54" s="7">
        <f t="shared" si="12"/>
        <v>-45999</v>
      </c>
      <c r="U54" s="19"/>
      <c r="V54" s="21" t="s">
        <v>8</v>
      </c>
      <c r="W54" s="24">
        <v>92</v>
      </c>
      <c r="X54" s="25"/>
      <c r="Y54" s="25"/>
      <c r="Z54" s="7" t="str">
        <f t="shared" si="13"/>
        <v/>
      </c>
      <c r="AA54" s="7"/>
      <c r="AB54" s="19"/>
      <c r="AC54" s="20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</row>
    <row r="55" spans="1:41" ht="22.15" hidden="1" customHeight="1">
      <c r="A55"/>
      <c r="B55" s="6" t="s">
        <v>62</v>
      </c>
      <c r="C55" s="21" t="s">
        <v>8</v>
      </c>
      <c r="D55" s="22">
        <v>636</v>
      </c>
      <c r="E55" s="25"/>
      <c r="F55" s="25"/>
      <c r="G55" s="7" t="str">
        <f t="shared" si="7"/>
        <v/>
      </c>
      <c r="H55" s="7">
        <f t="shared" si="8"/>
        <v>-45999</v>
      </c>
      <c r="I55" s="21" t="s">
        <v>8</v>
      </c>
      <c r="J55" s="24">
        <v>636</v>
      </c>
      <c r="K55" s="25"/>
      <c r="L55" s="25"/>
      <c r="M55" s="7" t="str">
        <f t="shared" si="9"/>
        <v/>
      </c>
      <c r="N55" s="7">
        <f t="shared" si="10"/>
        <v>-45999</v>
      </c>
      <c r="O55" s="21" t="s">
        <v>8</v>
      </c>
      <c r="P55" s="24">
        <v>636</v>
      </c>
      <c r="Q55" s="25"/>
      <c r="R55" s="25"/>
      <c r="S55" s="7" t="str">
        <f t="shared" si="11"/>
        <v/>
      </c>
      <c r="T55" s="7">
        <f t="shared" si="12"/>
        <v>-45999</v>
      </c>
      <c r="U55" s="19"/>
      <c r="V55" s="21" t="s">
        <v>8</v>
      </c>
      <c r="W55" s="24">
        <v>636</v>
      </c>
      <c r="X55" s="25"/>
      <c r="Y55" s="25"/>
      <c r="Z55" s="7" t="str">
        <f t="shared" si="13"/>
        <v/>
      </c>
      <c r="AA55" s="7"/>
      <c r="AB55" s="19"/>
      <c r="AC55" s="20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</row>
    <row r="56" spans="1:41" ht="22.15" hidden="1" customHeight="1">
      <c r="A56"/>
      <c r="B56" s="6" t="s">
        <v>63</v>
      </c>
      <c r="C56" s="21" t="s">
        <v>8</v>
      </c>
      <c r="D56" s="22">
        <v>636</v>
      </c>
      <c r="E56" s="25"/>
      <c r="F56" s="25"/>
      <c r="G56" s="7" t="str">
        <f t="shared" si="7"/>
        <v/>
      </c>
      <c r="H56" s="7">
        <f t="shared" si="8"/>
        <v>-45999</v>
      </c>
      <c r="I56" s="21" t="s">
        <v>8</v>
      </c>
      <c r="J56" s="24">
        <v>636</v>
      </c>
      <c r="K56" s="25"/>
      <c r="L56" s="25"/>
      <c r="M56" s="7" t="str">
        <f t="shared" si="9"/>
        <v/>
      </c>
      <c r="N56" s="7">
        <f t="shared" si="10"/>
        <v>-45999</v>
      </c>
      <c r="O56" s="21" t="s">
        <v>8</v>
      </c>
      <c r="P56" s="24">
        <v>636</v>
      </c>
      <c r="Q56" s="25"/>
      <c r="R56" s="25"/>
      <c r="S56" s="7" t="str">
        <f t="shared" si="11"/>
        <v/>
      </c>
      <c r="T56" s="7">
        <f t="shared" si="12"/>
        <v>-45999</v>
      </c>
      <c r="U56" s="19"/>
      <c r="V56" s="21" t="s">
        <v>8</v>
      </c>
      <c r="W56" s="24">
        <v>636</v>
      </c>
      <c r="X56" s="25"/>
      <c r="Y56" s="25"/>
      <c r="Z56" s="7" t="str">
        <f t="shared" si="13"/>
        <v/>
      </c>
      <c r="AA56" s="7"/>
      <c r="AB56" s="19"/>
      <c r="AC56" s="20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</row>
    <row r="57" spans="1:41" ht="22.15" hidden="1" customHeight="1">
      <c r="A57"/>
      <c r="B57" s="6" t="s">
        <v>64</v>
      </c>
      <c r="C57" s="21" t="s">
        <v>8</v>
      </c>
      <c r="D57" s="22">
        <v>620</v>
      </c>
      <c r="E57" s="25"/>
      <c r="F57" s="25"/>
      <c r="G57" s="7" t="str">
        <f t="shared" si="7"/>
        <v/>
      </c>
      <c r="H57" s="7">
        <f t="shared" si="8"/>
        <v>-45999</v>
      </c>
      <c r="I57" s="21" t="s">
        <v>8</v>
      </c>
      <c r="J57" s="24">
        <v>620</v>
      </c>
      <c r="K57" s="25"/>
      <c r="L57" s="25"/>
      <c r="M57" s="7" t="str">
        <f t="shared" si="9"/>
        <v/>
      </c>
      <c r="N57" s="7">
        <f t="shared" si="10"/>
        <v>-45999</v>
      </c>
      <c r="O57" s="21" t="s">
        <v>8</v>
      </c>
      <c r="P57" s="24">
        <v>620</v>
      </c>
      <c r="Q57" s="25"/>
      <c r="R57" s="25"/>
      <c r="S57" s="7" t="str">
        <f t="shared" si="11"/>
        <v/>
      </c>
      <c r="T57" s="7">
        <f t="shared" si="12"/>
        <v>-45999</v>
      </c>
      <c r="U57" s="19"/>
      <c r="V57" s="21" t="s">
        <v>8</v>
      </c>
      <c r="W57" s="24">
        <v>620</v>
      </c>
      <c r="X57" s="25"/>
      <c r="Y57" s="25"/>
      <c r="Z57" s="7" t="str">
        <f t="shared" si="13"/>
        <v/>
      </c>
      <c r="AA57" s="7"/>
      <c r="AB57" s="19"/>
      <c r="AC57" s="20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</row>
    <row r="58" spans="1:41" ht="22.15" hidden="1" customHeight="1">
      <c r="A58"/>
      <c r="B58" s="6" t="s">
        <v>65</v>
      </c>
      <c r="C58" s="21" t="s">
        <v>8</v>
      </c>
      <c r="D58" s="22">
        <v>636</v>
      </c>
      <c r="E58" s="25"/>
      <c r="F58" s="25"/>
      <c r="G58" s="7" t="str">
        <f t="shared" si="7"/>
        <v/>
      </c>
      <c r="H58" s="7">
        <f t="shared" si="8"/>
        <v>-45999</v>
      </c>
      <c r="I58" s="21" t="s">
        <v>8</v>
      </c>
      <c r="J58" s="24">
        <v>636</v>
      </c>
      <c r="K58" s="25"/>
      <c r="L58" s="25"/>
      <c r="M58" s="7" t="str">
        <f t="shared" si="9"/>
        <v/>
      </c>
      <c r="N58" s="7">
        <f t="shared" si="10"/>
        <v>-45999</v>
      </c>
      <c r="O58" s="21" t="s">
        <v>8</v>
      </c>
      <c r="P58" s="24">
        <v>636</v>
      </c>
      <c r="Q58" s="25"/>
      <c r="R58" s="25"/>
      <c r="S58" s="7" t="str">
        <f t="shared" si="11"/>
        <v/>
      </c>
      <c r="T58" s="7">
        <f t="shared" si="12"/>
        <v>-45999</v>
      </c>
      <c r="U58" s="19"/>
      <c r="V58" s="21" t="s">
        <v>8</v>
      </c>
      <c r="W58" s="24">
        <v>636</v>
      </c>
      <c r="X58" s="25"/>
      <c r="Y58" s="25"/>
      <c r="Z58" s="7" t="str">
        <f t="shared" si="13"/>
        <v/>
      </c>
      <c r="AA58" s="7"/>
      <c r="AB58" s="19"/>
      <c r="AC58" s="20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</row>
    <row r="59" spans="1:41" ht="22.15" hidden="1" customHeight="1">
      <c r="A59"/>
      <c r="B59" s="6" t="s">
        <v>66</v>
      </c>
      <c r="C59" s="21" t="s">
        <v>8</v>
      </c>
      <c r="D59" s="26">
        <v>3844</v>
      </c>
      <c r="E59" s="25"/>
      <c r="F59" s="25"/>
      <c r="G59" s="7" t="str">
        <f t="shared" si="7"/>
        <v/>
      </c>
      <c r="H59" s="7">
        <f t="shared" si="8"/>
        <v>-45999</v>
      </c>
      <c r="I59" s="21" t="s">
        <v>8</v>
      </c>
      <c r="J59" s="24">
        <v>3844</v>
      </c>
      <c r="K59" s="25"/>
      <c r="L59" s="25"/>
      <c r="M59" s="7" t="str">
        <f t="shared" si="9"/>
        <v/>
      </c>
      <c r="N59" s="7">
        <f t="shared" si="10"/>
        <v>-45999</v>
      </c>
      <c r="O59" s="21" t="s">
        <v>8</v>
      </c>
      <c r="P59" s="24">
        <v>3844</v>
      </c>
      <c r="Q59" s="25"/>
      <c r="R59" s="25"/>
      <c r="S59" s="7" t="str">
        <f t="shared" si="11"/>
        <v/>
      </c>
      <c r="T59" s="7">
        <f t="shared" si="12"/>
        <v>-45999</v>
      </c>
      <c r="U59" s="19"/>
      <c r="V59" s="21" t="s">
        <v>8</v>
      </c>
      <c r="W59" s="24">
        <v>3844</v>
      </c>
      <c r="X59" s="25"/>
      <c r="Y59" s="25"/>
      <c r="Z59" s="7" t="str">
        <f t="shared" si="13"/>
        <v/>
      </c>
      <c r="AA59" s="7"/>
      <c r="AB59" s="19"/>
      <c r="AC59" s="20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</row>
    <row r="60" spans="1:41" ht="22.15" hidden="1" customHeight="1">
      <c r="A60"/>
      <c r="B60" s="6" t="s">
        <v>67</v>
      </c>
      <c r="C60" s="21" t="s">
        <v>8</v>
      </c>
      <c r="D60" s="26">
        <v>3244</v>
      </c>
      <c r="E60" s="25"/>
      <c r="F60" s="25"/>
      <c r="G60" s="7" t="str">
        <f t="shared" si="7"/>
        <v/>
      </c>
      <c r="H60" s="7">
        <f t="shared" si="8"/>
        <v>-45999</v>
      </c>
      <c r="I60" s="21" t="s">
        <v>8</v>
      </c>
      <c r="J60" s="24">
        <v>3244</v>
      </c>
      <c r="K60" s="25"/>
      <c r="L60" s="25"/>
      <c r="M60" s="7" t="str">
        <f t="shared" si="9"/>
        <v/>
      </c>
      <c r="N60" s="7">
        <f t="shared" si="10"/>
        <v>-45999</v>
      </c>
      <c r="O60" s="21" t="s">
        <v>8</v>
      </c>
      <c r="P60" s="24">
        <v>3244</v>
      </c>
      <c r="Q60" s="25"/>
      <c r="R60" s="25"/>
      <c r="S60" s="7" t="str">
        <f t="shared" si="11"/>
        <v/>
      </c>
      <c r="T60" s="7">
        <f t="shared" si="12"/>
        <v>-45999</v>
      </c>
      <c r="U60" s="19"/>
      <c r="V60" s="21" t="s">
        <v>8</v>
      </c>
      <c r="W60" s="24">
        <v>3244</v>
      </c>
      <c r="X60" s="25"/>
      <c r="Y60" s="25"/>
      <c r="Z60" s="7" t="str">
        <f t="shared" si="13"/>
        <v/>
      </c>
      <c r="AA60" s="7"/>
      <c r="AB60" s="19"/>
      <c r="AC60" s="20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</row>
    <row r="61" spans="1:41" ht="22.15" hidden="1" customHeight="1">
      <c r="A61"/>
      <c r="B61" s="6" t="s">
        <v>68</v>
      </c>
      <c r="C61" s="21" t="s">
        <v>8</v>
      </c>
      <c r="D61" s="26">
        <v>3244</v>
      </c>
      <c r="E61" s="25"/>
      <c r="F61" s="25"/>
      <c r="G61" s="7" t="str">
        <f t="shared" si="7"/>
        <v/>
      </c>
      <c r="H61" s="7">
        <f t="shared" si="8"/>
        <v>-45999</v>
      </c>
      <c r="I61" s="21" t="s">
        <v>8</v>
      </c>
      <c r="J61" s="24">
        <v>3244</v>
      </c>
      <c r="K61" s="25"/>
      <c r="L61" s="25"/>
      <c r="M61" s="7" t="str">
        <f t="shared" si="9"/>
        <v/>
      </c>
      <c r="N61" s="7">
        <f t="shared" si="10"/>
        <v>-45999</v>
      </c>
      <c r="O61" s="21" t="s">
        <v>8</v>
      </c>
      <c r="P61" s="24">
        <v>3244</v>
      </c>
      <c r="Q61" s="25"/>
      <c r="R61" s="25"/>
      <c r="S61" s="7" t="str">
        <f t="shared" si="11"/>
        <v/>
      </c>
      <c r="T61" s="7">
        <f t="shared" si="12"/>
        <v>-45999</v>
      </c>
      <c r="U61" s="19"/>
      <c r="V61" s="21" t="s">
        <v>8</v>
      </c>
      <c r="W61" s="24">
        <v>3244</v>
      </c>
      <c r="X61" s="25"/>
      <c r="Y61" s="25"/>
      <c r="Z61" s="7" t="str">
        <f t="shared" si="13"/>
        <v/>
      </c>
      <c r="AA61" s="7"/>
      <c r="AB61" s="19"/>
      <c r="AC61" s="20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</row>
    <row r="62" spans="1:41" ht="22.15" hidden="1" customHeight="1">
      <c r="A62"/>
      <c r="B62" s="6" t="s">
        <v>69</v>
      </c>
      <c r="C62" s="21" t="s">
        <v>8</v>
      </c>
      <c r="D62" s="26">
        <v>3268</v>
      </c>
      <c r="E62" s="25"/>
      <c r="F62" s="25"/>
      <c r="G62" s="7" t="str">
        <f t="shared" si="7"/>
        <v/>
      </c>
      <c r="H62" s="7">
        <f t="shared" si="8"/>
        <v>-45999</v>
      </c>
      <c r="I62" s="21" t="s">
        <v>8</v>
      </c>
      <c r="J62" s="24">
        <v>3268</v>
      </c>
      <c r="K62" s="25"/>
      <c r="L62" s="25"/>
      <c r="M62" s="7" t="str">
        <f t="shared" si="9"/>
        <v/>
      </c>
      <c r="N62" s="7">
        <f t="shared" si="10"/>
        <v>-45999</v>
      </c>
      <c r="O62" s="21" t="s">
        <v>8</v>
      </c>
      <c r="P62" s="24">
        <v>3268</v>
      </c>
      <c r="Q62" s="25"/>
      <c r="R62" s="25"/>
      <c r="S62" s="7" t="str">
        <f t="shared" si="11"/>
        <v/>
      </c>
      <c r="T62" s="7">
        <f t="shared" si="12"/>
        <v>-45999</v>
      </c>
      <c r="U62" s="19"/>
      <c r="V62" s="21" t="s">
        <v>8</v>
      </c>
      <c r="W62" s="24">
        <v>3268</v>
      </c>
      <c r="X62" s="25"/>
      <c r="Y62" s="25"/>
      <c r="Z62" s="7" t="str">
        <f t="shared" si="13"/>
        <v/>
      </c>
      <c r="AA62" s="7"/>
      <c r="AB62" s="19"/>
      <c r="AC62" s="20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</row>
    <row r="63" spans="1:41" ht="22.15" hidden="1" customHeight="1">
      <c r="A63"/>
      <c r="B63" s="6" t="s">
        <v>70</v>
      </c>
      <c r="C63" s="21" t="s">
        <v>8</v>
      </c>
      <c r="D63" s="26">
        <v>1608</v>
      </c>
      <c r="E63" s="25"/>
      <c r="F63" s="25"/>
      <c r="G63" s="7" t="str">
        <f t="shared" si="7"/>
        <v/>
      </c>
      <c r="H63" s="7">
        <f t="shared" si="8"/>
        <v>-45999</v>
      </c>
      <c r="I63" s="21" t="s">
        <v>8</v>
      </c>
      <c r="J63" s="24">
        <v>1608</v>
      </c>
      <c r="K63" s="25"/>
      <c r="L63" s="25"/>
      <c r="M63" s="7" t="str">
        <f t="shared" si="9"/>
        <v/>
      </c>
      <c r="N63" s="7">
        <f t="shared" si="10"/>
        <v>-45999</v>
      </c>
      <c r="O63" s="21" t="s">
        <v>8</v>
      </c>
      <c r="P63" s="24">
        <v>1608</v>
      </c>
      <c r="Q63" s="25"/>
      <c r="R63" s="25"/>
      <c r="S63" s="7" t="str">
        <f t="shared" si="11"/>
        <v/>
      </c>
      <c r="T63" s="7">
        <f t="shared" si="12"/>
        <v>-45999</v>
      </c>
      <c r="U63" s="19"/>
      <c r="V63" s="21" t="s">
        <v>8</v>
      </c>
      <c r="W63" s="24">
        <v>1608</v>
      </c>
      <c r="X63" s="25"/>
      <c r="Y63" s="25"/>
      <c r="Z63" s="7" t="str">
        <f t="shared" si="13"/>
        <v/>
      </c>
      <c r="AA63" s="7"/>
      <c r="AB63" s="19"/>
      <c r="AC63" s="20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</row>
    <row r="64" spans="1:41" ht="22.15" hidden="1" customHeight="1">
      <c r="A64"/>
      <c r="B64" s="6" t="s">
        <v>71</v>
      </c>
      <c r="C64" s="21" t="s">
        <v>8</v>
      </c>
      <c r="D64" s="26">
        <v>1284</v>
      </c>
      <c r="E64" s="25"/>
      <c r="F64" s="25"/>
      <c r="G64" s="7" t="str">
        <f t="shared" si="7"/>
        <v/>
      </c>
      <c r="H64" s="7">
        <f t="shared" si="8"/>
        <v>-45999</v>
      </c>
      <c r="I64" s="21" t="s">
        <v>8</v>
      </c>
      <c r="J64" s="24">
        <v>1284</v>
      </c>
      <c r="K64" s="25"/>
      <c r="L64" s="25"/>
      <c r="M64" s="7" t="str">
        <f t="shared" si="9"/>
        <v/>
      </c>
      <c r="N64" s="7">
        <f t="shared" si="10"/>
        <v>-45999</v>
      </c>
      <c r="O64" s="21" t="s">
        <v>8</v>
      </c>
      <c r="P64" s="24">
        <v>1284</v>
      </c>
      <c r="Q64" s="25"/>
      <c r="R64" s="25"/>
      <c r="S64" s="7" t="str">
        <f t="shared" si="11"/>
        <v/>
      </c>
      <c r="T64" s="7">
        <f t="shared" si="12"/>
        <v>-45999</v>
      </c>
      <c r="U64" s="19"/>
      <c r="V64" s="21" t="s">
        <v>8</v>
      </c>
      <c r="W64" s="24">
        <v>1284</v>
      </c>
      <c r="X64" s="25"/>
      <c r="Y64" s="25"/>
      <c r="Z64" s="7" t="str">
        <f t="shared" si="13"/>
        <v/>
      </c>
      <c r="AA64" s="7"/>
      <c r="AB64" s="19"/>
      <c r="AC64" s="20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</row>
    <row r="65" spans="1:41" ht="22.15" hidden="1" customHeight="1">
      <c r="A65"/>
      <c r="B65" s="6" t="s">
        <v>72</v>
      </c>
      <c r="C65" s="21" t="s">
        <v>8</v>
      </c>
      <c r="D65" s="26">
        <v>1266</v>
      </c>
      <c r="E65" s="25"/>
      <c r="F65" s="25"/>
      <c r="G65" s="7" t="str">
        <f t="shared" si="7"/>
        <v/>
      </c>
      <c r="H65" s="7">
        <f t="shared" si="8"/>
        <v>-45999</v>
      </c>
      <c r="I65" s="21" t="s">
        <v>8</v>
      </c>
      <c r="J65" s="24">
        <v>1266</v>
      </c>
      <c r="K65" s="25"/>
      <c r="L65" s="25"/>
      <c r="M65" s="7" t="str">
        <f t="shared" si="9"/>
        <v/>
      </c>
      <c r="N65" s="7">
        <f t="shared" si="10"/>
        <v>-45999</v>
      </c>
      <c r="O65" s="21" t="s">
        <v>8</v>
      </c>
      <c r="P65" s="24">
        <v>1266</v>
      </c>
      <c r="Q65" s="25"/>
      <c r="R65" s="25"/>
      <c r="S65" s="7" t="str">
        <f t="shared" si="11"/>
        <v/>
      </c>
      <c r="T65" s="7">
        <f t="shared" si="12"/>
        <v>-45999</v>
      </c>
      <c r="U65" s="19"/>
      <c r="V65" s="21" t="s">
        <v>8</v>
      </c>
      <c r="W65" s="24">
        <v>1266</v>
      </c>
      <c r="X65" s="25"/>
      <c r="Y65" s="25"/>
      <c r="Z65" s="7" t="str">
        <f t="shared" si="13"/>
        <v/>
      </c>
      <c r="AA65" s="7"/>
      <c r="AB65" s="19"/>
      <c r="AC65" s="20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</row>
    <row r="66" spans="1:41" ht="22.15" hidden="1" customHeight="1">
      <c r="A66"/>
      <c r="B66" s="6" t="s">
        <v>73</v>
      </c>
      <c r="C66" s="21" t="s">
        <v>8</v>
      </c>
      <c r="D66" s="26">
        <v>1278</v>
      </c>
      <c r="E66" s="25"/>
      <c r="F66" s="25"/>
      <c r="G66" s="7" t="str">
        <f t="shared" si="7"/>
        <v/>
      </c>
      <c r="H66" s="7">
        <f t="shared" si="8"/>
        <v>-45999</v>
      </c>
      <c r="I66" s="21" t="s">
        <v>8</v>
      </c>
      <c r="J66" s="24">
        <v>1278</v>
      </c>
      <c r="K66" s="25"/>
      <c r="L66" s="25"/>
      <c r="M66" s="7" t="str">
        <f t="shared" si="9"/>
        <v/>
      </c>
      <c r="N66" s="7">
        <f t="shared" si="10"/>
        <v>-45999</v>
      </c>
      <c r="O66" s="21" t="s">
        <v>8</v>
      </c>
      <c r="P66" s="24">
        <v>1278</v>
      </c>
      <c r="Q66" s="25"/>
      <c r="R66" s="25"/>
      <c r="S66" s="7" t="str">
        <f t="shared" si="11"/>
        <v/>
      </c>
      <c r="T66" s="7">
        <f t="shared" si="12"/>
        <v>-45999</v>
      </c>
      <c r="U66" s="19"/>
      <c r="V66" s="21" t="s">
        <v>8</v>
      </c>
      <c r="W66" s="24">
        <v>1278</v>
      </c>
      <c r="X66" s="25"/>
      <c r="Y66" s="25"/>
      <c r="Z66" s="7" t="str">
        <f t="shared" si="13"/>
        <v/>
      </c>
      <c r="AA66" s="7"/>
      <c r="AB66" s="19"/>
      <c r="AC66" s="20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</row>
    <row r="67" spans="1:41" ht="22.15" hidden="1" customHeight="1">
      <c r="A67"/>
      <c r="B67" s="6" t="s">
        <v>74</v>
      </c>
      <c r="C67" s="21" t="s">
        <v>8</v>
      </c>
      <c r="D67" s="22">
        <v>300</v>
      </c>
      <c r="E67" s="25"/>
      <c r="F67" s="25"/>
      <c r="G67" s="7" t="str">
        <f t="shared" si="7"/>
        <v/>
      </c>
      <c r="H67" s="7">
        <f t="shared" si="8"/>
        <v>-45999</v>
      </c>
      <c r="I67" s="21" t="s">
        <v>8</v>
      </c>
      <c r="J67" s="24">
        <v>300</v>
      </c>
      <c r="K67" s="25"/>
      <c r="L67" s="25"/>
      <c r="M67" s="7" t="str">
        <f t="shared" si="9"/>
        <v/>
      </c>
      <c r="N67" s="7">
        <f t="shared" si="10"/>
        <v>-45999</v>
      </c>
      <c r="O67" s="21" t="s">
        <v>8</v>
      </c>
      <c r="P67" s="24">
        <v>300</v>
      </c>
      <c r="Q67" s="25"/>
      <c r="R67" s="25"/>
      <c r="S67" s="7" t="str">
        <f t="shared" si="11"/>
        <v/>
      </c>
      <c r="T67" s="7">
        <f t="shared" si="12"/>
        <v>-45999</v>
      </c>
      <c r="U67" s="19"/>
      <c r="V67" s="21" t="s">
        <v>8</v>
      </c>
      <c r="W67" s="24">
        <v>300</v>
      </c>
      <c r="X67" s="25"/>
      <c r="Y67" s="25"/>
      <c r="Z67" s="7" t="str">
        <f t="shared" si="13"/>
        <v/>
      </c>
      <c r="AA67" s="7"/>
      <c r="AB67" s="19"/>
      <c r="AC67" s="20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</row>
    <row r="68" spans="1:41" ht="22.15" hidden="1" customHeight="1">
      <c r="A68"/>
      <c r="B68" s="6" t="s">
        <v>75</v>
      </c>
      <c r="C68" s="21" t="s">
        <v>8</v>
      </c>
      <c r="D68" s="22">
        <v>306</v>
      </c>
      <c r="E68" s="25"/>
      <c r="F68" s="25"/>
      <c r="G68" s="7" t="str">
        <f t="shared" si="7"/>
        <v/>
      </c>
      <c r="H68" s="7">
        <f t="shared" si="8"/>
        <v>-45999</v>
      </c>
      <c r="I68" s="21" t="s">
        <v>8</v>
      </c>
      <c r="J68" s="24">
        <v>306</v>
      </c>
      <c r="K68" s="25"/>
      <c r="L68" s="25"/>
      <c r="M68" s="7" t="str">
        <f t="shared" si="9"/>
        <v/>
      </c>
      <c r="N68" s="7">
        <f t="shared" si="10"/>
        <v>-45999</v>
      </c>
      <c r="O68" s="21" t="s">
        <v>8</v>
      </c>
      <c r="P68" s="24">
        <v>306</v>
      </c>
      <c r="Q68" s="25"/>
      <c r="R68" s="25"/>
      <c r="S68" s="7" t="str">
        <f t="shared" si="11"/>
        <v/>
      </c>
      <c r="T68" s="7">
        <f t="shared" si="12"/>
        <v>-45999</v>
      </c>
      <c r="U68" s="19"/>
      <c r="V68" s="21" t="s">
        <v>8</v>
      </c>
      <c r="W68" s="24">
        <v>306</v>
      </c>
      <c r="X68" s="25"/>
      <c r="Y68" s="25"/>
      <c r="Z68" s="7" t="str">
        <f t="shared" si="13"/>
        <v/>
      </c>
      <c r="AA68" s="7"/>
      <c r="AB68" s="19"/>
      <c r="AC68" s="20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</row>
    <row r="69" spans="1:41" ht="22.15" hidden="1" customHeight="1">
      <c r="A69"/>
      <c r="B69" s="6" t="s">
        <v>76</v>
      </c>
      <c r="C69" s="21" t="s">
        <v>8</v>
      </c>
      <c r="D69" s="26">
        <v>1296</v>
      </c>
      <c r="E69" s="25"/>
      <c r="F69" s="25"/>
      <c r="G69" s="7" t="str">
        <f t="shared" si="7"/>
        <v/>
      </c>
      <c r="H69" s="7">
        <f t="shared" si="8"/>
        <v>-45999</v>
      </c>
      <c r="I69" s="21" t="s">
        <v>8</v>
      </c>
      <c r="J69" s="24">
        <v>1296</v>
      </c>
      <c r="K69" s="25"/>
      <c r="L69" s="25"/>
      <c r="M69" s="7" t="str">
        <f t="shared" si="9"/>
        <v/>
      </c>
      <c r="N69" s="7">
        <f t="shared" si="10"/>
        <v>-45999</v>
      </c>
      <c r="O69" s="21" t="s">
        <v>8</v>
      </c>
      <c r="P69" s="24">
        <v>1296</v>
      </c>
      <c r="Q69" s="25"/>
      <c r="R69" s="25"/>
      <c r="S69" s="7" t="str">
        <f t="shared" si="11"/>
        <v/>
      </c>
      <c r="T69" s="7">
        <f t="shared" si="12"/>
        <v>-45999</v>
      </c>
      <c r="U69" s="19"/>
      <c r="V69" s="21" t="s">
        <v>8</v>
      </c>
      <c r="W69" s="24">
        <v>1296</v>
      </c>
      <c r="X69" s="25"/>
      <c r="Y69" s="25"/>
      <c r="Z69" s="7" t="str">
        <f t="shared" si="13"/>
        <v/>
      </c>
      <c r="AA69" s="7"/>
      <c r="AB69" s="19"/>
      <c r="AC69" s="20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</row>
    <row r="70" spans="1:41" ht="22.15" hidden="1" customHeight="1">
      <c r="A70"/>
      <c r="B70" s="6" t="s">
        <v>77</v>
      </c>
      <c r="C70" s="21" t="s">
        <v>8</v>
      </c>
      <c r="D70" s="22">
        <v>414</v>
      </c>
      <c r="E70" s="25"/>
      <c r="F70" s="25"/>
      <c r="G70" s="7" t="str">
        <f t="shared" si="7"/>
        <v/>
      </c>
      <c r="H70" s="7">
        <f t="shared" si="8"/>
        <v>-45999</v>
      </c>
      <c r="I70" s="21" t="s">
        <v>8</v>
      </c>
      <c r="J70" s="24">
        <v>414</v>
      </c>
      <c r="K70" s="25"/>
      <c r="L70" s="25"/>
      <c r="M70" s="7" t="str">
        <f t="shared" si="9"/>
        <v/>
      </c>
      <c r="N70" s="7">
        <f t="shared" si="10"/>
        <v>-45999</v>
      </c>
      <c r="O70" s="21" t="s">
        <v>8</v>
      </c>
      <c r="P70" s="24">
        <v>414</v>
      </c>
      <c r="Q70" s="25"/>
      <c r="R70" s="25"/>
      <c r="S70" s="7" t="str">
        <f t="shared" si="11"/>
        <v/>
      </c>
      <c r="T70" s="7">
        <f t="shared" si="12"/>
        <v>-45999</v>
      </c>
      <c r="U70" s="19"/>
      <c r="V70" s="21" t="s">
        <v>8</v>
      </c>
      <c r="W70" s="24">
        <v>414</v>
      </c>
      <c r="X70" s="25"/>
      <c r="Y70" s="25"/>
      <c r="Z70" s="7" t="str">
        <f t="shared" si="13"/>
        <v/>
      </c>
      <c r="AA70" s="7"/>
      <c r="AB70" s="19"/>
      <c r="AC70" s="20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</row>
    <row r="71" spans="1:41" ht="28.5" customHeight="1">
      <c r="A71"/>
      <c r="B71" s="10" t="s">
        <v>79</v>
      </c>
      <c r="C71" s="27" t="s">
        <v>78</v>
      </c>
      <c r="D71" s="28">
        <v>165.715</v>
      </c>
      <c r="E71" s="29">
        <v>45880</v>
      </c>
      <c r="F71" s="25">
        <v>46000</v>
      </c>
      <c r="G71" s="7">
        <f t="shared" si="7"/>
        <v>0.83333333333333337</v>
      </c>
      <c r="H71" s="7">
        <f t="shared" si="8"/>
        <v>1</v>
      </c>
      <c r="I71" s="21"/>
      <c r="J71" s="30"/>
      <c r="K71" s="29"/>
      <c r="L71" s="25"/>
      <c r="M71" s="7" t="str">
        <f t="shared" si="9"/>
        <v/>
      </c>
      <c r="N71" s="7">
        <f t="shared" si="10"/>
        <v>-45999</v>
      </c>
      <c r="O71" s="21"/>
      <c r="P71" s="30"/>
      <c r="Q71" s="29"/>
      <c r="R71" s="25"/>
      <c r="S71" s="7" t="str">
        <f t="shared" si="11"/>
        <v/>
      </c>
      <c r="T71" s="7">
        <f t="shared" si="12"/>
        <v>-45999</v>
      </c>
      <c r="U71" s="31">
        <v>0</v>
      </c>
      <c r="V71" s="21"/>
      <c r="W71" s="30"/>
      <c r="X71" s="29"/>
      <c r="Y71" s="25"/>
      <c r="Z71" s="7" t="str">
        <f t="shared" si="13"/>
        <v/>
      </c>
      <c r="AA71" s="7">
        <f t="shared" ref="AA71:AA91" si="14">Y71-$H$1</f>
        <v>-45999</v>
      </c>
      <c r="AB71" s="35">
        <v>9.0340000000000007</v>
      </c>
      <c r="AC71" s="20" t="s">
        <v>93</v>
      </c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</row>
    <row r="72" spans="1:41" ht="22.15" hidden="1" customHeight="1">
      <c r="A72"/>
      <c r="B72" s="11"/>
      <c r="C72" s="27"/>
      <c r="D72" s="28"/>
      <c r="E72" s="25"/>
      <c r="F72" s="25"/>
      <c r="G72" s="7" t="str">
        <f t="shared" ref="G72:G82" si="15">IFERROR((F72-$G$1)/(F72-E72)*100,"")</f>
        <v/>
      </c>
      <c r="H72" s="7">
        <f t="shared" ref="H72:H82" si="16">F72-$H$1</f>
        <v>-45999</v>
      </c>
      <c r="I72" s="21"/>
      <c r="J72" s="32"/>
      <c r="K72" s="25"/>
      <c r="L72" s="25"/>
      <c r="M72" s="7" t="str">
        <f t="shared" si="9"/>
        <v/>
      </c>
      <c r="N72" s="7">
        <f t="shared" si="10"/>
        <v>-45999</v>
      </c>
      <c r="O72" s="21"/>
      <c r="P72" s="32"/>
      <c r="Q72" s="25"/>
      <c r="R72" s="25"/>
      <c r="S72" s="7" t="str">
        <f t="shared" si="11"/>
        <v/>
      </c>
      <c r="T72" s="7">
        <f t="shared" si="12"/>
        <v>-45999</v>
      </c>
      <c r="U72" s="19">
        <f t="shared" ref="U72:U76" si="17">L72-P72</f>
        <v>0</v>
      </c>
      <c r="V72" s="21"/>
      <c r="W72" s="32"/>
      <c r="X72" s="25"/>
      <c r="Y72" s="25"/>
      <c r="Z72" s="7" t="str">
        <f t="shared" si="13"/>
        <v/>
      </c>
      <c r="AA72" s="7">
        <f t="shared" si="14"/>
        <v>-45999</v>
      </c>
      <c r="AB72" s="35"/>
      <c r="AC72" s="20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</row>
    <row r="73" spans="1:41" ht="22.15" hidden="1" customHeight="1">
      <c r="A73"/>
      <c r="B73" s="11"/>
      <c r="C73" s="27"/>
      <c r="D73" s="28"/>
      <c r="E73" s="25"/>
      <c r="F73" s="25"/>
      <c r="G73" s="7" t="str">
        <f t="shared" si="15"/>
        <v/>
      </c>
      <c r="H73" s="7">
        <f t="shared" si="16"/>
        <v>-45999</v>
      </c>
      <c r="I73" s="21"/>
      <c r="J73" s="32"/>
      <c r="K73" s="25"/>
      <c r="L73" s="25"/>
      <c r="M73" s="7" t="str">
        <f t="shared" si="9"/>
        <v/>
      </c>
      <c r="N73" s="7">
        <f t="shared" si="10"/>
        <v>-45999</v>
      </c>
      <c r="O73" s="21"/>
      <c r="P73" s="32"/>
      <c r="Q73" s="25"/>
      <c r="R73" s="25"/>
      <c r="S73" s="7" t="str">
        <f t="shared" si="11"/>
        <v/>
      </c>
      <c r="T73" s="7">
        <f t="shared" si="12"/>
        <v>-45999</v>
      </c>
      <c r="U73" s="19">
        <f t="shared" si="17"/>
        <v>0</v>
      </c>
      <c r="V73" s="21"/>
      <c r="W73" s="32"/>
      <c r="X73" s="25"/>
      <c r="Y73" s="25"/>
      <c r="Z73" s="7" t="str">
        <f t="shared" si="13"/>
        <v/>
      </c>
      <c r="AA73" s="7">
        <f t="shared" si="14"/>
        <v>-45999</v>
      </c>
      <c r="AB73" s="35"/>
      <c r="AC73" s="20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</row>
    <row r="74" spans="1:41" ht="22.15" hidden="1" customHeight="1">
      <c r="A74"/>
      <c r="B74" s="11"/>
      <c r="C74" s="27"/>
      <c r="D74" s="28"/>
      <c r="E74" s="25"/>
      <c r="F74" s="25"/>
      <c r="G74" s="7" t="str">
        <f t="shared" si="15"/>
        <v/>
      </c>
      <c r="H74" s="7">
        <f t="shared" si="16"/>
        <v>-45999</v>
      </c>
      <c r="I74" s="21"/>
      <c r="J74" s="32"/>
      <c r="K74" s="25"/>
      <c r="L74" s="25"/>
      <c r="M74" s="7" t="str">
        <f t="shared" si="9"/>
        <v/>
      </c>
      <c r="N74" s="7">
        <f t="shared" si="10"/>
        <v>-45999</v>
      </c>
      <c r="O74" s="21"/>
      <c r="P74" s="32"/>
      <c r="Q74" s="25"/>
      <c r="R74" s="25"/>
      <c r="S74" s="7" t="str">
        <f t="shared" si="11"/>
        <v/>
      </c>
      <c r="T74" s="7">
        <f t="shared" si="12"/>
        <v>-45999</v>
      </c>
      <c r="U74" s="19">
        <f t="shared" si="17"/>
        <v>0</v>
      </c>
      <c r="V74" s="21"/>
      <c r="W74" s="32"/>
      <c r="X74" s="25"/>
      <c r="Y74" s="25"/>
      <c r="Z74" s="7" t="str">
        <f t="shared" si="13"/>
        <v/>
      </c>
      <c r="AA74" s="7">
        <f t="shared" si="14"/>
        <v>-45999</v>
      </c>
      <c r="AB74" s="35"/>
      <c r="AC74" s="20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</row>
    <row r="75" spans="1:41" ht="22.15" hidden="1" customHeight="1">
      <c r="A75"/>
      <c r="B75" s="11"/>
      <c r="C75" s="27"/>
      <c r="D75" s="28"/>
      <c r="E75" s="25"/>
      <c r="F75" s="25"/>
      <c r="G75" s="7" t="str">
        <f t="shared" si="15"/>
        <v/>
      </c>
      <c r="H75" s="7">
        <f t="shared" si="16"/>
        <v>-45999</v>
      </c>
      <c r="I75" s="21"/>
      <c r="J75" s="32"/>
      <c r="K75" s="25"/>
      <c r="L75" s="25"/>
      <c r="M75" s="7" t="str">
        <f t="shared" si="9"/>
        <v/>
      </c>
      <c r="N75" s="7">
        <f t="shared" si="10"/>
        <v>-45999</v>
      </c>
      <c r="O75" s="21"/>
      <c r="P75" s="32"/>
      <c r="Q75" s="25"/>
      <c r="R75" s="25"/>
      <c r="S75" s="7" t="str">
        <f t="shared" si="11"/>
        <v/>
      </c>
      <c r="T75" s="7">
        <f t="shared" si="12"/>
        <v>-45999</v>
      </c>
      <c r="U75" s="19">
        <f t="shared" si="17"/>
        <v>0</v>
      </c>
      <c r="V75" s="21"/>
      <c r="W75" s="32"/>
      <c r="X75" s="25"/>
      <c r="Y75" s="25"/>
      <c r="Z75" s="7" t="str">
        <f t="shared" si="13"/>
        <v/>
      </c>
      <c r="AA75" s="7">
        <f t="shared" si="14"/>
        <v>-45999</v>
      </c>
      <c r="AB75" s="35"/>
      <c r="AC75" s="20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</row>
    <row r="76" spans="1:41" ht="22.15" hidden="1" customHeight="1">
      <c r="A76"/>
      <c r="B76" s="11"/>
      <c r="C76" s="27"/>
      <c r="D76" s="28"/>
      <c r="E76" s="25"/>
      <c r="F76" s="25"/>
      <c r="G76" s="7" t="str">
        <f t="shared" si="15"/>
        <v/>
      </c>
      <c r="H76" s="7">
        <f t="shared" si="16"/>
        <v>-45999</v>
      </c>
      <c r="I76" s="21"/>
      <c r="J76" s="32"/>
      <c r="K76" s="25"/>
      <c r="L76" s="25"/>
      <c r="M76" s="7" t="str">
        <f t="shared" si="9"/>
        <v/>
      </c>
      <c r="N76" s="7">
        <f t="shared" si="10"/>
        <v>-45999</v>
      </c>
      <c r="O76" s="21"/>
      <c r="P76" s="32"/>
      <c r="Q76" s="25"/>
      <c r="R76" s="25"/>
      <c r="S76" s="7" t="str">
        <f t="shared" si="11"/>
        <v/>
      </c>
      <c r="T76" s="7">
        <f t="shared" si="12"/>
        <v>-45999</v>
      </c>
      <c r="U76" s="19">
        <f t="shared" si="17"/>
        <v>0</v>
      </c>
      <c r="V76" s="21"/>
      <c r="W76" s="32"/>
      <c r="X76" s="25"/>
      <c r="Y76" s="25"/>
      <c r="Z76" s="7" t="str">
        <f t="shared" si="13"/>
        <v/>
      </c>
      <c r="AA76" s="7">
        <f t="shared" si="14"/>
        <v>-45999</v>
      </c>
      <c r="AB76" s="35"/>
      <c r="AC76" s="20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</row>
    <row r="77" spans="1:41" ht="22.15" customHeight="1">
      <c r="A77"/>
      <c r="B77" s="10" t="s">
        <v>82</v>
      </c>
      <c r="C77" s="27" t="s">
        <v>8</v>
      </c>
      <c r="D77" s="28">
        <v>5</v>
      </c>
      <c r="E77" s="25">
        <v>45961</v>
      </c>
      <c r="F77" s="25">
        <v>46011</v>
      </c>
      <c r="G77" s="7">
        <f t="shared" si="15"/>
        <v>24</v>
      </c>
      <c r="H77" s="7">
        <f t="shared" si="16"/>
        <v>12</v>
      </c>
      <c r="I77" s="21"/>
      <c r="J77" s="30"/>
      <c r="K77" s="25"/>
      <c r="L77" s="25"/>
      <c r="M77" s="7" t="str">
        <f t="shared" si="9"/>
        <v/>
      </c>
      <c r="N77" s="7">
        <f t="shared" si="10"/>
        <v>-45999</v>
      </c>
      <c r="O77" s="21"/>
      <c r="P77" s="30"/>
      <c r="Q77" s="25"/>
      <c r="R77" s="25"/>
      <c r="S77" s="7" t="str">
        <f t="shared" si="11"/>
        <v/>
      </c>
      <c r="T77" s="7">
        <f t="shared" si="12"/>
        <v>-45999</v>
      </c>
      <c r="U77" s="33">
        <f>D77-P77</f>
        <v>5</v>
      </c>
      <c r="V77" s="21"/>
      <c r="W77" s="30"/>
      <c r="X77" s="25"/>
      <c r="Y77" s="25"/>
      <c r="Z77" s="7" t="str">
        <f t="shared" si="13"/>
        <v/>
      </c>
      <c r="AA77" s="7">
        <f t="shared" si="14"/>
        <v>-45999</v>
      </c>
      <c r="AB77" s="35"/>
      <c r="AC77" s="20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</row>
    <row r="78" spans="1:41" ht="22.15" customHeight="1">
      <c r="A78"/>
      <c r="B78" s="8" t="s">
        <v>83</v>
      </c>
      <c r="C78" s="21" t="s">
        <v>8</v>
      </c>
      <c r="D78" s="34">
        <v>19</v>
      </c>
      <c r="E78" s="25">
        <v>45962</v>
      </c>
      <c r="F78" s="25">
        <v>46007</v>
      </c>
      <c r="G78" s="7">
        <f t="shared" si="15"/>
        <v>17.777777777777779</v>
      </c>
      <c r="H78" s="7">
        <f t="shared" si="16"/>
        <v>8</v>
      </c>
      <c r="I78" s="21" t="s">
        <v>8</v>
      </c>
      <c r="J78" s="32">
        <v>8</v>
      </c>
      <c r="K78" s="25">
        <v>45962</v>
      </c>
      <c r="L78" s="25">
        <v>46007</v>
      </c>
      <c r="M78" s="7">
        <f t="shared" si="9"/>
        <v>17.777777777777779</v>
      </c>
      <c r="N78" s="7">
        <f t="shared" si="10"/>
        <v>8</v>
      </c>
      <c r="O78" s="21" t="s">
        <v>8</v>
      </c>
      <c r="P78" s="32">
        <v>5</v>
      </c>
      <c r="Q78" s="25">
        <v>45962</v>
      </c>
      <c r="R78" s="25">
        <v>46007</v>
      </c>
      <c r="S78" s="7">
        <f t="shared" si="11"/>
        <v>17.777777777777779</v>
      </c>
      <c r="T78" s="7">
        <f t="shared" si="12"/>
        <v>8</v>
      </c>
      <c r="U78" s="35">
        <f t="shared" ref="U78:U81" si="18">D78-P78</f>
        <v>14</v>
      </c>
      <c r="V78" s="21" t="s">
        <v>8</v>
      </c>
      <c r="W78" s="32">
        <v>5</v>
      </c>
      <c r="X78" s="25">
        <v>45962</v>
      </c>
      <c r="Y78" s="25">
        <v>46007</v>
      </c>
      <c r="Z78" s="7">
        <f t="shared" si="13"/>
        <v>17.777777777777779</v>
      </c>
      <c r="AA78" s="7">
        <f t="shared" si="14"/>
        <v>8</v>
      </c>
      <c r="AB78" s="35">
        <f>D78-W78</f>
        <v>14</v>
      </c>
      <c r="AC78" s="20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</row>
    <row r="79" spans="1:41" ht="22.15" customHeight="1">
      <c r="A79"/>
      <c r="B79" s="8" t="s">
        <v>81</v>
      </c>
      <c r="C79" s="21" t="s">
        <v>8</v>
      </c>
      <c r="D79" s="34">
        <v>7</v>
      </c>
      <c r="E79" s="25">
        <v>45964</v>
      </c>
      <c r="F79" s="25">
        <v>46009</v>
      </c>
      <c r="G79" s="7">
        <f t="shared" si="15"/>
        <v>22.222222222222221</v>
      </c>
      <c r="H79" s="7">
        <f t="shared" si="16"/>
        <v>10</v>
      </c>
      <c r="I79" s="21" t="s">
        <v>8</v>
      </c>
      <c r="J79" s="32">
        <v>7</v>
      </c>
      <c r="K79" s="25">
        <v>45964</v>
      </c>
      <c r="L79" s="25">
        <v>46009</v>
      </c>
      <c r="M79" s="7">
        <f t="shared" si="9"/>
        <v>22.222222222222221</v>
      </c>
      <c r="N79" s="7">
        <f t="shared" si="10"/>
        <v>10</v>
      </c>
      <c r="O79" s="21"/>
      <c r="P79" s="32"/>
      <c r="Q79" s="25"/>
      <c r="R79" s="25"/>
      <c r="S79" s="7" t="str">
        <f t="shared" si="11"/>
        <v/>
      </c>
      <c r="T79" s="7">
        <f t="shared" si="12"/>
        <v>-45999</v>
      </c>
      <c r="U79" s="33">
        <f t="shared" si="18"/>
        <v>7</v>
      </c>
      <c r="V79" s="21"/>
      <c r="W79" s="63"/>
      <c r="X79" s="25"/>
      <c r="Y79" s="25"/>
      <c r="Z79" s="7" t="str">
        <f t="shared" si="13"/>
        <v/>
      </c>
      <c r="AA79" s="7">
        <f t="shared" si="14"/>
        <v>-45999</v>
      </c>
      <c r="AB79" s="35"/>
      <c r="AC79" s="20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</row>
    <row r="80" spans="1:41" ht="22.15" customHeight="1">
      <c r="A80"/>
      <c r="B80" s="10" t="s">
        <v>84</v>
      </c>
      <c r="C80" s="21" t="s">
        <v>8</v>
      </c>
      <c r="D80" s="36">
        <v>3</v>
      </c>
      <c r="E80" s="25">
        <v>45982</v>
      </c>
      <c r="F80" s="25">
        <v>46012</v>
      </c>
      <c r="G80" s="7">
        <f t="shared" si="15"/>
        <v>43.333333333333336</v>
      </c>
      <c r="H80" s="7">
        <f t="shared" si="16"/>
        <v>13</v>
      </c>
      <c r="I80" s="21"/>
      <c r="J80" s="30"/>
      <c r="K80" s="25"/>
      <c r="L80" s="25"/>
      <c r="M80" s="7" t="str">
        <f t="shared" si="9"/>
        <v/>
      </c>
      <c r="N80" s="7">
        <f t="shared" si="10"/>
        <v>-45999</v>
      </c>
      <c r="O80" s="21"/>
      <c r="P80" s="30"/>
      <c r="Q80" s="25"/>
      <c r="R80" s="25"/>
      <c r="S80" s="7" t="str">
        <f t="shared" si="11"/>
        <v/>
      </c>
      <c r="T80" s="7">
        <f t="shared" si="12"/>
        <v>-45999</v>
      </c>
      <c r="U80" s="33">
        <f t="shared" si="18"/>
        <v>3</v>
      </c>
      <c r="V80" s="21" t="s">
        <v>8</v>
      </c>
      <c r="W80" s="63">
        <v>2</v>
      </c>
      <c r="X80" s="25">
        <v>45996</v>
      </c>
      <c r="Y80" s="25">
        <v>46026</v>
      </c>
      <c r="Z80" s="7">
        <f t="shared" si="13"/>
        <v>90</v>
      </c>
      <c r="AA80" s="7">
        <f t="shared" si="14"/>
        <v>27</v>
      </c>
      <c r="AB80" s="35">
        <f>D80-W80</f>
        <v>1</v>
      </c>
      <c r="AC80" s="20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</row>
    <row r="81" spans="1:41" ht="22.15" customHeight="1">
      <c r="A81"/>
      <c r="B81" s="10" t="s">
        <v>80</v>
      </c>
      <c r="C81" s="37" t="s">
        <v>8</v>
      </c>
      <c r="D81" s="36">
        <v>14</v>
      </c>
      <c r="E81" s="25">
        <v>45821</v>
      </c>
      <c r="F81" s="25">
        <v>46091</v>
      </c>
      <c r="G81" s="7">
        <f t="shared" si="15"/>
        <v>34.074074074074076</v>
      </c>
      <c r="H81" s="7">
        <f t="shared" si="16"/>
        <v>92</v>
      </c>
      <c r="I81" s="37"/>
      <c r="J81" s="30"/>
      <c r="K81" s="25"/>
      <c r="L81" s="25"/>
      <c r="M81" s="7" t="str">
        <f t="shared" si="9"/>
        <v/>
      </c>
      <c r="N81" s="7">
        <f t="shared" si="10"/>
        <v>-45999</v>
      </c>
      <c r="O81" s="37"/>
      <c r="P81" s="30"/>
      <c r="Q81" s="25"/>
      <c r="R81" s="25"/>
      <c r="S81" s="7" t="str">
        <f t="shared" si="11"/>
        <v/>
      </c>
      <c r="T81" s="7">
        <f t="shared" si="12"/>
        <v>-45999</v>
      </c>
      <c r="U81" s="33">
        <f t="shared" si="18"/>
        <v>14</v>
      </c>
      <c r="V81" s="37"/>
      <c r="W81" s="63"/>
      <c r="X81" s="25"/>
      <c r="Y81" s="25"/>
      <c r="Z81" s="7" t="str">
        <f t="shared" si="13"/>
        <v/>
      </c>
      <c r="AA81" s="7">
        <f t="shared" si="14"/>
        <v>-45999</v>
      </c>
      <c r="AB81" s="35"/>
      <c r="AC81" s="20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</row>
    <row r="82" spans="1:41" ht="22.15" customHeight="1">
      <c r="A82"/>
      <c r="B82" s="8" t="s">
        <v>81</v>
      </c>
      <c r="C82" s="21"/>
      <c r="D82" s="36"/>
      <c r="E82" s="25"/>
      <c r="F82" s="25"/>
      <c r="G82" s="7" t="str">
        <f t="shared" si="15"/>
        <v/>
      </c>
      <c r="H82" s="7">
        <f t="shared" si="16"/>
        <v>-45999</v>
      </c>
      <c r="I82" s="21" t="s">
        <v>8</v>
      </c>
      <c r="J82" s="32">
        <v>55</v>
      </c>
      <c r="K82" s="25">
        <v>45978</v>
      </c>
      <c r="L82" s="25">
        <v>46023</v>
      </c>
      <c r="M82" s="7">
        <f t="shared" si="9"/>
        <v>53.333333333333336</v>
      </c>
      <c r="N82" s="7">
        <f t="shared" si="10"/>
        <v>24</v>
      </c>
      <c r="O82" s="21"/>
      <c r="P82" s="32"/>
      <c r="Q82" s="25"/>
      <c r="R82" s="25"/>
      <c r="S82" s="7" t="str">
        <f t="shared" si="11"/>
        <v/>
      </c>
      <c r="T82" s="7">
        <f t="shared" si="12"/>
        <v>-45999</v>
      </c>
      <c r="U82" s="33">
        <f>J82-P82</f>
        <v>55</v>
      </c>
      <c r="V82" s="21" t="s">
        <v>8</v>
      </c>
      <c r="W82" s="63">
        <v>13</v>
      </c>
      <c r="X82" s="25">
        <v>45979</v>
      </c>
      <c r="Y82" s="25">
        <v>46024</v>
      </c>
      <c r="Z82" s="7">
        <f t="shared" si="13"/>
        <v>55.555555555555557</v>
      </c>
      <c r="AA82" s="7">
        <f t="shared" si="14"/>
        <v>25</v>
      </c>
      <c r="AB82" s="35">
        <f>J82-W83</f>
        <v>46</v>
      </c>
      <c r="AC82" s="20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</row>
    <row r="83" spans="1:41" ht="22.15" customHeight="1">
      <c r="A83"/>
      <c r="B83" s="8" t="s">
        <v>85</v>
      </c>
      <c r="C83" s="21"/>
      <c r="D83" s="34"/>
      <c r="E83" s="25"/>
      <c r="F83" s="25"/>
      <c r="G83" s="7" t="str">
        <f t="shared" ref="G83" si="19">IFERROR((F83-$G$1)/(F83-E83)*100,"")</f>
        <v/>
      </c>
      <c r="H83" s="7">
        <f t="shared" ref="H83" si="20">F83-$H$1</f>
        <v>-45999</v>
      </c>
      <c r="I83" s="21" t="s">
        <v>8</v>
      </c>
      <c r="J83" s="16">
        <v>11</v>
      </c>
      <c r="K83" s="25">
        <v>45974</v>
      </c>
      <c r="L83" s="25">
        <v>46019</v>
      </c>
      <c r="M83" s="7">
        <f t="shared" si="9"/>
        <v>44.444444444444443</v>
      </c>
      <c r="N83" s="7">
        <f t="shared" si="10"/>
        <v>20</v>
      </c>
      <c r="O83" s="21" t="s">
        <v>8</v>
      </c>
      <c r="P83" s="16">
        <v>11</v>
      </c>
      <c r="Q83" s="25">
        <v>45974</v>
      </c>
      <c r="R83" s="25">
        <v>46019</v>
      </c>
      <c r="S83" s="7">
        <f t="shared" si="11"/>
        <v>44.444444444444443</v>
      </c>
      <c r="T83" s="7">
        <f t="shared" si="12"/>
        <v>20</v>
      </c>
      <c r="U83" s="35">
        <f>J83-P83</f>
        <v>0</v>
      </c>
      <c r="V83" s="21" t="s">
        <v>8</v>
      </c>
      <c r="W83" s="64">
        <v>9</v>
      </c>
      <c r="X83" s="25">
        <v>45974</v>
      </c>
      <c r="Y83" s="25">
        <v>46019</v>
      </c>
      <c r="Z83" s="7">
        <f t="shared" si="13"/>
        <v>44.444444444444443</v>
      </c>
      <c r="AA83" s="7">
        <f t="shared" si="14"/>
        <v>20</v>
      </c>
      <c r="AB83" s="35">
        <f>J83-W83</f>
        <v>2</v>
      </c>
      <c r="AC83" s="20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</row>
    <row r="84" spans="1:41" ht="22.15" customHeight="1">
      <c r="A84"/>
      <c r="B84" s="8" t="s">
        <v>86</v>
      </c>
      <c r="C84" s="21"/>
      <c r="D84" s="38"/>
      <c r="E84" s="25"/>
      <c r="F84" s="25"/>
      <c r="G84" s="7" t="str">
        <f t="shared" ref="G84:G86" si="21">IFERROR((F84-$G$1)/(F84-E84)*100,"")</f>
        <v/>
      </c>
      <c r="H84" s="7">
        <f t="shared" ref="H84:H86" si="22">F84-$H$1</f>
        <v>-45999</v>
      </c>
      <c r="I84" s="21" t="s">
        <v>14</v>
      </c>
      <c r="J84" s="32">
        <v>6.2329999999999997</v>
      </c>
      <c r="K84" s="25">
        <v>45970</v>
      </c>
      <c r="L84" s="25">
        <v>46015</v>
      </c>
      <c r="M84" s="7">
        <f t="shared" si="9"/>
        <v>35.555555555555557</v>
      </c>
      <c r="N84" s="7">
        <f t="shared" si="10"/>
        <v>16</v>
      </c>
      <c r="O84" s="21"/>
      <c r="P84" s="32"/>
      <c r="Q84" s="25"/>
      <c r="R84" s="25"/>
      <c r="S84" s="7" t="str">
        <f t="shared" si="11"/>
        <v/>
      </c>
      <c r="T84" s="7">
        <f t="shared" si="12"/>
        <v>-45999</v>
      </c>
      <c r="U84" s="33">
        <f t="shared" ref="U84" si="23">J84-P84</f>
        <v>6.2329999999999997</v>
      </c>
      <c r="V84" s="21"/>
      <c r="W84" s="32"/>
      <c r="X84" s="25"/>
      <c r="Y84" s="25"/>
      <c r="Z84" s="7" t="str">
        <f t="shared" si="13"/>
        <v/>
      </c>
      <c r="AA84" s="7">
        <f t="shared" si="14"/>
        <v>-45999</v>
      </c>
      <c r="AB84" s="35">
        <f t="shared" ref="AB84:AB91" si="24">J84-W84</f>
        <v>6.2329999999999997</v>
      </c>
      <c r="AC84" s="20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</row>
    <row r="85" spans="1:41" ht="22.15" customHeight="1">
      <c r="A85"/>
      <c r="B85" s="8" t="s">
        <v>85</v>
      </c>
      <c r="C85" s="21"/>
      <c r="D85" s="34"/>
      <c r="E85" s="25"/>
      <c r="F85" s="25"/>
      <c r="G85" s="7" t="str">
        <f t="shared" si="21"/>
        <v/>
      </c>
      <c r="H85" s="7">
        <f t="shared" si="22"/>
        <v>-45999</v>
      </c>
      <c r="I85" s="21"/>
      <c r="J85" s="32"/>
      <c r="K85" s="25"/>
      <c r="L85" s="25"/>
      <c r="M85" s="7" t="str">
        <f t="shared" si="9"/>
        <v/>
      </c>
      <c r="N85" s="7">
        <f t="shared" si="10"/>
        <v>-45999</v>
      </c>
      <c r="O85" s="21" t="s">
        <v>8</v>
      </c>
      <c r="P85" s="32">
        <v>8</v>
      </c>
      <c r="Q85" s="25">
        <v>45981</v>
      </c>
      <c r="R85" s="25">
        <v>46026</v>
      </c>
      <c r="S85" s="7">
        <f t="shared" si="11"/>
        <v>60</v>
      </c>
      <c r="T85" s="7">
        <f t="shared" si="12"/>
        <v>27</v>
      </c>
      <c r="U85" s="35"/>
      <c r="V85" s="21" t="s">
        <v>8</v>
      </c>
      <c r="W85" s="32">
        <v>8</v>
      </c>
      <c r="X85" s="25">
        <v>45981</v>
      </c>
      <c r="Y85" s="25">
        <v>46026</v>
      </c>
      <c r="Z85" s="7">
        <f t="shared" si="13"/>
        <v>60</v>
      </c>
      <c r="AA85" s="7">
        <f t="shared" si="14"/>
        <v>27</v>
      </c>
      <c r="AB85" s="35">
        <f>P85-W85</f>
        <v>0</v>
      </c>
      <c r="AC85" s="20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</row>
    <row r="86" spans="1:41" ht="22.15" customHeight="1">
      <c r="A86"/>
      <c r="B86" s="8" t="s">
        <v>89</v>
      </c>
      <c r="C86" s="21"/>
      <c r="D86" s="34"/>
      <c r="E86" s="25"/>
      <c r="F86" s="25"/>
      <c r="G86" s="7" t="str">
        <f t="shared" si="21"/>
        <v/>
      </c>
      <c r="H86" s="7">
        <f t="shared" si="22"/>
        <v>-45999</v>
      </c>
      <c r="I86" s="21"/>
      <c r="J86" s="32"/>
      <c r="K86" s="25"/>
      <c r="L86" s="25"/>
      <c r="M86" s="7" t="str">
        <f t="shared" si="9"/>
        <v/>
      </c>
      <c r="N86" s="7">
        <f t="shared" si="10"/>
        <v>-45999</v>
      </c>
      <c r="O86" s="21" t="s">
        <v>14</v>
      </c>
      <c r="P86" s="32">
        <v>10.08</v>
      </c>
      <c r="Q86" s="25">
        <v>45974</v>
      </c>
      <c r="R86" s="25">
        <v>46024</v>
      </c>
      <c r="S86" s="7">
        <f t="shared" si="11"/>
        <v>50</v>
      </c>
      <c r="T86" s="7">
        <f t="shared" si="12"/>
        <v>25</v>
      </c>
      <c r="U86" s="35"/>
      <c r="V86" s="21" t="s">
        <v>14</v>
      </c>
      <c r="W86" s="32">
        <v>10.08</v>
      </c>
      <c r="X86" s="25">
        <v>45974</v>
      </c>
      <c r="Y86" s="25">
        <v>46024</v>
      </c>
      <c r="Z86" s="7">
        <f t="shared" si="13"/>
        <v>50</v>
      </c>
      <c r="AA86" s="7">
        <f t="shared" si="14"/>
        <v>25</v>
      </c>
      <c r="AB86" s="35">
        <f>P86-W86</f>
        <v>0</v>
      </c>
      <c r="AC86" s="20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</row>
    <row r="87" spans="1:41" ht="22.15" customHeight="1">
      <c r="A87"/>
      <c r="B87" s="8" t="s">
        <v>90</v>
      </c>
      <c r="C87" s="21"/>
      <c r="D87" s="34"/>
      <c r="E87" s="25"/>
      <c r="F87" s="25"/>
      <c r="G87" s="7" t="str">
        <f t="shared" ref="G87" si="25">IFERROR((F87-$G$1)/(F87-E87)*100,"")</f>
        <v/>
      </c>
      <c r="H87" s="7">
        <f t="shared" ref="H87" si="26">F87-$H$1</f>
        <v>-45999</v>
      </c>
      <c r="I87" s="21"/>
      <c r="J87" s="32"/>
      <c r="K87" s="25"/>
      <c r="L87" s="25"/>
      <c r="M87" s="7" t="str">
        <f t="shared" si="9"/>
        <v/>
      </c>
      <c r="N87" s="7">
        <f t="shared" si="10"/>
        <v>-45999</v>
      </c>
      <c r="O87" s="21"/>
      <c r="P87" s="32"/>
      <c r="Q87" s="25"/>
      <c r="R87" s="25"/>
      <c r="S87" s="7" t="str">
        <f t="shared" si="11"/>
        <v/>
      </c>
      <c r="T87" s="7">
        <f t="shared" si="12"/>
        <v>-45999</v>
      </c>
      <c r="U87" s="35"/>
      <c r="V87" s="21" t="s">
        <v>14</v>
      </c>
      <c r="W87" s="32">
        <v>32.265999999999998</v>
      </c>
      <c r="X87" s="25">
        <v>45983</v>
      </c>
      <c r="Y87" s="25">
        <v>46033</v>
      </c>
      <c r="Z87" s="7">
        <f t="shared" si="13"/>
        <v>68</v>
      </c>
      <c r="AA87" s="7">
        <f t="shared" si="14"/>
        <v>34</v>
      </c>
      <c r="AB87" s="35"/>
      <c r="AC87" s="20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</row>
    <row r="88" spans="1:41" ht="22.15" customHeight="1">
      <c r="A88"/>
      <c r="B88" s="8" t="s">
        <v>91</v>
      </c>
      <c r="C88" s="21"/>
      <c r="D88" s="34"/>
      <c r="E88" s="25"/>
      <c r="F88" s="25"/>
      <c r="G88" s="7" t="str">
        <f t="shared" ref="G88:G90" si="27">IFERROR((F88-$G$1)/(F88-E88)*100,"")</f>
        <v/>
      </c>
      <c r="H88" s="7">
        <f t="shared" ref="H88:H90" si="28">F88-$H$1</f>
        <v>-45999</v>
      </c>
      <c r="I88" s="21"/>
      <c r="J88" s="32"/>
      <c r="K88" s="25"/>
      <c r="L88" s="25"/>
      <c r="M88" s="7" t="str">
        <f t="shared" si="9"/>
        <v/>
      </c>
      <c r="N88" s="7">
        <f t="shared" si="10"/>
        <v>-45999</v>
      </c>
      <c r="O88" s="21"/>
      <c r="P88" s="32"/>
      <c r="Q88" s="25"/>
      <c r="R88" s="25"/>
      <c r="S88" s="7" t="str">
        <f t="shared" si="11"/>
        <v/>
      </c>
      <c r="T88" s="7">
        <f t="shared" si="12"/>
        <v>-45999</v>
      </c>
      <c r="U88" s="19"/>
      <c r="V88" s="21" t="s">
        <v>8</v>
      </c>
      <c r="W88" s="32">
        <v>12</v>
      </c>
      <c r="X88" s="25">
        <v>45986</v>
      </c>
      <c r="Y88" s="25">
        <v>46031</v>
      </c>
      <c r="Z88" s="7">
        <f t="shared" si="13"/>
        <v>71.111111111111114</v>
      </c>
      <c r="AA88" s="7">
        <f t="shared" si="14"/>
        <v>32</v>
      </c>
      <c r="AB88" s="35"/>
      <c r="AC88" s="20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</row>
    <row r="89" spans="1:41" ht="22.15" customHeight="1">
      <c r="A89"/>
      <c r="B89" s="8" t="s">
        <v>92</v>
      </c>
      <c r="C89" s="21"/>
      <c r="D89" s="34"/>
      <c r="E89" s="25"/>
      <c r="F89" s="25"/>
      <c r="G89" s="7" t="str">
        <f t="shared" si="27"/>
        <v/>
      </c>
      <c r="H89" s="7">
        <f t="shared" si="28"/>
        <v>-45999</v>
      </c>
      <c r="I89" s="21"/>
      <c r="J89" s="32"/>
      <c r="K89" s="25"/>
      <c r="L89" s="25"/>
      <c r="M89" s="7" t="str">
        <f t="shared" si="9"/>
        <v/>
      </c>
      <c r="N89" s="7">
        <f t="shared" si="10"/>
        <v>-45999</v>
      </c>
      <c r="O89" s="21"/>
      <c r="P89" s="32"/>
      <c r="Q89" s="25"/>
      <c r="R89" s="25"/>
      <c r="S89" s="7" t="str">
        <f t="shared" si="11"/>
        <v/>
      </c>
      <c r="T89" s="7">
        <f t="shared" si="12"/>
        <v>-45999</v>
      </c>
      <c r="U89" s="19"/>
      <c r="V89" s="21" t="s">
        <v>8</v>
      </c>
      <c r="W89" s="32">
        <v>3</v>
      </c>
      <c r="X89" s="25">
        <v>45986</v>
      </c>
      <c r="Y89" s="25">
        <v>46031</v>
      </c>
      <c r="Z89" s="7">
        <f t="shared" si="13"/>
        <v>71.111111111111114</v>
      </c>
      <c r="AA89" s="7">
        <f t="shared" si="14"/>
        <v>32</v>
      </c>
      <c r="AB89" s="35"/>
      <c r="AC89" s="20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</row>
    <row r="90" spans="1:41" ht="22.15" customHeight="1">
      <c r="A90"/>
      <c r="B90" s="8"/>
      <c r="C90" s="21"/>
      <c r="D90" s="34"/>
      <c r="E90" s="25"/>
      <c r="F90" s="25"/>
      <c r="G90" s="7" t="str">
        <f t="shared" si="27"/>
        <v/>
      </c>
      <c r="H90" s="7">
        <f t="shared" si="28"/>
        <v>-45999</v>
      </c>
      <c r="I90" s="21"/>
      <c r="J90" s="32"/>
      <c r="K90" s="25"/>
      <c r="L90" s="25"/>
      <c r="M90" s="7" t="str">
        <f t="shared" si="9"/>
        <v/>
      </c>
      <c r="N90" s="7">
        <f t="shared" si="10"/>
        <v>-45999</v>
      </c>
      <c r="O90" s="21"/>
      <c r="P90" s="32"/>
      <c r="Q90" s="25"/>
      <c r="R90" s="25"/>
      <c r="S90" s="7" t="str">
        <f t="shared" si="11"/>
        <v/>
      </c>
      <c r="T90" s="7">
        <f t="shared" si="12"/>
        <v>-45999</v>
      </c>
      <c r="U90" s="19"/>
      <c r="V90" s="21"/>
      <c r="W90" s="32"/>
      <c r="X90" s="25"/>
      <c r="Y90" s="25"/>
      <c r="Z90" s="7" t="str">
        <f t="shared" si="13"/>
        <v/>
      </c>
      <c r="AA90" s="7">
        <f t="shared" si="14"/>
        <v>-45999</v>
      </c>
      <c r="AB90" s="35">
        <f t="shared" si="24"/>
        <v>0</v>
      </c>
      <c r="AC90" s="20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</row>
    <row r="91" spans="1:41" ht="22.15" customHeight="1">
      <c r="A91"/>
      <c r="B91" s="8"/>
      <c r="C91" s="21"/>
      <c r="D91" s="34"/>
      <c r="E91" s="25"/>
      <c r="F91" s="25"/>
      <c r="G91" s="7" t="str">
        <f t="shared" ref="G91:G103" si="29">IFERROR((F91-$G$1)/(F91-E91)*100,"")</f>
        <v/>
      </c>
      <c r="H91" s="7">
        <f t="shared" ref="H91:H103" si="30">F91-$H$1</f>
        <v>-45999</v>
      </c>
      <c r="I91" s="21"/>
      <c r="J91" s="32"/>
      <c r="K91" s="25"/>
      <c r="L91" s="25"/>
      <c r="M91" s="7" t="str">
        <f t="shared" si="9"/>
        <v/>
      </c>
      <c r="N91" s="7">
        <f t="shared" si="10"/>
        <v>-45999</v>
      </c>
      <c r="O91" s="21"/>
      <c r="P91" s="32"/>
      <c r="Q91" s="25"/>
      <c r="R91" s="25"/>
      <c r="S91" s="7" t="str">
        <f t="shared" si="11"/>
        <v/>
      </c>
      <c r="T91" s="7">
        <f t="shared" si="12"/>
        <v>-45999</v>
      </c>
      <c r="U91" s="19"/>
      <c r="V91" s="21"/>
      <c r="W91" s="32"/>
      <c r="X91" s="25"/>
      <c r="Y91" s="25"/>
      <c r="Z91" s="7" t="str">
        <f t="shared" si="13"/>
        <v/>
      </c>
      <c r="AA91" s="7">
        <f t="shared" si="14"/>
        <v>-45999</v>
      </c>
      <c r="AB91" s="35">
        <f t="shared" si="24"/>
        <v>0</v>
      </c>
      <c r="AC91" s="20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</row>
    <row r="92" spans="1:41" ht="22.15" customHeight="1">
      <c r="A92"/>
      <c r="B92" s="8"/>
      <c r="C92" s="21"/>
      <c r="D92" s="34"/>
      <c r="E92" s="25"/>
      <c r="F92" s="25"/>
      <c r="G92" s="7" t="str">
        <f t="shared" si="29"/>
        <v/>
      </c>
      <c r="H92" s="7">
        <f t="shared" si="30"/>
        <v>-45999</v>
      </c>
      <c r="I92" s="21"/>
      <c r="J92" s="32"/>
      <c r="K92" s="25"/>
      <c r="L92" s="25"/>
      <c r="M92" s="7" t="str">
        <f t="shared" si="9"/>
        <v/>
      </c>
      <c r="N92" s="7">
        <f t="shared" si="10"/>
        <v>-45999</v>
      </c>
      <c r="O92" s="21"/>
      <c r="P92" s="32"/>
      <c r="Q92" s="25"/>
      <c r="R92" s="25"/>
      <c r="S92" s="7" t="str">
        <f t="shared" si="11"/>
        <v/>
      </c>
      <c r="T92" s="7">
        <f t="shared" si="12"/>
        <v>-45999</v>
      </c>
      <c r="U92" s="19"/>
      <c r="V92" s="21"/>
      <c r="W92" s="32"/>
      <c r="X92" s="25"/>
      <c r="Y92" s="25"/>
      <c r="Z92" s="7" t="str">
        <f t="shared" si="13"/>
        <v/>
      </c>
      <c r="AA92" s="7"/>
      <c r="AB92" s="19"/>
      <c r="AC92" s="20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</row>
    <row r="93" spans="1:41" ht="22.15" customHeight="1">
      <c r="A93"/>
      <c r="B93" s="8"/>
      <c r="C93" s="21"/>
      <c r="D93" s="34"/>
      <c r="E93" s="25"/>
      <c r="F93" s="25"/>
      <c r="G93" s="7" t="str">
        <f t="shared" si="29"/>
        <v/>
      </c>
      <c r="H93" s="7">
        <f t="shared" si="30"/>
        <v>-45999</v>
      </c>
      <c r="I93" s="21"/>
      <c r="J93" s="32"/>
      <c r="K93" s="25"/>
      <c r="L93" s="25"/>
      <c r="M93" s="7" t="str">
        <f t="shared" si="9"/>
        <v/>
      </c>
      <c r="N93" s="7">
        <f t="shared" si="10"/>
        <v>-45999</v>
      </c>
      <c r="O93" s="21"/>
      <c r="P93" s="32"/>
      <c r="Q93" s="25"/>
      <c r="R93" s="25"/>
      <c r="S93" s="7" t="str">
        <f t="shared" si="11"/>
        <v/>
      </c>
      <c r="T93" s="7">
        <f t="shared" si="12"/>
        <v>-45999</v>
      </c>
      <c r="U93" s="19"/>
      <c r="V93" s="21"/>
      <c r="W93" s="32"/>
      <c r="X93" s="25"/>
      <c r="Y93" s="25"/>
      <c r="Z93" s="7" t="str">
        <f t="shared" si="13"/>
        <v/>
      </c>
      <c r="AA93" s="7"/>
      <c r="AB93" s="19"/>
      <c r="AC93" s="20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</row>
    <row r="94" spans="1:41" ht="22.15" customHeight="1">
      <c r="A94"/>
      <c r="B94" s="8"/>
      <c r="C94" s="39"/>
      <c r="D94" s="40"/>
      <c r="E94" s="41"/>
      <c r="F94" s="41"/>
      <c r="G94" s="9" t="str">
        <f t="shared" si="29"/>
        <v/>
      </c>
      <c r="H94" s="9">
        <f t="shared" si="30"/>
        <v>-45999</v>
      </c>
      <c r="I94" s="39"/>
      <c r="J94" s="42"/>
      <c r="K94" s="41"/>
      <c r="L94" s="41"/>
      <c r="M94" s="9" t="str">
        <f t="shared" si="9"/>
        <v/>
      </c>
      <c r="N94" s="9">
        <f t="shared" si="10"/>
        <v>-45999</v>
      </c>
      <c r="O94" s="39"/>
      <c r="P94" s="42"/>
      <c r="Q94" s="41"/>
      <c r="R94" s="41"/>
      <c r="S94" s="9" t="str">
        <f t="shared" si="11"/>
        <v/>
      </c>
      <c r="T94" s="9">
        <f t="shared" si="12"/>
        <v>-45999</v>
      </c>
      <c r="U94" s="19"/>
      <c r="V94" s="39"/>
      <c r="W94" s="42"/>
      <c r="X94" s="41"/>
      <c r="Y94" s="41"/>
      <c r="Z94" s="9" t="str">
        <f t="shared" si="13"/>
        <v/>
      </c>
      <c r="AA94" s="9"/>
      <c r="AB94" s="19"/>
      <c r="AC94" s="20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</row>
    <row r="95" spans="1:41" ht="22.15" customHeight="1">
      <c r="A95"/>
      <c r="B95" s="8"/>
      <c r="C95" s="43"/>
      <c r="D95" s="44"/>
      <c r="E95" s="41"/>
      <c r="F95" s="41"/>
      <c r="G95" s="9" t="str">
        <f t="shared" si="29"/>
        <v/>
      </c>
      <c r="H95" s="9">
        <f t="shared" si="30"/>
        <v>-45999</v>
      </c>
      <c r="I95" s="43"/>
      <c r="J95" s="45"/>
      <c r="K95" s="41"/>
      <c r="L95" s="41"/>
      <c r="M95" s="9" t="str">
        <f t="shared" si="9"/>
        <v/>
      </c>
      <c r="N95" s="9">
        <f t="shared" si="10"/>
        <v>-45999</v>
      </c>
      <c r="O95" s="43"/>
      <c r="P95" s="45"/>
      <c r="Q95" s="41"/>
      <c r="R95" s="41"/>
      <c r="S95" s="9" t="str">
        <f t="shared" si="11"/>
        <v/>
      </c>
      <c r="T95" s="9">
        <f t="shared" si="12"/>
        <v>-45999</v>
      </c>
      <c r="U95" s="19"/>
      <c r="V95" s="43"/>
      <c r="W95" s="45"/>
      <c r="X95" s="41"/>
      <c r="Y95" s="41"/>
      <c r="Z95" s="9" t="str">
        <f t="shared" si="13"/>
        <v/>
      </c>
      <c r="AA95" s="9"/>
      <c r="AB95" s="19"/>
      <c r="AC95" s="20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</row>
    <row r="96" spans="1:41" ht="22.15" customHeight="1">
      <c r="A96"/>
      <c r="B96" s="8"/>
      <c r="C96" s="46"/>
      <c r="D96" s="47"/>
      <c r="E96" s="41"/>
      <c r="F96" s="41"/>
      <c r="G96" s="9" t="str">
        <f t="shared" si="29"/>
        <v/>
      </c>
      <c r="H96" s="9">
        <f t="shared" si="30"/>
        <v>-45999</v>
      </c>
      <c r="I96" s="46"/>
      <c r="J96" s="48"/>
      <c r="K96" s="41"/>
      <c r="L96" s="41"/>
      <c r="M96" s="9" t="str">
        <f t="shared" si="9"/>
        <v/>
      </c>
      <c r="N96" s="9">
        <f t="shared" si="10"/>
        <v>-45999</v>
      </c>
      <c r="O96" s="46"/>
      <c r="P96" s="48"/>
      <c r="Q96" s="41"/>
      <c r="R96" s="41"/>
      <c r="S96" s="9" t="str">
        <f t="shared" si="11"/>
        <v/>
      </c>
      <c r="T96" s="9">
        <f t="shared" si="12"/>
        <v>-45999</v>
      </c>
      <c r="U96" s="19"/>
      <c r="V96" s="46"/>
      <c r="W96" s="48"/>
      <c r="X96" s="41"/>
      <c r="Y96" s="41"/>
      <c r="Z96" s="9" t="str">
        <f t="shared" si="13"/>
        <v/>
      </c>
      <c r="AA96" s="9"/>
      <c r="AB96" s="19"/>
      <c r="AC96" s="20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</row>
    <row r="97" spans="1:41" ht="22.15" customHeight="1">
      <c r="A97"/>
      <c r="B97" s="8"/>
      <c r="C97" s="49"/>
      <c r="D97" s="50"/>
      <c r="E97" s="41"/>
      <c r="F97" s="41"/>
      <c r="G97" s="9" t="str">
        <f t="shared" si="29"/>
        <v/>
      </c>
      <c r="H97" s="9">
        <f t="shared" si="30"/>
        <v>-45999</v>
      </c>
      <c r="I97" s="49"/>
      <c r="J97" s="51"/>
      <c r="K97" s="41"/>
      <c r="L97" s="41"/>
      <c r="M97" s="9" t="str">
        <f t="shared" si="9"/>
        <v/>
      </c>
      <c r="N97" s="9">
        <f t="shared" si="10"/>
        <v>-45999</v>
      </c>
      <c r="O97" s="49"/>
      <c r="P97" s="51"/>
      <c r="Q97" s="41"/>
      <c r="R97" s="41"/>
      <c r="S97" s="9" t="str">
        <f t="shared" si="11"/>
        <v/>
      </c>
      <c r="T97" s="9">
        <f t="shared" si="12"/>
        <v>-45999</v>
      </c>
      <c r="U97" s="19"/>
      <c r="V97" s="49"/>
      <c r="W97" s="51"/>
      <c r="X97" s="41"/>
      <c r="Y97" s="41"/>
      <c r="Z97" s="9" t="str">
        <f t="shared" si="13"/>
        <v/>
      </c>
      <c r="AA97" s="9"/>
      <c r="AB97" s="19"/>
      <c r="AC97" s="20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</row>
    <row r="98" spans="1:41" ht="22.15" customHeight="1">
      <c r="A98"/>
      <c r="B98" s="8"/>
      <c r="C98" s="46"/>
      <c r="D98" s="47"/>
      <c r="E98" s="41"/>
      <c r="F98" s="41"/>
      <c r="G98" s="9" t="str">
        <f t="shared" si="29"/>
        <v/>
      </c>
      <c r="H98" s="9">
        <f t="shared" si="30"/>
        <v>-45999</v>
      </c>
      <c r="I98" s="46"/>
      <c r="J98" s="48"/>
      <c r="K98" s="41"/>
      <c r="L98" s="41"/>
      <c r="M98" s="9" t="str">
        <f t="shared" si="9"/>
        <v/>
      </c>
      <c r="N98" s="9">
        <f t="shared" si="10"/>
        <v>-45999</v>
      </c>
      <c r="O98" s="46"/>
      <c r="P98" s="48"/>
      <c r="Q98" s="41"/>
      <c r="R98" s="41"/>
      <c r="S98" s="9" t="str">
        <f t="shared" si="11"/>
        <v/>
      </c>
      <c r="T98" s="9">
        <f t="shared" si="12"/>
        <v>-45999</v>
      </c>
      <c r="U98" s="19"/>
      <c r="V98" s="46"/>
      <c r="W98" s="48"/>
      <c r="X98" s="41"/>
      <c r="Y98" s="41"/>
      <c r="Z98" s="9" t="str">
        <f t="shared" si="13"/>
        <v/>
      </c>
      <c r="AA98" s="9"/>
      <c r="AB98" s="19"/>
      <c r="AC98" s="20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</row>
    <row r="99" spans="1:41" ht="22.15" customHeight="1">
      <c r="A99"/>
      <c r="B99" s="8"/>
      <c r="C99" s="49"/>
      <c r="D99" s="50"/>
      <c r="E99" s="41"/>
      <c r="F99" s="41"/>
      <c r="G99" s="9" t="str">
        <f t="shared" si="29"/>
        <v/>
      </c>
      <c r="H99" s="9">
        <f t="shared" si="30"/>
        <v>-45999</v>
      </c>
      <c r="I99" s="49"/>
      <c r="J99" s="51"/>
      <c r="K99" s="41"/>
      <c r="L99" s="41"/>
      <c r="M99" s="9" t="str">
        <f t="shared" si="9"/>
        <v/>
      </c>
      <c r="N99" s="9">
        <f t="shared" si="10"/>
        <v>-45999</v>
      </c>
      <c r="O99" s="49"/>
      <c r="P99" s="51"/>
      <c r="Q99" s="41"/>
      <c r="R99" s="41"/>
      <c r="S99" s="9" t="str">
        <f t="shared" si="11"/>
        <v/>
      </c>
      <c r="T99" s="9">
        <f t="shared" si="12"/>
        <v>-45999</v>
      </c>
      <c r="U99" s="19"/>
      <c r="V99" s="49"/>
      <c r="W99" s="51"/>
      <c r="X99" s="41"/>
      <c r="Y99" s="41"/>
      <c r="Z99" s="9" t="str">
        <f t="shared" si="13"/>
        <v/>
      </c>
      <c r="AA99" s="9"/>
      <c r="AB99" s="19"/>
      <c r="AC99" s="20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</row>
    <row r="100" spans="1:41" ht="22.15" customHeight="1">
      <c r="A100"/>
      <c r="B100" s="8"/>
      <c r="C100" s="46"/>
      <c r="D100" s="47"/>
      <c r="E100" s="41"/>
      <c r="F100" s="41"/>
      <c r="G100" s="9" t="str">
        <f t="shared" si="29"/>
        <v/>
      </c>
      <c r="H100" s="9">
        <f t="shared" si="30"/>
        <v>-45999</v>
      </c>
      <c r="I100" s="46"/>
      <c r="J100" s="48"/>
      <c r="K100" s="41"/>
      <c r="L100" s="41"/>
      <c r="M100" s="9" t="str">
        <f t="shared" si="9"/>
        <v/>
      </c>
      <c r="N100" s="9">
        <f t="shared" si="10"/>
        <v>-45999</v>
      </c>
      <c r="O100" s="46"/>
      <c r="P100" s="48"/>
      <c r="Q100" s="41"/>
      <c r="R100" s="41"/>
      <c r="S100" s="9" t="str">
        <f t="shared" si="11"/>
        <v/>
      </c>
      <c r="T100" s="9">
        <f t="shared" si="12"/>
        <v>-45999</v>
      </c>
      <c r="U100" s="19"/>
      <c r="V100" s="46"/>
      <c r="W100" s="48"/>
      <c r="X100" s="41"/>
      <c r="Y100" s="41"/>
      <c r="Z100" s="9" t="str">
        <f t="shared" si="13"/>
        <v/>
      </c>
      <c r="AA100" s="9"/>
      <c r="AB100" s="19"/>
      <c r="AC100" s="20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</row>
    <row r="101" spans="1:41" ht="22.15" customHeight="1">
      <c r="A101"/>
      <c r="B101" s="8"/>
      <c r="C101" s="49"/>
      <c r="D101" s="50"/>
      <c r="E101" s="41"/>
      <c r="F101" s="41"/>
      <c r="G101" s="9" t="str">
        <f t="shared" si="29"/>
        <v/>
      </c>
      <c r="H101" s="9">
        <f t="shared" si="30"/>
        <v>-45999</v>
      </c>
      <c r="I101" s="49"/>
      <c r="J101" s="51"/>
      <c r="K101" s="41"/>
      <c r="L101" s="41"/>
      <c r="M101" s="9" t="str">
        <f t="shared" si="9"/>
        <v/>
      </c>
      <c r="N101" s="9">
        <f t="shared" si="10"/>
        <v>-45999</v>
      </c>
      <c r="O101" s="49"/>
      <c r="P101" s="51"/>
      <c r="Q101" s="41"/>
      <c r="R101" s="41"/>
      <c r="S101" s="9" t="str">
        <f t="shared" si="11"/>
        <v/>
      </c>
      <c r="T101" s="9">
        <f t="shared" si="12"/>
        <v>-45999</v>
      </c>
      <c r="U101" s="19"/>
      <c r="V101" s="49"/>
      <c r="W101" s="51"/>
      <c r="X101" s="41"/>
      <c r="Y101" s="41"/>
      <c r="Z101" s="9" t="str">
        <f t="shared" si="13"/>
        <v/>
      </c>
      <c r="AA101" s="9"/>
      <c r="AB101" s="19"/>
      <c r="AC101" s="20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</row>
    <row r="102" spans="1:41" ht="22.15" customHeight="1">
      <c r="A102"/>
      <c r="B102" s="8"/>
      <c r="C102" s="52"/>
      <c r="D102" s="53"/>
      <c r="E102" s="41"/>
      <c r="F102" s="41"/>
      <c r="G102" s="9" t="str">
        <f t="shared" si="29"/>
        <v/>
      </c>
      <c r="H102" s="9">
        <f t="shared" si="30"/>
        <v>-45999</v>
      </c>
      <c r="I102" s="52"/>
      <c r="J102" s="54"/>
      <c r="K102" s="41"/>
      <c r="L102" s="41"/>
      <c r="M102" s="9" t="str">
        <f t="shared" si="9"/>
        <v/>
      </c>
      <c r="N102" s="9">
        <f t="shared" si="10"/>
        <v>-45999</v>
      </c>
      <c r="O102" s="52"/>
      <c r="P102" s="54"/>
      <c r="Q102" s="41"/>
      <c r="R102" s="41"/>
      <c r="S102" s="9" t="str">
        <f t="shared" si="11"/>
        <v/>
      </c>
      <c r="T102" s="9">
        <f t="shared" si="12"/>
        <v>-45999</v>
      </c>
      <c r="U102" s="19"/>
      <c r="V102" s="52"/>
      <c r="W102" s="54"/>
      <c r="X102" s="41"/>
      <c r="Y102" s="41"/>
      <c r="Z102" s="9" t="str">
        <f t="shared" si="13"/>
        <v/>
      </c>
      <c r="AA102" s="9"/>
      <c r="AB102" s="19"/>
      <c r="AC102" s="20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</row>
    <row r="103" spans="1:41" ht="22.15" customHeight="1">
      <c r="A103"/>
      <c r="B103" s="8"/>
      <c r="C103" s="46"/>
      <c r="D103" s="55"/>
      <c r="E103" s="56"/>
      <c r="F103" s="41"/>
      <c r="G103" s="9" t="str">
        <f t="shared" si="29"/>
        <v/>
      </c>
      <c r="H103" s="9">
        <f t="shared" si="30"/>
        <v>-45999</v>
      </c>
      <c r="I103" s="46"/>
      <c r="J103" s="57"/>
      <c r="K103" s="56"/>
      <c r="L103" s="41"/>
      <c r="M103" s="9" t="str">
        <f t="shared" ref="M103" si="31">IFERROR((L103-$G$1)/(L103-K103)*100,"")</f>
        <v/>
      </c>
      <c r="N103" s="9">
        <f t="shared" ref="N103" si="32">L103-$H$1</f>
        <v>-45999</v>
      </c>
      <c r="O103" s="46"/>
      <c r="P103" s="57"/>
      <c r="Q103" s="56"/>
      <c r="R103" s="41"/>
      <c r="S103" s="9" t="str">
        <f t="shared" ref="S103" si="33">IFERROR((R103-$G$1)/(R103-Q103)*100,"")</f>
        <v/>
      </c>
      <c r="T103" s="9">
        <f t="shared" ref="T103" si="34">R103-$H$1</f>
        <v>-45999</v>
      </c>
      <c r="U103" s="19"/>
      <c r="V103" s="46"/>
      <c r="W103" s="57"/>
      <c r="X103" s="56"/>
      <c r="Y103" s="41"/>
      <c r="Z103" s="9" t="str">
        <f t="shared" ref="Z103" si="35">IFERROR((Y103-$G$1)/(Y103-X103)*100,"")</f>
        <v/>
      </c>
      <c r="AA103" s="9"/>
      <c r="AB103" s="19"/>
      <c r="AC103" s="20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</row>
    <row r="104" spans="1:41" ht="22.15" customHeight="1">
      <c r="A104"/>
      <c r="B104"/>
      <c r="C104" s="58"/>
      <c r="D104" s="58"/>
      <c r="E104" s="58"/>
      <c r="F104" s="58"/>
      <c r="G104" s="58"/>
      <c r="H104" s="58"/>
      <c r="I104" s="58"/>
      <c r="J104" s="59"/>
      <c r="K104" s="58"/>
      <c r="L104" s="58"/>
      <c r="M104" s="58"/>
      <c r="N104" s="58"/>
      <c r="O104" s="58"/>
      <c r="P104" s="59"/>
      <c r="Q104" s="58"/>
      <c r="R104" s="58"/>
      <c r="S104" s="58"/>
      <c r="T104" s="58"/>
      <c r="U104" s="19"/>
      <c r="V104" s="58"/>
      <c r="W104" s="59"/>
      <c r="X104" s="58"/>
      <c r="Y104" s="58"/>
      <c r="Z104" s="58"/>
      <c r="AA104" s="58"/>
      <c r="AB104" s="19"/>
      <c r="AC104" s="20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</row>
    <row r="105" spans="1:41" ht="22.15" customHeight="1">
      <c r="A105"/>
      <c r="B105"/>
      <c r="C105" s="58"/>
      <c r="D105" s="58"/>
      <c r="E105" s="58"/>
      <c r="F105" s="58"/>
      <c r="G105" s="58"/>
      <c r="H105" s="58"/>
      <c r="I105" s="58"/>
      <c r="J105" s="59"/>
      <c r="K105" s="58"/>
      <c r="L105" s="58"/>
      <c r="M105" s="58"/>
      <c r="N105" s="58"/>
      <c r="O105" s="58"/>
      <c r="P105" s="59"/>
      <c r="Q105" s="58"/>
      <c r="R105" s="58"/>
      <c r="S105" s="58"/>
      <c r="T105" s="58"/>
      <c r="U105" s="19"/>
      <c r="V105" s="58"/>
      <c r="W105" s="59"/>
      <c r="X105" s="58"/>
      <c r="Y105" s="58"/>
      <c r="Z105" s="58"/>
      <c r="AA105" s="58"/>
      <c r="AB105" s="19"/>
      <c r="AC105" s="20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</row>
    <row r="106" spans="1:41" ht="22.15" customHeight="1">
      <c r="A106"/>
      <c r="B106"/>
      <c r="C106" s="58"/>
      <c r="D106" s="58"/>
      <c r="E106" s="58"/>
      <c r="F106" s="58"/>
      <c r="G106" s="58"/>
      <c r="H106" s="58"/>
      <c r="I106" s="58"/>
      <c r="J106" s="59"/>
      <c r="K106" s="58"/>
      <c r="L106" s="58"/>
      <c r="M106" s="58"/>
      <c r="N106" s="58"/>
      <c r="O106" s="58"/>
      <c r="P106" s="59"/>
      <c r="Q106" s="58"/>
      <c r="R106" s="58"/>
      <c r="S106" s="58"/>
      <c r="T106" s="58"/>
      <c r="U106" s="19"/>
      <c r="V106" s="58"/>
      <c r="W106" s="59"/>
      <c r="X106" s="58"/>
      <c r="Y106" s="58"/>
      <c r="Z106" s="58"/>
      <c r="AA106" s="58"/>
      <c r="AB106" s="19"/>
      <c r="AC106" s="20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</row>
    <row r="107" spans="1:41" ht="22.15" customHeight="1">
      <c r="A107"/>
      <c r="B107"/>
      <c r="C107" s="58"/>
      <c r="D107" s="58"/>
      <c r="E107" s="58"/>
      <c r="F107" s="58"/>
      <c r="G107" s="58"/>
      <c r="H107" s="58"/>
      <c r="I107" s="58"/>
      <c r="J107" s="59"/>
      <c r="K107" s="58"/>
      <c r="L107" s="58"/>
      <c r="M107" s="58"/>
      <c r="N107" s="58"/>
      <c r="O107" s="58"/>
      <c r="P107" s="59"/>
      <c r="Q107" s="58"/>
      <c r="R107" s="58"/>
      <c r="S107" s="58"/>
      <c r="T107" s="58"/>
      <c r="U107" s="60"/>
      <c r="V107" s="58"/>
      <c r="W107" s="59"/>
      <c r="X107" s="58"/>
      <c r="Y107" s="58"/>
      <c r="Z107" s="58"/>
      <c r="AA107" s="58"/>
      <c r="AB107" s="60"/>
    </row>
    <row r="108" spans="1:41" ht="22.15" customHeight="1">
      <c r="A108"/>
      <c r="B108"/>
      <c r="C108" s="58"/>
      <c r="D108" s="58"/>
      <c r="E108" s="58"/>
      <c r="F108" s="58"/>
      <c r="G108" s="58"/>
      <c r="H108" s="58"/>
      <c r="I108" s="58"/>
      <c r="J108" s="59"/>
      <c r="K108" s="58"/>
      <c r="L108" s="58"/>
      <c r="M108" s="58"/>
      <c r="N108" s="58"/>
      <c r="O108" s="58"/>
      <c r="P108" s="59"/>
      <c r="Q108" s="58"/>
      <c r="R108" s="58"/>
      <c r="S108" s="58"/>
      <c r="T108" s="58"/>
      <c r="U108" s="60"/>
      <c r="V108" s="58"/>
      <c r="W108" s="59"/>
      <c r="X108" s="58"/>
      <c r="Y108" s="58"/>
      <c r="Z108" s="58"/>
      <c r="AA108" s="58"/>
      <c r="AB108" s="60"/>
    </row>
    <row r="109" spans="1:41" ht="22.15" customHeight="1">
      <c r="A109"/>
      <c r="B109"/>
      <c r="C109" s="58"/>
      <c r="D109" s="58"/>
      <c r="E109" s="58"/>
      <c r="F109" s="58"/>
      <c r="G109" s="58"/>
      <c r="H109" s="58"/>
      <c r="I109" s="58"/>
      <c r="J109" s="59"/>
      <c r="K109" s="58"/>
      <c r="L109" s="58"/>
      <c r="M109" s="58"/>
      <c r="N109" s="58"/>
      <c r="O109" s="58"/>
      <c r="P109" s="59"/>
      <c r="Q109" s="58"/>
      <c r="R109" s="58"/>
      <c r="S109" s="58"/>
      <c r="T109" s="58"/>
      <c r="V109" s="58"/>
      <c r="W109" s="59"/>
      <c r="X109" s="58"/>
      <c r="Y109" s="58"/>
      <c r="Z109" s="58"/>
      <c r="AA109" s="58"/>
    </row>
    <row r="110" spans="1:41" ht="22.15" customHeight="1">
      <c r="A110"/>
      <c r="B110"/>
      <c r="C110" s="58"/>
      <c r="D110" s="58"/>
      <c r="E110" s="58"/>
      <c r="F110" s="58"/>
      <c r="I110" s="58"/>
      <c r="J110" s="59"/>
      <c r="K110" s="58"/>
      <c r="L110" s="58"/>
      <c r="O110" s="58"/>
      <c r="P110" s="59"/>
      <c r="Q110" s="58"/>
      <c r="R110" s="58"/>
      <c r="V110" s="58"/>
      <c r="W110" s="59"/>
      <c r="X110" s="58"/>
      <c r="Y110" s="58"/>
    </row>
  </sheetData>
  <phoneticPr fontId="9" type="noConversion"/>
  <conditionalFormatting sqref="G3:H103 M3:N103 S3:T103 Z3:AA103">
    <cfRule type="cellIs" dxfId="56" priority="46" stopIfTrue="1" operator="equal">
      <formula>50</formula>
    </cfRule>
    <cfRule type="cellIs" dxfId="55" priority="47" stopIfTrue="1" operator="lessThan">
      <formula>50</formula>
    </cfRule>
    <cfRule type="cellIs" dxfId="54" priority="48" stopIfTrue="1" operator="greaterThan">
      <formula>50</formula>
    </cfRule>
  </conditionalFormatting>
  <conditionalFormatting sqref="H3:H103 N3:N103 T3:T103">
    <cfRule type="cellIs" dxfId="53" priority="40" stopIfTrue="1" operator="between">
      <formula>15</formula>
      <formula>20</formula>
    </cfRule>
    <cfRule type="cellIs" dxfId="52" priority="41" stopIfTrue="1" operator="lessThan">
      <formula>15</formula>
    </cfRule>
    <cfRule type="cellIs" dxfId="51" priority="42" stopIfTrue="1" operator="greaterThan">
      <formula>20</formula>
    </cfRule>
    <cfRule type="cellIs" dxfId="50" priority="43" stopIfTrue="1" operator="between">
      <formula>15</formula>
      <formula>20</formula>
    </cfRule>
    <cfRule type="cellIs" dxfId="49" priority="44" stopIfTrue="1" operator="lessThan">
      <formula>15</formula>
    </cfRule>
    <cfRule type="cellIs" dxfId="48" priority="45" stopIfTrue="1" operator="greaterThan">
      <formula>20</formula>
    </cfRule>
  </conditionalFormatting>
  <conditionalFormatting sqref="AA71:AA91">
    <cfRule type="cellIs" dxfId="44" priority="7" stopIfTrue="1" operator="between">
      <formula>15</formula>
      <formula>20</formula>
    </cfRule>
    <cfRule type="cellIs" dxfId="43" priority="8" stopIfTrue="1" operator="lessThan">
      <formula>15</formula>
    </cfRule>
    <cfRule type="cellIs" dxfId="42" priority="9" stopIfTrue="1" operator="greaterThan">
      <formula>20</formula>
    </cfRule>
    <cfRule type="cellIs" dxfId="41" priority="10" stopIfTrue="1" operator="between">
      <formula>15</formula>
      <formula>20</formula>
    </cfRule>
    <cfRule type="cellIs" dxfId="40" priority="11" stopIfTrue="1" operator="lessThan">
      <formula>15</formula>
    </cfRule>
    <cfRule type="cellIs" dxfId="39" priority="12" stopIfTrue="1" operator="greaterThan">
      <formula>20</formula>
    </cfRule>
  </conditionalFormatting>
  <conditionalFormatting sqref="AA71:AA91">
    <cfRule type="cellIs" dxfId="29" priority="1" stopIfTrue="1" operator="between">
      <formula>15</formula>
      <formula>20</formula>
    </cfRule>
    <cfRule type="cellIs" dxfId="28" priority="2" stopIfTrue="1" operator="lessThan">
      <formula>15</formula>
    </cfRule>
    <cfRule type="cellIs" dxfId="27" priority="3" stopIfTrue="1" operator="greaterThan">
      <formula>20</formula>
    </cfRule>
    <cfRule type="cellIs" dxfId="26" priority="4" stopIfTrue="1" operator="between">
      <formula>15</formula>
      <formula>20</formula>
    </cfRule>
    <cfRule type="cellIs" dxfId="25" priority="5" stopIfTrue="1" operator="lessThan">
      <formula>15</formula>
    </cfRule>
    <cfRule type="cellIs" dxfId="24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2025-12-19T09:57:00Z</dcterms:modified>
</cp:coreProperties>
</file>