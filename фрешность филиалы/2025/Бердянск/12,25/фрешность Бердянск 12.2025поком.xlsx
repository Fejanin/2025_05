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8" i="1"/>
  <c r="O72"/>
  <c r="O73"/>
  <c r="O74"/>
  <c r="O75"/>
  <c r="O76"/>
  <c r="O77"/>
  <c r="O79"/>
  <c r="O80"/>
  <c r="O81"/>
  <c r="O83"/>
  <c r="O71"/>
  <c r="N1" l="1"/>
  <c r="M1"/>
  <c r="G71" l="1"/>
  <c r="M94"/>
  <c r="M92"/>
  <c r="M90"/>
  <c r="M88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M18"/>
  <c r="M16"/>
  <c r="M14"/>
  <c r="M12"/>
  <c r="M10"/>
  <c r="M9"/>
  <c r="M8"/>
  <c r="M7"/>
  <c r="M6"/>
  <c r="M5"/>
  <c r="M4"/>
  <c r="M3"/>
  <c r="M93"/>
  <c r="M91"/>
  <c r="M89"/>
  <c r="M87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7"/>
  <c r="M15"/>
  <c r="M13"/>
  <c r="M11"/>
  <c r="H71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<sst xmlns="http://schemas.openxmlformats.org/spreadsheetml/2006/main" count="247" uniqueCount="90">
  <si>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</si>
  <si>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</si>
  <si>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</si>
  <si>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</si>
  <si>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</si>
  <si>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</si>
  <si>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</si>
  <si>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</si>
  <si>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</si>
  <si>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</si>
  <si>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</si>
  <si>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</si>
  <si>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</si>
  <si>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</si>
  <si>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</si>
  <si>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</si>
  <si>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</si>
  <si>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</si>
  <si>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</si>
  <si>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</si>
  <si>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</si>
  <si>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</si>
  <si>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</si>
  <si>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</si>
  <si>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</si>
  <si>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</si>
  <si>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</si>
  <si>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</si>
  <si>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</si>
  <si>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</si>
  <si>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</si>
  <si>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</si>
  <si>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</si>
  <si>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</si>
  <si>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</si>
  <si>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</si>
  <si>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</si>
  <si>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</si>
  <si>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</si>
  <si>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</si>
  <si>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</si>
  <si>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</si>
  <si>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</si>
  <si>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</si>
  <si>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</si>
  <si>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</si>
  <si>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</si>
  <si>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</si>
  <si>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</si>
  <si>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</si>
  <si>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</si>
  <si>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</si>
  <si>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</si>
  <si>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</si>
  <si>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</si>
  <si>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</si>
  <si>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</si>
  <si>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</si>
  <si>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</si>
  <si>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</si>
  <si>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</si>
  <si>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</si>
  <si>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</si>
  <si>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</si>
  <si>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</si>
  <si>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</si>
  <si>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</si>
  <si>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</si>
  <si>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</si>
  <si>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</si>
  <si>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</si>
  <si>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</si>
  <si>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</si>
  <si>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</si>
  <si>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</si>
  <si>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</si>
  <si>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</si>
  <si>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</si>
  <si>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</si>
  <si>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</si>
  <si>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090  Мини-салями со вкусом бекона,  0.05кг, ядрена копоть   ПОКОМ, 4301032013</t>
  </si>
  <si>
    <t xml:space="preserve"> 318  Сосиски Датские ТМ Зареченские, ВЕС  ПОКОМ, SU002655</t>
  </si>
  <si>
    <t xml:space="preserve"> 250  Сардельки стародворские с говядиной в обол. NDX, ВЕС. ПОКОМ, SU000227</t>
  </si>
  <si>
    <t xml:space="preserve"> 263  Шпикачки Стародворские, ВЕС.  ПОКОМ, SU001728</t>
  </si>
  <si>
    <t xml:space="preserve"> 283  Сосиски Сочинки, ВЕС, ТМ Стародворье ПОКОМ, SU002725</t>
  </si>
  <si>
    <t xml:space="preserve"> 329  Сардельки Сочинки с сыром Стародворье ТМ, 0,4 кг. ПОКОМ, SU002759</t>
  </si>
  <si>
    <t xml:space="preserve"> 281  Сосиски Молочные для завтрака ТМ Особый рецепт, 0,4кг  ПОКОМ, SU002205</t>
  </si>
  <si>
    <t xml:space="preserve"> 062  Колбаса Кракушка пряная с сальцем, 0.3кг в/у п/к, БАВАРУШКА ПОКОМ, SU002252</t>
  </si>
  <si>
    <t>Продано</t>
  </si>
  <si>
    <t>Списано</t>
  </si>
</sst>
</file>

<file path=xl/styles.xml><?xml version="1.0" encoding="utf-8"?>
<styleSheet xmlns="http://schemas.openxmlformats.org/spreadsheetml/2006/main">
  <numFmts count="1">
    <numFmt numFmtId="166" formatCode="0.000;[Red]\-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166" fontId="8" fillId="0" borderId="2" xfId="2" applyNumberFormat="1" applyFont="1" applyBorder="1" applyAlignment="1">
      <alignment horizontal="left" vertical="top"/>
    </xf>
    <xf numFmtId="14" fontId="8" fillId="0" borderId="2" xfId="2" applyNumberFormat="1" applyFont="1" applyBorder="1" applyAlignment="1">
      <alignment horizontal="right" vertical="top"/>
    </xf>
    <xf numFmtId="166" fontId="8" fillId="0" borderId="2" xfId="2" applyNumberFormat="1" applyFont="1" applyBorder="1" applyAlignment="1">
      <alignment horizontal="right" vertical="center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top" wrapText="1"/>
    </xf>
    <xf numFmtId="2" fontId="8" fillId="0" borderId="2" xfId="2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 wrapText="1"/>
    </xf>
    <xf numFmtId="2" fontId="4" fillId="3" borderId="1" xfId="0" applyNumberFormat="1" applyFont="1" applyFill="1" applyBorder="1" applyAlignment="1">
      <alignment horizontal="center" vertical="top" wrapText="1"/>
    </xf>
    <xf numFmtId="2" fontId="8" fillId="0" borderId="2" xfId="2" applyNumberForma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7" borderId="1" xfId="0" applyNumberFormat="1" applyFill="1" applyBorder="1" applyAlignment="1">
      <alignment horizontal="center" wrapText="1"/>
    </xf>
    <xf numFmtId="2" fontId="8" fillId="9" borderId="2" xfId="2" applyNumberFormat="1" applyFill="1" applyBorder="1" applyAlignment="1">
      <alignment horizontal="center" vertical="top"/>
    </xf>
    <xf numFmtId="0" fontId="8" fillId="9" borderId="2" xfId="2" applyNumberFormat="1" applyFont="1" applyFill="1" applyBorder="1" applyAlignment="1">
      <alignment vertical="top" wrapText="1" indent="6"/>
    </xf>
    <xf numFmtId="14" fontId="0" fillId="8" borderId="0" xfId="0" applyNumberFormat="1" applyFill="1" applyAlignment="1">
      <alignment wrapText="1"/>
    </xf>
    <xf numFmtId="2" fontId="0" fillId="8" borderId="0" xfId="0" applyNumberFormat="1" applyFill="1" applyAlignment="1">
      <alignment horizontal="center" wrapText="1"/>
    </xf>
    <xf numFmtId="0" fontId="0" fillId="8" borderId="0" xfId="0" applyFill="1" applyAlignment="1">
      <alignment horizont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18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10"/>
  <sheetViews>
    <sheetView tabSelected="1" zoomScale="85" zoomScaleNormal="85" workbookViewId="0">
      <selection activeCell="B80" sqref="B80:O80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27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4.85546875" style="1" customWidth="1"/>
    <col min="10" max="10" width="9" style="27" customWidth="1"/>
    <col min="11" max="11" width="15.85546875" style="2" customWidth="1"/>
    <col min="12" max="12" width="15.7109375" style="2" customWidth="1"/>
    <col min="13" max="13" width="15.42578125" style="1" customWidth="1"/>
    <col min="14" max="14" width="17.140625" style="1" customWidth="1"/>
    <col min="15" max="15" width="37.85546875" style="27" customWidth="1"/>
    <col min="16" max="16" width="36.5703125" style="22" customWidth="1"/>
    <col min="17" max="17" width="29.42578125" style="1" customWidth="1"/>
    <col min="18" max="262" width="8.85546875" style="1"/>
    <col min="263" max="263" width="4" style="1" customWidth="1"/>
    <col min="264" max="264" width="59.7109375" style="1" customWidth="1"/>
    <col min="265" max="265" width="4.85546875" style="1" customWidth="1"/>
    <col min="266" max="266" width="9" style="1" customWidth="1"/>
    <col min="267" max="267" width="15.85546875" style="1" customWidth="1"/>
    <col min="268" max="268" width="15.7109375" style="1" customWidth="1"/>
    <col min="269" max="269" width="15.42578125" style="1" customWidth="1"/>
    <col min="270" max="270" width="17.140625" style="1" customWidth="1"/>
    <col min="271" max="271" width="37.85546875" style="1" customWidth="1"/>
    <col min="272" max="272" width="36.5703125" style="1" customWidth="1"/>
    <col min="273" max="273" width="29.42578125" style="1" customWidth="1"/>
    <col min="274" max="518" width="8.85546875" style="1"/>
    <col min="519" max="519" width="4" style="1" customWidth="1"/>
    <col min="520" max="520" width="59.7109375" style="1" customWidth="1"/>
    <col min="521" max="521" width="4.85546875" style="1" customWidth="1"/>
    <col min="522" max="522" width="9" style="1" customWidth="1"/>
    <col min="523" max="523" width="15.85546875" style="1" customWidth="1"/>
    <col min="524" max="524" width="15.7109375" style="1" customWidth="1"/>
    <col min="525" max="525" width="15.42578125" style="1" customWidth="1"/>
    <col min="526" max="526" width="17.140625" style="1" customWidth="1"/>
    <col min="527" max="527" width="37.85546875" style="1" customWidth="1"/>
    <col min="528" max="528" width="36.5703125" style="1" customWidth="1"/>
    <col min="529" max="529" width="29.42578125" style="1" customWidth="1"/>
    <col min="530" max="774" width="8.85546875" style="1"/>
    <col min="775" max="775" width="4" style="1" customWidth="1"/>
    <col min="776" max="776" width="59.7109375" style="1" customWidth="1"/>
    <col min="777" max="777" width="4.85546875" style="1" customWidth="1"/>
    <col min="778" max="778" width="9" style="1" customWidth="1"/>
    <col min="779" max="779" width="15.85546875" style="1" customWidth="1"/>
    <col min="780" max="780" width="15.7109375" style="1" customWidth="1"/>
    <col min="781" max="781" width="15.42578125" style="1" customWidth="1"/>
    <col min="782" max="782" width="17.140625" style="1" customWidth="1"/>
    <col min="783" max="783" width="37.85546875" style="1" customWidth="1"/>
    <col min="784" max="784" width="36.5703125" style="1" customWidth="1"/>
    <col min="785" max="785" width="29.42578125" style="1" customWidth="1"/>
    <col min="786" max="1030" width="8.85546875" style="1"/>
    <col min="1031" max="1031" width="4" style="1" customWidth="1"/>
    <col min="1032" max="1032" width="59.7109375" style="1" customWidth="1"/>
    <col min="1033" max="1033" width="4.85546875" style="1" customWidth="1"/>
    <col min="1034" max="1034" width="9" style="1" customWidth="1"/>
    <col min="1035" max="1035" width="15.85546875" style="1" customWidth="1"/>
    <col min="1036" max="1036" width="15.7109375" style="1" customWidth="1"/>
    <col min="1037" max="1037" width="15.42578125" style="1" customWidth="1"/>
    <col min="1038" max="1038" width="17.140625" style="1" customWidth="1"/>
    <col min="1039" max="1039" width="37.85546875" style="1" customWidth="1"/>
    <col min="1040" max="1040" width="36.5703125" style="1" customWidth="1"/>
    <col min="1041" max="1041" width="29.42578125" style="1" customWidth="1"/>
    <col min="1042" max="1286" width="8.85546875" style="1"/>
    <col min="1287" max="1287" width="4" style="1" customWidth="1"/>
    <col min="1288" max="1288" width="59.7109375" style="1" customWidth="1"/>
    <col min="1289" max="1289" width="4.85546875" style="1" customWidth="1"/>
    <col min="1290" max="1290" width="9" style="1" customWidth="1"/>
    <col min="1291" max="1291" width="15.85546875" style="1" customWidth="1"/>
    <col min="1292" max="1292" width="15.7109375" style="1" customWidth="1"/>
    <col min="1293" max="1293" width="15.42578125" style="1" customWidth="1"/>
    <col min="1294" max="1294" width="17.140625" style="1" customWidth="1"/>
    <col min="1295" max="1295" width="37.85546875" style="1" customWidth="1"/>
    <col min="1296" max="1296" width="36.5703125" style="1" customWidth="1"/>
    <col min="1297" max="1297" width="29.42578125" style="1" customWidth="1"/>
    <col min="1298" max="1542" width="8.85546875" style="1"/>
    <col min="1543" max="1543" width="4" style="1" customWidth="1"/>
    <col min="1544" max="1544" width="59.7109375" style="1" customWidth="1"/>
    <col min="1545" max="1545" width="4.85546875" style="1" customWidth="1"/>
    <col min="1546" max="1546" width="9" style="1" customWidth="1"/>
    <col min="1547" max="1547" width="15.85546875" style="1" customWidth="1"/>
    <col min="1548" max="1548" width="15.7109375" style="1" customWidth="1"/>
    <col min="1549" max="1549" width="15.42578125" style="1" customWidth="1"/>
    <col min="1550" max="1550" width="17.140625" style="1" customWidth="1"/>
    <col min="1551" max="1551" width="37.85546875" style="1" customWidth="1"/>
    <col min="1552" max="1552" width="36.5703125" style="1" customWidth="1"/>
    <col min="1553" max="1553" width="29.42578125" style="1" customWidth="1"/>
    <col min="1554" max="1798" width="8.85546875" style="1"/>
    <col min="1799" max="1799" width="4" style="1" customWidth="1"/>
    <col min="1800" max="1800" width="59.7109375" style="1" customWidth="1"/>
    <col min="1801" max="1801" width="4.85546875" style="1" customWidth="1"/>
    <col min="1802" max="1802" width="9" style="1" customWidth="1"/>
    <col min="1803" max="1803" width="15.85546875" style="1" customWidth="1"/>
    <col min="1804" max="1804" width="15.7109375" style="1" customWidth="1"/>
    <col min="1805" max="1805" width="15.42578125" style="1" customWidth="1"/>
    <col min="1806" max="1806" width="17.140625" style="1" customWidth="1"/>
    <col min="1807" max="1807" width="37.85546875" style="1" customWidth="1"/>
    <col min="1808" max="1808" width="36.5703125" style="1" customWidth="1"/>
    <col min="1809" max="1809" width="29.42578125" style="1" customWidth="1"/>
    <col min="1810" max="2054" width="8.85546875" style="1"/>
    <col min="2055" max="2055" width="4" style="1" customWidth="1"/>
    <col min="2056" max="2056" width="59.7109375" style="1" customWidth="1"/>
    <col min="2057" max="2057" width="4.85546875" style="1" customWidth="1"/>
    <col min="2058" max="2058" width="9" style="1" customWidth="1"/>
    <col min="2059" max="2059" width="15.85546875" style="1" customWidth="1"/>
    <col min="2060" max="2060" width="15.7109375" style="1" customWidth="1"/>
    <col min="2061" max="2061" width="15.42578125" style="1" customWidth="1"/>
    <col min="2062" max="2062" width="17.140625" style="1" customWidth="1"/>
    <col min="2063" max="2063" width="37.85546875" style="1" customWidth="1"/>
    <col min="2064" max="2064" width="36.5703125" style="1" customWidth="1"/>
    <col min="2065" max="2065" width="29.42578125" style="1" customWidth="1"/>
    <col min="2066" max="2310" width="8.85546875" style="1"/>
    <col min="2311" max="2311" width="4" style="1" customWidth="1"/>
    <col min="2312" max="2312" width="59.7109375" style="1" customWidth="1"/>
    <col min="2313" max="2313" width="4.85546875" style="1" customWidth="1"/>
    <col min="2314" max="2314" width="9" style="1" customWidth="1"/>
    <col min="2315" max="2315" width="15.85546875" style="1" customWidth="1"/>
    <col min="2316" max="2316" width="15.7109375" style="1" customWidth="1"/>
    <col min="2317" max="2317" width="15.42578125" style="1" customWidth="1"/>
    <col min="2318" max="2318" width="17.140625" style="1" customWidth="1"/>
    <col min="2319" max="2319" width="37.85546875" style="1" customWidth="1"/>
    <col min="2320" max="2320" width="36.5703125" style="1" customWidth="1"/>
    <col min="2321" max="2321" width="29.42578125" style="1" customWidth="1"/>
    <col min="2322" max="2566" width="8.85546875" style="1"/>
    <col min="2567" max="2567" width="4" style="1" customWidth="1"/>
    <col min="2568" max="2568" width="59.7109375" style="1" customWidth="1"/>
    <col min="2569" max="2569" width="4.85546875" style="1" customWidth="1"/>
    <col min="2570" max="2570" width="9" style="1" customWidth="1"/>
    <col min="2571" max="2571" width="15.85546875" style="1" customWidth="1"/>
    <col min="2572" max="2572" width="15.7109375" style="1" customWidth="1"/>
    <col min="2573" max="2573" width="15.42578125" style="1" customWidth="1"/>
    <col min="2574" max="2574" width="17.140625" style="1" customWidth="1"/>
    <col min="2575" max="2575" width="37.85546875" style="1" customWidth="1"/>
    <col min="2576" max="2576" width="36.5703125" style="1" customWidth="1"/>
    <col min="2577" max="2577" width="29.42578125" style="1" customWidth="1"/>
    <col min="2578" max="2822" width="8.85546875" style="1"/>
    <col min="2823" max="2823" width="4" style="1" customWidth="1"/>
    <col min="2824" max="2824" width="59.7109375" style="1" customWidth="1"/>
    <col min="2825" max="2825" width="4.85546875" style="1" customWidth="1"/>
    <col min="2826" max="2826" width="9" style="1" customWidth="1"/>
    <col min="2827" max="2827" width="15.85546875" style="1" customWidth="1"/>
    <col min="2828" max="2828" width="15.7109375" style="1" customWidth="1"/>
    <col min="2829" max="2829" width="15.42578125" style="1" customWidth="1"/>
    <col min="2830" max="2830" width="17.140625" style="1" customWidth="1"/>
    <col min="2831" max="2831" width="37.85546875" style="1" customWidth="1"/>
    <col min="2832" max="2832" width="36.5703125" style="1" customWidth="1"/>
    <col min="2833" max="2833" width="29.42578125" style="1" customWidth="1"/>
    <col min="2834" max="3078" width="8.85546875" style="1"/>
    <col min="3079" max="3079" width="4" style="1" customWidth="1"/>
    <col min="3080" max="3080" width="59.7109375" style="1" customWidth="1"/>
    <col min="3081" max="3081" width="4.85546875" style="1" customWidth="1"/>
    <col min="3082" max="3082" width="9" style="1" customWidth="1"/>
    <col min="3083" max="3083" width="15.85546875" style="1" customWidth="1"/>
    <col min="3084" max="3084" width="15.7109375" style="1" customWidth="1"/>
    <col min="3085" max="3085" width="15.42578125" style="1" customWidth="1"/>
    <col min="3086" max="3086" width="17.140625" style="1" customWidth="1"/>
    <col min="3087" max="3087" width="37.85546875" style="1" customWidth="1"/>
    <col min="3088" max="3088" width="36.5703125" style="1" customWidth="1"/>
    <col min="3089" max="3089" width="29.42578125" style="1" customWidth="1"/>
    <col min="3090" max="3334" width="8.85546875" style="1"/>
    <col min="3335" max="3335" width="4" style="1" customWidth="1"/>
    <col min="3336" max="3336" width="59.7109375" style="1" customWidth="1"/>
    <col min="3337" max="3337" width="4.85546875" style="1" customWidth="1"/>
    <col min="3338" max="3338" width="9" style="1" customWidth="1"/>
    <col min="3339" max="3339" width="15.85546875" style="1" customWidth="1"/>
    <col min="3340" max="3340" width="15.7109375" style="1" customWidth="1"/>
    <col min="3341" max="3341" width="15.42578125" style="1" customWidth="1"/>
    <col min="3342" max="3342" width="17.140625" style="1" customWidth="1"/>
    <col min="3343" max="3343" width="37.85546875" style="1" customWidth="1"/>
    <col min="3344" max="3344" width="36.5703125" style="1" customWidth="1"/>
    <col min="3345" max="3345" width="29.42578125" style="1" customWidth="1"/>
    <col min="3346" max="3590" width="8.85546875" style="1"/>
    <col min="3591" max="3591" width="4" style="1" customWidth="1"/>
    <col min="3592" max="3592" width="59.7109375" style="1" customWidth="1"/>
    <col min="3593" max="3593" width="4.85546875" style="1" customWidth="1"/>
    <col min="3594" max="3594" width="9" style="1" customWidth="1"/>
    <col min="3595" max="3595" width="15.85546875" style="1" customWidth="1"/>
    <col min="3596" max="3596" width="15.7109375" style="1" customWidth="1"/>
    <col min="3597" max="3597" width="15.42578125" style="1" customWidth="1"/>
    <col min="3598" max="3598" width="17.140625" style="1" customWidth="1"/>
    <col min="3599" max="3599" width="37.85546875" style="1" customWidth="1"/>
    <col min="3600" max="3600" width="36.5703125" style="1" customWidth="1"/>
    <col min="3601" max="3601" width="29.42578125" style="1" customWidth="1"/>
    <col min="3602" max="3846" width="8.85546875" style="1"/>
    <col min="3847" max="3847" width="4" style="1" customWidth="1"/>
    <col min="3848" max="3848" width="59.7109375" style="1" customWidth="1"/>
    <col min="3849" max="3849" width="4.85546875" style="1" customWidth="1"/>
    <col min="3850" max="3850" width="9" style="1" customWidth="1"/>
    <col min="3851" max="3851" width="15.85546875" style="1" customWidth="1"/>
    <col min="3852" max="3852" width="15.7109375" style="1" customWidth="1"/>
    <col min="3853" max="3853" width="15.42578125" style="1" customWidth="1"/>
    <col min="3854" max="3854" width="17.140625" style="1" customWidth="1"/>
    <col min="3855" max="3855" width="37.85546875" style="1" customWidth="1"/>
    <col min="3856" max="3856" width="36.5703125" style="1" customWidth="1"/>
    <col min="3857" max="3857" width="29.42578125" style="1" customWidth="1"/>
    <col min="3858" max="4102" width="8.85546875" style="1"/>
    <col min="4103" max="4103" width="4" style="1" customWidth="1"/>
    <col min="4104" max="4104" width="59.7109375" style="1" customWidth="1"/>
    <col min="4105" max="4105" width="4.85546875" style="1" customWidth="1"/>
    <col min="4106" max="4106" width="9" style="1" customWidth="1"/>
    <col min="4107" max="4107" width="15.85546875" style="1" customWidth="1"/>
    <col min="4108" max="4108" width="15.7109375" style="1" customWidth="1"/>
    <col min="4109" max="4109" width="15.42578125" style="1" customWidth="1"/>
    <col min="4110" max="4110" width="17.140625" style="1" customWidth="1"/>
    <col min="4111" max="4111" width="37.85546875" style="1" customWidth="1"/>
    <col min="4112" max="4112" width="36.5703125" style="1" customWidth="1"/>
    <col min="4113" max="4113" width="29.42578125" style="1" customWidth="1"/>
    <col min="4114" max="4358" width="8.85546875" style="1"/>
    <col min="4359" max="4359" width="4" style="1" customWidth="1"/>
    <col min="4360" max="4360" width="59.7109375" style="1" customWidth="1"/>
    <col min="4361" max="4361" width="4.85546875" style="1" customWidth="1"/>
    <col min="4362" max="4362" width="9" style="1" customWidth="1"/>
    <col min="4363" max="4363" width="15.85546875" style="1" customWidth="1"/>
    <col min="4364" max="4364" width="15.7109375" style="1" customWidth="1"/>
    <col min="4365" max="4365" width="15.42578125" style="1" customWidth="1"/>
    <col min="4366" max="4366" width="17.140625" style="1" customWidth="1"/>
    <col min="4367" max="4367" width="37.85546875" style="1" customWidth="1"/>
    <col min="4368" max="4368" width="36.5703125" style="1" customWidth="1"/>
    <col min="4369" max="4369" width="29.42578125" style="1" customWidth="1"/>
    <col min="4370" max="4614" width="8.85546875" style="1"/>
    <col min="4615" max="4615" width="4" style="1" customWidth="1"/>
    <col min="4616" max="4616" width="59.7109375" style="1" customWidth="1"/>
    <col min="4617" max="4617" width="4.85546875" style="1" customWidth="1"/>
    <col min="4618" max="4618" width="9" style="1" customWidth="1"/>
    <col min="4619" max="4619" width="15.85546875" style="1" customWidth="1"/>
    <col min="4620" max="4620" width="15.7109375" style="1" customWidth="1"/>
    <col min="4621" max="4621" width="15.42578125" style="1" customWidth="1"/>
    <col min="4622" max="4622" width="17.140625" style="1" customWidth="1"/>
    <col min="4623" max="4623" width="37.85546875" style="1" customWidth="1"/>
    <col min="4624" max="4624" width="36.5703125" style="1" customWidth="1"/>
    <col min="4625" max="4625" width="29.42578125" style="1" customWidth="1"/>
    <col min="4626" max="4870" width="8.85546875" style="1"/>
    <col min="4871" max="4871" width="4" style="1" customWidth="1"/>
    <col min="4872" max="4872" width="59.7109375" style="1" customWidth="1"/>
    <col min="4873" max="4873" width="4.85546875" style="1" customWidth="1"/>
    <col min="4874" max="4874" width="9" style="1" customWidth="1"/>
    <col min="4875" max="4875" width="15.85546875" style="1" customWidth="1"/>
    <col min="4876" max="4876" width="15.7109375" style="1" customWidth="1"/>
    <col min="4877" max="4877" width="15.42578125" style="1" customWidth="1"/>
    <col min="4878" max="4878" width="17.140625" style="1" customWidth="1"/>
    <col min="4879" max="4879" width="37.85546875" style="1" customWidth="1"/>
    <col min="4880" max="4880" width="36.5703125" style="1" customWidth="1"/>
    <col min="4881" max="4881" width="29.42578125" style="1" customWidth="1"/>
    <col min="4882" max="5126" width="8.85546875" style="1"/>
    <col min="5127" max="5127" width="4" style="1" customWidth="1"/>
    <col min="5128" max="5128" width="59.7109375" style="1" customWidth="1"/>
    <col min="5129" max="5129" width="4.85546875" style="1" customWidth="1"/>
    <col min="5130" max="5130" width="9" style="1" customWidth="1"/>
    <col min="5131" max="5131" width="15.85546875" style="1" customWidth="1"/>
    <col min="5132" max="5132" width="15.7109375" style="1" customWidth="1"/>
    <col min="5133" max="5133" width="15.42578125" style="1" customWidth="1"/>
    <col min="5134" max="5134" width="17.140625" style="1" customWidth="1"/>
    <col min="5135" max="5135" width="37.85546875" style="1" customWidth="1"/>
    <col min="5136" max="5136" width="36.5703125" style="1" customWidth="1"/>
    <col min="5137" max="5137" width="29.42578125" style="1" customWidth="1"/>
    <col min="5138" max="5382" width="8.85546875" style="1"/>
    <col min="5383" max="5383" width="4" style="1" customWidth="1"/>
    <col min="5384" max="5384" width="59.7109375" style="1" customWidth="1"/>
    <col min="5385" max="5385" width="4.85546875" style="1" customWidth="1"/>
    <col min="5386" max="5386" width="9" style="1" customWidth="1"/>
    <col min="5387" max="5387" width="15.85546875" style="1" customWidth="1"/>
    <col min="5388" max="5388" width="15.7109375" style="1" customWidth="1"/>
    <col min="5389" max="5389" width="15.42578125" style="1" customWidth="1"/>
    <col min="5390" max="5390" width="17.140625" style="1" customWidth="1"/>
    <col min="5391" max="5391" width="37.85546875" style="1" customWidth="1"/>
    <col min="5392" max="5392" width="36.5703125" style="1" customWidth="1"/>
    <col min="5393" max="5393" width="29.42578125" style="1" customWidth="1"/>
    <col min="5394" max="5638" width="8.85546875" style="1"/>
    <col min="5639" max="5639" width="4" style="1" customWidth="1"/>
    <col min="5640" max="5640" width="59.7109375" style="1" customWidth="1"/>
    <col min="5641" max="5641" width="4.85546875" style="1" customWidth="1"/>
    <col min="5642" max="5642" width="9" style="1" customWidth="1"/>
    <col min="5643" max="5643" width="15.85546875" style="1" customWidth="1"/>
    <col min="5644" max="5644" width="15.7109375" style="1" customWidth="1"/>
    <col min="5645" max="5645" width="15.42578125" style="1" customWidth="1"/>
    <col min="5646" max="5646" width="17.140625" style="1" customWidth="1"/>
    <col min="5647" max="5647" width="37.85546875" style="1" customWidth="1"/>
    <col min="5648" max="5648" width="36.5703125" style="1" customWidth="1"/>
    <col min="5649" max="5649" width="29.42578125" style="1" customWidth="1"/>
    <col min="5650" max="5894" width="8.85546875" style="1"/>
    <col min="5895" max="5895" width="4" style="1" customWidth="1"/>
    <col min="5896" max="5896" width="59.7109375" style="1" customWidth="1"/>
    <col min="5897" max="5897" width="4.85546875" style="1" customWidth="1"/>
    <col min="5898" max="5898" width="9" style="1" customWidth="1"/>
    <col min="5899" max="5899" width="15.85546875" style="1" customWidth="1"/>
    <col min="5900" max="5900" width="15.7109375" style="1" customWidth="1"/>
    <col min="5901" max="5901" width="15.42578125" style="1" customWidth="1"/>
    <col min="5902" max="5902" width="17.140625" style="1" customWidth="1"/>
    <col min="5903" max="5903" width="37.85546875" style="1" customWidth="1"/>
    <col min="5904" max="5904" width="36.5703125" style="1" customWidth="1"/>
    <col min="5905" max="5905" width="29.42578125" style="1" customWidth="1"/>
    <col min="5906" max="6150" width="8.85546875" style="1"/>
    <col min="6151" max="6151" width="4" style="1" customWidth="1"/>
    <col min="6152" max="6152" width="59.7109375" style="1" customWidth="1"/>
    <col min="6153" max="6153" width="4.85546875" style="1" customWidth="1"/>
    <col min="6154" max="6154" width="9" style="1" customWidth="1"/>
    <col min="6155" max="6155" width="15.85546875" style="1" customWidth="1"/>
    <col min="6156" max="6156" width="15.7109375" style="1" customWidth="1"/>
    <col min="6157" max="6157" width="15.42578125" style="1" customWidth="1"/>
    <col min="6158" max="6158" width="17.140625" style="1" customWidth="1"/>
    <col min="6159" max="6159" width="37.85546875" style="1" customWidth="1"/>
    <col min="6160" max="6160" width="36.5703125" style="1" customWidth="1"/>
    <col min="6161" max="6161" width="29.42578125" style="1" customWidth="1"/>
    <col min="6162" max="6406" width="8.85546875" style="1"/>
    <col min="6407" max="6407" width="4" style="1" customWidth="1"/>
    <col min="6408" max="6408" width="59.7109375" style="1" customWidth="1"/>
    <col min="6409" max="6409" width="4.85546875" style="1" customWidth="1"/>
    <col min="6410" max="6410" width="9" style="1" customWidth="1"/>
    <col min="6411" max="6411" width="15.85546875" style="1" customWidth="1"/>
    <col min="6412" max="6412" width="15.7109375" style="1" customWidth="1"/>
    <col min="6413" max="6413" width="15.42578125" style="1" customWidth="1"/>
    <col min="6414" max="6414" width="17.140625" style="1" customWidth="1"/>
    <col min="6415" max="6415" width="37.85546875" style="1" customWidth="1"/>
    <col min="6416" max="6416" width="36.5703125" style="1" customWidth="1"/>
    <col min="6417" max="6417" width="29.42578125" style="1" customWidth="1"/>
    <col min="6418" max="6662" width="8.85546875" style="1"/>
    <col min="6663" max="6663" width="4" style="1" customWidth="1"/>
    <col min="6664" max="6664" width="59.7109375" style="1" customWidth="1"/>
    <col min="6665" max="6665" width="4.85546875" style="1" customWidth="1"/>
    <col min="6666" max="6666" width="9" style="1" customWidth="1"/>
    <col min="6667" max="6667" width="15.85546875" style="1" customWidth="1"/>
    <col min="6668" max="6668" width="15.7109375" style="1" customWidth="1"/>
    <col min="6669" max="6669" width="15.42578125" style="1" customWidth="1"/>
    <col min="6670" max="6670" width="17.140625" style="1" customWidth="1"/>
    <col min="6671" max="6671" width="37.85546875" style="1" customWidth="1"/>
    <col min="6672" max="6672" width="36.5703125" style="1" customWidth="1"/>
    <col min="6673" max="6673" width="29.42578125" style="1" customWidth="1"/>
    <col min="6674" max="6918" width="8.85546875" style="1"/>
    <col min="6919" max="6919" width="4" style="1" customWidth="1"/>
    <col min="6920" max="6920" width="59.7109375" style="1" customWidth="1"/>
    <col min="6921" max="6921" width="4.85546875" style="1" customWidth="1"/>
    <col min="6922" max="6922" width="9" style="1" customWidth="1"/>
    <col min="6923" max="6923" width="15.85546875" style="1" customWidth="1"/>
    <col min="6924" max="6924" width="15.7109375" style="1" customWidth="1"/>
    <col min="6925" max="6925" width="15.42578125" style="1" customWidth="1"/>
    <col min="6926" max="6926" width="17.140625" style="1" customWidth="1"/>
    <col min="6927" max="6927" width="37.85546875" style="1" customWidth="1"/>
    <col min="6928" max="6928" width="36.5703125" style="1" customWidth="1"/>
    <col min="6929" max="6929" width="29.42578125" style="1" customWidth="1"/>
    <col min="6930" max="7174" width="8.85546875" style="1"/>
    <col min="7175" max="7175" width="4" style="1" customWidth="1"/>
    <col min="7176" max="7176" width="59.7109375" style="1" customWidth="1"/>
    <col min="7177" max="7177" width="4.85546875" style="1" customWidth="1"/>
    <col min="7178" max="7178" width="9" style="1" customWidth="1"/>
    <col min="7179" max="7179" width="15.85546875" style="1" customWidth="1"/>
    <col min="7180" max="7180" width="15.7109375" style="1" customWidth="1"/>
    <col min="7181" max="7181" width="15.42578125" style="1" customWidth="1"/>
    <col min="7182" max="7182" width="17.140625" style="1" customWidth="1"/>
    <col min="7183" max="7183" width="37.85546875" style="1" customWidth="1"/>
    <col min="7184" max="7184" width="36.5703125" style="1" customWidth="1"/>
    <col min="7185" max="7185" width="29.42578125" style="1" customWidth="1"/>
    <col min="7186" max="7430" width="8.85546875" style="1"/>
    <col min="7431" max="7431" width="4" style="1" customWidth="1"/>
    <col min="7432" max="7432" width="59.7109375" style="1" customWidth="1"/>
    <col min="7433" max="7433" width="4.85546875" style="1" customWidth="1"/>
    <col min="7434" max="7434" width="9" style="1" customWidth="1"/>
    <col min="7435" max="7435" width="15.85546875" style="1" customWidth="1"/>
    <col min="7436" max="7436" width="15.7109375" style="1" customWidth="1"/>
    <col min="7437" max="7437" width="15.42578125" style="1" customWidth="1"/>
    <col min="7438" max="7438" width="17.140625" style="1" customWidth="1"/>
    <col min="7439" max="7439" width="37.85546875" style="1" customWidth="1"/>
    <col min="7440" max="7440" width="36.5703125" style="1" customWidth="1"/>
    <col min="7441" max="7441" width="29.42578125" style="1" customWidth="1"/>
    <col min="7442" max="7686" width="8.85546875" style="1"/>
    <col min="7687" max="7687" width="4" style="1" customWidth="1"/>
    <col min="7688" max="7688" width="59.7109375" style="1" customWidth="1"/>
    <col min="7689" max="7689" width="4.85546875" style="1" customWidth="1"/>
    <col min="7690" max="7690" width="9" style="1" customWidth="1"/>
    <col min="7691" max="7691" width="15.85546875" style="1" customWidth="1"/>
    <col min="7692" max="7692" width="15.7109375" style="1" customWidth="1"/>
    <col min="7693" max="7693" width="15.42578125" style="1" customWidth="1"/>
    <col min="7694" max="7694" width="17.140625" style="1" customWidth="1"/>
    <col min="7695" max="7695" width="37.85546875" style="1" customWidth="1"/>
    <col min="7696" max="7696" width="36.5703125" style="1" customWidth="1"/>
    <col min="7697" max="7697" width="29.42578125" style="1" customWidth="1"/>
    <col min="7698" max="7942" width="8.85546875" style="1"/>
    <col min="7943" max="7943" width="4" style="1" customWidth="1"/>
    <col min="7944" max="7944" width="59.7109375" style="1" customWidth="1"/>
    <col min="7945" max="7945" width="4.85546875" style="1" customWidth="1"/>
    <col min="7946" max="7946" width="9" style="1" customWidth="1"/>
    <col min="7947" max="7947" width="15.85546875" style="1" customWidth="1"/>
    <col min="7948" max="7948" width="15.7109375" style="1" customWidth="1"/>
    <col min="7949" max="7949" width="15.42578125" style="1" customWidth="1"/>
    <col min="7950" max="7950" width="17.140625" style="1" customWidth="1"/>
    <col min="7951" max="7951" width="37.85546875" style="1" customWidth="1"/>
    <col min="7952" max="7952" width="36.5703125" style="1" customWidth="1"/>
    <col min="7953" max="7953" width="29.42578125" style="1" customWidth="1"/>
    <col min="7954" max="8198" width="8.85546875" style="1"/>
    <col min="8199" max="8199" width="4" style="1" customWidth="1"/>
    <col min="8200" max="8200" width="59.7109375" style="1" customWidth="1"/>
    <col min="8201" max="8201" width="4.85546875" style="1" customWidth="1"/>
    <col min="8202" max="8202" width="9" style="1" customWidth="1"/>
    <col min="8203" max="8203" width="15.85546875" style="1" customWidth="1"/>
    <col min="8204" max="8204" width="15.7109375" style="1" customWidth="1"/>
    <col min="8205" max="8205" width="15.42578125" style="1" customWidth="1"/>
    <col min="8206" max="8206" width="17.140625" style="1" customWidth="1"/>
    <col min="8207" max="8207" width="37.85546875" style="1" customWidth="1"/>
    <col min="8208" max="8208" width="36.5703125" style="1" customWidth="1"/>
    <col min="8209" max="8209" width="29.42578125" style="1" customWidth="1"/>
    <col min="8210" max="8454" width="8.85546875" style="1"/>
    <col min="8455" max="8455" width="4" style="1" customWidth="1"/>
    <col min="8456" max="8456" width="59.7109375" style="1" customWidth="1"/>
    <col min="8457" max="8457" width="4.85546875" style="1" customWidth="1"/>
    <col min="8458" max="8458" width="9" style="1" customWidth="1"/>
    <col min="8459" max="8459" width="15.85546875" style="1" customWidth="1"/>
    <col min="8460" max="8460" width="15.7109375" style="1" customWidth="1"/>
    <col min="8461" max="8461" width="15.42578125" style="1" customWidth="1"/>
    <col min="8462" max="8462" width="17.140625" style="1" customWidth="1"/>
    <col min="8463" max="8463" width="37.85546875" style="1" customWidth="1"/>
    <col min="8464" max="8464" width="36.5703125" style="1" customWidth="1"/>
    <col min="8465" max="8465" width="29.42578125" style="1" customWidth="1"/>
    <col min="8466" max="8710" width="8.85546875" style="1"/>
    <col min="8711" max="8711" width="4" style="1" customWidth="1"/>
    <col min="8712" max="8712" width="59.7109375" style="1" customWidth="1"/>
    <col min="8713" max="8713" width="4.85546875" style="1" customWidth="1"/>
    <col min="8714" max="8714" width="9" style="1" customWidth="1"/>
    <col min="8715" max="8715" width="15.85546875" style="1" customWidth="1"/>
    <col min="8716" max="8716" width="15.7109375" style="1" customWidth="1"/>
    <col min="8717" max="8717" width="15.42578125" style="1" customWidth="1"/>
    <col min="8718" max="8718" width="17.140625" style="1" customWidth="1"/>
    <col min="8719" max="8719" width="37.85546875" style="1" customWidth="1"/>
    <col min="8720" max="8720" width="36.5703125" style="1" customWidth="1"/>
    <col min="8721" max="8721" width="29.42578125" style="1" customWidth="1"/>
    <col min="8722" max="8966" width="8.85546875" style="1"/>
    <col min="8967" max="8967" width="4" style="1" customWidth="1"/>
    <col min="8968" max="8968" width="59.7109375" style="1" customWidth="1"/>
    <col min="8969" max="8969" width="4.85546875" style="1" customWidth="1"/>
    <col min="8970" max="8970" width="9" style="1" customWidth="1"/>
    <col min="8971" max="8971" width="15.85546875" style="1" customWidth="1"/>
    <col min="8972" max="8972" width="15.7109375" style="1" customWidth="1"/>
    <col min="8973" max="8973" width="15.42578125" style="1" customWidth="1"/>
    <col min="8974" max="8974" width="17.140625" style="1" customWidth="1"/>
    <col min="8975" max="8975" width="37.85546875" style="1" customWidth="1"/>
    <col min="8976" max="8976" width="36.5703125" style="1" customWidth="1"/>
    <col min="8977" max="8977" width="29.42578125" style="1" customWidth="1"/>
    <col min="8978" max="9222" width="8.85546875" style="1"/>
    <col min="9223" max="9223" width="4" style="1" customWidth="1"/>
    <col min="9224" max="9224" width="59.7109375" style="1" customWidth="1"/>
    <col min="9225" max="9225" width="4.85546875" style="1" customWidth="1"/>
    <col min="9226" max="9226" width="9" style="1" customWidth="1"/>
    <col min="9227" max="9227" width="15.85546875" style="1" customWidth="1"/>
    <col min="9228" max="9228" width="15.7109375" style="1" customWidth="1"/>
    <col min="9229" max="9229" width="15.42578125" style="1" customWidth="1"/>
    <col min="9230" max="9230" width="17.140625" style="1" customWidth="1"/>
    <col min="9231" max="9231" width="37.85546875" style="1" customWidth="1"/>
    <col min="9232" max="9232" width="36.5703125" style="1" customWidth="1"/>
    <col min="9233" max="9233" width="29.42578125" style="1" customWidth="1"/>
    <col min="9234" max="9478" width="8.85546875" style="1"/>
    <col min="9479" max="9479" width="4" style="1" customWidth="1"/>
    <col min="9480" max="9480" width="59.7109375" style="1" customWidth="1"/>
    <col min="9481" max="9481" width="4.85546875" style="1" customWidth="1"/>
    <col min="9482" max="9482" width="9" style="1" customWidth="1"/>
    <col min="9483" max="9483" width="15.85546875" style="1" customWidth="1"/>
    <col min="9484" max="9484" width="15.7109375" style="1" customWidth="1"/>
    <col min="9485" max="9485" width="15.42578125" style="1" customWidth="1"/>
    <col min="9486" max="9486" width="17.140625" style="1" customWidth="1"/>
    <col min="9487" max="9487" width="37.85546875" style="1" customWidth="1"/>
    <col min="9488" max="9488" width="36.5703125" style="1" customWidth="1"/>
    <col min="9489" max="9489" width="29.42578125" style="1" customWidth="1"/>
    <col min="9490" max="9734" width="8.85546875" style="1"/>
    <col min="9735" max="9735" width="4" style="1" customWidth="1"/>
    <col min="9736" max="9736" width="59.7109375" style="1" customWidth="1"/>
    <col min="9737" max="9737" width="4.85546875" style="1" customWidth="1"/>
    <col min="9738" max="9738" width="9" style="1" customWidth="1"/>
    <col min="9739" max="9739" width="15.85546875" style="1" customWidth="1"/>
    <col min="9740" max="9740" width="15.7109375" style="1" customWidth="1"/>
    <col min="9741" max="9741" width="15.42578125" style="1" customWidth="1"/>
    <col min="9742" max="9742" width="17.140625" style="1" customWidth="1"/>
    <col min="9743" max="9743" width="37.85546875" style="1" customWidth="1"/>
    <col min="9744" max="9744" width="36.5703125" style="1" customWidth="1"/>
    <col min="9745" max="9745" width="29.42578125" style="1" customWidth="1"/>
    <col min="9746" max="9990" width="8.85546875" style="1"/>
    <col min="9991" max="9991" width="4" style="1" customWidth="1"/>
    <col min="9992" max="9992" width="59.7109375" style="1" customWidth="1"/>
    <col min="9993" max="9993" width="4.85546875" style="1" customWidth="1"/>
    <col min="9994" max="9994" width="9" style="1" customWidth="1"/>
    <col min="9995" max="9995" width="15.85546875" style="1" customWidth="1"/>
    <col min="9996" max="9996" width="15.7109375" style="1" customWidth="1"/>
    <col min="9997" max="9997" width="15.42578125" style="1" customWidth="1"/>
    <col min="9998" max="9998" width="17.140625" style="1" customWidth="1"/>
    <col min="9999" max="9999" width="37.85546875" style="1" customWidth="1"/>
    <col min="10000" max="10000" width="36.5703125" style="1" customWidth="1"/>
    <col min="10001" max="10001" width="29.42578125" style="1" customWidth="1"/>
    <col min="10002" max="10246" width="8.85546875" style="1"/>
    <col min="10247" max="10247" width="4" style="1" customWidth="1"/>
    <col min="10248" max="10248" width="59.7109375" style="1" customWidth="1"/>
    <col min="10249" max="10249" width="4.85546875" style="1" customWidth="1"/>
    <col min="10250" max="10250" width="9" style="1" customWidth="1"/>
    <col min="10251" max="10251" width="15.85546875" style="1" customWidth="1"/>
    <col min="10252" max="10252" width="15.7109375" style="1" customWidth="1"/>
    <col min="10253" max="10253" width="15.42578125" style="1" customWidth="1"/>
    <col min="10254" max="10254" width="17.140625" style="1" customWidth="1"/>
    <col min="10255" max="10255" width="37.85546875" style="1" customWidth="1"/>
    <col min="10256" max="10256" width="36.5703125" style="1" customWidth="1"/>
    <col min="10257" max="10257" width="29.42578125" style="1" customWidth="1"/>
    <col min="10258" max="10502" width="8.85546875" style="1"/>
    <col min="10503" max="10503" width="4" style="1" customWidth="1"/>
    <col min="10504" max="10504" width="59.7109375" style="1" customWidth="1"/>
    <col min="10505" max="10505" width="4.85546875" style="1" customWidth="1"/>
    <col min="10506" max="10506" width="9" style="1" customWidth="1"/>
    <col min="10507" max="10507" width="15.85546875" style="1" customWidth="1"/>
    <col min="10508" max="10508" width="15.7109375" style="1" customWidth="1"/>
    <col min="10509" max="10509" width="15.42578125" style="1" customWidth="1"/>
    <col min="10510" max="10510" width="17.140625" style="1" customWidth="1"/>
    <col min="10511" max="10511" width="37.85546875" style="1" customWidth="1"/>
    <col min="10512" max="10512" width="36.5703125" style="1" customWidth="1"/>
    <col min="10513" max="10513" width="29.42578125" style="1" customWidth="1"/>
    <col min="10514" max="10758" width="8.85546875" style="1"/>
    <col min="10759" max="10759" width="4" style="1" customWidth="1"/>
    <col min="10760" max="10760" width="59.7109375" style="1" customWidth="1"/>
    <col min="10761" max="10761" width="4.85546875" style="1" customWidth="1"/>
    <col min="10762" max="10762" width="9" style="1" customWidth="1"/>
    <col min="10763" max="10763" width="15.85546875" style="1" customWidth="1"/>
    <col min="10764" max="10764" width="15.7109375" style="1" customWidth="1"/>
    <col min="10765" max="10765" width="15.42578125" style="1" customWidth="1"/>
    <col min="10766" max="10766" width="17.140625" style="1" customWidth="1"/>
    <col min="10767" max="10767" width="37.85546875" style="1" customWidth="1"/>
    <col min="10768" max="10768" width="36.5703125" style="1" customWidth="1"/>
    <col min="10769" max="10769" width="29.42578125" style="1" customWidth="1"/>
    <col min="10770" max="11014" width="8.85546875" style="1"/>
    <col min="11015" max="11015" width="4" style="1" customWidth="1"/>
    <col min="11016" max="11016" width="59.7109375" style="1" customWidth="1"/>
    <col min="11017" max="11017" width="4.85546875" style="1" customWidth="1"/>
    <col min="11018" max="11018" width="9" style="1" customWidth="1"/>
    <col min="11019" max="11019" width="15.85546875" style="1" customWidth="1"/>
    <col min="11020" max="11020" width="15.7109375" style="1" customWidth="1"/>
    <col min="11021" max="11021" width="15.42578125" style="1" customWidth="1"/>
    <col min="11022" max="11022" width="17.140625" style="1" customWidth="1"/>
    <col min="11023" max="11023" width="37.85546875" style="1" customWidth="1"/>
    <col min="11024" max="11024" width="36.5703125" style="1" customWidth="1"/>
    <col min="11025" max="11025" width="29.42578125" style="1" customWidth="1"/>
    <col min="11026" max="11270" width="8.85546875" style="1"/>
    <col min="11271" max="11271" width="4" style="1" customWidth="1"/>
    <col min="11272" max="11272" width="59.7109375" style="1" customWidth="1"/>
    <col min="11273" max="11273" width="4.85546875" style="1" customWidth="1"/>
    <col min="11274" max="11274" width="9" style="1" customWidth="1"/>
    <col min="11275" max="11275" width="15.85546875" style="1" customWidth="1"/>
    <col min="11276" max="11276" width="15.7109375" style="1" customWidth="1"/>
    <col min="11277" max="11277" width="15.42578125" style="1" customWidth="1"/>
    <col min="11278" max="11278" width="17.140625" style="1" customWidth="1"/>
    <col min="11279" max="11279" width="37.85546875" style="1" customWidth="1"/>
    <col min="11280" max="11280" width="36.5703125" style="1" customWidth="1"/>
    <col min="11281" max="11281" width="29.42578125" style="1" customWidth="1"/>
    <col min="11282" max="11526" width="8.85546875" style="1"/>
    <col min="11527" max="11527" width="4" style="1" customWidth="1"/>
    <col min="11528" max="11528" width="59.7109375" style="1" customWidth="1"/>
    <col min="11529" max="11529" width="4.85546875" style="1" customWidth="1"/>
    <col min="11530" max="11530" width="9" style="1" customWidth="1"/>
    <col min="11531" max="11531" width="15.85546875" style="1" customWidth="1"/>
    <col min="11532" max="11532" width="15.7109375" style="1" customWidth="1"/>
    <col min="11533" max="11533" width="15.42578125" style="1" customWidth="1"/>
    <col min="11534" max="11534" width="17.140625" style="1" customWidth="1"/>
    <col min="11535" max="11535" width="37.85546875" style="1" customWidth="1"/>
    <col min="11536" max="11536" width="36.5703125" style="1" customWidth="1"/>
    <col min="11537" max="11537" width="29.42578125" style="1" customWidth="1"/>
    <col min="11538" max="11782" width="8.85546875" style="1"/>
    <col min="11783" max="11783" width="4" style="1" customWidth="1"/>
    <col min="11784" max="11784" width="59.7109375" style="1" customWidth="1"/>
    <col min="11785" max="11785" width="4.85546875" style="1" customWidth="1"/>
    <col min="11786" max="11786" width="9" style="1" customWidth="1"/>
    <col min="11787" max="11787" width="15.85546875" style="1" customWidth="1"/>
    <col min="11788" max="11788" width="15.7109375" style="1" customWidth="1"/>
    <col min="11789" max="11789" width="15.42578125" style="1" customWidth="1"/>
    <col min="11790" max="11790" width="17.140625" style="1" customWidth="1"/>
    <col min="11791" max="11791" width="37.85546875" style="1" customWidth="1"/>
    <col min="11792" max="11792" width="36.5703125" style="1" customWidth="1"/>
    <col min="11793" max="11793" width="29.42578125" style="1" customWidth="1"/>
    <col min="11794" max="12038" width="8.85546875" style="1"/>
    <col min="12039" max="12039" width="4" style="1" customWidth="1"/>
    <col min="12040" max="12040" width="59.7109375" style="1" customWidth="1"/>
    <col min="12041" max="12041" width="4.85546875" style="1" customWidth="1"/>
    <col min="12042" max="12042" width="9" style="1" customWidth="1"/>
    <col min="12043" max="12043" width="15.85546875" style="1" customWidth="1"/>
    <col min="12044" max="12044" width="15.7109375" style="1" customWidth="1"/>
    <col min="12045" max="12045" width="15.42578125" style="1" customWidth="1"/>
    <col min="12046" max="12046" width="17.140625" style="1" customWidth="1"/>
    <col min="12047" max="12047" width="37.85546875" style="1" customWidth="1"/>
    <col min="12048" max="12048" width="36.5703125" style="1" customWidth="1"/>
    <col min="12049" max="12049" width="29.42578125" style="1" customWidth="1"/>
    <col min="12050" max="12294" width="8.85546875" style="1"/>
    <col min="12295" max="12295" width="4" style="1" customWidth="1"/>
    <col min="12296" max="12296" width="59.7109375" style="1" customWidth="1"/>
    <col min="12297" max="12297" width="4.85546875" style="1" customWidth="1"/>
    <col min="12298" max="12298" width="9" style="1" customWidth="1"/>
    <col min="12299" max="12299" width="15.85546875" style="1" customWidth="1"/>
    <col min="12300" max="12300" width="15.7109375" style="1" customWidth="1"/>
    <col min="12301" max="12301" width="15.42578125" style="1" customWidth="1"/>
    <col min="12302" max="12302" width="17.140625" style="1" customWidth="1"/>
    <col min="12303" max="12303" width="37.85546875" style="1" customWidth="1"/>
    <col min="12304" max="12304" width="36.5703125" style="1" customWidth="1"/>
    <col min="12305" max="12305" width="29.42578125" style="1" customWidth="1"/>
    <col min="12306" max="12550" width="8.85546875" style="1"/>
    <col min="12551" max="12551" width="4" style="1" customWidth="1"/>
    <col min="12552" max="12552" width="59.7109375" style="1" customWidth="1"/>
    <col min="12553" max="12553" width="4.85546875" style="1" customWidth="1"/>
    <col min="12554" max="12554" width="9" style="1" customWidth="1"/>
    <col min="12555" max="12555" width="15.85546875" style="1" customWidth="1"/>
    <col min="12556" max="12556" width="15.7109375" style="1" customWidth="1"/>
    <col min="12557" max="12557" width="15.42578125" style="1" customWidth="1"/>
    <col min="12558" max="12558" width="17.140625" style="1" customWidth="1"/>
    <col min="12559" max="12559" width="37.85546875" style="1" customWidth="1"/>
    <col min="12560" max="12560" width="36.5703125" style="1" customWidth="1"/>
    <col min="12561" max="12561" width="29.42578125" style="1" customWidth="1"/>
    <col min="12562" max="12806" width="8.85546875" style="1"/>
    <col min="12807" max="12807" width="4" style="1" customWidth="1"/>
    <col min="12808" max="12808" width="59.7109375" style="1" customWidth="1"/>
    <col min="12809" max="12809" width="4.85546875" style="1" customWidth="1"/>
    <col min="12810" max="12810" width="9" style="1" customWidth="1"/>
    <col min="12811" max="12811" width="15.85546875" style="1" customWidth="1"/>
    <col min="12812" max="12812" width="15.7109375" style="1" customWidth="1"/>
    <col min="12813" max="12813" width="15.42578125" style="1" customWidth="1"/>
    <col min="12814" max="12814" width="17.140625" style="1" customWidth="1"/>
    <col min="12815" max="12815" width="37.85546875" style="1" customWidth="1"/>
    <col min="12816" max="12816" width="36.5703125" style="1" customWidth="1"/>
    <col min="12817" max="12817" width="29.42578125" style="1" customWidth="1"/>
    <col min="12818" max="13062" width="8.85546875" style="1"/>
    <col min="13063" max="13063" width="4" style="1" customWidth="1"/>
    <col min="13064" max="13064" width="59.7109375" style="1" customWidth="1"/>
    <col min="13065" max="13065" width="4.85546875" style="1" customWidth="1"/>
    <col min="13066" max="13066" width="9" style="1" customWidth="1"/>
    <col min="13067" max="13067" width="15.85546875" style="1" customWidth="1"/>
    <col min="13068" max="13068" width="15.7109375" style="1" customWidth="1"/>
    <col min="13069" max="13069" width="15.42578125" style="1" customWidth="1"/>
    <col min="13070" max="13070" width="17.140625" style="1" customWidth="1"/>
    <col min="13071" max="13071" width="37.85546875" style="1" customWidth="1"/>
    <col min="13072" max="13072" width="36.5703125" style="1" customWidth="1"/>
    <col min="13073" max="13073" width="29.42578125" style="1" customWidth="1"/>
    <col min="13074" max="13318" width="8.85546875" style="1"/>
    <col min="13319" max="13319" width="4" style="1" customWidth="1"/>
    <col min="13320" max="13320" width="59.7109375" style="1" customWidth="1"/>
    <col min="13321" max="13321" width="4.85546875" style="1" customWidth="1"/>
    <col min="13322" max="13322" width="9" style="1" customWidth="1"/>
    <col min="13323" max="13323" width="15.85546875" style="1" customWidth="1"/>
    <col min="13324" max="13324" width="15.7109375" style="1" customWidth="1"/>
    <col min="13325" max="13325" width="15.42578125" style="1" customWidth="1"/>
    <col min="13326" max="13326" width="17.140625" style="1" customWidth="1"/>
    <col min="13327" max="13327" width="37.85546875" style="1" customWidth="1"/>
    <col min="13328" max="13328" width="36.5703125" style="1" customWidth="1"/>
    <col min="13329" max="13329" width="29.42578125" style="1" customWidth="1"/>
    <col min="13330" max="13574" width="8.85546875" style="1"/>
    <col min="13575" max="13575" width="4" style="1" customWidth="1"/>
    <col min="13576" max="13576" width="59.7109375" style="1" customWidth="1"/>
    <col min="13577" max="13577" width="4.85546875" style="1" customWidth="1"/>
    <col min="13578" max="13578" width="9" style="1" customWidth="1"/>
    <col min="13579" max="13579" width="15.85546875" style="1" customWidth="1"/>
    <col min="13580" max="13580" width="15.7109375" style="1" customWidth="1"/>
    <col min="13581" max="13581" width="15.42578125" style="1" customWidth="1"/>
    <col min="13582" max="13582" width="17.140625" style="1" customWidth="1"/>
    <col min="13583" max="13583" width="37.85546875" style="1" customWidth="1"/>
    <col min="13584" max="13584" width="36.5703125" style="1" customWidth="1"/>
    <col min="13585" max="13585" width="29.42578125" style="1" customWidth="1"/>
    <col min="13586" max="13830" width="8.85546875" style="1"/>
    <col min="13831" max="13831" width="4" style="1" customWidth="1"/>
    <col min="13832" max="13832" width="59.7109375" style="1" customWidth="1"/>
    <col min="13833" max="13833" width="4.85546875" style="1" customWidth="1"/>
    <col min="13834" max="13834" width="9" style="1" customWidth="1"/>
    <col min="13835" max="13835" width="15.85546875" style="1" customWidth="1"/>
    <col min="13836" max="13836" width="15.7109375" style="1" customWidth="1"/>
    <col min="13837" max="13837" width="15.42578125" style="1" customWidth="1"/>
    <col min="13838" max="13838" width="17.140625" style="1" customWidth="1"/>
    <col min="13839" max="13839" width="37.85546875" style="1" customWidth="1"/>
    <col min="13840" max="13840" width="36.5703125" style="1" customWidth="1"/>
    <col min="13841" max="13841" width="29.42578125" style="1" customWidth="1"/>
    <col min="13842" max="14086" width="8.85546875" style="1"/>
    <col min="14087" max="14087" width="4" style="1" customWidth="1"/>
    <col min="14088" max="14088" width="59.7109375" style="1" customWidth="1"/>
    <col min="14089" max="14089" width="4.85546875" style="1" customWidth="1"/>
    <col min="14090" max="14090" width="9" style="1" customWidth="1"/>
    <col min="14091" max="14091" width="15.85546875" style="1" customWidth="1"/>
    <col min="14092" max="14092" width="15.7109375" style="1" customWidth="1"/>
    <col min="14093" max="14093" width="15.42578125" style="1" customWidth="1"/>
    <col min="14094" max="14094" width="17.140625" style="1" customWidth="1"/>
    <col min="14095" max="14095" width="37.85546875" style="1" customWidth="1"/>
    <col min="14096" max="14096" width="36.5703125" style="1" customWidth="1"/>
    <col min="14097" max="14097" width="29.42578125" style="1" customWidth="1"/>
    <col min="14098" max="14342" width="8.85546875" style="1"/>
    <col min="14343" max="14343" width="4" style="1" customWidth="1"/>
    <col min="14344" max="14344" width="59.7109375" style="1" customWidth="1"/>
    <col min="14345" max="14345" width="4.85546875" style="1" customWidth="1"/>
    <col min="14346" max="14346" width="9" style="1" customWidth="1"/>
    <col min="14347" max="14347" width="15.85546875" style="1" customWidth="1"/>
    <col min="14348" max="14348" width="15.7109375" style="1" customWidth="1"/>
    <col min="14349" max="14349" width="15.42578125" style="1" customWidth="1"/>
    <col min="14350" max="14350" width="17.140625" style="1" customWidth="1"/>
    <col min="14351" max="14351" width="37.85546875" style="1" customWidth="1"/>
    <col min="14352" max="14352" width="36.5703125" style="1" customWidth="1"/>
    <col min="14353" max="14353" width="29.42578125" style="1" customWidth="1"/>
    <col min="14354" max="14598" width="8.85546875" style="1"/>
    <col min="14599" max="14599" width="4" style="1" customWidth="1"/>
    <col min="14600" max="14600" width="59.7109375" style="1" customWidth="1"/>
    <col min="14601" max="14601" width="4.85546875" style="1" customWidth="1"/>
    <col min="14602" max="14602" width="9" style="1" customWidth="1"/>
    <col min="14603" max="14603" width="15.85546875" style="1" customWidth="1"/>
    <col min="14604" max="14604" width="15.7109375" style="1" customWidth="1"/>
    <col min="14605" max="14605" width="15.42578125" style="1" customWidth="1"/>
    <col min="14606" max="14606" width="17.140625" style="1" customWidth="1"/>
    <col min="14607" max="14607" width="37.85546875" style="1" customWidth="1"/>
    <col min="14608" max="14608" width="36.5703125" style="1" customWidth="1"/>
    <col min="14609" max="14609" width="29.42578125" style="1" customWidth="1"/>
    <col min="14610" max="14854" width="8.85546875" style="1"/>
    <col min="14855" max="14855" width="4" style="1" customWidth="1"/>
    <col min="14856" max="14856" width="59.7109375" style="1" customWidth="1"/>
    <col min="14857" max="14857" width="4.85546875" style="1" customWidth="1"/>
    <col min="14858" max="14858" width="9" style="1" customWidth="1"/>
    <col min="14859" max="14859" width="15.85546875" style="1" customWidth="1"/>
    <col min="14860" max="14860" width="15.7109375" style="1" customWidth="1"/>
    <col min="14861" max="14861" width="15.42578125" style="1" customWidth="1"/>
    <col min="14862" max="14862" width="17.140625" style="1" customWidth="1"/>
    <col min="14863" max="14863" width="37.85546875" style="1" customWidth="1"/>
    <col min="14864" max="14864" width="36.5703125" style="1" customWidth="1"/>
    <col min="14865" max="14865" width="29.42578125" style="1" customWidth="1"/>
    <col min="14866" max="15110" width="8.85546875" style="1"/>
    <col min="15111" max="15111" width="4" style="1" customWidth="1"/>
    <col min="15112" max="15112" width="59.7109375" style="1" customWidth="1"/>
    <col min="15113" max="15113" width="4.85546875" style="1" customWidth="1"/>
    <col min="15114" max="15114" width="9" style="1" customWidth="1"/>
    <col min="15115" max="15115" width="15.85546875" style="1" customWidth="1"/>
    <col min="15116" max="15116" width="15.7109375" style="1" customWidth="1"/>
    <col min="15117" max="15117" width="15.42578125" style="1" customWidth="1"/>
    <col min="15118" max="15118" width="17.140625" style="1" customWidth="1"/>
    <col min="15119" max="15119" width="37.85546875" style="1" customWidth="1"/>
    <col min="15120" max="15120" width="36.5703125" style="1" customWidth="1"/>
    <col min="15121" max="15121" width="29.42578125" style="1" customWidth="1"/>
    <col min="15122" max="15366" width="8.85546875" style="1"/>
    <col min="15367" max="15367" width="4" style="1" customWidth="1"/>
    <col min="15368" max="15368" width="59.7109375" style="1" customWidth="1"/>
    <col min="15369" max="15369" width="4.85546875" style="1" customWidth="1"/>
    <col min="15370" max="15370" width="9" style="1" customWidth="1"/>
    <col min="15371" max="15371" width="15.85546875" style="1" customWidth="1"/>
    <col min="15372" max="15372" width="15.7109375" style="1" customWidth="1"/>
    <col min="15373" max="15373" width="15.42578125" style="1" customWidth="1"/>
    <col min="15374" max="15374" width="17.140625" style="1" customWidth="1"/>
    <col min="15375" max="15375" width="37.85546875" style="1" customWidth="1"/>
    <col min="15376" max="15376" width="36.5703125" style="1" customWidth="1"/>
    <col min="15377" max="15377" width="29.42578125" style="1" customWidth="1"/>
    <col min="15378" max="15622" width="8.85546875" style="1"/>
    <col min="15623" max="15623" width="4" style="1" customWidth="1"/>
    <col min="15624" max="15624" width="59.7109375" style="1" customWidth="1"/>
    <col min="15625" max="15625" width="4.85546875" style="1" customWidth="1"/>
    <col min="15626" max="15626" width="9" style="1" customWidth="1"/>
    <col min="15627" max="15627" width="15.85546875" style="1" customWidth="1"/>
    <col min="15628" max="15628" width="15.7109375" style="1" customWidth="1"/>
    <col min="15629" max="15629" width="15.42578125" style="1" customWidth="1"/>
    <col min="15630" max="15630" width="17.140625" style="1" customWidth="1"/>
    <col min="15631" max="15631" width="37.85546875" style="1" customWidth="1"/>
    <col min="15632" max="15632" width="36.5703125" style="1" customWidth="1"/>
    <col min="15633" max="15633" width="29.42578125" style="1" customWidth="1"/>
    <col min="15634" max="15878" width="8.85546875" style="1"/>
    <col min="15879" max="15879" width="4" style="1" customWidth="1"/>
    <col min="15880" max="15880" width="59.7109375" style="1" customWidth="1"/>
    <col min="15881" max="15881" width="4.85546875" style="1" customWidth="1"/>
    <col min="15882" max="15882" width="9" style="1" customWidth="1"/>
    <col min="15883" max="15883" width="15.85546875" style="1" customWidth="1"/>
    <col min="15884" max="15884" width="15.7109375" style="1" customWidth="1"/>
    <col min="15885" max="15885" width="15.42578125" style="1" customWidth="1"/>
    <col min="15886" max="15886" width="17.140625" style="1" customWidth="1"/>
    <col min="15887" max="15887" width="37.85546875" style="1" customWidth="1"/>
    <col min="15888" max="15888" width="36.5703125" style="1" customWidth="1"/>
    <col min="15889" max="15889" width="29.42578125" style="1" customWidth="1"/>
    <col min="15890" max="16134" width="8.85546875" style="1"/>
    <col min="16135" max="16135" width="4" style="1" customWidth="1"/>
    <col min="16136" max="16136" width="59.7109375" style="1" customWidth="1"/>
    <col min="16137" max="16137" width="4.85546875" style="1" customWidth="1"/>
    <col min="16138" max="16138" width="9" style="1" customWidth="1"/>
    <col min="16139" max="16139" width="15.85546875" style="1" customWidth="1"/>
    <col min="16140" max="16140" width="15.7109375" style="1" customWidth="1"/>
    <col min="16141" max="16141" width="15.42578125" style="1" customWidth="1"/>
    <col min="16142" max="16142" width="17.140625" style="1" customWidth="1"/>
    <col min="16143" max="16143" width="37.85546875" style="1" customWidth="1"/>
    <col min="16144" max="16144" width="36.5703125" style="1" customWidth="1"/>
    <col min="16145" max="16145" width="29.42578125" style="1" customWidth="1"/>
    <col min="16146" max="16384" width="8.85546875" style="1"/>
  </cols>
  <sheetData>
    <row r="1" spans="1:22" ht="22.15" customHeight="1">
      <c r="G1" s="35">
        <v>45999</v>
      </c>
      <c r="H1" s="35">
        <v>45999</v>
      </c>
      <c r="M1" s="35">
        <f ca="1">TODAY()</f>
        <v>46002</v>
      </c>
      <c r="N1" s="35">
        <f ca="1">TODAY()</f>
        <v>46002</v>
      </c>
      <c r="O1" s="36" t="s">
        <v>88</v>
      </c>
      <c r="P1" s="37" t="s">
        <v>89</v>
      </c>
    </row>
    <row r="2" spans="1:22" ht="30" customHeight="1">
      <c r="A2"/>
      <c r="B2" s="3" t="s">
        <v>0</v>
      </c>
      <c r="C2" s="3" t="s">
        <v>1</v>
      </c>
      <c r="D2" s="24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24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31"/>
      <c r="P2" s="23"/>
    </row>
    <row r="3" spans="1:22" ht="22.15" hidden="1" customHeight="1">
      <c r="A3"/>
      <c r="B3" s="6" t="s">
        <v>7</v>
      </c>
      <c r="C3" s="6" t="s">
        <v>8</v>
      </c>
      <c r="D3" s="28">
        <v>124</v>
      </c>
      <c r="E3" s="7">
        <v>45254</v>
      </c>
      <c r="F3" s="7">
        <v>45299</v>
      </c>
      <c r="G3" s="8">
        <f t="shared" ref="G3:G37" si="0">IFERROR((F3-$G$1)/(F3-E3)*100,"")</f>
        <v>-1555.5555555555554</v>
      </c>
      <c r="H3" s="8">
        <f t="shared" ref="H3:H37" si="1">F3-$H$1</f>
        <v>-700</v>
      </c>
      <c r="I3" s="6" t="s">
        <v>8</v>
      </c>
      <c r="J3" s="28">
        <v>124</v>
      </c>
      <c r="K3" s="7">
        <v>45254</v>
      </c>
      <c r="L3" s="7">
        <v>45299</v>
      </c>
      <c r="M3" s="8">
        <f t="shared" ref="M3:M37" si="2">IFERROR((L3-$G$1)/(L3-K3)*100,"")</f>
        <v>-1555.5555555555554</v>
      </c>
      <c r="N3" s="8">
        <f t="shared" ref="N3:N37" si="3">L3-$H$1</f>
        <v>-700</v>
      </c>
      <c r="O3" s="31"/>
      <c r="P3" s="23"/>
      <c r="R3" s="19"/>
      <c r="S3" s="19"/>
      <c r="T3" s="19"/>
      <c r="U3" s="19"/>
      <c r="V3" s="19"/>
    </row>
    <row r="4" spans="1:22" ht="22.15" hidden="1" customHeight="1">
      <c r="A4"/>
      <c r="B4" s="6" t="s">
        <v>9</v>
      </c>
      <c r="C4" s="6" t="s">
        <v>8</v>
      </c>
      <c r="D4" s="28">
        <v>115</v>
      </c>
      <c r="E4" s="7">
        <v>45254</v>
      </c>
      <c r="F4" s="7">
        <v>45299</v>
      </c>
      <c r="G4" s="8">
        <f t="shared" si="0"/>
        <v>-1555.5555555555554</v>
      </c>
      <c r="H4" s="8">
        <f t="shared" si="1"/>
        <v>-700</v>
      </c>
      <c r="I4" s="6" t="s">
        <v>8</v>
      </c>
      <c r="J4" s="28">
        <v>115</v>
      </c>
      <c r="K4" s="7">
        <v>45254</v>
      </c>
      <c r="L4" s="7">
        <v>45299</v>
      </c>
      <c r="M4" s="8">
        <f t="shared" si="2"/>
        <v>-1555.5555555555554</v>
      </c>
      <c r="N4" s="8">
        <f t="shared" si="3"/>
        <v>-700</v>
      </c>
      <c r="O4" s="31"/>
      <c r="P4" s="23"/>
      <c r="R4" s="20" t="s">
        <v>10</v>
      </c>
      <c r="S4" s="20"/>
      <c r="T4" s="20"/>
      <c r="U4" s="20"/>
      <c r="V4" s="20"/>
    </row>
    <row r="5" spans="1:22" ht="22.15" hidden="1" customHeight="1">
      <c r="A5"/>
      <c r="B5" s="6" t="s">
        <v>11</v>
      </c>
      <c r="C5" s="6" t="s">
        <v>8</v>
      </c>
      <c r="D5" s="28">
        <v>54</v>
      </c>
      <c r="E5" s="9">
        <v>45256</v>
      </c>
      <c r="F5" s="9">
        <v>45301</v>
      </c>
      <c r="G5" s="8">
        <f t="shared" si="0"/>
        <v>-1551.1111111111111</v>
      </c>
      <c r="H5" s="8">
        <f t="shared" si="1"/>
        <v>-698</v>
      </c>
      <c r="I5" s="6" t="s">
        <v>8</v>
      </c>
      <c r="J5" s="28">
        <v>54</v>
      </c>
      <c r="K5" s="9">
        <v>45256</v>
      </c>
      <c r="L5" s="9">
        <v>45301</v>
      </c>
      <c r="M5" s="8">
        <f t="shared" si="2"/>
        <v>-1551.1111111111111</v>
      </c>
      <c r="N5" s="8">
        <f t="shared" si="3"/>
        <v>-698</v>
      </c>
      <c r="O5" s="31"/>
      <c r="P5" s="23"/>
      <c r="R5" s="20"/>
      <c r="S5" s="20"/>
      <c r="T5" s="20"/>
      <c r="U5" s="20"/>
      <c r="V5" s="20"/>
    </row>
    <row r="6" spans="1:22" ht="22.15" hidden="1" customHeight="1">
      <c r="A6"/>
      <c r="B6" s="6" t="s">
        <v>12</v>
      </c>
      <c r="C6" s="6" t="s">
        <v>8</v>
      </c>
      <c r="D6" s="28">
        <v>65</v>
      </c>
      <c r="E6" s="9">
        <v>45268</v>
      </c>
      <c r="F6" s="9">
        <v>45303</v>
      </c>
      <c r="G6" s="8">
        <f t="shared" si="0"/>
        <v>-1988.5714285714287</v>
      </c>
      <c r="H6" s="8">
        <f t="shared" si="1"/>
        <v>-696</v>
      </c>
      <c r="I6" s="6" t="s">
        <v>8</v>
      </c>
      <c r="J6" s="28">
        <v>65</v>
      </c>
      <c r="K6" s="9">
        <v>45268</v>
      </c>
      <c r="L6" s="9">
        <v>45303</v>
      </c>
      <c r="M6" s="8">
        <f t="shared" si="2"/>
        <v>-1988.5714285714287</v>
      </c>
      <c r="N6" s="8">
        <f t="shared" si="3"/>
        <v>-696</v>
      </c>
      <c r="O6" s="31"/>
      <c r="P6" s="23"/>
      <c r="R6" s="10"/>
      <c r="S6" s="10"/>
      <c r="T6" s="10"/>
      <c r="U6" s="10"/>
      <c r="V6" s="10"/>
    </row>
    <row r="7" spans="1:22" ht="22.15" hidden="1" customHeight="1">
      <c r="A7"/>
      <c r="B7" s="6" t="s">
        <v>13</v>
      </c>
      <c r="C7" s="6" t="s">
        <v>8</v>
      </c>
      <c r="D7" s="28">
        <v>32</v>
      </c>
      <c r="E7" s="9">
        <v>45269</v>
      </c>
      <c r="F7" s="9">
        <v>45304</v>
      </c>
      <c r="G7" s="8">
        <f t="shared" si="0"/>
        <v>-1985.7142857142858</v>
      </c>
      <c r="H7" s="8">
        <f t="shared" si="1"/>
        <v>-695</v>
      </c>
      <c r="I7" s="6" t="s">
        <v>8</v>
      </c>
      <c r="J7" s="28">
        <v>32</v>
      </c>
      <c r="K7" s="9">
        <v>45269</v>
      </c>
      <c r="L7" s="9">
        <v>45304</v>
      </c>
      <c r="M7" s="8">
        <f t="shared" si="2"/>
        <v>-1985.7142857142858</v>
      </c>
      <c r="N7" s="8">
        <f t="shared" si="3"/>
        <v>-695</v>
      </c>
      <c r="O7" s="31"/>
      <c r="P7" s="23"/>
      <c r="R7" s="21"/>
      <c r="S7" s="21"/>
      <c r="T7" s="21"/>
      <c r="U7" s="21"/>
      <c r="V7" s="21"/>
    </row>
    <row r="8" spans="1:22" ht="22.15" hidden="1" customHeight="1">
      <c r="A8"/>
      <c r="B8" s="6" t="s">
        <v>14</v>
      </c>
      <c r="C8" s="6" t="s">
        <v>15</v>
      </c>
      <c r="D8" s="28">
        <v>217.8</v>
      </c>
      <c r="E8" s="9">
        <v>45275</v>
      </c>
      <c r="F8" s="9">
        <v>45305</v>
      </c>
      <c r="G8" s="8">
        <f t="shared" si="0"/>
        <v>-2313.3333333333335</v>
      </c>
      <c r="H8" s="8">
        <f t="shared" si="1"/>
        <v>-694</v>
      </c>
      <c r="I8" s="6" t="s">
        <v>15</v>
      </c>
      <c r="J8" s="28">
        <v>217.8</v>
      </c>
      <c r="K8" s="9">
        <v>45275</v>
      </c>
      <c r="L8" s="9">
        <v>45305</v>
      </c>
      <c r="M8" s="8">
        <f t="shared" si="2"/>
        <v>-2313.3333333333335</v>
      </c>
      <c r="N8" s="8">
        <f t="shared" si="3"/>
        <v>-694</v>
      </c>
      <c r="O8" s="31"/>
      <c r="P8" s="23"/>
      <c r="R8" s="19"/>
      <c r="S8" s="19"/>
      <c r="T8" s="19"/>
      <c r="U8" s="19"/>
      <c r="V8" s="19"/>
    </row>
    <row r="9" spans="1:22" ht="22.15" hidden="1" customHeight="1">
      <c r="A9"/>
      <c r="B9" s="6" t="s">
        <v>16</v>
      </c>
      <c r="C9" s="6" t="s">
        <v>15</v>
      </c>
      <c r="D9" s="28">
        <v>68.8</v>
      </c>
      <c r="E9" s="9">
        <v>45265</v>
      </c>
      <c r="F9" s="9">
        <v>45305</v>
      </c>
      <c r="G9" s="8">
        <f t="shared" si="0"/>
        <v>-1735.0000000000002</v>
      </c>
      <c r="H9" s="8">
        <f t="shared" si="1"/>
        <v>-694</v>
      </c>
      <c r="I9" s="6" t="s">
        <v>15</v>
      </c>
      <c r="J9" s="28">
        <v>68.8</v>
      </c>
      <c r="K9" s="9">
        <v>45265</v>
      </c>
      <c r="L9" s="9">
        <v>45305</v>
      </c>
      <c r="M9" s="8">
        <f t="shared" si="2"/>
        <v>-1735.0000000000002</v>
      </c>
      <c r="N9" s="8">
        <f t="shared" si="3"/>
        <v>-694</v>
      </c>
      <c r="O9" s="31"/>
      <c r="P9" s="23"/>
      <c r="R9" s="20" t="s">
        <v>17</v>
      </c>
      <c r="S9" s="20"/>
      <c r="T9" s="20"/>
      <c r="U9" s="20"/>
      <c r="V9" s="20"/>
    </row>
    <row r="10" spans="1:22" ht="22.15" hidden="1" customHeight="1">
      <c r="A10"/>
      <c r="B10" s="6" t="s">
        <v>18</v>
      </c>
      <c r="C10" s="6" t="s">
        <v>15</v>
      </c>
      <c r="D10" s="28">
        <v>42.16</v>
      </c>
      <c r="E10" s="9">
        <v>45260</v>
      </c>
      <c r="F10" s="9">
        <v>45305</v>
      </c>
      <c r="G10" s="8">
        <f t="shared" si="0"/>
        <v>-1542.2222222222222</v>
      </c>
      <c r="H10" s="8">
        <f t="shared" si="1"/>
        <v>-694</v>
      </c>
      <c r="I10" s="6" t="s">
        <v>15</v>
      </c>
      <c r="J10" s="28">
        <v>42.16</v>
      </c>
      <c r="K10" s="9">
        <v>45260</v>
      </c>
      <c r="L10" s="9">
        <v>45305</v>
      </c>
      <c r="M10" s="8">
        <f t="shared" si="2"/>
        <v>-1542.2222222222222</v>
      </c>
      <c r="N10" s="8">
        <f t="shared" si="3"/>
        <v>-694</v>
      </c>
      <c r="O10" s="31"/>
      <c r="P10" s="23"/>
      <c r="R10" s="20"/>
      <c r="S10" s="20"/>
      <c r="T10" s="20"/>
      <c r="U10" s="20"/>
      <c r="V10" s="20"/>
    </row>
    <row r="11" spans="1:22" ht="22.15" hidden="1" customHeight="1">
      <c r="A11"/>
      <c r="B11" s="6" t="s">
        <v>19</v>
      </c>
      <c r="C11" s="6" t="s">
        <v>15</v>
      </c>
      <c r="D11" s="28">
        <v>205.58</v>
      </c>
      <c r="E11" s="9">
        <v>45276</v>
      </c>
      <c r="F11" s="9">
        <v>45306</v>
      </c>
      <c r="G11" s="8">
        <f t="shared" si="0"/>
        <v>-2310</v>
      </c>
      <c r="H11" s="8">
        <f t="shared" si="1"/>
        <v>-693</v>
      </c>
      <c r="I11" s="6" t="s">
        <v>15</v>
      </c>
      <c r="J11" s="28">
        <v>205.58</v>
      </c>
      <c r="K11" s="9">
        <v>45276</v>
      </c>
      <c r="L11" s="9">
        <v>45306</v>
      </c>
      <c r="M11" s="8">
        <f t="shared" si="2"/>
        <v>-2310</v>
      </c>
      <c r="N11" s="8">
        <f t="shared" si="3"/>
        <v>-693</v>
      </c>
      <c r="O11" s="31"/>
      <c r="P11" s="23"/>
    </row>
    <row r="12" spans="1:22" ht="22.15" hidden="1" customHeight="1">
      <c r="A12"/>
      <c r="B12" s="6" t="s">
        <v>20</v>
      </c>
      <c r="C12" s="6" t="s">
        <v>15</v>
      </c>
      <c r="D12" s="28">
        <v>12</v>
      </c>
      <c r="E12" s="9">
        <v>45256</v>
      </c>
      <c r="F12" s="9">
        <v>45306</v>
      </c>
      <c r="G12" s="8">
        <f t="shared" si="0"/>
        <v>-1386</v>
      </c>
      <c r="H12" s="8">
        <f t="shared" si="1"/>
        <v>-693</v>
      </c>
      <c r="I12" s="6" t="s">
        <v>15</v>
      </c>
      <c r="J12" s="28">
        <v>12</v>
      </c>
      <c r="K12" s="9">
        <v>45256</v>
      </c>
      <c r="L12" s="9">
        <v>45306</v>
      </c>
      <c r="M12" s="8">
        <f t="shared" si="2"/>
        <v>-1386</v>
      </c>
      <c r="N12" s="8">
        <f t="shared" si="3"/>
        <v>-693</v>
      </c>
      <c r="O12" s="31"/>
      <c r="P12" s="23"/>
    </row>
    <row r="13" spans="1:22" ht="22.15" hidden="1" customHeight="1">
      <c r="A13"/>
      <c r="B13" s="6" t="s">
        <v>21</v>
      </c>
      <c r="C13" s="6" t="s">
        <v>15</v>
      </c>
      <c r="D13" s="28">
        <v>89.266999999999996</v>
      </c>
      <c r="E13" s="9">
        <v>45276</v>
      </c>
      <c r="F13" s="9">
        <v>45306</v>
      </c>
      <c r="G13" s="8">
        <f t="shared" si="0"/>
        <v>-2310</v>
      </c>
      <c r="H13" s="8">
        <f t="shared" si="1"/>
        <v>-693</v>
      </c>
      <c r="I13" s="6" t="s">
        <v>15</v>
      </c>
      <c r="J13" s="28">
        <v>89.266999999999996</v>
      </c>
      <c r="K13" s="9">
        <v>45276</v>
      </c>
      <c r="L13" s="9">
        <v>45306</v>
      </c>
      <c r="M13" s="8">
        <f t="shared" si="2"/>
        <v>-2310</v>
      </c>
      <c r="N13" s="8">
        <f t="shared" si="3"/>
        <v>-693</v>
      </c>
      <c r="O13" s="31"/>
      <c r="P13" s="23"/>
    </row>
    <row r="14" spans="1:22" ht="22.15" hidden="1" customHeight="1">
      <c r="A14"/>
      <c r="B14" s="6" t="s">
        <v>22</v>
      </c>
      <c r="C14" s="6" t="s">
        <v>15</v>
      </c>
      <c r="D14" s="28">
        <v>57.1</v>
      </c>
      <c r="E14" s="9">
        <v>45229</v>
      </c>
      <c r="F14" s="9">
        <v>45306</v>
      </c>
      <c r="G14" s="8">
        <f t="shared" si="0"/>
        <v>-900</v>
      </c>
      <c r="H14" s="8">
        <f t="shared" si="1"/>
        <v>-693</v>
      </c>
      <c r="I14" s="6" t="s">
        <v>15</v>
      </c>
      <c r="J14" s="28">
        <v>57.1</v>
      </c>
      <c r="K14" s="9">
        <v>45229</v>
      </c>
      <c r="L14" s="9">
        <v>45306</v>
      </c>
      <c r="M14" s="8">
        <f t="shared" si="2"/>
        <v>-900</v>
      </c>
      <c r="N14" s="8">
        <f t="shared" si="3"/>
        <v>-693</v>
      </c>
      <c r="O14" s="31" t="s">
        <v>23</v>
      </c>
      <c r="P14" s="23"/>
    </row>
    <row r="15" spans="1:22" ht="22.15" hidden="1" customHeight="1">
      <c r="A15"/>
      <c r="B15" s="6" t="s">
        <v>24</v>
      </c>
      <c r="C15" s="6" t="s">
        <v>15</v>
      </c>
      <c r="D15" s="28">
        <v>159.1</v>
      </c>
      <c r="E15" s="9">
        <v>45262</v>
      </c>
      <c r="F15" s="9">
        <v>45307</v>
      </c>
      <c r="G15" s="8">
        <f t="shared" si="0"/>
        <v>-1537.7777777777778</v>
      </c>
      <c r="H15" s="8">
        <f t="shared" si="1"/>
        <v>-692</v>
      </c>
      <c r="I15" s="6" t="s">
        <v>15</v>
      </c>
      <c r="J15" s="28">
        <v>159.1</v>
      </c>
      <c r="K15" s="9">
        <v>45262</v>
      </c>
      <c r="L15" s="9">
        <v>45307</v>
      </c>
      <c r="M15" s="8">
        <f t="shared" si="2"/>
        <v>-1537.7777777777778</v>
      </c>
      <c r="N15" s="8">
        <f t="shared" si="3"/>
        <v>-692</v>
      </c>
      <c r="O15" s="31"/>
      <c r="P15" s="23"/>
    </row>
    <row r="16" spans="1:22" ht="22.15" hidden="1" customHeight="1">
      <c r="A16"/>
      <c r="B16" s="6" t="s">
        <v>25</v>
      </c>
      <c r="C16" s="6" t="s">
        <v>15</v>
      </c>
      <c r="D16" s="28">
        <v>218.5</v>
      </c>
      <c r="E16" s="9">
        <v>45277</v>
      </c>
      <c r="F16" s="9">
        <v>45307</v>
      </c>
      <c r="G16" s="8">
        <f t="shared" si="0"/>
        <v>-2306.6666666666665</v>
      </c>
      <c r="H16" s="8">
        <f t="shared" si="1"/>
        <v>-692</v>
      </c>
      <c r="I16" s="6" t="s">
        <v>15</v>
      </c>
      <c r="J16" s="28">
        <v>218.5</v>
      </c>
      <c r="K16" s="9">
        <v>45277</v>
      </c>
      <c r="L16" s="9">
        <v>45307</v>
      </c>
      <c r="M16" s="8">
        <f t="shared" si="2"/>
        <v>-2306.6666666666665</v>
      </c>
      <c r="N16" s="8">
        <f t="shared" si="3"/>
        <v>-692</v>
      </c>
      <c r="O16" s="31"/>
      <c r="P16" s="23"/>
    </row>
    <row r="17" spans="1:16" ht="22.15" hidden="1" customHeight="1">
      <c r="A17"/>
      <c r="B17" s="6" t="s">
        <v>26</v>
      </c>
      <c r="C17" s="6" t="s">
        <v>15</v>
      </c>
      <c r="D17" s="28">
        <v>187.7</v>
      </c>
      <c r="E17" s="9">
        <v>45267</v>
      </c>
      <c r="F17" s="9">
        <v>45307</v>
      </c>
      <c r="G17" s="8">
        <f t="shared" si="0"/>
        <v>-1730</v>
      </c>
      <c r="H17" s="8">
        <f t="shared" si="1"/>
        <v>-692</v>
      </c>
      <c r="I17" s="6" t="s">
        <v>15</v>
      </c>
      <c r="J17" s="28">
        <v>187.7</v>
      </c>
      <c r="K17" s="9">
        <v>45267</v>
      </c>
      <c r="L17" s="9">
        <v>45307</v>
      </c>
      <c r="M17" s="8">
        <f t="shared" si="2"/>
        <v>-1730</v>
      </c>
      <c r="N17" s="8">
        <f t="shared" si="3"/>
        <v>-692</v>
      </c>
      <c r="O17" s="31"/>
      <c r="P17" s="23"/>
    </row>
    <row r="18" spans="1:16" ht="22.15" hidden="1" customHeight="1">
      <c r="A18"/>
      <c r="B18" s="6" t="s">
        <v>27</v>
      </c>
      <c r="C18" s="6" t="s">
        <v>8</v>
      </c>
      <c r="D18" s="28">
        <v>77</v>
      </c>
      <c r="E18" s="9">
        <v>45268</v>
      </c>
      <c r="F18" s="9">
        <v>45308</v>
      </c>
      <c r="G18" s="8">
        <f t="shared" si="0"/>
        <v>-1727.4999999999998</v>
      </c>
      <c r="H18" s="8">
        <f t="shared" si="1"/>
        <v>-691</v>
      </c>
      <c r="I18" s="6" t="s">
        <v>8</v>
      </c>
      <c r="J18" s="28">
        <v>77</v>
      </c>
      <c r="K18" s="9">
        <v>45268</v>
      </c>
      <c r="L18" s="9">
        <v>45308</v>
      </c>
      <c r="M18" s="8">
        <f t="shared" si="2"/>
        <v>-1727.4999999999998</v>
      </c>
      <c r="N18" s="8">
        <f t="shared" si="3"/>
        <v>-691</v>
      </c>
      <c r="O18" s="31"/>
      <c r="P18" s="23"/>
    </row>
    <row r="19" spans="1:16" ht="22.15" hidden="1" customHeight="1">
      <c r="A19"/>
      <c r="B19" s="6" t="s">
        <v>28</v>
      </c>
      <c r="C19" s="6" t="s">
        <v>8</v>
      </c>
      <c r="D19" s="28">
        <v>241</v>
      </c>
      <c r="E19" s="9">
        <v>45268</v>
      </c>
      <c r="F19" s="9">
        <v>45308</v>
      </c>
      <c r="G19" s="8">
        <f t="shared" si="0"/>
        <v>-1727.4999999999998</v>
      </c>
      <c r="H19" s="8">
        <f t="shared" si="1"/>
        <v>-691</v>
      </c>
      <c r="I19" s="6" t="s">
        <v>8</v>
      </c>
      <c r="J19" s="28">
        <v>241</v>
      </c>
      <c r="K19" s="9">
        <v>45268</v>
      </c>
      <c r="L19" s="9">
        <v>45308</v>
      </c>
      <c r="M19" s="8">
        <f t="shared" si="2"/>
        <v>-1727.4999999999998</v>
      </c>
      <c r="N19" s="8">
        <f t="shared" si="3"/>
        <v>-691</v>
      </c>
      <c r="O19" s="31"/>
      <c r="P19" s="23"/>
    </row>
    <row r="20" spans="1:16" ht="22.15" hidden="1" customHeight="1">
      <c r="A20"/>
      <c r="B20" s="6" t="s">
        <v>29</v>
      </c>
      <c r="C20" s="6" t="s">
        <v>8</v>
      </c>
      <c r="D20" s="28">
        <v>354</v>
      </c>
      <c r="E20" s="9">
        <v>45268</v>
      </c>
      <c r="F20" s="9">
        <v>45308</v>
      </c>
      <c r="G20" s="8">
        <f t="shared" si="0"/>
        <v>-1727.4999999999998</v>
      </c>
      <c r="H20" s="8">
        <f t="shared" si="1"/>
        <v>-691</v>
      </c>
      <c r="I20" s="6" t="s">
        <v>8</v>
      </c>
      <c r="J20" s="28">
        <v>354</v>
      </c>
      <c r="K20" s="9">
        <v>45268</v>
      </c>
      <c r="L20" s="9">
        <v>45308</v>
      </c>
      <c r="M20" s="8">
        <f t="shared" si="2"/>
        <v>-1727.4999999999998</v>
      </c>
      <c r="N20" s="8">
        <f t="shared" si="3"/>
        <v>-691</v>
      </c>
      <c r="O20" s="31"/>
      <c r="P20" s="23"/>
    </row>
    <row r="21" spans="1:16" ht="22.15" hidden="1" customHeight="1">
      <c r="A21"/>
      <c r="B21" s="6" t="s">
        <v>30</v>
      </c>
      <c r="C21" s="6" t="s">
        <v>8</v>
      </c>
      <c r="D21" s="28">
        <v>3</v>
      </c>
      <c r="E21" s="9">
        <v>45270</v>
      </c>
      <c r="F21" s="9">
        <v>45310</v>
      </c>
      <c r="G21" s="8">
        <f t="shared" si="0"/>
        <v>-1722.5000000000002</v>
      </c>
      <c r="H21" s="8">
        <f t="shared" si="1"/>
        <v>-689</v>
      </c>
      <c r="I21" s="6" t="s">
        <v>8</v>
      </c>
      <c r="J21" s="28">
        <v>3</v>
      </c>
      <c r="K21" s="9">
        <v>45270</v>
      </c>
      <c r="L21" s="9">
        <v>45310</v>
      </c>
      <c r="M21" s="8">
        <f t="shared" si="2"/>
        <v>-1722.5000000000002</v>
      </c>
      <c r="N21" s="8">
        <f t="shared" si="3"/>
        <v>-689</v>
      </c>
      <c r="O21" s="31"/>
      <c r="P21" s="23"/>
    </row>
    <row r="22" spans="1:16" ht="22.15" hidden="1" customHeight="1">
      <c r="A22"/>
      <c r="B22" s="6" t="s">
        <v>31</v>
      </c>
      <c r="C22" s="6" t="s">
        <v>8</v>
      </c>
      <c r="D22" s="28">
        <v>45</v>
      </c>
      <c r="E22" s="9">
        <v>45268</v>
      </c>
      <c r="F22" s="9">
        <v>45311</v>
      </c>
      <c r="G22" s="8">
        <f t="shared" si="0"/>
        <v>-1600</v>
      </c>
      <c r="H22" s="8">
        <f t="shared" si="1"/>
        <v>-688</v>
      </c>
      <c r="I22" s="6" t="s">
        <v>8</v>
      </c>
      <c r="J22" s="28">
        <v>45</v>
      </c>
      <c r="K22" s="9">
        <v>45268</v>
      </c>
      <c r="L22" s="9">
        <v>45311</v>
      </c>
      <c r="M22" s="8">
        <f t="shared" si="2"/>
        <v>-1600</v>
      </c>
      <c r="N22" s="8">
        <f t="shared" si="3"/>
        <v>-688</v>
      </c>
      <c r="O22" s="31"/>
      <c r="P22" s="23"/>
    </row>
    <row r="23" spans="1:16" ht="22.15" hidden="1" customHeight="1">
      <c r="A23"/>
      <c r="B23" s="6" t="s">
        <v>32</v>
      </c>
      <c r="C23" s="6" t="s">
        <v>15</v>
      </c>
      <c r="D23" s="28">
        <v>97.5</v>
      </c>
      <c r="E23" s="9">
        <v>45268</v>
      </c>
      <c r="F23" s="9">
        <v>45311</v>
      </c>
      <c r="G23" s="8">
        <f t="shared" si="0"/>
        <v>-1600</v>
      </c>
      <c r="H23" s="8">
        <f t="shared" si="1"/>
        <v>-688</v>
      </c>
      <c r="I23" s="6" t="s">
        <v>15</v>
      </c>
      <c r="J23" s="28">
        <v>97.5</v>
      </c>
      <c r="K23" s="9">
        <v>45268</v>
      </c>
      <c r="L23" s="9">
        <v>45311</v>
      </c>
      <c r="M23" s="8">
        <f t="shared" si="2"/>
        <v>-1600</v>
      </c>
      <c r="N23" s="8">
        <f t="shared" si="3"/>
        <v>-688</v>
      </c>
      <c r="O23" s="31"/>
      <c r="P23" s="23"/>
    </row>
    <row r="24" spans="1:16" ht="22.15" hidden="1" customHeight="1">
      <c r="A24"/>
      <c r="B24" s="6" t="s">
        <v>33</v>
      </c>
      <c r="C24" s="6" t="s">
        <v>15</v>
      </c>
      <c r="D24" s="28">
        <v>85.93</v>
      </c>
      <c r="E24" s="9">
        <v>45276</v>
      </c>
      <c r="F24" s="9">
        <v>45311</v>
      </c>
      <c r="G24" s="8">
        <f t="shared" si="0"/>
        <v>-1965.7142857142858</v>
      </c>
      <c r="H24" s="8">
        <f t="shared" si="1"/>
        <v>-688</v>
      </c>
      <c r="I24" s="6" t="s">
        <v>15</v>
      </c>
      <c r="J24" s="28">
        <v>85.93</v>
      </c>
      <c r="K24" s="9">
        <v>45276</v>
      </c>
      <c r="L24" s="9">
        <v>45311</v>
      </c>
      <c r="M24" s="8">
        <f t="shared" si="2"/>
        <v>-1965.7142857142858</v>
      </c>
      <c r="N24" s="8">
        <f t="shared" si="3"/>
        <v>-688</v>
      </c>
      <c r="O24" s="31"/>
      <c r="P24" s="23"/>
    </row>
    <row r="25" spans="1:16" ht="22.15" hidden="1" customHeight="1">
      <c r="A25"/>
      <c r="B25" s="6" t="s">
        <v>34</v>
      </c>
      <c r="C25" s="6" t="s">
        <v>15</v>
      </c>
      <c r="D25" s="28">
        <v>216.8</v>
      </c>
      <c r="E25" s="9">
        <v>45267</v>
      </c>
      <c r="F25" s="9">
        <v>45312</v>
      </c>
      <c r="G25" s="8">
        <f t="shared" si="0"/>
        <v>-1526.6666666666667</v>
      </c>
      <c r="H25" s="8">
        <f t="shared" si="1"/>
        <v>-687</v>
      </c>
      <c r="I25" s="6" t="s">
        <v>15</v>
      </c>
      <c r="J25" s="28">
        <v>216.8</v>
      </c>
      <c r="K25" s="9">
        <v>45267</v>
      </c>
      <c r="L25" s="9">
        <v>45312</v>
      </c>
      <c r="M25" s="8">
        <f t="shared" si="2"/>
        <v>-1526.6666666666667</v>
      </c>
      <c r="N25" s="8">
        <f t="shared" si="3"/>
        <v>-687</v>
      </c>
      <c r="O25" s="31"/>
      <c r="P25" s="23"/>
    </row>
    <row r="26" spans="1:16" ht="22.15" hidden="1" customHeight="1">
      <c r="A26"/>
      <c r="B26" s="6" t="s">
        <v>35</v>
      </c>
      <c r="C26" s="6" t="s">
        <v>15</v>
      </c>
      <c r="D26" s="28">
        <v>170.9</v>
      </c>
      <c r="E26" s="9">
        <v>45277</v>
      </c>
      <c r="F26" s="9">
        <v>45312</v>
      </c>
      <c r="G26" s="8">
        <f t="shared" si="0"/>
        <v>-1962.8571428571429</v>
      </c>
      <c r="H26" s="8">
        <f t="shared" si="1"/>
        <v>-687</v>
      </c>
      <c r="I26" s="6" t="s">
        <v>15</v>
      </c>
      <c r="J26" s="28">
        <v>170.9</v>
      </c>
      <c r="K26" s="9">
        <v>45277</v>
      </c>
      <c r="L26" s="9">
        <v>45312</v>
      </c>
      <c r="M26" s="8">
        <f t="shared" si="2"/>
        <v>-1962.8571428571429</v>
      </c>
      <c r="N26" s="8">
        <f t="shared" si="3"/>
        <v>-687</v>
      </c>
      <c r="O26" s="31"/>
      <c r="P26" s="23"/>
    </row>
    <row r="27" spans="1:16" ht="22.15" hidden="1" customHeight="1">
      <c r="A27"/>
      <c r="B27" s="6" t="s">
        <v>36</v>
      </c>
      <c r="C27" s="6" t="s">
        <v>15</v>
      </c>
      <c r="D27" s="28">
        <v>159.9</v>
      </c>
      <c r="E27" s="9">
        <v>45277</v>
      </c>
      <c r="F27" s="9">
        <v>45312</v>
      </c>
      <c r="G27" s="8">
        <f t="shared" si="0"/>
        <v>-1962.8571428571429</v>
      </c>
      <c r="H27" s="8">
        <f t="shared" si="1"/>
        <v>-687</v>
      </c>
      <c r="I27" s="6" t="s">
        <v>15</v>
      </c>
      <c r="J27" s="28">
        <v>159.9</v>
      </c>
      <c r="K27" s="9">
        <v>45277</v>
      </c>
      <c r="L27" s="9">
        <v>45312</v>
      </c>
      <c r="M27" s="8">
        <f t="shared" si="2"/>
        <v>-1962.8571428571429</v>
      </c>
      <c r="N27" s="8">
        <f t="shared" si="3"/>
        <v>-687</v>
      </c>
      <c r="O27" s="31"/>
      <c r="P27" s="23"/>
    </row>
    <row r="28" spans="1:16" ht="22.15" hidden="1" customHeight="1">
      <c r="A28"/>
      <c r="B28" s="6" t="s">
        <v>37</v>
      </c>
      <c r="C28" s="6" t="s">
        <v>15</v>
      </c>
      <c r="D28" s="28">
        <v>358.6</v>
      </c>
      <c r="E28" s="9">
        <v>45272</v>
      </c>
      <c r="F28" s="9">
        <v>45312</v>
      </c>
      <c r="G28" s="8">
        <f t="shared" si="0"/>
        <v>-1717.5</v>
      </c>
      <c r="H28" s="8">
        <f t="shared" si="1"/>
        <v>-687</v>
      </c>
      <c r="I28" s="6" t="s">
        <v>15</v>
      </c>
      <c r="J28" s="28">
        <v>358.6</v>
      </c>
      <c r="K28" s="9">
        <v>45272</v>
      </c>
      <c r="L28" s="9">
        <v>45312</v>
      </c>
      <c r="M28" s="8">
        <f t="shared" si="2"/>
        <v>-1717.5</v>
      </c>
      <c r="N28" s="8">
        <f t="shared" si="3"/>
        <v>-687</v>
      </c>
      <c r="O28" s="31"/>
      <c r="P28" s="23"/>
    </row>
    <row r="29" spans="1:16" ht="22.15" hidden="1" customHeight="1">
      <c r="A29"/>
      <c r="B29" s="6" t="s">
        <v>38</v>
      </c>
      <c r="C29" s="6" t="s">
        <v>8</v>
      </c>
      <c r="D29" s="28">
        <v>94</v>
      </c>
      <c r="E29" s="9">
        <v>45268</v>
      </c>
      <c r="F29" s="9">
        <v>45313</v>
      </c>
      <c r="G29" s="8">
        <f t="shared" si="0"/>
        <v>-1524.4444444444443</v>
      </c>
      <c r="H29" s="8">
        <f t="shared" si="1"/>
        <v>-686</v>
      </c>
      <c r="I29" s="6" t="s">
        <v>8</v>
      </c>
      <c r="J29" s="28">
        <v>94</v>
      </c>
      <c r="K29" s="9">
        <v>45268</v>
      </c>
      <c r="L29" s="9">
        <v>45313</v>
      </c>
      <c r="M29" s="8">
        <f t="shared" si="2"/>
        <v>-1524.4444444444443</v>
      </c>
      <c r="N29" s="8">
        <f t="shared" si="3"/>
        <v>-686</v>
      </c>
      <c r="O29" s="31"/>
      <c r="P29" s="23"/>
    </row>
    <row r="30" spans="1:16" ht="22.15" hidden="1" customHeight="1">
      <c r="A30"/>
      <c r="B30" s="6" t="s">
        <v>39</v>
      </c>
      <c r="C30" s="6" t="s">
        <v>8</v>
      </c>
      <c r="D30" s="28">
        <v>134</v>
      </c>
      <c r="E30" s="9">
        <v>45268</v>
      </c>
      <c r="F30" s="9">
        <v>45313</v>
      </c>
      <c r="G30" s="8">
        <f t="shared" si="0"/>
        <v>-1524.4444444444443</v>
      </c>
      <c r="H30" s="8">
        <f t="shared" si="1"/>
        <v>-686</v>
      </c>
      <c r="I30" s="6" t="s">
        <v>8</v>
      </c>
      <c r="J30" s="28">
        <v>134</v>
      </c>
      <c r="K30" s="9">
        <v>45268</v>
      </c>
      <c r="L30" s="9">
        <v>45313</v>
      </c>
      <c r="M30" s="8">
        <f t="shared" si="2"/>
        <v>-1524.4444444444443</v>
      </c>
      <c r="N30" s="8">
        <f t="shared" si="3"/>
        <v>-686</v>
      </c>
      <c r="O30" s="31"/>
      <c r="P30" s="23"/>
    </row>
    <row r="31" spans="1:16" ht="22.15" hidden="1" customHeight="1">
      <c r="A31"/>
      <c r="B31" s="6" t="s">
        <v>40</v>
      </c>
      <c r="C31" s="6" t="s">
        <v>8</v>
      </c>
      <c r="D31" s="28">
        <v>2</v>
      </c>
      <c r="E31" s="9">
        <v>45268</v>
      </c>
      <c r="F31" s="9">
        <v>45313</v>
      </c>
      <c r="G31" s="8">
        <f t="shared" si="0"/>
        <v>-1524.4444444444443</v>
      </c>
      <c r="H31" s="8">
        <f t="shared" si="1"/>
        <v>-686</v>
      </c>
      <c r="I31" s="6" t="s">
        <v>8</v>
      </c>
      <c r="J31" s="28">
        <v>2</v>
      </c>
      <c r="K31" s="9">
        <v>45268</v>
      </c>
      <c r="L31" s="9">
        <v>45313</v>
      </c>
      <c r="M31" s="8">
        <f t="shared" si="2"/>
        <v>-1524.4444444444443</v>
      </c>
      <c r="N31" s="8">
        <f t="shared" si="3"/>
        <v>-686</v>
      </c>
      <c r="O31" s="31"/>
      <c r="P31" s="23"/>
    </row>
    <row r="32" spans="1:16" ht="22.15" hidden="1" customHeight="1">
      <c r="A32"/>
      <c r="B32" s="6" t="s">
        <v>41</v>
      </c>
      <c r="C32" s="6" t="s">
        <v>15</v>
      </c>
      <c r="D32" s="28">
        <v>273.39999999999998</v>
      </c>
      <c r="E32" s="9">
        <v>45268</v>
      </c>
      <c r="F32" s="9">
        <v>45313</v>
      </c>
      <c r="G32" s="8">
        <f t="shared" si="0"/>
        <v>-1524.4444444444443</v>
      </c>
      <c r="H32" s="8">
        <f t="shared" si="1"/>
        <v>-686</v>
      </c>
      <c r="I32" s="6" t="s">
        <v>15</v>
      </c>
      <c r="J32" s="28">
        <v>273.39999999999998</v>
      </c>
      <c r="K32" s="9">
        <v>45268</v>
      </c>
      <c r="L32" s="9">
        <v>45313</v>
      </c>
      <c r="M32" s="8">
        <f t="shared" si="2"/>
        <v>-1524.4444444444443</v>
      </c>
      <c r="N32" s="8">
        <f t="shared" si="3"/>
        <v>-686</v>
      </c>
      <c r="O32" s="31"/>
      <c r="P32" s="23"/>
    </row>
    <row r="33" spans="1:16" ht="22.15" hidden="1" customHeight="1">
      <c r="A33"/>
      <c r="B33" s="6" t="s">
        <v>42</v>
      </c>
      <c r="C33" s="6" t="s">
        <v>15</v>
      </c>
      <c r="D33" s="28">
        <v>160.19999999999999</v>
      </c>
      <c r="E33" s="9">
        <v>45274</v>
      </c>
      <c r="F33" s="9">
        <v>45314</v>
      </c>
      <c r="G33" s="8">
        <f t="shared" si="0"/>
        <v>-1712.5</v>
      </c>
      <c r="H33" s="8">
        <f t="shared" si="1"/>
        <v>-685</v>
      </c>
      <c r="I33" s="6" t="s">
        <v>15</v>
      </c>
      <c r="J33" s="28">
        <v>160.19999999999999</v>
      </c>
      <c r="K33" s="9">
        <v>45274</v>
      </c>
      <c r="L33" s="9">
        <v>45314</v>
      </c>
      <c r="M33" s="8">
        <f t="shared" si="2"/>
        <v>-1712.5</v>
      </c>
      <c r="N33" s="8">
        <f t="shared" si="3"/>
        <v>-685</v>
      </c>
      <c r="O33" s="31"/>
      <c r="P33" s="23"/>
    </row>
    <row r="34" spans="1:16" ht="22.15" hidden="1" customHeight="1">
      <c r="A34"/>
      <c r="B34" s="6" t="s">
        <v>43</v>
      </c>
      <c r="C34" s="6" t="s">
        <v>15</v>
      </c>
      <c r="D34" s="28">
        <v>351.4</v>
      </c>
      <c r="E34" s="9">
        <v>45275</v>
      </c>
      <c r="F34" s="9">
        <v>45315</v>
      </c>
      <c r="G34" s="8">
        <f t="shared" si="0"/>
        <v>-1710.0000000000002</v>
      </c>
      <c r="H34" s="8">
        <f t="shared" si="1"/>
        <v>-684</v>
      </c>
      <c r="I34" s="6" t="s">
        <v>15</v>
      </c>
      <c r="J34" s="28">
        <v>351.4</v>
      </c>
      <c r="K34" s="9">
        <v>45275</v>
      </c>
      <c r="L34" s="9">
        <v>45315</v>
      </c>
      <c r="M34" s="8">
        <f t="shared" si="2"/>
        <v>-1710.0000000000002</v>
      </c>
      <c r="N34" s="8">
        <f t="shared" si="3"/>
        <v>-684</v>
      </c>
      <c r="O34" s="31"/>
      <c r="P34" s="23"/>
    </row>
    <row r="35" spans="1:16" ht="22.15" hidden="1" customHeight="1">
      <c r="A35"/>
      <c r="B35" s="6" t="s">
        <v>44</v>
      </c>
      <c r="C35" s="6" t="s">
        <v>15</v>
      </c>
      <c r="D35" s="28">
        <v>19.004000000000001</v>
      </c>
      <c r="E35" s="9">
        <v>45275</v>
      </c>
      <c r="F35" s="9">
        <v>45315</v>
      </c>
      <c r="G35" s="8">
        <f t="shared" si="0"/>
        <v>-1710.0000000000002</v>
      </c>
      <c r="H35" s="8">
        <f t="shared" si="1"/>
        <v>-684</v>
      </c>
      <c r="I35" s="6" t="s">
        <v>15</v>
      </c>
      <c r="J35" s="28">
        <v>19.004000000000001</v>
      </c>
      <c r="K35" s="9">
        <v>45275</v>
      </c>
      <c r="L35" s="9">
        <v>45315</v>
      </c>
      <c r="M35" s="8">
        <f t="shared" si="2"/>
        <v>-1710.0000000000002</v>
      </c>
      <c r="N35" s="8">
        <f t="shared" si="3"/>
        <v>-684</v>
      </c>
      <c r="O35" s="31"/>
      <c r="P35" s="23"/>
    </row>
    <row r="36" spans="1:16" ht="22.15" hidden="1" customHeight="1">
      <c r="A36"/>
      <c r="B36" s="6" t="s">
        <v>45</v>
      </c>
      <c r="C36" s="6" t="s">
        <v>15</v>
      </c>
      <c r="D36" s="28">
        <v>6.56</v>
      </c>
      <c r="E36" s="9"/>
      <c r="F36" s="9"/>
      <c r="G36" s="8" t="str">
        <f t="shared" si="0"/>
        <v/>
      </c>
      <c r="H36" s="8">
        <f t="shared" si="1"/>
        <v>-45999</v>
      </c>
      <c r="I36" s="6" t="s">
        <v>15</v>
      </c>
      <c r="J36" s="28">
        <v>6.56</v>
      </c>
      <c r="K36" s="9"/>
      <c r="L36" s="9"/>
      <c r="M36" s="8" t="str">
        <f t="shared" si="2"/>
        <v/>
      </c>
      <c r="N36" s="8">
        <f t="shared" si="3"/>
        <v>-45999</v>
      </c>
      <c r="O36" s="31"/>
      <c r="P36" s="23"/>
    </row>
    <row r="37" spans="1:16" ht="22.15" hidden="1" customHeight="1">
      <c r="A37"/>
      <c r="B37" s="6" t="s">
        <v>46</v>
      </c>
      <c r="C37" s="6" t="s">
        <v>15</v>
      </c>
      <c r="D37" s="28">
        <v>115.69499999999999</v>
      </c>
      <c r="E37" s="9">
        <v>45276</v>
      </c>
      <c r="F37" s="9">
        <v>45316</v>
      </c>
      <c r="G37" s="8">
        <f t="shared" si="0"/>
        <v>-1707.5</v>
      </c>
      <c r="H37" s="8">
        <f t="shared" si="1"/>
        <v>-683</v>
      </c>
      <c r="I37" s="6" t="s">
        <v>15</v>
      </c>
      <c r="J37" s="28">
        <v>115.69499999999999</v>
      </c>
      <c r="K37" s="9">
        <v>45276</v>
      </c>
      <c r="L37" s="9">
        <v>45316</v>
      </c>
      <c r="M37" s="8">
        <f t="shared" si="2"/>
        <v>-1707.5</v>
      </c>
      <c r="N37" s="8">
        <f t="shared" si="3"/>
        <v>-683</v>
      </c>
      <c r="O37" s="31"/>
      <c r="P37" s="23"/>
    </row>
    <row r="38" spans="1:16" ht="22.15" hidden="1" customHeight="1">
      <c r="A38"/>
      <c r="B38" s="6" t="s">
        <v>47</v>
      </c>
      <c r="C38" s="6" t="s">
        <v>8</v>
      </c>
      <c r="D38" s="28">
        <v>234</v>
      </c>
      <c r="E38" s="9">
        <v>45260</v>
      </c>
      <c r="F38" s="9">
        <v>45320</v>
      </c>
      <c r="G38" s="8">
        <f>IFERROR((F38-$G$1)/(F38-E38)*100,"")</f>
        <v>-1131.6666666666667</v>
      </c>
      <c r="H38" s="8">
        <f>F38-$H$1</f>
        <v>-679</v>
      </c>
      <c r="I38" s="6" t="s">
        <v>8</v>
      </c>
      <c r="J38" s="28">
        <v>234</v>
      </c>
      <c r="K38" s="9">
        <v>45260</v>
      </c>
      <c r="L38" s="9">
        <v>45320</v>
      </c>
      <c r="M38" s="8">
        <f>IFERROR((L38-$G$1)/(L38-K38)*100,"")</f>
        <v>-1131.6666666666667</v>
      </c>
      <c r="N38" s="8">
        <f>L38-$H$1</f>
        <v>-679</v>
      </c>
      <c r="O38" s="31"/>
      <c r="P38" s="23"/>
    </row>
    <row r="39" spans="1:16" ht="22.15" hidden="1" customHeight="1">
      <c r="A39"/>
      <c r="B39" s="6" t="s">
        <v>48</v>
      </c>
      <c r="C39" s="6" t="s">
        <v>8</v>
      </c>
      <c r="D39" s="28">
        <v>480</v>
      </c>
      <c r="E39" s="9"/>
      <c r="F39" s="9"/>
      <c r="G39" s="8" t="str">
        <f t="shared" ref="G39:G71" si="4">IFERROR((F39-$G$1)/(F39-E39)*100,"")</f>
        <v/>
      </c>
      <c r="H39" s="8">
        <f t="shared" ref="H39:H71" si="5">F39-$H$1</f>
        <v>-45999</v>
      </c>
      <c r="I39" s="6" t="s">
        <v>8</v>
      </c>
      <c r="J39" s="28">
        <v>480</v>
      </c>
      <c r="K39" s="9"/>
      <c r="L39" s="9"/>
      <c r="M39" s="8" t="str">
        <f t="shared" ref="M39:M94" si="6">IFERROR((L39-$G$1)/(L39-K39)*100,"")</f>
        <v/>
      </c>
      <c r="N39" s="8">
        <f t="shared" ref="N39:N94" si="7">L39-$H$1</f>
        <v>-45999</v>
      </c>
      <c r="O39" s="31"/>
      <c r="P39" s="23"/>
    </row>
    <row r="40" spans="1:16" ht="22.15" hidden="1" customHeight="1">
      <c r="A40"/>
      <c r="B40" s="6" t="s">
        <v>49</v>
      </c>
      <c r="C40" s="6" t="s">
        <v>8</v>
      </c>
      <c r="D40" s="28">
        <v>480</v>
      </c>
      <c r="E40" s="9"/>
      <c r="F40" s="9"/>
      <c r="G40" s="8" t="str">
        <f t="shared" si="4"/>
        <v/>
      </c>
      <c r="H40" s="8">
        <f t="shared" si="5"/>
        <v>-45999</v>
      </c>
      <c r="I40" s="6" t="s">
        <v>8</v>
      </c>
      <c r="J40" s="28">
        <v>480</v>
      </c>
      <c r="K40" s="9"/>
      <c r="L40" s="9"/>
      <c r="M40" s="8" t="str">
        <f t="shared" si="6"/>
        <v/>
      </c>
      <c r="N40" s="8">
        <f t="shared" si="7"/>
        <v>-45999</v>
      </c>
      <c r="O40" s="31"/>
      <c r="P40" s="23"/>
    </row>
    <row r="41" spans="1:16" ht="22.15" hidden="1" customHeight="1">
      <c r="A41"/>
      <c r="B41" s="6" t="s">
        <v>50</v>
      </c>
      <c r="C41" s="6" t="s">
        <v>8</v>
      </c>
      <c r="D41" s="28">
        <v>2136</v>
      </c>
      <c r="E41" s="9"/>
      <c r="F41" s="9"/>
      <c r="G41" s="8" t="str">
        <f t="shared" si="4"/>
        <v/>
      </c>
      <c r="H41" s="8">
        <f t="shared" si="5"/>
        <v>-45999</v>
      </c>
      <c r="I41" s="6" t="s">
        <v>8</v>
      </c>
      <c r="J41" s="28">
        <v>2136</v>
      </c>
      <c r="K41" s="9"/>
      <c r="L41" s="9"/>
      <c r="M41" s="8" t="str">
        <f t="shared" si="6"/>
        <v/>
      </c>
      <c r="N41" s="8">
        <f t="shared" si="7"/>
        <v>-45999</v>
      </c>
      <c r="O41" s="31"/>
      <c r="P41" s="23"/>
    </row>
    <row r="42" spans="1:16" ht="22.15" hidden="1" customHeight="1">
      <c r="A42"/>
      <c r="B42" s="6" t="s">
        <v>51</v>
      </c>
      <c r="C42" s="6" t="s">
        <v>8</v>
      </c>
      <c r="D42" s="28">
        <v>192</v>
      </c>
      <c r="E42" s="9"/>
      <c r="F42" s="9"/>
      <c r="G42" s="8" t="str">
        <f t="shared" si="4"/>
        <v/>
      </c>
      <c r="H42" s="8">
        <f t="shared" si="5"/>
        <v>-45999</v>
      </c>
      <c r="I42" s="6" t="s">
        <v>8</v>
      </c>
      <c r="J42" s="28">
        <v>192</v>
      </c>
      <c r="K42" s="9"/>
      <c r="L42" s="9"/>
      <c r="M42" s="8" t="str">
        <f t="shared" si="6"/>
        <v/>
      </c>
      <c r="N42" s="8">
        <f t="shared" si="7"/>
        <v>-45999</v>
      </c>
      <c r="O42" s="31"/>
      <c r="P42" s="23"/>
    </row>
    <row r="43" spans="1:16" ht="22.15" hidden="1" customHeight="1">
      <c r="A43"/>
      <c r="B43" s="6" t="s">
        <v>52</v>
      </c>
      <c r="C43" s="6" t="s">
        <v>8</v>
      </c>
      <c r="D43" s="28">
        <v>192</v>
      </c>
      <c r="E43" s="9"/>
      <c r="F43" s="9"/>
      <c r="G43" s="8" t="str">
        <f t="shared" si="4"/>
        <v/>
      </c>
      <c r="H43" s="8">
        <f t="shared" si="5"/>
        <v>-45999</v>
      </c>
      <c r="I43" s="6" t="s">
        <v>8</v>
      </c>
      <c r="J43" s="28">
        <v>192</v>
      </c>
      <c r="K43" s="9"/>
      <c r="L43" s="9"/>
      <c r="M43" s="8" t="str">
        <f t="shared" si="6"/>
        <v/>
      </c>
      <c r="N43" s="8">
        <f t="shared" si="7"/>
        <v>-45999</v>
      </c>
      <c r="O43" s="31"/>
      <c r="P43" s="23"/>
    </row>
    <row r="44" spans="1:16" ht="22.15" hidden="1" customHeight="1">
      <c r="A44"/>
      <c r="B44" s="6" t="s">
        <v>53</v>
      </c>
      <c r="C44" s="6" t="s">
        <v>8</v>
      </c>
      <c r="D44" s="28">
        <v>2368</v>
      </c>
      <c r="E44" s="9"/>
      <c r="F44" s="9"/>
      <c r="G44" s="8" t="str">
        <f t="shared" si="4"/>
        <v/>
      </c>
      <c r="H44" s="8">
        <f t="shared" si="5"/>
        <v>-45999</v>
      </c>
      <c r="I44" s="6" t="s">
        <v>8</v>
      </c>
      <c r="J44" s="28">
        <v>2368</v>
      </c>
      <c r="K44" s="9"/>
      <c r="L44" s="9"/>
      <c r="M44" s="8" t="str">
        <f t="shared" si="6"/>
        <v/>
      </c>
      <c r="N44" s="8">
        <f t="shared" si="7"/>
        <v>-45999</v>
      </c>
      <c r="O44" s="31"/>
      <c r="P44" s="23"/>
    </row>
    <row r="45" spans="1:16" ht="22.15" hidden="1" customHeight="1">
      <c r="A45"/>
      <c r="B45" s="6" t="s">
        <v>54</v>
      </c>
      <c r="C45" s="6" t="s">
        <v>8</v>
      </c>
      <c r="D45" s="28">
        <v>836</v>
      </c>
      <c r="E45" s="9"/>
      <c r="F45" s="9"/>
      <c r="G45" s="8" t="str">
        <f t="shared" si="4"/>
        <v/>
      </c>
      <c r="H45" s="8">
        <f t="shared" si="5"/>
        <v>-45999</v>
      </c>
      <c r="I45" s="6" t="s">
        <v>8</v>
      </c>
      <c r="J45" s="28">
        <v>836</v>
      </c>
      <c r="K45" s="9"/>
      <c r="L45" s="9"/>
      <c r="M45" s="8" t="str">
        <f t="shared" si="6"/>
        <v/>
      </c>
      <c r="N45" s="8">
        <f t="shared" si="7"/>
        <v>-45999</v>
      </c>
      <c r="O45" s="31"/>
      <c r="P45" s="23"/>
    </row>
    <row r="46" spans="1:16" ht="22.15" hidden="1" customHeight="1">
      <c r="A46"/>
      <c r="B46" s="6" t="s">
        <v>55</v>
      </c>
      <c r="C46" s="6" t="s">
        <v>8</v>
      </c>
      <c r="D46" s="28">
        <v>620</v>
      </c>
      <c r="E46" s="9"/>
      <c r="F46" s="9"/>
      <c r="G46" s="8" t="str">
        <f t="shared" si="4"/>
        <v/>
      </c>
      <c r="H46" s="8">
        <f t="shared" si="5"/>
        <v>-45999</v>
      </c>
      <c r="I46" s="6" t="s">
        <v>8</v>
      </c>
      <c r="J46" s="28">
        <v>620</v>
      </c>
      <c r="K46" s="9"/>
      <c r="L46" s="9"/>
      <c r="M46" s="8" t="str">
        <f t="shared" si="6"/>
        <v/>
      </c>
      <c r="N46" s="8">
        <f t="shared" si="7"/>
        <v>-45999</v>
      </c>
      <c r="O46" s="31"/>
      <c r="P46" s="23"/>
    </row>
    <row r="47" spans="1:16" ht="22.15" hidden="1" customHeight="1">
      <c r="A47"/>
      <c r="B47" s="6" t="s">
        <v>56</v>
      </c>
      <c r="C47" s="6" t="s">
        <v>8</v>
      </c>
      <c r="D47" s="28">
        <v>1484</v>
      </c>
      <c r="E47" s="9"/>
      <c r="F47" s="9"/>
      <c r="G47" s="8" t="str">
        <f t="shared" si="4"/>
        <v/>
      </c>
      <c r="H47" s="8">
        <f t="shared" si="5"/>
        <v>-45999</v>
      </c>
      <c r="I47" s="6" t="s">
        <v>8</v>
      </c>
      <c r="J47" s="28">
        <v>1484</v>
      </c>
      <c r="K47" s="9"/>
      <c r="L47" s="9"/>
      <c r="M47" s="8" t="str">
        <f t="shared" si="6"/>
        <v/>
      </c>
      <c r="N47" s="8">
        <f t="shared" si="7"/>
        <v>-45999</v>
      </c>
      <c r="O47" s="31"/>
      <c r="P47" s="23"/>
    </row>
    <row r="48" spans="1:16" ht="22.15" hidden="1" customHeight="1">
      <c r="A48"/>
      <c r="B48" s="6" t="s">
        <v>57</v>
      </c>
      <c r="C48" s="6" t="s">
        <v>8</v>
      </c>
      <c r="D48" s="28">
        <v>644</v>
      </c>
      <c r="E48" s="9"/>
      <c r="F48" s="9"/>
      <c r="G48" s="8" t="str">
        <f t="shared" si="4"/>
        <v/>
      </c>
      <c r="H48" s="8">
        <f t="shared" si="5"/>
        <v>-45999</v>
      </c>
      <c r="I48" s="6" t="s">
        <v>8</v>
      </c>
      <c r="J48" s="28">
        <v>644</v>
      </c>
      <c r="K48" s="9"/>
      <c r="L48" s="9"/>
      <c r="M48" s="8" t="str">
        <f t="shared" si="6"/>
        <v/>
      </c>
      <c r="N48" s="8">
        <f t="shared" si="7"/>
        <v>-45999</v>
      </c>
      <c r="O48" s="31"/>
      <c r="P48" s="23"/>
    </row>
    <row r="49" spans="1:16" ht="22.15" hidden="1" customHeight="1">
      <c r="A49"/>
      <c r="B49" s="6" t="s">
        <v>58</v>
      </c>
      <c r="C49" s="6" t="s">
        <v>8</v>
      </c>
      <c r="D49" s="28">
        <v>716</v>
      </c>
      <c r="E49" s="9"/>
      <c r="F49" s="9"/>
      <c r="G49" s="8" t="str">
        <f t="shared" si="4"/>
        <v/>
      </c>
      <c r="H49" s="8">
        <f t="shared" si="5"/>
        <v>-45999</v>
      </c>
      <c r="I49" s="6" t="s">
        <v>8</v>
      </c>
      <c r="J49" s="28">
        <v>716</v>
      </c>
      <c r="K49" s="9"/>
      <c r="L49" s="9"/>
      <c r="M49" s="8" t="str">
        <f t="shared" si="6"/>
        <v/>
      </c>
      <c r="N49" s="8">
        <f t="shared" si="7"/>
        <v>-45999</v>
      </c>
      <c r="O49" s="31"/>
      <c r="P49" s="23"/>
    </row>
    <row r="50" spans="1:16" ht="22.15" hidden="1" customHeight="1">
      <c r="A50"/>
      <c r="B50" s="6" t="s">
        <v>59</v>
      </c>
      <c r="C50" s="6" t="s">
        <v>8</v>
      </c>
      <c r="D50" s="28">
        <v>500</v>
      </c>
      <c r="E50" s="9"/>
      <c r="F50" s="9"/>
      <c r="G50" s="8" t="str">
        <f t="shared" si="4"/>
        <v/>
      </c>
      <c r="H50" s="8">
        <f t="shared" si="5"/>
        <v>-45999</v>
      </c>
      <c r="I50" s="6" t="s">
        <v>8</v>
      </c>
      <c r="J50" s="28">
        <v>500</v>
      </c>
      <c r="K50" s="9"/>
      <c r="L50" s="9"/>
      <c r="M50" s="8" t="str">
        <f t="shared" si="6"/>
        <v/>
      </c>
      <c r="N50" s="8">
        <f t="shared" si="7"/>
        <v>-45999</v>
      </c>
      <c r="O50" s="31"/>
      <c r="P50" s="23"/>
    </row>
    <row r="51" spans="1:16" ht="22.15" hidden="1" customHeight="1">
      <c r="A51"/>
      <c r="B51" s="6" t="s">
        <v>60</v>
      </c>
      <c r="C51" s="6" t="s">
        <v>8</v>
      </c>
      <c r="D51" s="28">
        <v>956</v>
      </c>
      <c r="E51" s="9"/>
      <c r="F51" s="9"/>
      <c r="G51" s="8" t="str">
        <f t="shared" si="4"/>
        <v/>
      </c>
      <c r="H51" s="8">
        <f t="shared" si="5"/>
        <v>-45999</v>
      </c>
      <c r="I51" s="6" t="s">
        <v>8</v>
      </c>
      <c r="J51" s="28">
        <v>956</v>
      </c>
      <c r="K51" s="9"/>
      <c r="L51" s="9"/>
      <c r="M51" s="8" t="str">
        <f t="shared" si="6"/>
        <v/>
      </c>
      <c r="N51" s="8">
        <f t="shared" si="7"/>
        <v>-45999</v>
      </c>
      <c r="O51" s="31"/>
      <c r="P51" s="23"/>
    </row>
    <row r="52" spans="1:16" ht="22.15" hidden="1" customHeight="1">
      <c r="A52"/>
      <c r="B52" s="6" t="s">
        <v>61</v>
      </c>
      <c r="C52" s="6" t="s">
        <v>8</v>
      </c>
      <c r="D52" s="28">
        <v>2012</v>
      </c>
      <c r="E52" s="9"/>
      <c r="F52" s="9"/>
      <c r="G52" s="8" t="str">
        <f t="shared" si="4"/>
        <v/>
      </c>
      <c r="H52" s="8">
        <f t="shared" si="5"/>
        <v>-45999</v>
      </c>
      <c r="I52" s="6" t="s">
        <v>8</v>
      </c>
      <c r="J52" s="28">
        <v>2012</v>
      </c>
      <c r="K52" s="9"/>
      <c r="L52" s="9"/>
      <c r="M52" s="8" t="str">
        <f t="shared" si="6"/>
        <v/>
      </c>
      <c r="N52" s="8">
        <f t="shared" si="7"/>
        <v>-45999</v>
      </c>
      <c r="O52" s="31"/>
      <c r="P52" s="23"/>
    </row>
    <row r="53" spans="1:16" ht="22.15" hidden="1" customHeight="1">
      <c r="A53"/>
      <c r="B53" s="6" t="s">
        <v>62</v>
      </c>
      <c r="C53" s="6" t="s">
        <v>8</v>
      </c>
      <c r="D53" s="28">
        <v>740</v>
      </c>
      <c r="E53" s="9"/>
      <c r="F53" s="9"/>
      <c r="G53" s="8" t="str">
        <f t="shared" si="4"/>
        <v/>
      </c>
      <c r="H53" s="8">
        <f t="shared" si="5"/>
        <v>-45999</v>
      </c>
      <c r="I53" s="6" t="s">
        <v>8</v>
      </c>
      <c r="J53" s="28">
        <v>740</v>
      </c>
      <c r="K53" s="9"/>
      <c r="L53" s="9"/>
      <c r="M53" s="8" t="str">
        <f t="shared" si="6"/>
        <v/>
      </c>
      <c r="N53" s="8">
        <f t="shared" si="7"/>
        <v>-45999</v>
      </c>
      <c r="O53" s="31"/>
      <c r="P53" s="23"/>
    </row>
    <row r="54" spans="1:16" ht="22.15" hidden="1" customHeight="1">
      <c r="A54"/>
      <c r="B54" s="6" t="s">
        <v>63</v>
      </c>
      <c r="C54" s="6" t="s">
        <v>8</v>
      </c>
      <c r="D54" s="28">
        <v>92</v>
      </c>
      <c r="E54" s="9"/>
      <c r="F54" s="9"/>
      <c r="G54" s="8" t="str">
        <f t="shared" si="4"/>
        <v/>
      </c>
      <c r="H54" s="8">
        <f t="shared" si="5"/>
        <v>-45999</v>
      </c>
      <c r="I54" s="6" t="s">
        <v>8</v>
      </c>
      <c r="J54" s="28">
        <v>92</v>
      </c>
      <c r="K54" s="9"/>
      <c r="L54" s="9"/>
      <c r="M54" s="8" t="str">
        <f t="shared" si="6"/>
        <v/>
      </c>
      <c r="N54" s="8">
        <f t="shared" si="7"/>
        <v>-45999</v>
      </c>
      <c r="O54" s="31"/>
      <c r="P54" s="23"/>
    </row>
    <row r="55" spans="1:16" ht="22.15" hidden="1" customHeight="1">
      <c r="A55"/>
      <c r="B55" s="6" t="s">
        <v>64</v>
      </c>
      <c r="C55" s="6" t="s">
        <v>8</v>
      </c>
      <c r="D55" s="28">
        <v>636</v>
      </c>
      <c r="E55" s="9"/>
      <c r="F55" s="9"/>
      <c r="G55" s="8" t="str">
        <f t="shared" si="4"/>
        <v/>
      </c>
      <c r="H55" s="8">
        <f t="shared" si="5"/>
        <v>-45999</v>
      </c>
      <c r="I55" s="6" t="s">
        <v>8</v>
      </c>
      <c r="J55" s="28">
        <v>636</v>
      </c>
      <c r="K55" s="9"/>
      <c r="L55" s="9"/>
      <c r="M55" s="8" t="str">
        <f t="shared" si="6"/>
        <v/>
      </c>
      <c r="N55" s="8">
        <f t="shared" si="7"/>
        <v>-45999</v>
      </c>
      <c r="O55" s="31"/>
      <c r="P55" s="23"/>
    </row>
    <row r="56" spans="1:16" ht="22.15" hidden="1" customHeight="1">
      <c r="A56"/>
      <c r="B56" s="6" t="s">
        <v>65</v>
      </c>
      <c r="C56" s="6" t="s">
        <v>8</v>
      </c>
      <c r="D56" s="28">
        <v>636</v>
      </c>
      <c r="E56" s="9"/>
      <c r="F56" s="9"/>
      <c r="G56" s="8" t="str">
        <f t="shared" si="4"/>
        <v/>
      </c>
      <c r="H56" s="8">
        <f t="shared" si="5"/>
        <v>-45999</v>
      </c>
      <c r="I56" s="6" t="s">
        <v>8</v>
      </c>
      <c r="J56" s="28">
        <v>636</v>
      </c>
      <c r="K56" s="9"/>
      <c r="L56" s="9"/>
      <c r="M56" s="8" t="str">
        <f t="shared" si="6"/>
        <v/>
      </c>
      <c r="N56" s="8">
        <f t="shared" si="7"/>
        <v>-45999</v>
      </c>
      <c r="O56" s="31"/>
      <c r="P56" s="23"/>
    </row>
    <row r="57" spans="1:16" ht="22.15" hidden="1" customHeight="1">
      <c r="A57"/>
      <c r="B57" s="6" t="s">
        <v>66</v>
      </c>
      <c r="C57" s="6" t="s">
        <v>8</v>
      </c>
      <c r="D57" s="28">
        <v>620</v>
      </c>
      <c r="E57" s="9"/>
      <c r="F57" s="9"/>
      <c r="G57" s="8" t="str">
        <f t="shared" si="4"/>
        <v/>
      </c>
      <c r="H57" s="8">
        <f t="shared" si="5"/>
        <v>-45999</v>
      </c>
      <c r="I57" s="6" t="s">
        <v>8</v>
      </c>
      <c r="J57" s="28">
        <v>620</v>
      </c>
      <c r="K57" s="9"/>
      <c r="L57" s="9"/>
      <c r="M57" s="8" t="str">
        <f t="shared" si="6"/>
        <v/>
      </c>
      <c r="N57" s="8">
        <f t="shared" si="7"/>
        <v>-45999</v>
      </c>
      <c r="O57" s="31"/>
      <c r="P57" s="23"/>
    </row>
    <row r="58" spans="1:16" ht="22.15" hidden="1" customHeight="1">
      <c r="A58"/>
      <c r="B58" s="6" t="s">
        <v>67</v>
      </c>
      <c r="C58" s="6" t="s">
        <v>8</v>
      </c>
      <c r="D58" s="28">
        <v>636</v>
      </c>
      <c r="E58" s="9"/>
      <c r="F58" s="9"/>
      <c r="G58" s="8" t="str">
        <f t="shared" si="4"/>
        <v/>
      </c>
      <c r="H58" s="8">
        <f t="shared" si="5"/>
        <v>-45999</v>
      </c>
      <c r="I58" s="6" t="s">
        <v>8</v>
      </c>
      <c r="J58" s="28">
        <v>636</v>
      </c>
      <c r="K58" s="9"/>
      <c r="L58" s="9"/>
      <c r="M58" s="8" t="str">
        <f t="shared" si="6"/>
        <v/>
      </c>
      <c r="N58" s="8">
        <f t="shared" si="7"/>
        <v>-45999</v>
      </c>
      <c r="O58" s="31"/>
      <c r="P58" s="23"/>
    </row>
    <row r="59" spans="1:16" ht="22.15" hidden="1" customHeight="1">
      <c r="A59"/>
      <c r="B59" s="6" t="s">
        <v>68</v>
      </c>
      <c r="C59" s="6" t="s">
        <v>8</v>
      </c>
      <c r="D59" s="28">
        <v>3844</v>
      </c>
      <c r="E59" s="9"/>
      <c r="F59" s="9"/>
      <c r="G59" s="8" t="str">
        <f t="shared" si="4"/>
        <v/>
      </c>
      <c r="H59" s="8">
        <f t="shared" si="5"/>
        <v>-45999</v>
      </c>
      <c r="I59" s="6" t="s">
        <v>8</v>
      </c>
      <c r="J59" s="28">
        <v>3844</v>
      </c>
      <c r="K59" s="9"/>
      <c r="L59" s="9"/>
      <c r="M59" s="8" t="str">
        <f t="shared" si="6"/>
        <v/>
      </c>
      <c r="N59" s="8">
        <f t="shared" si="7"/>
        <v>-45999</v>
      </c>
      <c r="O59" s="31"/>
      <c r="P59" s="23"/>
    </row>
    <row r="60" spans="1:16" ht="22.15" hidden="1" customHeight="1">
      <c r="A60"/>
      <c r="B60" s="6" t="s">
        <v>69</v>
      </c>
      <c r="C60" s="6" t="s">
        <v>8</v>
      </c>
      <c r="D60" s="28">
        <v>3244</v>
      </c>
      <c r="E60" s="9"/>
      <c r="F60" s="9"/>
      <c r="G60" s="8" t="str">
        <f t="shared" si="4"/>
        <v/>
      </c>
      <c r="H60" s="8">
        <f t="shared" si="5"/>
        <v>-45999</v>
      </c>
      <c r="I60" s="6" t="s">
        <v>8</v>
      </c>
      <c r="J60" s="28">
        <v>3244</v>
      </c>
      <c r="K60" s="9"/>
      <c r="L60" s="9"/>
      <c r="M60" s="8" t="str">
        <f t="shared" si="6"/>
        <v/>
      </c>
      <c r="N60" s="8">
        <f t="shared" si="7"/>
        <v>-45999</v>
      </c>
      <c r="O60" s="31"/>
      <c r="P60" s="23"/>
    </row>
    <row r="61" spans="1:16" ht="22.15" hidden="1" customHeight="1">
      <c r="A61"/>
      <c r="B61" s="6" t="s">
        <v>70</v>
      </c>
      <c r="C61" s="6" t="s">
        <v>8</v>
      </c>
      <c r="D61" s="28">
        <v>3244</v>
      </c>
      <c r="E61" s="9"/>
      <c r="F61" s="9"/>
      <c r="G61" s="8" t="str">
        <f t="shared" si="4"/>
        <v/>
      </c>
      <c r="H61" s="8">
        <f t="shared" si="5"/>
        <v>-45999</v>
      </c>
      <c r="I61" s="6" t="s">
        <v>8</v>
      </c>
      <c r="J61" s="28">
        <v>3244</v>
      </c>
      <c r="K61" s="9"/>
      <c r="L61" s="9"/>
      <c r="M61" s="8" t="str">
        <f t="shared" si="6"/>
        <v/>
      </c>
      <c r="N61" s="8">
        <f t="shared" si="7"/>
        <v>-45999</v>
      </c>
      <c r="O61" s="31"/>
      <c r="P61" s="23"/>
    </row>
    <row r="62" spans="1:16" ht="22.15" hidden="1" customHeight="1">
      <c r="A62"/>
      <c r="B62" s="6" t="s">
        <v>71</v>
      </c>
      <c r="C62" s="6" t="s">
        <v>8</v>
      </c>
      <c r="D62" s="28">
        <v>3268</v>
      </c>
      <c r="E62" s="9"/>
      <c r="F62" s="9"/>
      <c r="G62" s="8" t="str">
        <f t="shared" si="4"/>
        <v/>
      </c>
      <c r="H62" s="8">
        <f t="shared" si="5"/>
        <v>-45999</v>
      </c>
      <c r="I62" s="6" t="s">
        <v>8</v>
      </c>
      <c r="J62" s="28">
        <v>3268</v>
      </c>
      <c r="K62" s="9"/>
      <c r="L62" s="9"/>
      <c r="M62" s="8" t="str">
        <f t="shared" si="6"/>
        <v/>
      </c>
      <c r="N62" s="8">
        <f t="shared" si="7"/>
        <v>-45999</v>
      </c>
      <c r="O62" s="31"/>
      <c r="P62" s="23"/>
    </row>
    <row r="63" spans="1:16" ht="22.15" hidden="1" customHeight="1">
      <c r="A63"/>
      <c r="B63" s="6" t="s">
        <v>72</v>
      </c>
      <c r="C63" s="6" t="s">
        <v>8</v>
      </c>
      <c r="D63" s="28">
        <v>1608</v>
      </c>
      <c r="E63" s="9"/>
      <c r="F63" s="9"/>
      <c r="G63" s="8" t="str">
        <f t="shared" si="4"/>
        <v/>
      </c>
      <c r="H63" s="8">
        <f t="shared" si="5"/>
        <v>-45999</v>
      </c>
      <c r="I63" s="6" t="s">
        <v>8</v>
      </c>
      <c r="J63" s="28">
        <v>1608</v>
      </c>
      <c r="K63" s="9"/>
      <c r="L63" s="9"/>
      <c r="M63" s="8" t="str">
        <f t="shared" si="6"/>
        <v/>
      </c>
      <c r="N63" s="8">
        <f t="shared" si="7"/>
        <v>-45999</v>
      </c>
      <c r="O63" s="31"/>
      <c r="P63" s="23"/>
    </row>
    <row r="64" spans="1:16" ht="22.15" hidden="1" customHeight="1">
      <c r="A64"/>
      <c r="B64" s="6" t="s">
        <v>73</v>
      </c>
      <c r="C64" s="6" t="s">
        <v>8</v>
      </c>
      <c r="D64" s="28">
        <v>1284</v>
      </c>
      <c r="E64" s="9"/>
      <c r="F64" s="9"/>
      <c r="G64" s="8" t="str">
        <f t="shared" si="4"/>
        <v/>
      </c>
      <c r="H64" s="8">
        <f t="shared" si="5"/>
        <v>-45999</v>
      </c>
      <c r="I64" s="6" t="s">
        <v>8</v>
      </c>
      <c r="J64" s="28">
        <v>1284</v>
      </c>
      <c r="K64" s="9"/>
      <c r="L64" s="9"/>
      <c r="M64" s="8" t="str">
        <f t="shared" si="6"/>
        <v/>
      </c>
      <c r="N64" s="8">
        <f t="shared" si="7"/>
        <v>-45999</v>
      </c>
      <c r="O64" s="31"/>
      <c r="P64" s="23"/>
    </row>
    <row r="65" spans="1:16" ht="22.15" hidden="1" customHeight="1">
      <c r="A65"/>
      <c r="B65" s="6" t="s">
        <v>74</v>
      </c>
      <c r="C65" s="6" t="s">
        <v>8</v>
      </c>
      <c r="D65" s="28">
        <v>1266</v>
      </c>
      <c r="E65" s="9"/>
      <c r="F65" s="9"/>
      <c r="G65" s="8" t="str">
        <f t="shared" si="4"/>
        <v/>
      </c>
      <c r="H65" s="8">
        <f t="shared" si="5"/>
        <v>-45999</v>
      </c>
      <c r="I65" s="6" t="s">
        <v>8</v>
      </c>
      <c r="J65" s="28">
        <v>1266</v>
      </c>
      <c r="K65" s="9"/>
      <c r="L65" s="9"/>
      <c r="M65" s="8" t="str">
        <f t="shared" si="6"/>
        <v/>
      </c>
      <c r="N65" s="8">
        <f t="shared" si="7"/>
        <v>-45999</v>
      </c>
      <c r="O65" s="31"/>
      <c r="P65" s="23"/>
    </row>
    <row r="66" spans="1:16" ht="22.15" hidden="1" customHeight="1">
      <c r="A66"/>
      <c r="B66" s="6" t="s">
        <v>75</v>
      </c>
      <c r="C66" s="6" t="s">
        <v>8</v>
      </c>
      <c r="D66" s="28">
        <v>1278</v>
      </c>
      <c r="E66" s="9"/>
      <c r="F66" s="9"/>
      <c r="G66" s="8" t="str">
        <f t="shared" si="4"/>
        <v/>
      </c>
      <c r="H66" s="8">
        <f t="shared" si="5"/>
        <v>-45999</v>
      </c>
      <c r="I66" s="6" t="s">
        <v>8</v>
      </c>
      <c r="J66" s="28">
        <v>1278</v>
      </c>
      <c r="K66" s="9"/>
      <c r="L66" s="9"/>
      <c r="M66" s="8" t="str">
        <f t="shared" si="6"/>
        <v/>
      </c>
      <c r="N66" s="8">
        <f t="shared" si="7"/>
        <v>-45999</v>
      </c>
      <c r="O66" s="31"/>
      <c r="P66" s="23"/>
    </row>
    <row r="67" spans="1:16" ht="22.15" hidden="1" customHeight="1">
      <c r="A67"/>
      <c r="B67" s="6" t="s">
        <v>76</v>
      </c>
      <c r="C67" s="6" t="s">
        <v>8</v>
      </c>
      <c r="D67" s="28">
        <v>300</v>
      </c>
      <c r="E67" s="9"/>
      <c r="F67" s="9"/>
      <c r="G67" s="8" t="str">
        <f t="shared" si="4"/>
        <v/>
      </c>
      <c r="H67" s="8">
        <f t="shared" si="5"/>
        <v>-45999</v>
      </c>
      <c r="I67" s="6" t="s">
        <v>8</v>
      </c>
      <c r="J67" s="28">
        <v>300</v>
      </c>
      <c r="K67" s="9"/>
      <c r="L67" s="9"/>
      <c r="M67" s="8" t="str">
        <f t="shared" si="6"/>
        <v/>
      </c>
      <c r="N67" s="8">
        <f t="shared" si="7"/>
        <v>-45999</v>
      </c>
      <c r="O67" s="31"/>
      <c r="P67" s="23"/>
    </row>
    <row r="68" spans="1:16" ht="22.15" hidden="1" customHeight="1">
      <c r="A68"/>
      <c r="B68" s="6" t="s">
        <v>77</v>
      </c>
      <c r="C68" s="6" t="s">
        <v>8</v>
      </c>
      <c r="D68" s="28">
        <v>306</v>
      </c>
      <c r="E68" s="9"/>
      <c r="F68" s="9"/>
      <c r="G68" s="8" t="str">
        <f t="shared" si="4"/>
        <v/>
      </c>
      <c r="H68" s="8">
        <f t="shared" si="5"/>
        <v>-45999</v>
      </c>
      <c r="I68" s="6" t="s">
        <v>8</v>
      </c>
      <c r="J68" s="28">
        <v>306</v>
      </c>
      <c r="K68" s="9"/>
      <c r="L68" s="9"/>
      <c r="M68" s="8" t="str">
        <f t="shared" si="6"/>
        <v/>
      </c>
      <c r="N68" s="8">
        <f t="shared" si="7"/>
        <v>-45999</v>
      </c>
      <c r="O68" s="31"/>
      <c r="P68" s="23"/>
    </row>
    <row r="69" spans="1:16" ht="22.15" hidden="1" customHeight="1">
      <c r="A69"/>
      <c r="B69" s="6" t="s">
        <v>78</v>
      </c>
      <c r="C69" s="6" t="s">
        <v>8</v>
      </c>
      <c r="D69" s="28">
        <v>1296</v>
      </c>
      <c r="E69" s="9"/>
      <c r="F69" s="9"/>
      <c r="G69" s="8" t="str">
        <f t="shared" si="4"/>
        <v/>
      </c>
      <c r="H69" s="8">
        <f t="shared" si="5"/>
        <v>-45999</v>
      </c>
      <c r="I69" s="6" t="s">
        <v>8</v>
      </c>
      <c r="J69" s="28">
        <v>1296</v>
      </c>
      <c r="K69" s="9"/>
      <c r="L69" s="9"/>
      <c r="M69" s="8" t="str">
        <f t="shared" si="6"/>
        <v/>
      </c>
      <c r="N69" s="8">
        <f t="shared" si="7"/>
        <v>-45999</v>
      </c>
      <c r="O69" s="31"/>
      <c r="P69" s="23"/>
    </row>
    <row r="70" spans="1:16" ht="22.15" hidden="1" customHeight="1">
      <c r="A70"/>
      <c r="B70" s="6" t="s">
        <v>79</v>
      </c>
      <c r="C70" s="6" t="s">
        <v>8</v>
      </c>
      <c r="D70" s="28">
        <v>414</v>
      </c>
      <c r="E70" s="9"/>
      <c r="F70" s="9"/>
      <c r="G70" s="8" t="str">
        <f t="shared" si="4"/>
        <v/>
      </c>
      <c r="H70" s="8">
        <f t="shared" si="5"/>
        <v>-45999</v>
      </c>
      <c r="I70" s="6" t="s">
        <v>8</v>
      </c>
      <c r="J70" s="28">
        <v>414</v>
      </c>
      <c r="K70" s="9"/>
      <c r="L70" s="9"/>
      <c r="M70" s="8" t="str">
        <f t="shared" si="6"/>
        <v/>
      </c>
      <c r="N70" s="8">
        <f t="shared" si="7"/>
        <v>-45999</v>
      </c>
      <c r="O70" s="31"/>
      <c r="P70" s="23"/>
    </row>
    <row r="71" spans="1:16" ht="22.15" customHeight="1">
      <c r="A71"/>
      <c r="B71" s="34" t="s">
        <v>81</v>
      </c>
      <c r="C71" s="6" t="s">
        <v>15</v>
      </c>
      <c r="D71" s="29">
        <v>15</v>
      </c>
      <c r="E71" s="14">
        <v>45964</v>
      </c>
      <c r="F71" s="9">
        <v>46009</v>
      </c>
      <c r="G71" s="8">
        <f t="shared" si="4"/>
        <v>22.222222222222221</v>
      </c>
      <c r="H71" s="8">
        <f t="shared" si="5"/>
        <v>10</v>
      </c>
      <c r="I71" s="6"/>
      <c r="J71" s="33"/>
      <c r="K71" s="14"/>
      <c r="L71" s="9"/>
      <c r="M71" s="8" t="str">
        <f t="shared" si="6"/>
        <v/>
      </c>
      <c r="N71" s="8">
        <f t="shared" si="7"/>
        <v>-45999</v>
      </c>
      <c r="O71" s="32">
        <f>D71-J71</f>
        <v>15</v>
      </c>
      <c r="P71" s="23"/>
    </row>
    <row r="72" spans="1:16" ht="22.15" hidden="1" customHeight="1">
      <c r="A72"/>
      <c r="B72" s="11"/>
      <c r="C72" s="6"/>
      <c r="D72" s="29"/>
      <c r="E72" s="9"/>
      <c r="F72" s="9"/>
      <c r="G72" s="8" t="str">
        <f t="shared" ref="G72:G82" si="8">IFERROR((F72-$G$1)/(F72-E72)*100,"")</f>
        <v/>
      </c>
      <c r="H72" s="8">
        <f t="shared" ref="H72:H82" si="9">F72-$H$1</f>
        <v>-45999</v>
      </c>
      <c r="I72" s="6"/>
      <c r="J72" s="29"/>
      <c r="K72" s="9"/>
      <c r="L72" s="9"/>
      <c r="M72" s="8" t="str">
        <f t="shared" si="6"/>
        <v/>
      </c>
      <c r="N72" s="8">
        <f t="shared" si="7"/>
        <v>-45999</v>
      </c>
      <c r="O72" s="31">
        <f t="shared" ref="O72:O94" si="10">D72-J72</f>
        <v>0</v>
      </c>
      <c r="P72" s="23"/>
    </row>
    <row r="73" spans="1:16" ht="22.15" hidden="1" customHeight="1">
      <c r="A73"/>
      <c r="B73" s="11"/>
      <c r="C73" s="6"/>
      <c r="D73" s="29"/>
      <c r="E73" s="9"/>
      <c r="F73" s="9"/>
      <c r="G73" s="8" t="str">
        <f t="shared" si="8"/>
        <v/>
      </c>
      <c r="H73" s="8">
        <f t="shared" si="9"/>
        <v>-45999</v>
      </c>
      <c r="I73" s="6"/>
      <c r="J73" s="29"/>
      <c r="K73" s="9"/>
      <c r="L73" s="9"/>
      <c r="M73" s="8" t="str">
        <f t="shared" si="6"/>
        <v/>
      </c>
      <c r="N73" s="8">
        <f t="shared" si="7"/>
        <v>-45999</v>
      </c>
      <c r="O73" s="31">
        <f t="shared" si="10"/>
        <v>0</v>
      </c>
      <c r="P73" s="23"/>
    </row>
    <row r="74" spans="1:16" ht="22.15" hidden="1" customHeight="1">
      <c r="A74"/>
      <c r="B74" s="11"/>
      <c r="C74" s="6"/>
      <c r="D74" s="29"/>
      <c r="E74" s="9"/>
      <c r="F74" s="9"/>
      <c r="G74" s="8" t="str">
        <f t="shared" si="8"/>
        <v/>
      </c>
      <c r="H74" s="8">
        <f t="shared" si="9"/>
        <v>-45999</v>
      </c>
      <c r="I74" s="6"/>
      <c r="J74" s="29"/>
      <c r="K74" s="9"/>
      <c r="L74" s="9"/>
      <c r="M74" s="8" t="str">
        <f t="shared" si="6"/>
        <v/>
      </c>
      <c r="N74" s="8">
        <f t="shared" si="7"/>
        <v>-45999</v>
      </c>
      <c r="O74" s="31">
        <f t="shared" si="10"/>
        <v>0</v>
      </c>
      <c r="P74" s="23"/>
    </row>
    <row r="75" spans="1:16" ht="22.15" hidden="1" customHeight="1">
      <c r="A75"/>
      <c r="B75" s="11"/>
      <c r="C75" s="6"/>
      <c r="D75" s="29"/>
      <c r="E75" s="9"/>
      <c r="F75" s="9"/>
      <c r="G75" s="8" t="str">
        <f t="shared" si="8"/>
        <v/>
      </c>
      <c r="H75" s="8">
        <f t="shared" si="9"/>
        <v>-45999</v>
      </c>
      <c r="I75" s="6"/>
      <c r="J75" s="29"/>
      <c r="K75" s="9"/>
      <c r="L75" s="9"/>
      <c r="M75" s="8" t="str">
        <f t="shared" si="6"/>
        <v/>
      </c>
      <c r="N75" s="8">
        <f t="shared" si="7"/>
        <v>-45999</v>
      </c>
      <c r="O75" s="31">
        <f t="shared" si="10"/>
        <v>0</v>
      </c>
      <c r="P75" s="23"/>
    </row>
    <row r="76" spans="1:16" ht="22.15" hidden="1" customHeight="1">
      <c r="A76"/>
      <c r="B76" s="11"/>
      <c r="C76" s="6"/>
      <c r="D76" s="29"/>
      <c r="E76" s="9"/>
      <c r="F76" s="9"/>
      <c r="G76" s="8" t="str">
        <f t="shared" si="8"/>
        <v/>
      </c>
      <c r="H76" s="8">
        <f t="shared" si="9"/>
        <v>-45999</v>
      </c>
      <c r="I76" s="6"/>
      <c r="J76" s="29"/>
      <c r="K76" s="9"/>
      <c r="L76" s="9"/>
      <c r="M76" s="8" t="str">
        <f t="shared" si="6"/>
        <v/>
      </c>
      <c r="N76" s="8">
        <f t="shared" si="7"/>
        <v>-45999</v>
      </c>
      <c r="O76" s="31">
        <f t="shared" si="10"/>
        <v>0</v>
      </c>
      <c r="P76" s="23"/>
    </row>
    <row r="77" spans="1:16" ht="22.15" customHeight="1">
      <c r="A77"/>
      <c r="B77" s="15" t="s">
        <v>80</v>
      </c>
      <c r="C77" s="6" t="s">
        <v>8</v>
      </c>
      <c r="D77" s="29">
        <v>13</v>
      </c>
      <c r="E77" s="9">
        <v>45892</v>
      </c>
      <c r="F77" s="9">
        <v>46012</v>
      </c>
      <c r="G77" s="8">
        <f t="shared" si="8"/>
        <v>10.833333333333334</v>
      </c>
      <c r="H77" s="8">
        <f t="shared" si="9"/>
        <v>13</v>
      </c>
      <c r="I77" s="6" t="s">
        <v>8</v>
      </c>
      <c r="J77" s="29">
        <v>13</v>
      </c>
      <c r="K77" s="9">
        <v>45892</v>
      </c>
      <c r="L77" s="9">
        <v>46012</v>
      </c>
      <c r="M77" s="8">
        <f t="shared" si="6"/>
        <v>10.833333333333334</v>
      </c>
      <c r="N77" s="8">
        <f t="shared" si="7"/>
        <v>13</v>
      </c>
      <c r="O77" s="31">
        <f t="shared" si="10"/>
        <v>0</v>
      </c>
      <c r="P77" s="23"/>
    </row>
    <row r="78" spans="1:16" ht="22.15" customHeight="1">
      <c r="A78"/>
      <c r="B78" s="15" t="s">
        <v>82</v>
      </c>
      <c r="C78" s="6" t="s">
        <v>15</v>
      </c>
      <c r="D78" s="29">
        <v>93.518000000000001</v>
      </c>
      <c r="E78" s="9">
        <v>45977</v>
      </c>
      <c r="F78" s="9">
        <v>46007</v>
      </c>
      <c r="G78" s="8">
        <f t="shared" si="8"/>
        <v>26.666666666666668</v>
      </c>
      <c r="H78" s="8">
        <f t="shared" si="9"/>
        <v>8</v>
      </c>
      <c r="I78" s="6" t="s">
        <v>15</v>
      </c>
      <c r="J78" s="29">
        <v>25.765999999999998</v>
      </c>
      <c r="K78" s="9">
        <v>45977</v>
      </c>
      <c r="L78" s="9">
        <v>46007</v>
      </c>
      <c r="M78" s="8">
        <f t="shared" si="6"/>
        <v>26.666666666666668</v>
      </c>
      <c r="N78" s="8">
        <f t="shared" si="7"/>
        <v>8</v>
      </c>
      <c r="O78" s="31">
        <f>D78-J78</f>
        <v>67.75200000000001</v>
      </c>
      <c r="P78" s="23"/>
    </row>
    <row r="79" spans="1:16" ht="22.15" customHeight="1">
      <c r="A79"/>
      <c r="B79" s="34" t="s">
        <v>83</v>
      </c>
      <c r="C79" s="6" t="s">
        <v>15</v>
      </c>
      <c r="D79" s="29">
        <v>26.315999999999999</v>
      </c>
      <c r="E79" s="9">
        <v>45982</v>
      </c>
      <c r="F79" s="9">
        <v>46012</v>
      </c>
      <c r="G79" s="8">
        <f t="shared" si="8"/>
        <v>43.333333333333336</v>
      </c>
      <c r="H79" s="8">
        <f t="shared" si="9"/>
        <v>13</v>
      </c>
      <c r="I79" s="6"/>
      <c r="J79" s="33"/>
      <c r="K79" s="9"/>
      <c r="L79" s="9"/>
      <c r="M79" s="8" t="str">
        <f t="shared" si="6"/>
        <v/>
      </c>
      <c r="N79" s="8">
        <f t="shared" si="7"/>
        <v>-45999</v>
      </c>
      <c r="O79" s="32">
        <f t="shared" si="10"/>
        <v>26.315999999999999</v>
      </c>
      <c r="P79" s="23"/>
    </row>
    <row r="80" spans="1:16" ht="22.15" customHeight="1">
      <c r="A80"/>
      <c r="B80" s="15" t="s">
        <v>84</v>
      </c>
      <c r="C80" s="6" t="s">
        <v>15</v>
      </c>
      <c r="D80" s="29">
        <v>25</v>
      </c>
      <c r="E80" s="9">
        <v>45973</v>
      </c>
      <c r="F80" s="9">
        <v>46018</v>
      </c>
      <c r="G80" s="8">
        <f t="shared" si="8"/>
        <v>42.222222222222221</v>
      </c>
      <c r="H80" s="8">
        <f t="shared" si="9"/>
        <v>19</v>
      </c>
      <c r="I80" s="6" t="s">
        <v>15</v>
      </c>
      <c r="J80" s="29">
        <v>25</v>
      </c>
      <c r="K80" s="9">
        <v>45973</v>
      </c>
      <c r="L80" s="9">
        <v>46018</v>
      </c>
      <c r="M80" s="8">
        <f t="shared" si="6"/>
        <v>42.222222222222221</v>
      </c>
      <c r="N80" s="8">
        <f t="shared" si="7"/>
        <v>19</v>
      </c>
      <c r="O80" s="31">
        <f t="shared" si="10"/>
        <v>0</v>
      </c>
      <c r="P80" s="23"/>
    </row>
    <row r="81" spans="1:16" ht="22.15" customHeight="1">
      <c r="A81"/>
      <c r="B81" s="15" t="s">
        <v>85</v>
      </c>
      <c r="C81" s="12" t="s">
        <v>8</v>
      </c>
      <c r="D81" s="25">
        <v>36</v>
      </c>
      <c r="E81" s="9">
        <v>45970</v>
      </c>
      <c r="F81" s="9">
        <v>46010</v>
      </c>
      <c r="G81" s="8">
        <f t="shared" si="8"/>
        <v>27.500000000000004</v>
      </c>
      <c r="H81" s="8">
        <f t="shared" si="9"/>
        <v>11</v>
      </c>
      <c r="I81" s="12" t="s">
        <v>8</v>
      </c>
      <c r="J81" s="25">
        <v>22</v>
      </c>
      <c r="K81" s="9">
        <v>45970</v>
      </c>
      <c r="L81" s="9">
        <v>46010</v>
      </c>
      <c r="M81" s="8">
        <f t="shared" si="6"/>
        <v>27.500000000000004</v>
      </c>
      <c r="N81" s="8">
        <f t="shared" si="7"/>
        <v>11</v>
      </c>
      <c r="O81" s="31">
        <f t="shared" si="10"/>
        <v>14</v>
      </c>
      <c r="P81" s="23"/>
    </row>
    <row r="82" spans="1:16" ht="22.15" customHeight="1">
      <c r="A82"/>
      <c r="B82" s="15"/>
      <c r="C82" s="16"/>
      <c r="D82" s="26"/>
      <c r="E82" s="17"/>
      <c r="F82" s="18"/>
      <c r="G82" s="8" t="str">
        <f t="shared" si="8"/>
        <v/>
      </c>
      <c r="H82" s="8">
        <f t="shared" si="9"/>
        <v>-45999</v>
      </c>
      <c r="I82" s="16"/>
      <c r="J82" s="26"/>
      <c r="K82" s="17"/>
      <c r="L82" s="18"/>
      <c r="M82" s="8" t="str">
        <f t="shared" si="6"/>
        <v/>
      </c>
      <c r="N82" s="8">
        <f t="shared" si="7"/>
        <v>-45999</v>
      </c>
      <c r="O82" s="31"/>
      <c r="P82" s="23"/>
    </row>
    <row r="83" spans="1:16" ht="22.15" customHeight="1">
      <c r="A83"/>
      <c r="B83" s="15" t="s">
        <v>86</v>
      </c>
      <c r="C83" s="6" t="s">
        <v>8</v>
      </c>
      <c r="D83" s="29">
        <v>233</v>
      </c>
      <c r="E83" s="9">
        <v>45979</v>
      </c>
      <c r="F83" s="9">
        <v>46019</v>
      </c>
      <c r="G83" s="8">
        <f t="shared" ref="G83" si="11">IFERROR((F83-$G$1)/(F83-E83)*100,"")</f>
        <v>50</v>
      </c>
      <c r="H83" s="8">
        <f t="shared" ref="H83" si="12">F83-$H$1</f>
        <v>20</v>
      </c>
      <c r="I83" s="6" t="s">
        <v>8</v>
      </c>
      <c r="J83" s="29">
        <v>204</v>
      </c>
      <c r="K83" s="9">
        <v>45979</v>
      </c>
      <c r="L83" s="9">
        <v>46019</v>
      </c>
      <c r="M83" s="8">
        <f t="shared" si="6"/>
        <v>50</v>
      </c>
      <c r="N83" s="8">
        <f t="shared" si="7"/>
        <v>20</v>
      </c>
      <c r="O83" s="31">
        <f t="shared" si="10"/>
        <v>29</v>
      </c>
      <c r="P83" s="23"/>
    </row>
    <row r="84" spans="1:16" ht="22.15" customHeight="1">
      <c r="A84"/>
      <c r="B84" s="15" t="s">
        <v>87</v>
      </c>
      <c r="C84" s="6"/>
      <c r="D84" s="28"/>
      <c r="E84" s="9"/>
      <c r="F84" s="9"/>
      <c r="G84" s="8" t="str">
        <f t="shared" ref="G84:G86" si="13">IFERROR((F84-$G$1)/(F84-E84)*100,"")</f>
        <v/>
      </c>
      <c r="H84" s="8">
        <f t="shared" ref="H84:H86" si="14">F84-$H$1</f>
        <v>-45999</v>
      </c>
      <c r="I84" s="6" t="s">
        <v>8</v>
      </c>
      <c r="J84" s="28">
        <v>7</v>
      </c>
      <c r="K84" s="9">
        <v>45976</v>
      </c>
      <c r="L84" s="9">
        <v>46016</v>
      </c>
      <c r="M84" s="8">
        <f t="shared" si="6"/>
        <v>42.5</v>
      </c>
      <c r="N84" s="8">
        <f t="shared" si="7"/>
        <v>17</v>
      </c>
      <c r="O84" s="31"/>
      <c r="P84" s="23"/>
    </row>
    <row r="85" spans="1:16" ht="22.15" customHeight="1">
      <c r="A85"/>
      <c r="B85" s="15" t="s">
        <v>86</v>
      </c>
      <c r="C85" s="6"/>
      <c r="D85" s="29"/>
      <c r="E85" s="9"/>
      <c r="F85" s="9"/>
      <c r="G85" s="8" t="str">
        <f t="shared" si="13"/>
        <v/>
      </c>
      <c r="H85" s="8">
        <f t="shared" si="14"/>
        <v>-45999</v>
      </c>
      <c r="I85" s="6" t="s">
        <v>8</v>
      </c>
      <c r="J85" s="29">
        <v>21</v>
      </c>
      <c r="K85" s="9">
        <v>45974</v>
      </c>
      <c r="L85" s="9">
        <v>46014</v>
      </c>
      <c r="M85" s="8">
        <f t="shared" si="6"/>
        <v>37.5</v>
      </c>
      <c r="N85" s="8">
        <f t="shared" si="7"/>
        <v>15</v>
      </c>
      <c r="O85" s="31"/>
      <c r="P85" s="23"/>
    </row>
    <row r="86" spans="1:16" ht="22.15" customHeight="1">
      <c r="A86"/>
      <c r="B86" s="15" t="s">
        <v>85</v>
      </c>
      <c r="C86" s="6"/>
      <c r="D86" s="29"/>
      <c r="E86" s="9"/>
      <c r="F86" s="9"/>
      <c r="G86" s="8" t="str">
        <f t="shared" si="13"/>
        <v/>
      </c>
      <c r="H86" s="8">
        <f t="shared" si="14"/>
        <v>-45999</v>
      </c>
      <c r="I86" s="6" t="s">
        <v>8</v>
      </c>
      <c r="J86" s="29">
        <v>46</v>
      </c>
      <c r="K86" s="9">
        <v>45975</v>
      </c>
      <c r="L86" s="9">
        <v>46015</v>
      </c>
      <c r="M86" s="8">
        <f t="shared" si="6"/>
        <v>40</v>
      </c>
      <c r="N86" s="8">
        <f t="shared" si="7"/>
        <v>16</v>
      </c>
      <c r="O86" s="31"/>
      <c r="P86" s="23"/>
    </row>
    <row r="87" spans="1:16" ht="22.15" customHeight="1">
      <c r="A87"/>
      <c r="B87" s="13"/>
      <c r="C87" s="6"/>
      <c r="D87" s="29"/>
      <c r="E87" s="9"/>
      <c r="F87" s="9"/>
      <c r="G87" s="8" t="str">
        <f t="shared" ref="G87" si="15">IFERROR((F87-$G$1)/(F87-E87)*100,"")</f>
        <v/>
      </c>
      <c r="H87" s="8">
        <f t="shared" ref="H87" si="16">F87-$H$1</f>
        <v>-45999</v>
      </c>
      <c r="I87" s="6"/>
      <c r="J87" s="29"/>
      <c r="K87" s="9"/>
      <c r="L87" s="9"/>
      <c r="M87" s="8" t="str">
        <f t="shared" si="6"/>
        <v/>
      </c>
      <c r="N87" s="8">
        <f t="shared" si="7"/>
        <v>-45999</v>
      </c>
      <c r="O87" s="31"/>
      <c r="P87" s="23"/>
    </row>
    <row r="88" spans="1:16" ht="22.15" customHeight="1">
      <c r="A88"/>
      <c r="B88" s="13"/>
      <c r="C88" s="6"/>
      <c r="D88" s="29"/>
      <c r="E88" s="9"/>
      <c r="F88" s="9"/>
      <c r="G88" s="8" t="str">
        <f t="shared" ref="G88:G90" si="17">IFERROR((F88-$G$1)/(F88-E88)*100,"")</f>
        <v/>
      </c>
      <c r="H88" s="8">
        <f t="shared" ref="H88:H90" si="18">F88-$H$1</f>
        <v>-45999</v>
      </c>
      <c r="I88" s="6"/>
      <c r="J88" s="29"/>
      <c r="K88" s="9"/>
      <c r="L88" s="9"/>
      <c r="M88" s="8" t="str">
        <f t="shared" si="6"/>
        <v/>
      </c>
      <c r="N88" s="8">
        <f t="shared" si="7"/>
        <v>-45999</v>
      </c>
      <c r="O88" s="31"/>
      <c r="P88" s="23"/>
    </row>
    <row r="89" spans="1:16" ht="22.15" customHeight="1">
      <c r="A89"/>
      <c r="B89" s="13"/>
      <c r="C89" s="6"/>
      <c r="D89" s="29"/>
      <c r="E89" s="9"/>
      <c r="F89" s="9"/>
      <c r="G89" s="8" t="str">
        <f t="shared" si="17"/>
        <v/>
      </c>
      <c r="H89" s="8">
        <f t="shared" si="18"/>
        <v>-45999</v>
      </c>
      <c r="I89" s="6"/>
      <c r="J89" s="29"/>
      <c r="K89" s="9"/>
      <c r="L89" s="9"/>
      <c r="M89" s="8" t="str">
        <f t="shared" si="6"/>
        <v/>
      </c>
      <c r="N89" s="8">
        <f t="shared" si="7"/>
        <v>-45999</v>
      </c>
      <c r="O89" s="31"/>
      <c r="P89" s="23"/>
    </row>
    <row r="90" spans="1:16" ht="22.15" customHeight="1">
      <c r="A90"/>
      <c r="B90" s="13"/>
      <c r="C90" s="6"/>
      <c r="D90" s="29"/>
      <c r="E90" s="9"/>
      <c r="F90" s="9"/>
      <c r="G90" s="8" t="str">
        <f t="shared" si="17"/>
        <v/>
      </c>
      <c r="H90" s="8">
        <f t="shared" si="18"/>
        <v>-45999</v>
      </c>
      <c r="I90" s="6"/>
      <c r="J90" s="29"/>
      <c r="K90" s="9"/>
      <c r="L90" s="9"/>
      <c r="M90" s="8" t="str">
        <f t="shared" si="6"/>
        <v/>
      </c>
      <c r="N90" s="8">
        <f t="shared" si="7"/>
        <v>-45999</v>
      </c>
      <c r="O90" s="31"/>
      <c r="P90" s="23"/>
    </row>
    <row r="91" spans="1:16" ht="22.15" customHeight="1">
      <c r="A91"/>
      <c r="B91" s="13"/>
      <c r="C91" s="6"/>
      <c r="D91" s="29"/>
      <c r="E91" s="9"/>
      <c r="F91" s="9"/>
      <c r="G91" s="8" t="str">
        <f t="shared" ref="G91:G94" si="19">IFERROR((F91-$G$1)/(F91-E91)*100,"")</f>
        <v/>
      </c>
      <c r="H91" s="8">
        <f t="shared" ref="H91:H94" si="20">F91-$H$1</f>
        <v>-45999</v>
      </c>
      <c r="I91" s="6"/>
      <c r="J91" s="29"/>
      <c r="K91" s="9"/>
      <c r="L91" s="9"/>
      <c r="M91" s="8" t="str">
        <f t="shared" si="6"/>
        <v/>
      </c>
      <c r="N91" s="8">
        <f t="shared" si="7"/>
        <v>-45999</v>
      </c>
      <c r="O91" s="31"/>
      <c r="P91" s="23"/>
    </row>
    <row r="92" spans="1:16" ht="22.15" customHeight="1">
      <c r="A92"/>
      <c r="B92" s="13"/>
      <c r="C92" s="6"/>
      <c r="D92" s="29"/>
      <c r="E92" s="9"/>
      <c r="F92" s="9"/>
      <c r="G92" s="8" t="str">
        <f t="shared" si="19"/>
        <v/>
      </c>
      <c r="H92" s="8">
        <f t="shared" si="20"/>
        <v>-45999</v>
      </c>
      <c r="I92" s="6"/>
      <c r="J92" s="29"/>
      <c r="K92" s="9"/>
      <c r="L92" s="9"/>
      <c r="M92" s="8" t="str">
        <f t="shared" si="6"/>
        <v/>
      </c>
      <c r="N92" s="8">
        <f t="shared" si="7"/>
        <v>-45999</v>
      </c>
      <c r="O92" s="31"/>
      <c r="P92" s="23"/>
    </row>
    <row r="93" spans="1:16" ht="22.15" customHeight="1">
      <c r="A93"/>
      <c r="B93" s="13"/>
      <c r="C93" s="6"/>
      <c r="D93" s="29"/>
      <c r="E93" s="9"/>
      <c r="F93" s="9"/>
      <c r="G93" s="8" t="str">
        <f t="shared" si="19"/>
        <v/>
      </c>
      <c r="H93" s="8">
        <f t="shared" si="20"/>
        <v>-45999</v>
      </c>
      <c r="I93" s="6"/>
      <c r="J93" s="29"/>
      <c r="K93" s="9"/>
      <c r="L93" s="9"/>
      <c r="M93" s="8" t="str">
        <f t="shared" si="6"/>
        <v/>
      </c>
      <c r="N93" s="8">
        <f t="shared" si="7"/>
        <v>-45999</v>
      </c>
      <c r="O93" s="31"/>
      <c r="P93" s="23"/>
    </row>
    <row r="94" spans="1:16" ht="22.15" customHeight="1">
      <c r="A94"/>
      <c r="B94" s="13"/>
      <c r="C94" s="6"/>
      <c r="D94" s="29"/>
      <c r="E94" s="9"/>
      <c r="F94" s="9"/>
      <c r="G94" s="8" t="str">
        <f t="shared" si="19"/>
        <v/>
      </c>
      <c r="H94" s="8">
        <f t="shared" si="20"/>
        <v>-45999</v>
      </c>
      <c r="I94" s="6"/>
      <c r="J94" s="29"/>
      <c r="K94" s="9"/>
      <c r="L94" s="9"/>
      <c r="M94" s="8" t="str">
        <f t="shared" si="6"/>
        <v/>
      </c>
      <c r="N94" s="8">
        <f t="shared" si="7"/>
        <v>-45999</v>
      </c>
      <c r="O94" s="31"/>
      <c r="P94" s="23"/>
    </row>
    <row r="95" spans="1:16" ht="22.15" customHeight="1">
      <c r="A95"/>
      <c r="B95"/>
      <c r="C95"/>
      <c r="D95" s="30"/>
      <c r="E95"/>
      <c r="F95"/>
      <c r="G95"/>
      <c r="H95"/>
      <c r="I95"/>
      <c r="J95" s="30"/>
      <c r="K95"/>
      <c r="L95"/>
      <c r="M95"/>
      <c r="N95"/>
      <c r="O95" s="31"/>
      <c r="P95" s="23"/>
    </row>
    <row r="96" spans="1:16" ht="22.15" customHeight="1">
      <c r="A96"/>
      <c r="B96"/>
      <c r="C96"/>
      <c r="D96" s="30"/>
      <c r="E96"/>
      <c r="F96"/>
      <c r="G96"/>
      <c r="H96"/>
      <c r="I96"/>
      <c r="J96" s="30"/>
      <c r="K96"/>
      <c r="L96"/>
      <c r="M96"/>
      <c r="N96"/>
      <c r="O96" s="31"/>
      <c r="P96" s="23"/>
    </row>
    <row r="97" spans="1:16" ht="22.15" customHeight="1">
      <c r="A97"/>
      <c r="B97"/>
      <c r="C97"/>
      <c r="D97" s="30"/>
      <c r="E97"/>
      <c r="F97"/>
      <c r="G97"/>
      <c r="H97"/>
      <c r="I97"/>
      <c r="J97" s="30"/>
      <c r="K97"/>
      <c r="L97"/>
      <c r="M97"/>
      <c r="N97"/>
      <c r="O97" s="31"/>
      <c r="P97" s="23"/>
    </row>
    <row r="98" spans="1:16" ht="22.15" customHeight="1">
      <c r="A98"/>
      <c r="B98"/>
      <c r="C98"/>
      <c r="D98" s="30"/>
      <c r="E98"/>
      <c r="F98"/>
      <c r="G98"/>
      <c r="H98"/>
      <c r="I98"/>
      <c r="J98" s="30"/>
      <c r="K98"/>
      <c r="L98"/>
      <c r="M98"/>
      <c r="N98"/>
      <c r="O98" s="31"/>
      <c r="P98" s="23"/>
    </row>
    <row r="99" spans="1:16" ht="22.15" customHeight="1">
      <c r="A99"/>
      <c r="B99"/>
      <c r="C99"/>
      <c r="D99" s="30"/>
      <c r="E99"/>
      <c r="F99"/>
      <c r="G99"/>
      <c r="H99"/>
      <c r="I99"/>
      <c r="J99" s="30"/>
      <c r="K99"/>
      <c r="L99"/>
      <c r="M99"/>
      <c r="N99"/>
      <c r="O99" s="31"/>
      <c r="P99" s="23"/>
    </row>
    <row r="100" spans="1:16" ht="22.15" customHeight="1">
      <c r="A100"/>
      <c r="B100"/>
      <c r="C100"/>
      <c r="D100" s="30"/>
      <c r="E100"/>
      <c r="F100"/>
      <c r="G100"/>
      <c r="H100"/>
      <c r="I100"/>
      <c r="J100" s="30"/>
      <c r="K100"/>
      <c r="L100"/>
      <c r="M100"/>
      <c r="N100"/>
      <c r="O100" s="31"/>
      <c r="P100" s="23"/>
    </row>
    <row r="101" spans="1:16" ht="22.15" customHeight="1">
      <c r="A101"/>
      <c r="B101"/>
      <c r="C101"/>
      <c r="D101" s="30"/>
      <c r="E101"/>
      <c r="F101"/>
      <c r="G101"/>
      <c r="H101"/>
      <c r="I101"/>
      <c r="J101" s="30"/>
      <c r="K101"/>
      <c r="L101"/>
      <c r="M101"/>
      <c r="N101"/>
      <c r="O101" s="31"/>
      <c r="P101" s="23"/>
    </row>
    <row r="102" spans="1:16" ht="22.15" customHeight="1">
      <c r="A102"/>
      <c r="B102"/>
      <c r="C102"/>
      <c r="D102" s="30"/>
      <c r="E102"/>
      <c r="F102"/>
      <c r="G102"/>
      <c r="H102"/>
      <c r="I102"/>
      <c r="J102" s="30"/>
      <c r="K102"/>
      <c r="L102"/>
      <c r="M102"/>
      <c r="N102"/>
      <c r="O102" s="31"/>
      <c r="P102" s="23"/>
    </row>
    <row r="103" spans="1:16" ht="22.15" customHeight="1">
      <c r="A103"/>
      <c r="B103"/>
      <c r="C103"/>
      <c r="D103" s="30"/>
      <c r="E103"/>
      <c r="F103"/>
      <c r="G103"/>
      <c r="H103"/>
      <c r="I103"/>
      <c r="J103" s="30"/>
      <c r="K103"/>
      <c r="L103"/>
      <c r="M103"/>
      <c r="N103"/>
      <c r="O103" s="31"/>
      <c r="P103" s="23"/>
    </row>
    <row r="104" spans="1:16" ht="22.15" customHeight="1">
      <c r="A104"/>
      <c r="B104"/>
      <c r="C104"/>
      <c r="D104" s="30"/>
      <c r="E104"/>
      <c r="F104"/>
      <c r="G104"/>
      <c r="H104"/>
      <c r="I104"/>
      <c r="J104" s="30"/>
      <c r="K104"/>
      <c r="L104"/>
      <c r="M104"/>
      <c r="N104"/>
      <c r="O104" s="31"/>
      <c r="P104" s="23"/>
    </row>
    <row r="105" spans="1:16" ht="22.15" customHeight="1">
      <c r="A105"/>
      <c r="B105"/>
      <c r="C105"/>
      <c r="D105" s="30"/>
      <c r="E105"/>
      <c r="F105"/>
      <c r="G105"/>
      <c r="H105"/>
      <c r="I105"/>
      <c r="J105" s="30"/>
      <c r="K105"/>
      <c r="L105"/>
      <c r="M105"/>
      <c r="N105"/>
      <c r="O105" s="31"/>
      <c r="P105" s="23"/>
    </row>
    <row r="106" spans="1:16" ht="22.15" customHeight="1">
      <c r="A106"/>
      <c r="B106"/>
      <c r="C106"/>
      <c r="D106" s="30"/>
      <c r="E106"/>
      <c r="F106"/>
      <c r="G106"/>
      <c r="H106"/>
      <c r="I106"/>
      <c r="J106" s="30"/>
      <c r="K106"/>
      <c r="L106"/>
      <c r="M106"/>
      <c r="N106"/>
      <c r="O106" s="31"/>
      <c r="P106" s="23"/>
    </row>
    <row r="107" spans="1:16" ht="22.15" customHeight="1">
      <c r="A107"/>
      <c r="B107"/>
      <c r="C107"/>
      <c r="D107" s="30"/>
      <c r="E107"/>
      <c r="F107"/>
      <c r="G107"/>
      <c r="H107"/>
      <c r="I107"/>
      <c r="J107" s="30"/>
      <c r="K107"/>
      <c r="L107"/>
      <c r="M107"/>
      <c r="N107"/>
      <c r="O107" s="30"/>
    </row>
    <row r="108" spans="1:16" ht="22.15" customHeight="1">
      <c r="A108"/>
      <c r="B108"/>
      <c r="C108"/>
      <c r="D108" s="30"/>
      <c r="E108"/>
      <c r="F108"/>
      <c r="G108"/>
      <c r="H108"/>
      <c r="I108"/>
      <c r="J108" s="30"/>
      <c r="K108"/>
      <c r="L108"/>
      <c r="M108"/>
      <c r="N108"/>
      <c r="O108" s="30"/>
    </row>
    <row r="109" spans="1:16" ht="22.15" customHeight="1">
      <c r="A109"/>
      <c r="B109"/>
      <c r="C109"/>
      <c r="D109" s="30"/>
      <c r="E109"/>
      <c r="F109"/>
      <c r="G109"/>
      <c r="H109"/>
      <c r="I109"/>
      <c r="J109" s="30"/>
      <c r="K109"/>
      <c r="L109"/>
      <c r="M109"/>
      <c r="N109"/>
    </row>
    <row r="110" spans="1:16" ht="22.15" customHeight="1">
      <c r="A110"/>
      <c r="B110"/>
      <c r="C110"/>
      <c r="D110" s="30"/>
      <c r="E110"/>
      <c r="F110"/>
      <c r="I110"/>
      <c r="J110" s="30"/>
      <c r="K110"/>
      <c r="L110"/>
    </row>
  </sheetData>
  <mergeCells count="5">
    <mergeCell ref="R3:V3"/>
    <mergeCell ref="R4:V5"/>
    <mergeCell ref="R7:V7"/>
    <mergeCell ref="R8:V8"/>
    <mergeCell ref="R9:V10"/>
  </mergeCells>
  <phoneticPr fontId="9" type="noConversion"/>
  <conditionalFormatting sqref="G3:H94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H3:H94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M3:N94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N3:N94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  <ignoredErrors>
    <ignoredError sqref="O78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2025-12-11T14:13:25Z</dcterms:modified>
</cp:coreProperties>
</file>