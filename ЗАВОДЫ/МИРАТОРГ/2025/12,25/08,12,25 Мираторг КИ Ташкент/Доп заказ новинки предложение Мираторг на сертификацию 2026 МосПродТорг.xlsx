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ЗАВОДЫ\МИРАТОРГ\2025\12,25\08,12,25 Мираторг КИ Ташкент\"/>
    </mc:Choice>
  </mc:AlternateContent>
  <xr:revisionPtr revIDLastSave="0" documentId="13_ncr:1_{CBB85001-1BEE-446B-92F3-29E284ADBAD7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4" r:id="rId1"/>
  </sheets>
  <definedNames>
    <definedName name="_xlnm._FilterDatabase" localSheetId="0" hidden="1">Лист1!$A$1:$V$29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30" i="4" l="1"/>
  <c r="V19" i="4"/>
  <c r="V20" i="4"/>
  <c r="V21" i="4"/>
  <c r="V22" i="4"/>
  <c r="V23" i="4"/>
  <c r="V24" i="4"/>
  <c r="V25" i="4"/>
  <c r="V26" i="4"/>
  <c r="V27" i="4"/>
  <c r="V28" i="4"/>
  <c r="V29" i="4"/>
  <c r="V18" i="4"/>
  <c r="S3" i="4" l="1"/>
  <c r="S18" i="4"/>
  <c r="S19" i="4"/>
  <c r="S4" i="4"/>
  <c r="S5" i="4"/>
  <c r="S6" i="4"/>
  <c r="S7" i="4"/>
  <c r="S8" i="4"/>
  <c r="S20" i="4"/>
  <c r="S9" i="4"/>
  <c r="S21" i="4"/>
  <c r="S22" i="4"/>
  <c r="S23" i="4"/>
  <c r="S10" i="4"/>
  <c r="S11" i="4"/>
  <c r="S24" i="4"/>
  <c r="S25" i="4"/>
  <c r="S26" i="4"/>
  <c r="S27" i="4"/>
  <c r="S12" i="4"/>
  <c r="S28" i="4"/>
  <c r="S13" i="4"/>
  <c r="S14" i="4"/>
  <c r="S15" i="4"/>
  <c r="S29" i="4"/>
  <c r="S2" i="4"/>
</calcChain>
</file>

<file path=xl/sharedStrings.xml><?xml version="1.0" encoding="utf-8"?>
<sst xmlns="http://schemas.openxmlformats.org/spreadsheetml/2006/main" count="209" uniqueCount="62">
  <si>
    <t>КОЛБАСА</t>
  </si>
  <si>
    <t>ВАРЕНАЯ КОЛБАСА</t>
  </si>
  <si>
    <t>МХБ Курск</t>
  </si>
  <si>
    <t>Шт</t>
  </si>
  <si>
    <t>МХБ Колбаса вареная Молочная п/а ОХЛ 470*6 (2,82 кг) ООО "Мираторг-Курск" РОССИЯ</t>
  </si>
  <si>
    <t>МХБ Колбаса вар. Докторская п/а 400г</t>
  </si>
  <si>
    <t>МХБ Колбаса Филейная охл п/а 350*6</t>
  </si>
  <si>
    <t>КП Колбаса вк Балыковая ВУ охл 300г*6</t>
  </si>
  <si>
    <t>ВАРЕНО-КОПЧЕНАЯ</t>
  </si>
  <si>
    <t>КП Колб вк Черная Бергамо ВУ ОХЛ 280г*6</t>
  </si>
  <si>
    <t>МХБ Колбаса вк Сервелат ГОСТ охл 300г*6</t>
  </si>
  <si>
    <t>КП сервелат в/к Коньячный ОХЛ ВУ 300г*6</t>
  </si>
  <si>
    <t>КП Сервелат в/к Финский ОХЛ ВУ 300г*6</t>
  </si>
  <si>
    <t>МХБ Ветчина Сочная п/а ОХЛ 400*6 (2,4 кг )ООО "Мираторг-Курск" РОССИЯ</t>
  </si>
  <si>
    <t>ВЕТЧИНЫ</t>
  </si>
  <si>
    <t>МХБ Мясной продукт из свинины сырокопченый Бекон  ОХЛ ВУ 200г*10 (2 кг) ООО "Мираторг-Курск" РОССИЯ</t>
  </si>
  <si>
    <t>НАРЕЗКА</t>
  </si>
  <si>
    <t>МХБ Колбаса ск Салями нар охл 100г*10</t>
  </si>
  <si>
    <t>МХБ Ветчина Парма ск нар ГЗМС 100г*10</t>
  </si>
  <si>
    <t>МХБ Прошутто ск нар ГЗМС 100г*10</t>
  </si>
  <si>
    <t>МХБ Сосис "Оригинальные" п/а ОХЛ ГЗМС 350*6</t>
  </si>
  <si>
    <t>СОСИСКИ</t>
  </si>
  <si>
    <t>МХБ Сосиски Сочные охл п/а 350*6</t>
  </si>
  <si>
    <t>МХБ Сосиски Нежные п/а охл 350г*6 (45)</t>
  </si>
  <si>
    <t>КП Сосиски Ита с сыром ОХЛ ГЗМС 350г*6</t>
  </si>
  <si>
    <t>СЫРОКОПЧЕНАЯ КОЛБАСА</t>
  </si>
  <si>
    <t>1601009101</t>
  </si>
  <si>
    <t>МХБ Колбаса сырокопченая Сервелат полусухой ф/о охл 300г*6 (1,8кг) ООО "Мираторг-Курск" РОССИЯ</t>
  </si>
  <si>
    <t>КП Колбаса ск Брауншвейгская ОХЛ 280г*6</t>
  </si>
  <si>
    <t>КП Колбаса с/к Neapolitano ВУ ОХЛ 250г*6</t>
  </si>
  <si>
    <t>КП Колбаса пс Салями ВУ ОХЛ 280г*6</t>
  </si>
  <si>
    <t>КП Колбаса с/к Сальчичон ВУ ОХЛ 280г*6</t>
  </si>
  <si>
    <t>ТОМЛЕНОЕ МЯСО</t>
  </si>
  <si>
    <t>КП Ребрышки свиные томленые ОХЛ ВУ 500г</t>
  </si>
  <si>
    <t>1602493000</t>
  </si>
  <si>
    <t>Артикул</t>
  </si>
  <si>
    <t>Наименование</t>
  </si>
  <si>
    <t>ТН</t>
  </si>
  <si>
    <t>Сегмент</t>
  </si>
  <si>
    <t>Завод-производитель</t>
  </si>
  <si>
    <t>ЕИ</t>
  </si>
  <si>
    <t>Вес, ЕИ</t>
  </si>
  <si>
    <t>Вес коробки кг</t>
  </si>
  <si>
    <t>Количество ШТ в коробе</t>
  </si>
  <si>
    <t>СГ</t>
  </si>
  <si>
    <t xml:space="preserve">ТНВЭД коды </t>
  </si>
  <si>
    <t>Юр адрес компании постащика</t>
  </si>
  <si>
    <t>Состав</t>
  </si>
  <si>
    <t>МХБ Сервелат Мраморный в/к ВУ ОХЛ 330г*6</t>
  </si>
  <si>
    <t>КП Колбаса п/к Чесночная ОХЛ ВУ 300г*6</t>
  </si>
  <si>
    <t>ПОЛУКОПЧЁНАЯ</t>
  </si>
  <si>
    <t>КП Колбаса пк Краковская ОХЛ ВУ 330г*5 (1,65 кг)</t>
  </si>
  <si>
    <t>Рекомендованная цена розница , сум</t>
  </si>
  <si>
    <t>Ассортимент 2026</t>
  </si>
  <si>
    <t>Да- Моспродторг</t>
  </si>
  <si>
    <t>Цена за КГ 1 квартал регуляр</t>
  </si>
  <si>
    <t>Цена за КГ 1 квартал с компенсацией</t>
  </si>
  <si>
    <t>Компенсации в цене, %</t>
  </si>
  <si>
    <t>МХБ Ветчина для завтрака ШТ. ОХЛ п/а 400г*6 (2,4кг) МИРАТОРГ</t>
  </si>
  <si>
    <t>МХБ Колбаса вареная Классическая ШТ. ОХЛ п/а 470г*6 (2,82кг) МИРАТОРГ</t>
  </si>
  <si>
    <t>Да- Новинка</t>
  </si>
  <si>
    <t>Доп Заказ, шт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</si>
</sst>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3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/>
    <xf numFmtId="0" fontId="0" fillId="0" borderId="0" xfId="0" applyAlignment="1"/>
    <xf numFmtId="0" fontId="2" fillId="2" borderId="1" xfId="0" applyFont="1" applyFill="1" applyBorder="1" applyAlignment="1"/>
    <xf numFmtId="0" fontId="1" fillId="2" borderId="1" xfId="0" applyFont="1" applyFill="1" applyBorder="1" applyAlignment="1"/>
    <xf numFmtId="2" fontId="2" fillId="2" borderId="1" xfId="0" applyNumberFormat="1" applyFont="1" applyFill="1" applyBorder="1" applyAlignment="1">
      <alignment vertical="center"/>
    </xf>
    <xf numFmtId="2" fontId="2" fillId="2" borderId="1" xfId="0" applyNumberFormat="1" applyFont="1" applyFill="1" applyBorder="1" applyAlignment="1"/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4" borderId="1" xfId="0" applyFill="1" applyBorder="1" applyAlignment="1">
      <alignment horizontal="center" vertical="center" wrapText="1"/>
    </xf>
    <xf numFmtId="0" fontId="0" fillId="4" borderId="0" xfId="0" applyFill="1" applyBorder="1" applyAlignment="1">
      <alignment horizontal="center" vertical="center" wrapText="1"/>
    </xf>
    <xf numFmtId="3" fontId="0" fillId="0" borderId="0" xfId="0" applyNumberFormat="1" applyAlignment="1"/>
    <xf numFmtId="0" fontId="0" fillId="0" borderId="0" xfId="0" applyAlignment="1">
      <alignment horizontal="center" vertical="center" wrapText="1"/>
    </xf>
    <xf numFmtId="9" fontId="0" fillId="0" borderId="0" xfId="1" applyFont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/>
    <xf numFmtId="0" fontId="0" fillId="5" borderId="1" xfId="0" applyFill="1" applyBorder="1"/>
    <xf numFmtId="0" fontId="1" fillId="5" borderId="1" xfId="0" applyFont="1" applyFill="1" applyBorder="1" applyAlignment="1"/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/>
    <xf numFmtId="3" fontId="0" fillId="0" borderId="0" xfId="0" applyNumberFormat="1" applyAlignment="1">
      <alignment horizontal="center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0" xfId="0" applyFill="1" applyBorder="1" applyAlignment="1">
      <alignment horizont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527F1-4119-446D-84ED-8555E6DBF503}">
  <sheetPr filterMode="1"/>
  <dimension ref="A1:V30"/>
  <sheetViews>
    <sheetView tabSelected="1" workbookViewId="0">
      <pane xSplit="2" ySplit="1" topLeftCell="M2" activePane="bottomRight" state="frozen"/>
      <selection pane="topRight" activeCell="C1" sqref="C1"/>
      <selection pane="bottomLeft" activeCell="A2" sqref="A2"/>
      <selection pane="bottomRight" activeCell="Z32" sqref="Z32"/>
    </sheetView>
  </sheetViews>
  <sheetFormatPr defaultColWidth="8.85546875" defaultRowHeight="15" x14ac:dyDescent="0.25"/>
  <cols>
    <col min="1" max="1" width="16.42578125" style="11" customWidth="1"/>
    <col min="2" max="2" width="48.28515625" style="6" customWidth="1"/>
    <col min="3" max="3" width="3" style="12" customWidth="1"/>
    <col min="4" max="4" width="13.140625" style="12" customWidth="1"/>
    <col min="5" max="5" width="13.7109375" style="3" customWidth="1"/>
    <col min="6" max="6" width="18.28515625" style="3" customWidth="1"/>
    <col min="7" max="7" width="14.85546875" style="6" customWidth="1"/>
    <col min="8" max="8" width="10.140625" style="6" customWidth="1"/>
    <col min="9" max="9" width="20.42578125" style="6" customWidth="1"/>
    <col min="10" max="10" width="8.85546875" style="6" customWidth="1"/>
    <col min="11" max="11" width="6.7109375" style="6" customWidth="1"/>
    <col min="12" max="12" width="8.85546875" style="6" customWidth="1"/>
    <col min="13" max="13" width="7.140625" style="34" customWidth="1"/>
    <col min="14" max="14" width="8.85546875" style="6" customWidth="1"/>
    <col min="15" max="15" width="16.7109375" style="3" customWidth="1"/>
    <col min="16" max="16" width="8.28515625" style="3" customWidth="1"/>
    <col min="17" max="17" width="13.28515625" style="3" customWidth="1"/>
    <col min="18" max="18" width="11.28515625" style="3" customWidth="1"/>
    <col min="19" max="19" width="9.28515625" style="3" customWidth="1"/>
    <col min="20" max="20" width="8.85546875" style="3"/>
    <col min="21" max="16384" width="8.85546875" style="6"/>
  </cols>
  <sheetData>
    <row r="1" spans="1:22" s="11" customFormat="1" ht="58.9" customHeight="1" x14ac:dyDescent="0.25">
      <c r="A1" s="13" t="s">
        <v>35</v>
      </c>
      <c r="B1" s="13" t="s">
        <v>36</v>
      </c>
      <c r="C1" s="14" t="s">
        <v>53</v>
      </c>
      <c r="D1" s="14"/>
      <c r="E1" s="13" t="s">
        <v>37</v>
      </c>
      <c r="F1" s="13" t="s">
        <v>38</v>
      </c>
      <c r="G1" s="14" t="s">
        <v>46</v>
      </c>
      <c r="H1" s="13" t="s">
        <v>47</v>
      </c>
      <c r="I1" s="13" t="s">
        <v>39</v>
      </c>
      <c r="J1" s="13" t="s">
        <v>40</v>
      </c>
      <c r="K1" s="13" t="s">
        <v>41</v>
      </c>
      <c r="L1" s="13" t="s">
        <v>42</v>
      </c>
      <c r="M1" s="32" t="s">
        <v>43</v>
      </c>
      <c r="N1" s="13" t="s">
        <v>44</v>
      </c>
      <c r="O1" s="13" t="s">
        <v>45</v>
      </c>
      <c r="P1" s="14" t="s">
        <v>52</v>
      </c>
      <c r="Q1" s="14" t="s">
        <v>55</v>
      </c>
      <c r="R1" s="19" t="s">
        <v>56</v>
      </c>
      <c r="S1" s="20" t="s">
        <v>57</v>
      </c>
      <c r="T1" s="22" t="s">
        <v>61</v>
      </c>
    </row>
    <row r="2" spans="1:22" hidden="1" x14ac:dyDescent="0.25">
      <c r="A2" s="15">
        <v>1010024328</v>
      </c>
      <c r="B2" s="25" t="s">
        <v>5</v>
      </c>
      <c r="C2" s="24" t="s">
        <v>54</v>
      </c>
      <c r="D2" s="24" t="s">
        <v>54</v>
      </c>
      <c r="E2" s="2" t="s">
        <v>0</v>
      </c>
      <c r="F2" s="18" t="s">
        <v>1</v>
      </c>
      <c r="G2" s="5"/>
      <c r="H2" s="5"/>
      <c r="I2" s="5" t="s">
        <v>2</v>
      </c>
      <c r="J2" s="5" t="s">
        <v>3</v>
      </c>
      <c r="K2" s="5">
        <v>0.4</v>
      </c>
      <c r="L2" s="5">
        <v>2.4</v>
      </c>
      <c r="M2" s="5">
        <v>5.9999999999999991</v>
      </c>
      <c r="N2" s="5">
        <v>75</v>
      </c>
      <c r="O2" s="2">
        <v>1601009901</v>
      </c>
      <c r="P2" s="2">
        <v>36000</v>
      </c>
      <c r="Q2" s="2">
        <v>369.15999999999997</v>
      </c>
      <c r="R2" s="2">
        <v>293.8</v>
      </c>
      <c r="S2" s="23">
        <f t="shared" ref="S2:S15" si="0">Q2/R2-1</f>
        <v>0.25650102110279094</v>
      </c>
      <c r="T2" s="21"/>
    </row>
    <row r="3" spans="1:22" hidden="1" x14ac:dyDescent="0.25">
      <c r="A3" s="15">
        <v>1010015952</v>
      </c>
      <c r="B3" s="25" t="s">
        <v>4</v>
      </c>
      <c r="C3" s="24" t="s">
        <v>54</v>
      </c>
      <c r="D3" s="24" t="s">
        <v>54</v>
      </c>
      <c r="E3" s="2" t="s">
        <v>0</v>
      </c>
      <c r="F3" s="18" t="s">
        <v>1</v>
      </c>
      <c r="G3" s="5"/>
      <c r="H3" s="5"/>
      <c r="I3" s="5" t="s">
        <v>2</v>
      </c>
      <c r="J3" s="5" t="s">
        <v>3</v>
      </c>
      <c r="K3" s="5">
        <v>0.47</v>
      </c>
      <c r="L3" s="5">
        <v>2.82</v>
      </c>
      <c r="M3" s="5">
        <v>6</v>
      </c>
      <c r="N3" s="5">
        <v>75</v>
      </c>
      <c r="O3" s="2">
        <v>1601009901</v>
      </c>
      <c r="P3" s="2">
        <v>36000</v>
      </c>
      <c r="Q3" s="2">
        <v>347.71</v>
      </c>
      <c r="R3" s="2">
        <v>334.1</v>
      </c>
      <c r="S3" s="23">
        <f t="shared" si="0"/>
        <v>4.0736306495061214E-2</v>
      </c>
      <c r="T3" s="21"/>
    </row>
    <row r="4" spans="1:22" customFormat="1" hidden="1" x14ac:dyDescent="0.25">
      <c r="A4" s="15">
        <v>1010027650</v>
      </c>
      <c r="B4" s="25" t="s">
        <v>7</v>
      </c>
      <c r="C4" s="24" t="s">
        <v>54</v>
      </c>
      <c r="D4" s="24" t="s">
        <v>54</v>
      </c>
      <c r="E4" s="2" t="s">
        <v>0</v>
      </c>
      <c r="F4" s="18" t="s">
        <v>8</v>
      </c>
      <c r="G4" s="5"/>
      <c r="H4" s="5"/>
      <c r="I4" s="5" t="s">
        <v>2</v>
      </c>
      <c r="J4" s="5" t="s">
        <v>3</v>
      </c>
      <c r="K4" s="5">
        <v>0.3</v>
      </c>
      <c r="L4" s="5">
        <v>1.8</v>
      </c>
      <c r="M4" s="5">
        <v>6</v>
      </c>
      <c r="N4" s="5">
        <v>55</v>
      </c>
      <c r="O4" s="2">
        <v>1601009901</v>
      </c>
      <c r="P4" s="2">
        <v>34000</v>
      </c>
      <c r="Q4" s="2">
        <v>441.21</v>
      </c>
      <c r="R4" s="2">
        <v>361.69</v>
      </c>
      <c r="S4" s="23">
        <f t="shared" si="0"/>
        <v>0.21985678343332693</v>
      </c>
      <c r="T4" s="21"/>
    </row>
    <row r="5" spans="1:22" customFormat="1" hidden="1" x14ac:dyDescent="0.25">
      <c r="A5" s="15">
        <v>1010032953</v>
      </c>
      <c r="B5" s="25" t="s">
        <v>11</v>
      </c>
      <c r="C5" s="24" t="s">
        <v>54</v>
      </c>
      <c r="D5" s="24" t="s">
        <v>54</v>
      </c>
      <c r="E5" s="2" t="s">
        <v>0</v>
      </c>
      <c r="F5" s="18" t="s">
        <v>8</v>
      </c>
      <c r="G5" s="5"/>
      <c r="H5" s="5"/>
      <c r="I5" s="5" t="s">
        <v>2</v>
      </c>
      <c r="J5" s="5" t="s">
        <v>3</v>
      </c>
      <c r="K5" s="5">
        <v>0.3</v>
      </c>
      <c r="L5" s="5">
        <v>1.7999999999999998</v>
      </c>
      <c r="M5" s="5">
        <v>6</v>
      </c>
      <c r="N5" s="5">
        <v>55</v>
      </c>
      <c r="O5" s="2">
        <v>1601009901</v>
      </c>
      <c r="P5" s="2">
        <v>34400</v>
      </c>
      <c r="Q5" s="2">
        <v>440</v>
      </c>
      <c r="R5" s="2">
        <v>328.05</v>
      </c>
      <c r="S5" s="23">
        <f t="shared" si="0"/>
        <v>0.34125895442767873</v>
      </c>
      <c r="T5" s="21"/>
      <c r="U5" s="6"/>
      <c r="V5" s="6"/>
    </row>
    <row r="6" spans="1:22" customFormat="1" hidden="1" x14ac:dyDescent="0.25">
      <c r="A6" s="15">
        <v>1010032954</v>
      </c>
      <c r="B6" s="25" t="s">
        <v>12</v>
      </c>
      <c r="C6" s="24" t="s">
        <v>54</v>
      </c>
      <c r="D6" s="24" t="s">
        <v>54</v>
      </c>
      <c r="E6" s="2" t="s">
        <v>0</v>
      </c>
      <c r="F6" s="18" t="s">
        <v>8</v>
      </c>
      <c r="G6" s="5"/>
      <c r="H6" s="5"/>
      <c r="I6" s="5" t="s">
        <v>2</v>
      </c>
      <c r="J6" s="5" t="s">
        <v>3</v>
      </c>
      <c r="K6" s="5">
        <v>0.3</v>
      </c>
      <c r="L6" s="5">
        <v>1.7999999999999998</v>
      </c>
      <c r="M6" s="5">
        <v>6</v>
      </c>
      <c r="N6" s="5">
        <v>55</v>
      </c>
      <c r="O6" s="2">
        <v>1601009901</v>
      </c>
      <c r="P6" s="2">
        <v>33100</v>
      </c>
      <c r="Q6" s="2">
        <v>422.95000000000005</v>
      </c>
      <c r="R6" s="2">
        <v>342.71999999999997</v>
      </c>
      <c r="S6" s="23">
        <f t="shared" si="0"/>
        <v>0.23409780578898243</v>
      </c>
      <c r="T6" s="21"/>
      <c r="U6" s="6"/>
      <c r="V6" s="6"/>
    </row>
    <row r="7" spans="1:22" customFormat="1" hidden="1" x14ac:dyDescent="0.25">
      <c r="A7" s="15">
        <v>1010027653</v>
      </c>
      <c r="B7" s="25" t="s">
        <v>10</v>
      </c>
      <c r="C7" s="24" t="s">
        <v>54</v>
      </c>
      <c r="D7" s="24" t="s">
        <v>54</v>
      </c>
      <c r="E7" s="2" t="s">
        <v>0</v>
      </c>
      <c r="F7" s="18" t="s">
        <v>8</v>
      </c>
      <c r="G7" s="5"/>
      <c r="H7" s="5"/>
      <c r="I7" s="5" t="s">
        <v>2</v>
      </c>
      <c r="J7" s="5" t="s">
        <v>3</v>
      </c>
      <c r="K7" s="5">
        <v>0.3</v>
      </c>
      <c r="L7" s="5">
        <v>1.7999999999999998</v>
      </c>
      <c r="M7" s="5">
        <v>6</v>
      </c>
      <c r="N7" s="5">
        <v>55</v>
      </c>
      <c r="O7" s="2">
        <v>1601009901</v>
      </c>
      <c r="P7" s="2">
        <v>36000</v>
      </c>
      <c r="Q7" s="2">
        <v>489.72</v>
      </c>
      <c r="R7" s="2">
        <v>367.87</v>
      </c>
      <c r="S7" s="23">
        <f t="shared" si="0"/>
        <v>0.33123114143583332</v>
      </c>
      <c r="T7" s="21"/>
      <c r="U7" s="6"/>
      <c r="V7" s="6"/>
    </row>
    <row r="8" spans="1:22" customFormat="1" hidden="1" x14ac:dyDescent="0.25">
      <c r="A8" s="16">
        <v>1010029655</v>
      </c>
      <c r="B8" s="25" t="s">
        <v>48</v>
      </c>
      <c r="C8" s="24" t="s">
        <v>54</v>
      </c>
      <c r="D8" s="24" t="s">
        <v>54</v>
      </c>
      <c r="E8" s="2" t="s">
        <v>0</v>
      </c>
      <c r="F8" s="18" t="s">
        <v>8</v>
      </c>
      <c r="G8" s="7"/>
      <c r="H8" s="7"/>
      <c r="I8" s="8" t="s">
        <v>2</v>
      </c>
      <c r="J8" s="5" t="s">
        <v>3</v>
      </c>
      <c r="K8" s="10">
        <v>0.33</v>
      </c>
      <c r="L8" s="10">
        <v>1.98</v>
      </c>
      <c r="M8" s="7">
        <v>6</v>
      </c>
      <c r="N8" s="7">
        <v>55</v>
      </c>
      <c r="O8" s="4">
        <v>1601009901</v>
      </c>
      <c r="P8" s="4">
        <v>36000</v>
      </c>
      <c r="Q8" s="2">
        <v>527.89</v>
      </c>
      <c r="R8" s="2">
        <v>390.15999999999997</v>
      </c>
      <c r="S8" s="23">
        <f t="shared" si="0"/>
        <v>0.35300902193971706</v>
      </c>
      <c r="T8" s="21"/>
      <c r="U8" s="6"/>
      <c r="V8" s="6"/>
    </row>
    <row r="9" spans="1:22" customFormat="1" hidden="1" x14ac:dyDescent="0.25">
      <c r="A9" s="15">
        <v>1010025585</v>
      </c>
      <c r="B9" s="25" t="s">
        <v>15</v>
      </c>
      <c r="C9" s="24" t="s">
        <v>54</v>
      </c>
      <c r="D9" s="24" t="s">
        <v>54</v>
      </c>
      <c r="E9" s="2" t="s">
        <v>0</v>
      </c>
      <c r="F9" s="18" t="s">
        <v>16</v>
      </c>
      <c r="G9" s="5"/>
      <c r="H9" s="5"/>
      <c r="I9" s="5" t="s">
        <v>2</v>
      </c>
      <c r="J9" s="5" t="s">
        <v>3</v>
      </c>
      <c r="K9" s="5">
        <v>0.2</v>
      </c>
      <c r="L9" s="5">
        <v>2</v>
      </c>
      <c r="M9" s="5">
        <v>10</v>
      </c>
      <c r="N9" s="5">
        <v>90</v>
      </c>
      <c r="O9" s="2">
        <v>1602491900</v>
      </c>
      <c r="P9" s="2">
        <v>27000</v>
      </c>
      <c r="Q9" s="2">
        <v>591.58000000000015</v>
      </c>
      <c r="R9" s="2">
        <v>536.6</v>
      </c>
      <c r="S9" s="23">
        <f t="shared" si="0"/>
        <v>0.10245993291092081</v>
      </c>
      <c r="T9" s="21"/>
    </row>
    <row r="10" spans="1:22" hidden="1" x14ac:dyDescent="0.25">
      <c r="A10" s="17">
        <v>1010032952</v>
      </c>
      <c r="B10" s="27" t="s">
        <v>49</v>
      </c>
      <c r="C10" s="24" t="s">
        <v>54</v>
      </c>
      <c r="D10" s="24" t="s">
        <v>54</v>
      </c>
      <c r="E10" s="2" t="s">
        <v>0</v>
      </c>
      <c r="F10" s="18" t="s">
        <v>50</v>
      </c>
      <c r="G10" s="7"/>
      <c r="H10" s="7"/>
      <c r="I10" s="5" t="s">
        <v>2</v>
      </c>
      <c r="J10" s="5" t="s">
        <v>3</v>
      </c>
      <c r="K10" s="9">
        <v>0.3</v>
      </c>
      <c r="L10" s="9">
        <v>1.7999999999999998</v>
      </c>
      <c r="M10" s="7">
        <v>6</v>
      </c>
      <c r="N10" s="7">
        <v>55</v>
      </c>
      <c r="O10" s="4">
        <v>1601009901</v>
      </c>
      <c r="P10" s="4">
        <v>34000</v>
      </c>
      <c r="Q10" s="2">
        <v>391.15999999999997</v>
      </c>
      <c r="R10" s="2">
        <v>354.4</v>
      </c>
      <c r="S10" s="23">
        <f t="shared" si="0"/>
        <v>0.10372460496614</v>
      </c>
      <c r="T10" s="21"/>
      <c r="U10"/>
      <c r="V10"/>
    </row>
    <row r="11" spans="1:22" hidden="1" x14ac:dyDescent="0.25">
      <c r="A11" s="17">
        <v>1010033736</v>
      </c>
      <c r="B11" s="27" t="s">
        <v>51</v>
      </c>
      <c r="C11" s="24" t="s">
        <v>54</v>
      </c>
      <c r="D11" s="24" t="s">
        <v>54</v>
      </c>
      <c r="E11" s="2" t="s">
        <v>0</v>
      </c>
      <c r="F11" s="18" t="s">
        <v>50</v>
      </c>
      <c r="G11" s="7"/>
      <c r="H11" s="7"/>
      <c r="I11" s="5" t="s">
        <v>2</v>
      </c>
      <c r="J11" s="5" t="s">
        <v>3</v>
      </c>
      <c r="K11" s="9">
        <v>0.33</v>
      </c>
      <c r="L11" s="9">
        <v>1.65</v>
      </c>
      <c r="M11" s="7">
        <v>4.9999999999999991</v>
      </c>
      <c r="N11" s="7">
        <v>55</v>
      </c>
      <c r="O11" s="4">
        <v>1601009901</v>
      </c>
      <c r="P11" s="4">
        <v>40000</v>
      </c>
      <c r="Q11" s="2">
        <v>602.14</v>
      </c>
      <c r="R11" s="2">
        <v>468.59999999999997</v>
      </c>
      <c r="S11" s="23">
        <f t="shared" si="0"/>
        <v>0.28497652582159638</v>
      </c>
      <c r="T11" s="21"/>
      <c r="U11"/>
      <c r="V11"/>
    </row>
    <row r="12" spans="1:22" hidden="1" x14ac:dyDescent="0.25">
      <c r="A12" s="15">
        <v>1010033329</v>
      </c>
      <c r="B12" s="25" t="s">
        <v>30</v>
      </c>
      <c r="C12" s="24" t="s">
        <v>54</v>
      </c>
      <c r="D12" s="24" t="s">
        <v>54</v>
      </c>
      <c r="E12" s="2" t="s">
        <v>0</v>
      </c>
      <c r="F12" s="18" t="s">
        <v>25</v>
      </c>
      <c r="G12" s="5"/>
      <c r="H12" s="5"/>
      <c r="I12" s="5" t="s">
        <v>2</v>
      </c>
      <c r="J12" s="5" t="s">
        <v>3</v>
      </c>
      <c r="K12" s="5">
        <v>0.28000000000000003</v>
      </c>
      <c r="L12" s="5">
        <v>1.6800000000000002</v>
      </c>
      <c r="M12" s="5">
        <v>6</v>
      </c>
      <c r="N12" s="5">
        <v>120</v>
      </c>
      <c r="O12" s="2">
        <v>1601009101</v>
      </c>
      <c r="P12" s="2">
        <v>47000</v>
      </c>
      <c r="Q12" s="2">
        <v>644.6</v>
      </c>
      <c r="R12" s="2">
        <v>498.27</v>
      </c>
      <c r="S12" s="23">
        <f t="shared" si="0"/>
        <v>0.29367611937303084</v>
      </c>
      <c r="T12" s="21"/>
    </row>
    <row r="13" spans="1:22" hidden="1" x14ac:dyDescent="0.25">
      <c r="A13" s="15">
        <v>1010033335</v>
      </c>
      <c r="B13" s="25" t="s">
        <v>31</v>
      </c>
      <c r="C13" s="24" t="s">
        <v>54</v>
      </c>
      <c r="D13" s="24" t="s">
        <v>54</v>
      </c>
      <c r="E13" s="2" t="s">
        <v>0</v>
      </c>
      <c r="F13" s="18" t="s">
        <v>25</v>
      </c>
      <c r="G13" s="5"/>
      <c r="H13" s="5"/>
      <c r="I13" s="5" t="s">
        <v>2</v>
      </c>
      <c r="J13" s="5" t="s">
        <v>3</v>
      </c>
      <c r="K13" s="5">
        <v>0.28000000000000003</v>
      </c>
      <c r="L13" s="5">
        <v>1.6800000000000002</v>
      </c>
      <c r="M13" s="5">
        <v>6</v>
      </c>
      <c r="N13" s="5">
        <v>120</v>
      </c>
      <c r="O13" s="2">
        <v>1601009101</v>
      </c>
      <c r="P13" s="2">
        <v>55000</v>
      </c>
      <c r="Q13" s="2">
        <v>961.84</v>
      </c>
      <c r="R13" s="2">
        <v>873.2</v>
      </c>
      <c r="S13" s="23">
        <f t="shared" si="0"/>
        <v>0.10151168117269815</v>
      </c>
      <c r="T13" s="21"/>
    </row>
    <row r="14" spans="1:22" hidden="1" x14ac:dyDescent="0.25">
      <c r="A14" s="15">
        <v>1010033325</v>
      </c>
      <c r="B14" s="25" t="s">
        <v>28</v>
      </c>
      <c r="C14" s="24" t="s">
        <v>54</v>
      </c>
      <c r="D14" s="24" t="s">
        <v>54</v>
      </c>
      <c r="E14" s="2" t="s">
        <v>0</v>
      </c>
      <c r="F14" s="18" t="s">
        <v>25</v>
      </c>
      <c r="G14" s="5"/>
      <c r="H14" s="5"/>
      <c r="I14" s="5" t="s">
        <v>2</v>
      </c>
      <c r="J14" s="5" t="s">
        <v>3</v>
      </c>
      <c r="K14" s="5">
        <v>0.28000000000000003</v>
      </c>
      <c r="L14" s="5">
        <v>1.68</v>
      </c>
      <c r="M14" s="5">
        <v>5.9999999999999991</v>
      </c>
      <c r="N14" s="5">
        <v>180</v>
      </c>
      <c r="O14" s="2">
        <v>1601009101</v>
      </c>
      <c r="P14" s="2">
        <v>60000</v>
      </c>
      <c r="Q14" s="2">
        <v>880.22000000000014</v>
      </c>
      <c r="R14" s="2">
        <v>848.9</v>
      </c>
      <c r="S14" s="23">
        <f t="shared" si="0"/>
        <v>3.6894805041818968E-2</v>
      </c>
      <c r="T14" s="21"/>
    </row>
    <row r="15" spans="1:22" customFormat="1" hidden="1" x14ac:dyDescent="0.25">
      <c r="A15" s="15">
        <v>1010033332</v>
      </c>
      <c r="B15" s="25" t="s">
        <v>27</v>
      </c>
      <c r="C15" s="24" t="s">
        <v>54</v>
      </c>
      <c r="D15" s="24" t="s">
        <v>54</v>
      </c>
      <c r="E15" s="2" t="s">
        <v>0</v>
      </c>
      <c r="F15" s="18" t="s">
        <v>25</v>
      </c>
      <c r="G15" s="5"/>
      <c r="H15" s="5"/>
      <c r="I15" s="5" t="s">
        <v>2</v>
      </c>
      <c r="J15" s="5" t="s">
        <v>3</v>
      </c>
      <c r="K15" s="5">
        <v>0.3</v>
      </c>
      <c r="L15" s="5">
        <v>1.8</v>
      </c>
      <c r="M15" s="5">
        <v>6</v>
      </c>
      <c r="N15" s="5">
        <v>180</v>
      </c>
      <c r="O15" s="2" t="s">
        <v>26</v>
      </c>
      <c r="P15" s="2">
        <v>71200</v>
      </c>
      <c r="Q15" s="2">
        <v>909.7</v>
      </c>
      <c r="R15" s="2">
        <v>825.4</v>
      </c>
      <c r="S15" s="23">
        <f t="shared" si="0"/>
        <v>0.10213229949115599</v>
      </c>
      <c r="T15" s="21"/>
    </row>
    <row r="16" spans="1:22" hidden="1" x14ac:dyDescent="0.25">
      <c r="A16" s="28">
        <v>1010016111</v>
      </c>
      <c r="B16" s="25" t="s">
        <v>58</v>
      </c>
      <c r="C16" s="29"/>
      <c r="D16" s="24" t="s">
        <v>54</v>
      </c>
      <c r="E16" s="2"/>
      <c r="F16" s="2" t="s">
        <v>14</v>
      </c>
      <c r="G16" s="5"/>
      <c r="H16" s="5"/>
      <c r="I16" s="5"/>
      <c r="J16" s="5"/>
      <c r="K16" s="30">
        <v>0.4</v>
      </c>
      <c r="L16" s="5"/>
      <c r="M16" s="5"/>
      <c r="N16" s="30">
        <v>75</v>
      </c>
      <c r="O16" s="2"/>
      <c r="P16" s="2"/>
      <c r="Q16" s="2"/>
      <c r="R16" s="2"/>
      <c r="T16" s="6"/>
    </row>
    <row r="17" spans="1:22" customFormat="1" hidden="1" x14ac:dyDescent="0.25">
      <c r="A17" s="28">
        <v>1010016092</v>
      </c>
      <c r="B17" s="25" t="s">
        <v>59</v>
      </c>
      <c r="C17" s="29"/>
      <c r="D17" s="24" t="s">
        <v>54</v>
      </c>
      <c r="E17" s="2"/>
      <c r="F17" s="2" t="s">
        <v>1</v>
      </c>
      <c r="G17" s="5"/>
      <c r="H17" s="5"/>
      <c r="I17" s="5"/>
      <c r="J17" s="5"/>
      <c r="K17" s="30">
        <v>0.47</v>
      </c>
      <c r="L17" s="5"/>
      <c r="M17" s="5"/>
      <c r="N17" s="30">
        <v>75</v>
      </c>
      <c r="O17" s="2"/>
      <c r="P17" s="2"/>
      <c r="Q17" s="2"/>
      <c r="R17" s="2"/>
      <c r="S17" s="3"/>
      <c r="T17" s="6"/>
      <c r="U17" s="6"/>
      <c r="V17" s="6"/>
    </row>
    <row r="18" spans="1:22" customFormat="1" x14ac:dyDescent="0.25">
      <c r="A18" s="15">
        <v>1010030635</v>
      </c>
      <c r="B18" s="25" t="s">
        <v>6</v>
      </c>
      <c r="C18" s="24" t="s">
        <v>54</v>
      </c>
      <c r="D18" s="24" t="s">
        <v>60</v>
      </c>
      <c r="E18" s="2" t="s">
        <v>0</v>
      </c>
      <c r="F18" s="18" t="s">
        <v>1</v>
      </c>
      <c r="G18" s="1"/>
      <c r="H18" s="1"/>
      <c r="I18" s="1" t="s">
        <v>2</v>
      </c>
      <c r="J18" s="5" t="s">
        <v>3</v>
      </c>
      <c r="K18" s="1">
        <v>0.35</v>
      </c>
      <c r="L18" s="1">
        <v>2.1</v>
      </c>
      <c r="M18" s="33">
        <v>6.0000000000000009</v>
      </c>
      <c r="N18" s="1">
        <v>75</v>
      </c>
      <c r="O18" s="2">
        <v>1601009901</v>
      </c>
      <c r="P18" s="2"/>
      <c r="Q18" s="2">
        <v>269.94000000000005</v>
      </c>
      <c r="R18" s="2">
        <v>208.76999999999998</v>
      </c>
      <c r="S18" s="23">
        <f t="shared" ref="S18:S29" si="1">Q18/R18-1</f>
        <v>0.29300186808449524</v>
      </c>
      <c r="T18" s="31">
        <v>60</v>
      </c>
      <c r="U18" s="35">
        <v>0.35</v>
      </c>
      <c r="V18">
        <f>U18*T18</f>
        <v>21</v>
      </c>
    </row>
    <row r="19" spans="1:22" customFormat="1" x14ac:dyDescent="0.25">
      <c r="A19" s="15">
        <v>1010032754</v>
      </c>
      <c r="B19" s="25" t="s">
        <v>9</v>
      </c>
      <c r="C19" s="24" t="s">
        <v>54</v>
      </c>
      <c r="D19" s="24" t="s">
        <v>60</v>
      </c>
      <c r="E19" s="2" t="s">
        <v>0</v>
      </c>
      <c r="F19" s="18" t="s">
        <v>8</v>
      </c>
      <c r="G19" s="5"/>
      <c r="H19" s="5"/>
      <c r="I19" s="5" t="s">
        <v>2</v>
      </c>
      <c r="J19" s="5" t="s">
        <v>3</v>
      </c>
      <c r="K19" s="5">
        <v>0.28000000000000003</v>
      </c>
      <c r="L19" s="5">
        <v>1.6800000000000002</v>
      </c>
      <c r="M19" s="33">
        <v>6</v>
      </c>
      <c r="N19" s="5">
        <v>55</v>
      </c>
      <c r="O19" s="2">
        <v>1601009901</v>
      </c>
      <c r="P19" s="2">
        <v>33000</v>
      </c>
      <c r="Q19" s="2">
        <v>490.82000000000005</v>
      </c>
      <c r="R19" s="2">
        <v>445</v>
      </c>
      <c r="S19" s="23">
        <f t="shared" si="1"/>
        <v>0.10296629213483155</v>
      </c>
      <c r="T19" s="31">
        <v>60</v>
      </c>
      <c r="U19" s="35">
        <v>0.28000000000000003</v>
      </c>
      <c r="V19">
        <f t="shared" ref="V19:V29" si="2">U19*T19</f>
        <v>16.8</v>
      </c>
    </row>
    <row r="20" spans="1:22" customFormat="1" x14ac:dyDescent="0.25">
      <c r="A20" s="15">
        <v>1010023293</v>
      </c>
      <c r="B20" s="25" t="s">
        <v>13</v>
      </c>
      <c r="C20" s="24" t="s">
        <v>54</v>
      </c>
      <c r="D20" s="24" t="s">
        <v>60</v>
      </c>
      <c r="E20" s="2" t="s">
        <v>0</v>
      </c>
      <c r="F20" s="18" t="s">
        <v>14</v>
      </c>
      <c r="G20" s="5"/>
      <c r="H20" s="5"/>
      <c r="I20" s="5" t="s">
        <v>2</v>
      </c>
      <c r="J20" s="5" t="s">
        <v>3</v>
      </c>
      <c r="K20" s="5">
        <v>0.4</v>
      </c>
      <c r="L20" s="5">
        <v>2.4</v>
      </c>
      <c r="M20" s="33">
        <v>5.9999999999999991</v>
      </c>
      <c r="N20" s="5">
        <v>75</v>
      </c>
      <c r="O20" s="2">
        <v>1601009901</v>
      </c>
      <c r="P20" s="2">
        <v>32000</v>
      </c>
      <c r="Q20" s="2">
        <v>344.40999999999997</v>
      </c>
      <c r="R20" s="2">
        <v>286.63</v>
      </c>
      <c r="S20" s="23">
        <f t="shared" si="1"/>
        <v>0.20158392352510202</v>
      </c>
      <c r="T20" s="31">
        <v>60</v>
      </c>
      <c r="U20" s="35">
        <v>0.4</v>
      </c>
      <c r="V20">
        <f t="shared" si="2"/>
        <v>24</v>
      </c>
    </row>
    <row r="21" spans="1:22" customFormat="1" x14ac:dyDescent="0.25">
      <c r="A21" s="15">
        <v>1010032041</v>
      </c>
      <c r="B21" s="26" t="s">
        <v>18</v>
      </c>
      <c r="C21" s="24" t="s">
        <v>54</v>
      </c>
      <c r="D21" s="24" t="s">
        <v>60</v>
      </c>
      <c r="E21" s="2" t="s">
        <v>0</v>
      </c>
      <c r="F21" s="18" t="s">
        <v>16</v>
      </c>
      <c r="G21" s="1"/>
      <c r="H21" s="1"/>
      <c r="I21" s="1" t="s">
        <v>2</v>
      </c>
      <c r="J21" s="1" t="s">
        <v>3</v>
      </c>
      <c r="K21" s="1">
        <v>0.1</v>
      </c>
      <c r="L21" s="1">
        <v>1</v>
      </c>
      <c r="M21" s="33">
        <v>10</v>
      </c>
      <c r="N21" s="1">
        <v>90</v>
      </c>
      <c r="O21" s="2">
        <v>1602491900</v>
      </c>
      <c r="P21" s="2"/>
      <c r="Q21" s="2">
        <v>897.49000000000035</v>
      </c>
      <c r="R21" s="2">
        <v>814.7</v>
      </c>
      <c r="S21" s="23">
        <f t="shared" si="1"/>
        <v>0.10162022830489792</v>
      </c>
      <c r="T21" s="31">
        <v>50</v>
      </c>
      <c r="U21" s="35">
        <v>0.1</v>
      </c>
      <c r="V21">
        <f t="shared" si="2"/>
        <v>5</v>
      </c>
    </row>
    <row r="22" spans="1:22" customFormat="1" x14ac:dyDescent="0.25">
      <c r="A22" s="15">
        <v>1010031576</v>
      </c>
      <c r="B22" s="26" t="s">
        <v>17</v>
      </c>
      <c r="C22" s="24" t="s">
        <v>54</v>
      </c>
      <c r="D22" s="24" t="s">
        <v>60</v>
      </c>
      <c r="E22" s="2" t="s">
        <v>0</v>
      </c>
      <c r="F22" s="18" t="s">
        <v>16</v>
      </c>
      <c r="G22" s="1"/>
      <c r="H22" s="1"/>
      <c r="I22" s="1" t="s">
        <v>2</v>
      </c>
      <c r="J22" s="1" t="s">
        <v>3</v>
      </c>
      <c r="K22" s="1">
        <v>0.1</v>
      </c>
      <c r="L22" s="1">
        <v>1</v>
      </c>
      <c r="M22" s="33">
        <v>10</v>
      </c>
      <c r="N22" s="1">
        <v>120</v>
      </c>
      <c r="O22" s="2">
        <v>1601009101</v>
      </c>
      <c r="P22" s="2"/>
      <c r="Q22" s="2">
        <v>786.94000000000017</v>
      </c>
      <c r="R22" s="2">
        <v>677.7700000000001</v>
      </c>
      <c r="S22" s="23">
        <f t="shared" si="1"/>
        <v>0.16107234017439542</v>
      </c>
      <c r="T22" s="31">
        <v>50</v>
      </c>
      <c r="U22" s="35">
        <v>0.1</v>
      </c>
      <c r="V22">
        <f t="shared" si="2"/>
        <v>5</v>
      </c>
    </row>
    <row r="23" spans="1:22" x14ac:dyDescent="0.25">
      <c r="A23" s="15">
        <v>1010032043</v>
      </c>
      <c r="B23" s="26" t="s">
        <v>19</v>
      </c>
      <c r="C23" s="24" t="s">
        <v>54</v>
      </c>
      <c r="D23" s="24" t="s">
        <v>60</v>
      </c>
      <c r="E23" s="2" t="s">
        <v>0</v>
      </c>
      <c r="F23" s="18" t="s">
        <v>16</v>
      </c>
      <c r="G23" s="1"/>
      <c r="H23" s="1"/>
      <c r="I23" s="1" t="s">
        <v>2</v>
      </c>
      <c r="J23" s="1" t="s">
        <v>3</v>
      </c>
      <c r="K23" s="1">
        <v>0.1</v>
      </c>
      <c r="L23" s="1">
        <v>1</v>
      </c>
      <c r="M23" s="33">
        <v>10</v>
      </c>
      <c r="N23" s="1">
        <v>90</v>
      </c>
      <c r="O23" s="2">
        <v>1602491900</v>
      </c>
      <c r="P23" s="2"/>
      <c r="Q23" s="2">
        <v>991.10000000000014</v>
      </c>
      <c r="R23" s="2">
        <v>899.8</v>
      </c>
      <c r="S23" s="23">
        <f t="shared" si="1"/>
        <v>0.10146699266503689</v>
      </c>
      <c r="T23" s="31">
        <v>50</v>
      </c>
      <c r="U23" s="35">
        <v>0.1</v>
      </c>
      <c r="V23">
        <f t="shared" si="2"/>
        <v>5</v>
      </c>
    </row>
    <row r="24" spans="1:22" customFormat="1" x14ac:dyDescent="0.25">
      <c r="A24" s="15">
        <v>1010032675</v>
      </c>
      <c r="B24" s="25" t="s">
        <v>24</v>
      </c>
      <c r="C24" s="24" t="s">
        <v>54</v>
      </c>
      <c r="D24" s="24" t="s">
        <v>60</v>
      </c>
      <c r="E24" s="2" t="s">
        <v>0</v>
      </c>
      <c r="F24" s="18" t="s">
        <v>21</v>
      </c>
      <c r="G24" s="5"/>
      <c r="H24" s="5"/>
      <c r="I24" s="5" t="s">
        <v>2</v>
      </c>
      <c r="J24" s="5" t="s">
        <v>3</v>
      </c>
      <c r="K24" s="5">
        <v>0.35</v>
      </c>
      <c r="L24" s="5">
        <v>2.0999999999999996</v>
      </c>
      <c r="M24" s="33">
        <v>5.9999999999999991</v>
      </c>
      <c r="N24" s="5">
        <v>45</v>
      </c>
      <c r="O24" s="2">
        <v>1601009901</v>
      </c>
      <c r="P24" s="2">
        <v>32000</v>
      </c>
      <c r="Q24" s="2">
        <v>399.74</v>
      </c>
      <c r="R24" s="2">
        <v>362.2</v>
      </c>
      <c r="S24" s="23">
        <f t="shared" si="1"/>
        <v>0.1036443953616788</v>
      </c>
      <c r="T24" s="31">
        <v>12</v>
      </c>
      <c r="U24" s="35">
        <v>0.35</v>
      </c>
      <c r="V24">
        <f t="shared" si="2"/>
        <v>4.1999999999999993</v>
      </c>
    </row>
    <row r="25" spans="1:22" customFormat="1" x14ac:dyDescent="0.25">
      <c r="A25" s="15">
        <v>1010031327</v>
      </c>
      <c r="B25" s="25" t="s">
        <v>23</v>
      </c>
      <c r="C25" s="24" t="s">
        <v>54</v>
      </c>
      <c r="D25" s="24" t="s">
        <v>60</v>
      </c>
      <c r="E25" s="2" t="s">
        <v>0</v>
      </c>
      <c r="F25" s="18" t="s">
        <v>21</v>
      </c>
      <c r="G25" s="5"/>
      <c r="H25" s="5"/>
      <c r="I25" s="5" t="s">
        <v>2</v>
      </c>
      <c r="J25" s="5" t="s">
        <v>3</v>
      </c>
      <c r="K25" s="5">
        <v>0.35</v>
      </c>
      <c r="L25" s="5">
        <v>2.0999999999999996</v>
      </c>
      <c r="M25" s="33">
        <v>5.9999999999999991</v>
      </c>
      <c r="N25" s="5">
        <v>45</v>
      </c>
      <c r="O25" s="2">
        <v>1601009901</v>
      </c>
      <c r="P25" s="2">
        <v>24000</v>
      </c>
      <c r="Q25" s="2">
        <v>294.90999999999997</v>
      </c>
      <c r="R25" s="2">
        <v>266.89999999999998</v>
      </c>
      <c r="S25" s="23">
        <f t="shared" si="1"/>
        <v>0.10494567253653053</v>
      </c>
      <c r="T25" s="31">
        <v>12</v>
      </c>
      <c r="U25" s="35">
        <v>0.35</v>
      </c>
      <c r="V25">
        <f t="shared" si="2"/>
        <v>4.1999999999999993</v>
      </c>
    </row>
    <row r="26" spans="1:22" customFormat="1" x14ac:dyDescent="0.25">
      <c r="A26" s="15">
        <v>1010031142</v>
      </c>
      <c r="B26" s="25" t="s">
        <v>22</v>
      </c>
      <c r="C26" s="24" t="s">
        <v>54</v>
      </c>
      <c r="D26" s="24" t="s">
        <v>60</v>
      </c>
      <c r="E26" s="2" t="s">
        <v>0</v>
      </c>
      <c r="F26" s="18" t="s">
        <v>21</v>
      </c>
      <c r="G26" s="5"/>
      <c r="H26" s="5"/>
      <c r="I26" s="5" t="s">
        <v>2</v>
      </c>
      <c r="J26" s="5" t="s">
        <v>3</v>
      </c>
      <c r="K26" s="5">
        <v>0.35</v>
      </c>
      <c r="L26" s="5">
        <v>2.1</v>
      </c>
      <c r="M26" s="33">
        <v>6.0000000000000009</v>
      </c>
      <c r="N26" s="5">
        <v>45</v>
      </c>
      <c r="O26" s="2">
        <v>1601009901</v>
      </c>
      <c r="P26" s="2">
        <v>30000</v>
      </c>
      <c r="Q26" s="2">
        <v>334.40000000000003</v>
      </c>
      <c r="R26" s="2">
        <v>318</v>
      </c>
      <c r="S26" s="23">
        <f t="shared" si="1"/>
        <v>5.1572327044025368E-2</v>
      </c>
      <c r="T26" s="31">
        <v>12</v>
      </c>
      <c r="U26" s="35">
        <v>0.35</v>
      </c>
      <c r="V26">
        <f t="shared" si="2"/>
        <v>4.1999999999999993</v>
      </c>
    </row>
    <row r="27" spans="1:22" customFormat="1" x14ac:dyDescent="0.25">
      <c r="A27" s="15">
        <v>1010031149</v>
      </c>
      <c r="B27" s="26" t="s">
        <v>20</v>
      </c>
      <c r="C27" s="24" t="s">
        <v>54</v>
      </c>
      <c r="D27" s="24" t="s">
        <v>60</v>
      </c>
      <c r="E27" s="2" t="s">
        <v>0</v>
      </c>
      <c r="F27" s="18" t="s">
        <v>21</v>
      </c>
      <c r="G27" s="1"/>
      <c r="H27" s="1"/>
      <c r="I27" s="1" t="s">
        <v>2</v>
      </c>
      <c r="J27" s="1" t="s">
        <v>3</v>
      </c>
      <c r="K27" s="1">
        <v>0.35</v>
      </c>
      <c r="L27" s="1">
        <v>2.1</v>
      </c>
      <c r="M27" s="33">
        <v>6.0000000000000009</v>
      </c>
      <c r="N27" s="1">
        <v>45</v>
      </c>
      <c r="O27" s="2">
        <v>1601009901</v>
      </c>
      <c r="P27" s="2"/>
      <c r="Q27" s="2">
        <v>353.87</v>
      </c>
      <c r="R27" s="2">
        <v>320.5</v>
      </c>
      <c r="S27" s="23">
        <f t="shared" si="1"/>
        <v>0.10411856474258974</v>
      </c>
      <c r="T27" s="31">
        <v>12</v>
      </c>
      <c r="U27" s="35">
        <v>0.35</v>
      </c>
      <c r="V27">
        <f t="shared" si="2"/>
        <v>4.1999999999999993</v>
      </c>
    </row>
    <row r="28" spans="1:22" customFormat="1" x14ac:dyDescent="0.25">
      <c r="A28" s="15">
        <v>1010032755</v>
      </c>
      <c r="B28" s="25" t="s">
        <v>29</v>
      </c>
      <c r="C28" s="24" t="s">
        <v>54</v>
      </c>
      <c r="D28" s="24" t="s">
        <v>60</v>
      </c>
      <c r="E28" s="2" t="s">
        <v>0</v>
      </c>
      <c r="F28" s="18" t="s">
        <v>25</v>
      </c>
      <c r="G28" s="5"/>
      <c r="H28" s="5"/>
      <c r="I28" s="5" t="s">
        <v>2</v>
      </c>
      <c r="J28" s="5" t="s">
        <v>3</v>
      </c>
      <c r="K28" s="5">
        <v>0.25</v>
      </c>
      <c r="L28" s="5">
        <v>1.5</v>
      </c>
      <c r="M28" s="33">
        <v>6</v>
      </c>
      <c r="N28" s="5">
        <v>150</v>
      </c>
      <c r="O28" s="2">
        <v>1601009101</v>
      </c>
      <c r="P28" s="2">
        <v>54000</v>
      </c>
      <c r="Q28" s="2">
        <v>909.15000000000009</v>
      </c>
      <c r="R28" s="2">
        <v>825.3</v>
      </c>
      <c r="S28" s="23">
        <f t="shared" si="1"/>
        <v>0.10159941839331177</v>
      </c>
      <c r="T28" s="31">
        <v>180</v>
      </c>
      <c r="U28" s="35">
        <v>0.25</v>
      </c>
      <c r="V28">
        <f t="shared" si="2"/>
        <v>45</v>
      </c>
    </row>
    <row r="29" spans="1:22" customFormat="1" x14ac:dyDescent="0.25">
      <c r="A29" s="15">
        <v>1010033903</v>
      </c>
      <c r="B29" s="25" t="s">
        <v>33</v>
      </c>
      <c r="C29" s="24" t="s">
        <v>54</v>
      </c>
      <c r="D29" s="24" t="s">
        <v>60</v>
      </c>
      <c r="E29" s="2" t="s">
        <v>0</v>
      </c>
      <c r="F29" s="18" t="s">
        <v>32</v>
      </c>
      <c r="G29" s="5"/>
      <c r="H29" s="5"/>
      <c r="I29" s="5" t="s">
        <v>2</v>
      </c>
      <c r="J29" s="5" t="s">
        <v>3</v>
      </c>
      <c r="K29" s="5">
        <v>0.5</v>
      </c>
      <c r="L29" s="5">
        <v>2</v>
      </c>
      <c r="M29" s="33">
        <v>4</v>
      </c>
      <c r="N29" s="5">
        <v>45</v>
      </c>
      <c r="O29" s="2" t="s">
        <v>34</v>
      </c>
      <c r="P29" s="2">
        <v>54000</v>
      </c>
      <c r="Q29" s="2">
        <v>532.07000000000005</v>
      </c>
      <c r="R29" s="2">
        <v>482.5</v>
      </c>
      <c r="S29" s="23">
        <f t="shared" si="1"/>
        <v>0.10273575129533685</v>
      </c>
      <c r="T29" s="31">
        <v>12</v>
      </c>
      <c r="U29" s="35">
        <v>0.5</v>
      </c>
      <c r="V29">
        <f t="shared" si="2"/>
        <v>6</v>
      </c>
    </row>
    <row r="30" spans="1:22" x14ac:dyDescent="0.25">
      <c r="V30" s="6">
        <f>SUBTOTAL(9,V18:V29)</f>
        <v>144.60000000000002</v>
      </c>
    </row>
  </sheetData>
  <autoFilter ref="A1:V29" xr:uid="{4EE527F1-4119-446D-84ED-8555E6DBF503}">
    <filterColumn colId="19">
      <customFilters>
        <customFilter operator="notEqual" val=" "/>
      </customFilters>
    </filterColumn>
  </autoFilter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olga1</dc:creator>
  <cp:lastModifiedBy>Uaer4</cp:lastModifiedBy>
  <dcterms:created xsi:type="dcterms:W3CDTF">2015-06-05T18:17:20Z</dcterms:created>
  <dcterms:modified xsi:type="dcterms:W3CDTF">2025-12-18T08:06:52Z</dcterms:modified>
</cp:coreProperties>
</file>