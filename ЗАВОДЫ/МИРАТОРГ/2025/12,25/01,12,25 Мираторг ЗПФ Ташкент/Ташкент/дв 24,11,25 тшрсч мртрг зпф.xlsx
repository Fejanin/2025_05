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МИРАТОРГ\2025\11,25\24,11,25 Мираторг ЗПФ Ташкент\"/>
    </mc:Choice>
  </mc:AlternateContent>
  <xr:revisionPtr revIDLastSave="0" documentId="13_ncr:1_{13FAD2F1-1A61-499A-9C32-AE218234B1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42" i="1" l="1"/>
  <c r="AF40" i="1"/>
  <c r="AF36" i="1"/>
  <c r="AF22" i="1"/>
  <c r="AF18" i="1"/>
  <c r="AF16" i="1"/>
  <c r="AF14" i="1"/>
  <c r="R5" i="1"/>
  <c r="AF6" i="1"/>
  <c r="Q7" i="1"/>
  <c r="V7" i="1" s="1"/>
  <c r="Q8" i="1"/>
  <c r="V8" i="1" s="1"/>
  <c r="Q9" i="1"/>
  <c r="V9" i="1" s="1"/>
  <c r="Q10" i="1"/>
  <c r="V10" i="1" s="1"/>
  <c r="Q11" i="1"/>
  <c r="V11" i="1" s="1"/>
  <c r="Q12" i="1"/>
  <c r="V12" i="1" s="1"/>
  <c r="Q13" i="1"/>
  <c r="V13" i="1" s="1"/>
  <c r="Q14" i="1"/>
  <c r="V14" i="1" s="1"/>
  <c r="Q15" i="1"/>
  <c r="V15" i="1" s="1"/>
  <c r="Q16" i="1"/>
  <c r="V16" i="1" s="1"/>
  <c r="Q17" i="1"/>
  <c r="V17" i="1" s="1"/>
  <c r="Q18" i="1"/>
  <c r="V18" i="1" s="1"/>
  <c r="Q19" i="1"/>
  <c r="V19" i="1" s="1"/>
  <c r="Q20" i="1"/>
  <c r="V20" i="1" s="1"/>
  <c r="Q21" i="1"/>
  <c r="V21" i="1" s="1"/>
  <c r="Q22" i="1"/>
  <c r="V22" i="1" s="1"/>
  <c r="Q23" i="1"/>
  <c r="V23" i="1" s="1"/>
  <c r="Q24" i="1"/>
  <c r="V24" i="1" s="1"/>
  <c r="Q25" i="1"/>
  <c r="V25" i="1" s="1"/>
  <c r="Q26" i="1"/>
  <c r="V26" i="1" s="1"/>
  <c r="Q27" i="1"/>
  <c r="V27" i="1" s="1"/>
  <c r="Q28" i="1"/>
  <c r="V28" i="1" s="1"/>
  <c r="Q29" i="1"/>
  <c r="V29" i="1" s="1"/>
  <c r="Q30" i="1"/>
  <c r="V30" i="1" s="1"/>
  <c r="Q31" i="1"/>
  <c r="V31" i="1" s="1"/>
  <c r="Q32" i="1"/>
  <c r="V32" i="1" s="1"/>
  <c r="Q33" i="1"/>
  <c r="V33" i="1" s="1"/>
  <c r="Q34" i="1"/>
  <c r="V34" i="1" s="1"/>
  <c r="Q35" i="1"/>
  <c r="V35" i="1" s="1"/>
  <c r="Q36" i="1"/>
  <c r="V36" i="1" s="1"/>
  <c r="Q37" i="1"/>
  <c r="V37" i="1" s="1"/>
  <c r="Q38" i="1"/>
  <c r="V38" i="1" s="1"/>
  <c r="Q39" i="1"/>
  <c r="V39" i="1" s="1"/>
  <c r="Q40" i="1"/>
  <c r="V40" i="1" s="1"/>
  <c r="Q41" i="1"/>
  <c r="V41" i="1" s="1"/>
  <c r="Q42" i="1"/>
  <c r="V42" i="1" s="1"/>
  <c r="Q43" i="1"/>
  <c r="V43" i="1" s="1"/>
  <c r="Q6" i="1"/>
  <c r="AF43" i="1"/>
  <c r="L43" i="1"/>
  <c r="L42" i="1"/>
  <c r="AF41" i="1"/>
  <c r="L41" i="1"/>
  <c r="L40" i="1"/>
  <c r="L39" i="1"/>
  <c r="L38" i="1"/>
  <c r="AF37" i="1"/>
  <c r="L37" i="1"/>
  <c r="L36" i="1"/>
  <c r="L35" i="1"/>
  <c r="AF34" i="1"/>
  <c r="L34" i="1"/>
  <c r="AF33" i="1"/>
  <c r="L33" i="1"/>
  <c r="AF32" i="1"/>
  <c r="L32" i="1"/>
  <c r="AF31" i="1"/>
  <c r="L31" i="1"/>
  <c r="AF30" i="1"/>
  <c r="L30" i="1"/>
  <c r="AF29" i="1"/>
  <c r="L29" i="1"/>
  <c r="AF28" i="1"/>
  <c r="L28" i="1"/>
  <c r="AF27" i="1"/>
  <c r="L27" i="1"/>
  <c r="AF26" i="1"/>
  <c r="L26" i="1"/>
  <c r="AF25" i="1"/>
  <c r="L25" i="1"/>
  <c r="AF24" i="1"/>
  <c r="L24" i="1"/>
  <c r="L23" i="1"/>
  <c r="L22" i="1"/>
  <c r="AF21" i="1"/>
  <c r="L21" i="1"/>
  <c r="L20" i="1"/>
  <c r="L19" i="1"/>
  <c r="L18" i="1"/>
  <c r="AF17" i="1"/>
  <c r="L17" i="1"/>
  <c r="L16" i="1"/>
  <c r="AF15" i="1"/>
  <c r="L15" i="1"/>
  <c r="L14" i="1"/>
  <c r="AF13" i="1"/>
  <c r="L13" i="1"/>
  <c r="L12" i="1"/>
  <c r="AF11" i="1"/>
  <c r="L11" i="1"/>
  <c r="AF10" i="1"/>
  <c r="L10" i="1"/>
  <c r="AF9" i="1"/>
  <c r="L9" i="1"/>
  <c r="AF8" i="1"/>
  <c r="L8" i="1"/>
  <c r="L7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F5" i="1"/>
  <c r="E5" i="1"/>
  <c r="U41" i="1" l="1"/>
  <c r="U37" i="1"/>
  <c r="U33" i="1"/>
  <c r="U29" i="1"/>
  <c r="U25" i="1"/>
  <c r="U21" i="1"/>
  <c r="U17" i="1"/>
  <c r="U13" i="1"/>
  <c r="U9" i="1"/>
  <c r="L5" i="1"/>
  <c r="AF5" i="1"/>
  <c r="Q5" i="1"/>
  <c r="U43" i="1"/>
  <c r="U39" i="1"/>
  <c r="U35" i="1"/>
  <c r="U31" i="1"/>
  <c r="U27" i="1"/>
  <c r="U23" i="1"/>
  <c r="U19" i="1"/>
  <c r="U15" i="1"/>
  <c r="U11" i="1"/>
  <c r="U7" i="1"/>
  <c r="V6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6" i="1"/>
</calcChain>
</file>

<file path=xl/sharedStrings.xml><?xml version="1.0" encoding="utf-8"?>
<sst xmlns="http://schemas.openxmlformats.org/spreadsheetml/2006/main" count="180" uniqueCount="92">
  <si>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</si>
  <si>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</si>
  <si>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</si>
  <si>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</si>
  <si>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</si>
  <si>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</si>
  <si>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</si>
  <si>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</si>
  <si>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</si>
  <si>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</si>
  <si>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</si>
  <si>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</si>
  <si>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</si>
  <si>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</si>
  <si>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</si>
  <si>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</si>
  <si>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</si>
  <si>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</si>
  <si>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</si>
  <si>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</si>
  <si>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</si>
  <si>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</si>
  <si>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</si>
  <si>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</si>
  <si>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</si>
  <si>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24,11,</t>
  </si>
  <si>
    <t>10,11,</t>
  </si>
  <si>
    <t>03,11,</t>
  </si>
  <si>
    <t>27,10,</t>
  </si>
  <si>
    <t>20,10,</t>
  </si>
  <si>
    <t>13,10,</t>
  </si>
  <si>
    <t>06,10,</t>
  </si>
  <si>
    <t>29,09,</t>
  </si>
  <si>
    <t>Брокколи капуста 400 ЗАМ  МИРАТОРГ</t>
  </si>
  <si>
    <t>шт</t>
  </si>
  <si>
    <t>365?</t>
  </si>
  <si>
    <t>нужно увеличить продажи!!!</t>
  </si>
  <si>
    <t>Бургер Класс из мр гов зам ШТ 1,05кг TF *6  МИРАТОРГ</t>
  </si>
  <si>
    <t>нет в бланке</t>
  </si>
  <si>
    <t>Вишня б/косточки с/м 300г*20 (6кг) Мираторг Россия</t>
  </si>
  <si>
    <t>???</t>
  </si>
  <si>
    <t>нужно увеличить продажи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</si>
  <si>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</si>
  <si>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</si>
  <si>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</si>
  <si>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</si>
  <si>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</si>
  <si>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</si>
  <si>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</si>
  <si>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</si>
  <si>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</si>
  <si>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с сыром 250г*12 зам  МИРАТОРГ</t>
  </si>
  <si>
    <t>новинка</t>
  </si>
  <si>
    <t>нет в бланке для заказа</t>
  </si>
  <si>
    <t>Наггетсы куриные Аппетитные 300г*12 (3,6кг) ООО "Мираторг Запад" РОССИЯ</t>
  </si>
  <si>
    <t>нет потребности</t>
  </si>
  <si>
    <t>Наггетсы куриные Классические 1500г*6 (9кг), ООО "Мираторг Запад" РОССИЯ  МИРАТОРГ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</si>
  <si>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</si>
  <si>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</si>
  <si>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</si>
  <si>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</si>
  <si>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</si>
  <si>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</si>
  <si>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</si>
  <si>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</si>
  <si>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</si>
  <si>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</si>
  <si>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</si>
  <si>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</si>
  <si>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17,08,25 списано 11шт. / нет в бланке для заказа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</si>
  <si>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</si>
  <si>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</si>
  <si>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</si>
  <si>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</si>
  <si>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</si>
  <si>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80% зам TF 2кг*4(8кг) Black Angus МИРАТОРГ (Брянск) РОССИЯ</t>
  </si>
  <si>
    <t>Фарш говяжий зам 0,4кг ШТ  TF  МИРАТОРГ</t>
  </si>
  <si>
    <t>24,11,25 дозаказали 40 шт. (Шувалова)</t>
  </si>
  <si>
    <t>Фарш куриный "Домашний",зам,в/у0,75кг*8(6кг)  МИРАТОРГ</t>
  </si>
  <si>
    <t>снова заказываем</t>
  </si>
  <si>
    <t>Фасоль стручковая рез. с/м 30-40мм 400г*10 (4кг) Мираторг Россия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</si>
  <si>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</si>
  <si>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</si>
  <si>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</si>
  <si>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</si>
  <si>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</si>
  <si>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поставки не было</t>
  </si>
  <si>
    <t>нужно увеличить продажи / 17,08,25 списано 12шт.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</si>
  <si>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ЗАКАЗЫВАЛИ: "Наггетсы Куриные с сыром 250г*12 зам МТЗ"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</si>
  <si>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 для заказа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</si>
  <si>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20,10,25 завод не отгрузил / 06,03,25 списано 4562шт. / нет в бланке для заказа</t>
    </r>
  </si>
  <si>
    <t>(не было)17,11,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</si>
</sst>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theme="1" tint="0.249977111117893"/>
      <name val="Arial"/>
    </font>
    <font>
      <b/>
      <sz val="11"/>
      <color theme="1" tint="0.249977111117893"/>
      <name val="Calibri"/>
    </font>
    <font>
      <sz val="11"/>
      <color theme="1" tint="0.249977111117893"/>
      <name val="Calibri"/>
      <family val="2"/>
      <scheme val="minor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164" fontId="4" fillId="0" borderId="1" xfId="1" applyNumberFormat="1" applyFont="1"/>
    <xf numFmtId="164" fontId="5" fillId="2" borderId="1" xfId="1" applyNumberFormat="1" applyFont="1" applyFill="1"/>
    <xf numFmtId="164" fontId="4" fillId="3" borderId="1" xfId="1" applyNumberFormat="1" applyFont="1" applyFill="1"/>
    <xf numFmtId="0" fontId="6" fillId="0" borderId="0" xfId="0" applyFont="1"/>
    <xf numFmtId="164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2" fontId="1" fillId="0" borderId="1" xfId="1" applyNumberFormat="1"/>
    <xf numFmtId="2" fontId="2" fillId="2" borderId="1" xfId="1" applyNumberFormat="1" applyFont="1" applyFill="1"/>
    <xf numFmtId="2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1" fillId="0" borderId="1" xfId="1" applyNumberFormat="1" applyFill="1"/>
    <xf numFmtId="164" fontId="1" fillId="7" borderId="1" xfId="1" applyNumberFormat="1" applyFill="1"/>
    <xf numFmtId="164" fontId="7" fillId="7" borderId="1" xfId="1" applyNumberFormat="1" applyFont="1" applyFill="1"/>
    <xf numFmtId="164" fontId="8" fillId="7" borderId="1" xfId="1" applyNumberFormat="1" applyFont="1" applyFill="1"/>
    <xf numFmtId="164" fontId="4" fillId="0" borderId="1" xfId="1" applyNumberFormat="1" applyFont="1" applyAlignment="1">
      <alignment horizontal="center" wrapText="1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1" sqref="T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3.28515625" customWidth="1"/>
    <col min="10" max="10" width="1" customWidth="1"/>
    <col min="11" max="14" width="0.5703125" customWidth="1"/>
    <col min="15" max="15" width="14" style="11" customWidth="1"/>
    <col min="16" max="19" width="7" customWidth="1"/>
    <col min="20" max="20" width="21" customWidth="1"/>
    <col min="21" max="22" width="5" customWidth="1"/>
    <col min="23" max="30" width="6" customWidth="1"/>
    <col min="31" max="31" width="48.85546875" customWidth="1"/>
    <col min="32" max="32" width="7" customWidth="1"/>
    <col min="33" max="51" width="8" customWidth="1"/>
  </cols>
  <sheetData>
    <row r="1" spans="1:51" x14ac:dyDescent="0.25">
      <c r="A1" s="1"/>
      <c r="B1" s="1"/>
      <c r="C1" s="1"/>
      <c r="D1" s="1"/>
      <c r="E1" s="1"/>
      <c r="F1" s="1"/>
      <c r="G1" s="15"/>
      <c r="H1" s="1"/>
      <c r="I1" s="1"/>
      <c r="J1" s="1"/>
      <c r="K1" s="1"/>
      <c r="L1" s="1"/>
      <c r="M1" s="1"/>
      <c r="N1" s="1"/>
      <c r="O1" s="26" t="s">
        <v>86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15"/>
      <c r="H2" s="1"/>
      <c r="I2" s="1"/>
      <c r="J2" s="1"/>
      <c r="K2" s="1"/>
      <c r="L2" s="1"/>
      <c r="M2" s="1"/>
      <c r="N2" s="1"/>
      <c r="O2" s="2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6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9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15"/>
      <c r="H4" s="1"/>
      <c r="I4" s="1"/>
      <c r="J4" s="1"/>
      <c r="K4" s="1"/>
      <c r="L4" s="1"/>
      <c r="M4" s="1"/>
      <c r="N4" s="1"/>
      <c r="O4" s="8" t="s">
        <v>91</v>
      </c>
      <c r="P4" s="1" t="s">
        <v>25</v>
      </c>
      <c r="Q4" s="1" t="s">
        <v>25</v>
      </c>
      <c r="R4" s="1"/>
      <c r="S4" s="1"/>
      <c r="T4" s="1"/>
      <c r="U4" s="1"/>
      <c r="V4" s="1"/>
      <c r="W4" s="1" t="s">
        <v>24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776</v>
      </c>
      <c r="F5" s="4">
        <f>SUM(F6:F500)</f>
        <v>1774</v>
      </c>
      <c r="G5" s="15"/>
      <c r="H5" s="1"/>
      <c r="I5" s="1"/>
      <c r="J5" s="1"/>
      <c r="K5" s="4">
        <f t="shared" ref="K5:S5" si="0">SUM(K6:K500)</f>
        <v>0</v>
      </c>
      <c r="L5" s="4">
        <f t="shared" si="0"/>
        <v>776</v>
      </c>
      <c r="M5" s="4">
        <f t="shared" si="0"/>
        <v>0</v>
      </c>
      <c r="N5" s="4">
        <f t="shared" si="0"/>
        <v>0</v>
      </c>
      <c r="O5" s="10">
        <f t="shared" si="0"/>
        <v>1080</v>
      </c>
      <c r="P5" s="4">
        <f t="shared" si="0"/>
        <v>3200</v>
      </c>
      <c r="Q5" s="4">
        <f t="shared" si="0"/>
        <v>155.19999999999996</v>
      </c>
      <c r="R5" s="4">
        <f t="shared" si="0"/>
        <v>0</v>
      </c>
      <c r="S5" s="4">
        <f t="shared" si="0"/>
        <v>0</v>
      </c>
      <c r="T5" s="1"/>
      <c r="U5" s="1"/>
      <c r="V5" s="1"/>
      <c r="W5" s="4">
        <f t="shared" ref="W5:AD5" si="1">SUM(W6:W500)</f>
        <v>202.6</v>
      </c>
      <c r="X5" s="4">
        <f t="shared" si="1"/>
        <v>112.79999999999998</v>
      </c>
      <c r="Y5" s="4">
        <f t="shared" si="1"/>
        <v>199.59999999999997</v>
      </c>
      <c r="Z5" s="4">
        <f t="shared" si="1"/>
        <v>111.60000000000004</v>
      </c>
      <c r="AA5" s="4">
        <f t="shared" si="1"/>
        <v>65.400000000000006</v>
      </c>
      <c r="AB5" s="4">
        <f t="shared" si="1"/>
        <v>151.80000000000001</v>
      </c>
      <c r="AC5" s="4">
        <f t="shared" si="1"/>
        <v>128.60000000000005</v>
      </c>
      <c r="AD5" s="4">
        <f t="shared" si="1"/>
        <v>181.9796</v>
      </c>
      <c r="AE5" s="1"/>
      <c r="AF5" s="4">
        <f>SUM(AF6:AF500)</f>
        <v>0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33</v>
      </c>
      <c r="B6" s="1" t="s">
        <v>34</v>
      </c>
      <c r="C6" s="1">
        <v>14</v>
      </c>
      <c r="D6" s="1"/>
      <c r="E6" s="1">
        <v>10</v>
      </c>
      <c r="F6" s="1">
        <v>4</v>
      </c>
      <c r="G6" s="15">
        <v>0.4</v>
      </c>
      <c r="H6" s="1" t="s">
        <v>35</v>
      </c>
      <c r="I6" s="1">
        <v>1010011725</v>
      </c>
      <c r="J6" s="1"/>
      <c r="K6" s="1"/>
      <c r="L6" s="1">
        <f t="shared" ref="L6:L43" si="2">E6-K6</f>
        <v>10</v>
      </c>
      <c r="M6" s="1"/>
      <c r="N6" s="1"/>
      <c r="O6" s="8">
        <v>30</v>
      </c>
      <c r="P6" s="1">
        <v>50</v>
      </c>
      <c r="Q6" s="1">
        <f>E6/5</f>
        <v>2</v>
      </c>
      <c r="R6" s="5"/>
      <c r="S6" s="5"/>
      <c r="T6" s="1"/>
      <c r="U6" s="1">
        <f>(F6+P6+R6)/Q6</f>
        <v>27</v>
      </c>
      <c r="V6" s="1">
        <f>(F6+P6)/Q6</f>
        <v>27</v>
      </c>
      <c r="W6" s="1">
        <v>0.8</v>
      </c>
      <c r="X6" s="1">
        <v>1</v>
      </c>
      <c r="Y6" s="1">
        <v>0.8</v>
      </c>
      <c r="Z6" s="1">
        <v>0.2</v>
      </c>
      <c r="AA6" s="1">
        <v>0.4</v>
      </c>
      <c r="AB6" s="1">
        <v>2</v>
      </c>
      <c r="AC6" s="1">
        <v>0</v>
      </c>
      <c r="AD6" s="1">
        <v>1</v>
      </c>
      <c r="AE6" s="25" t="s">
        <v>36</v>
      </c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idden="1" x14ac:dyDescent="0.25">
      <c r="A7" s="12" t="s">
        <v>37</v>
      </c>
      <c r="B7" s="12" t="s">
        <v>34</v>
      </c>
      <c r="C7" s="12">
        <v>12</v>
      </c>
      <c r="D7" s="12"/>
      <c r="E7" s="12"/>
      <c r="F7" s="12">
        <v>12</v>
      </c>
      <c r="G7" s="17">
        <v>0</v>
      </c>
      <c r="H7" s="12">
        <v>730</v>
      </c>
      <c r="I7" s="12" t="s">
        <v>38</v>
      </c>
      <c r="J7" s="12"/>
      <c r="K7" s="12"/>
      <c r="L7" s="12">
        <f t="shared" si="2"/>
        <v>0</v>
      </c>
      <c r="M7" s="12"/>
      <c r="N7" s="12"/>
      <c r="O7" s="13"/>
      <c r="P7" s="12"/>
      <c r="Q7" s="12">
        <f t="shared" ref="Q7:Q43" si="3">E7/5</f>
        <v>0</v>
      </c>
      <c r="R7" s="14"/>
      <c r="S7" s="14"/>
      <c r="T7" s="12"/>
      <c r="U7" s="12" t="e">
        <f t="shared" ref="U7:U43" si="4">(F7+P7+R7)/Q7</f>
        <v>#DIV/0!</v>
      </c>
      <c r="V7" s="12" t="e">
        <f t="shared" ref="V7:V43" si="5">(F7+P7)/Q7</f>
        <v>#DIV/0!</v>
      </c>
      <c r="W7" s="12">
        <v>0.2</v>
      </c>
      <c r="X7" s="12">
        <v>2.4</v>
      </c>
      <c r="Y7" s="12">
        <v>0</v>
      </c>
      <c r="Z7" s="12">
        <v>1.2</v>
      </c>
      <c r="AA7" s="12">
        <v>0</v>
      </c>
      <c r="AB7" s="12">
        <v>0</v>
      </c>
      <c r="AC7" s="12">
        <v>0</v>
      </c>
      <c r="AD7" s="12">
        <v>-0.4</v>
      </c>
      <c r="AE7" s="12" t="s">
        <v>36</v>
      </c>
      <c r="AF7" s="1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34</v>
      </c>
      <c r="C8" s="1">
        <v>81</v>
      </c>
      <c r="D8" s="1"/>
      <c r="E8" s="1">
        <v>23</v>
      </c>
      <c r="F8" s="1">
        <v>58</v>
      </c>
      <c r="G8" s="15">
        <v>0.3</v>
      </c>
      <c r="H8" s="1" t="s">
        <v>40</v>
      </c>
      <c r="I8" s="1">
        <v>1010004270</v>
      </c>
      <c r="J8" s="1"/>
      <c r="K8" s="1"/>
      <c r="L8" s="1">
        <f t="shared" si="2"/>
        <v>23</v>
      </c>
      <c r="M8" s="1"/>
      <c r="N8" s="1"/>
      <c r="O8" s="8"/>
      <c r="P8" s="1">
        <v>80</v>
      </c>
      <c r="Q8" s="1">
        <f t="shared" si="3"/>
        <v>4.5999999999999996</v>
      </c>
      <c r="R8" s="5"/>
      <c r="S8" s="5"/>
      <c r="T8" s="1"/>
      <c r="U8" s="1">
        <f t="shared" si="4"/>
        <v>30.000000000000004</v>
      </c>
      <c r="V8" s="1">
        <f t="shared" si="5"/>
        <v>30.000000000000004</v>
      </c>
      <c r="W8" s="1">
        <v>3.2</v>
      </c>
      <c r="X8" s="1">
        <v>6.4</v>
      </c>
      <c r="Y8" s="1">
        <v>0.6</v>
      </c>
      <c r="Z8" s="1">
        <v>3</v>
      </c>
      <c r="AA8" s="1">
        <v>1.4</v>
      </c>
      <c r="AB8" s="1">
        <v>6</v>
      </c>
      <c r="AC8" s="1">
        <v>1.6</v>
      </c>
      <c r="AD8" s="1">
        <v>5.4</v>
      </c>
      <c r="AE8" s="25" t="s">
        <v>36</v>
      </c>
      <c r="AF8" s="1">
        <f>G8*R8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42</v>
      </c>
      <c r="B9" s="1" t="s">
        <v>34</v>
      </c>
      <c r="C9" s="1">
        <v>52</v>
      </c>
      <c r="D9" s="1"/>
      <c r="E9" s="1">
        <v>19</v>
      </c>
      <c r="F9" s="1">
        <v>33</v>
      </c>
      <c r="G9" s="15">
        <v>0.4</v>
      </c>
      <c r="H9" s="1">
        <v>730</v>
      </c>
      <c r="I9" s="1">
        <v>1010004227</v>
      </c>
      <c r="J9" s="1"/>
      <c r="K9" s="1"/>
      <c r="L9" s="1">
        <f t="shared" si="2"/>
        <v>19</v>
      </c>
      <c r="M9" s="1"/>
      <c r="N9" s="1"/>
      <c r="O9" s="8">
        <v>40</v>
      </c>
      <c r="P9" s="1">
        <v>120</v>
      </c>
      <c r="Q9" s="1">
        <f t="shared" si="3"/>
        <v>3.8</v>
      </c>
      <c r="R9" s="5"/>
      <c r="S9" s="5"/>
      <c r="T9" s="1"/>
      <c r="U9" s="1">
        <f t="shared" si="4"/>
        <v>40.263157894736842</v>
      </c>
      <c r="V9" s="1">
        <f t="shared" si="5"/>
        <v>40.263157894736842</v>
      </c>
      <c r="W9" s="1">
        <v>3.2</v>
      </c>
      <c r="X9" s="1">
        <v>3</v>
      </c>
      <c r="Y9" s="1">
        <v>2.6</v>
      </c>
      <c r="Z9" s="1">
        <v>0</v>
      </c>
      <c r="AA9" s="1">
        <v>2.6</v>
      </c>
      <c r="AB9" s="1">
        <v>5.2</v>
      </c>
      <c r="AC9" s="1">
        <v>1</v>
      </c>
      <c r="AD9" s="1">
        <v>3.6</v>
      </c>
      <c r="AE9" s="25" t="s">
        <v>36</v>
      </c>
      <c r="AF9" s="1">
        <f>G9*R9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34</v>
      </c>
      <c r="C10" s="1">
        <v>74</v>
      </c>
      <c r="D10" s="1"/>
      <c r="E10" s="1">
        <v>34</v>
      </c>
      <c r="F10" s="1">
        <v>40</v>
      </c>
      <c r="G10" s="15">
        <v>0.4</v>
      </c>
      <c r="H10" s="1">
        <v>730</v>
      </c>
      <c r="I10" s="1">
        <v>1010011730</v>
      </c>
      <c r="J10" s="1"/>
      <c r="K10" s="1"/>
      <c r="L10" s="1">
        <f t="shared" si="2"/>
        <v>34</v>
      </c>
      <c r="M10" s="1"/>
      <c r="N10" s="1"/>
      <c r="O10" s="8"/>
      <c r="P10" s="1">
        <v>100</v>
      </c>
      <c r="Q10" s="1">
        <f t="shared" si="3"/>
        <v>6.8</v>
      </c>
      <c r="R10" s="5"/>
      <c r="S10" s="5"/>
      <c r="T10" s="1"/>
      <c r="U10" s="1">
        <f t="shared" si="4"/>
        <v>20.588235294117649</v>
      </c>
      <c r="V10" s="1">
        <f t="shared" si="5"/>
        <v>20.588235294117649</v>
      </c>
      <c r="W10" s="1">
        <v>2.4</v>
      </c>
      <c r="X10" s="1">
        <v>4</v>
      </c>
      <c r="Y10" s="1">
        <v>2.6</v>
      </c>
      <c r="Z10" s="1">
        <v>0.6</v>
      </c>
      <c r="AA10" s="1">
        <v>3</v>
      </c>
      <c r="AB10" s="1">
        <v>4.2</v>
      </c>
      <c r="AC10" s="1">
        <v>1.8</v>
      </c>
      <c r="AD10" s="1">
        <v>13.6</v>
      </c>
      <c r="AE10" s="23" t="s">
        <v>41</v>
      </c>
      <c r="AF10" s="1">
        <f>G10*R10</f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34</v>
      </c>
      <c r="C11" s="1">
        <v>85</v>
      </c>
      <c r="D11" s="1"/>
      <c r="E11" s="1">
        <v>20</v>
      </c>
      <c r="F11" s="1">
        <v>65</v>
      </c>
      <c r="G11" s="15">
        <v>0.4</v>
      </c>
      <c r="H11" s="1" t="s">
        <v>40</v>
      </c>
      <c r="I11" s="1">
        <v>1010011735</v>
      </c>
      <c r="J11" s="1"/>
      <c r="K11" s="1"/>
      <c r="L11" s="1">
        <f t="shared" si="2"/>
        <v>20</v>
      </c>
      <c r="M11" s="1"/>
      <c r="N11" s="1"/>
      <c r="O11" s="8"/>
      <c r="P11" s="1">
        <v>60</v>
      </c>
      <c r="Q11" s="1">
        <f t="shared" si="3"/>
        <v>4</v>
      </c>
      <c r="R11" s="5"/>
      <c r="S11" s="5"/>
      <c r="T11" s="1"/>
      <c r="U11" s="1">
        <f t="shared" si="4"/>
        <v>31.25</v>
      </c>
      <c r="V11" s="1">
        <f t="shared" si="5"/>
        <v>31.25</v>
      </c>
      <c r="W11" s="1">
        <v>0</v>
      </c>
      <c r="X11" s="1">
        <v>15.2</v>
      </c>
      <c r="Y11" s="1">
        <v>1.6</v>
      </c>
      <c r="Z11" s="1">
        <v>0.6</v>
      </c>
      <c r="AA11" s="1">
        <v>1.6</v>
      </c>
      <c r="AB11" s="1">
        <v>4</v>
      </c>
      <c r="AC11" s="1">
        <v>0</v>
      </c>
      <c r="AD11" s="1">
        <v>11.4</v>
      </c>
      <c r="AE11" s="25" t="s">
        <v>36</v>
      </c>
      <c r="AF11" s="1">
        <f>G11*R11</f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idden="1" x14ac:dyDescent="0.25">
      <c r="A12" s="12" t="s">
        <v>45</v>
      </c>
      <c r="B12" s="12" t="s">
        <v>34</v>
      </c>
      <c r="C12" s="12">
        <v>1</v>
      </c>
      <c r="D12" s="12"/>
      <c r="E12" s="12"/>
      <c r="F12" s="12">
        <v>1</v>
      </c>
      <c r="G12" s="17">
        <v>0</v>
      </c>
      <c r="H12" s="12" t="s">
        <v>40</v>
      </c>
      <c r="I12" s="12" t="s">
        <v>38</v>
      </c>
      <c r="J12" s="12"/>
      <c r="K12" s="12"/>
      <c r="L12" s="12">
        <f t="shared" si="2"/>
        <v>0</v>
      </c>
      <c r="M12" s="12"/>
      <c r="N12" s="12"/>
      <c r="O12" s="13"/>
      <c r="P12" s="12"/>
      <c r="Q12" s="12">
        <f t="shared" si="3"/>
        <v>0</v>
      </c>
      <c r="R12" s="14"/>
      <c r="S12" s="14"/>
      <c r="T12" s="12"/>
      <c r="U12" s="12" t="e">
        <f t="shared" si="4"/>
        <v>#DIV/0!</v>
      </c>
      <c r="V12" s="12" t="e">
        <f t="shared" si="5"/>
        <v>#DIV/0!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/>
      <c r="AF12" s="12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34</v>
      </c>
      <c r="C13" s="1">
        <v>65</v>
      </c>
      <c r="D13" s="1"/>
      <c r="E13" s="1">
        <v>25</v>
      </c>
      <c r="F13" s="1">
        <v>40</v>
      </c>
      <c r="G13" s="15">
        <v>0.5</v>
      </c>
      <c r="H13" s="1">
        <v>730</v>
      </c>
      <c r="I13" s="1">
        <v>1010027797</v>
      </c>
      <c r="J13" s="1"/>
      <c r="K13" s="1"/>
      <c r="L13" s="1">
        <f t="shared" si="2"/>
        <v>25</v>
      </c>
      <c r="M13" s="1"/>
      <c r="N13" s="1"/>
      <c r="O13" s="8"/>
      <c r="P13" s="1">
        <v>100</v>
      </c>
      <c r="Q13" s="1">
        <f t="shared" si="3"/>
        <v>5</v>
      </c>
      <c r="R13" s="5"/>
      <c r="S13" s="5"/>
      <c r="T13" s="1"/>
      <c r="U13" s="1">
        <f t="shared" si="4"/>
        <v>28</v>
      </c>
      <c r="V13" s="1">
        <f t="shared" si="5"/>
        <v>28</v>
      </c>
      <c r="W13" s="1">
        <v>6.4</v>
      </c>
      <c r="X13" s="1">
        <v>2</v>
      </c>
      <c r="Y13" s="1">
        <v>3.8</v>
      </c>
      <c r="Z13" s="1">
        <v>3.2</v>
      </c>
      <c r="AA13" s="1">
        <v>1</v>
      </c>
      <c r="AB13" s="1">
        <v>1.6</v>
      </c>
      <c r="AC13" s="1">
        <v>1.8</v>
      </c>
      <c r="AD13" s="1">
        <v>2.8</v>
      </c>
      <c r="AE13" s="25" t="s">
        <v>36</v>
      </c>
      <c r="AF13" s="1">
        <f t="shared" ref="AF13:AF18" si="6">G13*R13</f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34</v>
      </c>
      <c r="C14" s="1">
        <v>31</v>
      </c>
      <c r="D14" s="1"/>
      <c r="E14" s="1">
        <v>5</v>
      </c>
      <c r="F14" s="1">
        <v>26</v>
      </c>
      <c r="G14" s="15">
        <v>0.4</v>
      </c>
      <c r="H14" s="1">
        <v>730</v>
      </c>
      <c r="I14" s="1">
        <v>1010004229</v>
      </c>
      <c r="J14" s="1"/>
      <c r="K14" s="1"/>
      <c r="L14" s="1">
        <f t="shared" si="2"/>
        <v>5</v>
      </c>
      <c r="M14" s="1"/>
      <c r="N14" s="1"/>
      <c r="O14" s="8">
        <v>30</v>
      </c>
      <c r="P14" s="1">
        <v>50</v>
      </c>
      <c r="Q14" s="1">
        <f t="shared" si="3"/>
        <v>1</v>
      </c>
      <c r="R14" s="5"/>
      <c r="S14" s="5"/>
      <c r="T14" s="1"/>
      <c r="U14" s="1">
        <f t="shared" si="4"/>
        <v>76</v>
      </c>
      <c r="V14" s="1">
        <f t="shared" si="5"/>
        <v>76</v>
      </c>
      <c r="W14" s="1">
        <v>0.8</v>
      </c>
      <c r="X14" s="1">
        <v>1.8</v>
      </c>
      <c r="Y14" s="1">
        <v>0.8</v>
      </c>
      <c r="Z14" s="1">
        <v>0</v>
      </c>
      <c r="AA14" s="1">
        <v>0</v>
      </c>
      <c r="AB14" s="1">
        <v>0.6</v>
      </c>
      <c r="AC14" s="1">
        <v>0</v>
      </c>
      <c r="AD14" s="1">
        <v>0.8</v>
      </c>
      <c r="AE14" s="25" t="s">
        <v>36</v>
      </c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48</v>
      </c>
      <c r="B15" s="1" t="s">
        <v>34</v>
      </c>
      <c r="C15" s="1">
        <v>58</v>
      </c>
      <c r="D15" s="1"/>
      <c r="E15" s="1">
        <v>28</v>
      </c>
      <c r="F15" s="1">
        <v>30</v>
      </c>
      <c r="G15" s="15">
        <v>0.4</v>
      </c>
      <c r="H15" s="1" t="s">
        <v>40</v>
      </c>
      <c r="I15" s="1">
        <v>1010011737</v>
      </c>
      <c r="J15" s="1"/>
      <c r="K15" s="1"/>
      <c r="L15" s="1">
        <f t="shared" si="2"/>
        <v>28</v>
      </c>
      <c r="M15" s="1"/>
      <c r="N15" s="1"/>
      <c r="O15" s="8">
        <v>30</v>
      </c>
      <c r="P15" s="1">
        <v>80</v>
      </c>
      <c r="Q15" s="1">
        <f t="shared" si="3"/>
        <v>5.6</v>
      </c>
      <c r="R15" s="5"/>
      <c r="S15" s="5"/>
      <c r="T15" s="1"/>
      <c r="U15" s="1">
        <f t="shared" si="4"/>
        <v>19.642857142857142</v>
      </c>
      <c r="V15" s="1">
        <f t="shared" si="5"/>
        <v>19.642857142857142</v>
      </c>
      <c r="W15" s="1">
        <v>3</v>
      </c>
      <c r="X15" s="1">
        <v>2</v>
      </c>
      <c r="Y15" s="1">
        <v>3.2</v>
      </c>
      <c r="Z15" s="1">
        <v>1.4</v>
      </c>
      <c r="AA15" s="1">
        <v>1</v>
      </c>
      <c r="AB15" s="1">
        <v>3.4</v>
      </c>
      <c r="AC15" s="1">
        <v>4.4000000000000004</v>
      </c>
      <c r="AD15" s="1">
        <v>13</v>
      </c>
      <c r="AE15" s="23" t="s">
        <v>41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49</v>
      </c>
      <c r="B16" s="1" t="s">
        <v>34</v>
      </c>
      <c r="C16" s="1">
        <v>35</v>
      </c>
      <c r="D16" s="1"/>
      <c r="E16" s="1">
        <v>14</v>
      </c>
      <c r="F16" s="1">
        <v>21</v>
      </c>
      <c r="G16" s="15">
        <v>0.4</v>
      </c>
      <c r="H16" s="1">
        <v>730</v>
      </c>
      <c r="I16" s="1">
        <v>1010024886</v>
      </c>
      <c r="J16" s="1"/>
      <c r="K16" s="1"/>
      <c r="L16" s="1">
        <f t="shared" si="2"/>
        <v>14</v>
      </c>
      <c r="M16" s="1"/>
      <c r="N16" s="1"/>
      <c r="O16" s="8">
        <v>30</v>
      </c>
      <c r="P16" s="1">
        <v>40</v>
      </c>
      <c r="Q16" s="1">
        <f t="shared" si="3"/>
        <v>2.8</v>
      </c>
      <c r="R16" s="5"/>
      <c r="S16" s="5"/>
      <c r="T16" s="1"/>
      <c r="U16" s="1">
        <f t="shared" si="4"/>
        <v>21.785714285714288</v>
      </c>
      <c r="V16" s="1">
        <f t="shared" si="5"/>
        <v>21.785714285714288</v>
      </c>
      <c r="W16" s="1">
        <v>0.8</v>
      </c>
      <c r="X16" s="1">
        <v>0</v>
      </c>
      <c r="Y16" s="1">
        <v>1.6</v>
      </c>
      <c r="Z16" s="1">
        <v>0.2</v>
      </c>
      <c r="AA16" s="1">
        <v>0.2</v>
      </c>
      <c r="AB16" s="1">
        <v>2.2000000000000002</v>
      </c>
      <c r="AC16" s="1">
        <v>0</v>
      </c>
      <c r="AD16" s="1">
        <v>0.8</v>
      </c>
      <c r="AE16" s="23" t="s">
        <v>41</v>
      </c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50</v>
      </c>
      <c r="B17" s="1"/>
      <c r="C17" s="1">
        <v>50</v>
      </c>
      <c r="D17" s="1"/>
      <c r="E17" s="1"/>
      <c r="F17" s="1">
        <v>50</v>
      </c>
      <c r="G17" s="15">
        <v>0.25</v>
      </c>
      <c r="H17" s="1" t="s">
        <v>40</v>
      </c>
      <c r="I17" s="1"/>
      <c r="J17" s="1"/>
      <c r="K17" s="1"/>
      <c r="L17" s="1">
        <f t="shared" si="2"/>
        <v>0</v>
      </c>
      <c r="M17" s="1"/>
      <c r="N17" s="1"/>
      <c r="O17" s="8"/>
      <c r="P17" s="1"/>
      <c r="Q17" s="1">
        <f t="shared" si="3"/>
        <v>0</v>
      </c>
      <c r="R17" s="5"/>
      <c r="S17" s="5"/>
      <c r="T17" s="1"/>
      <c r="U17" s="1" t="e">
        <f t="shared" si="4"/>
        <v>#DIV/0!</v>
      </c>
      <c r="V17" s="1" t="e">
        <f t="shared" si="5"/>
        <v>#DIV/0!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24" t="s">
        <v>88</v>
      </c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51</v>
      </c>
      <c r="B18" s="1" t="s">
        <v>34</v>
      </c>
      <c r="C18" s="1">
        <v>36</v>
      </c>
      <c r="D18" s="1"/>
      <c r="E18" s="1">
        <v>41</v>
      </c>
      <c r="F18" s="1">
        <v>-5</v>
      </c>
      <c r="G18" s="15">
        <v>0.3</v>
      </c>
      <c r="H18" s="1" t="s">
        <v>40</v>
      </c>
      <c r="I18" s="1" t="s">
        <v>52</v>
      </c>
      <c r="J18" s="1"/>
      <c r="K18" s="1"/>
      <c r="L18" s="1">
        <f t="shared" si="2"/>
        <v>41</v>
      </c>
      <c r="M18" s="1"/>
      <c r="N18" s="1"/>
      <c r="O18" s="8">
        <v>100</v>
      </c>
      <c r="P18" s="1">
        <v>100</v>
      </c>
      <c r="Q18" s="1">
        <f t="shared" si="3"/>
        <v>8.1999999999999993</v>
      </c>
      <c r="R18" s="5"/>
      <c r="S18" s="5"/>
      <c r="T18" s="1"/>
      <c r="U18" s="1">
        <f t="shared" si="4"/>
        <v>11.585365853658537</v>
      </c>
      <c r="V18" s="1">
        <f t="shared" si="5"/>
        <v>11.585365853658537</v>
      </c>
      <c r="W18" s="1">
        <v>12.8</v>
      </c>
      <c r="X18" s="1">
        <v>0</v>
      </c>
      <c r="Y18" s="1">
        <v>7.4</v>
      </c>
      <c r="Z18" s="1">
        <v>2.6</v>
      </c>
      <c r="AA18" s="1">
        <v>0</v>
      </c>
      <c r="AB18" s="1">
        <v>0</v>
      </c>
      <c r="AC18" s="1">
        <v>0</v>
      </c>
      <c r="AD18" s="1">
        <v>0</v>
      </c>
      <c r="AE18" s="1" t="s">
        <v>53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hidden="1" x14ac:dyDescent="0.25">
      <c r="A19" s="18" t="s">
        <v>54</v>
      </c>
      <c r="B19" s="18" t="s">
        <v>34</v>
      </c>
      <c r="C19" s="18"/>
      <c r="D19" s="18"/>
      <c r="E19" s="18"/>
      <c r="F19" s="18"/>
      <c r="G19" s="19">
        <v>0</v>
      </c>
      <c r="H19" s="18" t="s">
        <v>40</v>
      </c>
      <c r="I19" s="18">
        <v>1010027987</v>
      </c>
      <c r="J19" s="18"/>
      <c r="K19" s="18"/>
      <c r="L19" s="18">
        <f t="shared" si="2"/>
        <v>0</v>
      </c>
      <c r="M19" s="18"/>
      <c r="N19" s="18"/>
      <c r="O19" s="20"/>
      <c r="P19" s="18"/>
      <c r="Q19" s="18">
        <f t="shared" si="3"/>
        <v>0</v>
      </c>
      <c r="R19" s="21"/>
      <c r="S19" s="21"/>
      <c r="T19" s="18"/>
      <c r="U19" s="18" t="e">
        <f t="shared" si="4"/>
        <v>#DIV/0!</v>
      </c>
      <c r="V19" s="18" t="e">
        <f t="shared" si="5"/>
        <v>#DIV/0!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 t="s">
        <v>55</v>
      </c>
      <c r="AF19" s="18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hidden="1" x14ac:dyDescent="0.25">
      <c r="A20" s="18" t="s">
        <v>56</v>
      </c>
      <c r="B20" s="18" t="s">
        <v>34</v>
      </c>
      <c r="C20" s="18"/>
      <c r="D20" s="18"/>
      <c r="E20" s="18"/>
      <c r="F20" s="18"/>
      <c r="G20" s="19">
        <v>0</v>
      </c>
      <c r="H20" s="18" t="s">
        <v>40</v>
      </c>
      <c r="I20" s="18">
        <v>1010003864</v>
      </c>
      <c r="J20" s="18"/>
      <c r="K20" s="18"/>
      <c r="L20" s="18">
        <f t="shared" si="2"/>
        <v>0</v>
      </c>
      <c r="M20" s="18"/>
      <c r="N20" s="18"/>
      <c r="O20" s="20"/>
      <c r="P20" s="18"/>
      <c r="Q20" s="18">
        <f t="shared" si="3"/>
        <v>0</v>
      </c>
      <c r="R20" s="21"/>
      <c r="S20" s="21"/>
      <c r="T20" s="18"/>
      <c r="U20" s="18" t="e">
        <f t="shared" si="4"/>
        <v>#DIV/0!</v>
      </c>
      <c r="V20" s="18" t="e">
        <f t="shared" si="5"/>
        <v>#DIV/0!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 t="s">
        <v>55</v>
      </c>
      <c r="AF20" s="18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34</v>
      </c>
      <c r="C21" s="1">
        <v>285</v>
      </c>
      <c r="D21" s="1"/>
      <c r="E21" s="1">
        <v>58</v>
      </c>
      <c r="F21" s="1">
        <v>227</v>
      </c>
      <c r="G21" s="15">
        <v>0.3</v>
      </c>
      <c r="H21" s="1" t="s">
        <v>40</v>
      </c>
      <c r="I21" s="1">
        <v>1010003817</v>
      </c>
      <c r="J21" s="1"/>
      <c r="K21" s="1"/>
      <c r="L21" s="1">
        <f t="shared" si="2"/>
        <v>58</v>
      </c>
      <c r="M21" s="1"/>
      <c r="N21" s="1"/>
      <c r="O21" s="8">
        <v>200</v>
      </c>
      <c r="P21" s="1">
        <v>200</v>
      </c>
      <c r="Q21" s="1">
        <f t="shared" si="3"/>
        <v>11.6</v>
      </c>
      <c r="R21" s="5"/>
      <c r="S21" s="5"/>
      <c r="T21" s="1"/>
      <c r="U21" s="1">
        <f t="shared" si="4"/>
        <v>36.810344827586206</v>
      </c>
      <c r="V21" s="1">
        <f t="shared" si="5"/>
        <v>36.810344827586206</v>
      </c>
      <c r="W21" s="1">
        <v>30.6</v>
      </c>
      <c r="X21" s="1">
        <v>22.4</v>
      </c>
      <c r="Y21" s="1">
        <v>13.8</v>
      </c>
      <c r="Z21" s="1">
        <v>28</v>
      </c>
      <c r="AA21" s="1">
        <v>16.399999999999999</v>
      </c>
      <c r="AB21" s="1">
        <v>25.8</v>
      </c>
      <c r="AC21" s="1">
        <v>27.8</v>
      </c>
      <c r="AD21" s="1">
        <v>40.6</v>
      </c>
      <c r="AE21" s="25" t="s">
        <v>36</v>
      </c>
      <c r="AF21" s="1">
        <f>G21*R21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34</v>
      </c>
      <c r="C22" s="1">
        <v>209</v>
      </c>
      <c r="D22" s="1"/>
      <c r="E22" s="1">
        <v>41</v>
      </c>
      <c r="F22" s="1">
        <v>168</v>
      </c>
      <c r="G22" s="15">
        <v>0.3</v>
      </c>
      <c r="H22" s="1" t="s">
        <v>59</v>
      </c>
      <c r="I22" s="1">
        <v>1010003874</v>
      </c>
      <c r="J22" s="1"/>
      <c r="K22" s="1"/>
      <c r="L22" s="1">
        <f t="shared" si="2"/>
        <v>41</v>
      </c>
      <c r="M22" s="1"/>
      <c r="N22" s="1"/>
      <c r="O22" s="8">
        <v>200</v>
      </c>
      <c r="P22" s="1">
        <v>200</v>
      </c>
      <c r="Q22" s="1">
        <f t="shared" si="3"/>
        <v>8.1999999999999993</v>
      </c>
      <c r="R22" s="5"/>
      <c r="S22" s="5"/>
      <c r="T22" s="1"/>
      <c r="U22" s="1">
        <f t="shared" si="4"/>
        <v>44.878048780487809</v>
      </c>
      <c r="V22" s="1">
        <f t="shared" si="5"/>
        <v>44.878048780487809</v>
      </c>
      <c r="W22" s="1">
        <v>30</v>
      </c>
      <c r="X22" s="1">
        <v>12</v>
      </c>
      <c r="Y22" s="1">
        <v>15.8</v>
      </c>
      <c r="Z22" s="1">
        <v>26.2</v>
      </c>
      <c r="AA22" s="1">
        <v>14</v>
      </c>
      <c r="AB22" s="1">
        <v>20.8</v>
      </c>
      <c r="AC22" s="1">
        <v>23</v>
      </c>
      <c r="AD22" s="1">
        <v>41.2</v>
      </c>
      <c r="AE22" s="25" t="s">
        <v>36</v>
      </c>
      <c r="AF22" s="1">
        <f>G22*R22</f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hidden="1" x14ac:dyDescent="0.25">
      <c r="A23" s="12" t="s">
        <v>60</v>
      </c>
      <c r="B23" s="12" t="s">
        <v>34</v>
      </c>
      <c r="C23" s="12">
        <v>4</v>
      </c>
      <c r="D23" s="12"/>
      <c r="E23" s="12">
        <v>-5</v>
      </c>
      <c r="F23" s="12">
        <v>4</v>
      </c>
      <c r="G23" s="17">
        <v>0</v>
      </c>
      <c r="H23" s="12" t="s">
        <v>35</v>
      </c>
      <c r="I23" s="12" t="s">
        <v>61</v>
      </c>
      <c r="J23" s="12"/>
      <c r="K23" s="12"/>
      <c r="L23" s="12">
        <f t="shared" si="2"/>
        <v>-5</v>
      </c>
      <c r="M23" s="12"/>
      <c r="N23" s="12"/>
      <c r="O23" s="13"/>
      <c r="P23" s="12"/>
      <c r="Q23" s="12">
        <f t="shared" si="3"/>
        <v>-1</v>
      </c>
      <c r="R23" s="14"/>
      <c r="S23" s="14"/>
      <c r="T23" s="12"/>
      <c r="U23" s="12">
        <f t="shared" si="4"/>
        <v>-4</v>
      </c>
      <c r="V23" s="12">
        <f t="shared" si="5"/>
        <v>-4</v>
      </c>
      <c r="W23" s="12">
        <v>-3</v>
      </c>
      <c r="X23" s="12">
        <v>0</v>
      </c>
      <c r="Y23" s="12">
        <v>0</v>
      </c>
      <c r="Z23" s="12">
        <v>-0.4</v>
      </c>
      <c r="AA23" s="12">
        <v>0.2</v>
      </c>
      <c r="AB23" s="12">
        <v>7.2</v>
      </c>
      <c r="AC23" s="12">
        <v>7.4</v>
      </c>
      <c r="AD23" s="12">
        <v>7.4</v>
      </c>
      <c r="AE23" s="12" t="s">
        <v>62</v>
      </c>
      <c r="AF23" s="12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63</v>
      </c>
      <c r="B24" s="1" t="s">
        <v>34</v>
      </c>
      <c r="C24" s="1">
        <v>149</v>
      </c>
      <c r="D24" s="1"/>
      <c r="E24" s="1">
        <v>58</v>
      </c>
      <c r="F24" s="1">
        <v>91</v>
      </c>
      <c r="G24" s="15">
        <v>0.4</v>
      </c>
      <c r="H24" s="1">
        <v>730</v>
      </c>
      <c r="I24" s="1">
        <v>1010021023</v>
      </c>
      <c r="J24" s="1"/>
      <c r="K24" s="1"/>
      <c r="L24" s="1">
        <f t="shared" si="2"/>
        <v>58</v>
      </c>
      <c r="M24" s="1"/>
      <c r="N24" s="1"/>
      <c r="O24" s="8">
        <v>100</v>
      </c>
      <c r="P24" s="1">
        <v>150</v>
      </c>
      <c r="Q24" s="1">
        <f t="shared" si="3"/>
        <v>11.6</v>
      </c>
      <c r="R24" s="5"/>
      <c r="S24" s="5"/>
      <c r="T24" s="1"/>
      <c r="U24" s="1">
        <f t="shared" si="4"/>
        <v>20.77586206896552</v>
      </c>
      <c r="V24" s="1">
        <f t="shared" si="5"/>
        <v>20.77586206896552</v>
      </c>
      <c r="W24" s="1">
        <v>13</v>
      </c>
      <c r="X24" s="1">
        <v>7.4</v>
      </c>
      <c r="Y24" s="1">
        <v>7</v>
      </c>
      <c r="Z24" s="1">
        <v>9.6</v>
      </c>
      <c r="AA24" s="1">
        <v>2.8</v>
      </c>
      <c r="AB24" s="1">
        <v>10.4</v>
      </c>
      <c r="AC24" s="1">
        <v>14.2</v>
      </c>
      <c r="AD24" s="1">
        <v>5</v>
      </c>
      <c r="AE24" s="23" t="s">
        <v>41</v>
      </c>
      <c r="AF24" s="1">
        <f t="shared" ref="AF24:AF34" si="7">G24*R24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34</v>
      </c>
      <c r="C25" s="1">
        <v>157</v>
      </c>
      <c r="D25" s="1"/>
      <c r="E25" s="1">
        <v>72</v>
      </c>
      <c r="F25" s="1">
        <v>85</v>
      </c>
      <c r="G25" s="15">
        <v>0.7</v>
      </c>
      <c r="H25" s="1">
        <v>730</v>
      </c>
      <c r="I25" s="1">
        <v>10010027943</v>
      </c>
      <c r="J25" s="1"/>
      <c r="K25" s="1"/>
      <c r="L25" s="1">
        <f t="shared" si="2"/>
        <v>72</v>
      </c>
      <c r="M25" s="1"/>
      <c r="N25" s="1"/>
      <c r="O25" s="8">
        <v>100</v>
      </c>
      <c r="P25" s="1">
        <v>200</v>
      </c>
      <c r="Q25" s="1">
        <f t="shared" si="3"/>
        <v>14.4</v>
      </c>
      <c r="R25" s="5"/>
      <c r="S25" s="5"/>
      <c r="T25" s="1"/>
      <c r="U25" s="1">
        <f t="shared" si="4"/>
        <v>19.791666666666668</v>
      </c>
      <c r="V25" s="1">
        <f t="shared" si="5"/>
        <v>19.791666666666668</v>
      </c>
      <c r="W25" s="1">
        <v>12.4</v>
      </c>
      <c r="X25" s="1">
        <v>8.1999999999999993</v>
      </c>
      <c r="Y25" s="1">
        <v>3.6</v>
      </c>
      <c r="Z25" s="1">
        <v>13.2</v>
      </c>
      <c r="AA25" s="1">
        <v>4.2</v>
      </c>
      <c r="AB25" s="1">
        <v>9</v>
      </c>
      <c r="AC25" s="1">
        <v>4.2</v>
      </c>
      <c r="AD25" s="1">
        <v>4</v>
      </c>
      <c r="AE25" s="23" t="s">
        <v>41</v>
      </c>
      <c r="AF25" s="1">
        <f t="shared" si="7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65</v>
      </c>
      <c r="B26" s="1" t="s">
        <v>34</v>
      </c>
      <c r="C26" s="1">
        <v>28</v>
      </c>
      <c r="D26" s="1"/>
      <c r="E26" s="1">
        <v>5</v>
      </c>
      <c r="F26" s="1">
        <v>23</v>
      </c>
      <c r="G26" s="15">
        <v>0.4</v>
      </c>
      <c r="H26" s="1">
        <v>730</v>
      </c>
      <c r="I26" s="1">
        <v>1010011268</v>
      </c>
      <c r="J26" s="1"/>
      <c r="K26" s="1"/>
      <c r="L26" s="1">
        <f t="shared" si="2"/>
        <v>5</v>
      </c>
      <c r="M26" s="1"/>
      <c r="N26" s="1"/>
      <c r="O26" s="8">
        <v>30</v>
      </c>
      <c r="P26" s="1">
        <v>40</v>
      </c>
      <c r="Q26" s="1">
        <f t="shared" si="3"/>
        <v>1</v>
      </c>
      <c r="R26" s="5"/>
      <c r="S26" s="5"/>
      <c r="T26" s="1"/>
      <c r="U26" s="1">
        <f t="shared" si="4"/>
        <v>63</v>
      </c>
      <c r="V26" s="1">
        <f t="shared" si="5"/>
        <v>63</v>
      </c>
      <c r="W26" s="1">
        <v>0.8</v>
      </c>
      <c r="X26" s="1">
        <v>1</v>
      </c>
      <c r="Y26" s="1">
        <v>0.8</v>
      </c>
      <c r="Z26" s="1">
        <v>1.4</v>
      </c>
      <c r="AA26" s="1">
        <v>0.2</v>
      </c>
      <c r="AB26" s="1">
        <v>3.2</v>
      </c>
      <c r="AC26" s="1">
        <v>0</v>
      </c>
      <c r="AD26" s="1">
        <v>0.8</v>
      </c>
      <c r="AE26" s="25" t="s">
        <v>36</v>
      </c>
      <c r="AF26" s="1">
        <f t="shared" si="7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66</v>
      </c>
      <c r="B27" s="1" t="s">
        <v>34</v>
      </c>
      <c r="C27" s="1">
        <v>49</v>
      </c>
      <c r="D27" s="1"/>
      <c r="E27" s="1">
        <v>13</v>
      </c>
      <c r="F27" s="1">
        <v>36</v>
      </c>
      <c r="G27" s="15">
        <v>0.2</v>
      </c>
      <c r="H27" s="1">
        <v>730</v>
      </c>
      <c r="I27" s="1" t="s">
        <v>52</v>
      </c>
      <c r="J27" s="1"/>
      <c r="K27" s="1"/>
      <c r="L27" s="1">
        <f t="shared" si="2"/>
        <v>13</v>
      </c>
      <c r="M27" s="1"/>
      <c r="N27" s="1"/>
      <c r="O27" s="8"/>
      <c r="P27" s="1">
        <v>40</v>
      </c>
      <c r="Q27" s="1">
        <f t="shared" si="3"/>
        <v>2.6</v>
      </c>
      <c r="R27" s="5"/>
      <c r="S27" s="5"/>
      <c r="T27" s="1"/>
      <c r="U27" s="1">
        <f t="shared" si="4"/>
        <v>29.23076923076923</v>
      </c>
      <c r="V27" s="1">
        <f t="shared" si="5"/>
        <v>29.23076923076923</v>
      </c>
      <c r="W27" s="1">
        <v>1</v>
      </c>
      <c r="X27" s="1">
        <v>0</v>
      </c>
      <c r="Y27" s="1">
        <v>0.6</v>
      </c>
      <c r="Z27" s="1">
        <v>0.4</v>
      </c>
      <c r="AA27" s="1">
        <v>1.2</v>
      </c>
      <c r="AB27" s="1">
        <v>2.4</v>
      </c>
      <c r="AC27" s="1">
        <v>0</v>
      </c>
      <c r="AD27" s="1">
        <v>0.6</v>
      </c>
      <c r="AE27" s="24" t="s">
        <v>89</v>
      </c>
      <c r="AF27" s="1">
        <f t="shared" si="7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34</v>
      </c>
      <c r="C28" s="1">
        <v>60</v>
      </c>
      <c r="D28" s="1"/>
      <c r="E28" s="1">
        <v>13</v>
      </c>
      <c r="F28" s="1">
        <v>47</v>
      </c>
      <c r="G28" s="15">
        <v>0.32</v>
      </c>
      <c r="H28" s="1">
        <v>730</v>
      </c>
      <c r="I28" s="1">
        <v>1010021343</v>
      </c>
      <c r="J28" s="1"/>
      <c r="K28" s="1"/>
      <c r="L28" s="1">
        <f t="shared" si="2"/>
        <v>13</v>
      </c>
      <c r="M28" s="1"/>
      <c r="N28" s="1"/>
      <c r="O28" s="8"/>
      <c r="P28" s="1">
        <v>50</v>
      </c>
      <c r="Q28" s="1">
        <f t="shared" si="3"/>
        <v>2.6</v>
      </c>
      <c r="R28" s="5"/>
      <c r="S28" s="5"/>
      <c r="T28" s="1"/>
      <c r="U28" s="1">
        <f t="shared" si="4"/>
        <v>37.307692307692307</v>
      </c>
      <c r="V28" s="1">
        <f t="shared" si="5"/>
        <v>37.307692307692307</v>
      </c>
      <c r="W28" s="1">
        <v>2</v>
      </c>
      <c r="X28" s="1">
        <v>0</v>
      </c>
      <c r="Y28" s="1">
        <v>6.4</v>
      </c>
      <c r="Z28" s="1">
        <v>0.4</v>
      </c>
      <c r="AA28" s="1">
        <v>1.2</v>
      </c>
      <c r="AB28" s="1">
        <v>0</v>
      </c>
      <c r="AC28" s="1">
        <v>0</v>
      </c>
      <c r="AD28" s="1">
        <v>0</v>
      </c>
      <c r="AE28" s="25" t="s">
        <v>36</v>
      </c>
      <c r="AF28" s="1">
        <f t="shared" si="7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68</v>
      </c>
      <c r="B29" s="1" t="s">
        <v>34</v>
      </c>
      <c r="C29" s="1">
        <v>20</v>
      </c>
      <c r="D29" s="1"/>
      <c r="E29" s="1">
        <v>14</v>
      </c>
      <c r="F29" s="1">
        <v>6</v>
      </c>
      <c r="G29" s="15">
        <v>0.2</v>
      </c>
      <c r="H29" s="1">
        <v>730</v>
      </c>
      <c r="I29" s="1" t="s">
        <v>52</v>
      </c>
      <c r="J29" s="1"/>
      <c r="K29" s="1"/>
      <c r="L29" s="1">
        <f t="shared" si="2"/>
        <v>14</v>
      </c>
      <c r="M29" s="1"/>
      <c r="N29" s="1"/>
      <c r="O29" s="8">
        <v>20</v>
      </c>
      <c r="P29" s="1">
        <v>40</v>
      </c>
      <c r="Q29" s="1">
        <f t="shared" si="3"/>
        <v>2.8</v>
      </c>
      <c r="R29" s="5"/>
      <c r="S29" s="5"/>
      <c r="T29" s="1"/>
      <c r="U29" s="1">
        <f t="shared" si="4"/>
        <v>16.428571428571431</v>
      </c>
      <c r="V29" s="1">
        <f t="shared" si="5"/>
        <v>16.428571428571431</v>
      </c>
      <c r="W29" s="1">
        <v>2.2000000000000002</v>
      </c>
      <c r="X29" s="1">
        <v>0</v>
      </c>
      <c r="Y29" s="1">
        <v>0.6</v>
      </c>
      <c r="Z29" s="1">
        <v>0</v>
      </c>
      <c r="AA29" s="1">
        <v>0</v>
      </c>
      <c r="AB29" s="1">
        <v>1.8</v>
      </c>
      <c r="AC29" s="1">
        <v>0.4</v>
      </c>
      <c r="AD29" s="1">
        <v>0.6</v>
      </c>
      <c r="AE29" s="1" t="s">
        <v>69</v>
      </c>
      <c r="AF29" s="1">
        <f t="shared" si="7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70</v>
      </c>
      <c r="B30" s="1" t="s">
        <v>34</v>
      </c>
      <c r="C30" s="1">
        <v>30</v>
      </c>
      <c r="D30" s="1"/>
      <c r="E30" s="1">
        <v>19</v>
      </c>
      <c r="F30" s="1">
        <v>11</v>
      </c>
      <c r="G30" s="15">
        <v>0.32</v>
      </c>
      <c r="H30" s="1">
        <v>730</v>
      </c>
      <c r="I30" s="1">
        <v>1010021314</v>
      </c>
      <c r="J30" s="1"/>
      <c r="K30" s="1"/>
      <c r="L30" s="1">
        <f t="shared" si="2"/>
        <v>19</v>
      </c>
      <c r="M30" s="1"/>
      <c r="N30" s="1"/>
      <c r="O30" s="8"/>
      <c r="P30" s="1">
        <v>40</v>
      </c>
      <c r="Q30" s="1">
        <f t="shared" si="3"/>
        <v>3.8</v>
      </c>
      <c r="R30" s="5"/>
      <c r="S30" s="5"/>
      <c r="T30" s="1"/>
      <c r="U30" s="1">
        <f t="shared" si="4"/>
        <v>13.421052631578949</v>
      </c>
      <c r="V30" s="1">
        <f t="shared" si="5"/>
        <v>13.421052631578949</v>
      </c>
      <c r="W30" s="1">
        <v>0</v>
      </c>
      <c r="X30" s="1">
        <v>0</v>
      </c>
      <c r="Y30" s="1">
        <v>8.1999999999999993</v>
      </c>
      <c r="Z30" s="1">
        <v>0.4</v>
      </c>
      <c r="AA30" s="1">
        <v>0.6</v>
      </c>
      <c r="AB30" s="1">
        <v>0.6</v>
      </c>
      <c r="AC30" s="1">
        <v>0</v>
      </c>
      <c r="AD30" s="1">
        <v>0</v>
      </c>
      <c r="AE30" s="1"/>
      <c r="AF30" s="1">
        <f t="shared" si="7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34</v>
      </c>
      <c r="C31" s="1">
        <v>49</v>
      </c>
      <c r="D31" s="1"/>
      <c r="E31" s="1">
        <v>26</v>
      </c>
      <c r="F31" s="1">
        <v>23</v>
      </c>
      <c r="G31" s="15">
        <v>1</v>
      </c>
      <c r="H31" s="1" t="s">
        <v>40</v>
      </c>
      <c r="I31" s="1">
        <v>1010020292</v>
      </c>
      <c r="J31" s="1"/>
      <c r="K31" s="1"/>
      <c r="L31" s="1">
        <f t="shared" si="2"/>
        <v>26</v>
      </c>
      <c r="M31" s="1"/>
      <c r="N31" s="1"/>
      <c r="O31" s="8">
        <v>40</v>
      </c>
      <c r="P31" s="1">
        <v>70</v>
      </c>
      <c r="Q31" s="1">
        <f t="shared" si="3"/>
        <v>5.2</v>
      </c>
      <c r="R31" s="5"/>
      <c r="S31" s="5"/>
      <c r="T31" s="1"/>
      <c r="U31" s="1">
        <f t="shared" si="4"/>
        <v>17.884615384615383</v>
      </c>
      <c r="V31" s="1">
        <f t="shared" si="5"/>
        <v>17.884615384615383</v>
      </c>
      <c r="W31" s="1">
        <v>7</v>
      </c>
      <c r="X31" s="1">
        <v>0</v>
      </c>
      <c r="Y31" s="1">
        <v>8.4</v>
      </c>
      <c r="Z31" s="1">
        <v>1.4</v>
      </c>
      <c r="AA31" s="1">
        <v>4.5999999999999996</v>
      </c>
      <c r="AB31" s="1">
        <v>5.2</v>
      </c>
      <c r="AC31" s="1">
        <v>0.4</v>
      </c>
      <c r="AD31" s="1">
        <v>1.7796000000000001</v>
      </c>
      <c r="AE31" s="24" t="s">
        <v>41</v>
      </c>
      <c r="AF31" s="1">
        <f t="shared" si="7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72</v>
      </c>
      <c r="B32" s="1" t="s">
        <v>34</v>
      </c>
      <c r="C32" s="1">
        <v>73</v>
      </c>
      <c r="D32" s="1"/>
      <c r="E32" s="1">
        <v>14</v>
      </c>
      <c r="F32" s="1">
        <v>59</v>
      </c>
      <c r="G32" s="15">
        <v>0.28000000000000003</v>
      </c>
      <c r="H32" s="1" t="s">
        <v>40</v>
      </c>
      <c r="I32" s="1">
        <v>1010025555</v>
      </c>
      <c r="J32" s="1"/>
      <c r="K32" s="1"/>
      <c r="L32" s="1">
        <f t="shared" si="2"/>
        <v>14</v>
      </c>
      <c r="M32" s="1"/>
      <c r="N32" s="1"/>
      <c r="O32" s="8"/>
      <c r="P32" s="1">
        <v>40</v>
      </c>
      <c r="Q32" s="1">
        <f t="shared" si="3"/>
        <v>2.8</v>
      </c>
      <c r="R32" s="5"/>
      <c r="S32" s="5"/>
      <c r="T32" s="1"/>
      <c r="U32" s="1">
        <f t="shared" si="4"/>
        <v>35.357142857142861</v>
      </c>
      <c r="V32" s="1">
        <f t="shared" si="5"/>
        <v>35.357142857142861</v>
      </c>
      <c r="W32" s="1">
        <v>3.4</v>
      </c>
      <c r="X32" s="1">
        <v>4.2</v>
      </c>
      <c r="Y32" s="1">
        <v>1.8</v>
      </c>
      <c r="Z32" s="1">
        <v>4.2</v>
      </c>
      <c r="AA32" s="1">
        <v>1.2</v>
      </c>
      <c r="AB32" s="1">
        <v>4</v>
      </c>
      <c r="AC32" s="1">
        <v>2.4</v>
      </c>
      <c r="AD32" s="1">
        <v>6</v>
      </c>
      <c r="AE32" s="25" t="s">
        <v>36</v>
      </c>
      <c r="AF32" s="1">
        <f t="shared" si="7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34</v>
      </c>
      <c r="C33" s="1">
        <v>80</v>
      </c>
      <c r="D33" s="1"/>
      <c r="E33" s="1">
        <v>20</v>
      </c>
      <c r="F33" s="1">
        <v>60</v>
      </c>
      <c r="G33" s="15">
        <v>0.28000000000000003</v>
      </c>
      <c r="H33" s="1">
        <v>365</v>
      </c>
      <c r="I33" s="1">
        <v>1010026655</v>
      </c>
      <c r="J33" s="1"/>
      <c r="K33" s="1"/>
      <c r="L33" s="1">
        <f t="shared" si="2"/>
        <v>20</v>
      </c>
      <c r="M33" s="1"/>
      <c r="N33" s="1"/>
      <c r="O33" s="8"/>
      <c r="P33" s="1">
        <v>60</v>
      </c>
      <c r="Q33" s="1">
        <f t="shared" si="3"/>
        <v>4</v>
      </c>
      <c r="R33" s="5"/>
      <c r="S33" s="5"/>
      <c r="T33" s="1"/>
      <c r="U33" s="1">
        <f t="shared" si="4"/>
        <v>30</v>
      </c>
      <c r="V33" s="1">
        <f t="shared" si="5"/>
        <v>30</v>
      </c>
      <c r="W33" s="1">
        <v>2.6</v>
      </c>
      <c r="X33" s="1">
        <v>2.6</v>
      </c>
      <c r="Y33" s="1">
        <v>1.8</v>
      </c>
      <c r="Z33" s="1">
        <v>4</v>
      </c>
      <c r="AA33" s="1">
        <v>3.4</v>
      </c>
      <c r="AB33" s="1">
        <v>4.8</v>
      </c>
      <c r="AC33" s="1">
        <v>1</v>
      </c>
      <c r="AD33" s="1">
        <v>7</v>
      </c>
      <c r="AE33" s="25" t="s">
        <v>36</v>
      </c>
      <c r="AF33" s="1">
        <f t="shared" si="7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74</v>
      </c>
      <c r="B34" s="1" t="s">
        <v>34</v>
      </c>
      <c r="C34" s="1">
        <v>51</v>
      </c>
      <c r="D34" s="1"/>
      <c r="E34" s="1">
        <v>20</v>
      </c>
      <c r="F34" s="1">
        <v>31</v>
      </c>
      <c r="G34" s="15">
        <v>0.28000000000000003</v>
      </c>
      <c r="H34" s="1">
        <v>365</v>
      </c>
      <c r="I34" s="1">
        <v>1010028228</v>
      </c>
      <c r="J34" s="1"/>
      <c r="K34" s="1"/>
      <c r="L34" s="1">
        <f t="shared" si="2"/>
        <v>20</v>
      </c>
      <c r="M34" s="1"/>
      <c r="N34" s="1"/>
      <c r="O34" s="8"/>
      <c r="P34" s="1">
        <v>60</v>
      </c>
      <c r="Q34" s="1">
        <f t="shared" si="3"/>
        <v>4</v>
      </c>
      <c r="R34" s="5"/>
      <c r="S34" s="5"/>
      <c r="T34" s="1"/>
      <c r="U34" s="1">
        <f t="shared" si="4"/>
        <v>22.75</v>
      </c>
      <c r="V34" s="1">
        <f t="shared" si="5"/>
        <v>22.75</v>
      </c>
      <c r="W34" s="1">
        <v>3.4</v>
      </c>
      <c r="X34" s="1">
        <v>2.6</v>
      </c>
      <c r="Y34" s="1">
        <v>1.8</v>
      </c>
      <c r="Z34" s="1">
        <v>2.4</v>
      </c>
      <c r="AA34" s="1">
        <v>0.8</v>
      </c>
      <c r="AB34" s="1">
        <v>4.4000000000000004</v>
      </c>
      <c r="AC34" s="1">
        <v>3.2</v>
      </c>
      <c r="AD34" s="1">
        <v>3</v>
      </c>
      <c r="AE34" s="24" t="s">
        <v>87</v>
      </c>
      <c r="AF34" s="1">
        <f t="shared" si="7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idden="1" x14ac:dyDescent="0.25">
      <c r="A35" s="18" t="s">
        <v>75</v>
      </c>
      <c r="B35" s="18" t="s">
        <v>34</v>
      </c>
      <c r="C35" s="18"/>
      <c r="D35" s="18"/>
      <c r="E35" s="18"/>
      <c r="F35" s="18"/>
      <c r="G35" s="19">
        <v>0</v>
      </c>
      <c r="H35" s="18">
        <v>730</v>
      </c>
      <c r="I35" s="18">
        <v>10010024503</v>
      </c>
      <c r="J35" s="18"/>
      <c r="K35" s="18"/>
      <c r="L35" s="18">
        <f t="shared" si="2"/>
        <v>0</v>
      </c>
      <c r="M35" s="18"/>
      <c r="N35" s="18"/>
      <c r="O35" s="20"/>
      <c r="P35" s="18"/>
      <c r="Q35" s="18">
        <f t="shared" si="3"/>
        <v>0</v>
      </c>
      <c r="R35" s="21"/>
      <c r="S35" s="21"/>
      <c r="T35" s="18"/>
      <c r="U35" s="18" t="e">
        <f t="shared" si="4"/>
        <v>#DIV/0!</v>
      </c>
      <c r="V35" s="18" t="e">
        <f t="shared" si="5"/>
        <v>#DIV/0!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 t="s">
        <v>55</v>
      </c>
      <c r="AF35" s="18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22" t="s">
        <v>76</v>
      </c>
      <c r="B36" s="1" t="s">
        <v>34</v>
      </c>
      <c r="C36" s="1"/>
      <c r="D36" s="1"/>
      <c r="E36" s="1"/>
      <c r="F36" s="1"/>
      <c r="G36" s="15">
        <v>0.4</v>
      </c>
      <c r="H36" s="1">
        <v>730</v>
      </c>
      <c r="I36" s="1">
        <v>1010028186</v>
      </c>
      <c r="J36" s="1"/>
      <c r="K36" s="1"/>
      <c r="L36" s="1">
        <f t="shared" si="2"/>
        <v>0</v>
      </c>
      <c r="M36" s="1"/>
      <c r="N36" s="1"/>
      <c r="O36" s="8"/>
      <c r="P36" s="1">
        <v>40</v>
      </c>
      <c r="Q36" s="1">
        <f t="shared" si="3"/>
        <v>0</v>
      </c>
      <c r="R36" s="5"/>
      <c r="S36" s="5"/>
      <c r="T36" s="1"/>
      <c r="U36" s="1" t="e">
        <f t="shared" si="4"/>
        <v>#DIV/0!</v>
      </c>
      <c r="V36" s="1" t="e">
        <f t="shared" si="5"/>
        <v>#DIV/0!</v>
      </c>
      <c r="W36" s="1">
        <v>2.6</v>
      </c>
      <c r="X36" s="1">
        <v>1.4</v>
      </c>
      <c r="Y36" s="1">
        <v>2</v>
      </c>
      <c r="Z36" s="1">
        <v>0.4</v>
      </c>
      <c r="AA36" s="1">
        <v>0</v>
      </c>
      <c r="AB36" s="1">
        <v>3</v>
      </c>
      <c r="AC36" s="1">
        <v>2</v>
      </c>
      <c r="AD36" s="1">
        <v>0</v>
      </c>
      <c r="AE36" s="1" t="s">
        <v>77</v>
      </c>
      <c r="AF36" s="1">
        <f>G36*R36</f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78</v>
      </c>
      <c r="B37" s="1" t="s">
        <v>34</v>
      </c>
      <c r="C37" s="1">
        <v>513</v>
      </c>
      <c r="D37" s="1"/>
      <c r="E37" s="1">
        <v>138</v>
      </c>
      <c r="F37" s="1">
        <v>375</v>
      </c>
      <c r="G37" s="15">
        <v>0.75</v>
      </c>
      <c r="H37" s="1" t="s">
        <v>35</v>
      </c>
      <c r="I37" s="1" t="s">
        <v>79</v>
      </c>
      <c r="J37" s="1"/>
      <c r="K37" s="1"/>
      <c r="L37" s="1">
        <f t="shared" si="2"/>
        <v>138</v>
      </c>
      <c r="M37" s="1"/>
      <c r="N37" s="1"/>
      <c r="O37" s="8"/>
      <c r="P37" s="1">
        <v>1000</v>
      </c>
      <c r="Q37" s="1">
        <f t="shared" si="3"/>
        <v>27.6</v>
      </c>
      <c r="R37" s="5"/>
      <c r="S37" s="5"/>
      <c r="T37" s="1"/>
      <c r="U37" s="1">
        <f t="shared" si="4"/>
        <v>49.818840579710141</v>
      </c>
      <c r="V37" s="1">
        <f t="shared" si="5"/>
        <v>49.818840579710141</v>
      </c>
      <c r="W37" s="1">
        <v>53.6</v>
      </c>
      <c r="X37" s="1">
        <v>8</v>
      </c>
      <c r="Y37" s="1">
        <v>100</v>
      </c>
      <c r="Z37" s="1">
        <v>0</v>
      </c>
      <c r="AA37" s="1">
        <v>0</v>
      </c>
      <c r="AB37" s="1">
        <v>0</v>
      </c>
      <c r="AC37" s="1">
        <v>21</v>
      </c>
      <c r="AD37" s="1">
        <v>0</v>
      </c>
      <c r="AE37" s="24" t="s">
        <v>90</v>
      </c>
      <c r="AF37" s="1">
        <f>G37*R37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idden="1" x14ac:dyDescent="0.25">
      <c r="A38" s="12" t="s">
        <v>80</v>
      </c>
      <c r="B38" s="12" t="s">
        <v>34</v>
      </c>
      <c r="C38" s="12"/>
      <c r="D38" s="12"/>
      <c r="E38" s="12"/>
      <c r="F38" s="12"/>
      <c r="G38" s="17">
        <v>0</v>
      </c>
      <c r="H38" s="12">
        <v>730</v>
      </c>
      <c r="I38" s="12" t="s">
        <v>38</v>
      </c>
      <c r="J38" s="12"/>
      <c r="K38" s="12"/>
      <c r="L38" s="12">
        <f t="shared" si="2"/>
        <v>0</v>
      </c>
      <c r="M38" s="12"/>
      <c r="N38" s="12"/>
      <c r="O38" s="13"/>
      <c r="P38" s="12"/>
      <c r="Q38" s="12">
        <f t="shared" si="3"/>
        <v>0</v>
      </c>
      <c r="R38" s="14"/>
      <c r="S38" s="14"/>
      <c r="T38" s="12"/>
      <c r="U38" s="12" t="e">
        <f t="shared" si="4"/>
        <v>#DIV/0!</v>
      </c>
      <c r="V38" s="12" t="e">
        <f t="shared" si="5"/>
        <v>#DIV/0!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10.8</v>
      </c>
      <c r="AD38" s="12">
        <v>11.6</v>
      </c>
      <c r="AE38" s="12"/>
      <c r="AF38" s="12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idden="1" x14ac:dyDescent="0.25">
      <c r="A39" s="12" t="s">
        <v>81</v>
      </c>
      <c r="B39" s="12" t="s">
        <v>34</v>
      </c>
      <c r="C39" s="12">
        <v>104</v>
      </c>
      <c r="D39" s="12"/>
      <c r="E39" s="12">
        <v>-7</v>
      </c>
      <c r="F39" s="12">
        <v>104</v>
      </c>
      <c r="G39" s="17">
        <v>0</v>
      </c>
      <c r="H39" s="12">
        <v>730</v>
      </c>
      <c r="I39" s="12" t="s">
        <v>38</v>
      </c>
      <c r="J39" s="12"/>
      <c r="K39" s="12"/>
      <c r="L39" s="12">
        <f t="shared" si="2"/>
        <v>-7</v>
      </c>
      <c r="M39" s="12"/>
      <c r="N39" s="12"/>
      <c r="O39" s="13"/>
      <c r="P39" s="12"/>
      <c r="Q39" s="12">
        <f t="shared" si="3"/>
        <v>-1.4</v>
      </c>
      <c r="R39" s="14"/>
      <c r="S39" s="14"/>
      <c r="T39" s="12"/>
      <c r="U39" s="12">
        <f t="shared" si="4"/>
        <v>-74.285714285714292</v>
      </c>
      <c r="V39" s="12">
        <f t="shared" si="5"/>
        <v>-74.285714285714292</v>
      </c>
      <c r="W39" s="12">
        <v>-0.8</v>
      </c>
      <c r="X39" s="12">
        <v>0</v>
      </c>
      <c r="Y39" s="12">
        <v>0</v>
      </c>
      <c r="Z39" s="12">
        <v>-0.2</v>
      </c>
      <c r="AA39" s="12">
        <v>0</v>
      </c>
      <c r="AB39" s="12">
        <v>1</v>
      </c>
      <c r="AC39" s="12">
        <v>0</v>
      </c>
      <c r="AD39" s="12">
        <v>0</v>
      </c>
      <c r="AE39" s="12" t="s">
        <v>36</v>
      </c>
      <c r="AF39" s="12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82</v>
      </c>
      <c r="B40" s="1" t="s">
        <v>34</v>
      </c>
      <c r="C40" s="1">
        <v>31</v>
      </c>
      <c r="D40" s="1"/>
      <c r="E40" s="1">
        <v>21</v>
      </c>
      <c r="F40" s="1">
        <v>10</v>
      </c>
      <c r="G40" s="15">
        <v>0.3</v>
      </c>
      <c r="H40" s="1" t="s">
        <v>40</v>
      </c>
      <c r="I40" s="1">
        <v>1010017917</v>
      </c>
      <c r="J40" s="1"/>
      <c r="K40" s="1"/>
      <c r="L40" s="1">
        <f t="shared" si="2"/>
        <v>21</v>
      </c>
      <c r="M40" s="1"/>
      <c r="N40" s="1"/>
      <c r="O40" s="8">
        <v>40</v>
      </c>
      <c r="P40" s="1">
        <v>50</v>
      </c>
      <c r="Q40" s="1">
        <f t="shared" si="3"/>
        <v>4.2</v>
      </c>
      <c r="R40" s="5"/>
      <c r="S40" s="5"/>
      <c r="T40" s="1"/>
      <c r="U40" s="1">
        <f t="shared" si="4"/>
        <v>14.285714285714285</v>
      </c>
      <c r="V40" s="1">
        <f t="shared" si="5"/>
        <v>14.285714285714285</v>
      </c>
      <c r="W40" s="1">
        <v>2</v>
      </c>
      <c r="X40" s="1">
        <v>1.6</v>
      </c>
      <c r="Y40" s="1">
        <v>0.6</v>
      </c>
      <c r="Z40" s="1">
        <v>2.8</v>
      </c>
      <c r="AA40" s="1">
        <v>0.4</v>
      </c>
      <c r="AB40" s="1">
        <v>5</v>
      </c>
      <c r="AC40" s="1">
        <v>-0.2</v>
      </c>
      <c r="AD40" s="1">
        <v>0.4</v>
      </c>
      <c r="AE40" s="1"/>
      <c r="AF40" s="1">
        <f>G40*R40</f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83</v>
      </c>
      <c r="B41" s="1" t="s">
        <v>34</v>
      </c>
      <c r="C41" s="1">
        <v>26</v>
      </c>
      <c r="D41" s="1"/>
      <c r="E41" s="1">
        <v>12</v>
      </c>
      <c r="F41" s="1">
        <v>14</v>
      </c>
      <c r="G41" s="15">
        <v>0.4</v>
      </c>
      <c r="H41" s="1">
        <v>730</v>
      </c>
      <c r="I41" s="1">
        <v>1010004259</v>
      </c>
      <c r="J41" s="1"/>
      <c r="K41" s="1"/>
      <c r="L41" s="1">
        <f t="shared" si="2"/>
        <v>12</v>
      </c>
      <c r="M41" s="1"/>
      <c r="N41" s="1"/>
      <c r="O41" s="8">
        <v>30</v>
      </c>
      <c r="P41" s="1">
        <v>40</v>
      </c>
      <c r="Q41" s="1">
        <f t="shared" si="3"/>
        <v>2.4</v>
      </c>
      <c r="R41" s="5"/>
      <c r="S41" s="5"/>
      <c r="T41" s="1"/>
      <c r="U41" s="1">
        <f t="shared" si="4"/>
        <v>22.5</v>
      </c>
      <c r="V41" s="1">
        <f t="shared" si="5"/>
        <v>22.5</v>
      </c>
      <c r="W41" s="1">
        <v>0.6</v>
      </c>
      <c r="X41" s="1">
        <v>1.8</v>
      </c>
      <c r="Y41" s="1">
        <v>1.4</v>
      </c>
      <c r="Z41" s="1">
        <v>1.2</v>
      </c>
      <c r="AA41" s="1">
        <v>0.6</v>
      </c>
      <c r="AB41" s="1">
        <v>4.2</v>
      </c>
      <c r="AC41" s="1">
        <v>0.4</v>
      </c>
      <c r="AD41" s="1">
        <v>0</v>
      </c>
      <c r="AE41" s="23" t="s">
        <v>41</v>
      </c>
      <c r="AF41" s="1">
        <f>G41*R41</f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84</v>
      </c>
      <c r="B42" s="1" t="s">
        <v>34</v>
      </c>
      <c r="C42" s="1">
        <v>30</v>
      </c>
      <c r="D42" s="1"/>
      <c r="E42" s="1">
        <v>15</v>
      </c>
      <c r="F42" s="1">
        <v>15</v>
      </c>
      <c r="G42" s="15">
        <v>0.3</v>
      </c>
      <c r="H42" s="1" t="s">
        <v>35</v>
      </c>
      <c r="I42" s="1">
        <v>1010013267</v>
      </c>
      <c r="J42" s="1"/>
      <c r="K42" s="1"/>
      <c r="L42" s="1">
        <f t="shared" si="2"/>
        <v>15</v>
      </c>
      <c r="M42" s="1"/>
      <c r="N42" s="1"/>
      <c r="O42" s="8">
        <v>30</v>
      </c>
      <c r="P42" s="1">
        <v>50</v>
      </c>
      <c r="Q42" s="1">
        <f t="shared" si="3"/>
        <v>3</v>
      </c>
      <c r="R42" s="5"/>
      <c r="S42" s="5"/>
      <c r="T42" s="1"/>
      <c r="U42" s="1">
        <f t="shared" si="4"/>
        <v>21.666666666666668</v>
      </c>
      <c r="V42" s="1">
        <f t="shared" si="5"/>
        <v>21.666666666666668</v>
      </c>
      <c r="W42" s="1">
        <v>2</v>
      </c>
      <c r="X42" s="1">
        <v>0.8</v>
      </c>
      <c r="Y42" s="1">
        <v>0</v>
      </c>
      <c r="Z42" s="1">
        <v>0.8</v>
      </c>
      <c r="AA42" s="1">
        <v>1.4</v>
      </c>
      <c r="AB42" s="1">
        <v>5</v>
      </c>
      <c r="AC42" s="1">
        <v>0</v>
      </c>
      <c r="AD42" s="1">
        <v>0</v>
      </c>
      <c r="AE42" s="23" t="s">
        <v>41</v>
      </c>
      <c r="AF42" s="1">
        <f>G42*R42</f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85</v>
      </c>
      <c r="B43" s="1" t="s">
        <v>34</v>
      </c>
      <c r="C43" s="1">
        <v>20</v>
      </c>
      <c r="D43" s="1"/>
      <c r="E43" s="1">
        <v>10</v>
      </c>
      <c r="F43" s="1">
        <v>10</v>
      </c>
      <c r="G43" s="15">
        <v>0.3</v>
      </c>
      <c r="H43" s="1" t="s">
        <v>59</v>
      </c>
      <c r="I43" s="1">
        <v>1010027159</v>
      </c>
      <c r="J43" s="1"/>
      <c r="K43" s="1"/>
      <c r="L43" s="1">
        <f t="shared" si="2"/>
        <v>10</v>
      </c>
      <c r="M43" s="1"/>
      <c r="N43" s="1"/>
      <c r="O43" s="8">
        <v>30</v>
      </c>
      <c r="P43" s="1">
        <v>50</v>
      </c>
      <c r="Q43" s="1">
        <f t="shared" si="3"/>
        <v>2</v>
      </c>
      <c r="R43" s="5"/>
      <c r="S43" s="5"/>
      <c r="T43" s="1"/>
      <c r="U43" s="1">
        <f t="shared" si="4"/>
        <v>30</v>
      </c>
      <c r="V43" s="1">
        <f t="shared" si="5"/>
        <v>30</v>
      </c>
      <c r="W43" s="1">
        <v>3.6</v>
      </c>
      <c r="X43" s="1">
        <v>1</v>
      </c>
      <c r="Y43" s="1">
        <v>0</v>
      </c>
      <c r="Z43" s="1">
        <v>2.4</v>
      </c>
      <c r="AA43" s="1">
        <v>1</v>
      </c>
      <c r="AB43" s="1">
        <v>4.8</v>
      </c>
      <c r="AC43" s="1">
        <v>0</v>
      </c>
      <c r="AD43" s="1">
        <v>0</v>
      </c>
      <c r="AE43" s="25" t="s">
        <v>36</v>
      </c>
      <c r="AF43" s="1">
        <f>G43*R43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/>
      <c r="B44" s="1"/>
      <c r="C44" s="1"/>
      <c r="D44" s="1"/>
      <c r="E44" s="1"/>
      <c r="F44" s="1"/>
      <c r="G44" s="15"/>
      <c r="H44" s="1"/>
      <c r="I44" s="1"/>
      <c r="J44" s="1"/>
      <c r="K44" s="1"/>
      <c r="L44" s="1"/>
      <c r="M44" s="1"/>
      <c r="N44" s="1"/>
      <c r="O44" s="8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15"/>
      <c r="H45" s="1"/>
      <c r="I45" s="1"/>
      <c r="J45" s="1"/>
      <c r="K45" s="1"/>
      <c r="L45" s="1"/>
      <c r="M45" s="1"/>
      <c r="N45" s="1"/>
      <c r="O45" s="8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15"/>
      <c r="H46" s="1"/>
      <c r="I46" s="1"/>
      <c r="J46" s="1"/>
      <c r="K46" s="1"/>
      <c r="L46" s="1"/>
      <c r="M46" s="1"/>
      <c r="N46" s="1"/>
      <c r="O46" s="8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15"/>
      <c r="H47" s="1"/>
      <c r="I47" s="1"/>
      <c r="J47" s="1"/>
      <c r="K47" s="1"/>
      <c r="L47" s="1"/>
      <c r="M47" s="1"/>
      <c r="N47" s="1"/>
      <c r="O47" s="8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15"/>
      <c r="H48" s="1"/>
      <c r="I48" s="1"/>
      <c r="J48" s="1"/>
      <c r="K48" s="1"/>
      <c r="L48" s="1"/>
      <c r="M48" s="1"/>
      <c r="N48" s="1"/>
      <c r="O48" s="8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15"/>
      <c r="H49" s="1"/>
      <c r="I49" s="1"/>
      <c r="J49" s="1"/>
      <c r="K49" s="1"/>
      <c r="L49" s="1"/>
      <c r="M49" s="1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15"/>
      <c r="H50" s="1"/>
      <c r="I50" s="1"/>
      <c r="J50" s="1"/>
      <c r="K50" s="1"/>
      <c r="L50" s="1"/>
      <c r="M50" s="1"/>
      <c r="N50" s="1"/>
      <c r="O50" s="8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15"/>
      <c r="H51" s="1"/>
      <c r="I51" s="1"/>
      <c r="J51" s="1"/>
      <c r="K51" s="1"/>
      <c r="L51" s="1"/>
      <c r="M51" s="1"/>
      <c r="N51" s="1"/>
      <c r="O51" s="8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15"/>
      <c r="H52" s="1"/>
      <c r="I52" s="1"/>
      <c r="J52" s="1"/>
      <c r="K52" s="1"/>
      <c r="L52" s="1"/>
      <c r="M52" s="1"/>
      <c r="N52" s="1"/>
      <c r="O52" s="8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15"/>
      <c r="H53" s="1"/>
      <c r="I53" s="1"/>
      <c r="J53" s="1"/>
      <c r="K53" s="1"/>
      <c r="L53" s="1"/>
      <c r="M53" s="1"/>
      <c r="N53" s="1"/>
      <c r="O53" s="8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15"/>
      <c r="H54" s="1"/>
      <c r="I54" s="1"/>
      <c r="J54" s="1"/>
      <c r="K54" s="1"/>
      <c r="L54" s="1"/>
      <c r="M54" s="1"/>
      <c r="N54" s="1"/>
      <c r="O54" s="8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15"/>
      <c r="H55" s="1"/>
      <c r="I55" s="1"/>
      <c r="J55" s="1"/>
      <c r="K55" s="1"/>
      <c r="L55" s="1"/>
      <c r="M55" s="1"/>
      <c r="N55" s="1"/>
      <c r="O55" s="8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15"/>
      <c r="H56" s="1"/>
      <c r="I56" s="1"/>
      <c r="J56" s="1"/>
      <c r="K56" s="1"/>
      <c r="L56" s="1"/>
      <c r="M56" s="1"/>
      <c r="N56" s="1"/>
      <c r="O56" s="8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15"/>
      <c r="H57" s="1"/>
      <c r="I57" s="1"/>
      <c r="J57" s="1"/>
      <c r="K57" s="1"/>
      <c r="L57" s="1"/>
      <c r="M57" s="1"/>
      <c r="N57" s="1"/>
      <c r="O57" s="8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15"/>
      <c r="H58" s="1"/>
      <c r="I58" s="1"/>
      <c r="J58" s="1"/>
      <c r="K58" s="1"/>
      <c r="L58" s="1"/>
      <c r="M58" s="1"/>
      <c r="N58" s="1"/>
      <c r="O58" s="8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15"/>
      <c r="H59" s="1"/>
      <c r="I59" s="1"/>
      <c r="J59" s="1"/>
      <c r="K59" s="1"/>
      <c r="L59" s="1"/>
      <c r="M59" s="1"/>
      <c r="N59" s="1"/>
      <c r="O59" s="8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15"/>
      <c r="H60" s="1"/>
      <c r="I60" s="1"/>
      <c r="J60" s="1"/>
      <c r="K60" s="1"/>
      <c r="L60" s="1"/>
      <c r="M60" s="1"/>
      <c r="N60" s="1"/>
      <c r="O60" s="8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15"/>
      <c r="H61" s="1"/>
      <c r="I61" s="1"/>
      <c r="J61" s="1"/>
      <c r="K61" s="1"/>
      <c r="L61" s="1"/>
      <c r="M61" s="1"/>
      <c r="N61" s="1"/>
      <c r="O61" s="8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15"/>
      <c r="H62" s="1"/>
      <c r="I62" s="1"/>
      <c r="J62" s="1"/>
      <c r="K62" s="1"/>
      <c r="L62" s="1"/>
      <c r="M62" s="1"/>
      <c r="N62" s="1"/>
      <c r="O62" s="8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15"/>
      <c r="H63" s="1"/>
      <c r="I63" s="1"/>
      <c r="J63" s="1"/>
      <c r="K63" s="1"/>
      <c r="L63" s="1"/>
      <c r="M63" s="1"/>
      <c r="N63" s="1"/>
      <c r="O63" s="8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15"/>
      <c r="H64" s="1"/>
      <c r="I64" s="1"/>
      <c r="J64" s="1"/>
      <c r="K64" s="1"/>
      <c r="L64" s="1"/>
      <c r="M64" s="1"/>
      <c r="N64" s="1"/>
      <c r="O64" s="8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15"/>
      <c r="H65" s="1"/>
      <c r="I65" s="1"/>
      <c r="J65" s="1"/>
      <c r="K65" s="1"/>
      <c r="L65" s="1"/>
      <c r="M65" s="1"/>
      <c r="N65" s="1"/>
      <c r="O65" s="8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15"/>
      <c r="H66" s="1"/>
      <c r="I66" s="1"/>
      <c r="J66" s="1"/>
      <c r="K66" s="1"/>
      <c r="L66" s="1"/>
      <c r="M66" s="1"/>
      <c r="N66" s="1"/>
      <c r="O66" s="8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15"/>
      <c r="H67" s="1"/>
      <c r="I67" s="1"/>
      <c r="J67" s="1"/>
      <c r="K67" s="1"/>
      <c r="L67" s="1"/>
      <c r="M67" s="1"/>
      <c r="N67" s="1"/>
      <c r="O67" s="8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15"/>
      <c r="H68" s="1"/>
      <c r="I68" s="1"/>
      <c r="J68" s="1"/>
      <c r="K68" s="1"/>
      <c r="L68" s="1"/>
      <c r="M68" s="1"/>
      <c r="N68" s="1"/>
      <c r="O68" s="8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15"/>
      <c r="H69" s="1"/>
      <c r="I69" s="1"/>
      <c r="J69" s="1"/>
      <c r="K69" s="1"/>
      <c r="L69" s="1"/>
      <c r="M69" s="1"/>
      <c r="N69" s="1"/>
      <c r="O69" s="8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15"/>
      <c r="H70" s="1"/>
      <c r="I70" s="1"/>
      <c r="J70" s="1"/>
      <c r="K70" s="1"/>
      <c r="L70" s="1"/>
      <c r="M70" s="1"/>
      <c r="N70" s="1"/>
      <c r="O70" s="8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15"/>
      <c r="H71" s="1"/>
      <c r="I71" s="1"/>
      <c r="J71" s="1"/>
      <c r="K71" s="1"/>
      <c r="L71" s="1"/>
      <c r="M71" s="1"/>
      <c r="N71" s="1"/>
      <c r="O71" s="8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15"/>
      <c r="H72" s="1"/>
      <c r="I72" s="1"/>
      <c r="J72" s="1"/>
      <c r="K72" s="1"/>
      <c r="L72" s="1"/>
      <c r="M72" s="1"/>
      <c r="N72" s="1"/>
      <c r="O72" s="8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15"/>
      <c r="H73" s="1"/>
      <c r="I73" s="1"/>
      <c r="J73" s="1"/>
      <c r="K73" s="1"/>
      <c r="L73" s="1"/>
      <c r="M73" s="1"/>
      <c r="N73" s="1"/>
      <c r="O73" s="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15"/>
      <c r="H74" s="1"/>
      <c r="I74" s="1"/>
      <c r="J74" s="1"/>
      <c r="K74" s="1"/>
      <c r="L74" s="1"/>
      <c r="M74" s="1"/>
      <c r="N74" s="1"/>
      <c r="O74" s="8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15"/>
      <c r="H75" s="1"/>
      <c r="I75" s="1"/>
      <c r="J75" s="1"/>
      <c r="K75" s="1"/>
      <c r="L75" s="1"/>
      <c r="M75" s="1"/>
      <c r="N75" s="1"/>
      <c r="O75" s="8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15"/>
      <c r="H76" s="1"/>
      <c r="I76" s="1"/>
      <c r="J76" s="1"/>
      <c r="K76" s="1"/>
      <c r="L76" s="1"/>
      <c r="M76" s="1"/>
      <c r="N76" s="1"/>
      <c r="O76" s="8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15"/>
      <c r="H77" s="1"/>
      <c r="I77" s="1"/>
      <c r="J77" s="1"/>
      <c r="K77" s="1"/>
      <c r="L77" s="1"/>
      <c r="M77" s="1"/>
      <c r="N77" s="1"/>
      <c r="O77" s="8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15"/>
      <c r="H78" s="1"/>
      <c r="I78" s="1"/>
      <c r="J78" s="1"/>
      <c r="K78" s="1"/>
      <c r="L78" s="1"/>
      <c r="M78" s="1"/>
      <c r="N78" s="1"/>
      <c r="O78" s="8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15"/>
      <c r="H79" s="1"/>
      <c r="I79" s="1"/>
      <c r="J79" s="1"/>
      <c r="K79" s="1"/>
      <c r="L79" s="1"/>
      <c r="M79" s="1"/>
      <c r="N79" s="1"/>
      <c r="O79" s="8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15"/>
      <c r="H80" s="1"/>
      <c r="I80" s="1"/>
      <c r="J80" s="1"/>
      <c r="K80" s="1"/>
      <c r="L80" s="1"/>
      <c r="M80" s="1"/>
      <c r="N80" s="1"/>
      <c r="O80" s="8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15"/>
      <c r="H81" s="1"/>
      <c r="I81" s="1"/>
      <c r="J81" s="1"/>
      <c r="K81" s="1"/>
      <c r="L81" s="1"/>
      <c r="M81" s="1"/>
      <c r="N81" s="1"/>
      <c r="O81" s="8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15"/>
      <c r="H82" s="1"/>
      <c r="I82" s="1"/>
      <c r="J82" s="1"/>
      <c r="K82" s="1"/>
      <c r="L82" s="1"/>
      <c r="M82" s="1"/>
      <c r="N82" s="1"/>
      <c r="O82" s="8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15"/>
      <c r="H83" s="1"/>
      <c r="I83" s="1"/>
      <c r="J83" s="1"/>
      <c r="K83" s="1"/>
      <c r="L83" s="1"/>
      <c r="M83" s="1"/>
      <c r="N83" s="1"/>
      <c r="O83" s="8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15"/>
      <c r="H84" s="1"/>
      <c r="I84" s="1"/>
      <c r="J84" s="1"/>
      <c r="K84" s="1"/>
      <c r="L84" s="1"/>
      <c r="M84" s="1"/>
      <c r="N84" s="1"/>
      <c r="O84" s="8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15"/>
      <c r="H85" s="1"/>
      <c r="I85" s="1"/>
      <c r="J85" s="1"/>
      <c r="K85" s="1"/>
      <c r="L85" s="1"/>
      <c r="M85" s="1"/>
      <c r="N85" s="1"/>
      <c r="O85" s="8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15"/>
      <c r="H86" s="1"/>
      <c r="I86" s="1"/>
      <c r="J86" s="1"/>
      <c r="K86" s="1"/>
      <c r="L86" s="1"/>
      <c r="M86" s="1"/>
      <c r="N86" s="1"/>
      <c r="O86" s="8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15"/>
      <c r="H87" s="1"/>
      <c r="I87" s="1"/>
      <c r="J87" s="1"/>
      <c r="K87" s="1"/>
      <c r="L87" s="1"/>
      <c r="M87" s="1"/>
      <c r="N87" s="1"/>
      <c r="O87" s="8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15"/>
      <c r="H88" s="1"/>
      <c r="I88" s="1"/>
      <c r="J88" s="1"/>
      <c r="K88" s="1"/>
      <c r="L88" s="1"/>
      <c r="M88" s="1"/>
      <c r="N88" s="1"/>
      <c r="O88" s="8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15"/>
      <c r="H89" s="1"/>
      <c r="I89" s="1"/>
      <c r="J89" s="1"/>
      <c r="K89" s="1"/>
      <c r="L89" s="1"/>
      <c r="M89" s="1"/>
      <c r="N89" s="1"/>
      <c r="O89" s="8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15"/>
      <c r="H90" s="1"/>
      <c r="I90" s="1"/>
      <c r="J90" s="1"/>
      <c r="K90" s="1"/>
      <c r="L90" s="1"/>
      <c r="M90" s="1"/>
      <c r="N90" s="1"/>
      <c r="O90" s="8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15"/>
      <c r="H91" s="1"/>
      <c r="I91" s="1"/>
      <c r="J91" s="1"/>
      <c r="K91" s="1"/>
      <c r="L91" s="1"/>
      <c r="M91" s="1"/>
      <c r="N91" s="1"/>
      <c r="O91" s="8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15"/>
      <c r="H92" s="1"/>
      <c r="I92" s="1"/>
      <c r="J92" s="1"/>
      <c r="K92" s="1"/>
      <c r="L92" s="1"/>
      <c r="M92" s="1"/>
      <c r="N92" s="1"/>
      <c r="O92" s="8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15"/>
      <c r="H93" s="1"/>
      <c r="I93" s="1"/>
      <c r="J93" s="1"/>
      <c r="K93" s="1"/>
      <c r="L93" s="1"/>
      <c r="M93" s="1"/>
      <c r="N93" s="1"/>
      <c r="O93" s="8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15"/>
      <c r="H94" s="1"/>
      <c r="I94" s="1"/>
      <c r="J94" s="1"/>
      <c r="K94" s="1"/>
      <c r="L94" s="1"/>
      <c r="M94" s="1"/>
      <c r="N94" s="1"/>
      <c r="O94" s="8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15"/>
      <c r="H95" s="1"/>
      <c r="I95" s="1"/>
      <c r="J95" s="1"/>
      <c r="K95" s="1"/>
      <c r="L95" s="1"/>
      <c r="M95" s="1"/>
      <c r="N95" s="1"/>
      <c r="O95" s="8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15"/>
      <c r="H96" s="1"/>
      <c r="I96" s="1"/>
      <c r="J96" s="1"/>
      <c r="K96" s="1"/>
      <c r="L96" s="1"/>
      <c r="M96" s="1"/>
      <c r="N96" s="1"/>
      <c r="O96" s="8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15"/>
      <c r="H97" s="1"/>
      <c r="I97" s="1"/>
      <c r="J97" s="1"/>
      <c r="K97" s="1"/>
      <c r="L97" s="1"/>
      <c r="M97" s="1"/>
      <c r="N97" s="1"/>
      <c r="O97" s="8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15"/>
      <c r="H98" s="1"/>
      <c r="I98" s="1"/>
      <c r="J98" s="1"/>
      <c r="K98" s="1"/>
      <c r="L98" s="1"/>
      <c r="M98" s="1"/>
      <c r="N98" s="1"/>
      <c r="O98" s="8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15"/>
      <c r="H99" s="1"/>
      <c r="I99" s="1"/>
      <c r="J99" s="1"/>
      <c r="K99" s="1"/>
      <c r="L99" s="1"/>
      <c r="M99" s="1"/>
      <c r="N99" s="1"/>
      <c r="O99" s="8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15"/>
      <c r="H100" s="1"/>
      <c r="I100" s="1"/>
      <c r="J100" s="1"/>
      <c r="K100" s="1"/>
      <c r="L100" s="1"/>
      <c r="M100" s="1"/>
      <c r="N100" s="1"/>
      <c r="O100" s="8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15"/>
      <c r="H101" s="1"/>
      <c r="I101" s="1"/>
      <c r="J101" s="1"/>
      <c r="K101" s="1"/>
      <c r="L101" s="1"/>
      <c r="M101" s="1"/>
      <c r="N101" s="1"/>
      <c r="O101" s="8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15"/>
      <c r="H102" s="1"/>
      <c r="I102" s="1"/>
      <c r="J102" s="1"/>
      <c r="K102" s="1"/>
      <c r="L102" s="1"/>
      <c r="M102" s="1"/>
      <c r="N102" s="1"/>
      <c r="O102" s="8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15"/>
      <c r="H103" s="1"/>
      <c r="I103" s="1"/>
      <c r="J103" s="1"/>
      <c r="K103" s="1"/>
      <c r="L103" s="1"/>
      <c r="M103" s="1"/>
      <c r="N103" s="1"/>
      <c r="O103" s="8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15"/>
      <c r="H104" s="1"/>
      <c r="I104" s="1"/>
      <c r="J104" s="1"/>
      <c r="K104" s="1"/>
      <c r="L104" s="1"/>
      <c r="M104" s="1"/>
      <c r="N104" s="1"/>
      <c r="O104" s="8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15"/>
      <c r="H105" s="1"/>
      <c r="I105" s="1"/>
      <c r="J105" s="1"/>
      <c r="K105" s="1"/>
      <c r="L105" s="1"/>
      <c r="M105" s="1"/>
      <c r="N105" s="1"/>
      <c r="O105" s="8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15"/>
      <c r="H106" s="1"/>
      <c r="I106" s="1"/>
      <c r="J106" s="1"/>
      <c r="K106" s="1"/>
      <c r="L106" s="1"/>
      <c r="M106" s="1"/>
      <c r="N106" s="1"/>
      <c r="O106" s="8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15"/>
      <c r="H107" s="1"/>
      <c r="I107" s="1"/>
      <c r="J107" s="1"/>
      <c r="K107" s="1"/>
      <c r="L107" s="1"/>
      <c r="M107" s="1"/>
      <c r="N107" s="1"/>
      <c r="O107" s="8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15"/>
      <c r="H108" s="1"/>
      <c r="I108" s="1"/>
      <c r="J108" s="1"/>
      <c r="K108" s="1"/>
      <c r="L108" s="1"/>
      <c r="M108" s="1"/>
      <c r="N108" s="1"/>
      <c r="O108" s="8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15"/>
      <c r="H109" s="1"/>
      <c r="I109" s="1"/>
      <c r="J109" s="1"/>
      <c r="K109" s="1"/>
      <c r="L109" s="1"/>
      <c r="M109" s="1"/>
      <c r="N109" s="1"/>
      <c r="O109" s="8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15"/>
      <c r="H110" s="1"/>
      <c r="I110" s="1"/>
      <c r="J110" s="1"/>
      <c r="K110" s="1"/>
      <c r="L110" s="1"/>
      <c r="M110" s="1"/>
      <c r="N110" s="1"/>
      <c r="O110" s="8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15"/>
      <c r="H111" s="1"/>
      <c r="I111" s="1"/>
      <c r="J111" s="1"/>
      <c r="K111" s="1"/>
      <c r="L111" s="1"/>
      <c r="M111" s="1"/>
      <c r="N111" s="1"/>
      <c r="O111" s="8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15"/>
      <c r="H112" s="1"/>
      <c r="I112" s="1"/>
      <c r="J112" s="1"/>
      <c r="K112" s="1"/>
      <c r="L112" s="1"/>
      <c r="M112" s="1"/>
      <c r="N112" s="1"/>
      <c r="O112" s="8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15"/>
      <c r="H113" s="1"/>
      <c r="I113" s="1"/>
      <c r="J113" s="1"/>
      <c r="K113" s="1"/>
      <c r="L113" s="1"/>
      <c r="M113" s="1"/>
      <c r="N113" s="1"/>
      <c r="O113" s="8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15"/>
      <c r="H114" s="1"/>
      <c r="I114" s="1"/>
      <c r="J114" s="1"/>
      <c r="K114" s="1"/>
      <c r="L114" s="1"/>
      <c r="M114" s="1"/>
      <c r="N114" s="1"/>
      <c r="O114" s="8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15"/>
      <c r="H115" s="1"/>
      <c r="I115" s="1"/>
      <c r="J115" s="1"/>
      <c r="K115" s="1"/>
      <c r="L115" s="1"/>
      <c r="M115" s="1"/>
      <c r="N115" s="1"/>
      <c r="O115" s="8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15"/>
      <c r="H116" s="1"/>
      <c r="I116" s="1"/>
      <c r="J116" s="1"/>
      <c r="K116" s="1"/>
      <c r="L116" s="1"/>
      <c r="M116" s="1"/>
      <c r="N116" s="1"/>
      <c r="O116" s="8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15"/>
      <c r="H117" s="1"/>
      <c r="I117" s="1"/>
      <c r="J117" s="1"/>
      <c r="K117" s="1"/>
      <c r="L117" s="1"/>
      <c r="M117" s="1"/>
      <c r="N117" s="1"/>
      <c r="O117" s="8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15"/>
      <c r="H118" s="1"/>
      <c r="I118" s="1"/>
      <c r="J118" s="1"/>
      <c r="K118" s="1"/>
      <c r="L118" s="1"/>
      <c r="M118" s="1"/>
      <c r="N118" s="1"/>
      <c r="O118" s="8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15"/>
      <c r="H119" s="1"/>
      <c r="I119" s="1"/>
      <c r="J119" s="1"/>
      <c r="K119" s="1"/>
      <c r="L119" s="1"/>
      <c r="M119" s="1"/>
      <c r="N119" s="1"/>
      <c r="O119" s="8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15"/>
      <c r="H120" s="1"/>
      <c r="I120" s="1"/>
      <c r="J120" s="1"/>
      <c r="K120" s="1"/>
      <c r="L120" s="1"/>
      <c r="M120" s="1"/>
      <c r="N120" s="1"/>
      <c r="O120" s="8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15"/>
      <c r="H121" s="1"/>
      <c r="I121" s="1"/>
      <c r="J121" s="1"/>
      <c r="K121" s="1"/>
      <c r="L121" s="1"/>
      <c r="M121" s="1"/>
      <c r="N121" s="1"/>
      <c r="O121" s="8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15"/>
      <c r="H122" s="1"/>
      <c r="I122" s="1"/>
      <c r="J122" s="1"/>
      <c r="K122" s="1"/>
      <c r="L122" s="1"/>
      <c r="M122" s="1"/>
      <c r="N122" s="1"/>
      <c r="O122" s="8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15"/>
      <c r="H123" s="1"/>
      <c r="I123" s="1"/>
      <c r="J123" s="1"/>
      <c r="K123" s="1"/>
      <c r="L123" s="1"/>
      <c r="M123" s="1"/>
      <c r="N123" s="1"/>
      <c r="O123" s="8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15"/>
      <c r="H124" s="1"/>
      <c r="I124" s="1"/>
      <c r="J124" s="1"/>
      <c r="K124" s="1"/>
      <c r="L124" s="1"/>
      <c r="M124" s="1"/>
      <c r="N124" s="1"/>
      <c r="O124" s="8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15"/>
      <c r="H125" s="1"/>
      <c r="I125" s="1"/>
      <c r="J125" s="1"/>
      <c r="K125" s="1"/>
      <c r="L125" s="1"/>
      <c r="M125" s="1"/>
      <c r="N125" s="1"/>
      <c r="O125" s="8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15"/>
      <c r="H126" s="1"/>
      <c r="I126" s="1"/>
      <c r="J126" s="1"/>
      <c r="K126" s="1"/>
      <c r="L126" s="1"/>
      <c r="M126" s="1"/>
      <c r="N126" s="1"/>
      <c r="O126" s="8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15"/>
      <c r="H127" s="1"/>
      <c r="I127" s="1"/>
      <c r="J127" s="1"/>
      <c r="K127" s="1"/>
      <c r="L127" s="1"/>
      <c r="M127" s="1"/>
      <c r="N127" s="1"/>
      <c r="O127" s="8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15"/>
      <c r="H128" s="1"/>
      <c r="I128" s="1"/>
      <c r="J128" s="1"/>
      <c r="K128" s="1"/>
      <c r="L128" s="1"/>
      <c r="M128" s="1"/>
      <c r="N128" s="1"/>
      <c r="O128" s="8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15"/>
      <c r="H129" s="1"/>
      <c r="I129" s="1"/>
      <c r="J129" s="1"/>
      <c r="K129" s="1"/>
      <c r="L129" s="1"/>
      <c r="M129" s="1"/>
      <c r="N129" s="1"/>
      <c r="O129" s="8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15"/>
      <c r="H130" s="1"/>
      <c r="I130" s="1"/>
      <c r="J130" s="1"/>
      <c r="K130" s="1"/>
      <c r="L130" s="1"/>
      <c r="M130" s="1"/>
      <c r="N130" s="1"/>
      <c r="O130" s="8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15"/>
      <c r="H131" s="1"/>
      <c r="I131" s="1"/>
      <c r="J131" s="1"/>
      <c r="K131" s="1"/>
      <c r="L131" s="1"/>
      <c r="M131" s="1"/>
      <c r="N131" s="1"/>
      <c r="O131" s="8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15"/>
      <c r="H132" s="1"/>
      <c r="I132" s="1"/>
      <c r="J132" s="1"/>
      <c r="K132" s="1"/>
      <c r="L132" s="1"/>
      <c r="M132" s="1"/>
      <c r="N132" s="1"/>
      <c r="O132" s="8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15"/>
      <c r="H133" s="1"/>
      <c r="I133" s="1"/>
      <c r="J133" s="1"/>
      <c r="K133" s="1"/>
      <c r="L133" s="1"/>
      <c r="M133" s="1"/>
      <c r="N133" s="1"/>
      <c r="O133" s="8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15"/>
      <c r="H134" s="1"/>
      <c r="I134" s="1"/>
      <c r="J134" s="1"/>
      <c r="K134" s="1"/>
      <c r="L134" s="1"/>
      <c r="M134" s="1"/>
      <c r="N134" s="1"/>
      <c r="O134" s="8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15"/>
      <c r="H135" s="1"/>
      <c r="I135" s="1"/>
      <c r="J135" s="1"/>
      <c r="K135" s="1"/>
      <c r="L135" s="1"/>
      <c r="M135" s="1"/>
      <c r="N135" s="1"/>
      <c r="O135" s="8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15"/>
      <c r="H136" s="1"/>
      <c r="I136" s="1"/>
      <c r="J136" s="1"/>
      <c r="K136" s="1"/>
      <c r="L136" s="1"/>
      <c r="M136" s="1"/>
      <c r="N136" s="1"/>
      <c r="O136" s="8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15"/>
      <c r="H137" s="1"/>
      <c r="I137" s="1"/>
      <c r="J137" s="1"/>
      <c r="K137" s="1"/>
      <c r="L137" s="1"/>
      <c r="M137" s="1"/>
      <c r="N137" s="1"/>
      <c r="O137" s="8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15"/>
      <c r="H138" s="1"/>
      <c r="I138" s="1"/>
      <c r="J138" s="1"/>
      <c r="K138" s="1"/>
      <c r="L138" s="1"/>
      <c r="M138" s="1"/>
      <c r="N138" s="1"/>
      <c r="O138" s="8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15"/>
      <c r="H139" s="1"/>
      <c r="I139" s="1"/>
      <c r="J139" s="1"/>
      <c r="K139" s="1"/>
      <c r="L139" s="1"/>
      <c r="M139" s="1"/>
      <c r="N139" s="1"/>
      <c r="O139" s="8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15"/>
      <c r="H140" s="1"/>
      <c r="I140" s="1"/>
      <c r="J140" s="1"/>
      <c r="K140" s="1"/>
      <c r="L140" s="1"/>
      <c r="M140" s="1"/>
      <c r="N140" s="1"/>
      <c r="O140" s="8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15"/>
      <c r="H141" s="1"/>
      <c r="I141" s="1"/>
      <c r="J141" s="1"/>
      <c r="K141" s="1"/>
      <c r="L141" s="1"/>
      <c r="M141" s="1"/>
      <c r="N141" s="1"/>
      <c r="O141" s="8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15"/>
      <c r="H142" s="1"/>
      <c r="I142" s="1"/>
      <c r="J142" s="1"/>
      <c r="K142" s="1"/>
      <c r="L142" s="1"/>
      <c r="M142" s="1"/>
      <c r="N142" s="1"/>
      <c r="O142" s="8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15"/>
      <c r="H143" s="1"/>
      <c r="I143" s="1"/>
      <c r="J143" s="1"/>
      <c r="K143" s="1"/>
      <c r="L143" s="1"/>
      <c r="M143" s="1"/>
      <c r="N143" s="1"/>
      <c r="O143" s="8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15"/>
      <c r="H144" s="1"/>
      <c r="I144" s="1"/>
      <c r="J144" s="1"/>
      <c r="K144" s="1"/>
      <c r="L144" s="1"/>
      <c r="M144" s="1"/>
      <c r="N144" s="1"/>
      <c r="O144" s="8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15"/>
      <c r="H145" s="1"/>
      <c r="I145" s="1"/>
      <c r="J145" s="1"/>
      <c r="K145" s="1"/>
      <c r="L145" s="1"/>
      <c r="M145" s="1"/>
      <c r="N145" s="1"/>
      <c r="O145" s="8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15"/>
      <c r="H146" s="1"/>
      <c r="I146" s="1"/>
      <c r="J146" s="1"/>
      <c r="K146" s="1"/>
      <c r="L146" s="1"/>
      <c r="M146" s="1"/>
      <c r="N146" s="1"/>
      <c r="O146" s="8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15"/>
      <c r="H147" s="1"/>
      <c r="I147" s="1"/>
      <c r="J147" s="1"/>
      <c r="K147" s="1"/>
      <c r="L147" s="1"/>
      <c r="M147" s="1"/>
      <c r="N147" s="1"/>
      <c r="O147" s="8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15"/>
      <c r="H148" s="1"/>
      <c r="I148" s="1"/>
      <c r="J148" s="1"/>
      <c r="K148" s="1"/>
      <c r="L148" s="1"/>
      <c r="M148" s="1"/>
      <c r="N148" s="1"/>
      <c r="O148" s="8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15"/>
      <c r="H149" s="1"/>
      <c r="I149" s="1"/>
      <c r="J149" s="1"/>
      <c r="K149" s="1"/>
      <c r="L149" s="1"/>
      <c r="M149" s="1"/>
      <c r="N149" s="1"/>
      <c r="O149" s="8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15"/>
      <c r="H150" s="1"/>
      <c r="I150" s="1"/>
      <c r="J150" s="1"/>
      <c r="K150" s="1"/>
      <c r="L150" s="1"/>
      <c r="M150" s="1"/>
      <c r="N150" s="1"/>
      <c r="O150" s="8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15"/>
      <c r="H151" s="1"/>
      <c r="I151" s="1"/>
      <c r="J151" s="1"/>
      <c r="K151" s="1"/>
      <c r="L151" s="1"/>
      <c r="M151" s="1"/>
      <c r="N151" s="1"/>
      <c r="O151" s="8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15"/>
      <c r="H152" s="1"/>
      <c r="I152" s="1"/>
      <c r="J152" s="1"/>
      <c r="K152" s="1"/>
      <c r="L152" s="1"/>
      <c r="M152" s="1"/>
      <c r="N152" s="1"/>
      <c r="O152" s="8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15"/>
      <c r="H153" s="1"/>
      <c r="I153" s="1"/>
      <c r="J153" s="1"/>
      <c r="K153" s="1"/>
      <c r="L153" s="1"/>
      <c r="M153" s="1"/>
      <c r="N153" s="1"/>
      <c r="O153" s="8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15"/>
      <c r="H154" s="1"/>
      <c r="I154" s="1"/>
      <c r="J154" s="1"/>
      <c r="K154" s="1"/>
      <c r="L154" s="1"/>
      <c r="M154" s="1"/>
      <c r="N154" s="1"/>
      <c r="O154" s="8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15"/>
      <c r="H155" s="1"/>
      <c r="I155" s="1"/>
      <c r="J155" s="1"/>
      <c r="K155" s="1"/>
      <c r="L155" s="1"/>
      <c r="M155" s="1"/>
      <c r="N155" s="1"/>
      <c r="O155" s="8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15"/>
      <c r="H156" s="1"/>
      <c r="I156" s="1"/>
      <c r="J156" s="1"/>
      <c r="K156" s="1"/>
      <c r="L156" s="1"/>
      <c r="M156" s="1"/>
      <c r="N156" s="1"/>
      <c r="O156" s="8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15"/>
      <c r="H157" s="1"/>
      <c r="I157" s="1"/>
      <c r="J157" s="1"/>
      <c r="K157" s="1"/>
      <c r="L157" s="1"/>
      <c r="M157" s="1"/>
      <c r="N157" s="1"/>
      <c r="O157" s="8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15"/>
      <c r="H158" s="1"/>
      <c r="I158" s="1"/>
      <c r="J158" s="1"/>
      <c r="K158" s="1"/>
      <c r="L158" s="1"/>
      <c r="M158" s="1"/>
      <c r="N158" s="1"/>
      <c r="O158" s="8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15"/>
      <c r="H159" s="1"/>
      <c r="I159" s="1"/>
      <c r="J159" s="1"/>
      <c r="K159" s="1"/>
      <c r="L159" s="1"/>
      <c r="M159" s="1"/>
      <c r="N159" s="1"/>
      <c r="O159" s="8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15"/>
      <c r="H160" s="1"/>
      <c r="I160" s="1"/>
      <c r="J160" s="1"/>
      <c r="K160" s="1"/>
      <c r="L160" s="1"/>
      <c r="M160" s="1"/>
      <c r="N160" s="1"/>
      <c r="O160" s="8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15"/>
      <c r="H161" s="1"/>
      <c r="I161" s="1"/>
      <c r="J161" s="1"/>
      <c r="K161" s="1"/>
      <c r="L161" s="1"/>
      <c r="M161" s="1"/>
      <c r="N161" s="1"/>
      <c r="O161" s="8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15"/>
      <c r="H162" s="1"/>
      <c r="I162" s="1"/>
      <c r="J162" s="1"/>
      <c r="K162" s="1"/>
      <c r="L162" s="1"/>
      <c r="M162" s="1"/>
      <c r="N162" s="1"/>
      <c r="O162" s="8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15"/>
      <c r="H163" s="1"/>
      <c r="I163" s="1"/>
      <c r="J163" s="1"/>
      <c r="K163" s="1"/>
      <c r="L163" s="1"/>
      <c r="M163" s="1"/>
      <c r="N163" s="1"/>
      <c r="O163" s="8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15"/>
      <c r="H164" s="1"/>
      <c r="I164" s="1"/>
      <c r="J164" s="1"/>
      <c r="K164" s="1"/>
      <c r="L164" s="1"/>
      <c r="M164" s="1"/>
      <c r="N164" s="1"/>
      <c r="O164" s="8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15"/>
      <c r="H165" s="1"/>
      <c r="I165" s="1"/>
      <c r="J165" s="1"/>
      <c r="K165" s="1"/>
      <c r="L165" s="1"/>
      <c r="M165" s="1"/>
      <c r="N165" s="1"/>
      <c r="O165" s="8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15"/>
      <c r="H166" s="1"/>
      <c r="I166" s="1"/>
      <c r="J166" s="1"/>
      <c r="K166" s="1"/>
      <c r="L166" s="1"/>
      <c r="M166" s="1"/>
      <c r="N166" s="1"/>
      <c r="O166" s="8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15"/>
      <c r="H167" s="1"/>
      <c r="I167" s="1"/>
      <c r="J167" s="1"/>
      <c r="K167" s="1"/>
      <c r="L167" s="1"/>
      <c r="M167" s="1"/>
      <c r="N167" s="1"/>
      <c r="O167" s="8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15"/>
      <c r="H168" s="1"/>
      <c r="I168" s="1"/>
      <c r="J168" s="1"/>
      <c r="K168" s="1"/>
      <c r="L168" s="1"/>
      <c r="M168" s="1"/>
      <c r="N168" s="1"/>
      <c r="O168" s="8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15"/>
      <c r="H169" s="1"/>
      <c r="I169" s="1"/>
      <c r="J169" s="1"/>
      <c r="K169" s="1"/>
      <c r="L169" s="1"/>
      <c r="M169" s="1"/>
      <c r="N169" s="1"/>
      <c r="O169" s="8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15"/>
      <c r="H170" s="1"/>
      <c r="I170" s="1"/>
      <c r="J170" s="1"/>
      <c r="K170" s="1"/>
      <c r="L170" s="1"/>
      <c r="M170" s="1"/>
      <c r="N170" s="1"/>
      <c r="O170" s="8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15"/>
      <c r="H171" s="1"/>
      <c r="I171" s="1"/>
      <c r="J171" s="1"/>
      <c r="K171" s="1"/>
      <c r="L171" s="1"/>
      <c r="M171" s="1"/>
      <c r="N171" s="1"/>
      <c r="O171" s="8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15"/>
      <c r="H172" s="1"/>
      <c r="I172" s="1"/>
      <c r="J172" s="1"/>
      <c r="K172" s="1"/>
      <c r="L172" s="1"/>
      <c r="M172" s="1"/>
      <c r="N172" s="1"/>
      <c r="O172" s="8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15"/>
      <c r="H173" s="1"/>
      <c r="I173" s="1"/>
      <c r="J173" s="1"/>
      <c r="K173" s="1"/>
      <c r="L173" s="1"/>
      <c r="M173" s="1"/>
      <c r="N173" s="1"/>
      <c r="O173" s="8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15"/>
      <c r="H174" s="1"/>
      <c r="I174" s="1"/>
      <c r="J174" s="1"/>
      <c r="K174" s="1"/>
      <c r="L174" s="1"/>
      <c r="M174" s="1"/>
      <c r="N174" s="1"/>
      <c r="O174" s="8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15"/>
      <c r="H175" s="1"/>
      <c r="I175" s="1"/>
      <c r="J175" s="1"/>
      <c r="K175" s="1"/>
      <c r="L175" s="1"/>
      <c r="M175" s="1"/>
      <c r="N175" s="1"/>
      <c r="O175" s="8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15"/>
      <c r="H176" s="1"/>
      <c r="I176" s="1"/>
      <c r="J176" s="1"/>
      <c r="K176" s="1"/>
      <c r="L176" s="1"/>
      <c r="M176" s="1"/>
      <c r="N176" s="1"/>
      <c r="O176" s="8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15"/>
      <c r="H177" s="1"/>
      <c r="I177" s="1"/>
      <c r="J177" s="1"/>
      <c r="K177" s="1"/>
      <c r="L177" s="1"/>
      <c r="M177" s="1"/>
      <c r="N177" s="1"/>
      <c r="O177" s="8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15"/>
      <c r="H178" s="1"/>
      <c r="I178" s="1"/>
      <c r="J178" s="1"/>
      <c r="K178" s="1"/>
      <c r="L178" s="1"/>
      <c r="M178" s="1"/>
      <c r="N178" s="1"/>
      <c r="O178" s="8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15"/>
      <c r="H179" s="1"/>
      <c r="I179" s="1"/>
      <c r="J179" s="1"/>
      <c r="K179" s="1"/>
      <c r="L179" s="1"/>
      <c r="M179" s="1"/>
      <c r="N179" s="1"/>
      <c r="O179" s="8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15"/>
      <c r="H180" s="1"/>
      <c r="I180" s="1"/>
      <c r="J180" s="1"/>
      <c r="K180" s="1"/>
      <c r="L180" s="1"/>
      <c r="M180" s="1"/>
      <c r="N180" s="1"/>
      <c r="O180" s="8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15"/>
      <c r="H181" s="1"/>
      <c r="I181" s="1"/>
      <c r="J181" s="1"/>
      <c r="K181" s="1"/>
      <c r="L181" s="1"/>
      <c r="M181" s="1"/>
      <c r="N181" s="1"/>
      <c r="O181" s="8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15"/>
      <c r="H182" s="1"/>
      <c r="I182" s="1"/>
      <c r="J182" s="1"/>
      <c r="K182" s="1"/>
      <c r="L182" s="1"/>
      <c r="M182" s="1"/>
      <c r="N182" s="1"/>
      <c r="O182" s="8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15"/>
      <c r="H183" s="1"/>
      <c r="I183" s="1"/>
      <c r="J183" s="1"/>
      <c r="K183" s="1"/>
      <c r="L183" s="1"/>
      <c r="M183" s="1"/>
      <c r="N183" s="1"/>
      <c r="O183" s="8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15"/>
      <c r="H184" s="1"/>
      <c r="I184" s="1"/>
      <c r="J184" s="1"/>
      <c r="K184" s="1"/>
      <c r="L184" s="1"/>
      <c r="M184" s="1"/>
      <c r="N184" s="1"/>
      <c r="O184" s="8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15"/>
      <c r="H185" s="1"/>
      <c r="I185" s="1"/>
      <c r="J185" s="1"/>
      <c r="K185" s="1"/>
      <c r="L185" s="1"/>
      <c r="M185" s="1"/>
      <c r="N185" s="1"/>
      <c r="O185" s="8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15"/>
      <c r="H186" s="1"/>
      <c r="I186" s="1"/>
      <c r="J186" s="1"/>
      <c r="K186" s="1"/>
      <c r="L186" s="1"/>
      <c r="M186" s="1"/>
      <c r="N186" s="1"/>
      <c r="O186" s="8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15"/>
      <c r="H187" s="1"/>
      <c r="I187" s="1"/>
      <c r="J187" s="1"/>
      <c r="K187" s="1"/>
      <c r="L187" s="1"/>
      <c r="M187" s="1"/>
      <c r="N187" s="1"/>
      <c r="O187" s="8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15"/>
      <c r="H188" s="1"/>
      <c r="I188" s="1"/>
      <c r="J188" s="1"/>
      <c r="K188" s="1"/>
      <c r="L188" s="1"/>
      <c r="M188" s="1"/>
      <c r="N188" s="1"/>
      <c r="O188" s="8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15"/>
      <c r="H189" s="1"/>
      <c r="I189" s="1"/>
      <c r="J189" s="1"/>
      <c r="K189" s="1"/>
      <c r="L189" s="1"/>
      <c r="M189" s="1"/>
      <c r="N189" s="1"/>
      <c r="O189" s="8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15"/>
      <c r="H190" s="1"/>
      <c r="I190" s="1"/>
      <c r="J190" s="1"/>
      <c r="K190" s="1"/>
      <c r="L190" s="1"/>
      <c r="M190" s="1"/>
      <c r="N190" s="1"/>
      <c r="O190" s="8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15"/>
      <c r="H191" s="1"/>
      <c r="I191" s="1"/>
      <c r="J191" s="1"/>
      <c r="K191" s="1"/>
      <c r="L191" s="1"/>
      <c r="M191" s="1"/>
      <c r="N191" s="1"/>
      <c r="O191" s="8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15"/>
      <c r="H192" s="1"/>
      <c r="I192" s="1"/>
      <c r="J192" s="1"/>
      <c r="K192" s="1"/>
      <c r="L192" s="1"/>
      <c r="M192" s="1"/>
      <c r="N192" s="1"/>
      <c r="O192" s="8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15"/>
      <c r="H193" s="1"/>
      <c r="I193" s="1"/>
      <c r="J193" s="1"/>
      <c r="K193" s="1"/>
      <c r="L193" s="1"/>
      <c r="M193" s="1"/>
      <c r="N193" s="1"/>
      <c r="O193" s="8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15"/>
      <c r="H194" s="1"/>
      <c r="I194" s="1"/>
      <c r="J194" s="1"/>
      <c r="K194" s="1"/>
      <c r="L194" s="1"/>
      <c r="M194" s="1"/>
      <c r="N194" s="1"/>
      <c r="O194" s="8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15"/>
      <c r="H195" s="1"/>
      <c r="I195" s="1"/>
      <c r="J195" s="1"/>
      <c r="K195" s="1"/>
      <c r="L195" s="1"/>
      <c r="M195" s="1"/>
      <c r="N195" s="1"/>
      <c r="O195" s="8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15"/>
      <c r="H196" s="1"/>
      <c r="I196" s="1"/>
      <c r="J196" s="1"/>
      <c r="K196" s="1"/>
      <c r="L196" s="1"/>
      <c r="M196" s="1"/>
      <c r="N196" s="1"/>
      <c r="O196" s="8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15"/>
      <c r="H197" s="1"/>
      <c r="I197" s="1"/>
      <c r="J197" s="1"/>
      <c r="K197" s="1"/>
      <c r="L197" s="1"/>
      <c r="M197" s="1"/>
      <c r="N197" s="1"/>
      <c r="O197" s="8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15"/>
      <c r="H198" s="1"/>
      <c r="I198" s="1"/>
      <c r="J198" s="1"/>
      <c r="K198" s="1"/>
      <c r="L198" s="1"/>
      <c r="M198" s="1"/>
      <c r="N198" s="1"/>
      <c r="O198" s="8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15"/>
      <c r="H199" s="1"/>
      <c r="I199" s="1"/>
      <c r="J199" s="1"/>
      <c r="K199" s="1"/>
      <c r="L199" s="1"/>
      <c r="M199" s="1"/>
      <c r="N199" s="1"/>
      <c r="O199" s="8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15"/>
      <c r="H200" s="1"/>
      <c r="I200" s="1"/>
      <c r="J200" s="1"/>
      <c r="K200" s="1"/>
      <c r="L200" s="1"/>
      <c r="M200" s="1"/>
      <c r="N200" s="1"/>
      <c r="O200" s="8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15"/>
      <c r="H201" s="1"/>
      <c r="I201" s="1"/>
      <c r="J201" s="1"/>
      <c r="K201" s="1"/>
      <c r="L201" s="1"/>
      <c r="M201" s="1"/>
      <c r="N201" s="1"/>
      <c r="O201" s="8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15"/>
      <c r="H202" s="1"/>
      <c r="I202" s="1"/>
      <c r="J202" s="1"/>
      <c r="K202" s="1"/>
      <c r="L202" s="1"/>
      <c r="M202" s="1"/>
      <c r="N202" s="1"/>
      <c r="O202" s="8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15"/>
      <c r="H203" s="1"/>
      <c r="I203" s="1"/>
      <c r="J203" s="1"/>
      <c r="K203" s="1"/>
      <c r="L203" s="1"/>
      <c r="M203" s="1"/>
      <c r="N203" s="1"/>
      <c r="O203" s="8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15"/>
      <c r="H204" s="1"/>
      <c r="I204" s="1"/>
      <c r="J204" s="1"/>
      <c r="K204" s="1"/>
      <c r="L204" s="1"/>
      <c r="M204" s="1"/>
      <c r="N204" s="1"/>
      <c r="O204" s="8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15"/>
      <c r="H205" s="1"/>
      <c r="I205" s="1"/>
      <c r="J205" s="1"/>
      <c r="K205" s="1"/>
      <c r="L205" s="1"/>
      <c r="M205" s="1"/>
      <c r="N205" s="1"/>
      <c r="O205" s="8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15"/>
      <c r="H206" s="1"/>
      <c r="I206" s="1"/>
      <c r="J206" s="1"/>
      <c r="K206" s="1"/>
      <c r="L206" s="1"/>
      <c r="M206" s="1"/>
      <c r="N206" s="1"/>
      <c r="O206" s="8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15"/>
      <c r="H207" s="1"/>
      <c r="I207" s="1"/>
      <c r="J207" s="1"/>
      <c r="K207" s="1"/>
      <c r="L207" s="1"/>
      <c r="M207" s="1"/>
      <c r="N207" s="1"/>
      <c r="O207" s="8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15"/>
      <c r="H208" s="1"/>
      <c r="I208" s="1"/>
      <c r="J208" s="1"/>
      <c r="K208" s="1"/>
      <c r="L208" s="1"/>
      <c r="M208" s="1"/>
      <c r="N208" s="1"/>
      <c r="O208" s="8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15"/>
      <c r="H209" s="1"/>
      <c r="I209" s="1"/>
      <c r="J209" s="1"/>
      <c r="K209" s="1"/>
      <c r="L209" s="1"/>
      <c r="M209" s="1"/>
      <c r="N209" s="1"/>
      <c r="O209" s="8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15"/>
      <c r="H210" s="1"/>
      <c r="I210" s="1"/>
      <c r="J210" s="1"/>
      <c r="K210" s="1"/>
      <c r="L210" s="1"/>
      <c r="M210" s="1"/>
      <c r="N210" s="1"/>
      <c r="O210" s="8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15"/>
      <c r="H211" s="1"/>
      <c r="I211" s="1"/>
      <c r="J211" s="1"/>
      <c r="K211" s="1"/>
      <c r="L211" s="1"/>
      <c r="M211" s="1"/>
      <c r="N211" s="1"/>
      <c r="O211" s="8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15"/>
      <c r="H212" s="1"/>
      <c r="I212" s="1"/>
      <c r="J212" s="1"/>
      <c r="K212" s="1"/>
      <c r="L212" s="1"/>
      <c r="M212" s="1"/>
      <c r="N212" s="1"/>
      <c r="O212" s="8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15"/>
      <c r="H213" s="1"/>
      <c r="I213" s="1"/>
      <c r="J213" s="1"/>
      <c r="K213" s="1"/>
      <c r="L213" s="1"/>
      <c r="M213" s="1"/>
      <c r="N213" s="1"/>
      <c r="O213" s="8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15"/>
      <c r="H214" s="1"/>
      <c r="I214" s="1"/>
      <c r="J214" s="1"/>
      <c r="K214" s="1"/>
      <c r="L214" s="1"/>
      <c r="M214" s="1"/>
      <c r="N214" s="1"/>
      <c r="O214" s="8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15"/>
      <c r="H215" s="1"/>
      <c r="I215" s="1"/>
      <c r="J215" s="1"/>
      <c r="K215" s="1"/>
      <c r="L215" s="1"/>
      <c r="M215" s="1"/>
      <c r="N215" s="1"/>
      <c r="O215" s="8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15"/>
      <c r="H216" s="1"/>
      <c r="I216" s="1"/>
      <c r="J216" s="1"/>
      <c r="K216" s="1"/>
      <c r="L216" s="1"/>
      <c r="M216" s="1"/>
      <c r="N216" s="1"/>
      <c r="O216" s="8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15"/>
      <c r="H217" s="1"/>
      <c r="I217" s="1"/>
      <c r="J217" s="1"/>
      <c r="K217" s="1"/>
      <c r="L217" s="1"/>
      <c r="M217" s="1"/>
      <c r="N217" s="1"/>
      <c r="O217" s="8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15"/>
      <c r="H218" s="1"/>
      <c r="I218" s="1"/>
      <c r="J218" s="1"/>
      <c r="K218" s="1"/>
      <c r="L218" s="1"/>
      <c r="M218" s="1"/>
      <c r="N218" s="1"/>
      <c r="O218" s="8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15"/>
      <c r="H219" s="1"/>
      <c r="I219" s="1"/>
      <c r="J219" s="1"/>
      <c r="K219" s="1"/>
      <c r="L219" s="1"/>
      <c r="M219" s="1"/>
      <c r="N219" s="1"/>
      <c r="O219" s="8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15"/>
      <c r="H220" s="1"/>
      <c r="I220" s="1"/>
      <c r="J220" s="1"/>
      <c r="K220" s="1"/>
      <c r="L220" s="1"/>
      <c r="M220" s="1"/>
      <c r="N220" s="1"/>
      <c r="O220" s="8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15"/>
      <c r="H221" s="1"/>
      <c r="I221" s="1"/>
      <c r="J221" s="1"/>
      <c r="K221" s="1"/>
      <c r="L221" s="1"/>
      <c r="M221" s="1"/>
      <c r="N221" s="1"/>
      <c r="O221" s="8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15"/>
      <c r="H222" s="1"/>
      <c r="I222" s="1"/>
      <c r="J222" s="1"/>
      <c r="K222" s="1"/>
      <c r="L222" s="1"/>
      <c r="M222" s="1"/>
      <c r="N222" s="1"/>
      <c r="O222" s="8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15"/>
      <c r="H223" s="1"/>
      <c r="I223" s="1"/>
      <c r="J223" s="1"/>
      <c r="K223" s="1"/>
      <c r="L223" s="1"/>
      <c r="M223" s="1"/>
      <c r="N223" s="1"/>
      <c r="O223" s="8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15"/>
      <c r="H224" s="1"/>
      <c r="I224" s="1"/>
      <c r="J224" s="1"/>
      <c r="K224" s="1"/>
      <c r="L224" s="1"/>
      <c r="M224" s="1"/>
      <c r="N224" s="1"/>
      <c r="O224" s="8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15"/>
      <c r="H225" s="1"/>
      <c r="I225" s="1"/>
      <c r="J225" s="1"/>
      <c r="K225" s="1"/>
      <c r="L225" s="1"/>
      <c r="M225" s="1"/>
      <c r="N225" s="1"/>
      <c r="O225" s="8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15"/>
      <c r="H226" s="1"/>
      <c r="I226" s="1"/>
      <c r="J226" s="1"/>
      <c r="K226" s="1"/>
      <c r="L226" s="1"/>
      <c r="M226" s="1"/>
      <c r="N226" s="1"/>
      <c r="O226" s="8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15"/>
      <c r="H227" s="1"/>
      <c r="I227" s="1"/>
      <c r="J227" s="1"/>
      <c r="K227" s="1"/>
      <c r="L227" s="1"/>
      <c r="M227" s="1"/>
      <c r="N227" s="1"/>
      <c r="O227" s="8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15"/>
      <c r="H228" s="1"/>
      <c r="I228" s="1"/>
      <c r="J228" s="1"/>
      <c r="K228" s="1"/>
      <c r="L228" s="1"/>
      <c r="M228" s="1"/>
      <c r="N228" s="1"/>
      <c r="O228" s="8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15"/>
      <c r="H229" s="1"/>
      <c r="I229" s="1"/>
      <c r="J229" s="1"/>
      <c r="K229" s="1"/>
      <c r="L229" s="1"/>
      <c r="M229" s="1"/>
      <c r="N229" s="1"/>
      <c r="O229" s="8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15"/>
      <c r="H230" s="1"/>
      <c r="I230" s="1"/>
      <c r="J230" s="1"/>
      <c r="K230" s="1"/>
      <c r="L230" s="1"/>
      <c r="M230" s="1"/>
      <c r="N230" s="1"/>
      <c r="O230" s="8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15"/>
      <c r="H231" s="1"/>
      <c r="I231" s="1"/>
      <c r="J231" s="1"/>
      <c r="K231" s="1"/>
      <c r="L231" s="1"/>
      <c r="M231" s="1"/>
      <c r="N231" s="1"/>
      <c r="O231" s="8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15"/>
      <c r="H232" s="1"/>
      <c r="I232" s="1"/>
      <c r="J232" s="1"/>
      <c r="K232" s="1"/>
      <c r="L232" s="1"/>
      <c r="M232" s="1"/>
      <c r="N232" s="1"/>
      <c r="O232" s="8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15"/>
      <c r="H233" s="1"/>
      <c r="I233" s="1"/>
      <c r="J233" s="1"/>
      <c r="K233" s="1"/>
      <c r="L233" s="1"/>
      <c r="M233" s="1"/>
      <c r="N233" s="1"/>
      <c r="O233" s="8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15"/>
      <c r="H234" s="1"/>
      <c r="I234" s="1"/>
      <c r="J234" s="1"/>
      <c r="K234" s="1"/>
      <c r="L234" s="1"/>
      <c r="M234" s="1"/>
      <c r="N234" s="1"/>
      <c r="O234" s="8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15"/>
      <c r="H235" s="1"/>
      <c r="I235" s="1"/>
      <c r="J235" s="1"/>
      <c r="K235" s="1"/>
      <c r="L235" s="1"/>
      <c r="M235" s="1"/>
      <c r="N235" s="1"/>
      <c r="O235" s="8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15"/>
      <c r="H236" s="1"/>
      <c r="I236" s="1"/>
      <c r="J236" s="1"/>
      <c r="K236" s="1"/>
      <c r="L236" s="1"/>
      <c r="M236" s="1"/>
      <c r="N236" s="1"/>
      <c r="O236" s="8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15"/>
      <c r="H237" s="1"/>
      <c r="I237" s="1"/>
      <c r="J237" s="1"/>
      <c r="K237" s="1"/>
      <c r="L237" s="1"/>
      <c r="M237" s="1"/>
      <c r="N237" s="1"/>
      <c r="O237" s="8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15"/>
      <c r="H238" s="1"/>
      <c r="I238" s="1"/>
      <c r="J238" s="1"/>
      <c r="K238" s="1"/>
      <c r="L238" s="1"/>
      <c r="M238" s="1"/>
      <c r="N238" s="1"/>
      <c r="O238" s="8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15"/>
      <c r="H239" s="1"/>
      <c r="I239" s="1"/>
      <c r="J239" s="1"/>
      <c r="K239" s="1"/>
      <c r="L239" s="1"/>
      <c r="M239" s="1"/>
      <c r="N239" s="1"/>
      <c r="O239" s="8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15"/>
      <c r="H240" s="1"/>
      <c r="I240" s="1"/>
      <c r="J240" s="1"/>
      <c r="K240" s="1"/>
      <c r="L240" s="1"/>
      <c r="M240" s="1"/>
      <c r="N240" s="1"/>
      <c r="O240" s="8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15"/>
      <c r="H241" s="1"/>
      <c r="I241" s="1"/>
      <c r="J241" s="1"/>
      <c r="K241" s="1"/>
      <c r="L241" s="1"/>
      <c r="M241" s="1"/>
      <c r="N241" s="1"/>
      <c r="O241" s="8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15"/>
      <c r="H242" s="1"/>
      <c r="I242" s="1"/>
      <c r="J242" s="1"/>
      <c r="K242" s="1"/>
      <c r="L242" s="1"/>
      <c r="M242" s="1"/>
      <c r="N242" s="1"/>
      <c r="O242" s="8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15"/>
      <c r="H243" s="1"/>
      <c r="I243" s="1"/>
      <c r="J243" s="1"/>
      <c r="K243" s="1"/>
      <c r="L243" s="1"/>
      <c r="M243" s="1"/>
      <c r="N243" s="1"/>
      <c r="O243" s="8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15"/>
      <c r="H244" s="1"/>
      <c r="I244" s="1"/>
      <c r="J244" s="1"/>
      <c r="K244" s="1"/>
      <c r="L244" s="1"/>
      <c r="M244" s="1"/>
      <c r="N244" s="1"/>
      <c r="O244" s="8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15"/>
      <c r="H245" s="1"/>
      <c r="I245" s="1"/>
      <c r="J245" s="1"/>
      <c r="K245" s="1"/>
      <c r="L245" s="1"/>
      <c r="M245" s="1"/>
      <c r="N245" s="1"/>
      <c r="O245" s="8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15"/>
      <c r="H246" s="1"/>
      <c r="I246" s="1"/>
      <c r="J246" s="1"/>
      <c r="K246" s="1"/>
      <c r="L246" s="1"/>
      <c r="M246" s="1"/>
      <c r="N246" s="1"/>
      <c r="O246" s="8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15"/>
      <c r="H247" s="1"/>
      <c r="I247" s="1"/>
      <c r="J247" s="1"/>
      <c r="K247" s="1"/>
      <c r="L247" s="1"/>
      <c r="M247" s="1"/>
      <c r="N247" s="1"/>
      <c r="O247" s="8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15"/>
      <c r="H248" s="1"/>
      <c r="I248" s="1"/>
      <c r="J248" s="1"/>
      <c r="K248" s="1"/>
      <c r="L248" s="1"/>
      <c r="M248" s="1"/>
      <c r="N248" s="1"/>
      <c r="O248" s="8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15"/>
      <c r="H249" s="1"/>
      <c r="I249" s="1"/>
      <c r="J249" s="1"/>
      <c r="K249" s="1"/>
      <c r="L249" s="1"/>
      <c r="M249" s="1"/>
      <c r="N249" s="1"/>
      <c r="O249" s="8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15"/>
      <c r="H250" s="1"/>
      <c r="I250" s="1"/>
      <c r="J250" s="1"/>
      <c r="K250" s="1"/>
      <c r="L250" s="1"/>
      <c r="M250" s="1"/>
      <c r="N250" s="1"/>
      <c r="O250" s="8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15"/>
      <c r="H251" s="1"/>
      <c r="I251" s="1"/>
      <c r="J251" s="1"/>
      <c r="K251" s="1"/>
      <c r="L251" s="1"/>
      <c r="M251" s="1"/>
      <c r="N251" s="1"/>
      <c r="O251" s="8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15"/>
      <c r="H252" s="1"/>
      <c r="I252" s="1"/>
      <c r="J252" s="1"/>
      <c r="K252" s="1"/>
      <c r="L252" s="1"/>
      <c r="M252" s="1"/>
      <c r="N252" s="1"/>
      <c r="O252" s="8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15"/>
      <c r="H253" s="1"/>
      <c r="I253" s="1"/>
      <c r="J253" s="1"/>
      <c r="K253" s="1"/>
      <c r="L253" s="1"/>
      <c r="M253" s="1"/>
      <c r="N253" s="1"/>
      <c r="O253" s="8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15"/>
      <c r="H254" s="1"/>
      <c r="I254" s="1"/>
      <c r="J254" s="1"/>
      <c r="K254" s="1"/>
      <c r="L254" s="1"/>
      <c r="M254" s="1"/>
      <c r="N254" s="1"/>
      <c r="O254" s="8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15"/>
      <c r="H255" s="1"/>
      <c r="I255" s="1"/>
      <c r="J255" s="1"/>
      <c r="K255" s="1"/>
      <c r="L255" s="1"/>
      <c r="M255" s="1"/>
      <c r="N255" s="1"/>
      <c r="O255" s="8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15"/>
      <c r="H256" s="1"/>
      <c r="I256" s="1"/>
      <c r="J256" s="1"/>
      <c r="K256" s="1"/>
      <c r="L256" s="1"/>
      <c r="M256" s="1"/>
      <c r="N256" s="1"/>
      <c r="O256" s="8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15"/>
      <c r="H257" s="1"/>
      <c r="I257" s="1"/>
      <c r="J257" s="1"/>
      <c r="K257" s="1"/>
      <c r="L257" s="1"/>
      <c r="M257" s="1"/>
      <c r="N257" s="1"/>
      <c r="O257" s="8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15"/>
      <c r="H258" s="1"/>
      <c r="I258" s="1"/>
      <c r="J258" s="1"/>
      <c r="K258" s="1"/>
      <c r="L258" s="1"/>
      <c r="M258" s="1"/>
      <c r="N258" s="1"/>
      <c r="O258" s="8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15"/>
      <c r="H259" s="1"/>
      <c r="I259" s="1"/>
      <c r="J259" s="1"/>
      <c r="K259" s="1"/>
      <c r="L259" s="1"/>
      <c r="M259" s="1"/>
      <c r="N259" s="1"/>
      <c r="O259" s="8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15"/>
      <c r="H260" s="1"/>
      <c r="I260" s="1"/>
      <c r="J260" s="1"/>
      <c r="K260" s="1"/>
      <c r="L260" s="1"/>
      <c r="M260" s="1"/>
      <c r="N260" s="1"/>
      <c r="O260" s="8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15"/>
      <c r="H261" s="1"/>
      <c r="I261" s="1"/>
      <c r="J261" s="1"/>
      <c r="K261" s="1"/>
      <c r="L261" s="1"/>
      <c r="M261" s="1"/>
      <c r="N261" s="1"/>
      <c r="O261" s="8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15"/>
      <c r="H262" s="1"/>
      <c r="I262" s="1"/>
      <c r="J262" s="1"/>
      <c r="K262" s="1"/>
      <c r="L262" s="1"/>
      <c r="M262" s="1"/>
      <c r="N262" s="1"/>
      <c r="O262" s="8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15"/>
      <c r="H263" s="1"/>
      <c r="I263" s="1"/>
      <c r="J263" s="1"/>
      <c r="K263" s="1"/>
      <c r="L263" s="1"/>
      <c r="M263" s="1"/>
      <c r="N263" s="1"/>
      <c r="O263" s="8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15"/>
      <c r="H264" s="1"/>
      <c r="I264" s="1"/>
      <c r="J264" s="1"/>
      <c r="K264" s="1"/>
      <c r="L264" s="1"/>
      <c r="M264" s="1"/>
      <c r="N264" s="1"/>
      <c r="O264" s="8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15"/>
      <c r="H265" s="1"/>
      <c r="I265" s="1"/>
      <c r="J265" s="1"/>
      <c r="K265" s="1"/>
      <c r="L265" s="1"/>
      <c r="M265" s="1"/>
      <c r="N265" s="1"/>
      <c r="O265" s="8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15"/>
      <c r="H266" s="1"/>
      <c r="I266" s="1"/>
      <c r="J266" s="1"/>
      <c r="K266" s="1"/>
      <c r="L266" s="1"/>
      <c r="M266" s="1"/>
      <c r="N266" s="1"/>
      <c r="O266" s="8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15"/>
      <c r="H267" s="1"/>
      <c r="I267" s="1"/>
      <c r="J267" s="1"/>
      <c r="K267" s="1"/>
      <c r="L267" s="1"/>
      <c r="M267" s="1"/>
      <c r="N267" s="1"/>
      <c r="O267" s="8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15"/>
      <c r="H268" s="1"/>
      <c r="I268" s="1"/>
      <c r="J268" s="1"/>
      <c r="K268" s="1"/>
      <c r="L268" s="1"/>
      <c r="M268" s="1"/>
      <c r="N268" s="1"/>
      <c r="O268" s="8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15"/>
      <c r="H269" s="1"/>
      <c r="I269" s="1"/>
      <c r="J269" s="1"/>
      <c r="K269" s="1"/>
      <c r="L269" s="1"/>
      <c r="M269" s="1"/>
      <c r="N269" s="1"/>
      <c r="O269" s="8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15"/>
      <c r="H270" s="1"/>
      <c r="I270" s="1"/>
      <c r="J270" s="1"/>
      <c r="K270" s="1"/>
      <c r="L270" s="1"/>
      <c r="M270" s="1"/>
      <c r="N270" s="1"/>
      <c r="O270" s="8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15"/>
      <c r="H271" s="1"/>
      <c r="I271" s="1"/>
      <c r="J271" s="1"/>
      <c r="K271" s="1"/>
      <c r="L271" s="1"/>
      <c r="M271" s="1"/>
      <c r="N271" s="1"/>
      <c r="O271" s="8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15"/>
      <c r="H272" s="1"/>
      <c r="I272" s="1"/>
      <c r="J272" s="1"/>
      <c r="K272" s="1"/>
      <c r="L272" s="1"/>
      <c r="M272" s="1"/>
      <c r="N272" s="1"/>
      <c r="O272" s="8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15"/>
      <c r="H273" s="1"/>
      <c r="I273" s="1"/>
      <c r="J273" s="1"/>
      <c r="K273" s="1"/>
      <c r="L273" s="1"/>
      <c r="M273" s="1"/>
      <c r="N273" s="1"/>
      <c r="O273" s="8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15"/>
      <c r="H274" s="1"/>
      <c r="I274" s="1"/>
      <c r="J274" s="1"/>
      <c r="K274" s="1"/>
      <c r="L274" s="1"/>
      <c r="M274" s="1"/>
      <c r="N274" s="1"/>
      <c r="O274" s="8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15"/>
      <c r="H275" s="1"/>
      <c r="I275" s="1"/>
      <c r="J275" s="1"/>
      <c r="K275" s="1"/>
      <c r="L275" s="1"/>
      <c r="M275" s="1"/>
      <c r="N275" s="1"/>
      <c r="O275" s="8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15"/>
      <c r="H276" s="1"/>
      <c r="I276" s="1"/>
      <c r="J276" s="1"/>
      <c r="K276" s="1"/>
      <c r="L276" s="1"/>
      <c r="M276" s="1"/>
      <c r="N276" s="1"/>
      <c r="O276" s="8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15"/>
      <c r="H277" s="1"/>
      <c r="I277" s="1"/>
      <c r="J277" s="1"/>
      <c r="K277" s="1"/>
      <c r="L277" s="1"/>
      <c r="M277" s="1"/>
      <c r="N277" s="1"/>
      <c r="O277" s="8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15"/>
      <c r="H278" s="1"/>
      <c r="I278" s="1"/>
      <c r="J278" s="1"/>
      <c r="K278" s="1"/>
      <c r="L278" s="1"/>
      <c r="M278" s="1"/>
      <c r="N278" s="1"/>
      <c r="O278" s="8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15"/>
      <c r="H279" s="1"/>
      <c r="I279" s="1"/>
      <c r="J279" s="1"/>
      <c r="K279" s="1"/>
      <c r="L279" s="1"/>
      <c r="M279" s="1"/>
      <c r="N279" s="1"/>
      <c r="O279" s="8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15"/>
      <c r="H280" s="1"/>
      <c r="I280" s="1"/>
      <c r="J280" s="1"/>
      <c r="K280" s="1"/>
      <c r="L280" s="1"/>
      <c r="M280" s="1"/>
      <c r="N280" s="1"/>
      <c r="O280" s="8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15"/>
      <c r="H281" s="1"/>
      <c r="I281" s="1"/>
      <c r="J281" s="1"/>
      <c r="K281" s="1"/>
      <c r="L281" s="1"/>
      <c r="M281" s="1"/>
      <c r="N281" s="1"/>
      <c r="O281" s="8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15"/>
      <c r="H282" s="1"/>
      <c r="I282" s="1"/>
      <c r="J282" s="1"/>
      <c r="K282" s="1"/>
      <c r="L282" s="1"/>
      <c r="M282" s="1"/>
      <c r="N282" s="1"/>
      <c r="O282" s="8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15"/>
      <c r="H283" s="1"/>
      <c r="I283" s="1"/>
      <c r="J283" s="1"/>
      <c r="K283" s="1"/>
      <c r="L283" s="1"/>
      <c r="M283" s="1"/>
      <c r="N283" s="1"/>
      <c r="O283" s="8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15"/>
      <c r="H284" s="1"/>
      <c r="I284" s="1"/>
      <c r="J284" s="1"/>
      <c r="K284" s="1"/>
      <c r="L284" s="1"/>
      <c r="M284" s="1"/>
      <c r="N284" s="1"/>
      <c r="O284" s="8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15"/>
      <c r="H285" s="1"/>
      <c r="I285" s="1"/>
      <c r="J285" s="1"/>
      <c r="K285" s="1"/>
      <c r="L285" s="1"/>
      <c r="M285" s="1"/>
      <c r="N285" s="1"/>
      <c r="O285" s="8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15"/>
      <c r="H286" s="1"/>
      <c r="I286" s="1"/>
      <c r="J286" s="1"/>
      <c r="K286" s="1"/>
      <c r="L286" s="1"/>
      <c r="M286" s="1"/>
      <c r="N286" s="1"/>
      <c r="O286" s="8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15"/>
      <c r="H287" s="1"/>
      <c r="I287" s="1"/>
      <c r="J287" s="1"/>
      <c r="K287" s="1"/>
      <c r="L287" s="1"/>
      <c r="M287" s="1"/>
      <c r="N287" s="1"/>
      <c r="O287" s="8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15"/>
      <c r="H288" s="1"/>
      <c r="I288" s="1"/>
      <c r="J288" s="1"/>
      <c r="K288" s="1"/>
      <c r="L288" s="1"/>
      <c r="M288" s="1"/>
      <c r="N288" s="1"/>
      <c r="O288" s="8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15"/>
      <c r="H289" s="1"/>
      <c r="I289" s="1"/>
      <c r="J289" s="1"/>
      <c r="K289" s="1"/>
      <c r="L289" s="1"/>
      <c r="M289" s="1"/>
      <c r="N289" s="1"/>
      <c r="O289" s="8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15"/>
      <c r="H290" s="1"/>
      <c r="I290" s="1"/>
      <c r="J290" s="1"/>
      <c r="K290" s="1"/>
      <c r="L290" s="1"/>
      <c r="M290" s="1"/>
      <c r="N290" s="1"/>
      <c r="O290" s="8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15"/>
      <c r="H291" s="1"/>
      <c r="I291" s="1"/>
      <c r="J291" s="1"/>
      <c r="K291" s="1"/>
      <c r="L291" s="1"/>
      <c r="M291" s="1"/>
      <c r="N291" s="1"/>
      <c r="O291" s="8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15"/>
      <c r="H292" s="1"/>
      <c r="I292" s="1"/>
      <c r="J292" s="1"/>
      <c r="K292" s="1"/>
      <c r="L292" s="1"/>
      <c r="M292" s="1"/>
      <c r="N292" s="1"/>
      <c r="O292" s="8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15"/>
      <c r="H293" s="1"/>
      <c r="I293" s="1"/>
      <c r="J293" s="1"/>
      <c r="K293" s="1"/>
      <c r="L293" s="1"/>
      <c r="M293" s="1"/>
      <c r="N293" s="1"/>
      <c r="O293" s="8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15"/>
      <c r="H294" s="1"/>
      <c r="I294" s="1"/>
      <c r="J294" s="1"/>
      <c r="K294" s="1"/>
      <c r="L294" s="1"/>
      <c r="M294" s="1"/>
      <c r="N294" s="1"/>
      <c r="O294" s="8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15"/>
      <c r="H295" s="1"/>
      <c r="I295" s="1"/>
      <c r="J295" s="1"/>
      <c r="K295" s="1"/>
      <c r="L295" s="1"/>
      <c r="M295" s="1"/>
      <c r="N295" s="1"/>
      <c r="O295" s="8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15"/>
      <c r="H296" s="1"/>
      <c r="I296" s="1"/>
      <c r="J296" s="1"/>
      <c r="K296" s="1"/>
      <c r="L296" s="1"/>
      <c r="M296" s="1"/>
      <c r="N296" s="1"/>
      <c r="O296" s="8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15"/>
      <c r="H297" s="1"/>
      <c r="I297" s="1"/>
      <c r="J297" s="1"/>
      <c r="K297" s="1"/>
      <c r="L297" s="1"/>
      <c r="M297" s="1"/>
      <c r="N297" s="1"/>
      <c r="O297" s="8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15"/>
      <c r="H298" s="1"/>
      <c r="I298" s="1"/>
      <c r="J298" s="1"/>
      <c r="K298" s="1"/>
      <c r="L298" s="1"/>
      <c r="M298" s="1"/>
      <c r="N298" s="1"/>
      <c r="O298" s="8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15"/>
      <c r="H299" s="1"/>
      <c r="I299" s="1"/>
      <c r="J299" s="1"/>
      <c r="K299" s="1"/>
      <c r="L299" s="1"/>
      <c r="M299" s="1"/>
      <c r="N299" s="1"/>
      <c r="O299" s="8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15"/>
      <c r="H300" s="1"/>
      <c r="I300" s="1"/>
      <c r="J300" s="1"/>
      <c r="K300" s="1"/>
      <c r="L300" s="1"/>
      <c r="M300" s="1"/>
      <c r="N300" s="1"/>
      <c r="O300" s="8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15"/>
      <c r="H301" s="1"/>
      <c r="I301" s="1"/>
      <c r="J301" s="1"/>
      <c r="K301" s="1"/>
      <c r="L301" s="1"/>
      <c r="M301" s="1"/>
      <c r="N301" s="1"/>
      <c r="O301" s="8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15"/>
      <c r="H302" s="1"/>
      <c r="I302" s="1"/>
      <c r="J302" s="1"/>
      <c r="K302" s="1"/>
      <c r="L302" s="1"/>
      <c r="M302" s="1"/>
      <c r="N302" s="1"/>
      <c r="O302" s="8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15"/>
      <c r="H303" s="1"/>
      <c r="I303" s="1"/>
      <c r="J303" s="1"/>
      <c r="K303" s="1"/>
      <c r="L303" s="1"/>
      <c r="M303" s="1"/>
      <c r="N303" s="1"/>
      <c r="O303" s="8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15"/>
      <c r="H304" s="1"/>
      <c r="I304" s="1"/>
      <c r="J304" s="1"/>
      <c r="K304" s="1"/>
      <c r="L304" s="1"/>
      <c r="M304" s="1"/>
      <c r="N304" s="1"/>
      <c r="O304" s="8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15"/>
      <c r="H305" s="1"/>
      <c r="I305" s="1"/>
      <c r="J305" s="1"/>
      <c r="K305" s="1"/>
      <c r="L305" s="1"/>
      <c r="M305" s="1"/>
      <c r="N305" s="1"/>
      <c r="O305" s="8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15"/>
      <c r="H306" s="1"/>
      <c r="I306" s="1"/>
      <c r="J306" s="1"/>
      <c r="K306" s="1"/>
      <c r="L306" s="1"/>
      <c r="M306" s="1"/>
      <c r="N306" s="1"/>
      <c r="O306" s="8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15"/>
      <c r="H307" s="1"/>
      <c r="I307" s="1"/>
      <c r="J307" s="1"/>
      <c r="K307" s="1"/>
      <c r="L307" s="1"/>
      <c r="M307" s="1"/>
      <c r="N307" s="1"/>
      <c r="O307" s="8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15"/>
      <c r="H308" s="1"/>
      <c r="I308" s="1"/>
      <c r="J308" s="1"/>
      <c r="K308" s="1"/>
      <c r="L308" s="1"/>
      <c r="M308" s="1"/>
      <c r="N308" s="1"/>
      <c r="O308" s="8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15"/>
      <c r="H309" s="1"/>
      <c r="I309" s="1"/>
      <c r="J309" s="1"/>
      <c r="K309" s="1"/>
      <c r="L309" s="1"/>
      <c r="M309" s="1"/>
      <c r="N309" s="1"/>
      <c r="O309" s="8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15"/>
      <c r="H310" s="1"/>
      <c r="I310" s="1"/>
      <c r="J310" s="1"/>
      <c r="K310" s="1"/>
      <c r="L310" s="1"/>
      <c r="M310" s="1"/>
      <c r="N310" s="1"/>
      <c r="O310" s="8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15"/>
      <c r="H311" s="1"/>
      <c r="I311" s="1"/>
      <c r="J311" s="1"/>
      <c r="K311" s="1"/>
      <c r="L311" s="1"/>
      <c r="M311" s="1"/>
      <c r="N311" s="1"/>
      <c r="O311" s="8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15"/>
      <c r="H312" s="1"/>
      <c r="I312" s="1"/>
      <c r="J312" s="1"/>
      <c r="K312" s="1"/>
      <c r="L312" s="1"/>
      <c r="M312" s="1"/>
      <c r="N312" s="1"/>
      <c r="O312" s="8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15"/>
      <c r="H313" s="1"/>
      <c r="I313" s="1"/>
      <c r="J313" s="1"/>
      <c r="K313" s="1"/>
      <c r="L313" s="1"/>
      <c r="M313" s="1"/>
      <c r="N313" s="1"/>
      <c r="O313" s="8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15"/>
      <c r="H314" s="1"/>
      <c r="I314" s="1"/>
      <c r="J314" s="1"/>
      <c r="K314" s="1"/>
      <c r="L314" s="1"/>
      <c r="M314" s="1"/>
      <c r="N314" s="1"/>
      <c r="O314" s="8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15"/>
      <c r="H315" s="1"/>
      <c r="I315" s="1"/>
      <c r="J315" s="1"/>
      <c r="K315" s="1"/>
      <c r="L315" s="1"/>
      <c r="M315" s="1"/>
      <c r="N315" s="1"/>
      <c r="O315" s="8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15"/>
      <c r="H316" s="1"/>
      <c r="I316" s="1"/>
      <c r="J316" s="1"/>
      <c r="K316" s="1"/>
      <c r="L316" s="1"/>
      <c r="M316" s="1"/>
      <c r="N316" s="1"/>
      <c r="O316" s="8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15"/>
      <c r="H317" s="1"/>
      <c r="I317" s="1"/>
      <c r="J317" s="1"/>
      <c r="K317" s="1"/>
      <c r="L317" s="1"/>
      <c r="M317" s="1"/>
      <c r="N317" s="1"/>
      <c r="O317" s="8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15"/>
      <c r="H318" s="1"/>
      <c r="I318" s="1"/>
      <c r="J318" s="1"/>
      <c r="K318" s="1"/>
      <c r="L318" s="1"/>
      <c r="M318" s="1"/>
      <c r="N318" s="1"/>
      <c r="O318" s="8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15"/>
      <c r="H319" s="1"/>
      <c r="I319" s="1"/>
      <c r="J319" s="1"/>
      <c r="K319" s="1"/>
      <c r="L319" s="1"/>
      <c r="M319" s="1"/>
      <c r="N319" s="1"/>
      <c r="O319" s="8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15"/>
      <c r="H320" s="1"/>
      <c r="I320" s="1"/>
      <c r="J320" s="1"/>
      <c r="K320" s="1"/>
      <c r="L320" s="1"/>
      <c r="M320" s="1"/>
      <c r="N320" s="1"/>
      <c r="O320" s="8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15"/>
      <c r="H321" s="1"/>
      <c r="I321" s="1"/>
      <c r="J321" s="1"/>
      <c r="K321" s="1"/>
      <c r="L321" s="1"/>
      <c r="M321" s="1"/>
      <c r="N321" s="1"/>
      <c r="O321" s="8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15"/>
      <c r="H322" s="1"/>
      <c r="I322" s="1"/>
      <c r="J322" s="1"/>
      <c r="K322" s="1"/>
      <c r="L322" s="1"/>
      <c r="M322" s="1"/>
      <c r="N322" s="1"/>
      <c r="O322" s="8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15"/>
      <c r="H323" s="1"/>
      <c r="I323" s="1"/>
      <c r="J323" s="1"/>
      <c r="K323" s="1"/>
      <c r="L323" s="1"/>
      <c r="M323" s="1"/>
      <c r="N323" s="1"/>
      <c r="O323" s="8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15"/>
      <c r="H324" s="1"/>
      <c r="I324" s="1"/>
      <c r="J324" s="1"/>
      <c r="K324" s="1"/>
      <c r="L324" s="1"/>
      <c r="M324" s="1"/>
      <c r="N324" s="1"/>
      <c r="O324" s="8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15"/>
      <c r="H325" s="1"/>
      <c r="I325" s="1"/>
      <c r="J325" s="1"/>
      <c r="K325" s="1"/>
      <c r="L325" s="1"/>
      <c r="M325" s="1"/>
      <c r="N325" s="1"/>
      <c r="O325" s="8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15"/>
      <c r="H326" s="1"/>
      <c r="I326" s="1"/>
      <c r="J326" s="1"/>
      <c r="K326" s="1"/>
      <c r="L326" s="1"/>
      <c r="M326" s="1"/>
      <c r="N326" s="1"/>
      <c r="O326" s="8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15"/>
      <c r="H327" s="1"/>
      <c r="I327" s="1"/>
      <c r="J327" s="1"/>
      <c r="K327" s="1"/>
      <c r="L327" s="1"/>
      <c r="M327" s="1"/>
      <c r="N327" s="1"/>
      <c r="O327" s="8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15"/>
      <c r="H328" s="1"/>
      <c r="I328" s="1"/>
      <c r="J328" s="1"/>
      <c r="K328" s="1"/>
      <c r="L328" s="1"/>
      <c r="M328" s="1"/>
      <c r="N328" s="1"/>
      <c r="O328" s="8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15"/>
      <c r="H329" s="1"/>
      <c r="I329" s="1"/>
      <c r="J329" s="1"/>
      <c r="K329" s="1"/>
      <c r="L329" s="1"/>
      <c r="M329" s="1"/>
      <c r="N329" s="1"/>
      <c r="O329" s="8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15"/>
      <c r="H330" s="1"/>
      <c r="I330" s="1"/>
      <c r="J330" s="1"/>
      <c r="K330" s="1"/>
      <c r="L330" s="1"/>
      <c r="M330" s="1"/>
      <c r="N330" s="1"/>
      <c r="O330" s="8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15"/>
      <c r="H331" s="1"/>
      <c r="I331" s="1"/>
      <c r="J331" s="1"/>
      <c r="K331" s="1"/>
      <c r="L331" s="1"/>
      <c r="M331" s="1"/>
      <c r="N331" s="1"/>
      <c r="O331" s="8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15"/>
      <c r="H332" s="1"/>
      <c r="I332" s="1"/>
      <c r="J332" s="1"/>
      <c r="K332" s="1"/>
      <c r="L332" s="1"/>
      <c r="M332" s="1"/>
      <c r="N332" s="1"/>
      <c r="O332" s="8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15"/>
      <c r="H333" s="1"/>
      <c r="I333" s="1"/>
      <c r="J333" s="1"/>
      <c r="K333" s="1"/>
      <c r="L333" s="1"/>
      <c r="M333" s="1"/>
      <c r="N333" s="1"/>
      <c r="O333" s="8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15"/>
      <c r="H334" s="1"/>
      <c r="I334" s="1"/>
      <c r="J334" s="1"/>
      <c r="K334" s="1"/>
      <c r="L334" s="1"/>
      <c r="M334" s="1"/>
      <c r="N334" s="1"/>
      <c r="O334" s="8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15"/>
      <c r="H335" s="1"/>
      <c r="I335" s="1"/>
      <c r="J335" s="1"/>
      <c r="K335" s="1"/>
      <c r="L335" s="1"/>
      <c r="M335" s="1"/>
      <c r="N335" s="1"/>
      <c r="O335" s="8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15"/>
      <c r="H336" s="1"/>
      <c r="I336" s="1"/>
      <c r="J336" s="1"/>
      <c r="K336" s="1"/>
      <c r="L336" s="1"/>
      <c r="M336" s="1"/>
      <c r="N336" s="1"/>
      <c r="O336" s="8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15"/>
      <c r="H337" s="1"/>
      <c r="I337" s="1"/>
      <c r="J337" s="1"/>
      <c r="K337" s="1"/>
      <c r="L337" s="1"/>
      <c r="M337" s="1"/>
      <c r="N337" s="1"/>
      <c r="O337" s="8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15"/>
      <c r="H338" s="1"/>
      <c r="I338" s="1"/>
      <c r="J338" s="1"/>
      <c r="K338" s="1"/>
      <c r="L338" s="1"/>
      <c r="M338" s="1"/>
      <c r="N338" s="1"/>
      <c r="O338" s="8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15"/>
      <c r="H339" s="1"/>
      <c r="I339" s="1"/>
      <c r="J339" s="1"/>
      <c r="K339" s="1"/>
      <c r="L339" s="1"/>
      <c r="M339" s="1"/>
      <c r="N339" s="1"/>
      <c r="O339" s="8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15"/>
      <c r="H340" s="1"/>
      <c r="I340" s="1"/>
      <c r="J340" s="1"/>
      <c r="K340" s="1"/>
      <c r="L340" s="1"/>
      <c r="M340" s="1"/>
      <c r="N340" s="1"/>
      <c r="O340" s="8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15"/>
      <c r="H341" s="1"/>
      <c r="I341" s="1"/>
      <c r="J341" s="1"/>
      <c r="K341" s="1"/>
      <c r="L341" s="1"/>
      <c r="M341" s="1"/>
      <c r="N341" s="1"/>
      <c r="O341" s="8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15"/>
      <c r="H342" s="1"/>
      <c r="I342" s="1"/>
      <c r="J342" s="1"/>
      <c r="K342" s="1"/>
      <c r="L342" s="1"/>
      <c r="M342" s="1"/>
      <c r="N342" s="1"/>
      <c r="O342" s="8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15"/>
      <c r="H343" s="1"/>
      <c r="I343" s="1"/>
      <c r="J343" s="1"/>
      <c r="K343" s="1"/>
      <c r="L343" s="1"/>
      <c r="M343" s="1"/>
      <c r="N343" s="1"/>
      <c r="O343" s="8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15"/>
      <c r="H344" s="1"/>
      <c r="I344" s="1"/>
      <c r="J344" s="1"/>
      <c r="K344" s="1"/>
      <c r="L344" s="1"/>
      <c r="M344" s="1"/>
      <c r="N344" s="1"/>
      <c r="O344" s="8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15"/>
      <c r="H345" s="1"/>
      <c r="I345" s="1"/>
      <c r="J345" s="1"/>
      <c r="K345" s="1"/>
      <c r="L345" s="1"/>
      <c r="M345" s="1"/>
      <c r="N345" s="1"/>
      <c r="O345" s="8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15"/>
      <c r="H346" s="1"/>
      <c r="I346" s="1"/>
      <c r="J346" s="1"/>
      <c r="K346" s="1"/>
      <c r="L346" s="1"/>
      <c r="M346" s="1"/>
      <c r="N346" s="1"/>
      <c r="O346" s="8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15"/>
      <c r="H347" s="1"/>
      <c r="I347" s="1"/>
      <c r="J347" s="1"/>
      <c r="K347" s="1"/>
      <c r="L347" s="1"/>
      <c r="M347" s="1"/>
      <c r="N347" s="1"/>
      <c r="O347" s="8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15"/>
      <c r="H348" s="1"/>
      <c r="I348" s="1"/>
      <c r="J348" s="1"/>
      <c r="K348" s="1"/>
      <c r="L348" s="1"/>
      <c r="M348" s="1"/>
      <c r="N348" s="1"/>
      <c r="O348" s="8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15"/>
      <c r="H349" s="1"/>
      <c r="I349" s="1"/>
      <c r="J349" s="1"/>
      <c r="K349" s="1"/>
      <c r="L349" s="1"/>
      <c r="M349" s="1"/>
      <c r="N349" s="1"/>
      <c r="O349" s="8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15"/>
      <c r="H350" s="1"/>
      <c r="I350" s="1"/>
      <c r="J350" s="1"/>
      <c r="K350" s="1"/>
      <c r="L350" s="1"/>
      <c r="M350" s="1"/>
      <c r="N350" s="1"/>
      <c r="O350" s="8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15"/>
      <c r="H351" s="1"/>
      <c r="I351" s="1"/>
      <c r="J351" s="1"/>
      <c r="K351" s="1"/>
      <c r="L351" s="1"/>
      <c r="M351" s="1"/>
      <c r="N351" s="1"/>
      <c r="O351" s="8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15"/>
      <c r="H352" s="1"/>
      <c r="I352" s="1"/>
      <c r="J352" s="1"/>
      <c r="K352" s="1"/>
      <c r="L352" s="1"/>
      <c r="M352" s="1"/>
      <c r="N352" s="1"/>
      <c r="O352" s="8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15"/>
      <c r="H353" s="1"/>
      <c r="I353" s="1"/>
      <c r="J353" s="1"/>
      <c r="K353" s="1"/>
      <c r="L353" s="1"/>
      <c r="M353" s="1"/>
      <c r="N353" s="1"/>
      <c r="O353" s="8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15"/>
      <c r="H354" s="1"/>
      <c r="I354" s="1"/>
      <c r="J354" s="1"/>
      <c r="K354" s="1"/>
      <c r="L354" s="1"/>
      <c r="M354" s="1"/>
      <c r="N354" s="1"/>
      <c r="O354" s="8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15"/>
      <c r="H355" s="1"/>
      <c r="I355" s="1"/>
      <c r="J355" s="1"/>
      <c r="K355" s="1"/>
      <c r="L355" s="1"/>
      <c r="M355" s="1"/>
      <c r="N355" s="1"/>
      <c r="O355" s="8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15"/>
      <c r="H356" s="1"/>
      <c r="I356" s="1"/>
      <c r="J356" s="1"/>
      <c r="K356" s="1"/>
      <c r="L356" s="1"/>
      <c r="M356" s="1"/>
      <c r="N356" s="1"/>
      <c r="O356" s="8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15"/>
      <c r="H357" s="1"/>
      <c r="I357" s="1"/>
      <c r="J357" s="1"/>
      <c r="K357" s="1"/>
      <c r="L357" s="1"/>
      <c r="M357" s="1"/>
      <c r="N357" s="1"/>
      <c r="O357" s="8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15"/>
      <c r="H358" s="1"/>
      <c r="I358" s="1"/>
      <c r="J358" s="1"/>
      <c r="K358" s="1"/>
      <c r="L358" s="1"/>
      <c r="M358" s="1"/>
      <c r="N358" s="1"/>
      <c r="O358" s="8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15"/>
      <c r="H359" s="1"/>
      <c r="I359" s="1"/>
      <c r="J359" s="1"/>
      <c r="K359" s="1"/>
      <c r="L359" s="1"/>
      <c r="M359" s="1"/>
      <c r="N359" s="1"/>
      <c r="O359" s="8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15"/>
      <c r="H360" s="1"/>
      <c r="I360" s="1"/>
      <c r="J360" s="1"/>
      <c r="K360" s="1"/>
      <c r="L360" s="1"/>
      <c r="M360" s="1"/>
      <c r="N360" s="1"/>
      <c r="O360" s="8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15"/>
      <c r="H361" s="1"/>
      <c r="I361" s="1"/>
      <c r="J361" s="1"/>
      <c r="K361" s="1"/>
      <c r="L361" s="1"/>
      <c r="M361" s="1"/>
      <c r="N361" s="1"/>
      <c r="O361" s="8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15"/>
      <c r="H362" s="1"/>
      <c r="I362" s="1"/>
      <c r="J362" s="1"/>
      <c r="K362" s="1"/>
      <c r="L362" s="1"/>
      <c r="M362" s="1"/>
      <c r="N362" s="1"/>
      <c r="O362" s="8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15"/>
      <c r="H363" s="1"/>
      <c r="I363" s="1"/>
      <c r="J363" s="1"/>
      <c r="K363" s="1"/>
      <c r="L363" s="1"/>
      <c r="M363" s="1"/>
      <c r="N363" s="1"/>
      <c r="O363" s="8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15"/>
      <c r="H364" s="1"/>
      <c r="I364" s="1"/>
      <c r="J364" s="1"/>
      <c r="K364" s="1"/>
      <c r="L364" s="1"/>
      <c r="M364" s="1"/>
      <c r="N364" s="1"/>
      <c r="O364" s="8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15"/>
      <c r="H365" s="1"/>
      <c r="I365" s="1"/>
      <c r="J365" s="1"/>
      <c r="K365" s="1"/>
      <c r="L365" s="1"/>
      <c r="M365" s="1"/>
      <c r="N365" s="1"/>
      <c r="O365" s="8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15"/>
      <c r="H366" s="1"/>
      <c r="I366" s="1"/>
      <c r="J366" s="1"/>
      <c r="K366" s="1"/>
      <c r="L366" s="1"/>
      <c r="M366" s="1"/>
      <c r="N366" s="1"/>
      <c r="O366" s="8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15"/>
      <c r="H367" s="1"/>
      <c r="I367" s="1"/>
      <c r="J367" s="1"/>
      <c r="K367" s="1"/>
      <c r="L367" s="1"/>
      <c r="M367" s="1"/>
      <c r="N367" s="1"/>
      <c r="O367" s="8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15"/>
      <c r="H368" s="1"/>
      <c r="I368" s="1"/>
      <c r="J368" s="1"/>
      <c r="K368" s="1"/>
      <c r="L368" s="1"/>
      <c r="M368" s="1"/>
      <c r="N368" s="1"/>
      <c r="O368" s="8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15"/>
      <c r="H369" s="1"/>
      <c r="I369" s="1"/>
      <c r="J369" s="1"/>
      <c r="K369" s="1"/>
      <c r="L369" s="1"/>
      <c r="M369" s="1"/>
      <c r="N369" s="1"/>
      <c r="O369" s="8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15"/>
      <c r="H370" s="1"/>
      <c r="I370" s="1"/>
      <c r="J370" s="1"/>
      <c r="K370" s="1"/>
      <c r="L370" s="1"/>
      <c r="M370" s="1"/>
      <c r="N370" s="1"/>
      <c r="O370" s="8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15"/>
      <c r="H371" s="1"/>
      <c r="I371" s="1"/>
      <c r="J371" s="1"/>
      <c r="K371" s="1"/>
      <c r="L371" s="1"/>
      <c r="M371" s="1"/>
      <c r="N371" s="1"/>
      <c r="O371" s="8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15"/>
      <c r="H372" s="1"/>
      <c r="I372" s="1"/>
      <c r="J372" s="1"/>
      <c r="K372" s="1"/>
      <c r="L372" s="1"/>
      <c r="M372" s="1"/>
      <c r="N372" s="1"/>
      <c r="O372" s="8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15"/>
      <c r="H373" s="1"/>
      <c r="I373" s="1"/>
      <c r="J373" s="1"/>
      <c r="K373" s="1"/>
      <c r="L373" s="1"/>
      <c r="M373" s="1"/>
      <c r="N373" s="1"/>
      <c r="O373" s="8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15"/>
      <c r="H374" s="1"/>
      <c r="I374" s="1"/>
      <c r="J374" s="1"/>
      <c r="K374" s="1"/>
      <c r="L374" s="1"/>
      <c r="M374" s="1"/>
      <c r="N374" s="1"/>
      <c r="O374" s="8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15"/>
      <c r="H375" s="1"/>
      <c r="I375" s="1"/>
      <c r="J375" s="1"/>
      <c r="K375" s="1"/>
      <c r="L375" s="1"/>
      <c r="M375" s="1"/>
      <c r="N375" s="1"/>
      <c r="O375" s="8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15"/>
      <c r="H376" s="1"/>
      <c r="I376" s="1"/>
      <c r="J376" s="1"/>
      <c r="K376" s="1"/>
      <c r="L376" s="1"/>
      <c r="M376" s="1"/>
      <c r="N376" s="1"/>
      <c r="O376" s="8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15"/>
      <c r="H377" s="1"/>
      <c r="I377" s="1"/>
      <c r="J377" s="1"/>
      <c r="K377" s="1"/>
      <c r="L377" s="1"/>
      <c r="M377" s="1"/>
      <c r="N377" s="1"/>
      <c r="O377" s="8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15"/>
      <c r="H378" s="1"/>
      <c r="I378" s="1"/>
      <c r="J378" s="1"/>
      <c r="K378" s="1"/>
      <c r="L378" s="1"/>
      <c r="M378" s="1"/>
      <c r="N378" s="1"/>
      <c r="O378" s="8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15"/>
      <c r="H379" s="1"/>
      <c r="I379" s="1"/>
      <c r="J379" s="1"/>
      <c r="K379" s="1"/>
      <c r="L379" s="1"/>
      <c r="M379" s="1"/>
      <c r="N379" s="1"/>
      <c r="O379" s="8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15"/>
      <c r="H380" s="1"/>
      <c r="I380" s="1"/>
      <c r="J380" s="1"/>
      <c r="K380" s="1"/>
      <c r="L380" s="1"/>
      <c r="M380" s="1"/>
      <c r="N380" s="1"/>
      <c r="O380" s="8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15"/>
      <c r="H381" s="1"/>
      <c r="I381" s="1"/>
      <c r="J381" s="1"/>
      <c r="K381" s="1"/>
      <c r="L381" s="1"/>
      <c r="M381" s="1"/>
      <c r="N381" s="1"/>
      <c r="O381" s="8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15"/>
      <c r="H382" s="1"/>
      <c r="I382" s="1"/>
      <c r="J382" s="1"/>
      <c r="K382" s="1"/>
      <c r="L382" s="1"/>
      <c r="M382" s="1"/>
      <c r="N382" s="1"/>
      <c r="O382" s="8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15"/>
      <c r="H383" s="1"/>
      <c r="I383" s="1"/>
      <c r="J383" s="1"/>
      <c r="K383" s="1"/>
      <c r="L383" s="1"/>
      <c r="M383" s="1"/>
      <c r="N383" s="1"/>
      <c r="O383" s="8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15"/>
      <c r="H384" s="1"/>
      <c r="I384" s="1"/>
      <c r="J384" s="1"/>
      <c r="K384" s="1"/>
      <c r="L384" s="1"/>
      <c r="M384" s="1"/>
      <c r="N384" s="1"/>
      <c r="O384" s="8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15"/>
      <c r="H385" s="1"/>
      <c r="I385" s="1"/>
      <c r="J385" s="1"/>
      <c r="K385" s="1"/>
      <c r="L385" s="1"/>
      <c r="M385" s="1"/>
      <c r="N385" s="1"/>
      <c r="O385" s="8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15"/>
      <c r="H386" s="1"/>
      <c r="I386" s="1"/>
      <c r="J386" s="1"/>
      <c r="K386" s="1"/>
      <c r="L386" s="1"/>
      <c r="M386" s="1"/>
      <c r="N386" s="1"/>
      <c r="O386" s="8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15"/>
      <c r="H387" s="1"/>
      <c r="I387" s="1"/>
      <c r="J387" s="1"/>
      <c r="K387" s="1"/>
      <c r="L387" s="1"/>
      <c r="M387" s="1"/>
      <c r="N387" s="1"/>
      <c r="O387" s="8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15"/>
      <c r="H388" s="1"/>
      <c r="I388" s="1"/>
      <c r="J388" s="1"/>
      <c r="K388" s="1"/>
      <c r="L388" s="1"/>
      <c r="M388" s="1"/>
      <c r="N388" s="1"/>
      <c r="O388" s="8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15"/>
      <c r="H389" s="1"/>
      <c r="I389" s="1"/>
      <c r="J389" s="1"/>
      <c r="K389" s="1"/>
      <c r="L389" s="1"/>
      <c r="M389" s="1"/>
      <c r="N389" s="1"/>
      <c r="O389" s="8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15"/>
      <c r="H390" s="1"/>
      <c r="I390" s="1"/>
      <c r="J390" s="1"/>
      <c r="K390" s="1"/>
      <c r="L390" s="1"/>
      <c r="M390" s="1"/>
      <c r="N390" s="1"/>
      <c r="O390" s="8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15"/>
      <c r="H391" s="1"/>
      <c r="I391" s="1"/>
      <c r="J391" s="1"/>
      <c r="K391" s="1"/>
      <c r="L391" s="1"/>
      <c r="M391" s="1"/>
      <c r="N391" s="1"/>
      <c r="O391" s="8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15"/>
      <c r="H392" s="1"/>
      <c r="I392" s="1"/>
      <c r="J392" s="1"/>
      <c r="K392" s="1"/>
      <c r="L392" s="1"/>
      <c r="M392" s="1"/>
      <c r="N392" s="1"/>
      <c r="O392" s="8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15"/>
      <c r="H393" s="1"/>
      <c r="I393" s="1"/>
      <c r="J393" s="1"/>
      <c r="K393" s="1"/>
      <c r="L393" s="1"/>
      <c r="M393" s="1"/>
      <c r="N393" s="1"/>
      <c r="O393" s="8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15"/>
      <c r="H394" s="1"/>
      <c r="I394" s="1"/>
      <c r="J394" s="1"/>
      <c r="K394" s="1"/>
      <c r="L394" s="1"/>
      <c r="M394" s="1"/>
      <c r="N394" s="1"/>
      <c r="O394" s="8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15"/>
      <c r="H395" s="1"/>
      <c r="I395" s="1"/>
      <c r="J395" s="1"/>
      <c r="K395" s="1"/>
      <c r="L395" s="1"/>
      <c r="M395" s="1"/>
      <c r="N395" s="1"/>
      <c r="O395" s="8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15"/>
      <c r="H396" s="1"/>
      <c r="I396" s="1"/>
      <c r="J396" s="1"/>
      <c r="K396" s="1"/>
      <c r="L396" s="1"/>
      <c r="M396" s="1"/>
      <c r="N396" s="1"/>
      <c r="O396" s="8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15"/>
      <c r="H397" s="1"/>
      <c r="I397" s="1"/>
      <c r="J397" s="1"/>
      <c r="K397" s="1"/>
      <c r="L397" s="1"/>
      <c r="M397" s="1"/>
      <c r="N397" s="1"/>
      <c r="O397" s="8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15"/>
      <c r="H398" s="1"/>
      <c r="I398" s="1"/>
      <c r="J398" s="1"/>
      <c r="K398" s="1"/>
      <c r="L398" s="1"/>
      <c r="M398" s="1"/>
      <c r="N398" s="1"/>
      <c r="O398" s="8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15"/>
      <c r="H399" s="1"/>
      <c r="I399" s="1"/>
      <c r="J399" s="1"/>
      <c r="K399" s="1"/>
      <c r="L399" s="1"/>
      <c r="M399" s="1"/>
      <c r="N399" s="1"/>
      <c r="O399" s="8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15"/>
      <c r="H400" s="1"/>
      <c r="I400" s="1"/>
      <c r="J400" s="1"/>
      <c r="K400" s="1"/>
      <c r="L400" s="1"/>
      <c r="M400" s="1"/>
      <c r="N400" s="1"/>
      <c r="O400" s="8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15"/>
      <c r="H401" s="1"/>
      <c r="I401" s="1"/>
      <c r="J401" s="1"/>
      <c r="K401" s="1"/>
      <c r="L401" s="1"/>
      <c r="M401" s="1"/>
      <c r="N401" s="1"/>
      <c r="O401" s="8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15"/>
      <c r="H402" s="1"/>
      <c r="I402" s="1"/>
      <c r="J402" s="1"/>
      <c r="K402" s="1"/>
      <c r="L402" s="1"/>
      <c r="M402" s="1"/>
      <c r="N402" s="1"/>
      <c r="O402" s="8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15"/>
      <c r="H403" s="1"/>
      <c r="I403" s="1"/>
      <c r="J403" s="1"/>
      <c r="K403" s="1"/>
      <c r="L403" s="1"/>
      <c r="M403" s="1"/>
      <c r="N403" s="1"/>
      <c r="O403" s="8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15"/>
      <c r="H404" s="1"/>
      <c r="I404" s="1"/>
      <c r="J404" s="1"/>
      <c r="K404" s="1"/>
      <c r="L404" s="1"/>
      <c r="M404" s="1"/>
      <c r="N404" s="1"/>
      <c r="O404" s="8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15"/>
      <c r="H405" s="1"/>
      <c r="I405" s="1"/>
      <c r="J405" s="1"/>
      <c r="K405" s="1"/>
      <c r="L405" s="1"/>
      <c r="M405" s="1"/>
      <c r="N405" s="1"/>
      <c r="O405" s="8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15"/>
      <c r="H406" s="1"/>
      <c r="I406" s="1"/>
      <c r="J406" s="1"/>
      <c r="K406" s="1"/>
      <c r="L406" s="1"/>
      <c r="M406" s="1"/>
      <c r="N406" s="1"/>
      <c r="O406" s="8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15"/>
      <c r="H407" s="1"/>
      <c r="I407" s="1"/>
      <c r="J407" s="1"/>
      <c r="K407" s="1"/>
      <c r="L407" s="1"/>
      <c r="M407" s="1"/>
      <c r="N407" s="1"/>
      <c r="O407" s="8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15"/>
      <c r="H408" s="1"/>
      <c r="I408" s="1"/>
      <c r="J408" s="1"/>
      <c r="K408" s="1"/>
      <c r="L408" s="1"/>
      <c r="M408" s="1"/>
      <c r="N408" s="1"/>
      <c r="O408" s="8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15"/>
      <c r="H409" s="1"/>
      <c r="I409" s="1"/>
      <c r="J409" s="1"/>
      <c r="K409" s="1"/>
      <c r="L409" s="1"/>
      <c r="M409" s="1"/>
      <c r="N409" s="1"/>
      <c r="O409" s="8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15"/>
      <c r="H410" s="1"/>
      <c r="I410" s="1"/>
      <c r="J410" s="1"/>
      <c r="K410" s="1"/>
      <c r="L410" s="1"/>
      <c r="M410" s="1"/>
      <c r="N410" s="1"/>
      <c r="O410" s="8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15"/>
      <c r="H411" s="1"/>
      <c r="I411" s="1"/>
      <c r="J411" s="1"/>
      <c r="K411" s="1"/>
      <c r="L411" s="1"/>
      <c r="M411" s="1"/>
      <c r="N411" s="1"/>
      <c r="O411" s="8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15"/>
      <c r="H412" s="1"/>
      <c r="I412" s="1"/>
      <c r="J412" s="1"/>
      <c r="K412" s="1"/>
      <c r="L412" s="1"/>
      <c r="M412" s="1"/>
      <c r="N412" s="1"/>
      <c r="O412" s="8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15"/>
      <c r="H413" s="1"/>
      <c r="I413" s="1"/>
      <c r="J413" s="1"/>
      <c r="K413" s="1"/>
      <c r="L413" s="1"/>
      <c r="M413" s="1"/>
      <c r="N413" s="1"/>
      <c r="O413" s="8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15"/>
      <c r="H414" s="1"/>
      <c r="I414" s="1"/>
      <c r="J414" s="1"/>
      <c r="K414" s="1"/>
      <c r="L414" s="1"/>
      <c r="M414" s="1"/>
      <c r="N414" s="1"/>
      <c r="O414" s="8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15"/>
      <c r="H415" s="1"/>
      <c r="I415" s="1"/>
      <c r="J415" s="1"/>
      <c r="K415" s="1"/>
      <c r="L415" s="1"/>
      <c r="M415" s="1"/>
      <c r="N415" s="1"/>
      <c r="O415" s="8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15"/>
      <c r="H416" s="1"/>
      <c r="I416" s="1"/>
      <c r="J416" s="1"/>
      <c r="K416" s="1"/>
      <c r="L416" s="1"/>
      <c r="M416" s="1"/>
      <c r="N416" s="1"/>
      <c r="O416" s="8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15"/>
      <c r="H417" s="1"/>
      <c r="I417" s="1"/>
      <c r="J417" s="1"/>
      <c r="K417" s="1"/>
      <c r="L417" s="1"/>
      <c r="M417" s="1"/>
      <c r="N417" s="1"/>
      <c r="O417" s="8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15"/>
      <c r="H418" s="1"/>
      <c r="I418" s="1"/>
      <c r="J418" s="1"/>
      <c r="K418" s="1"/>
      <c r="L418" s="1"/>
      <c r="M418" s="1"/>
      <c r="N418" s="1"/>
      <c r="O418" s="8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15"/>
      <c r="H419" s="1"/>
      <c r="I419" s="1"/>
      <c r="J419" s="1"/>
      <c r="K419" s="1"/>
      <c r="L419" s="1"/>
      <c r="M419" s="1"/>
      <c r="N419" s="1"/>
      <c r="O419" s="8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15"/>
      <c r="H420" s="1"/>
      <c r="I420" s="1"/>
      <c r="J420" s="1"/>
      <c r="K420" s="1"/>
      <c r="L420" s="1"/>
      <c r="M420" s="1"/>
      <c r="N420" s="1"/>
      <c r="O420" s="8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15"/>
      <c r="H421" s="1"/>
      <c r="I421" s="1"/>
      <c r="J421" s="1"/>
      <c r="K421" s="1"/>
      <c r="L421" s="1"/>
      <c r="M421" s="1"/>
      <c r="N421" s="1"/>
      <c r="O421" s="8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15"/>
      <c r="H422" s="1"/>
      <c r="I422" s="1"/>
      <c r="J422" s="1"/>
      <c r="K422" s="1"/>
      <c r="L422" s="1"/>
      <c r="M422" s="1"/>
      <c r="N422" s="1"/>
      <c r="O422" s="8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15"/>
      <c r="H423" s="1"/>
      <c r="I423" s="1"/>
      <c r="J423" s="1"/>
      <c r="K423" s="1"/>
      <c r="L423" s="1"/>
      <c r="M423" s="1"/>
      <c r="N423" s="1"/>
      <c r="O423" s="8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15"/>
      <c r="H424" s="1"/>
      <c r="I424" s="1"/>
      <c r="J424" s="1"/>
      <c r="K424" s="1"/>
      <c r="L424" s="1"/>
      <c r="M424" s="1"/>
      <c r="N424" s="1"/>
      <c r="O424" s="8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15"/>
      <c r="H425" s="1"/>
      <c r="I425" s="1"/>
      <c r="J425" s="1"/>
      <c r="K425" s="1"/>
      <c r="L425" s="1"/>
      <c r="M425" s="1"/>
      <c r="N425" s="1"/>
      <c r="O425" s="8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15"/>
      <c r="H426" s="1"/>
      <c r="I426" s="1"/>
      <c r="J426" s="1"/>
      <c r="K426" s="1"/>
      <c r="L426" s="1"/>
      <c r="M426" s="1"/>
      <c r="N426" s="1"/>
      <c r="O426" s="8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15"/>
      <c r="H427" s="1"/>
      <c r="I427" s="1"/>
      <c r="J427" s="1"/>
      <c r="K427" s="1"/>
      <c r="L427" s="1"/>
      <c r="M427" s="1"/>
      <c r="N427" s="1"/>
      <c r="O427" s="8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15"/>
      <c r="H428" s="1"/>
      <c r="I428" s="1"/>
      <c r="J428" s="1"/>
      <c r="K428" s="1"/>
      <c r="L428" s="1"/>
      <c r="M428" s="1"/>
      <c r="N428" s="1"/>
      <c r="O428" s="8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15"/>
      <c r="H429" s="1"/>
      <c r="I429" s="1"/>
      <c r="J429" s="1"/>
      <c r="K429" s="1"/>
      <c r="L429" s="1"/>
      <c r="M429" s="1"/>
      <c r="N429" s="1"/>
      <c r="O429" s="8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15"/>
      <c r="H430" s="1"/>
      <c r="I430" s="1"/>
      <c r="J430" s="1"/>
      <c r="K430" s="1"/>
      <c r="L430" s="1"/>
      <c r="M430" s="1"/>
      <c r="N430" s="1"/>
      <c r="O430" s="8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15"/>
      <c r="H431" s="1"/>
      <c r="I431" s="1"/>
      <c r="J431" s="1"/>
      <c r="K431" s="1"/>
      <c r="L431" s="1"/>
      <c r="M431" s="1"/>
      <c r="N431" s="1"/>
      <c r="O431" s="8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15"/>
      <c r="H432" s="1"/>
      <c r="I432" s="1"/>
      <c r="J432" s="1"/>
      <c r="K432" s="1"/>
      <c r="L432" s="1"/>
      <c r="M432" s="1"/>
      <c r="N432" s="1"/>
      <c r="O432" s="8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15"/>
      <c r="H433" s="1"/>
      <c r="I433" s="1"/>
      <c r="J433" s="1"/>
      <c r="K433" s="1"/>
      <c r="L433" s="1"/>
      <c r="M433" s="1"/>
      <c r="N433" s="1"/>
      <c r="O433" s="8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15"/>
      <c r="H434" s="1"/>
      <c r="I434" s="1"/>
      <c r="J434" s="1"/>
      <c r="K434" s="1"/>
      <c r="L434" s="1"/>
      <c r="M434" s="1"/>
      <c r="N434" s="1"/>
      <c r="O434" s="8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15"/>
      <c r="H435" s="1"/>
      <c r="I435" s="1"/>
      <c r="J435" s="1"/>
      <c r="K435" s="1"/>
      <c r="L435" s="1"/>
      <c r="M435" s="1"/>
      <c r="N435" s="1"/>
      <c r="O435" s="8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15"/>
      <c r="H436" s="1"/>
      <c r="I436" s="1"/>
      <c r="J436" s="1"/>
      <c r="K436" s="1"/>
      <c r="L436" s="1"/>
      <c r="M436" s="1"/>
      <c r="N436" s="1"/>
      <c r="O436" s="8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15"/>
      <c r="H437" s="1"/>
      <c r="I437" s="1"/>
      <c r="J437" s="1"/>
      <c r="K437" s="1"/>
      <c r="L437" s="1"/>
      <c r="M437" s="1"/>
      <c r="N437" s="1"/>
      <c r="O437" s="8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15"/>
      <c r="H438" s="1"/>
      <c r="I438" s="1"/>
      <c r="J438" s="1"/>
      <c r="K438" s="1"/>
      <c r="L438" s="1"/>
      <c r="M438" s="1"/>
      <c r="N438" s="1"/>
      <c r="O438" s="8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15"/>
      <c r="H439" s="1"/>
      <c r="I439" s="1"/>
      <c r="J439" s="1"/>
      <c r="K439" s="1"/>
      <c r="L439" s="1"/>
      <c r="M439" s="1"/>
      <c r="N439" s="1"/>
      <c r="O439" s="8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15"/>
      <c r="H440" s="1"/>
      <c r="I440" s="1"/>
      <c r="J440" s="1"/>
      <c r="K440" s="1"/>
      <c r="L440" s="1"/>
      <c r="M440" s="1"/>
      <c r="N440" s="1"/>
      <c r="O440" s="8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15"/>
      <c r="H441" s="1"/>
      <c r="I441" s="1"/>
      <c r="J441" s="1"/>
      <c r="K441" s="1"/>
      <c r="L441" s="1"/>
      <c r="M441" s="1"/>
      <c r="N441" s="1"/>
      <c r="O441" s="8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15"/>
      <c r="H442" s="1"/>
      <c r="I442" s="1"/>
      <c r="J442" s="1"/>
      <c r="K442" s="1"/>
      <c r="L442" s="1"/>
      <c r="M442" s="1"/>
      <c r="N442" s="1"/>
      <c r="O442" s="8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15"/>
      <c r="H443" s="1"/>
      <c r="I443" s="1"/>
      <c r="J443" s="1"/>
      <c r="K443" s="1"/>
      <c r="L443" s="1"/>
      <c r="M443" s="1"/>
      <c r="N443" s="1"/>
      <c r="O443" s="8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15"/>
      <c r="H444" s="1"/>
      <c r="I444" s="1"/>
      <c r="J444" s="1"/>
      <c r="K444" s="1"/>
      <c r="L444" s="1"/>
      <c r="M444" s="1"/>
      <c r="N444" s="1"/>
      <c r="O444" s="8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15"/>
      <c r="H445" s="1"/>
      <c r="I445" s="1"/>
      <c r="J445" s="1"/>
      <c r="K445" s="1"/>
      <c r="L445" s="1"/>
      <c r="M445" s="1"/>
      <c r="N445" s="1"/>
      <c r="O445" s="8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15"/>
      <c r="H446" s="1"/>
      <c r="I446" s="1"/>
      <c r="J446" s="1"/>
      <c r="K446" s="1"/>
      <c r="L446" s="1"/>
      <c r="M446" s="1"/>
      <c r="N446" s="1"/>
      <c r="O446" s="8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15"/>
      <c r="H447" s="1"/>
      <c r="I447" s="1"/>
      <c r="J447" s="1"/>
      <c r="K447" s="1"/>
      <c r="L447" s="1"/>
      <c r="M447" s="1"/>
      <c r="N447" s="1"/>
      <c r="O447" s="8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15"/>
      <c r="H448" s="1"/>
      <c r="I448" s="1"/>
      <c r="J448" s="1"/>
      <c r="K448" s="1"/>
      <c r="L448" s="1"/>
      <c r="M448" s="1"/>
      <c r="N448" s="1"/>
      <c r="O448" s="8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15"/>
      <c r="H449" s="1"/>
      <c r="I449" s="1"/>
      <c r="J449" s="1"/>
      <c r="K449" s="1"/>
      <c r="L449" s="1"/>
      <c r="M449" s="1"/>
      <c r="N449" s="1"/>
      <c r="O449" s="8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15"/>
      <c r="H450" s="1"/>
      <c r="I450" s="1"/>
      <c r="J450" s="1"/>
      <c r="K450" s="1"/>
      <c r="L450" s="1"/>
      <c r="M450" s="1"/>
      <c r="N450" s="1"/>
      <c r="O450" s="8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15"/>
      <c r="H451" s="1"/>
      <c r="I451" s="1"/>
      <c r="J451" s="1"/>
      <c r="K451" s="1"/>
      <c r="L451" s="1"/>
      <c r="M451" s="1"/>
      <c r="N451" s="1"/>
      <c r="O451" s="8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15"/>
      <c r="H452" s="1"/>
      <c r="I452" s="1"/>
      <c r="J452" s="1"/>
      <c r="K452" s="1"/>
      <c r="L452" s="1"/>
      <c r="M452" s="1"/>
      <c r="N452" s="1"/>
      <c r="O452" s="8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15"/>
      <c r="H453" s="1"/>
      <c r="I453" s="1"/>
      <c r="J453" s="1"/>
      <c r="K453" s="1"/>
      <c r="L453" s="1"/>
      <c r="M453" s="1"/>
      <c r="N453" s="1"/>
      <c r="O453" s="8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15"/>
      <c r="H454" s="1"/>
      <c r="I454" s="1"/>
      <c r="J454" s="1"/>
      <c r="K454" s="1"/>
      <c r="L454" s="1"/>
      <c r="M454" s="1"/>
      <c r="N454" s="1"/>
      <c r="O454" s="8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15"/>
      <c r="H455" s="1"/>
      <c r="I455" s="1"/>
      <c r="J455" s="1"/>
      <c r="K455" s="1"/>
      <c r="L455" s="1"/>
      <c r="M455" s="1"/>
      <c r="N455" s="1"/>
      <c r="O455" s="8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15"/>
      <c r="H456" s="1"/>
      <c r="I456" s="1"/>
      <c r="J456" s="1"/>
      <c r="K456" s="1"/>
      <c r="L456" s="1"/>
      <c r="M456" s="1"/>
      <c r="N456" s="1"/>
      <c r="O456" s="8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15"/>
      <c r="H457" s="1"/>
      <c r="I457" s="1"/>
      <c r="J457" s="1"/>
      <c r="K457" s="1"/>
      <c r="L457" s="1"/>
      <c r="M457" s="1"/>
      <c r="N457" s="1"/>
      <c r="O457" s="8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15"/>
      <c r="H458" s="1"/>
      <c r="I458" s="1"/>
      <c r="J458" s="1"/>
      <c r="K458" s="1"/>
      <c r="L458" s="1"/>
      <c r="M458" s="1"/>
      <c r="N458" s="1"/>
      <c r="O458" s="8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15"/>
      <c r="H459" s="1"/>
      <c r="I459" s="1"/>
      <c r="J459" s="1"/>
      <c r="K459" s="1"/>
      <c r="L459" s="1"/>
      <c r="M459" s="1"/>
      <c r="N459" s="1"/>
      <c r="O459" s="8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15"/>
      <c r="H460" s="1"/>
      <c r="I460" s="1"/>
      <c r="J460" s="1"/>
      <c r="K460" s="1"/>
      <c r="L460" s="1"/>
      <c r="M460" s="1"/>
      <c r="N460" s="1"/>
      <c r="O460" s="8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15"/>
      <c r="H461" s="1"/>
      <c r="I461" s="1"/>
      <c r="J461" s="1"/>
      <c r="K461" s="1"/>
      <c r="L461" s="1"/>
      <c r="M461" s="1"/>
      <c r="N461" s="1"/>
      <c r="O461" s="8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15"/>
      <c r="H462" s="1"/>
      <c r="I462" s="1"/>
      <c r="J462" s="1"/>
      <c r="K462" s="1"/>
      <c r="L462" s="1"/>
      <c r="M462" s="1"/>
      <c r="N462" s="1"/>
      <c r="O462" s="8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15"/>
      <c r="H463" s="1"/>
      <c r="I463" s="1"/>
      <c r="J463" s="1"/>
      <c r="K463" s="1"/>
      <c r="L463" s="1"/>
      <c r="M463" s="1"/>
      <c r="N463" s="1"/>
      <c r="O463" s="8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15"/>
      <c r="H464" s="1"/>
      <c r="I464" s="1"/>
      <c r="J464" s="1"/>
      <c r="K464" s="1"/>
      <c r="L464" s="1"/>
      <c r="M464" s="1"/>
      <c r="N464" s="1"/>
      <c r="O464" s="8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15"/>
      <c r="H465" s="1"/>
      <c r="I465" s="1"/>
      <c r="J465" s="1"/>
      <c r="K465" s="1"/>
      <c r="L465" s="1"/>
      <c r="M465" s="1"/>
      <c r="N465" s="1"/>
      <c r="O465" s="8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15"/>
      <c r="H466" s="1"/>
      <c r="I466" s="1"/>
      <c r="J466" s="1"/>
      <c r="K466" s="1"/>
      <c r="L466" s="1"/>
      <c r="M466" s="1"/>
      <c r="N466" s="1"/>
      <c r="O466" s="8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15"/>
      <c r="H467" s="1"/>
      <c r="I467" s="1"/>
      <c r="J467" s="1"/>
      <c r="K467" s="1"/>
      <c r="L467" s="1"/>
      <c r="M467" s="1"/>
      <c r="N467" s="1"/>
      <c r="O467" s="8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15"/>
      <c r="H468" s="1"/>
      <c r="I468" s="1"/>
      <c r="J468" s="1"/>
      <c r="K468" s="1"/>
      <c r="L468" s="1"/>
      <c r="M468" s="1"/>
      <c r="N468" s="1"/>
      <c r="O468" s="8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15"/>
      <c r="H469" s="1"/>
      <c r="I469" s="1"/>
      <c r="J469" s="1"/>
      <c r="K469" s="1"/>
      <c r="L469" s="1"/>
      <c r="M469" s="1"/>
      <c r="N469" s="1"/>
      <c r="O469" s="8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15"/>
      <c r="H470" s="1"/>
      <c r="I470" s="1"/>
      <c r="J470" s="1"/>
      <c r="K470" s="1"/>
      <c r="L470" s="1"/>
      <c r="M470" s="1"/>
      <c r="N470" s="1"/>
      <c r="O470" s="8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15"/>
      <c r="H471" s="1"/>
      <c r="I471" s="1"/>
      <c r="J471" s="1"/>
      <c r="K471" s="1"/>
      <c r="L471" s="1"/>
      <c r="M471" s="1"/>
      <c r="N471" s="1"/>
      <c r="O471" s="8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15"/>
      <c r="H472" s="1"/>
      <c r="I472" s="1"/>
      <c r="J472" s="1"/>
      <c r="K472" s="1"/>
      <c r="L472" s="1"/>
      <c r="M472" s="1"/>
      <c r="N472" s="1"/>
      <c r="O472" s="8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15"/>
      <c r="H473" s="1"/>
      <c r="I473" s="1"/>
      <c r="J473" s="1"/>
      <c r="K473" s="1"/>
      <c r="L473" s="1"/>
      <c r="M473" s="1"/>
      <c r="N473" s="1"/>
      <c r="O473" s="8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15"/>
      <c r="H474" s="1"/>
      <c r="I474" s="1"/>
      <c r="J474" s="1"/>
      <c r="K474" s="1"/>
      <c r="L474" s="1"/>
      <c r="M474" s="1"/>
      <c r="N474" s="1"/>
      <c r="O474" s="8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15"/>
      <c r="H475" s="1"/>
      <c r="I475" s="1"/>
      <c r="J475" s="1"/>
      <c r="K475" s="1"/>
      <c r="L475" s="1"/>
      <c r="M475" s="1"/>
      <c r="N475" s="1"/>
      <c r="O475" s="8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15"/>
      <c r="H476" s="1"/>
      <c r="I476" s="1"/>
      <c r="J476" s="1"/>
      <c r="K476" s="1"/>
      <c r="L476" s="1"/>
      <c r="M476" s="1"/>
      <c r="N476" s="1"/>
      <c r="O476" s="8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15"/>
      <c r="H477" s="1"/>
      <c r="I477" s="1"/>
      <c r="J477" s="1"/>
      <c r="K477" s="1"/>
      <c r="L477" s="1"/>
      <c r="M477" s="1"/>
      <c r="N477" s="1"/>
      <c r="O477" s="8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15"/>
      <c r="H478" s="1"/>
      <c r="I478" s="1"/>
      <c r="J478" s="1"/>
      <c r="K478" s="1"/>
      <c r="L478" s="1"/>
      <c r="M478" s="1"/>
      <c r="N478" s="1"/>
      <c r="O478" s="8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15"/>
      <c r="H479" s="1"/>
      <c r="I479" s="1"/>
      <c r="J479" s="1"/>
      <c r="K479" s="1"/>
      <c r="L479" s="1"/>
      <c r="M479" s="1"/>
      <c r="N479" s="1"/>
      <c r="O479" s="8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15"/>
      <c r="H480" s="1"/>
      <c r="I480" s="1"/>
      <c r="J480" s="1"/>
      <c r="K480" s="1"/>
      <c r="L480" s="1"/>
      <c r="M480" s="1"/>
      <c r="N480" s="1"/>
      <c r="O480" s="8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15"/>
      <c r="H481" s="1"/>
      <c r="I481" s="1"/>
      <c r="J481" s="1"/>
      <c r="K481" s="1"/>
      <c r="L481" s="1"/>
      <c r="M481" s="1"/>
      <c r="N481" s="1"/>
      <c r="O481" s="8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15"/>
      <c r="H482" s="1"/>
      <c r="I482" s="1"/>
      <c r="J482" s="1"/>
      <c r="K482" s="1"/>
      <c r="L482" s="1"/>
      <c r="M482" s="1"/>
      <c r="N482" s="1"/>
      <c r="O482" s="8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15"/>
      <c r="H483" s="1"/>
      <c r="I483" s="1"/>
      <c r="J483" s="1"/>
      <c r="K483" s="1"/>
      <c r="L483" s="1"/>
      <c r="M483" s="1"/>
      <c r="N483" s="1"/>
      <c r="O483" s="8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15"/>
      <c r="H484" s="1"/>
      <c r="I484" s="1"/>
      <c r="J484" s="1"/>
      <c r="K484" s="1"/>
      <c r="L484" s="1"/>
      <c r="M484" s="1"/>
      <c r="N484" s="1"/>
      <c r="O484" s="8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15"/>
      <c r="H485" s="1"/>
      <c r="I485" s="1"/>
      <c r="J485" s="1"/>
      <c r="K485" s="1"/>
      <c r="L485" s="1"/>
      <c r="M485" s="1"/>
      <c r="N485" s="1"/>
      <c r="O485" s="8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15"/>
      <c r="H486" s="1"/>
      <c r="I486" s="1"/>
      <c r="J486" s="1"/>
      <c r="K486" s="1"/>
      <c r="L486" s="1"/>
      <c r="M486" s="1"/>
      <c r="N486" s="1"/>
      <c r="O486" s="8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15"/>
      <c r="H487" s="1"/>
      <c r="I487" s="1"/>
      <c r="J487" s="1"/>
      <c r="K487" s="1"/>
      <c r="L487" s="1"/>
      <c r="M487" s="1"/>
      <c r="N487" s="1"/>
      <c r="O487" s="8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15"/>
      <c r="H488" s="1"/>
      <c r="I488" s="1"/>
      <c r="J488" s="1"/>
      <c r="K488" s="1"/>
      <c r="L488" s="1"/>
      <c r="M488" s="1"/>
      <c r="N488" s="1"/>
      <c r="O488" s="8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15"/>
      <c r="H489" s="1"/>
      <c r="I489" s="1"/>
      <c r="J489" s="1"/>
      <c r="K489" s="1"/>
      <c r="L489" s="1"/>
      <c r="M489" s="1"/>
      <c r="N489" s="1"/>
      <c r="O489" s="8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15"/>
      <c r="H490" s="1"/>
      <c r="I490" s="1"/>
      <c r="J490" s="1"/>
      <c r="K490" s="1"/>
      <c r="L490" s="1"/>
      <c r="M490" s="1"/>
      <c r="N490" s="1"/>
      <c r="O490" s="8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15"/>
      <c r="H491" s="1"/>
      <c r="I491" s="1"/>
      <c r="J491" s="1"/>
      <c r="K491" s="1"/>
      <c r="L491" s="1"/>
      <c r="M491" s="1"/>
      <c r="N491" s="1"/>
      <c r="O491" s="8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15"/>
      <c r="H492" s="1"/>
      <c r="I492" s="1"/>
      <c r="J492" s="1"/>
      <c r="K492" s="1"/>
      <c r="L492" s="1"/>
      <c r="M492" s="1"/>
      <c r="N492" s="1"/>
      <c r="O492" s="8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15"/>
      <c r="H493" s="1"/>
      <c r="I493" s="1"/>
      <c r="J493" s="1"/>
      <c r="K493" s="1"/>
      <c r="L493" s="1"/>
      <c r="M493" s="1"/>
      <c r="N493" s="1"/>
      <c r="O493" s="8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15"/>
      <c r="H494" s="1"/>
      <c r="I494" s="1"/>
      <c r="J494" s="1"/>
      <c r="K494" s="1"/>
      <c r="L494" s="1"/>
      <c r="M494" s="1"/>
      <c r="N494" s="1"/>
      <c r="O494" s="8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15"/>
      <c r="H495" s="1"/>
      <c r="I495" s="1"/>
      <c r="J495" s="1"/>
      <c r="K495" s="1"/>
      <c r="L495" s="1"/>
      <c r="M495" s="1"/>
      <c r="N495" s="1"/>
      <c r="O495" s="8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15"/>
      <c r="H496" s="1"/>
      <c r="I496" s="1"/>
      <c r="J496" s="1"/>
      <c r="K496" s="1"/>
      <c r="L496" s="1"/>
      <c r="M496" s="1"/>
      <c r="N496" s="1"/>
      <c r="O496" s="8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15"/>
      <c r="H497" s="1"/>
      <c r="I497" s="1"/>
      <c r="J497" s="1"/>
      <c r="K497" s="1"/>
      <c r="L497" s="1"/>
      <c r="M497" s="1"/>
      <c r="N497" s="1"/>
      <c r="O497" s="8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15"/>
      <c r="H498" s="1"/>
      <c r="I498" s="1"/>
      <c r="J498" s="1"/>
      <c r="K498" s="1"/>
      <c r="L498" s="1"/>
      <c r="M498" s="1"/>
      <c r="N498" s="1"/>
      <c r="O498" s="8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15"/>
      <c r="H499" s="1"/>
      <c r="I499" s="1"/>
      <c r="J499" s="1"/>
      <c r="K499" s="1"/>
      <c r="L499" s="1"/>
      <c r="M499" s="1"/>
      <c r="N499" s="1"/>
      <c r="O499" s="8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15"/>
      <c r="H500" s="1"/>
      <c r="I500" s="1"/>
      <c r="J500" s="1"/>
      <c r="K500" s="1"/>
      <c r="L500" s="1"/>
      <c r="M500" s="1"/>
      <c r="N500" s="1"/>
      <c r="O500" s="8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F43" xr:uid="{7868912F-D8D8-4032-AA09-86D4D58A7DF6}">
    <filterColumn colId="6">
      <filters blank="1">
        <filter val="0,20"/>
        <filter val="0,25"/>
        <filter val="0,28"/>
        <filter val="0,30"/>
        <filter val="0,32"/>
        <filter val="0,40"/>
        <filter val="0,50"/>
        <filter val="0,70"/>
        <filter val="0,75"/>
        <filter val="1,00"/>
      </filters>
    </filterColumn>
  </autoFilter>
  <mergeCells count="1">
    <mergeCell ref="O1:O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2025-11-24T12:59:05Z</dcterms:created>
  <dcterms:modified xsi:type="dcterms:W3CDTF">2025-12-01T07:23:14Z</dcterms:modified>
</cp:coreProperties>
</file>