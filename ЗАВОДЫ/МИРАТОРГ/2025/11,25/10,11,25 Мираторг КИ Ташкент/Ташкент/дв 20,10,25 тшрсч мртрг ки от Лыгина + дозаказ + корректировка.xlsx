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0,11,25 Мираторг КИ Ташкент\Ташкент\"/>
    </mc:Choice>
  </mc:AlternateContent>
  <xr:revisionPtr revIDLastSave="0" documentId="13_ncr:1_{7342F756-7518-43E2-BF92-E0A21AA698AE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Sheet!$A$3:$AI$25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7" i="1" l="1"/>
  <c r="AQ24" i="1" l="1"/>
  <c r="AQ23" i="1"/>
  <c r="AQ22" i="1"/>
  <c r="AQ20" i="1"/>
  <c r="AQ19" i="1"/>
  <c r="AQ18" i="1"/>
  <c r="AQ17" i="1"/>
  <c r="AQ16" i="1"/>
  <c r="AQ15" i="1"/>
  <c r="AQ14" i="1"/>
  <c r="AQ12" i="1"/>
  <c r="AQ11" i="1"/>
  <c r="AQ10" i="1"/>
  <c r="AQ9" i="1"/>
  <c r="AQ8" i="1"/>
  <c r="AQ7" i="1"/>
  <c r="AP24" i="1"/>
  <c r="AP23" i="1"/>
  <c r="AP22" i="1"/>
  <c r="AP20" i="1"/>
  <c r="AP19" i="1"/>
  <c r="AP18" i="1"/>
  <c r="AP17" i="1"/>
  <c r="AP16" i="1"/>
  <c r="AP15" i="1"/>
  <c r="AP14" i="1"/>
  <c r="AP8" i="1"/>
  <c r="AP9" i="1"/>
  <c r="AP10" i="1"/>
  <c r="AP11" i="1"/>
  <c r="AP12" i="1"/>
  <c r="AP7" i="1"/>
  <c r="S12" i="1" l="1"/>
  <c r="S14" i="1"/>
  <c r="S15" i="1"/>
  <c r="S16" i="1"/>
  <c r="S17" i="1"/>
  <c r="S18" i="1"/>
  <c r="S20" i="1"/>
  <c r="S5" i="1"/>
  <c r="AP5" i="1" l="1"/>
  <c r="R8" i="1"/>
  <c r="AJ8" i="1" s="1"/>
  <c r="R9" i="1"/>
  <c r="R10" i="1"/>
  <c r="AJ10" i="1" s="1"/>
  <c r="R11" i="1"/>
  <c r="AJ11" i="1" s="1"/>
  <c r="R12" i="1"/>
  <c r="R13" i="1"/>
  <c r="R14" i="1"/>
  <c r="AJ14" i="1" s="1"/>
  <c r="R15" i="1"/>
  <c r="AJ15" i="1" s="1"/>
  <c r="R16" i="1"/>
  <c r="R17" i="1"/>
  <c r="AJ17" i="1" s="1"/>
  <c r="R18" i="1"/>
  <c r="R19" i="1"/>
  <c r="AJ19" i="1" s="1"/>
  <c r="R20" i="1"/>
  <c r="R21" i="1"/>
  <c r="R22" i="1"/>
  <c r="AJ22" i="1" s="1"/>
  <c r="R23" i="1"/>
  <c r="AJ23" i="1" s="1"/>
  <c r="R24" i="1"/>
  <c r="AJ24" i="1" s="1"/>
  <c r="R25" i="1"/>
  <c r="R7" i="1"/>
  <c r="AJ7" i="1" s="1"/>
  <c r="AJ9" i="1"/>
  <c r="AJ12" i="1"/>
  <c r="AJ16" i="1" l="1"/>
  <c r="AJ20" i="1"/>
  <c r="AJ18" i="1"/>
  <c r="AJ5" i="1" l="1"/>
  <c r="R5" i="1"/>
  <c r="AK24" i="1" l="1"/>
  <c r="AR24" i="1" s="1"/>
  <c r="AK23" i="1"/>
  <c r="AR23" i="1" s="1"/>
  <c r="AK22" i="1"/>
  <c r="AR22" i="1" s="1"/>
  <c r="AK20" i="1"/>
  <c r="AR20" i="1" s="1"/>
  <c r="AK19" i="1"/>
  <c r="AR19" i="1" s="1"/>
  <c r="AK18" i="1"/>
  <c r="AR18" i="1" s="1"/>
  <c r="AK17" i="1"/>
  <c r="AR17" i="1" s="1"/>
  <c r="AK16" i="1"/>
  <c r="AR16" i="1" s="1"/>
  <c r="AK15" i="1"/>
  <c r="AR15" i="1" s="1"/>
  <c r="AK14" i="1"/>
  <c r="AR14" i="1" s="1"/>
  <c r="AK8" i="1"/>
  <c r="AR8" i="1" s="1"/>
  <c r="AK9" i="1"/>
  <c r="AR9" i="1" s="1"/>
  <c r="AK10" i="1"/>
  <c r="AR10" i="1" s="1"/>
  <c r="AK11" i="1"/>
  <c r="AR11" i="1" s="1"/>
  <c r="AK12" i="1"/>
  <c r="AR12" i="1" s="1"/>
  <c r="AK7" i="1"/>
  <c r="AR7" i="1" l="1"/>
  <c r="AR5" i="1" s="1"/>
  <c r="AQ5" i="1"/>
  <c r="AL12" i="1"/>
  <c r="AM12" i="1" s="1"/>
  <c r="AN12" i="1"/>
  <c r="AO12" i="1" s="1"/>
  <c r="AL10" i="1"/>
  <c r="AM10" i="1" s="1"/>
  <c r="AN10" i="1"/>
  <c r="AO10" i="1" s="1"/>
  <c r="AL9" i="1"/>
  <c r="AM9" i="1" s="1"/>
  <c r="AN9" i="1"/>
  <c r="AO9" i="1" s="1"/>
  <c r="AL8" i="1"/>
  <c r="AM8" i="1" s="1"/>
  <c r="AN8" i="1"/>
  <c r="AO8" i="1" s="1"/>
  <c r="AL14" i="1"/>
  <c r="AM14" i="1" s="1"/>
  <c r="AN14" i="1"/>
  <c r="AO14" i="1" s="1"/>
  <c r="AL15" i="1"/>
  <c r="AM15" i="1" s="1"/>
  <c r="AN15" i="1"/>
  <c r="AO15" i="1" s="1"/>
  <c r="AL16" i="1"/>
  <c r="AM16" i="1" s="1"/>
  <c r="AN16" i="1"/>
  <c r="AO16" i="1" s="1"/>
  <c r="AL17" i="1"/>
  <c r="AM17" i="1" s="1"/>
  <c r="AN17" i="1"/>
  <c r="AO17" i="1" s="1"/>
  <c r="AL18" i="1"/>
  <c r="AM18" i="1" s="1"/>
  <c r="AN18" i="1"/>
  <c r="AO18" i="1" s="1"/>
  <c r="AM7" i="1"/>
  <c r="AN7" i="1"/>
  <c r="AL19" i="1"/>
  <c r="AM19" i="1" s="1"/>
  <c r="AN19" i="1"/>
  <c r="AO19" i="1" s="1"/>
  <c r="AL20" i="1"/>
  <c r="AM20" i="1" s="1"/>
  <c r="AN20" i="1"/>
  <c r="AO20" i="1" s="1"/>
  <c r="AL22" i="1"/>
  <c r="AM22" i="1" s="1"/>
  <c r="AN22" i="1"/>
  <c r="AO22" i="1" s="1"/>
  <c r="AL23" i="1"/>
  <c r="AM23" i="1" s="1"/>
  <c r="AN23" i="1"/>
  <c r="AO23" i="1" s="1"/>
  <c r="AL11" i="1"/>
  <c r="AM11" i="1" s="1"/>
  <c r="AN11" i="1"/>
  <c r="AO11" i="1" s="1"/>
  <c r="AL24" i="1"/>
  <c r="AM24" i="1" s="1"/>
  <c r="AN24" i="1"/>
  <c r="AO24" i="1" s="1"/>
  <c r="AM5" i="1" l="1"/>
  <c r="AO7" i="1"/>
  <c r="AO5" i="1" s="1"/>
  <c r="AN5" i="1"/>
  <c r="AL5" i="1"/>
  <c r="AI22" i="1"/>
  <c r="AI17" i="1"/>
  <c r="P7" i="1"/>
  <c r="P8" i="1"/>
  <c r="AI8" i="1" s="1"/>
  <c r="P9" i="1"/>
  <c r="AI9" i="1" s="1"/>
  <c r="P10" i="1"/>
  <c r="AI10" i="1" s="1"/>
  <c r="P11" i="1"/>
  <c r="P12" i="1"/>
  <c r="AI12" i="1" s="1"/>
  <c r="P13" i="1"/>
  <c r="V13" i="1" s="1"/>
  <c r="P14" i="1"/>
  <c r="P15" i="1"/>
  <c r="AI15" i="1" s="1"/>
  <c r="P16" i="1"/>
  <c r="P17" i="1"/>
  <c r="P18" i="1"/>
  <c r="AI18" i="1" s="1"/>
  <c r="P19" i="1"/>
  <c r="AI19" i="1" s="1"/>
  <c r="P20" i="1"/>
  <c r="AI20" i="1" s="1"/>
  <c r="P21" i="1"/>
  <c r="P22" i="1"/>
  <c r="P23" i="1"/>
  <c r="W23" i="1" s="1"/>
  <c r="P24" i="1"/>
  <c r="P25" i="1"/>
  <c r="V25" i="1" s="1"/>
  <c r="P6" i="1"/>
  <c r="W6" i="1" s="1"/>
  <c r="X25" i="1"/>
  <c r="L25" i="1"/>
  <c r="X24" i="1"/>
  <c r="L24" i="1"/>
  <c r="X23" i="1"/>
  <c r="L23" i="1"/>
  <c r="X22" i="1"/>
  <c r="L22" i="1"/>
  <c r="X21" i="1"/>
  <c r="L21" i="1"/>
  <c r="X20" i="1"/>
  <c r="L20" i="1"/>
  <c r="X19" i="1"/>
  <c r="L19" i="1"/>
  <c r="X18" i="1"/>
  <c r="L18" i="1"/>
  <c r="X17" i="1"/>
  <c r="L17" i="1"/>
  <c r="X16" i="1"/>
  <c r="L16" i="1"/>
  <c r="X15" i="1"/>
  <c r="L15" i="1"/>
  <c r="X14" i="1"/>
  <c r="L14" i="1"/>
  <c r="X13" i="1"/>
  <c r="L13" i="1"/>
  <c r="X12" i="1"/>
  <c r="L12" i="1"/>
  <c r="AI11" i="1"/>
  <c r="X11" i="1"/>
  <c r="L11" i="1"/>
  <c r="X10" i="1"/>
  <c r="L10" i="1"/>
  <c r="X9" i="1"/>
  <c r="L9" i="1"/>
  <c r="X8" i="1"/>
  <c r="L8" i="1"/>
  <c r="X7" i="1"/>
  <c r="L7" i="1"/>
  <c r="X6" i="1"/>
  <c r="L6" i="1"/>
  <c r="AG5" i="1"/>
  <c r="AF5" i="1"/>
  <c r="AE5" i="1"/>
  <c r="AD5" i="1"/>
  <c r="AC5" i="1"/>
  <c r="AB5" i="1"/>
  <c r="AA5" i="1"/>
  <c r="Z5" i="1"/>
  <c r="Y5" i="1"/>
  <c r="T5" i="1"/>
  <c r="O5" i="1"/>
  <c r="N5" i="1"/>
  <c r="M5" i="1"/>
  <c r="K5" i="1"/>
  <c r="F5" i="1"/>
  <c r="E5" i="1"/>
  <c r="W18" i="1" l="1"/>
  <c r="W15" i="1"/>
  <c r="AI7" i="1"/>
  <c r="V22" i="1"/>
  <c r="AI16" i="1"/>
  <c r="V12" i="1"/>
  <c r="V11" i="1"/>
  <c r="AI23" i="1"/>
  <c r="AI24" i="1"/>
  <c r="V15" i="1"/>
  <c r="V20" i="1"/>
  <c r="V14" i="1"/>
  <c r="V19" i="1"/>
  <c r="AI14" i="1"/>
  <c r="V18" i="1"/>
  <c r="V17" i="1"/>
  <c r="V10" i="1"/>
  <c r="V9" i="1"/>
  <c r="V8" i="1"/>
  <c r="W16" i="1"/>
  <c r="W17" i="1"/>
  <c r="L5" i="1"/>
  <c r="W14" i="1"/>
  <c r="V6" i="1"/>
  <c r="W25" i="1"/>
  <c r="W24" i="1"/>
  <c r="P5" i="1"/>
  <c r="W13" i="1"/>
  <c r="W22" i="1"/>
  <c r="W12" i="1"/>
  <c r="W21" i="1"/>
  <c r="W11" i="1"/>
  <c r="V21" i="1"/>
  <c r="W20" i="1"/>
  <c r="W10" i="1"/>
  <c r="W19" i="1"/>
  <c r="W9" i="1"/>
  <c r="W8" i="1"/>
  <c r="X5" i="1"/>
  <c r="W7" i="1"/>
  <c r="AI5" i="1" l="1"/>
  <c r="V16" i="1"/>
  <c r="V23" i="1"/>
  <c r="V7" i="1"/>
  <c r="V24" i="1"/>
  <c r="Q5" i="1"/>
</calcChain>
</file>

<file path=xl/sharedStrings.xml><?xml version="1.0" encoding="utf-8"?>
<sst xmlns="http://schemas.openxmlformats.org/spreadsheetml/2006/main" count="124" uniqueCount="84">
  <si>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</si>
  <si>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</si>
  <si>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</si>
  <si>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</si>
  <si>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</si>
  <si>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</si>
  <si>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</si>
  <si>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</si>
  <si>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</si>
  <si>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</si>
  <si>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</si>
  <si>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</si>
  <si>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</si>
  <si>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</si>
  <si>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</si>
  <si>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</si>
  <si>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</si>
  <si>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</si>
  <si>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</si>
  <si>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</si>
  <si>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</si>
  <si>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</si>
  <si>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</si>
  <si>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13,10,</t>
  </si>
  <si>
    <t>20,10,</t>
  </si>
  <si>
    <t>06,10,</t>
  </si>
  <si>
    <t>29,09,</t>
  </si>
  <si>
    <t>22,09,</t>
  </si>
  <si>
    <t>15,09,</t>
  </si>
  <si>
    <t>08,09,</t>
  </si>
  <si>
    <t>01,09,</t>
  </si>
  <si>
    <t>25,08,</t>
  </si>
  <si>
    <t>18,08,</t>
  </si>
  <si>
    <t>11,08,</t>
  </si>
  <si>
    <t>!!!НЕ ИСПОЛЬЗОВАТЬ!!! Сервелат полусухой с/к ВУ ОХЛ 300гр МИРАТОРГ</t>
  </si>
  <si>
    <t>шт</t>
  </si>
  <si>
    <t>не в матрице</t>
  </si>
  <si>
    <t>КП Колбаса в/к Балыковая ВУ охл 300г*6  МИРАТОРГ</t>
  </si>
  <si>
    <t>вместо 375гр</t>
  </si>
  <si>
    <t>Колбаса п/к Краковская ОХЛ ВУ 330г*5 (1,65 кг)  МИРАТОРГ</t>
  </si>
  <si>
    <t>вместо 430гр</t>
  </si>
  <si>
    <t>Колбаса с/к Сальчичон ВУ ОХЛ 280г*6 (1,68 кг)  МИРАТОРГ</t>
  </si>
  <si>
    <t>вместо 300гр</t>
  </si>
  <si>
    <t>Колбаса с/к Сервелат ГОСТ ВУ ОХЛ 0,3кг*6(1,8кг)  МИРАТОРГ</t>
  </si>
  <si>
    <t>новый артикул</t>
  </si>
  <si>
    <t>МХБ Ветчина для завтрака ШТ. ОХЛ п/а 400г*6 (2,4кг) МИРАТОРГ</t>
  </si>
  <si>
    <t>нужно увеличить продажи!!!</t>
  </si>
  <si>
    <t>МХБ Колб полусухая «Салями» ВУ ОХЛ 280гр*6 (1,68кг)  МИРАТОРГ</t>
  </si>
  <si>
    <t>МХБ Колб полусухая «Салями» ШТ. ВУ ОХЛ 300гр*8  МИРАТОРГ</t>
  </si>
  <si>
    <t>завод вывел, но остается в бланке заказа</t>
  </si>
  <si>
    <t>МХБ Колбаса вареная Докторская ШТ. п/а ОХЛ 470г*6 (2,82 кг) МИРАТОРГ</t>
  </si>
  <si>
    <t>МХБ Колбаса вареная Классическая ШТ. ОХЛ п/а 470г*6 (2,82кг) МИРАТОРГ</t>
  </si>
  <si>
    <t>МХБ Колбаса вареная Молочная ШТ. п/а ОХЛ 470*6 (2,82 кг) МИРАТОРГ</t>
  </si>
  <si>
    <t>МХБ Колбаса варено-копченая Сервелат Коньячный Ф/О ОХЛ В/У 300г*6 (1,8кг)  МИРАТОРГ</t>
  </si>
  <si>
    <t>МХБ Колбаса варено-копченая Сервелат Финский ШТ. Ф/О ОХЛ В/У 375г*6 (2,25кг) МИРАТОРГ</t>
  </si>
  <si>
    <t>11,05,25 списание 274шт.</t>
  </si>
  <si>
    <t>МХБ Колбаса варено-копченая Сервелат ШТ. Ф/О ОХЛ В/У 375г*6 (2,25кг) МИРАТОРГ</t>
  </si>
  <si>
    <t>нужно увеличить продажи / 22,05,25 списание 310шт.</t>
  </si>
  <si>
    <t>МХБ Колбаса полукопченая Чесночная ШТ. ф/о ОХЛ 375г*6 (2,25кг) МИРАТОРГ</t>
  </si>
  <si>
    <t>МХБ Колбаса с/к "Куршская" ВУ ОХЛ 280г*8 (2,24 кг)  МИРАТОРГ</t>
  </si>
  <si>
    <t>на вывод / 1010030636</t>
  </si>
  <si>
    <t>17,09,25 списание 692шт. / на вывод / СРОКИ (17,03,25)</t>
  </si>
  <si>
    <t>МХБ Колбаса сырокопченая Брауншвейгская ШТ. ВУ ОХЛ 300гр*8 (2,4 кг) МИРАТОРГ</t>
  </si>
  <si>
    <t>МХБ Мясной продукт из свинины сырокопченый Бекон ШТ. ОХЛ ВУ 200г*10 (2 кг) МИРАТОРГ</t>
  </si>
  <si>
    <t>МХБ Сервелат Мраморный ШТ. в/к ВУ ОХЛ 330г*6 (1,98кг)  МИРАТОРГ</t>
  </si>
  <si>
    <t>Сервелат Коньячный в/к ВУ ОХЛ 375гр  МИРАТОРГ</t>
  </si>
  <si>
    <t>на вывод (заменили на 300гр)</t>
  </si>
  <si>
    <t>завод перестал отгружать, заменив на 300гр. и снова отгрузил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</si>
  <si>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вместо 300гр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</si>
  <si>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вместо 375гр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</si>
  <si>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новый артикул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</si>
  <si>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22,05,25 списание 215шт.</t>
    </r>
  </si>
  <si>
    <t>27,10,</t>
  </si>
  <si>
    <t>заказ</t>
  </si>
  <si>
    <t>вес кор.</t>
  </si>
  <si>
    <t>КОЛ-ВО кор.</t>
  </si>
  <si>
    <t>ВЕС</t>
  </si>
  <si>
    <t>27,10,(дозаказ)</t>
  </si>
  <si>
    <t>ЗАКАЗ</t>
  </si>
  <si>
    <t>ДОЗАКАЗ</t>
  </si>
  <si>
    <t>27,10,(корректировка)</t>
  </si>
  <si>
    <t>КОРРЕКТИРОВКА</t>
  </si>
  <si>
    <t>(отмена)27,10,</t>
  </si>
  <si>
    <t>(отмена)27,10,(дозаказ)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</si>
</sst>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0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5" fontId="0" fillId="0" borderId="0" xfId="0" applyNumberFormat="1" applyBorder="1"/>
    <xf numFmtId="164" fontId="2" fillId="4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4" fontId="1" fillId="5" borderId="1" xfId="1" applyNumberFormat="1" applyFill="1"/>
    <xf numFmtId="165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5" fillId="6" borderId="1" xfId="1" applyNumberFormat="1" applyFont="1" applyFill="1"/>
    <xf numFmtId="164" fontId="1" fillId="6" borderId="1" xfId="1" applyNumberFormat="1" applyFill="1"/>
    <xf numFmtId="2" fontId="1" fillId="0" borderId="1" xfId="1" applyNumberFormat="1"/>
    <xf numFmtId="164" fontId="7" fillId="0" borderId="1" xfId="1" applyNumberFormat="1" applyFont="1"/>
    <xf numFmtId="2" fontId="8" fillId="2" borderId="1" xfId="1" applyNumberFormat="1" applyFont="1" applyFill="1"/>
    <xf numFmtId="164" fontId="8" fillId="2" borderId="1" xfId="1" applyNumberFormat="1" applyFont="1" applyFill="1"/>
    <xf numFmtId="164" fontId="7" fillId="3" borderId="1" xfId="1" applyNumberFormat="1" applyFont="1" applyFill="1"/>
    <xf numFmtId="2" fontId="0" fillId="0" borderId="1" xfId="0" applyNumberFormat="1"/>
    <xf numFmtId="0" fontId="6" fillId="0" borderId="1" xfId="0" applyFont="1"/>
    <xf numFmtId="0" fontId="0" fillId="0" borderId="1" xfId="0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86;&#1089;&#1089;&#1090;&#1072;&#1085;&#1086;&#1074;&#1083;&#1077;&#1085;&#1085;&#1072;&#1103;_&#1074;&#1085;&#1077;&#1096;&#1085;&#1103;&#1103;_&#1089;&#1089;&#1099;&#1083;&#1082;&#1072;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47;&#1040;&#1042;&#1054;&#1044;&#1067;/&#1052;&#1048;&#1056;&#1040;&#1058;&#1054;&#1056;&#1043;/2025/10,25/20,10,25%20&#1052;&#1080;&#1088;&#1072;&#1090;&#1086;&#1088;&#1075;%20&#1050;&#1048;%20&#1058;&#1072;&#1096;&#1082;&#1077;&#1085;&#1090;/&#1082;&#1086;&#1088;&#1088;%20&#1076;&#1086;&#1087;%20&#1076;&#1074;%2023,10,25%20&#1090;&#1096;&#1088;&#1089;&#1095;%20&#1084;&#1088;&#1090;&#1088;&#1075;%20&#1082;&#1080;%20&#1086;&#1090;%20&#1064;&#1091;&#1074;&#1072;&#1083;&#1086;&#1074;&#1086;&#1081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47;&#1040;&#1042;&#1054;&#1044;&#1067;/&#1052;&#1048;&#1056;&#1040;&#1058;&#1054;&#1056;&#1043;/2025/10,25/20,10,25%20&#1052;&#1080;&#1088;&#1072;&#1090;&#1086;&#1088;&#1075;%20&#1050;&#1048;%20&#1058;&#1072;&#1096;&#1082;&#1077;&#1085;&#1090;/&#1058;&#1072;&#1096;&#1082;&#1077;&#1085;&#1090;/&#1076;&#1074;%2006,10,25%20&#1090;&#1096;&#1088;&#1089;&#1095;%20&#1084;&#1088;&#1090;&#1088;&#1075;%20&#1082;&#1080;%20&#1086;&#1090;%20&#1051;&#1099;&#1075;&#1080;&#1085;&#10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aer4/Downloads/&#1082;&#1086;&#1088;&#1088;&#1077;&#1082;&#1090;&#1080;&#1088;&#1086;&#1074;&#1082;&#1072;%20&#1076;&#1074;%2027,10,25%20&#1090;&#1096;&#1088;&#1089;&#1095;%20&#1084;&#1088;&#1090;&#1088;&#1075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Общество с ограниченной ответственностью "MOS PROD TORG"</v>
          </cell>
        </row>
        <row r="2">
          <cell r="A2" t="str">
            <v>Продажи за 07.10.2025 - 13.10.2025</v>
          </cell>
        </row>
        <row r="4">
          <cell r="A4" t="str">
            <v>Выводимые данные:</v>
          </cell>
          <cell r="B4" t="str">
            <v>Количество</v>
          </cell>
        </row>
        <row r="6">
          <cell r="A6" t="str">
            <v>Номенклатура</v>
          </cell>
          <cell r="C6" t="str">
            <v>Итого</v>
          </cell>
          <cell r="D6" t="str">
            <v>07.10.25</v>
          </cell>
          <cell r="E6" t="str">
            <v>08.10.25</v>
          </cell>
          <cell r="F6" t="str">
            <v>09.10.25</v>
          </cell>
        </row>
        <row r="8">
          <cell r="A8" t="str">
            <v>7187 ГРУДИНКА ПРЕМИУМ к/в мл/к в/у 0.3кг_50с  ОСТАНКИНО</v>
          </cell>
          <cell r="C8">
            <v>1195</v>
          </cell>
          <cell r="D8">
            <v>228</v>
          </cell>
          <cell r="E8">
            <v>-2</v>
          </cell>
          <cell r="F8">
            <v>-1</v>
          </cell>
        </row>
        <row r="9">
          <cell r="A9" t="str">
            <v>1721-Сосиски Вязанка Сливочные ТМ Стародворские колбасы</v>
          </cell>
          <cell r="C9">
            <v>486.488</v>
          </cell>
          <cell r="D9">
            <v>223.554</v>
          </cell>
          <cell r="E9">
            <v>48.58</v>
          </cell>
          <cell r="F9">
            <v>12.324999999999999</v>
          </cell>
        </row>
        <row r="10">
          <cell r="A10" t="str">
            <v>2074-Сосиски Молочные для завтрака Особый рецепт</v>
          </cell>
          <cell r="C10">
            <v>644.31100000000004</v>
          </cell>
          <cell r="D10">
            <v>199.10499999999999</v>
          </cell>
          <cell r="E10">
            <v>152.62200000000001</v>
          </cell>
          <cell r="F10">
            <v>64.040999999999997</v>
          </cell>
        </row>
        <row r="11">
          <cell r="A11" t="str">
            <v>7070 СОЧНЫЕ ПМ сос п/о мгс 1.5*4_А_50с  ОСТАНКИНО</v>
          </cell>
          <cell r="C11">
            <v>468.34500000000003</v>
          </cell>
          <cell r="D11">
            <v>220.99600000000001</v>
          </cell>
          <cell r="E11">
            <v>71.998000000000005</v>
          </cell>
          <cell r="F11">
            <v>36.213000000000001</v>
          </cell>
        </row>
        <row r="12">
          <cell r="A12" t="str">
            <v>2472 Сардельки Левантские Особая Без свинины Весовые NDX мгс Особый рецепт, вес 1кг</v>
          </cell>
          <cell r="C12">
            <v>298.19499999999999</v>
          </cell>
          <cell r="D12">
            <v>25.166</v>
          </cell>
          <cell r="E12">
            <v>105.578</v>
          </cell>
          <cell r="F12">
            <v>56.058999999999997</v>
          </cell>
        </row>
        <row r="13">
          <cell r="A13" t="str">
            <v>Колбаса с/к Сервелат ГОСТ ВУ ОХЛ 0,3кг*6(1,8кг)  МИРАТОРГ</v>
          </cell>
          <cell r="C13">
            <v>267</v>
          </cell>
          <cell r="D13">
            <v>125</v>
          </cell>
          <cell r="E13">
            <v>21</v>
          </cell>
          <cell r="F13">
            <v>6</v>
          </cell>
        </row>
        <row r="14">
          <cell r="A14" t="str">
            <v>0222-Ветчины Дугушка Дугушка б/о Стародворье, 1кг</v>
          </cell>
          <cell r="C14">
            <v>245.452</v>
          </cell>
          <cell r="D14">
            <v>118.46599999999999</v>
          </cell>
          <cell r="E14">
            <v>25.414999999999999</v>
          </cell>
          <cell r="F14">
            <v>23.001999999999999</v>
          </cell>
        </row>
        <row r="15">
          <cell r="A15" t="str">
            <v>4087   СЕРВЕЛАТ КОПЧЕНЫЙ НА БУКЕ в/к в/К 0,35</v>
          </cell>
          <cell r="C15">
            <v>619</v>
          </cell>
          <cell r="D15">
            <v>292</v>
          </cell>
          <cell r="E15">
            <v>38</v>
          </cell>
          <cell r="F15">
            <v>67</v>
          </cell>
        </row>
        <row r="16">
          <cell r="A16" t="str">
            <v>2205-Сосиски Молочные для завтрака ТМ Особый рецепт 0,4кг</v>
          </cell>
          <cell r="C16">
            <v>580</v>
          </cell>
          <cell r="D16">
            <v>174</v>
          </cell>
          <cell r="E16">
            <v>97</v>
          </cell>
        </row>
        <row r="17">
          <cell r="A17" t="str">
            <v>1875-Колбаса Филейная оригинальная ТМ Особый рецепт в оболочке полиамид.  ПОКОМ</v>
          </cell>
          <cell r="C17">
            <v>280.351</v>
          </cell>
          <cell r="D17">
            <v>89.632999999999996</v>
          </cell>
          <cell r="E17">
            <v>36.386000000000003</v>
          </cell>
          <cell r="F17">
            <v>24.974</v>
          </cell>
        </row>
        <row r="18">
          <cell r="A18" t="str">
            <v>7058 ШПИКАЧКИ СОЧНЫЕ С БЕКОНОМ п/о мгс 1*3_60с  ОСТАНКИНО</v>
          </cell>
          <cell r="C18">
            <v>231.15100000000001</v>
          </cell>
          <cell r="D18">
            <v>105.366</v>
          </cell>
          <cell r="E18">
            <v>31.806000000000001</v>
          </cell>
          <cell r="F18">
            <v>12.625999999999999</v>
          </cell>
        </row>
        <row r="19">
          <cell r="A19" t="str">
            <v>5608 СЕРВЕЛАТ ФИНСКИЙ в/к в/у срез 0.35кг_СНГ</v>
          </cell>
          <cell r="C19">
            <v>494</v>
          </cell>
          <cell r="D19">
            <v>250</v>
          </cell>
          <cell r="E19">
            <v>38</v>
          </cell>
          <cell r="F19">
            <v>45</v>
          </cell>
        </row>
        <row r="20">
          <cell r="A20" t="str">
            <v>0178 Ветчины Нежная Особая Особая Весовые П/а Особый рецепт большой батон  ПОКОМ</v>
          </cell>
          <cell r="C20">
            <v>194.352</v>
          </cell>
          <cell r="D20">
            <v>79.001999999999995</v>
          </cell>
          <cell r="E20">
            <v>30.058</v>
          </cell>
          <cell r="F20">
            <v>17.529</v>
          </cell>
        </row>
        <row r="21">
          <cell r="A21" t="str">
            <v>1870-Колбаса Со шпиком ТМ Особый рецепт в оболочке полиамид большой батон.  ПОКОМ</v>
          </cell>
          <cell r="C21">
            <v>300.34899999999999</v>
          </cell>
          <cell r="D21">
            <v>82.525000000000006</v>
          </cell>
          <cell r="E21">
            <v>77.617000000000004</v>
          </cell>
          <cell r="F21">
            <v>58.606000000000002</v>
          </cell>
        </row>
        <row r="22">
          <cell r="A22" t="str">
            <v>2150 В/к колбасы Рубленая Запеченная Дугушка Весовые Вектор Стародворье, вес 1кг</v>
          </cell>
          <cell r="C22">
            <v>161.374</v>
          </cell>
          <cell r="D22">
            <v>58.07</v>
          </cell>
          <cell r="E22">
            <v>14.755000000000001</v>
          </cell>
          <cell r="F22">
            <v>15.827</v>
          </cell>
        </row>
        <row r="23">
          <cell r="A23" t="str">
            <v>МХБ Колб полусухая «Салями» ВУ ОХЛ 280гр*6 (1,68кг)  МИРАТОРГ</v>
          </cell>
          <cell r="C23">
            <v>257</v>
          </cell>
          <cell r="D23">
            <v>-2</v>
          </cell>
        </row>
        <row r="24">
          <cell r="A24" t="str">
            <v>1523-Сосиски Вязанка Молочные ТМ Стародворские колбасы</v>
          </cell>
          <cell r="C24">
            <v>166.88300000000001</v>
          </cell>
          <cell r="D24">
            <v>73.650000000000006</v>
          </cell>
          <cell r="E24">
            <v>24.648</v>
          </cell>
          <cell r="F24">
            <v>5.5350000000000001</v>
          </cell>
        </row>
        <row r="25">
          <cell r="A25" t="str">
            <v>1869-Колбаса Молочная ТМ Особый рецепт в оболочке полиамид большой батон.  ПОКОМ</v>
          </cell>
          <cell r="C25">
            <v>280.99599999999998</v>
          </cell>
          <cell r="D25">
            <v>193.05699999999999</v>
          </cell>
        </row>
        <row r="26">
          <cell r="A26" t="str">
            <v>1120 В/к колбасы Сервелат Запеченный Дугушка Вес Вектор Стародворье, вес 1кг</v>
          </cell>
          <cell r="C26">
            <v>149.68</v>
          </cell>
          <cell r="D26">
            <v>78.724999999999994</v>
          </cell>
          <cell r="E26">
            <v>9.6379999999999999</v>
          </cell>
          <cell r="F26">
            <v>15.808999999999999</v>
          </cell>
        </row>
        <row r="27">
          <cell r="A27" t="str">
            <v>6093 САЛЯМИ ИТАЛЬЯНСКАЯ с/к в/у 1/250 8шт_UZ</v>
          </cell>
          <cell r="C27">
            <v>292</v>
          </cell>
          <cell r="D27">
            <v>119</v>
          </cell>
          <cell r="E27">
            <v>32</v>
          </cell>
          <cell r="F27">
            <v>15</v>
          </cell>
        </row>
        <row r="28">
          <cell r="A28" t="str">
            <v>6072 ЭКСТРА Папа может вар п/о 0.4кг_UZ</v>
          </cell>
          <cell r="C28">
            <v>466</v>
          </cell>
          <cell r="D28">
            <v>191</v>
          </cell>
          <cell r="E28">
            <v>9</v>
          </cell>
        </row>
        <row r="29">
          <cell r="A29" t="str">
            <v>6346 ФИЛЕЙНАЯ Папа может вар п/о 0.5кг_СНГ  ОСТАНКИНО</v>
          </cell>
          <cell r="C29">
            <v>369</v>
          </cell>
          <cell r="E29">
            <v>16</v>
          </cell>
        </row>
        <row r="30">
          <cell r="A30" t="str">
            <v>4079 СЕРВЕЛАТ КОПЧЕНЫЙ НА БУКЕ в/к в/у_СНГ</v>
          </cell>
          <cell r="C30">
            <v>141.494</v>
          </cell>
          <cell r="D30">
            <v>69.757999999999996</v>
          </cell>
          <cell r="E30">
            <v>8.8260000000000005</v>
          </cell>
          <cell r="F30">
            <v>-2.5000000000000001E-2</v>
          </cell>
        </row>
        <row r="31">
          <cell r="A31" t="str">
            <v>7075 МОЛОЧ.ПРЕМИУМ ПМ сос п/о мгс 1.5*4_О_50с  ОСТАНКИНО</v>
          </cell>
          <cell r="C31">
            <v>182.38</v>
          </cell>
          <cell r="D31">
            <v>83.228999999999999</v>
          </cell>
          <cell r="E31">
            <v>18.329000000000001</v>
          </cell>
          <cell r="F31">
            <v>6.1470000000000002</v>
          </cell>
        </row>
        <row r="32">
          <cell r="A32" t="str">
            <v>1867-Колбаса Филейная ТМ Особый рецепт в оболочке полиамид большой батон.  ПОКОМ</v>
          </cell>
          <cell r="C32">
            <v>239.31200000000001</v>
          </cell>
          <cell r="D32">
            <v>98.218999999999994</v>
          </cell>
          <cell r="E32">
            <v>57.442999999999998</v>
          </cell>
          <cell r="F32">
            <v>20.164999999999999</v>
          </cell>
        </row>
        <row r="33">
          <cell r="A33" t="str">
            <v>СК БОГОРОДСКАЯ ПРЕСС ФИБ ВУ ШТ0.3КГ К3.6  ЧЕРКИЗОВО</v>
          </cell>
          <cell r="C33">
            <v>198</v>
          </cell>
          <cell r="D33">
            <v>77</v>
          </cell>
          <cell r="E33">
            <v>18</v>
          </cell>
          <cell r="F33">
            <v>16</v>
          </cell>
        </row>
        <row r="34">
          <cell r="A34" t="str">
            <v>МХБ Колбаса варено-копченая Сервелат Финский ШТ. Ф/О ОХЛ В/У 375г*6 (2,25кг) МИРАТОРГ</v>
          </cell>
          <cell r="C34">
            <v>224</v>
          </cell>
          <cell r="D34">
            <v>92</v>
          </cell>
          <cell r="E34">
            <v>35</v>
          </cell>
          <cell r="F34">
            <v>5</v>
          </cell>
        </row>
        <row r="35">
          <cell r="A35" t="str">
            <v>1118 В/к колбасы Салями Запеченая Дугушка  Вектор Стародворье, 1кг</v>
          </cell>
          <cell r="C35">
            <v>118.405</v>
          </cell>
          <cell r="D35">
            <v>39.674999999999997</v>
          </cell>
          <cell r="E35">
            <v>14.641</v>
          </cell>
          <cell r="F35">
            <v>13.146000000000001</v>
          </cell>
        </row>
        <row r="36">
          <cell r="A36" t="str">
            <v>1202 В/к колбасы Сервелат Мясорубский с мелкорубленным окороком срез Бордо Фикс.вес 0,35 фиброуз Ста</v>
          </cell>
          <cell r="C36">
            <v>348</v>
          </cell>
          <cell r="D36">
            <v>160</v>
          </cell>
          <cell r="E36">
            <v>14</v>
          </cell>
          <cell r="F36">
            <v>37</v>
          </cell>
        </row>
        <row r="37">
          <cell r="A37" t="str">
            <v>СК БОРОДИНСКАЯ СРЕЗ ФИБ ВУ 0.3КГ ШТ К3.6  ЧЕРКИЗОВО</v>
          </cell>
          <cell r="C37">
            <v>177</v>
          </cell>
          <cell r="D37">
            <v>88</v>
          </cell>
          <cell r="E37">
            <v>11</v>
          </cell>
          <cell r="F37">
            <v>6</v>
          </cell>
        </row>
        <row r="38">
          <cell r="A38" t="str">
            <v>6076 МЯСНАЯ Папа может вар п/о 0.4кг_UZ</v>
          </cell>
          <cell r="C38">
            <v>410</v>
          </cell>
          <cell r="D38">
            <v>171</v>
          </cell>
          <cell r="E38">
            <v>38</v>
          </cell>
          <cell r="F38">
            <v>42</v>
          </cell>
        </row>
        <row r="39">
          <cell r="A39" t="str">
            <v>У_МХБ Колб полусухая «Салями» ВУ ОХЛ 280гр*6 (1,68кг)  МИРАТОРГ</v>
          </cell>
          <cell r="C39">
            <v>172</v>
          </cell>
          <cell r="E39">
            <v>150</v>
          </cell>
          <cell r="F39">
            <v>22</v>
          </cell>
        </row>
        <row r="40">
          <cell r="A40" t="str">
            <v>1720-Сосиски Вязанка Сливочные ТМ Стародворские колбасы ТС Вязанка амицел в мод газов.среде 0,45кг</v>
          </cell>
          <cell r="C40">
            <v>193</v>
          </cell>
          <cell r="D40">
            <v>57</v>
          </cell>
          <cell r="E40">
            <v>18</v>
          </cell>
          <cell r="F40">
            <v>9</v>
          </cell>
        </row>
        <row r="41">
          <cell r="A41" t="str">
            <v>Вареные колбасы Сливушка Вязанка Фикс.вес 0,45 П/а Вязанка  ПОКОМ</v>
          </cell>
          <cell r="C41">
            <v>232</v>
          </cell>
          <cell r="D41">
            <v>127</v>
          </cell>
        </row>
        <row r="42">
          <cell r="A42" t="str">
            <v>2634 Колбаса Дугушка Стародворская ТМ Стародворье ТС Дугушка  ПОКОМ</v>
          </cell>
          <cell r="C42">
            <v>133.47300000000001</v>
          </cell>
          <cell r="D42">
            <v>55.03</v>
          </cell>
          <cell r="E42">
            <v>7.6180000000000003</v>
          </cell>
          <cell r="F42">
            <v>5.0999999999999996</v>
          </cell>
        </row>
        <row r="43">
          <cell r="A43" t="str">
            <v>МХБ Колбаса варено-копченая Сервелат ШТ. Ф/О ОХЛ В/У 375г*6 (2,25кг) МИРАТОРГ</v>
          </cell>
          <cell r="C43">
            <v>159</v>
          </cell>
          <cell r="D43">
            <v>74</v>
          </cell>
          <cell r="E43">
            <v>22</v>
          </cell>
          <cell r="F43">
            <v>6</v>
          </cell>
        </row>
        <row r="44">
          <cell r="A44" t="str">
            <v>1205 Копченые колбасы Салями Мясорубская с рубленым шпиком срез Бордо ф/в 0,35 фиброуз Стародворье  ПОКОМ</v>
          </cell>
          <cell r="C44">
            <v>290</v>
          </cell>
          <cell r="D44">
            <v>140</v>
          </cell>
          <cell r="E44">
            <v>27</v>
          </cell>
        </row>
        <row r="45">
          <cell r="A45" t="str">
            <v>КОПЧ БЕКОН НАР ВУ ШТ 0.18КГ К1.8  ЧЕРКИЗОВО</v>
          </cell>
          <cell r="C45">
            <v>215</v>
          </cell>
          <cell r="D45">
            <v>38</v>
          </cell>
          <cell r="E45">
            <v>3</v>
          </cell>
        </row>
        <row r="46">
          <cell r="A46" t="str">
            <v>МХБ Мясной продукт из свинины сырокопченый Бекон ШТ. ОХЛ ВУ 200г*10 (2 кг) МИРАТОРГ</v>
          </cell>
          <cell r="C46">
            <v>265</v>
          </cell>
          <cell r="D46">
            <v>78</v>
          </cell>
          <cell r="E46">
            <v>-1</v>
          </cell>
        </row>
        <row r="47">
          <cell r="A47" t="str">
            <v>МХБ Колбаса полукопченая Чесночная ШТ. ф/о ОХЛ 375г*6 (2,25кг) МИРАТОРГ</v>
          </cell>
          <cell r="C47">
            <v>217</v>
          </cell>
          <cell r="D47">
            <v>95</v>
          </cell>
          <cell r="E47">
            <v>24</v>
          </cell>
          <cell r="F47">
            <v>7</v>
          </cell>
        </row>
        <row r="48">
          <cell r="A48" t="str">
            <v>1370-Сосиски Сочинки Бордо Весовой п/а Стародворье</v>
          </cell>
          <cell r="C48">
            <v>129.238</v>
          </cell>
          <cell r="D48">
            <v>64.944999999999993</v>
          </cell>
          <cell r="E48">
            <v>1.292</v>
          </cell>
          <cell r="F48">
            <v>6.1040000000000001</v>
          </cell>
        </row>
        <row r="49">
          <cell r="A49" t="str">
            <v>ВК СЕРВ ГОСТ СРЕЗ ФИБ ВУ ШТ 0.5КГ К2  ЧЕРКИЗОВО</v>
          </cell>
          <cell r="C49">
            <v>97</v>
          </cell>
          <cell r="D49">
            <v>52</v>
          </cell>
          <cell r="E49">
            <v>4</v>
          </cell>
          <cell r="F49">
            <v>-2</v>
          </cell>
        </row>
        <row r="50">
          <cell r="A50" t="str">
            <v>СК СЕРВЕЛЕТТИ ПРЕСС СРЕЗ БО ВУ ШТ 0.25КГ  ЧЕРКИЗОВО</v>
          </cell>
          <cell r="C50">
            <v>121</v>
          </cell>
          <cell r="D50">
            <v>83</v>
          </cell>
          <cell r="E50">
            <v>5</v>
          </cell>
          <cell r="F50">
            <v>6</v>
          </cell>
        </row>
        <row r="51">
          <cell r="A51" t="str">
            <v>6765 РУБЛЕНЫЕ сос ц/о мгс 0.36кг 6шт.  ОСТАНКИНО</v>
          </cell>
          <cell r="C51">
            <v>198</v>
          </cell>
        </row>
        <row r="52">
          <cell r="A52" t="str">
            <v>5096   СЕРВЕЛАТ КРЕМЛЕВСКИЙ в/к в/у_СНГ</v>
          </cell>
          <cell r="C52">
            <v>69.747</v>
          </cell>
          <cell r="D52">
            <v>46.110999999999997</v>
          </cell>
          <cell r="E52">
            <v>1.6319999999999999</v>
          </cell>
          <cell r="F52">
            <v>8.4930000000000003</v>
          </cell>
        </row>
        <row r="53">
          <cell r="A53" t="str">
            <v>МХБ Сервелат Мраморный ШТ. в/к ВУ ОХЛ 330г*6 (1,98кг)  МИРАТОРГ</v>
          </cell>
          <cell r="C53">
            <v>149</v>
          </cell>
          <cell r="D53">
            <v>69</v>
          </cell>
          <cell r="E53">
            <v>9</v>
          </cell>
          <cell r="F53">
            <v>7</v>
          </cell>
        </row>
        <row r="54">
          <cell r="A54" t="str">
            <v>6095 ЮБИЛЕЙНАЯ с/к в/у 1/250 8шт_UZ</v>
          </cell>
          <cell r="C54">
            <v>180</v>
          </cell>
          <cell r="D54">
            <v>100</v>
          </cell>
          <cell r="E54">
            <v>3</v>
          </cell>
          <cell r="F54">
            <v>14</v>
          </cell>
        </row>
        <row r="55">
          <cell r="A55" t="str">
            <v>КП Колбаса в/к Балыковая ВУ охл 300г*6  МИРАТОРГ</v>
          </cell>
          <cell r="C55">
            <v>188</v>
          </cell>
          <cell r="D55">
            <v>73</v>
          </cell>
          <cell r="E55">
            <v>27</v>
          </cell>
          <cell r="F55">
            <v>7</v>
          </cell>
        </row>
        <row r="56">
          <cell r="A56" t="str">
            <v>1204 Копченые колбасы Салями Мясорубская с рубленым шпиком Бордо Весовой фиброуз Стародворье  ПОКОМ</v>
          </cell>
          <cell r="C56">
            <v>91.775999999999996</v>
          </cell>
          <cell r="D56">
            <v>59.944000000000003</v>
          </cell>
          <cell r="E56">
            <v>8.4160000000000004</v>
          </cell>
          <cell r="F56">
            <v>-0.65200000000000002</v>
          </cell>
        </row>
        <row r="57">
          <cell r="A57" t="str">
            <v>Колбаса п/к Краковская ОХЛ ВУ 330г*5 (1,65 кг)  МИРАТОРГ</v>
          </cell>
          <cell r="C57">
            <v>150</v>
          </cell>
          <cell r="D57">
            <v>84</v>
          </cell>
          <cell r="E57">
            <v>18</v>
          </cell>
          <cell r="F57">
            <v>-2</v>
          </cell>
        </row>
        <row r="58">
          <cell r="A58" t="str">
            <v>7067 СОЧНЫЕ ПМ сос п/о мгс 0.41кг_СНГ_50с  ОСТАНКИНО</v>
          </cell>
          <cell r="C58">
            <v>261</v>
          </cell>
          <cell r="D58">
            <v>6</v>
          </cell>
          <cell r="E58">
            <v>9</v>
          </cell>
        </row>
        <row r="59">
          <cell r="A59" t="str">
            <v>1201 В/к колбасы Сервелат Мясорубский с мелкорубленным окороком Бордо Весовой фиброуз Стародворье  П</v>
          </cell>
          <cell r="C59">
            <v>86.850999999999999</v>
          </cell>
          <cell r="D59">
            <v>42.607999999999997</v>
          </cell>
          <cell r="E59">
            <v>7.2619999999999996</v>
          </cell>
          <cell r="F59">
            <v>6.524</v>
          </cell>
        </row>
        <row r="60">
          <cell r="A60" t="str">
            <v>1871-Колбаса Филейная оригинальная ТМ Особый рецепт в оболочке полиамид 0,4 кг.  ПОКОМ</v>
          </cell>
          <cell r="C60">
            <v>254</v>
          </cell>
          <cell r="D60">
            <v>44</v>
          </cell>
          <cell r="E60">
            <v>12</v>
          </cell>
          <cell r="F60">
            <v>54</v>
          </cell>
        </row>
        <row r="61">
          <cell r="A61" t="str">
            <v>МХБ Колбаса сырокопченая Брауншвейгская ШТ. ВУ ОХЛ 300гр*8 (2,4 кг) МИРАТОРГ</v>
          </cell>
          <cell r="C61">
            <v>89</v>
          </cell>
          <cell r="D61">
            <v>43</v>
          </cell>
          <cell r="E61">
            <v>3</v>
          </cell>
          <cell r="F61">
            <v>6</v>
          </cell>
        </row>
        <row r="62">
          <cell r="A62" t="str">
            <v>2027 Ветчина Нежная п/а ТМ Особый рецепт шт. 0,4кг</v>
          </cell>
          <cell r="C62">
            <v>167</v>
          </cell>
          <cell r="D62">
            <v>32</v>
          </cell>
          <cell r="E62">
            <v>-6</v>
          </cell>
        </row>
        <row r="63">
          <cell r="A63" t="str">
            <v>ВАР МОЛОЧНАЯ ПО-ЧЕ НМО ШТ 0.4КГ К2.4  ЧЕРКИЗОВО</v>
          </cell>
          <cell r="C63">
            <v>199</v>
          </cell>
          <cell r="D63">
            <v>106</v>
          </cell>
          <cell r="E63">
            <v>19</v>
          </cell>
          <cell r="F63">
            <v>28</v>
          </cell>
        </row>
        <row r="64">
          <cell r="A64" t="str">
            <v>ВАР КЛАССИЧЕСКАЯ ПО-Ч ЦО ЗА 1.6КГ K3.2 ЧЕРКИЗОВО</v>
          </cell>
          <cell r="C64">
            <v>61.601999999999997</v>
          </cell>
          <cell r="D64">
            <v>17.713000000000001</v>
          </cell>
          <cell r="E64">
            <v>0.91300000000000003</v>
          </cell>
          <cell r="F64">
            <v>-0.624</v>
          </cell>
        </row>
        <row r="65">
          <cell r="A65" t="str">
            <v>7104 БЕКОН Останкино с/к с/н в/у 1/180_СНГ_50 ОСТАНКИНО</v>
          </cell>
          <cell r="C65">
            <v>191</v>
          </cell>
        </row>
        <row r="66">
          <cell r="A66" t="str">
            <v>Вареные колбасы Докторская ГОСТ Вязанка Фикс.вес 0,4 Вектор Вязанка  ПОКОМ</v>
          </cell>
          <cell r="C66">
            <v>145</v>
          </cell>
          <cell r="D66">
            <v>77</v>
          </cell>
          <cell r="E66">
            <v>9</v>
          </cell>
          <cell r="F66">
            <v>9</v>
          </cell>
        </row>
        <row r="67">
          <cell r="A67" t="str">
            <v>6094 ЮБИЛЕЙНАЯ с/к в/у_UZ</v>
          </cell>
          <cell r="C67">
            <v>38.183999999999997</v>
          </cell>
          <cell r="D67">
            <v>30.373999999999999</v>
          </cell>
          <cell r="E67">
            <v>1.454</v>
          </cell>
          <cell r="F67">
            <v>0.96</v>
          </cell>
        </row>
        <row r="68">
          <cell r="A68" t="str">
            <v>6807 СЕРВЕЛАТ ЕВРОПЕЙСКИЙ в/к в/у 0.33кг 8шт.  ОСТАНКИНО</v>
          </cell>
          <cell r="C68">
            <v>154</v>
          </cell>
          <cell r="D68">
            <v>32</v>
          </cell>
          <cell r="E68">
            <v>70</v>
          </cell>
          <cell r="F68">
            <v>13</v>
          </cell>
        </row>
        <row r="69">
          <cell r="A69" t="str">
            <v>1224 В/к колбасы «Сочинка по-европейски с сочной грудинкой» Весовой фиброуз ТМ «Стародворье»  ПОКОМ</v>
          </cell>
          <cell r="C69">
            <v>79.864000000000004</v>
          </cell>
          <cell r="D69">
            <v>41.970999999999997</v>
          </cell>
          <cell r="E69">
            <v>11.041</v>
          </cell>
          <cell r="F69">
            <v>5.4509999999999996</v>
          </cell>
        </row>
        <row r="70">
          <cell r="A70" t="str">
            <v>6092 АРОМАТНАЯ с/к в/у 1/250 8шт_UZ</v>
          </cell>
          <cell r="C70">
            <v>135</v>
          </cell>
          <cell r="D70">
            <v>50</v>
          </cell>
          <cell r="E70">
            <v>6</v>
          </cell>
          <cell r="F70">
            <v>15</v>
          </cell>
        </row>
        <row r="71">
          <cell r="A71" t="str">
            <v>Стейк из мраморной говядины б/к с/м TF ~1кг BLACK ANGUS Мираторг (Брянск) Россия  МИРАТОРГ</v>
          </cell>
          <cell r="C71">
            <v>26</v>
          </cell>
          <cell r="D71">
            <v>1</v>
          </cell>
          <cell r="F71">
            <v>5</v>
          </cell>
        </row>
        <row r="72">
          <cell r="A72" t="str">
            <v>СОС СЛИВОЧНЫЕ ГОСТ ЦО ЗА ЛОТ ШТ 0.45КГ K1.8 ЧЕРКИЗОВО</v>
          </cell>
          <cell r="C72">
            <v>99</v>
          </cell>
          <cell r="D72">
            <v>113</v>
          </cell>
          <cell r="E72">
            <v>-2</v>
          </cell>
          <cell r="F72">
            <v>-12</v>
          </cell>
        </row>
        <row r="73">
          <cell r="A73" t="str">
            <v>7333 СЕРВЕЛАТ ОХОТНИЧИЙ ПМ в/к в/у 0.28кг_СНГ  ОСТАНКИНО</v>
          </cell>
          <cell r="C73">
            <v>202</v>
          </cell>
        </row>
        <row r="74">
          <cell r="A74" t="str">
            <v>7059 ШПИКАЧКИ СОЧНЫЕ С БЕК. п/о мгс 0.3кг_60с  ОСТАНКИНО</v>
          </cell>
          <cell r="C74">
            <v>233</v>
          </cell>
          <cell r="D74">
            <v>8</v>
          </cell>
          <cell r="E74">
            <v>25</v>
          </cell>
        </row>
        <row r="75">
          <cell r="A75" t="str">
            <v>1411 Сосиски «Сочинки Сливочные» Весовые ТМ «Стародворье» 1,35 кг  ПОКОМ</v>
          </cell>
          <cell r="C75">
            <v>83.23</v>
          </cell>
          <cell r="D75">
            <v>28.007999999999999</v>
          </cell>
          <cell r="E75">
            <v>32.219000000000001</v>
          </cell>
          <cell r="F75">
            <v>11.183</v>
          </cell>
        </row>
        <row r="76">
          <cell r="A76" t="str">
            <v>СОС КОПЧ ПО-Ч ЛОТ ПМО ЗА ШТ 0.4КГ K1.6  ЧЕРКИЗОВО</v>
          </cell>
          <cell r="C76">
            <v>152</v>
          </cell>
          <cell r="D76">
            <v>76</v>
          </cell>
          <cell r="E76">
            <v>-6</v>
          </cell>
          <cell r="F76">
            <v>7</v>
          </cell>
        </row>
        <row r="77">
          <cell r="A77" t="str">
            <v>Вареные колбасы Молокуша Вязанка Вес п/а Вязанка  ПОКОМ</v>
          </cell>
          <cell r="C77">
            <v>68.049000000000007</v>
          </cell>
          <cell r="D77">
            <v>41.707999999999998</v>
          </cell>
          <cell r="E77">
            <v>1.0920000000000001</v>
          </cell>
          <cell r="F77">
            <v>2.67</v>
          </cell>
        </row>
        <row r="78">
          <cell r="A78" t="str">
            <v>7077 МЯСНЫЕ С ГОВЯД.ПМ сос п/о мгс 0.4кг_50с ОСТАНКИНО</v>
          </cell>
          <cell r="C78">
            <v>205</v>
          </cell>
          <cell r="E78">
            <v>5</v>
          </cell>
        </row>
        <row r="79">
          <cell r="A79" t="str">
            <v>ВЕТЧ МРАМОРНАЯ ПО-ЧЕРКИЗОВСКИ ШТ 0,4 КГ  ЧЕРКИЗОВО</v>
          </cell>
          <cell r="C79">
            <v>104</v>
          </cell>
          <cell r="D79">
            <v>52</v>
          </cell>
          <cell r="E79">
            <v>9</v>
          </cell>
          <cell r="F79">
            <v>11</v>
          </cell>
        </row>
        <row r="80">
          <cell r="A80" t="str">
            <v>Вареные колбасы «Филейская» Фикс.вес 0,45 Вектор ТМ «Вязанка»  ПОКОМ</v>
          </cell>
          <cell r="C80">
            <v>125</v>
          </cell>
          <cell r="D80">
            <v>60</v>
          </cell>
          <cell r="E80">
            <v>16</v>
          </cell>
          <cell r="F80">
            <v>10</v>
          </cell>
        </row>
        <row r="81">
          <cell r="A81" t="str">
            <v>6078 ФИЛЕЙНАЯ Папа может вар п/о_UZ</v>
          </cell>
          <cell r="C81">
            <v>78.492999999999995</v>
          </cell>
          <cell r="D81">
            <v>39.518000000000001</v>
          </cell>
          <cell r="E81">
            <v>9.3469999999999995</v>
          </cell>
          <cell r="F81">
            <v>2.3359999999999999</v>
          </cell>
        </row>
        <row r="82">
          <cell r="A82" t="str">
            <v>СВ ФУЭТ ЭКСТРА 0.15КГ К0.9  ЧЕРКИЗОВО</v>
          </cell>
          <cell r="C82">
            <v>72</v>
          </cell>
          <cell r="D82">
            <v>30</v>
          </cell>
          <cell r="E82">
            <v>4</v>
          </cell>
          <cell r="F82">
            <v>6</v>
          </cell>
        </row>
        <row r="83">
          <cell r="A83" t="str">
            <v>СК САЛЯМИНИ ВУ ШТ 0.18 КГ  ЧЕРКИЗОВО</v>
          </cell>
          <cell r="C83">
            <v>136</v>
          </cell>
          <cell r="D83">
            <v>121</v>
          </cell>
          <cell r="E83">
            <v>12</v>
          </cell>
        </row>
        <row r="84">
          <cell r="A84" t="str">
            <v>ВАР МОЛОЧНАЯ ПО-Ч НМО 1 КГ К3  ЧЕРКИЗОВО</v>
          </cell>
          <cell r="C84">
            <v>52.731999999999999</v>
          </cell>
          <cell r="D84">
            <v>25.975999999999999</v>
          </cell>
          <cell r="F84">
            <v>1.048</v>
          </cell>
        </row>
        <row r="85">
          <cell r="A85" t="str">
            <v>СК САЛЬЧИЧОН СРЕЗ ФИБ ВУ ШТ 0,3 КГ ЧЕРКИЗОВО (ПРЕМИУМ)</v>
          </cell>
          <cell r="C85">
            <v>69</v>
          </cell>
          <cell r="D85">
            <v>40</v>
          </cell>
          <cell r="E85">
            <v>3</v>
          </cell>
        </row>
        <row r="86">
          <cell r="A86" t="str">
            <v>6837 ФИЛЕЙНЫЕ Папа Может сос ц/о мгс 0.4кг  ОСТАНКИНО</v>
          </cell>
          <cell r="C86">
            <v>151</v>
          </cell>
        </row>
        <row r="87">
          <cell r="A87" t="str">
            <v>1284-Сосиски Баварушки ТМ Баварушка в оболочке амицел в модифицированной газовой среде 0,6 кг.</v>
          </cell>
          <cell r="C87">
            <v>66</v>
          </cell>
          <cell r="D87">
            <v>29</v>
          </cell>
          <cell r="E87">
            <v>5</v>
          </cell>
          <cell r="F87">
            <v>6</v>
          </cell>
        </row>
        <row r="88">
          <cell r="A88" t="str">
            <v>Наггетсы куриные Классические 300г*12 (3,6кг) Мираторг Россия</v>
          </cell>
          <cell r="C88">
            <v>129</v>
          </cell>
          <cell r="D88">
            <v>20</v>
          </cell>
          <cell r="F88">
            <v>12</v>
          </cell>
        </row>
        <row r="89">
          <cell r="A89" t="str">
            <v>СОС МОЛОЧНЫЕ ПО-Ч ПМО ЗА ЛОТ ШТ 0.45КГ K1.8 ЧЕРКИЗОВО</v>
          </cell>
          <cell r="C89">
            <v>86</v>
          </cell>
          <cell r="D89">
            <v>71</v>
          </cell>
          <cell r="E89">
            <v>-9</v>
          </cell>
          <cell r="F89">
            <v>4</v>
          </cell>
        </row>
        <row r="90">
          <cell r="A90" t="str">
            <v>МХБ Колбаса варено-копченая Сервелат Коньячный Ф/О ОХЛ В/У 300г*6 (1,8кг)  МИРАТОРГ</v>
          </cell>
          <cell r="C90">
            <v>95</v>
          </cell>
          <cell r="D90">
            <v>29</v>
          </cell>
          <cell r="E90">
            <v>9</v>
          </cell>
          <cell r="F90">
            <v>6</v>
          </cell>
        </row>
        <row r="91">
          <cell r="A91" t="str">
            <v>СК БРАУНШВЕЙГСКАЯ ГОСТ БО СРЕЗ ШТ 0,2КГ  ЧЕРКИЗОВО</v>
          </cell>
          <cell r="C91">
            <v>80</v>
          </cell>
          <cell r="D91">
            <v>37</v>
          </cell>
          <cell r="E91">
            <v>7</v>
          </cell>
        </row>
        <row r="92">
          <cell r="A92" t="str">
            <v>СК ОНЕЖСКАЯ СРЕЗ ФИБ ВУ ШТ 0.3КГ K1.8 ЧЕРКИЗОВО</v>
          </cell>
          <cell r="C92">
            <v>58</v>
          </cell>
          <cell r="D92">
            <v>50</v>
          </cell>
          <cell r="E92">
            <v>5</v>
          </cell>
        </row>
        <row r="93">
          <cell r="A93" t="str">
            <v>СК САЛЬЧИЧОН С РОЗОВЫМ ПЕРЦ. СРЕЗ ШТ 0,3  ЧЕРКИЗОВО</v>
          </cell>
          <cell r="C93">
            <v>58</v>
          </cell>
          <cell r="D93">
            <v>23</v>
          </cell>
          <cell r="E93">
            <v>5</v>
          </cell>
        </row>
        <row r="94">
          <cell r="A94" t="str">
            <v>1952-Колбаса Со шпиком ТМ Особый рецепт в оболочке полиамид 0,5 кг.  ПОКОМ</v>
          </cell>
          <cell r="C94">
            <v>113</v>
          </cell>
          <cell r="D94">
            <v>47</v>
          </cell>
          <cell r="E94">
            <v>18</v>
          </cell>
          <cell r="F94">
            <v>3</v>
          </cell>
        </row>
        <row r="95">
          <cell r="A95" t="str">
            <v>1851-Колбаса Филедворская по-стародворски ТМ Стародворье в оболочке полиамид 0,4 кг.  ПОКОМ</v>
          </cell>
          <cell r="C95">
            <v>131</v>
          </cell>
          <cell r="D95">
            <v>72</v>
          </cell>
          <cell r="E95">
            <v>5</v>
          </cell>
          <cell r="F95">
            <v>2</v>
          </cell>
        </row>
        <row r="96">
          <cell r="A96" t="str">
            <v>Наггетсы куриные хрустящие 300г*12 (3,6кг) Мираторг Россия</v>
          </cell>
          <cell r="C96">
            <v>104</v>
          </cell>
          <cell r="D96">
            <v>23</v>
          </cell>
        </row>
        <row r="97">
          <cell r="A97" t="str">
            <v>ВАР АРОМАТНАЯ ПО-Ч ЦО ЗА 1.6КГ K3.2 ЧЕРКИЗОВО</v>
          </cell>
          <cell r="C97">
            <v>31.164999999999999</v>
          </cell>
          <cell r="D97">
            <v>15.353999999999999</v>
          </cell>
          <cell r="E97">
            <v>-3.2130000000000001</v>
          </cell>
          <cell r="F97">
            <v>1.633</v>
          </cell>
        </row>
        <row r="98">
          <cell r="A98" t="str">
            <v>МХБ Ветчина для завтрака ШТ. ОХЛ п/а 400г*6 (2,4кг) МИРАТОРГ</v>
          </cell>
          <cell r="C98">
            <v>67</v>
          </cell>
          <cell r="D98">
            <v>42</v>
          </cell>
          <cell r="E98">
            <v>2</v>
          </cell>
          <cell r="F98">
            <v>6</v>
          </cell>
        </row>
        <row r="99">
          <cell r="A99" t="str">
            <v>СОС ВЕНСКИЕ БО ЗА ПАК 1.25КГ K5 ЧЕРКИЗОВО</v>
          </cell>
          <cell r="C99">
            <v>30.617000000000001</v>
          </cell>
          <cell r="D99">
            <v>26.695</v>
          </cell>
        </row>
        <row r="100">
          <cell r="A100" t="str">
            <v>6091 АРОМАТНАЯ с/к в/у_UZ</v>
          </cell>
          <cell r="C100">
            <v>18.285</v>
          </cell>
          <cell r="D100">
            <v>10.858000000000001</v>
          </cell>
          <cell r="E100">
            <v>2.5059999999999998</v>
          </cell>
          <cell r="F100">
            <v>0.98299999999999998</v>
          </cell>
        </row>
        <row r="101">
          <cell r="A101" t="str">
            <v>6075 МЯСНАЯ Папа может вар п/о_UZ</v>
          </cell>
          <cell r="C101">
            <v>51.377000000000002</v>
          </cell>
          <cell r="D101">
            <v>22.384</v>
          </cell>
          <cell r="E101">
            <v>6.1509999999999998</v>
          </cell>
          <cell r="F101">
            <v>4.0519999999999996</v>
          </cell>
        </row>
        <row r="102">
          <cell r="A102" t="str">
            <v>1231 Сосиски Сливочные Дугушки Дугушка Весовые П/а Стародворье, вес 1кг</v>
          </cell>
          <cell r="C102">
            <v>36.365000000000002</v>
          </cell>
          <cell r="D102">
            <v>11.803000000000001</v>
          </cell>
        </row>
        <row r="103">
          <cell r="A103" t="str">
            <v>ВК БАЛЫКОВАЯ ПО-ЧЕРКИЗ СРЕЗ ШТ0,3 К1,8  ЧЕРКИЗОВО</v>
          </cell>
          <cell r="C103">
            <v>55</v>
          </cell>
          <cell r="D103">
            <v>12</v>
          </cell>
          <cell r="E103">
            <v>6</v>
          </cell>
          <cell r="F103">
            <v>6</v>
          </cell>
        </row>
        <row r="104">
          <cell r="A104" t="str">
            <v>Вареные колбасы «Филейская» Весовые Вектор ТМ «Вязанка»  ПОКОМ</v>
          </cell>
          <cell r="C104">
            <v>33.866999999999997</v>
          </cell>
          <cell r="D104">
            <v>27.01</v>
          </cell>
          <cell r="E104">
            <v>1.462</v>
          </cell>
          <cell r="F104">
            <v>1.35</v>
          </cell>
        </row>
        <row r="105">
          <cell r="A105" t="str">
            <v>1868-Колбаса Филейная ТМ Особый рецепт в оболочке полиамид 0,5 кг.  ПОКОМ</v>
          </cell>
          <cell r="C105">
            <v>75</v>
          </cell>
          <cell r="D105">
            <v>27</v>
          </cell>
          <cell r="E105">
            <v>-1</v>
          </cell>
          <cell r="F105">
            <v>3</v>
          </cell>
        </row>
        <row r="106">
          <cell r="A106" t="str">
            <v>Сервелат Коньячный в/к ВУ ОХЛ 375гр  МИРАТОРГ</v>
          </cell>
          <cell r="C106">
            <v>55</v>
          </cell>
          <cell r="D106">
            <v>44</v>
          </cell>
          <cell r="E106">
            <v>11</v>
          </cell>
        </row>
        <row r="107">
          <cell r="A107" t="str">
            <v>С/к колбасы Швейцарская Бордо Фикс.вес 0,17 Фиброуз терм/п Стародворье</v>
          </cell>
          <cell r="C107">
            <v>67</v>
          </cell>
          <cell r="D107">
            <v>13</v>
          </cell>
          <cell r="E107">
            <v>33</v>
          </cell>
          <cell r="F107">
            <v>2</v>
          </cell>
        </row>
        <row r="108">
          <cell r="A108" t="str">
            <v>1461 Сосиски «Баварские» Фикс.вес 0,35 П/а ТМ «Стародворье»  ПОКОМ</v>
          </cell>
          <cell r="C108">
            <v>90</v>
          </cell>
          <cell r="D108">
            <v>32</v>
          </cell>
          <cell r="E108">
            <v>4</v>
          </cell>
          <cell r="F108">
            <v>8</v>
          </cell>
        </row>
        <row r="109">
          <cell r="A109" t="str">
            <v>1728-Сосиски сливочные по-стародворски в оболочке</v>
          </cell>
          <cell r="C109">
            <v>28.861000000000001</v>
          </cell>
          <cell r="D109">
            <v>-3.61</v>
          </cell>
          <cell r="F109">
            <v>-5.4160000000000004</v>
          </cell>
        </row>
        <row r="110">
          <cell r="A110" t="str">
            <v>Пельмени "Из мраморной говядины" с/м пленка  400г*16(6,4кг) BLACK ANGUS Мираторг (Брянск) Россия</v>
          </cell>
          <cell r="C110">
            <v>52</v>
          </cell>
          <cell r="F110">
            <v>16</v>
          </cell>
        </row>
        <row r="111">
          <cell r="A111" t="str">
            <v>С/к колбасы Баварская Бавария Фикс.вес 0,17 б/о терм/п Стародворье</v>
          </cell>
          <cell r="C111">
            <v>38</v>
          </cell>
          <cell r="D111">
            <v>14</v>
          </cell>
          <cell r="E111">
            <v>2</v>
          </cell>
          <cell r="F111">
            <v>3</v>
          </cell>
        </row>
        <row r="112">
          <cell r="A112" t="str">
            <v>Колбаса с/к Сальчичон ВУ ОХЛ 280г*6 (1,68 кг)  МИРАТОРГ</v>
          </cell>
          <cell r="C112">
            <v>20</v>
          </cell>
          <cell r="D112">
            <v>-1</v>
          </cell>
          <cell r="E112">
            <v>-1</v>
          </cell>
          <cell r="F112">
            <v>-4</v>
          </cell>
        </row>
        <row r="113">
          <cell r="A113" t="str">
            <v>Стейк Рибай Choice c/м TF 200г*60 (12 кг) Black Angus  МИРАТОРГ</v>
          </cell>
          <cell r="C113">
            <v>12</v>
          </cell>
        </row>
        <row r="114">
          <cell r="A114" t="str">
            <v>МХБ Колбаса вареная Докторская ШТ. п/а ОХЛ 470г*6 (2,82 кг) МИРАТОРГ</v>
          </cell>
          <cell r="C114">
            <v>29</v>
          </cell>
          <cell r="D114">
            <v>14</v>
          </cell>
          <cell r="E114">
            <v>3</v>
          </cell>
        </row>
        <row r="115">
          <cell r="A115" t="str">
            <v>Пельмени «Сочные» ГВ зам пакет 700г*8  МИРАТОРГ</v>
          </cell>
          <cell r="C115">
            <v>45</v>
          </cell>
          <cell r="F115">
            <v>7</v>
          </cell>
        </row>
        <row r="116">
          <cell r="A116" t="str">
            <v>МХБ Колбаса вареная Молочная ШТ. п/а ОХЛ 470*6 (2,82 кг) МИРАТОРГ</v>
          </cell>
          <cell r="C116">
            <v>26</v>
          </cell>
          <cell r="D116">
            <v>13</v>
          </cell>
          <cell r="E116">
            <v>2</v>
          </cell>
        </row>
        <row r="117">
          <cell r="A117" t="str">
            <v>0232 С/к колбасы Княжеская Бордо Весовые б/о терм/п Стародворье</v>
          </cell>
          <cell r="C117">
            <v>4.7649999999999997</v>
          </cell>
          <cell r="D117">
            <v>3.16</v>
          </cell>
        </row>
        <row r="118">
          <cell r="A118" t="str">
            <v>Вишня б/косточки с/м 300г*20 (6кг) Мираторг Россия</v>
          </cell>
          <cell r="C118">
            <v>30</v>
          </cell>
          <cell r="D118">
            <v>5</v>
          </cell>
          <cell r="E118">
            <v>10</v>
          </cell>
        </row>
        <row r="119">
          <cell r="A119" t="str">
            <v>МХБ Колбаса вареная Классическая ШТ. ОХЛ п/а 470г*6 (2,82кг) МИРАТОРГ</v>
          </cell>
          <cell r="C119">
            <v>31</v>
          </cell>
          <cell r="D119">
            <v>14</v>
          </cell>
          <cell r="E119">
            <v>2</v>
          </cell>
          <cell r="F119">
            <v>6</v>
          </cell>
        </row>
        <row r="120">
          <cell r="A120" t="str">
            <v>Черная смородина с/м 300г*10 (3кг) Россия Мираторг</v>
          </cell>
          <cell r="C120">
            <v>25</v>
          </cell>
          <cell r="E120">
            <v>10</v>
          </cell>
        </row>
        <row r="121">
          <cell r="A121" t="str">
            <v>Палочки рыбные из фарша тресковых пород 270г*12 (3,24кг) ООО "Мираторг Запад" РОССИЯ  МИРАТОРГ</v>
          </cell>
          <cell r="C121">
            <v>36</v>
          </cell>
          <cell r="D121">
            <v>14</v>
          </cell>
        </row>
        <row r="122">
          <cell r="A122" t="str">
            <v>Стейк Стриплойн Choice с/м TF 200г*60(12 кг) Black Angus  МИРАТОРГ</v>
          </cell>
          <cell r="C122">
            <v>9</v>
          </cell>
        </row>
        <row r="123">
          <cell r="A123" t="str">
            <v>Ягодный морс 300г*10 зам  МИРАТОРГ</v>
          </cell>
          <cell r="C123">
            <v>24</v>
          </cell>
          <cell r="D123">
            <v>5</v>
          </cell>
          <cell r="E123">
            <v>10</v>
          </cell>
        </row>
        <row r="124">
          <cell r="A124" t="str">
            <v>Ягодный коктейль 300г зам  МИРАТОРГ</v>
          </cell>
          <cell r="C124">
            <v>25</v>
          </cell>
          <cell r="D124">
            <v>5</v>
          </cell>
        </row>
        <row r="125">
          <cell r="A125" t="str">
            <v>Фарш говяжий зам 0,4кг ШТ  TF  МИРАТОРГ</v>
          </cell>
          <cell r="C125">
            <v>15</v>
          </cell>
        </row>
        <row r="126">
          <cell r="A126" t="str">
            <v>Гавайская смесь 400г*20 (8кг) Vитамин Мираторг РОССИЯ  МИРАТОРГ</v>
          </cell>
          <cell r="C126">
            <v>26</v>
          </cell>
          <cell r="D126">
            <v>6</v>
          </cell>
          <cell r="F126">
            <v>5</v>
          </cell>
        </row>
        <row r="127">
          <cell r="A127" t="str">
            <v>Сырники с вишневой начинкой ЗАМ 280гр*4 (1,12кг) Мираторг Трио Россия</v>
          </cell>
          <cell r="C127">
            <v>24</v>
          </cell>
          <cell r="F127">
            <v>4</v>
          </cell>
        </row>
        <row r="128">
          <cell r="A128" t="str">
            <v>Сырники с клубн.нач. 280гр ЗАМ  МИРАТОРГ</v>
          </cell>
          <cell r="C128">
            <v>22</v>
          </cell>
          <cell r="E128">
            <v>2</v>
          </cell>
          <cell r="F128">
            <v>4</v>
          </cell>
        </row>
        <row r="129">
          <cell r="A129" t="str">
            <v>Шампиньоны рез. 400*20 зам  МИРАТОРГ</v>
          </cell>
          <cell r="C129">
            <v>21</v>
          </cell>
          <cell r="D129">
            <v>5</v>
          </cell>
          <cell r="E129">
            <v>4</v>
          </cell>
        </row>
        <row r="130">
          <cell r="A130" t="str">
            <v>У_Вареные колбасы «Филедворская по-стародворски» Весовой п/а ТМ «Стародворье»  ПОКОМ</v>
          </cell>
          <cell r="C130">
            <v>10.715</v>
          </cell>
          <cell r="D130">
            <v>2.69</v>
          </cell>
          <cell r="E130">
            <v>8.0250000000000004</v>
          </cell>
        </row>
        <row r="131">
          <cell r="A131" t="str">
            <v>0262 Ветчина «Сочинка с сочным окороком» Весовой п/а ТМ «Стародворье»  ПОКОМ</v>
          </cell>
          <cell r="C131">
            <v>8.1159999999999997</v>
          </cell>
        </row>
        <row r="132">
          <cell r="A132" t="str">
            <v>Сырники классические ЗАМ 280гр*4 (1,12кг) Мираторг Трио Россия</v>
          </cell>
          <cell r="C132">
            <v>20</v>
          </cell>
          <cell r="F132">
            <v>4</v>
          </cell>
        </row>
        <row r="133">
          <cell r="A133" t="str">
            <v>Итальянская смесь с/м 400г*10 (4кг) Vитамин  МИРАТОРГ</v>
          </cell>
          <cell r="C133">
            <v>21</v>
          </cell>
        </row>
        <row r="134">
          <cell r="A134" t="str">
            <v>Карибская смесь с/м 400г*10 (4кг) Мираторг Россия</v>
          </cell>
          <cell r="C134">
            <v>20</v>
          </cell>
          <cell r="F134">
            <v>5</v>
          </cell>
        </row>
        <row r="135">
          <cell r="A135" t="str">
            <v>Стейк Стриплойн зам. DF 320г*6(1,92кг) BLACK ANGUS  МИРАТОРГ</v>
          </cell>
          <cell r="C135">
            <v>3</v>
          </cell>
        </row>
        <row r="136">
          <cell r="A136" t="str">
            <v>Сотэ с прованскими травами 400г зам  МИРАТОРГ</v>
          </cell>
          <cell r="C136">
            <v>16</v>
          </cell>
          <cell r="D136">
            <v>6</v>
          </cell>
        </row>
        <row r="137">
          <cell r="A137" t="str">
            <v>Мексиканская смесь с/м 400г*10 (4кг) Мираторг Россия</v>
          </cell>
          <cell r="C137">
            <v>17</v>
          </cell>
        </row>
        <row r="138">
          <cell r="A138" t="str">
            <v>Микс полезных овощей 400 зам  МИРАТОРГ</v>
          </cell>
          <cell r="C138">
            <v>11</v>
          </cell>
          <cell r="D138">
            <v>1</v>
          </cell>
        </row>
        <row r="139">
          <cell r="A139" t="str">
            <v>Брокколи капуста 400 ЗАМ  МИРАТОРГ</v>
          </cell>
          <cell r="C139">
            <v>10</v>
          </cell>
        </row>
        <row r="140">
          <cell r="A140" t="str">
            <v>Картофель фри с/м 500г*10 (5кг) МИРАТОРГ Россия</v>
          </cell>
          <cell r="C140">
            <v>8</v>
          </cell>
          <cell r="D140">
            <v>8</v>
          </cell>
        </row>
        <row r="141">
          <cell r="A141" t="str">
            <v>СК САЛЬЧИЧОН С РОЗОВЫМ ПЕРЦЕМ НАР ШТ 85Г  ЧЕРКИЗОВО</v>
          </cell>
          <cell r="C141">
            <v>10</v>
          </cell>
          <cell r="E141">
            <v>3</v>
          </cell>
        </row>
        <row r="142">
          <cell r="A142" t="str">
            <v>Чевапчичи из мраморной говядины с/м ГЗМС 300г*8(2,4кг) Мираторг (Брянск) Россия</v>
          </cell>
          <cell r="C142">
            <v>5</v>
          </cell>
        </row>
        <row r="143">
          <cell r="A143" t="str">
            <v>6220 ГОВЯЖЬЯ Папа может вар п/о  ОСТАНКИНО</v>
          </cell>
          <cell r="C143">
            <v>2.6560000000000001</v>
          </cell>
          <cell r="E143">
            <v>2.6560000000000001</v>
          </cell>
        </row>
        <row r="144">
          <cell r="A144" t="str">
            <v>У_Сардельки «Сочные» Весовой п/а ТМ «Особый рецепт»  ПОКОМ</v>
          </cell>
          <cell r="C144">
            <v>2.8650000000000002</v>
          </cell>
          <cell r="E144">
            <v>2.8650000000000002</v>
          </cell>
        </row>
        <row r="145">
          <cell r="A145" t="str">
            <v>У_Вареные колбасы «Сочинка» Весовой п/а ТМ «Стародворье»  ПОКОМ</v>
          </cell>
          <cell r="C145">
            <v>2.68</v>
          </cell>
          <cell r="E145">
            <v>2.68</v>
          </cell>
        </row>
        <row r="146">
          <cell r="A146" t="str">
            <v>6087 СОЧНЫЕ сос п/о мгс 0.45кг_UZ</v>
          </cell>
          <cell r="C146">
            <v>3</v>
          </cell>
        </row>
        <row r="147">
          <cell r="A147" t="str">
            <v>6268 ГОВЯЖЬЯ Папа может вар п/о 0.4кг 8шт.  ОСТАНКИНО</v>
          </cell>
          <cell r="C147">
            <v>5</v>
          </cell>
          <cell r="E147">
            <v>5</v>
          </cell>
        </row>
        <row r="148">
          <cell r="A148" t="str">
            <v>6270 ФИЛЕЙНАЯ Папа может вар п/о 0.4кг СНГ</v>
          </cell>
          <cell r="C148">
            <v>3</v>
          </cell>
        </row>
        <row r="149">
          <cell r="A149" t="str">
            <v>Лечо по-венгерски 0,4кг ОФ зам кор  МИРАТОРГ</v>
          </cell>
          <cell r="C149">
            <v>3</v>
          </cell>
        </row>
        <row r="150">
          <cell r="A150" t="str">
            <v>БОНУС_2074-Сосиски Молочные для завтрака Особый рецепт</v>
          </cell>
          <cell r="C150">
            <v>146.672</v>
          </cell>
          <cell r="D150">
            <v>26.308</v>
          </cell>
          <cell r="E150">
            <v>53.072000000000003</v>
          </cell>
          <cell r="F150">
            <v>15.763999999999999</v>
          </cell>
        </row>
        <row r="151">
          <cell r="A151" t="str">
            <v>БОНУС_2634 Колбаса Дугушка Стародворская ТМ Стародворье ТС Дугушка  ПОКОМ</v>
          </cell>
          <cell r="C151">
            <v>88.388999999999996</v>
          </cell>
          <cell r="D151">
            <v>38.901000000000003</v>
          </cell>
          <cell r="E151">
            <v>11.042999999999999</v>
          </cell>
          <cell r="F151">
            <v>13.592000000000001</v>
          </cell>
        </row>
        <row r="152">
          <cell r="A152" t="str">
            <v>БОНУС_2205-Сосиски Молочные для завтрака ТМ Особый рецепт 0,4кг</v>
          </cell>
          <cell r="C152">
            <v>84</v>
          </cell>
          <cell r="D152">
            <v>21</v>
          </cell>
          <cell r="E152">
            <v>20</v>
          </cell>
        </row>
        <row r="153">
          <cell r="A153" t="str">
            <v>БОНУС_1867-Колбаса Филейная ТМ Особый рецепт в оболочке полиамид большой батон.  ПОКОМ</v>
          </cell>
          <cell r="C153">
            <v>82.037000000000006</v>
          </cell>
          <cell r="D153">
            <v>44.75</v>
          </cell>
          <cell r="E153">
            <v>16.902000000000001</v>
          </cell>
          <cell r="F153">
            <v>7.5789999999999997</v>
          </cell>
        </row>
        <row r="154">
          <cell r="A154" t="str">
            <v>БОНУС_1205 Копченые колбасы Салями Мясорубская с рубленым шпиком срез Бордо ф/в 0,35 фиброуз Стародворье</v>
          </cell>
          <cell r="C154">
            <v>67</v>
          </cell>
          <cell r="D154">
            <v>33</v>
          </cell>
          <cell r="E154">
            <v>4</v>
          </cell>
          <cell r="F154">
            <v>2</v>
          </cell>
        </row>
        <row r="155">
          <cell r="A155" t="str">
            <v>БОНУС_1875-Колбаса Филейная оригинальная ТМ Особый рецепт в оболочке полиамид.  ПОКОМ</v>
          </cell>
          <cell r="C155">
            <v>46.036999999999999</v>
          </cell>
          <cell r="D155">
            <v>11.316000000000001</v>
          </cell>
          <cell r="E155">
            <v>8.1059999999999999</v>
          </cell>
          <cell r="F155">
            <v>4.0350000000000001</v>
          </cell>
        </row>
        <row r="156">
          <cell r="A156" t="str">
            <v>БОНУС_1411 Сосиски «Сочинки Сливочные» Весовые ТМ «Стародворье» 1,35 кг  ПОКОМ</v>
          </cell>
          <cell r="C156">
            <v>37.741999999999997</v>
          </cell>
          <cell r="D156">
            <v>21.408000000000001</v>
          </cell>
          <cell r="E156">
            <v>8.1150000000000002</v>
          </cell>
          <cell r="F156">
            <v>8.2189999999999994</v>
          </cell>
        </row>
        <row r="157">
          <cell r="A157" t="str">
            <v>БОНУС_1204 Копченые колбасы Салями Мясорубская с рубленым шпиком Бордо Весовой фиброуз Стародворье  ПОКОМ</v>
          </cell>
          <cell r="C157">
            <v>31.478000000000002</v>
          </cell>
          <cell r="D157">
            <v>14.654999999999999</v>
          </cell>
          <cell r="E157">
            <v>2.9260000000000002</v>
          </cell>
          <cell r="F157">
            <v>2.9350000000000001</v>
          </cell>
        </row>
        <row r="158">
          <cell r="A158" t="str">
            <v>БОНУС_1871-Колбаса Филейная оригинальная ТМ Особый рецепт в оболочке полиамид 0,4 кг.  ПОКОМ</v>
          </cell>
          <cell r="C158">
            <v>30</v>
          </cell>
          <cell r="D158">
            <v>6</v>
          </cell>
          <cell r="E158">
            <v>2</v>
          </cell>
          <cell r="F158">
            <v>9</v>
          </cell>
        </row>
        <row r="159">
          <cell r="A159" t="str">
            <v>БОНУС_1869-Колбаса Молочная ТМ Особый рецепт в оболочке полиамид большой батон.  ПОКОМ</v>
          </cell>
          <cell r="C159">
            <v>22.626999999999999</v>
          </cell>
          <cell r="D159">
            <v>10.243</v>
          </cell>
        </row>
        <row r="160">
          <cell r="A160" t="str">
            <v>БОНУС_1870-Колбаса Со шпиком ТМ Особый рецепт в оболочке полиамид большой батон.  ПОКОМ</v>
          </cell>
          <cell r="C160">
            <v>20.233000000000001</v>
          </cell>
          <cell r="D160">
            <v>7.5270000000000001</v>
          </cell>
          <cell r="F160">
            <v>5.0720000000000001</v>
          </cell>
        </row>
        <row r="161">
          <cell r="A161" t="str">
            <v>БОНУС_1370-Сосиски Сочинки Бордо Весовой п/а Стародворье</v>
          </cell>
          <cell r="C161">
            <v>14.721</v>
          </cell>
          <cell r="D161">
            <v>4.3849999999999998</v>
          </cell>
          <cell r="E161">
            <v>1.464</v>
          </cell>
        </row>
        <row r="162">
          <cell r="A162" t="str">
            <v>БОНУС_С/к колбасы Швейцарская Бордо Фикс.вес 0,17 Фиброуз терм/п Стародворье</v>
          </cell>
          <cell r="C162">
            <v>14</v>
          </cell>
          <cell r="D162">
            <v>1</v>
          </cell>
          <cell r="E162">
            <v>6</v>
          </cell>
          <cell r="F162">
            <v>1</v>
          </cell>
        </row>
        <row r="163">
          <cell r="A163" t="str">
            <v>БОНУС_1868-Колбаса Филейная ТМ Особый рецепт в оболочке полиамид 0,5 кг.  ПОКОМ</v>
          </cell>
          <cell r="C163">
            <v>7</v>
          </cell>
          <cell r="D163">
            <v>6</v>
          </cell>
        </row>
        <row r="164">
          <cell r="A164" t="str">
            <v>БОНУС_ВАР МОЛОЧНАЯ ПО-Ч НМО 1 КГ К3  ЧЕРКИЗОВО</v>
          </cell>
          <cell r="C164">
            <v>1.024</v>
          </cell>
        </row>
        <row r="165">
          <cell r="A165" t="str">
            <v>СК САЛЬЧИЧОН НАРЕЗ ФИБ ЗА ШТ 0.1КГ К1.2  ЧЕРКИЗОВО</v>
          </cell>
          <cell r="C165">
            <v>-1</v>
          </cell>
        </row>
        <row r="166">
          <cell r="A166" t="str">
            <v>1372-Сосиски Сочинки с сочным окороком Бордо Фикс.вес 0,4 П/а мгс Стародворье</v>
          </cell>
          <cell r="C166">
            <v>-27</v>
          </cell>
          <cell r="D166">
            <v>-3</v>
          </cell>
          <cell r="E166">
            <v>-21</v>
          </cell>
          <cell r="F166">
            <v>-2</v>
          </cell>
        </row>
        <row r="167">
          <cell r="A167" t="str">
            <v>1371-Сосиски Сочинки с сочной грудинкой Бордо Фикс.вес 0,4 П/а мгс Стародворье</v>
          </cell>
          <cell r="C167">
            <v>-32</v>
          </cell>
          <cell r="D167">
            <v>-2</v>
          </cell>
          <cell r="E167">
            <v>-21</v>
          </cell>
        </row>
        <row r="168">
          <cell r="A168" t="str">
            <v>Итого</v>
          </cell>
          <cell r="C168">
            <v>20343.050999999999</v>
          </cell>
          <cell r="D168">
            <v>7295.9390000000003</v>
          </cell>
          <cell r="E168">
            <v>1939.386</v>
          </cell>
          <cell r="F168">
            <v>1072.3699999999999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A1"/>
          <cell r="B1"/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</row>
        <row r="2">
          <cell r="A2"/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 t="str">
            <v>приход 24-25 окт</v>
          </cell>
          <cell r="P2" t="str">
            <v>приход 5-6 нояб</v>
          </cell>
          <cell r="Q2"/>
          <cell r="R2"/>
          <cell r="S2" t="str">
            <v>приход 5-6 нояб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/>
          <cell r="Q3" t="str">
            <v>ср нов</v>
          </cell>
          <cell r="R3" t="str">
            <v>расчет</v>
          </cell>
          <cell r="S3" t="str">
            <v>заказ филиала</v>
          </cell>
        </row>
        <row r="4">
          <cell r="A4"/>
          <cell r="B4"/>
          <cell r="C4"/>
          <cell r="D4"/>
          <cell r="E4"/>
          <cell r="F4">
            <v>45953</v>
          </cell>
          <cell r="G4"/>
          <cell r="H4"/>
          <cell r="I4"/>
          <cell r="J4"/>
          <cell r="K4"/>
          <cell r="L4"/>
          <cell r="M4"/>
          <cell r="N4"/>
          <cell r="O4" t="str">
            <v>13,10,</v>
          </cell>
          <cell r="P4">
            <v>20.100000000000001</v>
          </cell>
          <cell r="Q4" t="str">
            <v>20,10,</v>
          </cell>
          <cell r="R4"/>
          <cell r="S4"/>
        </row>
        <row r="5">
          <cell r="A5"/>
          <cell r="B5"/>
          <cell r="C5"/>
          <cell r="D5"/>
          <cell r="E5">
            <v>1642</v>
          </cell>
          <cell r="F5">
            <v>5303</v>
          </cell>
          <cell r="G5"/>
          <cell r="H5"/>
          <cell r="I5"/>
          <cell r="J5"/>
          <cell r="K5">
            <v>0</v>
          </cell>
          <cell r="L5">
            <v>1642</v>
          </cell>
          <cell r="M5">
            <v>0</v>
          </cell>
          <cell r="N5">
            <v>0</v>
          </cell>
          <cell r="O5">
            <v>2450</v>
          </cell>
          <cell r="P5">
            <v>1540</v>
          </cell>
          <cell r="Q5">
            <v>328.4</v>
          </cell>
          <cell r="R5">
            <v>565</v>
          </cell>
          <cell r="S5">
            <v>1600</v>
          </cell>
        </row>
        <row r="6">
          <cell r="A6" t="str">
            <v>!!!НЕ ИСПОЛЬЗОВАТЬ!!! Сервелат полусухой с/к ВУ ОХЛ 300гр МИРАТОРГ</v>
          </cell>
          <cell r="B6" t="str">
            <v>шт</v>
          </cell>
          <cell r="C6">
            <v>-9</v>
          </cell>
          <cell r="D6"/>
          <cell r="E6"/>
          <cell r="F6"/>
          <cell r="G6">
            <v>0</v>
          </cell>
          <cell r="H6"/>
          <cell r="I6" t="str">
            <v>не в матрице</v>
          </cell>
          <cell r="J6"/>
          <cell r="K6"/>
          <cell r="L6">
            <v>0</v>
          </cell>
          <cell r="M6"/>
          <cell r="N6"/>
          <cell r="O6"/>
          <cell r="P6"/>
          <cell r="Q6">
            <v>0</v>
          </cell>
          <cell r="R6"/>
          <cell r="S6"/>
        </row>
        <row r="7">
          <cell r="A7" t="str">
            <v>КП Колбаса в/к Балыковая ВУ охл 300г*6  МИРАТОРГ</v>
          </cell>
          <cell r="B7" t="str">
            <v>шт</v>
          </cell>
          <cell r="C7">
            <v>739</v>
          </cell>
          <cell r="D7"/>
          <cell r="E7">
            <v>139</v>
          </cell>
          <cell r="F7">
            <v>476</v>
          </cell>
          <cell r="G7">
            <v>0.3</v>
          </cell>
          <cell r="H7">
            <v>55</v>
          </cell>
          <cell r="I7">
            <v>1010027650</v>
          </cell>
          <cell r="J7"/>
          <cell r="K7"/>
          <cell r="L7">
            <v>139</v>
          </cell>
          <cell r="M7"/>
          <cell r="N7"/>
          <cell r="O7">
            <v>200</v>
          </cell>
          <cell r="P7"/>
          <cell r="Q7">
            <v>27.8</v>
          </cell>
          <cell r="R7">
            <v>158</v>
          </cell>
          <cell r="S7">
            <v>120</v>
          </cell>
        </row>
        <row r="8">
          <cell r="A8" t="str">
            <v>Колбаса п/к Краковская ОХЛ ВУ 330г*5 (1,65 кг)  МИРАТОРГ</v>
          </cell>
          <cell r="B8" t="str">
            <v>шт</v>
          </cell>
          <cell r="C8">
            <v>389</v>
          </cell>
          <cell r="D8"/>
          <cell r="E8">
            <v>102</v>
          </cell>
          <cell r="F8">
            <v>237</v>
          </cell>
          <cell r="G8">
            <v>0.33</v>
          </cell>
          <cell r="H8">
            <v>55</v>
          </cell>
          <cell r="I8">
            <v>1010033736</v>
          </cell>
          <cell r="J8"/>
          <cell r="K8"/>
          <cell r="L8">
            <v>102</v>
          </cell>
          <cell r="M8"/>
          <cell r="N8"/>
          <cell r="O8">
            <v>200</v>
          </cell>
          <cell r="P8">
            <v>200</v>
          </cell>
          <cell r="Q8">
            <v>20.399999999999999</v>
          </cell>
          <cell r="R8">
            <v>-25</v>
          </cell>
          <cell r="S8">
            <v>80</v>
          </cell>
        </row>
        <row r="9">
          <cell r="A9" t="str">
            <v>Колбаса с/к Сальчичон ВУ ОХЛ 280г*6 (1,68 кг)  МИРАТОРГ</v>
          </cell>
          <cell r="B9" t="str">
            <v>шт</v>
          </cell>
          <cell r="C9">
            <v>472</v>
          </cell>
          <cell r="D9"/>
          <cell r="E9">
            <v>35</v>
          </cell>
          <cell r="F9">
            <v>393</v>
          </cell>
          <cell r="G9">
            <v>0.28000000000000003</v>
          </cell>
          <cell r="H9">
            <v>180</v>
          </cell>
          <cell r="I9">
            <v>1010033335</v>
          </cell>
          <cell r="J9"/>
          <cell r="K9"/>
          <cell r="L9">
            <v>35</v>
          </cell>
          <cell r="M9"/>
          <cell r="N9"/>
          <cell r="O9"/>
          <cell r="P9"/>
          <cell r="Q9">
            <v>7</v>
          </cell>
          <cell r="R9">
            <v>-183</v>
          </cell>
          <cell r="S9">
            <v>100</v>
          </cell>
        </row>
        <row r="10">
          <cell r="A10" t="str">
            <v>Колбаса с/к Сервелат ГОСТ ВУ ОХЛ 0,3кг*6(1,8кг)  МИРАТОРГ</v>
          </cell>
          <cell r="B10" t="str">
            <v>шт</v>
          </cell>
          <cell r="C10">
            <v>366</v>
          </cell>
          <cell r="D10"/>
          <cell r="E10">
            <v>109</v>
          </cell>
          <cell r="F10">
            <v>139</v>
          </cell>
          <cell r="G10">
            <v>0.3</v>
          </cell>
          <cell r="H10">
            <v>150</v>
          </cell>
          <cell r="I10">
            <v>1010033332</v>
          </cell>
          <cell r="J10"/>
          <cell r="K10"/>
          <cell r="L10">
            <v>109</v>
          </cell>
          <cell r="M10"/>
          <cell r="N10"/>
          <cell r="O10">
            <v>300</v>
          </cell>
          <cell r="P10">
            <v>200</v>
          </cell>
          <cell r="Q10">
            <v>21.8</v>
          </cell>
          <cell r="R10">
            <v>15</v>
          </cell>
          <cell r="S10">
            <v>60</v>
          </cell>
        </row>
        <row r="11">
          <cell r="A11" t="str">
            <v>МХБ Ветчина для завтрака ШТ. ОХЛ п/а 400г*6 (2,4кг) МИРАТОРГ</v>
          </cell>
          <cell r="B11" t="str">
            <v>шт</v>
          </cell>
          <cell r="C11">
            <v>410</v>
          </cell>
          <cell r="D11"/>
          <cell r="E11">
            <v>26</v>
          </cell>
          <cell r="F11">
            <v>341</v>
          </cell>
          <cell r="G11">
            <v>0.4</v>
          </cell>
          <cell r="H11">
            <v>75</v>
          </cell>
          <cell r="I11">
            <v>1010016111</v>
          </cell>
          <cell r="J11"/>
          <cell r="K11"/>
          <cell r="L11">
            <v>26</v>
          </cell>
          <cell r="M11"/>
          <cell r="N11"/>
          <cell r="O11"/>
          <cell r="P11"/>
          <cell r="Q11">
            <v>5.2</v>
          </cell>
          <cell r="R11">
            <v>-185</v>
          </cell>
          <cell r="S11"/>
        </row>
        <row r="12">
          <cell r="A12" t="str">
            <v>МХБ Колб полусухая «Салями» ВУ ОХЛ 280гр*6 (1,68кг)  МИРАТОРГ</v>
          </cell>
          <cell r="B12" t="str">
            <v>шт</v>
          </cell>
          <cell r="C12">
            <v>941</v>
          </cell>
          <cell r="D12"/>
          <cell r="E12">
            <v>247</v>
          </cell>
          <cell r="F12">
            <v>567</v>
          </cell>
          <cell r="G12">
            <v>0.28000000000000003</v>
          </cell>
          <cell r="H12">
            <v>120</v>
          </cell>
          <cell r="I12">
            <v>1010033329</v>
          </cell>
          <cell r="J12"/>
          <cell r="K12"/>
          <cell r="L12">
            <v>247</v>
          </cell>
          <cell r="M12"/>
          <cell r="N12"/>
          <cell r="O12"/>
          <cell r="P12">
            <v>500</v>
          </cell>
          <cell r="Q12">
            <v>49.4</v>
          </cell>
          <cell r="R12">
            <v>415</v>
          </cell>
          <cell r="S12">
            <v>350</v>
          </cell>
        </row>
        <row r="13">
          <cell r="A13" t="str">
            <v>МХБ Колб полусухая «Салями» ШТ. ВУ ОХЛ 300гр*8  МИРАТОРГ</v>
          </cell>
          <cell r="B13" t="str">
            <v>шт</v>
          </cell>
          <cell r="C13"/>
          <cell r="D13"/>
          <cell r="E13"/>
          <cell r="F13"/>
          <cell r="G13">
            <v>0</v>
          </cell>
          <cell r="H13">
            <v>120</v>
          </cell>
          <cell r="I13">
            <v>1010028068</v>
          </cell>
          <cell r="J13"/>
          <cell r="K13"/>
          <cell r="L13">
            <v>0</v>
          </cell>
          <cell r="M13"/>
          <cell r="N13"/>
          <cell r="O13"/>
          <cell r="P13"/>
          <cell r="Q13">
            <v>0</v>
          </cell>
          <cell r="R13">
            <v>0</v>
          </cell>
          <cell r="S13"/>
        </row>
        <row r="14">
          <cell r="A14" t="str">
            <v>МХБ Колбаса вареная Докторская ШТ. п/а ОХЛ 470г*6 (2,82 кг) МИРАТОРГ</v>
          </cell>
          <cell r="B14" t="str">
            <v>шт</v>
          </cell>
          <cell r="C14">
            <v>242</v>
          </cell>
          <cell r="D14"/>
          <cell r="E14">
            <v>67</v>
          </cell>
          <cell r="F14">
            <v>136</v>
          </cell>
          <cell r="G14">
            <v>0.47</v>
          </cell>
          <cell r="H14">
            <v>75</v>
          </cell>
          <cell r="I14">
            <v>1010015954</v>
          </cell>
          <cell r="J14"/>
          <cell r="K14"/>
          <cell r="L14">
            <v>67</v>
          </cell>
          <cell r="M14"/>
          <cell r="N14"/>
          <cell r="O14"/>
          <cell r="P14">
            <v>120</v>
          </cell>
          <cell r="Q14">
            <v>13.4</v>
          </cell>
          <cell r="R14">
            <v>146</v>
          </cell>
          <cell r="S14">
            <v>80</v>
          </cell>
        </row>
        <row r="15">
          <cell r="A15" t="str">
            <v>МХБ Колбаса вареная Классическая ШТ. ОХЛ п/а 470г*6 (2,82кг) МИРАТОРГ</v>
          </cell>
          <cell r="B15" t="str">
            <v>шт</v>
          </cell>
          <cell r="C15">
            <v>149</v>
          </cell>
          <cell r="D15"/>
          <cell r="E15">
            <v>33</v>
          </cell>
          <cell r="F15">
            <v>82</v>
          </cell>
          <cell r="G15">
            <v>0.47</v>
          </cell>
          <cell r="H15">
            <v>75</v>
          </cell>
          <cell r="I15">
            <v>1010016092</v>
          </cell>
          <cell r="J15"/>
          <cell r="K15"/>
          <cell r="L15">
            <v>33</v>
          </cell>
          <cell r="M15"/>
          <cell r="N15"/>
          <cell r="O15"/>
          <cell r="P15">
            <v>80</v>
          </cell>
          <cell r="Q15">
            <v>6.6</v>
          </cell>
          <cell r="R15">
            <v>36</v>
          </cell>
          <cell r="S15">
            <v>40</v>
          </cell>
        </row>
        <row r="16">
          <cell r="A16" t="str">
            <v>МХБ Колбаса вареная Молочная ШТ. п/а ОХЛ 470*6 (2,82 кг) МИРАТОРГ</v>
          </cell>
          <cell r="B16" t="str">
            <v>шт</v>
          </cell>
          <cell r="C16">
            <v>158</v>
          </cell>
          <cell r="D16"/>
          <cell r="E16">
            <v>29</v>
          </cell>
          <cell r="F16">
            <v>86</v>
          </cell>
          <cell r="G16">
            <v>0.47</v>
          </cell>
          <cell r="H16">
            <v>75</v>
          </cell>
          <cell r="I16">
            <v>1010015952</v>
          </cell>
          <cell r="J16"/>
          <cell r="K16"/>
          <cell r="L16">
            <v>29</v>
          </cell>
          <cell r="M16"/>
          <cell r="N16"/>
          <cell r="O16"/>
          <cell r="P16">
            <v>60</v>
          </cell>
          <cell r="Q16">
            <v>5.8</v>
          </cell>
          <cell r="R16">
            <v>28</v>
          </cell>
          <cell r="S16">
            <v>40</v>
          </cell>
        </row>
        <row r="17">
          <cell r="A17" t="str">
            <v>МХБ Колбаса варено-копченая Сервелат Коньячный Ф/О ОХЛ В/У 300г*6 (1,8кг)  МИРАТОРГ</v>
          </cell>
          <cell r="B17" t="str">
            <v>шт</v>
          </cell>
          <cell r="C17">
            <v>868</v>
          </cell>
          <cell r="D17"/>
          <cell r="E17">
            <v>113</v>
          </cell>
          <cell r="F17">
            <v>664</v>
          </cell>
          <cell r="G17">
            <v>0.3</v>
          </cell>
          <cell r="H17">
            <v>55</v>
          </cell>
          <cell r="I17">
            <v>1010032953</v>
          </cell>
          <cell r="J17"/>
          <cell r="K17"/>
          <cell r="L17">
            <v>113</v>
          </cell>
          <cell r="M17"/>
          <cell r="N17"/>
          <cell r="O17"/>
          <cell r="P17"/>
          <cell r="Q17">
            <v>22.6</v>
          </cell>
          <cell r="R17">
            <v>14</v>
          </cell>
          <cell r="S17">
            <v>60</v>
          </cell>
        </row>
        <row r="18">
          <cell r="A18" t="str">
            <v>МХБ Колбаса варено-копченая Сервелат Финский ШТ. Ф/О ОХЛ В/У 375г*6 (2,25кг) МИРАТОРГ</v>
          </cell>
          <cell r="B18" t="str">
            <v>шт</v>
          </cell>
          <cell r="C18">
            <v>674</v>
          </cell>
          <cell r="D18"/>
          <cell r="E18">
            <v>181</v>
          </cell>
          <cell r="F18">
            <v>396</v>
          </cell>
          <cell r="G18">
            <v>0.375</v>
          </cell>
          <cell r="H18">
            <v>55</v>
          </cell>
          <cell r="I18">
            <v>1010022954</v>
          </cell>
          <cell r="J18"/>
          <cell r="K18"/>
          <cell r="L18">
            <v>181</v>
          </cell>
          <cell r="M18"/>
          <cell r="N18"/>
          <cell r="O18">
            <v>200</v>
          </cell>
          <cell r="P18">
            <v>300</v>
          </cell>
          <cell r="Q18">
            <v>36.200000000000003</v>
          </cell>
          <cell r="R18">
            <v>190</v>
          </cell>
          <cell r="S18"/>
        </row>
        <row r="19">
          <cell r="A19" t="str">
            <v>МХБ Колбаса варено-копченая Сервелат ШТ. Ф/О ОХЛ В/У 375г*6 (2,25кг) МИРАТОРГ</v>
          </cell>
          <cell r="B19" t="str">
            <v>шт</v>
          </cell>
          <cell r="C19">
            <v>626</v>
          </cell>
          <cell r="D19"/>
          <cell r="E19">
            <v>124</v>
          </cell>
          <cell r="F19">
            <v>391</v>
          </cell>
          <cell r="G19">
            <v>0.375</v>
          </cell>
          <cell r="H19">
            <v>55</v>
          </cell>
          <cell r="I19">
            <v>1010016034</v>
          </cell>
          <cell r="J19"/>
          <cell r="K19"/>
          <cell r="L19">
            <v>124</v>
          </cell>
          <cell r="M19"/>
          <cell r="N19"/>
          <cell r="O19">
            <v>250</v>
          </cell>
          <cell r="P19"/>
          <cell r="Q19">
            <v>24.8</v>
          </cell>
          <cell r="R19">
            <v>103</v>
          </cell>
          <cell r="S19">
            <v>150</v>
          </cell>
        </row>
        <row r="20">
          <cell r="A20" t="str">
            <v>МХБ Колбаса полукопченая Чесночная ШТ. ф/о ОХЛ 375г*6 (2,25кг) МИРАТОРГ</v>
          </cell>
          <cell r="B20" t="str">
            <v>шт</v>
          </cell>
          <cell r="C20">
            <v>802</v>
          </cell>
          <cell r="D20"/>
          <cell r="E20">
            <v>131</v>
          </cell>
          <cell r="F20">
            <v>563</v>
          </cell>
          <cell r="G20">
            <v>0.375</v>
          </cell>
          <cell r="H20">
            <v>55</v>
          </cell>
          <cell r="I20">
            <v>1010023122</v>
          </cell>
          <cell r="J20"/>
          <cell r="K20"/>
          <cell r="L20">
            <v>131</v>
          </cell>
          <cell r="M20"/>
          <cell r="N20"/>
          <cell r="O20"/>
          <cell r="P20">
            <v>80</v>
          </cell>
          <cell r="Q20">
            <v>26.2</v>
          </cell>
          <cell r="R20">
            <v>143</v>
          </cell>
          <cell r="S20">
            <v>200</v>
          </cell>
        </row>
        <row r="21">
          <cell r="A21" t="str">
            <v>МХБ Колбаса с/к "Куршская" ВУ ОХЛ 280г*8 (2,24 кг)  МИРАТОРГ</v>
          </cell>
          <cell r="B21" t="str">
            <v>шт</v>
          </cell>
          <cell r="C21">
            <v>-8</v>
          </cell>
          <cell r="D21"/>
          <cell r="E21"/>
          <cell r="F21">
            <v>-8</v>
          </cell>
          <cell r="G21">
            <v>0</v>
          </cell>
          <cell r="H21">
            <v>120</v>
          </cell>
          <cell r="I21" t="str">
            <v>на вывод / 1010030636</v>
          </cell>
          <cell r="J21"/>
          <cell r="K21"/>
          <cell r="L21">
            <v>0</v>
          </cell>
          <cell r="M21"/>
          <cell r="N21"/>
          <cell r="O21"/>
          <cell r="P21"/>
          <cell r="Q21">
            <v>0</v>
          </cell>
          <cell r="R21">
            <v>8</v>
          </cell>
          <cell r="S21"/>
        </row>
        <row r="22">
          <cell r="A22" t="str">
            <v>МХБ Колбаса сырокопченая Брауншвейгская ШТ. ВУ ОХЛ 300гр*8 (2,4 кг) МИРАТОРГ</v>
          </cell>
          <cell r="B22" t="str">
            <v>шт</v>
          </cell>
          <cell r="C22">
            <v>292</v>
          </cell>
          <cell r="D22"/>
          <cell r="E22">
            <v>30</v>
          </cell>
          <cell r="F22">
            <v>211</v>
          </cell>
          <cell r="G22">
            <v>0.3</v>
          </cell>
          <cell r="H22">
            <v>150</v>
          </cell>
          <cell r="I22">
            <v>1010033324</v>
          </cell>
          <cell r="J22"/>
          <cell r="K22"/>
          <cell r="L22">
            <v>30</v>
          </cell>
          <cell r="M22"/>
          <cell r="N22"/>
          <cell r="O22">
            <v>200</v>
          </cell>
          <cell r="P22"/>
          <cell r="Q22">
            <v>6</v>
          </cell>
          <cell r="R22">
            <v>-231</v>
          </cell>
          <cell r="S22"/>
        </row>
        <row r="23">
          <cell r="A23" t="str">
            <v>МХБ Мясной продукт из свинины сырокопченый Бекон ШТ. ОХЛ ВУ 200г*10 (2 кг) МИРАТОРГ</v>
          </cell>
          <cell r="B23" t="str">
            <v>шт</v>
          </cell>
          <cell r="C23">
            <v>547</v>
          </cell>
          <cell r="D23"/>
          <cell r="E23">
            <v>155</v>
          </cell>
          <cell r="F23">
            <v>276</v>
          </cell>
          <cell r="G23">
            <v>0.2</v>
          </cell>
          <cell r="H23">
            <v>90</v>
          </cell>
          <cell r="I23">
            <v>1010025585</v>
          </cell>
          <cell r="J23"/>
          <cell r="K23"/>
          <cell r="L23">
            <v>155</v>
          </cell>
          <cell r="M23"/>
          <cell r="N23"/>
          <cell r="O23">
            <v>800</v>
          </cell>
          <cell r="P23"/>
          <cell r="Q23">
            <v>31</v>
          </cell>
          <cell r="R23">
            <v>-146</v>
          </cell>
          <cell r="S23">
            <v>200</v>
          </cell>
        </row>
        <row r="24">
          <cell r="A24" t="str">
            <v>МХБ Сервелат Мраморный ШТ. в/к ВУ ОХЛ 330г*6 (1,98кг)  МИРАТОРГ</v>
          </cell>
          <cell r="B24" t="str">
            <v>шт</v>
          </cell>
          <cell r="C24">
            <v>557</v>
          </cell>
          <cell r="D24"/>
          <cell r="E24">
            <v>122</v>
          </cell>
          <cell r="F24">
            <v>353</v>
          </cell>
          <cell r="G24">
            <v>0.33</v>
          </cell>
          <cell r="H24">
            <v>55</v>
          </cell>
          <cell r="I24">
            <v>1010029655</v>
          </cell>
          <cell r="J24"/>
          <cell r="K24"/>
          <cell r="L24">
            <v>122</v>
          </cell>
          <cell r="M24"/>
          <cell r="N24"/>
          <cell r="O24">
            <v>300</v>
          </cell>
          <cell r="P24"/>
          <cell r="Q24">
            <v>24.4</v>
          </cell>
          <cell r="R24">
            <v>79</v>
          </cell>
          <cell r="S24">
            <v>120</v>
          </cell>
        </row>
        <row r="25">
          <cell r="A25" t="str">
            <v>Сервелат Коньячный в/к ВУ ОХЛ 375гр  МИРАТОРГ</v>
          </cell>
          <cell r="B25" t="str">
            <v>шт</v>
          </cell>
          <cell r="C25">
            <v>14</v>
          </cell>
          <cell r="D25"/>
          <cell r="E25">
            <v>-1</v>
          </cell>
          <cell r="F25"/>
          <cell r="G25">
            <v>0</v>
          </cell>
          <cell r="H25"/>
          <cell r="I25" t="str">
            <v>на вывод (заменили на 300гр)</v>
          </cell>
          <cell r="J25"/>
          <cell r="K25"/>
          <cell r="L25">
            <v>-1</v>
          </cell>
          <cell r="M25"/>
          <cell r="N25"/>
          <cell r="O25"/>
          <cell r="P25"/>
          <cell r="Q25">
            <v>-0.2</v>
          </cell>
          <cell r="R25"/>
          <cell r="S25"/>
        </row>
        <row r="26">
          <cell r="A26"/>
          <cell r="B26"/>
          <cell r="C26"/>
          <cell r="D26"/>
          <cell r="E26"/>
          <cell r="F26"/>
          <cell r="G26"/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</row>
        <row r="27">
          <cell r="A27"/>
          <cell r="B27"/>
          <cell r="C27"/>
          <cell r="D27"/>
          <cell r="E27"/>
          <cell r="F27"/>
          <cell r="G27"/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</row>
        <row r="28">
          <cell r="A28"/>
          <cell r="B28"/>
          <cell r="C28"/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</row>
        <row r="29">
          <cell r="A29"/>
          <cell r="B29"/>
          <cell r="C29"/>
          <cell r="D29"/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</row>
        <row r="30">
          <cell r="A30"/>
          <cell r="B30"/>
          <cell r="C30"/>
          <cell r="D30"/>
          <cell r="E30"/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</row>
        <row r="31">
          <cell r="A31"/>
          <cell r="B31"/>
          <cell r="C31"/>
          <cell r="D31"/>
          <cell r="E31"/>
          <cell r="F31"/>
          <cell r="G31"/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</row>
        <row r="32">
          <cell r="A32"/>
          <cell r="B32"/>
          <cell r="C32"/>
          <cell r="D32"/>
          <cell r="E32"/>
          <cell r="F32"/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A33"/>
          <cell r="B33"/>
          <cell r="C33"/>
          <cell r="D33"/>
          <cell r="E33"/>
          <cell r="F33"/>
          <cell r="G33"/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A34"/>
          <cell r="B34"/>
          <cell r="C34"/>
          <cell r="D34"/>
          <cell r="E34"/>
          <cell r="F34"/>
          <cell r="G34"/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A35"/>
          <cell r="B35"/>
          <cell r="C35"/>
          <cell r="D35"/>
          <cell r="E35"/>
          <cell r="F35"/>
          <cell r="G35"/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</row>
        <row r="36">
          <cell r="A36"/>
          <cell r="B36"/>
          <cell r="C36"/>
          <cell r="D36"/>
          <cell r="E36"/>
          <cell r="F36"/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A37"/>
          <cell r="B37"/>
          <cell r="C37"/>
          <cell r="D37"/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A38"/>
          <cell r="B38"/>
          <cell r="C38"/>
          <cell r="D38"/>
          <cell r="E38"/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A39"/>
          <cell r="B39"/>
          <cell r="C39"/>
          <cell r="D39"/>
          <cell r="E39"/>
          <cell r="F39"/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A40"/>
          <cell r="B40"/>
          <cell r="C40"/>
          <cell r="D40"/>
          <cell r="E40"/>
          <cell r="F40"/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A41"/>
          <cell r="B41"/>
          <cell r="C41"/>
          <cell r="D41"/>
          <cell r="E41"/>
          <cell r="F41"/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A42"/>
          <cell r="B42"/>
          <cell r="C42"/>
          <cell r="D42"/>
          <cell r="E42"/>
          <cell r="F42"/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A43"/>
          <cell r="B43"/>
          <cell r="C43"/>
          <cell r="D43"/>
          <cell r="E43"/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A44"/>
          <cell r="B44"/>
          <cell r="C44"/>
          <cell r="D44"/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A45"/>
          <cell r="B45"/>
          <cell r="C45"/>
          <cell r="D45"/>
          <cell r="E45"/>
          <cell r="F45"/>
          <cell r="G45"/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A46"/>
          <cell r="B46"/>
          <cell r="C46"/>
          <cell r="D46"/>
          <cell r="E46"/>
          <cell r="F46"/>
          <cell r="G46"/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A47"/>
          <cell r="B47"/>
          <cell r="C47"/>
          <cell r="D47"/>
          <cell r="E47"/>
          <cell r="F47"/>
          <cell r="G47"/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A48"/>
          <cell r="B48"/>
          <cell r="C48"/>
          <cell r="D48"/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A49"/>
          <cell r="B49"/>
          <cell r="C49"/>
          <cell r="D49"/>
          <cell r="E49"/>
          <cell r="F49"/>
          <cell r="G49"/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A50"/>
          <cell r="B50"/>
          <cell r="C50"/>
          <cell r="D50"/>
          <cell r="E50"/>
          <cell r="F50"/>
          <cell r="G50"/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A51"/>
          <cell r="B51"/>
          <cell r="C51"/>
          <cell r="D51"/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A52"/>
          <cell r="B52"/>
          <cell r="C52"/>
          <cell r="D52"/>
          <cell r="E52"/>
          <cell r="F52"/>
          <cell r="G52"/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A53"/>
          <cell r="B53"/>
          <cell r="C53"/>
          <cell r="D53"/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A54"/>
          <cell r="B54"/>
          <cell r="C54"/>
          <cell r="D54"/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A55"/>
          <cell r="B55"/>
          <cell r="C55"/>
          <cell r="D55"/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A56"/>
          <cell r="B56"/>
          <cell r="C56"/>
          <cell r="D56"/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A57"/>
          <cell r="B57"/>
          <cell r="C57"/>
          <cell r="D57"/>
          <cell r="E57"/>
          <cell r="F57"/>
          <cell r="G57"/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A58"/>
          <cell r="B58"/>
          <cell r="C58"/>
          <cell r="D58"/>
          <cell r="E58"/>
          <cell r="F58"/>
          <cell r="G58"/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A59"/>
          <cell r="B59"/>
          <cell r="C59"/>
          <cell r="D59"/>
          <cell r="E59"/>
          <cell r="F59"/>
          <cell r="G59"/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</row>
        <row r="60">
          <cell r="A60"/>
          <cell r="B60"/>
          <cell r="C60"/>
          <cell r="D60"/>
          <cell r="E60"/>
          <cell r="F60"/>
          <cell r="G60"/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</row>
        <row r="61">
          <cell r="A61"/>
          <cell r="B61"/>
          <cell r="C61"/>
          <cell r="D61"/>
          <cell r="E61"/>
          <cell r="F61"/>
          <cell r="G61"/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</row>
        <row r="62">
          <cell r="A62"/>
          <cell r="B62"/>
          <cell r="C62"/>
          <cell r="D62"/>
          <cell r="E62"/>
          <cell r="F62"/>
          <cell r="G62"/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</row>
        <row r="63">
          <cell r="A63"/>
          <cell r="B63"/>
          <cell r="C63"/>
          <cell r="D63"/>
          <cell r="E63"/>
          <cell r="F63"/>
          <cell r="G63"/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</row>
        <row r="64">
          <cell r="A64"/>
          <cell r="B64"/>
          <cell r="C64"/>
          <cell r="D64"/>
          <cell r="E64"/>
          <cell r="F64"/>
          <cell r="G64"/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</row>
        <row r="65">
          <cell r="A65"/>
          <cell r="B65"/>
          <cell r="C65"/>
          <cell r="D65"/>
          <cell r="E65"/>
          <cell r="F65"/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</row>
        <row r="66">
          <cell r="A66"/>
          <cell r="B66"/>
          <cell r="C66"/>
          <cell r="D66"/>
          <cell r="E66"/>
          <cell r="F66"/>
          <cell r="G66"/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</row>
        <row r="67">
          <cell r="A67"/>
          <cell r="B67"/>
          <cell r="C67"/>
          <cell r="D67"/>
          <cell r="E67"/>
          <cell r="F67"/>
          <cell r="G67"/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</row>
        <row r="68">
          <cell r="A68"/>
          <cell r="B68"/>
          <cell r="C68"/>
          <cell r="D68"/>
          <cell r="E68"/>
          <cell r="F68"/>
          <cell r="G68"/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</row>
        <row r="69">
          <cell r="A69"/>
          <cell r="B69"/>
          <cell r="C69"/>
          <cell r="D69"/>
          <cell r="E69"/>
          <cell r="F69"/>
          <cell r="G69"/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</row>
        <row r="70">
          <cell r="A70"/>
          <cell r="B70"/>
          <cell r="C70"/>
          <cell r="D70"/>
          <cell r="E70"/>
          <cell r="F70"/>
          <cell r="G70"/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</row>
        <row r="71">
          <cell r="A71"/>
          <cell r="B71"/>
          <cell r="C71"/>
          <cell r="D71"/>
          <cell r="E71"/>
          <cell r="F71"/>
          <cell r="G71"/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</row>
        <row r="72">
          <cell r="A72"/>
          <cell r="B72"/>
          <cell r="C72"/>
          <cell r="D72"/>
          <cell r="E72"/>
          <cell r="F72"/>
          <cell r="G72"/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</row>
        <row r="73">
          <cell r="A73"/>
          <cell r="B73"/>
          <cell r="C73"/>
          <cell r="D73"/>
          <cell r="E73"/>
          <cell r="F73"/>
          <cell r="G73"/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</row>
        <row r="74">
          <cell r="A74"/>
          <cell r="B74"/>
          <cell r="C74"/>
          <cell r="D74"/>
          <cell r="E74"/>
          <cell r="F74"/>
          <cell r="G74"/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</row>
        <row r="75">
          <cell r="A75"/>
          <cell r="B75"/>
          <cell r="C75"/>
          <cell r="D75"/>
          <cell r="E75"/>
          <cell r="F75"/>
          <cell r="G75"/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</row>
        <row r="76">
          <cell r="A76"/>
          <cell r="B76"/>
          <cell r="C76"/>
          <cell r="D76"/>
          <cell r="E76"/>
          <cell r="F76"/>
          <cell r="G76"/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</row>
        <row r="77">
          <cell r="A77"/>
          <cell r="B77"/>
          <cell r="C77"/>
          <cell r="D77"/>
          <cell r="E77"/>
          <cell r="F77"/>
          <cell r="G77"/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</row>
        <row r="78">
          <cell r="A78"/>
          <cell r="B78"/>
          <cell r="C78"/>
          <cell r="D78"/>
          <cell r="E78"/>
          <cell r="F78"/>
          <cell r="G78"/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</row>
        <row r="79">
          <cell r="A79"/>
          <cell r="B79"/>
          <cell r="C79"/>
          <cell r="D79"/>
          <cell r="E79"/>
          <cell r="F79"/>
          <cell r="G79"/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</row>
        <row r="80">
          <cell r="A80"/>
          <cell r="B80"/>
          <cell r="C80"/>
          <cell r="D80"/>
          <cell r="E80"/>
          <cell r="F80"/>
          <cell r="G80"/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</row>
        <row r="81">
          <cell r="A81"/>
          <cell r="B81"/>
          <cell r="C81"/>
          <cell r="D81"/>
          <cell r="E81"/>
          <cell r="F81"/>
          <cell r="G81"/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</row>
        <row r="82">
          <cell r="A82"/>
          <cell r="B82"/>
          <cell r="C82"/>
          <cell r="D82"/>
          <cell r="E82"/>
          <cell r="F82"/>
          <cell r="G82"/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</row>
        <row r="83">
          <cell r="A83"/>
          <cell r="B83"/>
          <cell r="C83"/>
          <cell r="D83"/>
          <cell r="E83"/>
          <cell r="F83"/>
          <cell r="G83"/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</row>
        <row r="84">
          <cell r="A84"/>
          <cell r="B84"/>
          <cell r="C84"/>
          <cell r="D84"/>
          <cell r="E84"/>
          <cell r="F84"/>
          <cell r="G84"/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</row>
        <row r="85">
          <cell r="A85"/>
          <cell r="B85"/>
          <cell r="C85"/>
          <cell r="D85"/>
          <cell r="E85"/>
          <cell r="F85"/>
          <cell r="G85"/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</row>
        <row r="86">
          <cell r="A86"/>
          <cell r="B86"/>
          <cell r="C86"/>
          <cell r="D86"/>
          <cell r="E86"/>
          <cell r="F86"/>
          <cell r="G86"/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</row>
        <row r="87">
          <cell r="A87"/>
          <cell r="B87"/>
          <cell r="C87"/>
          <cell r="D87"/>
          <cell r="E87"/>
          <cell r="F87"/>
          <cell r="G87"/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</row>
        <row r="88">
          <cell r="A88"/>
          <cell r="B88"/>
          <cell r="C88"/>
          <cell r="D88"/>
          <cell r="E88"/>
          <cell r="F88"/>
          <cell r="G88"/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</row>
        <row r="89">
          <cell r="A89"/>
          <cell r="B89"/>
          <cell r="C89"/>
          <cell r="D89"/>
          <cell r="E89"/>
          <cell r="F89"/>
          <cell r="G89"/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</row>
        <row r="90">
          <cell r="A90"/>
          <cell r="B90"/>
          <cell r="C90"/>
          <cell r="D90"/>
          <cell r="E90"/>
          <cell r="F90"/>
          <cell r="G90"/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/>
          <cell r="B91"/>
          <cell r="C91"/>
          <cell r="D91"/>
          <cell r="E91"/>
          <cell r="F91"/>
          <cell r="G91"/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</row>
        <row r="92">
          <cell r="A92"/>
          <cell r="B92"/>
          <cell r="C92"/>
          <cell r="D92"/>
          <cell r="E92"/>
          <cell r="F92"/>
          <cell r="G92"/>
          <cell r="H92"/>
          <cell r="I92"/>
          <cell r="J92"/>
          <cell r="K92"/>
          <cell r="L92"/>
          <cell r="M92"/>
          <cell r="N92"/>
          <cell r="O92"/>
          <cell r="P92"/>
          <cell r="Q92"/>
          <cell r="R92"/>
          <cell r="S92"/>
        </row>
        <row r="93">
          <cell r="A93"/>
          <cell r="B93"/>
          <cell r="C93"/>
          <cell r="D93"/>
          <cell r="E93"/>
          <cell r="F93"/>
          <cell r="G93"/>
          <cell r="H93"/>
          <cell r="I93"/>
          <cell r="J93"/>
          <cell r="K93"/>
          <cell r="L93"/>
          <cell r="M93"/>
          <cell r="N93"/>
          <cell r="O93"/>
          <cell r="P93"/>
          <cell r="Q93"/>
          <cell r="R93"/>
          <cell r="S93"/>
        </row>
        <row r="94">
          <cell r="A94"/>
          <cell r="B94"/>
          <cell r="C94"/>
          <cell r="D94"/>
          <cell r="E94"/>
          <cell r="F94"/>
          <cell r="G94"/>
          <cell r="H94"/>
          <cell r="I94"/>
          <cell r="J94"/>
          <cell r="K94"/>
          <cell r="L94"/>
          <cell r="M94"/>
          <cell r="N94"/>
          <cell r="O94"/>
          <cell r="P94"/>
          <cell r="Q94"/>
          <cell r="R94"/>
          <cell r="S94"/>
        </row>
        <row r="95">
          <cell r="A95"/>
          <cell r="B95"/>
          <cell r="C95"/>
          <cell r="D95"/>
          <cell r="E95"/>
          <cell r="F95"/>
          <cell r="G95"/>
          <cell r="H95"/>
          <cell r="I95"/>
          <cell r="J95"/>
          <cell r="K95"/>
          <cell r="L95"/>
          <cell r="M95"/>
          <cell r="N95"/>
          <cell r="O95"/>
          <cell r="P95"/>
          <cell r="Q95"/>
          <cell r="R95"/>
          <cell r="S95"/>
        </row>
        <row r="96">
          <cell r="A96"/>
          <cell r="B96"/>
          <cell r="C96"/>
          <cell r="D96"/>
          <cell r="E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</row>
        <row r="97">
          <cell r="A97"/>
          <cell r="B97"/>
          <cell r="C97"/>
          <cell r="D97"/>
          <cell r="E97"/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/>
          <cell r="Q97"/>
          <cell r="R97"/>
          <cell r="S97"/>
        </row>
        <row r="98">
          <cell r="A98"/>
          <cell r="B98"/>
          <cell r="C98"/>
          <cell r="D98"/>
          <cell r="E98"/>
          <cell r="F98"/>
          <cell r="G98"/>
          <cell r="H98"/>
          <cell r="I98"/>
          <cell r="J98"/>
          <cell r="K98"/>
          <cell r="L98"/>
          <cell r="M98"/>
          <cell r="N98"/>
          <cell r="O98"/>
          <cell r="P98"/>
          <cell r="Q98"/>
          <cell r="R98"/>
          <cell r="S98"/>
        </row>
        <row r="99">
          <cell r="A99"/>
          <cell r="B99"/>
          <cell r="C99"/>
          <cell r="D99"/>
          <cell r="E99"/>
          <cell r="F99"/>
          <cell r="G99"/>
          <cell r="H99"/>
          <cell r="I99"/>
          <cell r="J99"/>
          <cell r="K99"/>
          <cell r="L99"/>
          <cell r="M99"/>
          <cell r="N99"/>
          <cell r="O99"/>
          <cell r="P99"/>
          <cell r="Q99"/>
          <cell r="R99"/>
          <cell r="S99"/>
        </row>
        <row r="100">
          <cell r="A100"/>
          <cell r="B100"/>
          <cell r="C100"/>
          <cell r="D100"/>
          <cell r="E100"/>
          <cell r="F100"/>
          <cell r="G100"/>
          <cell r="H100"/>
          <cell r="I100"/>
          <cell r="J100"/>
          <cell r="K100"/>
          <cell r="L100"/>
          <cell r="M100"/>
          <cell r="N100"/>
          <cell r="O100"/>
          <cell r="P100"/>
          <cell r="Q100"/>
          <cell r="R100"/>
          <cell r="S100"/>
        </row>
        <row r="101">
          <cell r="A101"/>
          <cell r="B101"/>
          <cell r="C101"/>
          <cell r="D101"/>
          <cell r="E101"/>
          <cell r="F101"/>
          <cell r="G101"/>
          <cell r="H101"/>
          <cell r="I101"/>
          <cell r="J101"/>
          <cell r="K101"/>
          <cell r="L101"/>
          <cell r="M101"/>
          <cell r="N101"/>
          <cell r="O101"/>
          <cell r="P101"/>
          <cell r="Q101"/>
          <cell r="R101"/>
          <cell r="S101"/>
        </row>
        <row r="102">
          <cell r="A102"/>
          <cell r="B102"/>
          <cell r="C102"/>
          <cell r="D102"/>
          <cell r="E102"/>
          <cell r="F102"/>
          <cell r="G102"/>
          <cell r="H102"/>
          <cell r="I102"/>
          <cell r="J102"/>
          <cell r="K102"/>
          <cell r="L102"/>
          <cell r="M102"/>
          <cell r="N102"/>
          <cell r="O102"/>
          <cell r="P102"/>
          <cell r="Q102"/>
          <cell r="R102"/>
          <cell r="S102"/>
        </row>
        <row r="103">
          <cell r="A103"/>
          <cell r="B103"/>
          <cell r="C103"/>
          <cell r="D103"/>
          <cell r="E103"/>
          <cell r="F103"/>
          <cell r="G103"/>
          <cell r="H103"/>
          <cell r="I103"/>
          <cell r="J103"/>
          <cell r="K103"/>
          <cell r="L103"/>
          <cell r="M103"/>
          <cell r="N103"/>
          <cell r="O103"/>
          <cell r="P103"/>
          <cell r="Q103"/>
          <cell r="R103"/>
          <cell r="S103"/>
        </row>
        <row r="104">
          <cell r="A104"/>
          <cell r="B104"/>
          <cell r="C104"/>
          <cell r="D104"/>
          <cell r="E104"/>
          <cell r="F104"/>
          <cell r="G104"/>
          <cell r="H104"/>
          <cell r="I104"/>
          <cell r="J104"/>
          <cell r="K104"/>
          <cell r="L104"/>
          <cell r="M104"/>
          <cell r="N104"/>
          <cell r="O104"/>
          <cell r="P104"/>
          <cell r="Q104"/>
          <cell r="R104"/>
          <cell r="S104"/>
        </row>
        <row r="105">
          <cell r="A105"/>
          <cell r="B105"/>
          <cell r="C105"/>
          <cell r="D105"/>
          <cell r="E105"/>
          <cell r="F105"/>
          <cell r="G105"/>
          <cell r="H105"/>
          <cell r="I105"/>
          <cell r="J105"/>
          <cell r="K105"/>
          <cell r="L105"/>
          <cell r="M105"/>
          <cell r="N105"/>
          <cell r="O105"/>
          <cell r="P105"/>
          <cell r="Q105"/>
          <cell r="R105"/>
          <cell r="S105"/>
        </row>
        <row r="106">
          <cell r="A106"/>
          <cell r="B106"/>
          <cell r="C106"/>
          <cell r="D106"/>
          <cell r="E106"/>
          <cell r="F106"/>
          <cell r="G106"/>
          <cell r="H106"/>
          <cell r="I106"/>
          <cell r="J106"/>
          <cell r="K106"/>
          <cell r="L106"/>
          <cell r="M106"/>
          <cell r="N106"/>
          <cell r="O106"/>
          <cell r="P106"/>
          <cell r="Q106"/>
          <cell r="R106"/>
          <cell r="S106"/>
        </row>
        <row r="107">
          <cell r="A107"/>
          <cell r="B107"/>
          <cell r="C107"/>
          <cell r="D107"/>
          <cell r="E107"/>
          <cell r="F107"/>
          <cell r="G107"/>
          <cell r="H107"/>
          <cell r="I107"/>
          <cell r="J107"/>
          <cell r="K107"/>
          <cell r="L107"/>
          <cell r="M107"/>
          <cell r="N107"/>
          <cell r="O107"/>
          <cell r="P107"/>
          <cell r="Q107"/>
          <cell r="R107"/>
          <cell r="S107"/>
        </row>
        <row r="108">
          <cell r="A108"/>
          <cell r="B108"/>
          <cell r="C108"/>
          <cell r="D108"/>
          <cell r="E108"/>
          <cell r="F108"/>
          <cell r="G108"/>
          <cell r="H108"/>
          <cell r="I108"/>
          <cell r="J108"/>
          <cell r="K108"/>
          <cell r="L108"/>
          <cell r="M108"/>
          <cell r="N108"/>
          <cell r="O108"/>
          <cell r="P108"/>
          <cell r="Q108"/>
          <cell r="R108"/>
          <cell r="S108"/>
        </row>
        <row r="109">
          <cell r="A109"/>
          <cell r="B109"/>
          <cell r="C109"/>
          <cell r="D109"/>
          <cell r="E109"/>
          <cell r="F109"/>
          <cell r="G109"/>
          <cell r="H109"/>
          <cell r="I109"/>
          <cell r="J109"/>
          <cell r="K109"/>
          <cell r="L109"/>
          <cell r="M109"/>
          <cell r="N109"/>
          <cell r="O109"/>
          <cell r="P109"/>
          <cell r="Q109"/>
          <cell r="R109"/>
          <cell r="S109"/>
        </row>
        <row r="110">
          <cell r="A110"/>
          <cell r="B110"/>
          <cell r="C110"/>
          <cell r="D110"/>
          <cell r="E110"/>
          <cell r="F110"/>
          <cell r="G110"/>
          <cell r="H110"/>
          <cell r="I110"/>
          <cell r="J110"/>
          <cell r="K110"/>
          <cell r="L110"/>
          <cell r="M110"/>
          <cell r="N110"/>
          <cell r="O110"/>
          <cell r="P110"/>
          <cell r="Q110"/>
          <cell r="R110"/>
          <cell r="S110"/>
        </row>
        <row r="111">
          <cell r="A111"/>
          <cell r="B111"/>
          <cell r="C111"/>
          <cell r="D111"/>
          <cell r="E111"/>
          <cell r="F111"/>
          <cell r="G111"/>
          <cell r="H111"/>
          <cell r="I111"/>
          <cell r="J111"/>
          <cell r="K111"/>
          <cell r="L111"/>
          <cell r="M111"/>
          <cell r="N111"/>
          <cell r="O111"/>
          <cell r="P111"/>
          <cell r="Q111"/>
          <cell r="R111"/>
          <cell r="S111"/>
        </row>
        <row r="112">
          <cell r="A112"/>
          <cell r="B112"/>
          <cell r="C112"/>
          <cell r="D112"/>
          <cell r="E112"/>
          <cell r="F112"/>
          <cell r="G112"/>
          <cell r="H112"/>
          <cell r="I112"/>
          <cell r="J112"/>
          <cell r="K112"/>
          <cell r="L112"/>
          <cell r="M112"/>
          <cell r="N112"/>
          <cell r="O112"/>
          <cell r="P112"/>
          <cell r="Q112"/>
          <cell r="R112"/>
          <cell r="S112"/>
        </row>
        <row r="113">
          <cell r="A113"/>
          <cell r="B113"/>
          <cell r="C113"/>
          <cell r="D113"/>
          <cell r="E113"/>
          <cell r="F113"/>
          <cell r="G113"/>
          <cell r="H113"/>
          <cell r="I113"/>
          <cell r="J113"/>
          <cell r="K113"/>
          <cell r="L113"/>
          <cell r="M113"/>
          <cell r="N113"/>
          <cell r="O113"/>
          <cell r="P113"/>
          <cell r="Q113"/>
          <cell r="R113"/>
          <cell r="S113"/>
        </row>
        <row r="114">
          <cell r="A114"/>
          <cell r="B114"/>
          <cell r="C114"/>
          <cell r="D114"/>
          <cell r="E114"/>
          <cell r="F114"/>
          <cell r="G114"/>
          <cell r="H114"/>
          <cell r="I114"/>
          <cell r="J114"/>
          <cell r="K114"/>
          <cell r="L114"/>
          <cell r="M114"/>
          <cell r="N114"/>
          <cell r="O114"/>
          <cell r="P114"/>
          <cell r="Q114"/>
          <cell r="R114"/>
          <cell r="S114"/>
        </row>
        <row r="115">
          <cell r="A115"/>
          <cell r="B115"/>
          <cell r="C115"/>
          <cell r="D115"/>
          <cell r="E115"/>
          <cell r="F115"/>
          <cell r="G115"/>
          <cell r="H115"/>
          <cell r="I115"/>
          <cell r="J115"/>
          <cell r="K115"/>
          <cell r="L115"/>
          <cell r="M115"/>
          <cell r="N115"/>
          <cell r="O115"/>
          <cell r="P115"/>
          <cell r="Q115"/>
          <cell r="R115"/>
          <cell r="S115"/>
        </row>
        <row r="116">
          <cell r="A116"/>
          <cell r="B116"/>
          <cell r="C116"/>
          <cell r="D116"/>
          <cell r="E116"/>
          <cell r="F116"/>
          <cell r="G116"/>
          <cell r="H116"/>
          <cell r="I116"/>
          <cell r="J116"/>
          <cell r="K116"/>
          <cell r="L116"/>
          <cell r="M116"/>
          <cell r="N116"/>
          <cell r="O116"/>
          <cell r="P116"/>
          <cell r="Q116"/>
          <cell r="R116"/>
          <cell r="S116"/>
        </row>
        <row r="117">
          <cell r="A117"/>
          <cell r="B117"/>
          <cell r="C117"/>
          <cell r="D117"/>
          <cell r="E117"/>
          <cell r="F117"/>
          <cell r="G117"/>
          <cell r="H117"/>
          <cell r="I117"/>
          <cell r="J117"/>
          <cell r="K117"/>
          <cell r="L117"/>
          <cell r="M117"/>
          <cell r="N117"/>
          <cell r="O117"/>
          <cell r="P117"/>
          <cell r="Q117"/>
          <cell r="R117"/>
          <cell r="S117"/>
        </row>
        <row r="118">
          <cell r="A118"/>
          <cell r="B118"/>
          <cell r="C118"/>
          <cell r="D118"/>
          <cell r="E118"/>
          <cell r="F118"/>
          <cell r="G118"/>
          <cell r="H118"/>
          <cell r="I118"/>
          <cell r="J118"/>
          <cell r="K118"/>
          <cell r="L118"/>
          <cell r="M118"/>
          <cell r="N118"/>
          <cell r="O118"/>
          <cell r="P118"/>
          <cell r="Q118"/>
          <cell r="R118"/>
          <cell r="S118"/>
        </row>
        <row r="119">
          <cell r="A119"/>
          <cell r="B119"/>
          <cell r="C119"/>
          <cell r="D119"/>
          <cell r="E119"/>
          <cell r="F119"/>
          <cell r="G119"/>
          <cell r="H119"/>
          <cell r="I119"/>
          <cell r="J119"/>
          <cell r="K119"/>
          <cell r="L119"/>
          <cell r="M119"/>
          <cell r="N119"/>
          <cell r="O119"/>
          <cell r="P119"/>
          <cell r="Q119"/>
          <cell r="R119"/>
          <cell r="S119"/>
        </row>
        <row r="120">
          <cell r="A120"/>
          <cell r="B120"/>
          <cell r="C120"/>
          <cell r="D120"/>
          <cell r="E120"/>
          <cell r="F120"/>
          <cell r="G120"/>
          <cell r="H120"/>
          <cell r="I120"/>
          <cell r="J120"/>
          <cell r="K120"/>
          <cell r="L120"/>
          <cell r="M120"/>
          <cell r="N120"/>
          <cell r="O120"/>
          <cell r="P120"/>
          <cell r="Q120"/>
          <cell r="R120"/>
          <cell r="S120"/>
        </row>
        <row r="121">
          <cell r="A121"/>
          <cell r="B121"/>
          <cell r="C121"/>
          <cell r="D121"/>
          <cell r="E121"/>
          <cell r="F121"/>
          <cell r="G121"/>
          <cell r="H121"/>
          <cell r="I121"/>
          <cell r="J121"/>
          <cell r="K121"/>
          <cell r="L121"/>
          <cell r="M121"/>
          <cell r="N121"/>
          <cell r="O121"/>
          <cell r="P121"/>
          <cell r="Q121"/>
          <cell r="R121"/>
          <cell r="S121"/>
        </row>
        <row r="122">
          <cell r="A122"/>
          <cell r="B122"/>
          <cell r="C122"/>
          <cell r="D122"/>
          <cell r="E122"/>
          <cell r="F122"/>
          <cell r="G122"/>
          <cell r="H122"/>
          <cell r="I122"/>
          <cell r="J122"/>
          <cell r="K122"/>
          <cell r="L122"/>
          <cell r="M122"/>
          <cell r="N122"/>
          <cell r="O122"/>
          <cell r="P122"/>
          <cell r="Q122"/>
          <cell r="R122"/>
          <cell r="S122"/>
        </row>
        <row r="123">
          <cell r="A123"/>
          <cell r="B123"/>
          <cell r="C123"/>
          <cell r="D123"/>
          <cell r="E123"/>
          <cell r="F123"/>
          <cell r="G123"/>
          <cell r="H123"/>
          <cell r="I123"/>
          <cell r="J123"/>
          <cell r="K123"/>
          <cell r="L123"/>
          <cell r="M123"/>
          <cell r="N123"/>
          <cell r="O123"/>
          <cell r="P123"/>
          <cell r="Q123"/>
          <cell r="R123"/>
          <cell r="S123"/>
        </row>
        <row r="124">
          <cell r="A124"/>
          <cell r="B124"/>
          <cell r="C124"/>
          <cell r="D124"/>
          <cell r="E124"/>
          <cell r="F124"/>
          <cell r="G124"/>
          <cell r="H124"/>
          <cell r="I124"/>
          <cell r="J124"/>
          <cell r="K124"/>
          <cell r="L124"/>
          <cell r="M124"/>
          <cell r="N124"/>
          <cell r="O124"/>
          <cell r="P124"/>
          <cell r="Q124"/>
          <cell r="R124"/>
          <cell r="S124"/>
        </row>
        <row r="125">
          <cell r="A125"/>
          <cell r="B125"/>
          <cell r="C125"/>
          <cell r="D125"/>
          <cell r="E125"/>
          <cell r="F125"/>
          <cell r="G125"/>
          <cell r="H125"/>
          <cell r="I125"/>
          <cell r="J125"/>
          <cell r="K125"/>
          <cell r="L125"/>
          <cell r="M125"/>
          <cell r="N125"/>
          <cell r="O125"/>
          <cell r="P125"/>
          <cell r="Q125"/>
          <cell r="R125"/>
          <cell r="S125"/>
        </row>
        <row r="126">
          <cell r="A126"/>
          <cell r="B126"/>
          <cell r="C126"/>
          <cell r="D126"/>
          <cell r="E126"/>
          <cell r="F126"/>
          <cell r="G126"/>
          <cell r="H126"/>
          <cell r="I126"/>
          <cell r="J126"/>
          <cell r="K126"/>
          <cell r="L126"/>
          <cell r="M126"/>
          <cell r="N126"/>
          <cell r="O126"/>
          <cell r="P126"/>
          <cell r="Q126"/>
          <cell r="R126"/>
          <cell r="S126"/>
        </row>
        <row r="127">
          <cell r="A127"/>
          <cell r="B127"/>
          <cell r="C127"/>
          <cell r="D127"/>
          <cell r="E127"/>
          <cell r="F127"/>
          <cell r="G127"/>
          <cell r="H127"/>
          <cell r="I127"/>
          <cell r="J127"/>
          <cell r="K127"/>
          <cell r="L127"/>
          <cell r="M127"/>
          <cell r="N127"/>
          <cell r="O127"/>
          <cell r="P127"/>
          <cell r="Q127"/>
          <cell r="R127"/>
          <cell r="S127"/>
        </row>
        <row r="128">
          <cell r="A128"/>
          <cell r="B128"/>
          <cell r="C128"/>
          <cell r="D128"/>
          <cell r="E128"/>
          <cell r="F128"/>
          <cell r="G128"/>
          <cell r="H128"/>
          <cell r="I128"/>
          <cell r="J128"/>
          <cell r="K128"/>
          <cell r="L128"/>
          <cell r="M128"/>
          <cell r="N128"/>
          <cell r="O128"/>
          <cell r="P128"/>
          <cell r="Q128"/>
          <cell r="R128"/>
          <cell r="S128"/>
        </row>
        <row r="129">
          <cell r="A129"/>
          <cell r="B129"/>
          <cell r="C129"/>
          <cell r="D129"/>
          <cell r="E129"/>
          <cell r="F129"/>
          <cell r="G129"/>
          <cell r="H129"/>
          <cell r="I129"/>
          <cell r="J129"/>
          <cell r="K129"/>
          <cell r="L129"/>
          <cell r="M129"/>
          <cell r="N129"/>
          <cell r="O129"/>
          <cell r="P129"/>
          <cell r="Q129"/>
          <cell r="R129"/>
          <cell r="S129"/>
        </row>
        <row r="130">
          <cell r="A130"/>
          <cell r="B130"/>
          <cell r="C130"/>
          <cell r="D130"/>
          <cell r="E130"/>
          <cell r="F130"/>
          <cell r="G130"/>
          <cell r="H130"/>
          <cell r="I130"/>
          <cell r="J130"/>
          <cell r="K130"/>
          <cell r="L130"/>
          <cell r="M130"/>
          <cell r="N130"/>
          <cell r="O130"/>
          <cell r="P130"/>
          <cell r="Q130"/>
          <cell r="R130"/>
          <cell r="S130"/>
        </row>
        <row r="131">
          <cell r="A131"/>
          <cell r="B131"/>
          <cell r="C131"/>
          <cell r="D131"/>
          <cell r="E131"/>
          <cell r="F131"/>
          <cell r="G131"/>
          <cell r="H131"/>
          <cell r="I131"/>
          <cell r="J131"/>
          <cell r="K131"/>
          <cell r="L131"/>
          <cell r="M131"/>
          <cell r="N131"/>
          <cell r="O131"/>
          <cell r="P131"/>
          <cell r="Q131"/>
          <cell r="R131"/>
          <cell r="S131"/>
        </row>
        <row r="132">
          <cell r="A132"/>
          <cell r="B132"/>
          <cell r="C132"/>
          <cell r="D132"/>
          <cell r="E132"/>
          <cell r="F132"/>
          <cell r="G132"/>
          <cell r="H132"/>
          <cell r="I132"/>
          <cell r="J132"/>
          <cell r="K132"/>
          <cell r="L132"/>
          <cell r="M132"/>
          <cell r="N132"/>
          <cell r="O132"/>
          <cell r="P132"/>
          <cell r="Q132"/>
          <cell r="R132"/>
          <cell r="S132"/>
        </row>
        <row r="133">
          <cell r="A133"/>
          <cell r="B133"/>
          <cell r="C133"/>
          <cell r="D133"/>
          <cell r="E133"/>
          <cell r="F133"/>
          <cell r="G133"/>
          <cell r="H133"/>
          <cell r="I133"/>
          <cell r="J133"/>
          <cell r="K133"/>
          <cell r="L133"/>
          <cell r="M133"/>
          <cell r="N133"/>
          <cell r="O133"/>
          <cell r="P133"/>
          <cell r="Q133"/>
          <cell r="R133"/>
          <cell r="S133"/>
        </row>
        <row r="134">
          <cell r="A134"/>
          <cell r="B134"/>
          <cell r="C134"/>
          <cell r="D134"/>
          <cell r="E134"/>
          <cell r="F134"/>
          <cell r="G134"/>
          <cell r="H134"/>
          <cell r="I134"/>
          <cell r="J134"/>
          <cell r="K134"/>
          <cell r="L134"/>
          <cell r="M134"/>
          <cell r="N134"/>
          <cell r="O134"/>
          <cell r="P134"/>
          <cell r="Q134"/>
          <cell r="R134"/>
          <cell r="S134"/>
        </row>
        <row r="135">
          <cell r="A135"/>
          <cell r="B135"/>
          <cell r="C135"/>
          <cell r="D135"/>
          <cell r="E135"/>
          <cell r="F135"/>
          <cell r="G135"/>
          <cell r="H135"/>
          <cell r="I135"/>
          <cell r="J135"/>
          <cell r="K135"/>
          <cell r="L135"/>
          <cell r="M135"/>
          <cell r="N135"/>
          <cell r="O135"/>
          <cell r="P135"/>
          <cell r="Q135"/>
          <cell r="R135"/>
          <cell r="S135"/>
        </row>
        <row r="136">
          <cell r="A136"/>
          <cell r="B136"/>
          <cell r="C136"/>
          <cell r="D136"/>
          <cell r="E136"/>
          <cell r="F136"/>
          <cell r="G136"/>
          <cell r="H136"/>
          <cell r="I136"/>
          <cell r="J136"/>
          <cell r="K136"/>
          <cell r="L136"/>
          <cell r="M136"/>
          <cell r="N136"/>
          <cell r="O136"/>
          <cell r="P136"/>
          <cell r="Q136"/>
          <cell r="R136"/>
          <cell r="S136"/>
        </row>
        <row r="137">
          <cell r="A137"/>
          <cell r="B137"/>
          <cell r="C137"/>
          <cell r="D137"/>
          <cell r="E137"/>
          <cell r="F137"/>
          <cell r="G137"/>
          <cell r="H137"/>
          <cell r="I137"/>
          <cell r="J137"/>
          <cell r="K137"/>
          <cell r="L137"/>
          <cell r="M137"/>
          <cell r="N137"/>
          <cell r="O137"/>
          <cell r="P137"/>
          <cell r="Q137"/>
          <cell r="R137"/>
          <cell r="S137"/>
        </row>
        <row r="138">
          <cell r="A138"/>
          <cell r="B138"/>
          <cell r="C138"/>
          <cell r="D138"/>
          <cell r="E138"/>
          <cell r="F138"/>
          <cell r="G138"/>
          <cell r="H138"/>
          <cell r="I138"/>
          <cell r="J138"/>
          <cell r="K138"/>
          <cell r="L138"/>
          <cell r="M138"/>
          <cell r="N138"/>
          <cell r="O138"/>
          <cell r="P138"/>
          <cell r="Q138"/>
          <cell r="R138"/>
          <cell r="S138"/>
        </row>
        <row r="139">
          <cell r="A139"/>
          <cell r="B139"/>
          <cell r="C139"/>
          <cell r="D139"/>
          <cell r="E139"/>
          <cell r="F139"/>
          <cell r="G139"/>
          <cell r="H139"/>
          <cell r="I139"/>
          <cell r="J139"/>
          <cell r="K139"/>
          <cell r="L139"/>
          <cell r="M139"/>
          <cell r="N139"/>
          <cell r="O139"/>
          <cell r="P139"/>
          <cell r="Q139"/>
          <cell r="R139"/>
          <cell r="S139"/>
        </row>
        <row r="140">
          <cell r="A140"/>
          <cell r="B140"/>
          <cell r="C140"/>
          <cell r="D140"/>
          <cell r="E140"/>
          <cell r="F140"/>
          <cell r="G140"/>
          <cell r="H140"/>
          <cell r="I140"/>
          <cell r="J140"/>
          <cell r="K140"/>
          <cell r="L140"/>
          <cell r="M140"/>
          <cell r="N140"/>
          <cell r="O140"/>
          <cell r="P140"/>
          <cell r="Q140"/>
          <cell r="R140"/>
          <cell r="S140"/>
        </row>
        <row r="141">
          <cell r="A141"/>
          <cell r="B141"/>
          <cell r="C141"/>
          <cell r="D141"/>
          <cell r="E141"/>
          <cell r="F141"/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  <cell r="Q141"/>
          <cell r="R141"/>
          <cell r="S141"/>
        </row>
        <row r="142">
          <cell r="A142"/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  <cell r="M142"/>
          <cell r="N142"/>
          <cell r="O142"/>
          <cell r="P142"/>
          <cell r="Q142"/>
          <cell r="R142"/>
          <cell r="S142"/>
        </row>
        <row r="143">
          <cell r="A143"/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  <cell r="Q143"/>
          <cell r="R143"/>
          <cell r="S143"/>
        </row>
        <row r="144">
          <cell r="A144"/>
          <cell r="B144"/>
          <cell r="C144"/>
          <cell r="D144"/>
          <cell r="E144"/>
          <cell r="F144"/>
          <cell r="G144"/>
          <cell r="H144"/>
          <cell r="I144"/>
          <cell r="J144"/>
          <cell r="K144"/>
          <cell r="L144"/>
          <cell r="M144"/>
          <cell r="N144"/>
          <cell r="O144"/>
          <cell r="P144"/>
          <cell r="Q144"/>
          <cell r="R144"/>
          <cell r="S144"/>
        </row>
        <row r="145">
          <cell r="A145"/>
          <cell r="B145"/>
          <cell r="C145"/>
          <cell r="D145"/>
          <cell r="E145"/>
          <cell r="F145"/>
          <cell r="G145"/>
          <cell r="H145"/>
          <cell r="I145"/>
          <cell r="J145"/>
          <cell r="K145"/>
          <cell r="L145"/>
          <cell r="M145"/>
          <cell r="N145"/>
          <cell r="O145"/>
          <cell r="P145"/>
          <cell r="Q145"/>
          <cell r="R145"/>
          <cell r="S145"/>
        </row>
        <row r="146">
          <cell r="A146"/>
          <cell r="B146"/>
          <cell r="C146"/>
          <cell r="D146"/>
          <cell r="E146"/>
          <cell r="F146"/>
          <cell r="G146"/>
          <cell r="H146"/>
          <cell r="I146"/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</row>
        <row r="147">
          <cell r="A147"/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  <cell r="M147"/>
          <cell r="N147"/>
          <cell r="O147"/>
          <cell r="P147"/>
          <cell r="Q147"/>
          <cell r="R147"/>
          <cell r="S147"/>
        </row>
        <row r="148">
          <cell r="A148"/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  <cell r="M148"/>
          <cell r="N148"/>
          <cell r="O148"/>
          <cell r="P148"/>
          <cell r="Q148"/>
          <cell r="R148"/>
          <cell r="S148"/>
        </row>
        <row r="149">
          <cell r="A149"/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  <cell r="M149"/>
          <cell r="N149"/>
          <cell r="O149"/>
          <cell r="P149"/>
          <cell r="Q149"/>
          <cell r="R149"/>
          <cell r="S149"/>
        </row>
        <row r="150">
          <cell r="A150"/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  <cell r="M150"/>
          <cell r="N150"/>
          <cell r="O150"/>
          <cell r="P150"/>
          <cell r="Q150"/>
          <cell r="R150"/>
          <cell r="S150"/>
        </row>
        <row r="151">
          <cell r="A151"/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  <cell r="M151"/>
          <cell r="N151"/>
          <cell r="O151"/>
          <cell r="P151"/>
          <cell r="Q151"/>
          <cell r="R151"/>
          <cell r="S151"/>
        </row>
        <row r="152">
          <cell r="A152"/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  <cell r="M152"/>
          <cell r="N152"/>
          <cell r="O152"/>
          <cell r="P152"/>
          <cell r="Q152"/>
          <cell r="R152"/>
          <cell r="S152"/>
        </row>
        <row r="153">
          <cell r="A153"/>
          <cell r="B153"/>
          <cell r="C153"/>
          <cell r="D153"/>
          <cell r="E153"/>
          <cell r="F153"/>
          <cell r="G153"/>
          <cell r="H153"/>
          <cell r="I153"/>
          <cell r="J153"/>
          <cell r="K153"/>
          <cell r="L153"/>
          <cell r="M153"/>
          <cell r="N153"/>
          <cell r="O153"/>
          <cell r="P153"/>
          <cell r="Q153"/>
          <cell r="R153"/>
          <cell r="S153"/>
        </row>
        <row r="154">
          <cell r="A154"/>
          <cell r="B154"/>
          <cell r="C154"/>
          <cell r="D154"/>
          <cell r="E154"/>
          <cell r="F154"/>
          <cell r="G154"/>
          <cell r="H154"/>
          <cell r="I154"/>
          <cell r="J154"/>
          <cell r="K154"/>
          <cell r="L154"/>
          <cell r="M154"/>
          <cell r="N154"/>
          <cell r="O154"/>
          <cell r="P154"/>
          <cell r="Q154"/>
          <cell r="R154"/>
          <cell r="S154"/>
        </row>
        <row r="155">
          <cell r="A155"/>
          <cell r="B155"/>
          <cell r="C155"/>
          <cell r="D155"/>
          <cell r="E155"/>
          <cell r="F155"/>
          <cell r="G155"/>
          <cell r="H155"/>
          <cell r="I155"/>
          <cell r="J155"/>
          <cell r="K155"/>
          <cell r="L155"/>
          <cell r="M155"/>
          <cell r="N155"/>
          <cell r="O155"/>
          <cell r="P155"/>
          <cell r="Q155"/>
          <cell r="R155"/>
          <cell r="S155"/>
        </row>
        <row r="156">
          <cell r="A156"/>
          <cell r="B156"/>
          <cell r="C156"/>
          <cell r="D156"/>
          <cell r="E156"/>
          <cell r="F156"/>
          <cell r="G156"/>
          <cell r="H156"/>
          <cell r="I156"/>
          <cell r="J156"/>
          <cell r="K156"/>
          <cell r="L156"/>
          <cell r="M156"/>
          <cell r="N156"/>
          <cell r="O156"/>
          <cell r="P156"/>
          <cell r="Q156"/>
          <cell r="R156"/>
          <cell r="S156"/>
        </row>
        <row r="157">
          <cell r="A157"/>
          <cell r="B157"/>
          <cell r="C157"/>
          <cell r="D157"/>
          <cell r="E157"/>
          <cell r="F157"/>
          <cell r="G157"/>
          <cell r="H157"/>
          <cell r="I157"/>
          <cell r="J157"/>
          <cell r="K157"/>
          <cell r="L157"/>
          <cell r="M157"/>
          <cell r="N157"/>
          <cell r="O157"/>
          <cell r="P157"/>
          <cell r="Q157"/>
          <cell r="R157"/>
          <cell r="S157"/>
        </row>
        <row r="158">
          <cell r="A158"/>
          <cell r="B158"/>
          <cell r="C158"/>
          <cell r="D158"/>
          <cell r="E158"/>
          <cell r="F158"/>
          <cell r="G158"/>
          <cell r="H158"/>
          <cell r="I158"/>
          <cell r="J158"/>
          <cell r="K158"/>
          <cell r="L158"/>
          <cell r="M158"/>
          <cell r="N158"/>
          <cell r="O158"/>
          <cell r="P158"/>
          <cell r="Q158"/>
          <cell r="R158"/>
          <cell r="S158"/>
        </row>
        <row r="159">
          <cell r="A159"/>
          <cell r="B159"/>
          <cell r="C159"/>
          <cell r="D159"/>
          <cell r="E159"/>
          <cell r="F159"/>
          <cell r="G159"/>
          <cell r="H159"/>
          <cell r="I159"/>
          <cell r="J159"/>
          <cell r="K159"/>
          <cell r="L159"/>
          <cell r="M159"/>
          <cell r="N159"/>
          <cell r="O159"/>
          <cell r="P159"/>
          <cell r="Q159"/>
          <cell r="R159"/>
          <cell r="S159"/>
        </row>
        <row r="160">
          <cell r="A160"/>
          <cell r="B160"/>
          <cell r="C160"/>
          <cell r="D160"/>
          <cell r="E160"/>
          <cell r="F160"/>
          <cell r="G160"/>
          <cell r="H160"/>
          <cell r="I160"/>
          <cell r="J160"/>
          <cell r="K160"/>
          <cell r="L160"/>
          <cell r="M160"/>
          <cell r="N160"/>
          <cell r="O160"/>
          <cell r="P160"/>
          <cell r="Q160"/>
          <cell r="R160"/>
          <cell r="S160"/>
        </row>
        <row r="161">
          <cell r="A161"/>
          <cell r="B161"/>
          <cell r="C161"/>
          <cell r="D161"/>
          <cell r="E161"/>
          <cell r="F161"/>
          <cell r="G161"/>
          <cell r="H161"/>
          <cell r="I161"/>
          <cell r="J161"/>
          <cell r="K161"/>
          <cell r="L161"/>
          <cell r="M161"/>
          <cell r="N161"/>
          <cell r="O161"/>
          <cell r="P161"/>
          <cell r="Q161"/>
          <cell r="R161"/>
          <cell r="S161"/>
        </row>
        <row r="162">
          <cell r="A162"/>
          <cell r="B162"/>
          <cell r="C162"/>
          <cell r="D162"/>
          <cell r="E162"/>
          <cell r="F162"/>
          <cell r="G162"/>
          <cell r="H162"/>
          <cell r="I162"/>
          <cell r="J162"/>
          <cell r="K162"/>
          <cell r="L162"/>
          <cell r="M162"/>
          <cell r="N162"/>
          <cell r="O162"/>
          <cell r="P162"/>
          <cell r="Q162"/>
          <cell r="R162"/>
          <cell r="S162"/>
        </row>
        <row r="163">
          <cell r="A163"/>
          <cell r="B163"/>
          <cell r="C163"/>
          <cell r="D163"/>
          <cell r="E163"/>
          <cell r="F163"/>
          <cell r="G163"/>
          <cell r="H163"/>
          <cell r="I163"/>
          <cell r="J163"/>
          <cell r="K163"/>
          <cell r="L163"/>
          <cell r="M163"/>
          <cell r="N163"/>
          <cell r="O163"/>
          <cell r="P163"/>
          <cell r="Q163"/>
          <cell r="R163"/>
          <cell r="S163"/>
        </row>
        <row r="164">
          <cell r="A164"/>
          <cell r="B164"/>
          <cell r="C164"/>
          <cell r="D164"/>
          <cell r="E164"/>
          <cell r="F164"/>
          <cell r="G164"/>
          <cell r="H164"/>
          <cell r="I164"/>
          <cell r="J164"/>
          <cell r="K164"/>
          <cell r="L164"/>
          <cell r="M164"/>
          <cell r="N164"/>
          <cell r="O164"/>
          <cell r="P164"/>
          <cell r="Q164"/>
          <cell r="R164"/>
          <cell r="S164"/>
        </row>
        <row r="165">
          <cell r="A165"/>
          <cell r="B165"/>
          <cell r="C165"/>
          <cell r="D165"/>
          <cell r="E165"/>
          <cell r="F165"/>
          <cell r="G165"/>
          <cell r="H165"/>
          <cell r="I165"/>
          <cell r="J165"/>
          <cell r="K165"/>
          <cell r="L165"/>
          <cell r="M165"/>
          <cell r="N165"/>
          <cell r="O165"/>
          <cell r="P165"/>
          <cell r="Q165"/>
          <cell r="R165"/>
          <cell r="S165"/>
        </row>
        <row r="166">
          <cell r="A166"/>
          <cell r="B166"/>
          <cell r="C166"/>
          <cell r="D166"/>
          <cell r="E166"/>
          <cell r="F166"/>
          <cell r="G166"/>
          <cell r="H166"/>
          <cell r="I166"/>
          <cell r="J166"/>
          <cell r="K166"/>
          <cell r="L166"/>
          <cell r="M166"/>
          <cell r="N166"/>
          <cell r="O166"/>
          <cell r="P166"/>
          <cell r="Q166"/>
          <cell r="R166"/>
          <cell r="S166"/>
        </row>
        <row r="167">
          <cell r="A167"/>
          <cell r="B167"/>
          <cell r="C167"/>
          <cell r="D167"/>
          <cell r="E167"/>
          <cell r="F167"/>
          <cell r="G167"/>
          <cell r="H167"/>
          <cell r="I167"/>
          <cell r="J167"/>
          <cell r="K167"/>
          <cell r="L167"/>
          <cell r="M167"/>
          <cell r="N167"/>
          <cell r="O167"/>
          <cell r="P167"/>
          <cell r="Q167"/>
          <cell r="R167"/>
          <cell r="S167"/>
        </row>
        <row r="168">
          <cell r="A168"/>
          <cell r="B168"/>
          <cell r="C168"/>
          <cell r="D168"/>
          <cell r="E168"/>
          <cell r="F168"/>
          <cell r="G168"/>
          <cell r="H168"/>
          <cell r="I168"/>
          <cell r="J168"/>
          <cell r="K168"/>
          <cell r="L168"/>
          <cell r="M168"/>
          <cell r="N168"/>
          <cell r="O168"/>
          <cell r="P168"/>
          <cell r="Q168"/>
          <cell r="R168"/>
          <cell r="S168"/>
        </row>
        <row r="169">
          <cell r="A169"/>
          <cell r="B169"/>
          <cell r="C169"/>
          <cell r="D169"/>
          <cell r="E169"/>
          <cell r="F169"/>
          <cell r="G169"/>
          <cell r="H169"/>
          <cell r="I169"/>
          <cell r="J169"/>
          <cell r="K169"/>
          <cell r="L169"/>
          <cell r="M169"/>
          <cell r="N169"/>
          <cell r="O169"/>
          <cell r="P169"/>
          <cell r="Q169"/>
          <cell r="R169"/>
          <cell r="S169"/>
        </row>
        <row r="170">
          <cell r="A170"/>
          <cell r="B170"/>
          <cell r="C170"/>
          <cell r="D170"/>
          <cell r="E170"/>
          <cell r="F170"/>
          <cell r="G170"/>
          <cell r="H170"/>
          <cell r="I170"/>
          <cell r="J170"/>
          <cell r="K170"/>
          <cell r="L170"/>
          <cell r="M170"/>
          <cell r="N170"/>
          <cell r="O170"/>
          <cell r="P170"/>
          <cell r="Q170"/>
          <cell r="R170"/>
          <cell r="S170"/>
        </row>
        <row r="171">
          <cell r="A171"/>
          <cell r="B171"/>
          <cell r="C171"/>
          <cell r="D171"/>
          <cell r="E171"/>
          <cell r="F171"/>
          <cell r="G171"/>
          <cell r="H171"/>
          <cell r="I171"/>
          <cell r="J171"/>
          <cell r="K171"/>
          <cell r="L171"/>
          <cell r="M171"/>
          <cell r="N171"/>
          <cell r="O171"/>
          <cell r="P171"/>
          <cell r="Q171"/>
          <cell r="R171"/>
          <cell r="S171"/>
        </row>
        <row r="172">
          <cell r="A172"/>
          <cell r="B172"/>
          <cell r="C172"/>
          <cell r="D172"/>
          <cell r="E172"/>
          <cell r="F172"/>
          <cell r="G172"/>
          <cell r="H172"/>
          <cell r="I172"/>
          <cell r="J172"/>
          <cell r="K172"/>
          <cell r="L172"/>
          <cell r="M172"/>
          <cell r="N172"/>
          <cell r="O172"/>
          <cell r="P172"/>
          <cell r="Q172"/>
          <cell r="R172"/>
          <cell r="S172"/>
        </row>
        <row r="173">
          <cell r="A173"/>
          <cell r="B173"/>
          <cell r="C173"/>
          <cell r="D173"/>
          <cell r="E173"/>
          <cell r="F173"/>
          <cell r="G173"/>
          <cell r="H173"/>
          <cell r="I173"/>
          <cell r="J173"/>
          <cell r="K173"/>
          <cell r="L173"/>
          <cell r="M173"/>
          <cell r="N173"/>
          <cell r="O173"/>
          <cell r="P173"/>
          <cell r="Q173"/>
          <cell r="R173"/>
          <cell r="S173"/>
        </row>
        <row r="174">
          <cell r="A174"/>
          <cell r="B174"/>
          <cell r="C174"/>
          <cell r="D174"/>
          <cell r="E174"/>
          <cell r="F174"/>
          <cell r="G174"/>
          <cell r="H174"/>
          <cell r="I174"/>
          <cell r="J174"/>
          <cell r="K174"/>
          <cell r="L174"/>
          <cell r="M174"/>
          <cell r="N174"/>
          <cell r="O174"/>
          <cell r="P174"/>
          <cell r="Q174"/>
          <cell r="R174"/>
          <cell r="S174"/>
        </row>
        <row r="175">
          <cell r="A175"/>
          <cell r="B175"/>
          <cell r="C175"/>
          <cell r="D175"/>
          <cell r="E175"/>
          <cell r="F175"/>
          <cell r="G175"/>
          <cell r="H175"/>
          <cell r="I175"/>
          <cell r="J175"/>
          <cell r="K175"/>
          <cell r="L175"/>
          <cell r="M175"/>
          <cell r="N175"/>
          <cell r="O175"/>
          <cell r="P175"/>
          <cell r="Q175"/>
          <cell r="R175"/>
          <cell r="S175"/>
        </row>
        <row r="176">
          <cell r="A176"/>
          <cell r="B176"/>
          <cell r="C176"/>
          <cell r="D176"/>
          <cell r="E176"/>
          <cell r="F176"/>
          <cell r="G176"/>
          <cell r="H176"/>
          <cell r="I176"/>
          <cell r="J176"/>
          <cell r="K176"/>
          <cell r="L176"/>
          <cell r="M176"/>
          <cell r="N176"/>
          <cell r="O176"/>
          <cell r="P176"/>
          <cell r="Q176"/>
          <cell r="R176"/>
          <cell r="S176"/>
        </row>
        <row r="177">
          <cell r="A177"/>
          <cell r="B177"/>
          <cell r="C177"/>
          <cell r="D177"/>
          <cell r="E177"/>
          <cell r="F177"/>
          <cell r="G177"/>
          <cell r="H177"/>
          <cell r="I177"/>
          <cell r="J177"/>
          <cell r="K177"/>
          <cell r="L177"/>
          <cell r="M177"/>
          <cell r="N177"/>
          <cell r="O177"/>
          <cell r="P177"/>
          <cell r="Q177"/>
          <cell r="R177"/>
          <cell r="S177"/>
        </row>
        <row r="178">
          <cell r="A178"/>
          <cell r="B178"/>
          <cell r="C178"/>
          <cell r="D178"/>
          <cell r="E178"/>
          <cell r="F178"/>
          <cell r="G178"/>
          <cell r="H178"/>
          <cell r="I178"/>
          <cell r="J178"/>
          <cell r="K178"/>
          <cell r="L178"/>
          <cell r="M178"/>
          <cell r="N178"/>
          <cell r="O178"/>
          <cell r="P178"/>
          <cell r="Q178"/>
          <cell r="R178"/>
          <cell r="S178"/>
        </row>
        <row r="179">
          <cell r="A179"/>
          <cell r="B179"/>
          <cell r="C179"/>
          <cell r="D179"/>
          <cell r="E179"/>
          <cell r="F179"/>
          <cell r="G179"/>
          <cell r="H179"/>
          <cell r="I179"/>
          <cell r="J179"/>
          <cell r="K179"/>
          <cell r="L179"/>
          <cell r="M179"/>
          <cell r="N179"/>
          <cell r="O179"/>
          <cell r="P179"/>
          <cell r="Q179"/>
          <cell r="R179"/>
          <cell r="S179"/>
        </row>
        <row r="180">
          <cell r="A180"/>
          <cell r="B180"/>
          <cell r="C180"/>
          <cell r="D180"/>
          <cell r="E180"/>
          <cell r="F180"/>
          <cell r="G180"/>
          <cell r="H180"/>
          <cell r="I180"/>
          <cell r="J180"/>
          <cell r="K180"/>
          <cell r="L180"/>
          <cell r="M180"/>
          <cell r="N180"/>
          <cell r="O180"/>
          <cell r="P180"/>
          <cell r="Q180"/>
          <cell r="R180"/>
          <cell r="S180"/>
        </row>
        <row r="181">
          <cell r="A181"/>
          <cell r="B181"/>
          <cell r="C181"/>
          <cell r="D181"/>
          <cell r="E181"/>
          <cell r="F181"/>
          <cell r="G181"/>
          <cell r="H181"/>
          <cell r="I181"/>
          <cell r="J181"/>
          <cell r="K181"/>
          <cell r="L181"/>
          <cell r="M181"/>
          <cell r="N181"/>
          <cell r="O181"/>
          <cell r="P181"/>
          <cell r="Q181"/>
          <cell r="R181"/>
          <cell r="S181"/>
        </row>
        <row r="182">
          <cell r="A182"/>
          <cell r="B182"/>
          <cell r="C182"/>
          <cell r="D182"/>
          <cell r="E182"/>
          <cell r="F182"/>
          <cell r="G182"/>
          <cell r="H182"/>
          <cell r="I182"/>
          <cell r="J182"/>
          <cell r="K182"/>
          <cell r="L182"/>
          <cell r="M182"/>
          <cell r="N182"/>
          <cell r="O182"/>
          <cell r="P182"/>
          <cell r="Q182"/>
          <cell r="R182"/>
          <cell r="S182"/>
        </row>
        <row r="183">
          <cell r="A183"/>
          <cell r="B183"/>
          <cell r="C183"/>
          <cell r="D183"/>
          <cell r="E183"/>
          <cell r="F183"/>
          <cell r="G183"/>
          <cell r="H183"/>
          <cell r="I183"/>
          <cell r="J183"/>
          <cell r="K183"/>
          <cell r="L183"/>
          <cell r="M183"/>
          <cell r="N183"/>
          <cell r="O183"/>
          <cell r="P183"/>
          <cell r="Q183"/>
          <cell r="R183"/>
          <cell r="S183"/>
        </row>
        <row r="184">
          <cell r="A184"/>
          <cell r="B184"/>
          <cell r="C184"/>
          <cell r="D184"/>
          <cell r="E184"/>
          <cell r="F184"/>
          <cell r="G184"/>
          <cell r="H184"/>
          <cell r="I184"/>
          <cell r="J184"/>
          <cell r="K184"/>
          <cell r="L184"/>
          <cell r="M184"/>
          <cell r="N184"/>
          <cell r="O184"/>
          <cell r="P184"/>
          <cell r="Q184"/>
          <cell r="R184"/>
          <cell r="S184"/>
        </row>
        <row r="185">
          <cell r="A185"/>
          <cell r="B185"/>
          <cell r="C185"/>
          <cell r="D185"/>
          <cell r="E185"/>
          <cell r="F185"/>
          <cell r="G185"/>
          <cell r="H185"/>
          <cell r="I185"/>
          <cell r="J185"/>
          <cell r="K185"/>
          <cell r="L185"/>
          <cell r="M185"/>
          <cell r="N185"/>
          <cell r="O185"/>
          <cell r="P185"/>
          <cell r="Q185"/>
          <cell r="R185"/>
          <cell r="S185"/>
        </row>
        <row r="186">
          <cell r="A186"/>
          <cell r="B186"/>
          <cell r="C186"/>
          <cell r="D186"/>
          <cell r="E186"/>
          <cell r="F186"/>
          <cell r="G186"/>
          <cell r="H186"/>
          <cell r="I186"/>
          <cell r="J186"/>
          <cell r="K186"/>
          <cell r="L186"/>
          <cell r="M186"/>
          <cell r="N186"/>
          <cell r="O186"/>
          <cell r="P186"/>
          <cell r="Q186"/>
          <cell r="R186"/>
          <cell r="S186"/>
        </row>
        <row r="187">
          <cell r="A187"/>
          <cell r="B187"/>
          <cell r="C187"/>
          <cell r="D187"/>
          <cell r="E187"/>
          <cell r="F187"/>
          <cell r="G187"/>
          <cell r="H187"/>
          <cell r="I187"/>
          <cell r="J187"/>
          <cell r="K187"/>
          <cell r="L187"/>
          <cell r="M187"/>
          <cell r="N187"/>
          <cell r="O187"/>
          <cell r="P187"/>
          <cell r="Q187"/>
          <cell r="R187"/>
          <cell r="S187"/>
        </row>
        <row r="188">
          <cell r="A188"/>
          <cell r="B188"/>
          <cell r="C188"/>
          <cell r="D188"/>
          <cell r="E188"/>
          <cell r="F188"/>
          <cell r="G188"/>
          <cell r="H188"/>
          <cell r="I188"/>
          <cell r="J188"/>
          <cell r="K188"/>
          <cell r="L188"/>
          <cell r="M188"/>
          <cell r="N188"/>
          <cell r="O188"/>
          <cell r="P188"/>
          <cell r="Q188"/>
          <cell r="R188"/>
          <cell r="S188"/>
        </row>
        <row r="189">
          <cell r="A189"/>
          <cell r="B189"/>
          <cell r="C189"/>
          <cell r="D189"/>
          <cell r="E189"/>
          <cell r="F189"/>
          <cell r="G189"/>
          <cell r="H189"/>
          <cell r="I189"/>
          <cell r="J189"/>
          <cell r="K189"/>
          <cell r="L189"/>
          <cell r="M189"/>
          <cell r="N189"/>
          <cell r="O189"/>
          <cell r="P189"/>
          <cell r="Q189"/>
          <cell r="R189"/>
          <cell r="S189"/>
        </row>
        <row r="190">
          <cell r="A190"/>
          <cell r="B190"/>
          <cell r="C190"/>
          <cell r="D190"/>
          <cell r="E190"/>
          <cell r="F190"/>
          <cell r="G190"/>
          <cell r="H190"/>
          <cell r="I190"/>
          <cell r="J190"/>
          <cell r="K190"/>
          <cell r="L190"/>
          <cell r="M190"/>
          <cell r="N190"/>
          <cell r="O190"/>
          <cell r="P190"/>
          <cell r="Q190"/>
          <cell r="R190"/>
          <cell r="S190"/>
        </row>
        <row r="191">
          <cell r="A191"/>
          <cell r="B191"/>
          <cell r="C191"/>
          <cell r="D191"/>
          <cell r="E191"/>
          <cell r="F191"/>
          <cell r="G191"/>
          <cell r="H191"/>
          <cell r="I191"/>
          <cell r="J191"/>
          <cell r="K191"/>
          <cell r="L191"/>
          <cell r="M191"/>
          <cell r="N191"/>
          <cell r="O191"/>
          <cell r="P191"/>
          <cell r="Q191"/>
          <cell r="R191"/>
          <cell r="S191"/>
        </row>
        <row r="192">
          <cell r="A192"/>
          <cell r="B192"/>
          <cell r="C192"/>
          <cell r="D192"/>
          <cell r="E192"/>
          <cell r="F192"/>
          <cell r="G192"/>
          <cell r="H192"/>
          <cell r="I192"/>
          <cell r="J192"/>
          <cell r="K192"/>
          <cell r="L192"/>
          <cell r="M192"/>
          <cell r="N192"/>
          <cell r="O192"/>
          <cell r="P192"/>
          <cell r="Q192"/>
          <cell r="R192"/>
          <cell r="S192"/>
        </row>
        <row r="193">
          <cell r="A193"/>
          <cell r="B193"/>
          <cell r="C193"/>
          <cell r="D193"/>
          <cell r="E193"/>
          <cell r="F193"/>
          <cell r="G193"/>
          <cell r="H193"/>
          <cell r="I193"/>
          <cell r="J193"/>
          <cell r="K193"/>
          <cell r="L193"/>
          <cell r="M193"/>
          <cell r="N193"/>
          <cell r="O193"/>
          <cell r="P193"/>
          <cell r="Q193"/>
          <cell r="R193"/>
          <cell r="S193"/>
        </row>
        <row r="194">
          <cell r="A194"/>
          <cell r="B194"/>
          <cell r="C194"/>
          <cell r="D194"/>
          <cell r="E194"/>
          <cell r="F194"/>
          <cell r="G194"/>
          <cell r="H194"/>
          <cell r="I194"/>
          <cell r="J194"/>
          <cell r="K194"/>
          <cell r="L194"/>
          <cell r="M194"/>
          <cell r="N194"/>
          <cell r="O194"/>
          <cell r="P194"/>
          <cell r="Q194"/>
          <cell r="R194"/>
          <cell r="S194"/>
        </row>
        <row r="195">
          <cell r="A195"/>
          <cell r="B195"/>
          <cell r="C195"/>
          <cell r="D195"/>
          <cell r="E195"/>
          <cell r="F195"/>
          <cell r="G195"/>
          <cell r="H195"/>
          <cell r="I195"/>
          <cell r="J195"/>
          <cell r="K195"/>
          <cell r="L195"/>
          <cell r="M195"/>
          <cell r="N195"/>
          <cell r="O195"/>
          <cell r="P195"/>
          <cell r="Q195"/>
          <cell r="R195"/>
          <cell r="S195"/>
        </row>
        <row r="196">
          <cell r="A196"/>
          <cell r="B196"/>
          <cell r="C196"/>
          <cell r="D196"/>
          <cell r="E196"/>
          <cell r="F196"/>
          <cell r="G196"/>
          <cell r="H196"/>
          <cell r="I196"/>
          <cell r="J196"/>
          <cell r="K196"/>
          <cell r="L196"/>
          <cell r="M196"/>
          <cell r="N196"/>
          <cell r="O196"/>
          <cell r="P196"/>
          <cell r="Q196"/>
          <cell r="R196"/>
          <cell r="S196"/>
        </row>
        <row r="197">
          <cell r="A197"/>
          <cell r="B197"/>
          <cell r="C197"/>
          <cell r="D197"/>
          <cell r="E197"/>
          <cell r="F197"/>
          <cell r="G197"/>
          <cell r="H197"/>
          <cell r="I197"/>
          <cell r="J197"/>
          <cell r="K197"/>
          <cell r="L197"/>
          <cell r="M197"/>
          <cell r="N197"/>
          <cell r="O197"/>
          <cell r="P197"/>
          <cell r="Q197"/>
          <cell r="R197"/>
          <cell r="S197"/>
        </row>
        <row r="198">
          <cell r="A198"/>
          <cell r="B198"/>
          <cell r="C198"/>
          <cell r="D198"/>
          <cell r="E198"/>
          <cell r="F198"/>
          <cell r="G198"/>
          <cell r="H198"/>
          <cell r="I198"/>
          <cell r="J198"/>
          <cell r="K198"/>
          <cell r="L198"/>
          <cell r="M198"/>
          <cell r="N198"/>
          <cell r="O198"/>
          <cell r="P198"/>
          <cell r="Q198"/>
          <cell r="R198"/>
          <cell r="S198"/>
        </row>
        <row r="199">
          <cell r="A199"/>
          <cell r="B199"/>
          <cell r="C199"/>
          <cell r="D199"/>
          <cell r="E199"/>
          <cell r="F199"/>
          <cell r="G199"/>
          <cell r="H199"/>
          <cell r="I199"/>
          <cell r="J199"/>
          <cell r="K199"/>
          <cell r="L199"/>
          <cell r="M199"/>
          <cell r="N199"/>
          <cell r="O199"/>
          <cell r="P199"/>
          <cell r="Q199"/>
          <cell r="R199"/>
          <cell r="S199"/>
        </row>
        <row r="200">
          <cell r="A200"/>
          <cell r="B200"/>
          <cell r="C200"/>
          <cell r="D200"/>
          <cell r="E200"/>
          <cell r="F200"/>
          <cell r="G200"/>
          <cell r="H200"/>
          <cell r="I200"/>
          <cell r="J200"/>
          <cell r="K200"/>
          <cell r="L200"/>
          <cell r="M200"/>
          <cell r="N200"/>
          <cell r="O200"/>
          <cell r="P200"/>
          <cell r="Q200"/>
          <cell r="R200"/>
          <cell r="S200"/>
        </row>
        <row r="201">
          <cell r="A201"/>
          <cell r="B201"/>
          <cell r="C201"/>
          <cell r="D201"/>
          <cell r="E201"/>
          <cell r="F201"/>
          <cell r="G201"/>
          <cell r="H201"/>
          <cell r="I201"/>
          <cell r="J201"/>
          <cell r="K201"/>
          <cell r="L201"/>
          <cell r="M201"/>
          <cell r="N201"/>
          <cell r="O201"/>
          <cell r="P201"/>
          <cell r="Q201"/>
          <cell r="R201"/>
          <cell r="S201"/>
        </row>
        <row r="202">
          <cell r="A202"/>
          <cell r="B202"/>
          <cell r="C202"/>
          <cell r="D202"/>
          <cell r="E202"/>
          <cell r="F202"/>
          <cell r="G202"/>
          <cell r="H202"/>
          <cell r="I202"/>
          <cell r="J202"/>
          <cell r="K202"/>
          <cell r="L202"/>
          <cell r="M202"/>
          <cell r="N202"/>
          <cell r="O202"/>
          <cell r="P202"/>
          <cell r="Q202"/>
          <cell r="R202"/>
          <cell r="S202"/>
        </row>
        <row r="203">
          <cell r="A203"/>
          <cell r="B203"/>
          <cell r="C203"/>
          <cell r="D203"/>
          <cell r="E203"/>
          <cell r="F203"/>
          <cell r="G203"/>
          <cell r="H203"/>
          <cell r="I203"/>
          <cell r="J203"/>
          <cell r="K203"/>
          <cell r="L203"/>
          <cell r="M203"/>
          <cell r="N203"/>
          <cell r="O203"/>
          <cell r="P203"/>
          <cell r="Q203"/>
          <cell r="R203"/>
          <cell r="S203"/>
        </row>
        <row r="204">
          <cell r="A204"/>
          <cell r="B204"/>
          <cell r="C204"/>
          <cell r="D204"/>
          <cell r="E204"/>
          <cell r="F204"/>
          <cell r="G204"/>
          <cell r="H204"/>
          <cell r="I204"/>
          <cell r="J204"/>
          <cell r="K204"/>
          <cell r="L204"/>
          <cell r="M204"/>
          <cell r="N204"/>
          <cell r="O204"/>
          <cell r="P204"/>
          <cell r="Q204"/>
          <cell r="R204"/>
          <cell r="S204"/>
        </row>
        <row r="205">
          <cell r="A205"/>
          <cell r="B205"/>
          <cell r="C205"/>
          <cell r="D205"/>
          <cell r="E205"/>
          <cell r="F205"/>
          <cell r="G205"/>
          <cell r="H205"/>
          <cell r="I205"/>
          <cell r="J205"/>
          <cell r="K205"/>
          <cell r="L205"/>
          <cell r="M205"/>
          <cell r="N205"/>
          <cell r="O205"/>
          <cell r="P205"/>
          <cell r="Q205"/>
          <cell r="R205"/>
          <cell r="S205"/>
        </row>
        <row r="206">
          <cell r="A206"/>
          <cell r="B206"/>
          <cell r="C206"/>
          <cell r="D206"/>
          <cell r="E206"/>
          <cell r="F206"/>
          <cell r="G206"/>
          <cell r="H206"/>
          <cell r="I206"/>
          <cell r="J206"/>
          <cell r="K206"/>
          <cell r="L206"/>
          <cell r="M206"/>
          <cell r="N206"/>
          <cell r="O206"/>
          <cell r="P206"/>
          <cell r="Q206"/>
          <cell r="R206"/>
          <cell r="S206"/>
        </row>
        <row r="207">
          <cell r="A207"/>
          <cell r="B207"/>
          <cell r="C207"/>
          <cell r="D207"/>
          <cell r="E207"/>
          <cell r="F207"/>
          <cell r="G207"/>
          <cell r="H207"/>
          <cell r="I207"/>
          <cell r="J207"/>
          <cell r="K207"/>
          <cell r="L207"/>
          <cell r="M207"/>
          <cell r="N207"/>
          <cell r="O207"/>
          <cell r="P207"/>
          <cell r="Q207"/>
          <cell r="R207"/>
          <cell r="S207"/>
        </row>
        <row r="208">
          <cell r="A208"/>
          <cell r="B208"/>
          <cell r="C208"/>
          <cell r="D208"/>
          <cell r="E208"/>
          <cell r="F208"/>
          <cell r="G208"/>
          <cell r="H208"/>
          <cell r="I208"/>
          <cell r="J208"/>
          <cell r="K208"/>
          <cell r="L208"/>
          <cell r="M208"/>
          <cell r="N208"/>
          <cell r="O208"/>
          <cell r="P208"/>
          <cell r="Q208"/>
          <cell r="R208"/>
          <cell r="S208"/>
        </row>
        <row r="209">
          <cell r="A209"/>
          <cell r="B209"/>
          <cell r="C209"/>
          <cell r="D209"/>
          <cell r="E209"/>
          <cell r="F209"/>
          <cell r="G209"/>
          <cell r="H209"/>
          <cell r="I209"/>
          <cell r="J209"/>
          <cell r="K209"/>
          <cell r="L209"/>
          <cell r="M209"/>
          <cell r="N209"/>
          <cell r="O209"/>
          <cell r="P209"/>
          <cell r="Q209"/>
          <cell r="R209"/>
          <cell r="S209"/>
        </row>
        <row r="210">
          <cell r="A210"/>
          <cell r="B210"/>
          <cell r="C210"/>
          <cell r="D210"/>
          <cell r="E210"/>
          <cell r="F210"/>
          <cell r="G210"/>
          <cell r="H210"/>
          <cell r="I210"/>
          <cell r="J210"/>
          <cell r="K210"/>
          <cell r="L210"/>
          <cell r="M210"/>
          <cell r="N210"/>
          <cell r="O210"/>
          <cell r="P210"/>
          <cell r="Q210"/>
          <cell r="R210"/>
          <cell r="S210"/>
        </row>
        <row r="211">
          <cell r="A211"/>
          <cell r="B211"/>
          <cell r="C211"/>
          <cell r="D211"/>
          <cell r="E211"/>
          <cell r="F211"/>
          <cell r="G211"/>
          <cell r="H211"/>
          <cell r="I211"/>
          <cell r="J211"/>
          <cell r="K211"/>
          <cell r="L211"/>
          <cell r="M211"/>
          <cell r="N211"/>
          <cell r="O211"/>
          <cell r="P211"/>
          <cell r="Q211"/>
          <cell r="R211"/>
          <cell r="S211"/>
        </row>
        <row r="212">
          <cell r="A212"/>
          <cell r="B212"/>
          <cell r="C212"/>
          <cell r="D212"/>
          <cell r="E212"/>
          <cell r="F212"/>
          <cell r="G212"/>
          <cell r="H212"/>
          <cell r="I212"/>
          <cell r="J212"/>
          <cell r="K212"/>
          <cell r="L212"/>
          <cell r="M212"/>
          <cell r="N212"/>
          <cell r="O212"/>
          <cell r="P212"/>
          <cell r="Q212"/>
          <cell r="R212"/>
          <cell r="S212"/>
        </row>
        <row r="213">
          <cell r="A213"/>
          <cell r="B213"/>
          <cell r="C213"/>
          <cell r="D213"/>
          <cell r="E213"/>
          <cell r="F213"/>
          <cell r="G213"/>
          <cell r="H213"/>
          <cell r="I213"/>
          <cell r="J213"/>
          <cell r="K213"/>
          <cell r="L213"/>
          <cell r="M213"/>
          <cell r="N213"/>
          <cell r="O213"/>
          <cell r="P213"/>
          <cell r="Q213"/>
          <cell r="R213"/>
          <cell r="S213"/>
        </row>
        <row r="214">
          <cell r="A214"/>
          <cell r="B214"/>
          <cell r="C214"/>
          <cell r="D214"/>
          <cell r="E214"/>
          <cell r="F214"/>
          <cell r="G214"/>
          <cell r="H214"/>
          <cell r="I214"/>
          <cell r="J214"/>
          <cell r="K214"/>
          <cell r="L214"/>
          <cell r="M214"/>
          <cell r="N214"/>
          <cell r="O214"/>
          <cell r="P214"/>
          <cell r="Q214"/>
          <cell r="R214"/>
          <cell r="S214"/>
        </row>
        <row r="215">
          <cell r="A215"/>
          <cell r="B215"/>
          <cell r="C215"/>
          <cell r="D215"/>
          <cell r="E215"/>
          <cell r="F215"/>
          <cell r="G215"/>
          <cell r="H215"/>
          <cell r="I215"/>
          <cell r="J215"/>
          <cell r="K215"/>
          <cell r="L215"/>
          <cell r="M215"/>
          <cell r="N215"/>
          <cell r="O215"/>
          <cell r="P215"/>
          <cell r="Q215"/>
          <cell r="R215"/>
          <cell r="S215"/>
        </row>
        <row r="216">
          <cell r="A216"/>
          <cell r="B216"/>
          <cell r="C216"/>
          <cell r="D216"/>
          <cell r="E216"/>
          <cell r="F216"/>
          <cell r="G216"/>
          <cell r="H216"/>
          <cell r="I216"/>
          <cell r="J216"/>
          <cell r="K216"/>
          <cell r="L216"/>
          <cell r="M216"/>
          <cell r="N216"/>
          <cell r="O216"/>
          <cell r="P216"/>
          <cell r="Q216"/>
          <cell r="R216"/>
          <cell r="S216"/>
        </row>
        <row r="217">
          <cell r="A217"/>
          <cell r="B217"/>
          <cell r="C217"/>
          <cell r="D217"/>
          <cell r="E217"/>
          <cell r="F217"/>
          <cell r="G217"/>
          <cell r="H217"/>
          <cell r="I217"/>
          <cell r="J217"/>
          <cell r="K217"/>
          <cell r="L217"/>
          <cell r="M217"/>
          <cell r="N217"/>
          <cell r="O217"/>
          <cell r="P217"/>
          <cell r="Q217"/>
          <cell r="R217"/>
          <cell r="S217"/>
        </row>
        <row r="218">
          <cell r="A218"/>
          <cell r="B218"/>
          <cell r="C218"/>
          <cell r="D218"/>
          <cell r="E218"/>
          <cell r="F218"/>
          <cell r="G218"/>
          <cell r="H218"/>
          <cell r="I218"/>
          <cell r="J218"/>
          <cell r="K218"/>
          <cell r="L218"/>
          <cell r="M218"/>
          <cell r="N218"/>
          <cell r="O218"/>
          <cell r="P218"/>
          <cell r="Q218"/>
          <cell r="R218"/>
          <cell r="S218"/>
        </row>
        <row r="219">
          <cell r="A219"/>
          <cell r="B219"/>
          <cell r="C219"/>
          <cell r="D219"/>
          <cell r="E219"/>
          <cell r="F219"/>
          <cell r="G219"/>
          <cell r="H219"/>
          <cell r="I219"/>
          <cell r="J219"/>
          <cell r="K219"/>
          <cell r="L219"/>
          <cell r="M219"/>
          <cell r="N219"/>
          <cell r="O219"/>
          <cell r="P219"/>
          <cell r="Q219"/>
          <cell r="R219"/>
          <cell r="S219"/>
        </row>
        <row r="220">
          <cell r="A220"/>
          <cell r="B220"/>
          <cell r="C220"/>
          <cell r="D220"/>
          <cell r="E220"/>
          <cell r="F220"/>
          <cell r="G220"/>
          <cell r="H220"/>
          <cell r="I220"/>
          <cell r="J220"/>
          <cell r="K220"/>
          <cell r="L220"/>
          <cell r="M220"/>
          <cell r="N220"/>
          <cell r="O220"/>
          <cell r="P220"/>
          <cell r="Q220"/>
          <cell r="R220"/>
          <cell r="S220"/>
        </row>
        <row r="221">
          <cell r="A221"/>
          <cell r="B221"/>
          <cell r="C221"/>
          <cell r="D221"/>
          <cell r="E221"/>
          <cell r="F221"/>
          <cell r="G221"/>
          <cell r="H221"/>
          <cell r="I221"/>
          <cell r="J221"/>
          <cell r="K221"/>
          <cell r="L221"/>
          <cell r="M221"/>
          <cell r="N221"/>
          <cell r="O221"/>
          <cell r="P221"/>
          <cell r="Q221"/>
          <cell r="R221"/>
          <cell r="S221"/>
        </row>
        <row r="222">
          <cell r="A222"/>
          <cell r="B222"/>
          <cell r="C222"/>
          <cell r="D222"/>
          <cell r="E222"/>
          <cell r="F222"/>
          <cell r="G222"/>
          <cell r="H222"/>
          <cell r="I222"/>
          <cell r="J222"/>
          <cell r="K222"/>
          <cell r="L222"/>
          <cell r="M222"/>
          <cell r="N222"/>
          <cell r="O222"/>
          <cell r="P222"/>
          <cell r="Q222"/>
          <cell r="R222"/>
          <cell r="S222"/>
        </row>
        <row r="223">
          <cell r="A223"/>
          <cell r="B223"/>
          <cell r="C223"/>
          <cell r="D223"/>
          <cell r="E223"/>
          <cell r="F223"/>
          <cell r="G223"/>
          <cell r="H223"/>
          <cell r="I223"/>
          <cell r="J223"/>
          <cell r="K223"/>
          <cell r="L223"/>
          <cell r="M223"/>
          <cell r="N223"/>
          <cell r="O223"/>
          <cell r="P223"/>
          <cell r="Q223"/>
          <cell r="R223"/>
          <cell r="S223"/>
        </row>
        <row r="224">
          <cell r="A224"/>
          <cell r="B224"/>
          <cell r="C224"/>
          <cell r="D224"/>
          <cell r="E224"/>
          <cell r="F224"/>
          <cell r="G224"/>
          <cell r="H224"/>
          <cell r="I224"/>
          <cell r="J224"/>
          <cell r="K224"/>
          <cell r="L224"/>
          <cell r="M224"/>
          <cell r="N224"/>
          <cell r="O224"/>
          <cell r="P224"/>
          <cell r="Q224"/>
          <cell r="R224"/>
          <cell r="S224"/>
        </row>
        <row r="225">
          <cell r="A225"/>
          <cell r="B225"/>
          <cell r="C225"/>
          <cell r="D225"/>
          <cell r="E225"/>
          <cell r="F225"/>
          <cell r="G225"/>
          <cell r="H225"/>
          <cell r="I225"/>
          <cell r="J225"/>
          <cell r="K225"/>
          <cell r="L225"/>
          <cell r="M225"/>
          <cell r="N225"/>
          <cell r="O225"/>
          <cell r="P225"/>
          <cell r="Q225"/>
          <cell r="R225"/>
          <cell r="S225"/>
        </row>
        <row r="226">
          <cell r="A226"/>
          <cell r="B226"/>
          <cell r="C226"/>
          <cell r="D226"/>
          <cell r="E226"/>
          <cell r="F226"/>
          <cell r="G226"/>
          <cell r="H226"/>
          <cell r="I226"/>
          <cell r="J226"/>
          <cell r="K226"/>
          <cell r="L226"/>
          <cell r="M226"/>
          <cell r="N226"/>
          <cell r="O226"/>
          <cell r="P226"/>
          <cell r="Q226"/>
          <cell r="R226"/>
          <cell r="S226"/>
        </row>
        <row r="227">
          <cell r="A227"/>
          <cell r="B227"/>
          <cell r="C227"/>
          <cell r="D227"/>
          <cell r="E227"/>
          <cell r="F227"/>
          <cell r="G227"/>
          <cell r="H227"/>
          <cell r="I227"/>
          <cell r="J227"/>
          <cell r="K227"/>
          <cell r="L227"/>
          <cell r="M227"/>
          <cell r="N227"/>
          <cell r="O227"/>
          <cell r="P227"/>
          <cell r="Q227"/>
          <cell r="R227"/>
          <cell r="S227"/>
        </row>
        <row r="228">
          <cell r="A228"/>
          <cell r="B228"/>
          <cell r="C228"/>
          <cell r="D228"/>
          <cell r="E228"/>
          <cell r="F228"/>
          <cell r="G228"/>
          <cell r="H228"/>
          <cell r="I228"/>
          <cell r="J228"/>
          <cell r="K228"/>
          <cell r="L228"/>
          <cell r="M228"/>
          <cell r="N228"/>
          <cell r="O228"/>
          <cell r="P228"/>
          <cell r="Q228"/>
          <cell r="R228"/>
          <cell r="S228"/>
        </row>
        <row r="229">
          <cell r="A229"/>
          <cell r="B229"/>
          <cell r="C229"/>
          <cell r="D229"/>
          <cell r="E229"/>
          <cell r="F229"/>
          <cell r="G229"/>
          <cell r="H229"/>
          <cell r="I229"/>
          <cell r="J229"/>
          <cell r="K229"/>
          <cell r="L229"/>
          <cell r="M229"/>
          <cell r="N229"/>
          <cell r="O229"/>
          <cell r="P229"/>
          <cell r="Q229"/>
          <cell r="R229"/>
          <cell r="S229"/>
        </row>
        <row r="230">
          <cell r="A230"/>
          <cell r="B230"/>
          <cell r="C230"/>
          <cell r="D230"/>
          <cell r="E230"/>
          <cell r="F230"/>
          <cell r="G230"/>
          <cell r="H230"/>
          <cell r="I230"/>
          <cell r="J230"/>
          <cell r="K230"/>
          <cell r="L230"/>
          <cell r="M230"/>
          <cell r="N230"/>
          <cell r="O230"/>
          <cell r="P230"/>
          <cell r="Q230"/>
          <cell r="R230"/>
          <cell r="S230"/>
        </row>
        <row r="231">
          <cell r="A231"/>
          <cell r="B231"/>
          <cell r="C231"/>
          <cell r="D231"/>
          <cell r="E231"/>
          <cell r="F231"/>
          <cell r="G231"/>
          <cell r="H231"/>
          <cell r="I231"/>
          <cell r="J231"/>
          <cell r="K231"/>
          <cell r="L231"/>
          <cell r="M231"/>
          <cell r="N231"/>
          <cell r="O231"/>
          <cell r="P231"/>
          <cell r="Q231"/>
          <cell r="R231"/>
          <cell r="S231"/>
        </row>
        <row r="232">
          <cell r="A232"/>
          <cell r="B232"/>
          <cell r="C232"/>
          <cell r="D232"/>
          <cell r="E232"/>
          <cell r="F232"/>
          <cell r="G232"/>
          <cell r="H232"/>
          <cell r="I232"/>
          <cell r="J232"/>
          <cell r="K232"/>
          <cell r="L232"/>
          <cell r="M232"/>
          <cell r="N232"/>
          <cell r="O232"/>
          <cell r="P232"/>
          <cell r="Q232"/>
          <cell r="R232"/>
          <cell r="S232"/>
        </row>
        <row r="233">
          <cell r="A233"/>
          <cell r="B233"/>
          <cell r="C233"/>
          <cell r="D233"/>
          <cell r="E233"/>
          <cell r="F233"/>
          <cell r="G233"/>
          <cell r="H233"/>
          <cell r="I233"/>
          <cell r="J233"/>
          <cell r="K233"/>
          <cell r="L233"/>
          <cell r="M233"/>
          <cell r="N233"/>
          <cell r="O233"/>
          <cell r="P233"/>
          <cell r="Q233"/>
          <cell r="R233"/>
          <cell r="S233"/>
        </row>
        <row r="234">
          <cell r="A234"/>
          <cell r="B234"/>
          <cell r="C234"/>
          <cell r="D234"/>
          <cell r="E234"/>
          <cell r="F234"/>
          <cell r="G234"/>
          <cell r="H234"/>
          <cell r="I234"/>
          <cell r="J234"/>
          <cell r="K234"/>
          <cell r="L234"/>
          <cell r="M234"/>
          <cell r="N234"/>
          <cell r="O234"/>
          <cell r="P234"/>
          <cell r="Q234"/>
          <cell r="R234"/>
          <cell r="S234"/>
        </row>
        <row r="235">
          <cell r="A235"/>
          <cell r="B235"/>
          <cell r="C235"/>
          <cell r="D235"/>
          <cell r="E235"/>
          <cell r="F235"/>
          <cell r="G235"/>
          <cell r="H235"/>
          <cell r="I235"/>
          <cell r="J235"/>
          <cell r="K235"/>
          <cell r="L235"/>
          <cell r="M235"/>
          <cell r="N235"/>
          <cell r="O235"/>
          <cell r="P235"/>
          <cell r="Q235"/>
          <cell r="R235"/>
          <cell r="S235"/>
        </row>
        <row r="236">
          <cell r="A236"/>
          <cell r="B236"/>
          <cell r="C236"/>
          <cell r="D236"/>
          <cell r="E236"/>
          <cell r="F236"/>
          <cell r="G236"/>
          <cell r="H236"/>
          <cell r="I236"/>
          <cell r="J236"/>
          <cell r="K236"/>
          <cell r="L236"/>
          <cell r="M236"/>
          <cell r="N236"/>
          <cell r="O236"/>
          <cell r="P236"/>
          <cell r="Q236"/>
          <cell r="R236"/>
          <cell r="S236"/>
        </row>
        <row r="237">
          <cell r="A237"/>
          <cell r="B237"/>
          <cell r="C237"/>
          <cell r="D237"/>
          <cell r="E237"/>
          <cell r="F237"/>
          <cell r="G237"/>
          <cell r="H237"/>
          <cell r="I237"/>
          <cell r="J237"/>
          <cell r="K237"/>
          <cell r="L237"/>
          <cell r="M237"/>
          <cell r="N237"/>
          <cell r="O237"/>
          <cell r="P237"/>
          <cell r="Q237"/>
          <cell r="R237"/>
          <cell r="S237"/>
        </row>
        <row r="238">
          <cell r="A238"/>
          <cell r="B238"/>
          <cell r="C238"/>
          <cell r="D238"/>
          <cell r="E238"/>
          <cell r="F238"/>
          <cell r="G238"/>
          <cell r="H238"/>
          <cell r="I238"/>
          <cell r="J238"/>
          <cell r="K238"/>
          <cell r="L238"/>
          <cell r="M238"/>
          <cell r="N238"/>
          <cell r="O238"/>
          <cell r="P238"/>
          <cell r="Q238"/>
          <cell r="R238"/>
          <cell r="S238"/>
        </row>
        <row r="239">
          <cell r="A239"/>
          <cell r="B239"/>
          <cell r="C239"/>
          <cell r="D239"/>
          <cell r="E239"/>
          <cell r="F239"/>
          <cell r="G239"/>
          <cell r="H239"/>
          <cell r="I239"/>
          <cell r="J239"/>
          <cell r="K239"/>
          <cell r="L239"/>
          <cell r="M239"/>
          <cell r="N239"/>
          <cell r="O239"/>
          <cell r="P239"/>
          <cell r="Q239"/>
          <cell r="R239"/>
          <cell r="S239"/>
        </row>
        <row r="240">
          <cell r="A240"/>
          <cell r="B240"/>
          <cell r="C240"/>
          <cell r="D240"/>
          <cell r="E240"/>
          <cell r="F240"/>
          <cell r="G240"/>
          <cell r="H240"/>
          <cell r="I240"/>
          <cell r="J240"/>
          <cell r="K240"/>
          <cell r="L240"/>
          <cell r="M240"/>
          <cell r="N240"/>
          <cell r="O240"/>
          <cell r="P240"/>
          <cell r="Q240"/>
          <cell r="R240"/>
          <cell r="S240"/>
        </row>
        <row r="241">
          <cell r="A241"/>
          <cell r="B241"/>
          <cell r="C241"/>
          <cell r="D241"/>
          <cell r="E241"/>
          <cell r="F241"/>
          <cell r="G241"/>
          <cell r="H241"/>
          <cell r="I241"/>
          <cell r="J241"/>
          <cell r="K241"/>
          <cell r="L241"/>
          <cell r="M241"/>
          <cell r="N241"/>
          <cell r="O241"/>
          <cell r="P241"/>
          <cell r="Q241"/>
          <cell r="R241"/>
          <cell r="S241"/>
        </row>
        <row r="242">
          <cell r="A242"/>
          <cell r="B242"/>
          <cell r="C242"/>
          <cell r="D242"/>
          <cell r="E242"/>
          <cell r="F242"/>
          <cell r="G242"/>
          <cell r="H242"/>
          <cell r="I242"/>
          <cell r="J242"/>
          <cell r="K242"/>
          <cell r="L242"/>
          <cell r="M242"/>
          <cell r="N242"/>
          <cell r="O242"/>
          <cell r="P242"/>
          <cell r="Q242"/>
          <cell r="R242"/>
          <cell r="S242"/>
        </row>
        <row r="243">
          <cell r="A243"/>
          <cell r="B243"/>
          <cell r="C243"/>
          <cell r="D243"/>
          <cell r="E243"/>
          <cell r="F243"/>
          <cell r="G243"/>
          <cell r="H243"/>
          <cell r="I243"/>
          <cell r="J243"/>
          <cell r="K243"/>
          <cell r="L243"/>
          <cell r="M243"/>
          <cell r="N243"/>
          <cell r="O243"/>
          <cell r="P243"/>
          <cell r="Q243"/>
          <cell r="R243"/>
          <cell r="S243"/>
        </row>
        <row r="244">
          <cell r="A244"/>
          <cell r="B244"/>
          <cell r="C244"/>
          <cell r="D244"/>
          <cell r="E244"/>
          <cell r="F244"/>
          <cell r="G244"/>
          <cell r="H244"/>
          <cell r="I244"/>
          <cell r="J244"/>
          <cell r="K244"/>
          <cell r="L244"/>
          <cell r="M244"/>
          <cell r="N244"/>
          <cell r="O244"/>
          <cell r="P244"/>
          <cell r="Q244"/>
          <cell r="R244"/>
          <cell r="S244"/>
        </row>
        <row r="245">
          <cell r="A245"/>
          <cell r="B245"/>
          <cell r="C245"/>
          <cell r="D245"/>
          <cell r="E245"/>
          <cell r="F245"/>
          <cell r="G245"/>
          <cell r="H245"/>
          <cell r="I245"/>
          <cell r="J245"/>
          <cell r="K245"/>
          <cell r="L245"/>
          <cell r="M245"/>
          <cell r="N245"/>
          <cell r="O245"/>
          <cell r="P245"/>
          <cell r="Q245"/>
          <cell r="R245"/>
          <cell r="S245"/>
        </row>
        <row r="246">
          <cell r="A246"/>
          <cell r="B246"/>
          <cell r="C246"/>
          <cell r="D246"/>
          <cell r="E246"/>
          <cell r="F246"/>
          <cell r="G246"/>
          <cell r="H246"/>
          <cell r="I246"/>
          <cell r="J246"/>
          <cell r="K246"/>
          <cell r="L246"/>
          <cell r="M246"/>
          <cell r="N246"/>
          <cell r="O246"/>
          <cell r="P246"/>
          <cell r="Q246"/>
          <cell r="R246"/>
          <cell r="S246"/>
        </row>
        <row r="247">
          <cell r="A247"/>
          <cell r="B247"/>
          <cell r="C247"/>
          <cell r="D247"/>
          <cell r="E247"/>
          <cell r="F247"/>
          <cell r="G247"/>
          <cell r="H247"/>
          <cell r="I247"/>
          <cell r="J247"/>
          <cell r="K247"/>
          <cell r="L247"/>
          <cell r="M247"/>
          <cell r="N247"/>
          <cell r="O247"/>
          <cell r="P247"/>
          <cell r="Q247"/>
          <cell r="R247"/>
          <cell r="S247"/>
        </row>
        <row r="248">
          <cell r="A248"/>
          <cell r="B248"/>
          <cell r="C248"/>
          <cell r="D248"/>
          <cell r="E248"/>
          <cell r="F248"/>
          <cell r="G248"/>
          <cell r="H248"/>
          <cell r="I248"/>
          <cell r="J248"/>
          <cell r="K248"/>
          <cell r="L248"/>
          <cell r="M248"/>
          <cell r="N248"/>
          <cell r="O248"/>
          <cell r="P248"/>
          <cell r="Q248"/>
          <cell r="R248"/>
          <cell r="S248"/>
        </row>
        <row r="249">
          <cell r="A249"/>
          <cell r="B249"/>
          <cell r="C249"/>
          <cell r="D249"/>
          <cell r="E249"/>
          <cell r="F249"/>
          <cell r="G249"/>
          <cell r="H249"/>
          <cell r="I249"/>
          <cell r="J249"/>
          <cell r="K249"/>
          <cell r="L249"/>
          <cell r="M249"/>
          <cell r="N249"/>
          <cell r="O249"/>
          <cell r="P249"/>
          <cell r="Q249"/>
          <cell r="R249"/>
          <cell r="S249"/>
        </row>
        <row r="250">
          <cell r="A250"/>
          <cell r="B250"/>
          <cell r="C250"/>
          <cell r="D250"/>
          <cell r="E250"/>
          <cell r="F250"/>
          <cell r="G250"/>
          <cell r="H250"/>
          <cell r="I250"/>
          <cell r="J250"/>
          <cell r="K250"/>
          <cell r="L250"/>
          <cell r="M250"/>
          <cell r="N250"/>
          <cell r="O250"/>
          <cell r="P250"/>
          <cell r="Q250"/>
          <cell r="R250"/>
          <cell r="S250"/>
        </row>
        <row r="251">
          <cell r="A251"/>
          <cell r="B251"/>
          <cell r="C251"/>
          <cell r="D251"/>
          <cell r="E251"/>
          <cell r="F251"/>
          <cell r="G251"/>
          <cell r="H251"/>
          <cell r="I251"/>
          <cell r="J251"/>
          <cell r="K251"/>
          <cell r="L251"/>
          <cell r="M251"/>
          <cell r="N251"/>
          <cell r="O251"/>
          <cell r="P251"/>
          <cell r="Q251"/>
          <cell r="R251"/>
          <cell r="S251"/>
        </row>
        <row r="252">
          <cell r="A252"/>
          <cell r="B252"/>
          <cell r="C252"/>
          <cell r="D252"/>
          <cell r="E252"/>
          <cell r="F252"/>
          <cell r="G252"/>
          <cell r="H252"/>
          <cell r="I252"/>
          <cell r="J252"/>
          <cell r="K252"/>
          <cell r="L252"/>
          <cell r="M252"/>
          <cell r="N252"/>
          <cell r="O252"/>
          <cell r="P252"/>
          <cell r="Q252"/>
          <cell r="R252"/>
          <cell r="S252"/>
        </row>
        <row r="253">
          <cell r="A253"/>
          <cell r="B253"/>
          <cell r="C253"/>
          <cell r="D253"/>
          <cell r="E253"/>
          <cell r="F253"/>
          <cell r="G253"/>
          <cell r="H253"/>
          <cell r="I253"/>
          <cell r="J253"/>
          <cell r="K253"/>
          <cell r="L253"/>
          <cell r="M253"/>
          <cell r="N253"/>
          <cell r="O253"/>
          <cell r="P253"/>
          <cell r="Q253"/>
          <cell r="R253"/>
          <cell r="S253"/>
        </row>
        <row r="254">
          <cell r="A254"/>
          <cell r="B254"/>
          <cell r="C254"/>
          <cell r="D254"/>
          <cell r="E254"/>
          <cell r="F254"/>
          <cell r="G254"/>
          <cell r="H254"/>
          <cell r="I254"/>
          <cell r="J254"/>
          <cell r="K254"/>
          <cell r="L254"/>
          <cell r="M254"/>
          <cell r="N254"/>
          <cell r="O254"/>
          <cell r="P254"/>
          <cell r="Q254"/>
          <cell r="R254"/>
          <cell r="S254"/>
        </row>
        <row r="255">
          <cell r="A255"/>
          <cell r="B255"/>
          <cell r="C255"/>
          <cell r="D255"/>
          <cell r="E255"/>
          <cell r="F255"/>
          <cell r="G255"/>
          <cell r="H255"/>
          <cell r="I255"/>
          <cell r="J255"/>
          <cell r="K255"/>
          <cell r="L255"/>
          <cell r="M255"/>
          <cell r="N255"/>
          <cell r="O255"/>
          <cell r="P255"/>
          <cell r="Q255"/>
          <cell r="R255"/>
          <cell r="S255"/>
        </row>
        <row r="256">
          <cell r="A256"/>
          <cell r="B256"/>
          <cell r="C256"/>
          <cell r="D256"/>
          <cell r="E256"/>
          <cell r="F256"/>
          <cell r="G256"/>
          <cell r="H256"/>
          <cell r="I256"/>
          <cell r="J256"/>
          <cell r="K256"/>
          <cell r="L256"/>
          <cell r="M256"/>
          <cell r="N256"/>
          <cell r="O256"/>
          <cell r="P256"/>
          <cell r="Q256"/>
          <cell r="R256"/>
          <cell r="S256"/>
        </row>
        <row r="257">
          <cell r="A257"/>
          <cell r="B257"/>
          <cell r="C257"/>
          <cell r="D257"/>
          <cell r="E257"/>
          <cell r="F257"/>
          <cell r="G257"/>
          <cell r="H257"/>
          <cell r="I257"/>
          <cell r="J257"/>
          <cell r="K257"/>
          <cell r="L257"/>
          <cell r="M257"/>
          <cell r="N257"/>
          <cell r="O257"/>
          <cell r="P257"/>
          <cell r="Q257"/>
          <cell r="R257"/>
          <cell r="S257"/>
        </row>
        <row r="258">
          <cell r="A258"/>
          <cell r="B258"/>
          <cell r="C258"/>
          <cell r="D258"/>
          <cell r="E258"/>
          <cell r="F258"/>
          <cell r="G258"/>
          <cell r="H258"/>
          <cell r="I258"/>
          <cell r="J258"/>
          <cell r="K258"/>
          <cell r="L258"/>
          <cell r="M258"/>
          <cell r="N258"/>
          <cell r="O258"/>
          <cell r="P258"/>
          <cell r="Q258"/>
          <cell r="R258"/>
          <cell r="S258"/>
        </row>
        <row r="259">
          <cell r="A259"/>
          <cell r="B259"/>
          <cell r="C259"/>
          <cell r="D259"/>
          <cell r="E259"/>
          <cell r="F259"/>
          <cell r="G259"/>
          <cell r="H259"/>
          <cell r="I259"/>
          <cell r="J259"/>
          <cell r="K259"/>
          <cell r="L259"/>
          <cell r="M259"/>
          <cell r="N259"/>
          <cell r="O259"/>
          <cell r="P259"/>
          <cell r="Q259"/>
          <cell r="R259"/>
          <cell r="S259"/>
        </row>
        <row r="260">
          <cell r="A260"/>
          <cell r="B260"/>
          <cell r="C260"/>
          <cell r="D260"/>
          <cell r="E260"/>
          <cell r="F260"/>
          <cell r="G260"/>
          <cell r="H260"/>
          <cell r="I260"/>
          <cell r="J260"/>
          <cell r="K260"/>
          <cell r="L260"/>
          <cell r="M260"/>
          <cell r="N260"/>
          <cell r="O260"/>
          <cell r="P260"/>
          <cell r="Q260"/>
          <cell r="R260"/>
          <cell r="S260"/>
        </row>
        <row r="261">
          <cell r="A261"/>
          <cell r="B261"/>
          <cell r="C261"/>
          <cell r="D261"/>
          <cell r="E261"/>
          <cell r="F261"/>
          <cell r="G261"/>
          <cell r="H261"/>
          <cell r="I261"/>
          <cell r="J261"/>
          <cell r="K261"/>
          <cell r="L261"/>
          <cell r="M261"/>
          <cell r="N261"/>
          <cell r="O261"/>
          <cell r="P261"/>
          <cell r="Q261"/>
          <cell r="R261"/>
          <cell r="S261"/>
        </row>
        <row r="262">
          <cell r="A262"/>
          <cell r="B262"/>
          <cell r="C262"/>
          <cell r="D262"/>
          <cell r="E262"/>
          <cell r="F262"/>
          <cell r="G262"/>
          <cell r="H262"/>
          <cell r="I262"/>
          <cell r="J262"/>
          <cell r="K262"/>
          <cell r="L262"/>
          <cell r="M262"/>
          <cell r="N262"/>
          <cell r="O262"/>
          <cell r="P262"/>
          <cell r="Q262"/>
          <cell r="R262"/>
          <cell r="S262"/>
        </row>
        <row r="263">
          <cell r="A263"/>
          <cell r="B263"/>
          <cell r="C263"/>
          <cell r="D263"/>
          <cell r="E263"/>
          <cell r="F263"/>
          <cell r="G263"/>
          <cell r="H263"/>
          <cell r="I263"/>
          <cell r="J263"/>
          <cell r="K263"/>
          <cell r="L263"/>
          <cell r="M263"/>
          <cell r="N263"/>
          <cell r="O263"/>
          <cell r="P263"/>
          <cell r="Q263"/>
          <cell r="R263"/>
          <cell r="S263"/>
        </row>
        <row r="264">
          <cell r="A264"/>
          <cell r="B264"/>
          <cell r="C264"/>
          <cell r="D264"/>
          <cell r="E264"/>
          <cell r="F264"/>
          <cell r="G264"/>
          <cell r="H264"/>
          <cell r="I264"/>
          <cell r="J264"/>
          <cell r="K264"/>
          <cell r="L264"/>
          <cell r="M264"/>
          <cell r="N264"/>
          <cell r="O264"/>
          <cell r="P264"/>
          <cell r="Q264"/>
          <cell r="R264"/>
          <cell r="S264"/>
        </row>
        <row r="265">
          <cell r="A265"/>
          <cell r="B265"/>
          <cell r="C265"/>
          <cell r="D265"/>
          <cell r="E265"/>
          <cell r="F265"/>
          <cell r="G265"/>
          <cell r="H265"/>
          <cell r="I265"/>
          <cell r="J265"/>
          <cell r="K265"/>
          <cell r="L265"/>
          <cell r="M265"/>
          <cell r="N265"/>
          <cell r="O265"/>
          <cell r="P265"/>
          <cell r="Q265"/>
          <cell r="R265"/>
          <cell r="S265"/>
        </row>
        <row r="266">
          <cell r="A266"/>
          <cell r="B266"/>
          <cell r="C266"/>
          <cell r="D266"/>
          <cell r="E266"/>
          <cell r="F266"/>
          <cell r="G266"/>
          <cell r="H266"/>
          <cell r="I266"/>
          <cell r="J266"/>
          <cell r="K266"/>
          <cell r="L266"/>
          <cell r="M266"/>
          <cell r="N266"/>
          <cell r="O266"/>
          <cell r="P266"/>
          <cell r="Q266"/>
          <cell r="R266"/>
          <cell r="S266"/>
        </row>
        <row r="267">
          <cell r="A267"/>
          <cell r="B267"/>
          <cell r="C267"/>
          <cell r="D267"/>
          <cell r="E267"/>
          <cell r="F267"/>
          <cell r="G267"/>
          <cell r="H267"/>
          <cell r="I267"/>
          <cell r="J267"/>
          <cell r="K267"/>
          <cell r="L267"/>
          <cell r="M267"/>
          <cell r="N267"/>
          <cell r="O267"/>
          <cell r="P267"/>
          <cell r="Q267"/>
          <cell r="R267"/>
          <cell r="S267"/>
        </row>
        <row r="268">
          <cell r="A268"/>
          <cell r="B268"/>
          <cell r="C268"/>
          <cell r="D268"/>
          <cell r="E268"/>
          <cell r="F268"/>
          <cell r="G268"/>
          <cell r="H268"/>
          <cell r="I268"/>
          <cell r="J268"/>
          <cell r="K268"/>
          <cell r="L268"/>
          <cell r="M268"/>
          <cell r="N268"/>
          <cell r="O268"/>
          <cell r="P268"/>
          <cell r="Q268"/>
          <cell r="R268"/>
          <cell r="S268"/>
        </row>
        <row r="269">
          <cell r="A269"/>
          <cell r="B269"/>
          <cell r="C269"/>
          <cell r="D269"/>
          <cell r="E269"/>
          <cell r="F269"/>
          <cell r="G269"/>
          <cell r="H269"/>
          <cell r="I269"/>
          <cell r="J269"/>
          <cell r="K269"/>
          <cell r="L269"/>
          <cell r="M269"/>
          <cell r="N269"/>
          <cell r="O269"/>
          <cell r="P269"/>
          <cell r="Q269"/>
          <cell r="R269"/>
          <cell r="S269"/>
        </row>
        <row r="270">
          <cell r="A270"/>
          <cell r="B270"/>
          <cell r="C270"/>
          <cell r="D270"/>
          <cell r="E270"/>
          <cell r="F270"/>
          <cell r="G270"/>
          <cell r="H270"/>
          <cell r="I270"/>
          <cell r="J270"/>
          <cell r="K270"/>
          <cell r="L270"/>
          <cell r="M270"/>
          <cell r="N270"/>
          <cell r="O270"/>
          <cell r="P270"/>
          <cell r="Q270"/>
          <cell r="R270"/>
          <cell r="S270"/>
        </row>
        <row r="271">
          <cell r="A271"/>
          <cell r="B271"/>
          <cell r="C271"/>
          <cell r="D271"/>
          <cell r="E271"/>
          <cell r="F271"/>
          <cell r="G271"/>
          <cell r="H271"/>
          <cell r="I271"/>
          <cell r="J271"/>
          <cell r="K271"/>
          <cell r="L271"/>
          <cell r="M271"/>
          <cell r="N271"/>
          <cell r="O271"/>
          <cell r="P271"/>
          <cell r="Q271"/>
          <cell r="R271"/>
          <cell r="S271"/>
        </row>
        <row r="272">
          <cell r="A272"/>
          <cell r="B272"/>
          <cell r="C272"/>
          <cell r="D272"/>
          <cell r="E272"/>
          <cell r="F272"/>
          <cell r="G272"/>
          <cell r="H272"/>
          <cell r="I272"/>
          <cell r="J272"/>
          <cell r="K272"/>
          <cell r="L272"/>
          <cell r="M272"/>
          <cell r="N272"/>
          <cell r="O272"/>
          <cell r="P272"/>
          <cell r="Q272"/>
          <cell r="R272"/>
          <cell r="S272"/>
        </row>
        <row r="273">
          <cell r="A273"/>
          <cell r="B273"/>
          <cell r="C273"/>
          <cell r="D273"/>
          <cell r="E273"/>
          <cell r="F273"/>
          <cell r="G273"/>
          <cell r="H273"/>
          <cell r="I273"/>
          <cell r="J273"/>
          <cell r="K273"/>
          <cell r="L273"/>
          <cell r="M273"/>
          <cell r="N273"/>
          <cell r="O273"/>
          <cell r="P273"/>
          <cell r="Q273"/>
          <cell r="R273"/>
          <cell r="S273"/>
        </row>
        <row r="274">
          <cell r="A274"/>
          <cell r="B274"/>
          <cell r="C274"/>
          <cell r="D274"/>
          <cell r="E274"/>
          <cell r="F274"/>
          <cell r="G274"/>
          <cell r="H274"/>
          <cell r="I274"/>
          <cell r="J274"/>
          <cell r="K274"/>
          <cell r="L274"/>
          <cell r="M274"/>
          <cell r="N274"/>
          <cell r="O274"/>
          <cell r="P274"/>
          <cell r="Q274"/>
          <cell r="R274"/>
          <cell r="S274"/>
        </row>
        <row r="275">
          <cell r="A275"/>
          <cell r="B275"/>
          <cell r="C275"/>
          <cell r="D275"/>
          <cell r="E275"/>
          <cell r="F275"/>
          <cell r="G275"/>
          <cell r="H275"/>
          <cell r="I275"/>
          <cell r="J275"/>
          <cell r="K275"/>
          <cell r="L275"/>
          <cell r="M275"/>
          <cell r="N275"/>
          <cell r="O275"/>
          <cell r="P275"/>
          <cell r="Q275"/>
          <cell r="R275"/>
          <cell r="S275"/>
        </row>
        <row r="276">
          <cell r="A276"/>
          <cell r="B276"/>
          <cell r="C276"/>
          <cell r="D276"/>
          <cell r="E276"/>
          <cell r="F276"/>
          <cell r="G276"/>
          <cell r="H276"/>
          <cell r="I276"/>
          <cell r="J276"/>
          <cell r="K276"/>
          <cell r="L276"/>
          <cell r="M276"/>
          <cell r="N276"/>
          <cell r="O276"/>
          <cell r="P276"/>
          <cell r="Q276"/>
          <cell r="R276"/>
          <cell r="S276"/>
        </row>
        <row r="277">
          <cell r="A277"/>
          <cell r="B277"/>
          <cell r="C277"/>
          <cell r="D277"/>
          <cell r="E277"/>
          <cell r="F277"/>
          <cell r="G277"/>
          <cell r="H277"/>
          <cell r="I277"/>
          <cell r="J277"/>
          <cell r="K277"/>
          <cell r="L277"/>
          <cell r="M277"/>
          <cell r="N277"/>
          <cell r="O277"/>
          <cell r="P277"/>
          <cell r="Q277"/>
          <cell r="R277"/>
          <cell r="S277"/>
        </row>
        <row r="278">
          <cell r="A278"/>
          <cell r="B278"/>
          <cell r="C278"/>
          <cell r="D278"/>
          <cell r="E278"/>
          <cell r="F278"/>
          <cell r="G278"/>
          <cell r="H278"/>
          <cell r="I278"/>
          <cell r="J278"/>
          <cell r="K278"/>
          <cell r="L278"/>
          <cell r="M278"/>
          <cell r="N278"/>
          <cell r="O278"/>
          <cell r="P278"/>
          <cell r="Q278"/>
          <cell r="R278"/>
          <cell r="S278"/>
        </row>
        <row r="279">
          <cell r="A279"/>
          <cell r="B279"/>
          <cell r="C279"/>
          <cell r="D279"/>
          <cell r="E279"/>
          <cell r="F279"/>
          <cell r="G279"/>
          <cell r="H279"/>
          <cell r="I279"/>
          <cell r="J279"/>
          <cell r="K279"/>
          <cell r="L279"/>
          <cell r="M279"/>
          <cell r="N279"/>
          <cell r="O279"/>
          <cell r="P279"/>
          <cell r="Q279"/>
          <cell r="R279"/>
          <cell r="S279"/>
        </row>
        <row r="280">
          <cell r="A280"/>
          <cell r="B280"/>
          <cell r="C280"/>
          <cell r="D280"/>
          <cell r="E280"/>
          <cell r="F280"/>
          <cell r="G280"/>
          <cell r="H280"/>
          <cell r="I280"/>
          <cell r="J280"/>
          <cell r="K280"/>
          <cell r="L280"/>
          <cell r="M280"/>
          <cell r="N280"/>
          <cell r="O280"/>
          <cell r="P280"/>
          <cell r="Q280"/>
          <cell r="R280"/>
          <cell r="S280"/>
        </row>
        <row r="281">
          <cell r="A281"/>
          <cell r="B281"/>
          <cell r="C281"/>
          <cell r="D281"/>
          <cell r="E281"/>
          <cell r="F281"/>
          <cell r="G281"/>
          <cell r="H281"/>
          <cell r="I281"/>
          <cell r="J281"/>
          <cell r="K281"/>
          <cell r="L281"/>
          <cell r="M281"/>
          <cell r="N281"/>
          <cell r="O281"/>
          <cell r="P281"/>
          <cell r="Q281"/>
          <cell r="R281"/>
          <cell r="S281"/>
        </row>
        <row r="282">
          <cell r="A282"/>
          <cell r="B282"/>
          <cell r="C282"/>
          <cell r="D282"/>
          <cell r="E282"/>
          <cell r="F282"/>
          <cell r="G282"/>
          <cell r="H282"/>
          <cell r="I282"/>
          <cell r="J282"/>
          <cell r="K282"/>
          <cell r="L282"/>
          <cell r="M282"/>
          <cell r="N282"/>
          <cell r="O282"/>
          <cell r="P282"/>
          <cell r="Q282"/>
          <cell r="R282"/>
          <cell r="S282"/>
        </row>
        <row r="283">
          <cell r="A283"/>
          <cell r="B283"/>
          <cell r="C283"/>
          <cell r="D283"/>
          <cell r="E283"/>
          <cell r="F283"/>
          <cell r="G283"/>
          <cell r="H283"/>
          <cell r="I283"/>
          <cell r="J283"/>
          <cell r="K283"/>
          <cell r="L283"/>
          <cell r="M283"/>
          <cell r="N283"/>
          <cell r="O283"/>
          <cell r="P283"/>
          <cell r="Q283"/>
          <cell r="R283"/>
          <cell r="S283"/>
        </row>
        <row r="284">
          <cell r="A284"/>
          <cell r="B284"/>
          <cell r="C284"/>
          <cell r="D284"/>
          <cell r="E284"/>
          <cell r="F284"/>
          <cell r="G284"/>
          <cell r="H284"/>
          <cell r="I284"/>
          <cell r="J284"/>
          <cell r="K284"/>
          <cell r="L284"/>
          <cell r="M284"/>
          <cell r="N284"/>
          <cell r="O284"/>
          <cell r="P284"/>
          <cell r="Q284"/>
          <cell r="R284"/>
          <cell r="S284"/>
        </row>
        <row r="285">
          <cell r="A285"/>
          <cell r="B285"/>
          <cell r="C285"/>
          <cell r="D285"/>
          <cell r="E285"/>
          <cell r="F285"/>
          <cell r="G285"/>
          <cell r="H285"/>
          <cell r="I285"/>
          <cell r="J285"/>
          <cell r="K285"/>
          <cell r="L285"/>
          <cell r="M285"/>
          <cell r="N285"/>
          <cell r="O285"/>
          <cell r="P285"/>
          <cell r="Q285"/>
          <cell r="R285"/>
          <cell r="S285"/>
        </row>
        <row r="286">
          <cell r="A286"/>
          <cell r="B286"/>
          <cell r="C286"/>
          <cell r="D286"/>
          <cell r="E286"/>
          <cell r="F286"/>
          <cell r="G286"/>
          <cell r="H286"/>
          <cell r="I286"/>
          <cell r="J286"/>
          <cell r="K286"/>
          <cell r="L286"/>
          <cell r="M286"/>
          <cell r="N286"/>
          <cell r="O286"/>
          <cell r="P286"/>
          <cell r="Q286"/>
          <cell r="R286"/>
          <cell r="S286"/>
        </row>
        <row r="287">
          <cell r="A287"/>
          <cell r="B287"/>
          <cell r="C287"/>
          <cell r="D287"/>
          <cell r="E287"/>
          <cell r="F287"/>
          <cell r="G287"/>
          <cell r="H287"/>
          <cell r="I287"/>
          <cell r="J287"/>
          <cell r="K287"/>
          <cell r="L287"/>
          <cell r="M287"/>
          <cell r="N287"/>
          <cell r="O287"/>
          <cell r="P287"/>
          <cell r="Q287"/>
          <cell r="R287"/>
          <cell r="S287"/>
        </row>
        <row r="288">
          <cell r="A288"/>
          <cell r="B288"/>
          <cell r="C288"/>
          <cell r="D288"/>
          <cell r="E288"/>
          <cell r="F288"/>
          <cell r="G288"/>
          <cell r="H288"/>
          <cell r="I288"/>
          <cell r="J288"/>
          <cell r="K288"/>
          <cell r="L288"/>
          <cell r="M288"/>
          <cell r="N288"/>
          <cell r="O288"/>
          <cell r="P288"/>
          <cell r="Q288"/>
          <cell r="R288"/>
          <cell r="S288"/>
        </row>
        <row r="289">
          <cell r="A289"/>
          <cell r="B289"/>
          <cell r="C289"/>
          <cell r="D289"/>
          <cell r="E289"/>
          <cell r="F289"/>
          <cell r="G289"/>
          <cell r="H289"/>
          <cell r="I289"/>
          <cell r="J289"/>
          <cell r="K289"/>
          <cell r="L289"/>
          <cell r="M289"/>
          <cell r="N289"/>
          <cell r="O289"/>
          <cell r="P289"/>
          <cell r="Q289"/>
          <cell r="R289"/>
          <cell r="S289"/>
        </row>
        <row r="290">
          <cell r="A290"/>
          <cell r="B290"/>
          <cell r="C290"/>
          <cell r="D290"/>
          <cell r="E290"/>
          <cell r="F290"/>
          <cell r="G290"/>
          <cell r="H290"/>
          <cell r="I290"/>
          <cell r="J290"/>
          <cell r="K290"/>
          <cell r="L290"/>
          <cell r="M290"/>
          <cell r="N290"/>
          <cell r="O290"/>
          <cell r="P290"/>
          <cell r="Q290"/>
          <cell r="R290"/>
          <cell r="S290"/>
        </row>
        <row r="291">
          <cell r="A291"/>
          <cell r="B291"/>
          <cell r="C291"/>
          <cell r="D291"/>
          <cell r="E291"/>
          <cell r="F291"/>
          <cell r="G291"/>
          <cell r="H291"/>
          <cell r="I291"/>
          <cell r="J291"/>
          <cell r="K291"/>
          <cell r="L291"/>
          <cell r="M291"/>
          <cell r="N291"/>
          <cell r="O291"/>
          <cell r="P291"/>
          <cell r="Q291"/>
          <cell r="R291"/>
          <cell r="S291"/>
        </row>
        <row r="292">
          <cell r="A292"/>
          <cell r="B292"/>
          <cell r="C292"/>
          <cell r="D292"/>
          <cell r="E292"/>
          <cell r="F292"/>
          <cell r="G292"/>
          <cell r="H292"/>
          <cell r="I292"/>
          <cell r="J292"/>
          <cell r="K292"/>
          <cell r="L292"/>
          <cell r="M292"/>
          <cell r="N292"/>
          <cell r="O292"/>
          <cell r="P292"/>
          <cell r="Q292"/>
          <cell r="R292"/>
          <cell r="S292"/>
        </row>
        <row r="293">
          <cell r="A293"/>
          <cell r="B293"/>
          <cell r="C293"/>
          <cell r="D293"/>
          <cell r="E293"/>
          <cell r="F293"/>
          <cell r="G293"/>
          <cell r="H293"/>
          <cell r="I293"/>
          <cell r="J293"/>
          <cell r="K293"/>
          <cell r="L293"/>
          <cell r="M293"/>
          <cell r="N293"/>
          <cell r="O293"/>
          <cell r="P293"/>
          <cell r="Q293"/>
          <cell r="R293"/>
          <cell r="S293"/>
        </row>
        <row r="294">
          <cell r="A294"/>
          <cell r="B294"/>
          <cell r="C294"/>
          <cell r="D294"/>
          <cell r="E294"/>
          <cell r="F294"/>
          <cell r="G294"/>
          <cell r="H294"/>
          <cell r="I294"/>
          <cell r="J294"/>
          <cell r="K294"/>
          <cell r="L294"/>
          <cell r="M294"/>
          <cell r="N294"/>
          <cell r="O294"/>
          <cell r="P294"/>
          <cell r="Q294"/>
          <cell r="R294"/>
          <cell r="S294"/>
        </row>
        <row r="295">
          <cell r="A295"/>
          <cell r="B295"/>
          <cell r="C295"/>
          <cell r="D295"/>
          <cell r="E295"/>
          <cell r="F295"/>
          <cell r="G295"/>
          <cell r="H295"/>
          <cell r="I295"/>
          <cell r="J295"/>
          <cell r="K295"/>
          <cell r="L295"/>
          <cell r="M295"/>
          <cell r="N295"/>
          <cell r="O295"/>
          <cell r="P295"/>
          <cell r="Q295"/>
          <cell r="R295"/>
          <cell r="S295"/>
        </row>
        <row r="296">
          <cell r="A296"/>
          <cell r="B296"/>
          <cell r="C296"/>
          <cell r="D296"/>
          <cell r="E296"/>
          <cell r="F296"/>
          <cell r="G296"/>
          <cell r="H296"/>
          <cell r="I296"/>
          <cell r="J296"/>
          <cell r="K296"/>
          <cell r="L296"/>
          <cell r="M296"/>
          <cell r="N296"/>
          <cell r="O296"/>
          <cell r="P296"/>
          <cell r="Q296"/>
          <cell r="R296"/>
          <cell r="S296"/>
        </row>
        <row r="297">
          <cell r="A297"/>
          <cell r="B297"/>
          <cell r="C297"/>
          <cell r="D297"/>
          <cell r="E297"/>
          <cell r="F297"/>
          <cell r="G297"/>
          <cell r="H297"/>
          <cell r="I297"/>
          <cell r="J297"/>
          <cell r="K297"/>
          <cell r="L297"/>
          <cell r="M297"/>
          <cell r="N297"/>
          <cell r="O297"/>
          <cell r="P297"/>
          <cell r="Q297"/>
          <cell r="R297"/>
          <cell r="S297"/>
        </row>
        <row r="298">
          <cell r="A298"/>
          <cell r="B298"/>
          <cell r="C298"/>
          <cell r="D298"/>
          <cell r="E298"/>
          <cell r="F298"/>
          <cell r="G298"/>
          <cell r="H298"/>
          <cell r="I298"/>
          <cell r="J298"/>
          <cell r="K298"/>
          <cell r="L298"/>
          <cell r="M298"/>
          <cell r="N298"/>
          <cell r="O298"/>
          <cell r="P298"/>
          <cell r="Q298"/>
          <cell r="R298"/>
          <cell r="S298"/>
        </row>
        <row r="299">
          <cell r="A299"/>
          <cell r="B299"/>
          <cell r="C299"/>
          <cell r="D299"/>
          <cell r="E299"/>
          <cell r="F299"/>
          <cell r="G299"/>
          <cell r="H299"/>
          <cell r="I299"/>
          <cell r="J299"/>
          <cell r="K299"/>
          <cell r="L299"/>
          <cell r="M299"/>
          <cell r="N299"/>
          <cell r="O299"/>
          <cell r="P299"/>
          <cell r="Q299"/>
          <cell r="R299"/>
          <cell r="S299"/>
        </row>
        <row r="300">
          <cell r="A300"/>
          <cell r="B300"/>
          <cell r="C300"/>
          <cell r="D300"/>
          <cell r="E300"/>
          <cell r="F300"/>
          <cell r="G300"/>
          <cell r="H300"/>
          <cell r="I300"/>
          <cell r="J300"/>
          <cell r="K300"/>
          <cell r="L300"/>
          <cell r="M300"/>
          <cell r="N300"/>
          <cell r="O300"/>
          <cell r="P300"/>
          <cell r="Q300"/>
          <cell r="R300"/>
          <cell r="S300"/>
        </row>
        <row r="301">
          <cell r="A301"/>
          <cell r="B301"/>
          <cell r="C301"/>
          <cell r="D301"/>
          <cell r="E301"/>
          <cell r="F301"/>
          <cell r="G301"/>
          <cell r="H301"/>
          <cell r="I301"/>
          <cell r="J301"/>
          <cell r="K301"/>
          <cell r="L301"/>
          <cell r="M301"/>
          <cell r="N301"/>
          <cell r="O301"/>
          <cell r="P301"/>
          <cell r="Q301"/>
          <cell r="R301"/>
          <cell r="S301"/>
        </row>
        <row r="302">
          <cell r="A302"/>
          <cell r="B302"/>
          <cell r="C302"/>
          <cell r="D302"/>
          <cell r="E302"/>
          <cell r="F302"/>
          <cell r="G302"/>
          <cell r="H302"/>
          <cell r="I302"/>
          <cell r="J302"/>
          <cell r="K302"/>
          <cell r="L302"/>
          <cell r="M302"/>
          <cell r="N302"/>
          <cell r="O302"/>
          <cell r="P302"/>
          <cell r="Q302"/>
          <cell r="R302"/>
          <cell r="S302"/>
        </row>
        <row r="303">
          <cell r="A303"/>
          <cell r="B303"/>
          <cell r="C303"/>
          <cell r="D303"/>
          <cell r="E303"/>
          <cell r="F303"/>
          <cell r="G303"/>
          <cell r="H303"/>
          <cell r="I303"/>
          <cell r="J303"/>
          <cell r="K303"/>
          <cell r="L303"/>
          <cell r="M303"/>
          <cell r="N303"/>
          <cell r="O303"/>
          <cell r="P303"/>
          <cell r="Q303"/>
          <cell r="R303"/>
          <cell r="S303"/>
        </row>
        <row r="304">
          <cell r="A304"/>
          <cell r="B304"/>
          <cell r="C304"/>
          <cell r="D304"/>
          <cell r="E304"/>
          <cell r="F304"/>
          <cell r="G304"/>
          <cell r="H304"/>
          <cell r="I304"/>
          <cell r="J304"/>
          <cell r="K304"/>
          <cell r="L304"/>
          <cell r="M304"/>
          <cell r="N304"/>
          <cell r="O304"/>
          <cell r="P304"/>
          <cell r="Q304"/>
          <cell r="R304"/>
          <cell r="S304"/>
        </row>
        <row r="305">
          <cell r="A305"/>
          <cell r="B305"/>
          <cell r="C305"/>
          <cell r="D305"/>
          <cell r="E305"/>
          <cell r="F305"/>
          <cell r="G305"/>
          <cell r="H305"/>
          <cell r="I305"/>
          <cell r="J305"/>
          <cell r="K305"/>
          <cell r="L305"/>
          <cell r="M305"/>
          <cell r="N305"/>
          <cell r="O305"/>
          <cell r="P305"/>
          <cell r="Q305"/>
          <cell r="R305"/>
          <cell r="S305"/>
        </row>
        <row r="306">
          <cell r="A306"/>
          <cell r="B306"/>
          <cell r="C306"/>
          <cell r="D306"/>
          <cell r="E306"/>
          <cell r="F306"/>
          <cell r="G306"/>
          <cell r="H306"/>
          <cell r="I306"/>
          <cell r="J306"/>
          <cell r="K306"/>
          <cell r="L306"/>
          <cell r="M306"/>
          <cell r="N306"/>
          <cell r="O306"/>
          <cell r="P306"/>
          <cell r="Q306"/>
          <cell r="R306"/>
          <cell r="S306"/>
        </row>
        <row r="307">
          <cell r="A307"/>
          <cell r="B307"/>
          <cell r="C307"/>
          <cell r="D307"/>
          <cell r="E307"/>
          <cell r="F307"/>
          <cell r="G307"/>
          <cell r="H307"/>
          <cell r="I307"/>
          <cell r="J307"/>
          <cell r="K307"/>
          <cell r="L307"/>
          <cell r="M307"/>
          <cell r="N307"/>
          <cell r="O307"/>
          <cell r="P307"/>
          <cell r="Q307"/>
          <cell r="R307"/>
          <cell r="S307"/>
        </row>
        <row r="308">
          <cell r="A308"/>
          <cell r="B308"/>
          <cell r="C308"/>
          <cell r="D308"/>
          <cell r="E308"/>
          <cell r="F308"/>
          <cell r="G308"/>
          <cell r="H308"/>
          <cell r="I308"/>
          <cell r="J308"/>
          <cell r="K308"/>
          <cell r="L308"/>
          <cell r="M308"/>
          <cell r="N308"/>
          <cell r="O308"/>
          <cell r="P308"/>
          <cell r="Q308"/>
          <cell r="R308"/>
          <cell r="S308"/>
        </row>
        <row r="309">
          <cell r="A309"/>
          <cell r="B309"/>
          <cell r="C309"/>
          <cell r="D309"/>
          <cell r="E309"/>
          <cell r="F309"/>
          <cell r="G309"/>
          <cell r="H309"/>
          <cell r="I309"/>
          <cell r="J309"/>
          <cell r="K309"/>
          <cell r="L309"/>
          <cell r="M309"/>
          <cell r="N309"/>
          <cell r="O309"/>
          <cell r="P309"/>
          <cell r="Q309"/>
          <cell r="R309"/>
          <cell r="S309"/>
        </row>
        <row r="310">
          <cell r="A310"/>
          <cell r="B310"/>
          <cell r="C310"/>
          <cell r="D310"/>
          <cell r="E310"/>
          <cell r="F310"/>
          <cell r="G310"/>
          <cell r="H310"/>
          <cell r="I310"/>
          <cell r="J310"/>
          <cell r="K310"/>
          <cell r="L310"/>
          <cell r="M310"/>
          <cell r="N310"/>
          <cell r="O310"/>
          <cell r="P310"/>
          <cell r="Q310"/>
          <cell r="R310"/>
          <cell r="S310"/>
        </row>
        <row r="311">
          <cell r="A311"/>
          <cell r="B311"/>
          <cell r="C311"/>
          <cell r="D311"/>
          <cell r="E311"/>
          <cell r="F311"/>
          <cell r="G311"/>
          <cell r="H311"/>
          <cell r="I311"/>
          <cell r="J311"/>
          <cell r="K311"/>
          <cell r="L311"/>
          <cell r="M311"/>
          <cell r="N311"/>
          <cell r="O311"/>
          <cell r="P311"/>
          <cell r="Q311"/>
          <cell r="R311"/>
          <cell r="S311"/>
        </row>
        <row r="312">
          <cell r="A312"/>
          <cell r="B312"/>
          <cell r="C312"/>
          <cell r="D312"/>
          <cell r="E312"/>
          <cell r="F312"/>
          <cell r="G312"/>
          <cell r="H312"/>
          <cell r="I312"/>
          <cell r="J312"/>
          <cell r="K312"/>
          <cell r="L312"/>
          <cell r="M312"/>
          <cell r="N312"/>
          <cell r="O312"/>
          <cell r="P312"/>
          <cell r="Q312"/>
          <cell r="R312"/>
          <cell r="S312"/>
        </row>
        <row r="313">
          <cell r="A313"/>
          <cell r="B313"/>
          <cell r="C313"/>
          <cell r="D313"/>
          <cell r="E313"/>
          <cell r="F313"/>
          <cell r="G313"/>
          <cell r="H313"/>
          <cell r="I313"/>
          <cell r="J313"/>
          <cell r="K313"/>
          <cell r="L313"/>
          <cell r="M313"/>
          <cell r="N313"/>
          <cell r="O313"/>
          <cell r="P313"/>
          <cell r="Q313"/>
          <cell r="R313"/>
          <cell r="S313"/>
        </row>
        <row r="314">
          <cell r="A314"/>
          <cell r="B314"/>
          <cell r="C314"/>
          <cell r="D314"/>
          <cell r="E314"/>
          <cell r="F314"/>
          <cell r="G314"/>
          <cell r="H314"/>
          <cell r="I314"/>
          <cell r="J314"/>
          <cell r="K314"/>
          <cell r="L314"/>
          <cell r="M314"/>
          <cell r="N314"/>
          <cell r="O314"/>
          <cell r="P314"/>
          <cell r="Q314"/>
          <cell r="R314"/>
          <cell r="S314"/>
        </row>
        <row r="315">
          <cell r="A315"/>
          <cell r="B315"/>
          <cell r="C315"/>
          <cell r="D315"/>
          <cell r="E315"/>
          <cell r="F315"/>
          <cell r="G315"/>
          <cell r="H315"/>
          <cell r="I315"/>
          <cell r="J315"/>
          <cell r="K315"/>
          <cell r="L315"/>
          <cell r="M315"/>
          <cell r="N315"/>
          <cell r="O315"/>
          <cell r="P315"/>
          <cell r="Q315"/>
          <cell r="R315"/>
          <cell r="S315"/>
        </row>
        <row r="316">
          <cell r="A316"/>
          <cell r="B316"/>
          <cell r="C316"/>
          <cell r="D316"/>
          <cell r="E316"/>
          <cell r="F316"/>
          <cell r="G316"/>
          <cell r="H316"/>
          <cell r="I316"/>
          <cell r="J316"/>
          <cell r="K316"/>
          <cell r="L316"/>
          <cell r="M316"/>
          <cell r="N316"/>
          <cell r="O316"/>
          <cell r="P316"/>
          <cell r="Q316"/>
          <cell r="R316"/>
          <cell r="S316"/>
        </row>
        <row r="317">
          <cell r="A317"/>
          <cell r="B317"/>
          <cell r="C317"/>
          <cell r="D317"/>
          <cell r="E317"/>
          <cell r="F317"/>
          <cell r="G317"/>
          <cell r="H317"/>
          <cell r="I317"/>
          <cell r="J317"/>
          <cell r="K317"/>
          <cell r="L317"/>
          <cell r="M317"/>
          <cell r="N317"/>
          <cell r="O317"/>
          <cell r="P317"/>
          <cell r="Q317"/>
          <cell r="R317"/>
          <cell r="S317"/>
        </row>
        <row r="318">
          <cell r="A318"/>
          <cell r="B318"/>
          <cell r="C318"/>
          <cell r="D318"/>
          <cell r="E318"/>
          <cell r="F318"/>
          <cell r="G318"/>
          <cell r="H318"/>
          <cell r="I318"/>
          <cell r="J318"/>
          <cell r="K318"/>
          <cell r="L318"/>
          <cell r="M318"/>
          <cell r="N318"/>
          <cell r="O318"/>
          <cell r="P318"/>
          <cell r="Q318"/>
          <cell r="R318"/>
          <cell r="S318"/>
        </row>
        <row r="319">
          <cell r="A319"/>
          <cell r="B319"/>
          <cell r="C319"/>
          <cell r="D319"/>
          <cell r="E319"/>
          <cell r="F319"/>
          <cell r="G319"/>
          <cell r="H319"/>
          <cell r="I319"/>
          <cell r="J319"/>
          <cell r="K319"/>
          <cell r="L319"/>
          <cell r="M319"/>
          <cell r="N319"/>
          <cell r="O319"/>
          <cell r="P319"/>
          <cell r="Q319"/>
          <cell r="R319"/>
          <cell r="S319"/>
        </row>
        <row r="320">
          <cell r="A320"/>
          <cell r="B320"/>
          <cell r="C320"/>
          <cell r="D320"/>
          <cell r="E320"/>
          <cell r="F320"/>
          <cell r="G320"/>
          <cell r="H320"/>
          <cell r="I320"/>
          <cell r="J320"/>
          <cell r="K320"/>
          <cell r="L320"/>
          <cell r="M320"/>
          <cell r="N320"/>
          <cell r="O320"/>
          <cell r="P320"/>
          <cell r="Q320"/>
          <cell r="R320"/>
          <cell r="S320"/>
        </row>
        <row r="321">
          <cell r="A321"/>
          <cell r="B321"/>
          <cell r="C321"/>
          <cell r="D321"/>
          <cell r="E321"/>
          <cell r="F321"/>
          <cell r="G321"/>
          <cell r="H321"/>
          <cell r="I321"/>
          <cell r="J321"/>
          <cell r="K321"/>
          <cell r="L321"/>
          <cell r="M321"/>
          <cell r="N321"/>
          <cell r="O321"/>
          <cell r="P321"/>
          <cell r="Q321"/>
          <cell r="R321"/>
          <cell r="S321"/>
        </row>
        <row r="322">
          <cell r="A322"/>
          <cell r="B322"/>
          <cell r="C322"/>
          <cell r="D322"/>
          <cell r="E322"/>
          <cell r="F322"/>
          <cell r="G322"/>
          <cell r="H322"/>
          <cell r="I322"/>
          <cell r="J322"/>
          <cell r="K322"/>
          <cell r="L322"/>
          <cell r="M322"/>
          <cell r="N322"/>
          <cell r="O322"/>
          <cell r="P322"/>
          <cell r="Q322"/>
          <cell r="R322"/>
          <cell r="S322"/>
        </row>
        <row r="323">
          <cell r="A323"/>
          <cell r="B323"/>
          <cell r="C323"/>
          <cell r="D323"/>
          <cell r="E323"/>
          <cell r="F323"/>
          <cell r="G323"/>
          <cell r="H323"/>
          <cell r="I323"/>
          <cell r="J323"/>
          <cell r="K323"/>
          <cell r="L323"/>
          <cell r="M323"/>
          <cell r="N323"/>
          <cell r="O323"/>
          <cell r="P323"/>
          <cell r="Q323"/>
          <cell r="R323"/>
          <cell r="S323"/>
        </row>
        <row r="324">
          <cell r="A324"/>
          <cell r="B324"/>
          <cell r="C324"/>
          <cell r="D324"/>
          <cell r="E324"/>
          <cell r="F324"/>
          <cell r="G324"/>
          <cell r="H324"/>
          <cell r="I324"/>
          <cell r="J324"/>
          <cell r="K324"/>
          <cell r="L324"/>
          <cell r="M324"/>
          <cell r="N324"/>
          <cell r="O324"/>
          <cell r="P324"/>
          <cell r="Q324"/>
          <cell r="R324"/>
          <cell r="S324"/>
        </row>
        <row r="325">
          <cell r="A325"/>
          <cell r="B325"/>
          <cell r="C325"/>
          <cell r="D325"/>
          <cell r="E325"/>
          <cell r="F325"/>
          <cell r="G325"/>
          <cell r="H325"/>
          <cell r="I325"/>
          <cell r="J325"/>
          <cell r="K325"/>
          <cell r="L325"/>
          <cell r="M325"/>
          <cell r="N325"/>
          <cell r="O325"/>
          <cell r="P325"/>
          <cell r="Q325"/>
          <cell r="R325"/>
          <cell r="S325"/>
        </row>
        <row r="326">
          <cell r="A326"/>
          <cell r="B326"/>
          <cell r="C326"/>
          <cell r="D326"/>
          <cell r="E326"/>
          <cell r="F326"/>
          <cell r="G326"/>
          <cell r="H326"/>
          <cell r="I326"/>
          <cell r="J326"/>
          <cell r="K326"/>
          <cell r="L326"/>
          <cell r="M326"/>
          <cell r="N326"/>
          <cell r="O326"/>
          <cell r="P326"/>
          <cell r="Q326"/>
          <cell r="R326"/>
          <cell r="S326"/>
        </row>
        <row r="327">
          <cell r="A327"/>
          <cell r="B327"/>
          <cell r="C327"/>
          <cell r="D327"/>
          <cell r="E327"/>
          <cell r="F327"/>
          <cell r="G327"/>
          <cell r="H327"/>
          <cell r="I327"/>
          <cell r="J327"/>
          <cell r="K327"/>
          <cell r="L327"/>
          <cell r="M327"/>
          <cell r="N327"/>
          <cell r="O327"/>
          <cell r="P327"/>
          <cell r="Q327"/>
          <cell r="R327"/>
          <cell r="S327"/>
        </row>
        <row r="328">
          <cell r="A328"/>
          <cell r="B328"/>
          <cell r="C328"/>
          <cell r="D328"/>
          <cell r="E328"/>
          <cell r="F328"/>
          <cell r="G328"/>
          <cell r="H328"/>
          <cell r="I328"/>
          <cell r="J328"/>
          <cell r="K328"/>
          <cell r="L328"/>
          <cell r="M328"/>
          <cell r="N328"/>
          <cell r="O328"/>
          <cell r="P328"/>
          <cell r="Q328"/>
          <cell r="R328"/>
          <cell r="S328"/>
        </row>
        <row r="329">
          <cell r="A329"/>
          <cell r="B329"/>
          <cell r="C329"/>
          <cell r="D329"/>
          <cell r="E329"/>
          <cell r="F329"/>
          <cell r="G329"/>
          <cell r="H329"/>
          <cell r="I329"/>
          <cell r="J329"/>
          <cell r="K329"/>
          <cell r="L329"/>
          <cell r="M329"/>
          <cell r="N329"/>
          <cell r="O329"/>
          <cell r="P329"/>
          <cell r="Q329"/>
          <cell r="R329"/>
          <cell r="S329"/>
        </row>
        <row r="330">
          <cell r="A330"/>
          <cell r="B330"/>
          <cell r="C330"/>
          <cell r="D330"/>
          <cell r="E330"/>
          <cell r="F330"/>
          <cell r="G330"/>
          <cell r="H330"/>
          <cell r="I330"/>
          <cell r="J330"/>
          <cell r="K330"/>
          <cell r="L330"/>
          <cell r="M330"/>
          <cell r="N330"/>
          <cell r="O330"/>
          <cell r="P330"/>
          <cell r="Q330"/>
          <cell r="R330"/>
          <cell r="S330"/>
        </row>
        <row r="331">
          <cell r="A331"/>
          <cell r="B331"/>
          <cell r="C331"/>
          <cell r="D331"/>
          <cell r="E331"/>
          <cell r="F331"/>
          <cell r="G331"/>
          <cell r="H331"/>
          <cell r="I331"/>
          <cell r="J331"/>
          <cell r="K331"/>
          <cell r="L331"/>
          <cell r="M331"/>
          <cell r="N331"/>
          <cell r="O331"/>
          <cell r="P331"/>
          <cell r="Q331"/>
          <cell r="R331"/>
          <cell r="S331"/>
        </row>
        <row r="332">
          <cell r="A332"/>
          <cell r="B332"/>
          <cell r="C332"/>
          <cell r="D332"/>
          <cell r="E332"/>
          <cell r="F332"/>
          <cell r="G332"/>
          <cell r="H332"/>
          <cell r="I332"/>
          <cell r="J332"/>
          <cell r="K332"/>
          <cell r="L332"/>
          <cell r="M332"/>
          <cell r="N332"/>
          <cell r="O332"/>
          <cell r="P332"/>
          <cell r="Q332"/>
          <cell r="R332"/>
          <cell r="S332"/>
        </row>
        <row r="333">
          <cell r="A333"/>
          <cell r="B333"/>
          <cell r="C333"/>
          <cell r="D333"/>
          <cell r="E333"/>
          <cell r="F333"/>
          <cell r="G333"/>
          <cell r="H333"/>
          <cell r="I333"/>
          <cell r="J333"/>
          <cell r="K333"/>
          <cell r="L333"/>
          <cell r="M333"/>
          <cell r="N333"/>
          <cell r="O333"/>
          <cell r="P333"/>
          <cell r="Q333"/>
          <cell r="R333"/>
          <cell r="S333"/>
        </row>
        <row r="334">
          <cell r="A334"/>
          <cell r="B334"/>
          <cell r="C334"/>
          <cell r="D334"/>
          <cell r="E334"/>
          <cell r="F334"/>
          <cell r="G334"/>
          <cell r="H334"/>
          <cell r="I334"/>
          <cell r="J334"/>
          <cell r="K334"/>
          <cell r="L334"/>
          <cell r="M334"/>
          <cell r="N334"/>
          <cell r="O334"/>
          <cell r="P334"/>
          <cell r="Q334"/>
          <cell r="R334"/>
          <cell r="S334"/>
        </row>
        <row r="335">
          <cell r="A335"/>
          <cell r="B335"/>
          <cell r="C335"/>
          <cell r="D335"/>
          <cell r="E335"/>
          <cell r="F335"/>
          <cell r="G335"/>
          <cell r="H335"/>
          <cell r="I335"/>
          <cell r="J335"/>
          <cell r="K335"/>
          <cell r="L335"/>
          <cell r="M335"/>
          <cell r="N335"/>
          <cell r="O335"/>
          <cell r="P335"/>
          <cell r="Q335"/>
          <cell r="R335"/>
          <cell r="S335"/>
        </row>
        <row r="336">
          <cell r="A336"/>
          <cell r="B336"/>
          <cell r="C336"/>
          <cell r="D336"/>
          <cell r="E336"/>
          <cell r="F336"/>
          <cell r="G336"/>
          <cell r="H336"/>
          <cell r="I336"/>
          <cell r="J336"/>
          <cell r="K336"/>
          <cell r="L336"/>
          <cell r="M336"/>
          <cell r="N336"/>
          <cell r="O336"/>
          <cell r="P336"/>
          <cell r="Q336"/>
          <cell r="R336"/>
          <cell r="S336"/>
        </row>
        <row r="337">
          <cell r="A337"/>
          <cell r="B337"/>
          <cell r="C337"/>
          <cell r="D337"/>
          <cell r="E337"/>
          <cell r="F337"/>
          <cell r="G337"/>
          <cell r="H337"/>
          <cell r="I337"/>
          <cell r="J337"/>
          <cell r="K337"/>
          <cell r="L337"/>
          <cell r="M337"/>
          <cell r="N337"/>
          <cell r="O337"/>
          <cell r="P337"/>
          <cell r="Q337"/>
          <cell r="R337"/>
          <cell r="S337"/>
        </row>
        <row r="338">
          <cell r="A338"/>
          <cell r="B338"/>
          <cell r="C338"/>
          <cell r="D338"/>
          <cell r="E338"/>
          <cell r="F338"/>
          <cell r="G338"/>
          <cell r="H338"/>
          <cell r="I338"/>
          <cell r="J338"/>
          <cell r="K338"/>
          <cell r="L338"/>
          <cell r="M338"/>
          <cell r="N338"/>
          <cell r="O338"/>
          <cell r="P338"/>
          <cell r="Q338"/>
          <cell r="R338"/>
          <cell r="S338"/>
        </row>
        <row r="339">
          <cell r="A339"/>
          <cell r="B339"/>
          <cell r="C339"/>
          <cell r="D339"/>
          <cell r="E339"/>
          <cell r="F339"/>
          <cell r="G339"/>
          <cell r="H339"/>
          <cell r="I339"/>
          <cell r="J339"/>
          <cell r="K339"/>
          <cell r="L339"/>
          <cell r="M339"/>
          <cell r="N339"/>
          <cell r="O339"/>
          <cell r="P339"/>
          <cell r="Q339"/>
          <cell r="R339"/>
          <cell r="S339"/>
        </row>
        <row r="340">
          <cell r="A340"/>
          <cell r="B340"/>
          <cell r="C340"/>
          <cell r="D340"/>
          <cell r="E340"/>
          <cell r="F340"/>
          <cell r="G340"/>
          <cell r="H340"/>
          <cell r="I340"/>
          <cell r="J340"/>
          <cell r="K340"/>
          <cell r="L340"/>
          <cell r="M340"/>
          <cell r="N340"/>
          <cell r="O340"/>
          <cell r="P340"/>
          <cell r="Q340"/>
          <cell r="R340"/>
          <cell r="S340"/>
        </row>
        <row r="341">
          <cell r="A341"/>
          <cell r="B341"/>
          <cell r="C341"/>
          <cell r="D341"/>
          <cell r="E341"/>
          <cell r="F341"/>
          <cell r="G341"/>
          <cell r="H341"/>
          <cell r="I341"/>
          <cell r="J341"/>
          <cell r="K341"/>
          <cell r="L341"/>
          <cell r="M341"/>
          <cell r="N341"/>
          <cell r="O341"/>
          <cell r="P341"/>
          <cell r="Q341"/>
          <cell r="R341"/>
          <cell r="S341"/>
        </row>
        <row r="342">
          <cell r="A342"/>
          <cell r="B342"/>
          <cell r="C342"/>
          <cell r="D342"/>
          <cell r="E342"/>
          <cell r="F342"/>
          <cell r="G342"/>
          <cell r="H342"/>
          <cell r="I342"/>
          <cell r="J342"/>
          <cell r="K342"/>
          <cell r="L342"/>
          <cell r="M342"/>
          <cell r="N342"/>
          <cell r="O342"/>
          <cell r="P342"/>
          <cell r="Q342"/>
          <cell r="R342"/>
          <cell r="S342"/>
        </row>
        <row r="343">
          <cell r="A343"/>
          <cell r="B343"/>
          <cell r="C343"/>
          <cell r="D343"/>
          <cell r="E343"/>
          <cell r="F343"/>
          <cell r="G343"/>
          <cell r="H343"/>
          <cell r="I343"/>
          <cell r="J343"/>
          <cell r="K343"/>
          <cell r="L343"/>
          <cell r="M343"/>
          <cell r="N343"/>
          <cell r="O343"/>
          <cell r="P343"/>
          <cell r="Q343"/>
          <cell r="R343"/>
          <cell r="S343"/>
        </row>
        <row r="344">
          <cell r="A344"/>
          <cell r="B344"/>
          <cell r="C344"/>
          <cell r="D344"/>
          <cell r="E344"/>
          <cell r="F344"/>
          <cell r="G344"/>
          <cell r="H344"/>
          <cell r="I344"/>
          <cell r="J344"/>
          <cell r="K344"/>
          <cell r="L344"/>
          <cell r="M344"/>
          <cell r="N344"/>
          <cell r="O344"/>
          <cell r="P344"/>
          <cell r="Q344"/>
          <cell r="R344"/>
          <cell r="S344"/>
        </row>
        <row r="345">
          <cell r="A345"/>
          <cell r="B345"/>
          <cell r="C345"/>
          <cell r="D345"/>
          <cell r="E345"/>
          <cell r="F345"/>
          <cell r="G345"/>
          <cell r="H345"/>
          <cell r="I345"/>
          <cell r="J345"/>
          <cell r="K345"/>
          <cell r="L345"/>
          <cell r="M345"/>
          <cell r="N345"/>
          <cell r="O345"/>
          <cell r="P345"/>
          <cell r="Q345"/>
          <cell r="R345"/>
          <cell r="S345"/>
        </row>
        <row r="346">
          <cell r="A346"/>
          <cell r="B346"/>
          <cell r="C346"/>
          <cell r="D346"/>
          <cell r="E346"/>
          <cell r="F346"/>
          <cell r="G346"/>
          <cell r="H346"/>
          <cell r="I346"/>
          <cell r="J346"/>
          <cell r="K346"/>
          <cell r="L346"/>
          <cell r="M346"/>
          <cell r="N346"/>
          <cell r="O346"/>
          <cell r="P346"/>
          <cell r="Q346"/>
          <cell r="R346"/>
          <cell r="S346"/>
        </row>
        <row r="347">
          <cell r="A347"/>
          <cell r="B347"/>
          <cell r="C347"/>
          <cell r="D347"/>
          <cell r="E347"/>
          <cell r="F347"/>
          <cell r="G347"/>
          <cell r="H347"/>
          <cell r="I347"/>
          <cell r="J347"/>
          <cell r="K347"/>
          <cell r="L347"/>
          <cell r="M347"/>
          <cell r="N347"/>
          <cell r="O347"/>
          <cell r="P347"/>
          <cell r="Q347"/>
          <cell r="R347"/>
          <cell r="S347"/>
        </row>
        <row r="348">
          <cell r="A348"/>
          <cell r="B348"/>
          <cell r="C348"/>
          <cell r="D348"/>
          <cell r="E348"/>
          <cell r="F348"/>
          <cell r="G348"/>
          <cell r="H348"/>
          <cell r="I348"/>
          <cell r="J348"/>
          <cell r="K348"/>
          <cell r="L348"/>
          <cell r="M348"/>
          <cell r="N348"/>
          <cell r="O348"/>
          <cell r="P348"/>
          <cell r="Q348"/>
          <cell r="R348"/>
          <cell r="S348"/>
        </row>
        <row r="349">
          <cell r="A349"/>
          <cell r="B349"/>
          <cell r="C349"/>
          <cell r="D349"/>
          <cell r="E349"/>
          <cell r="F349"/>
          <cell r="G349"/>
          <cell r="H349"/>
          <cell r="I349"/>
          <cell r="J349"/>
          <cell r="K349"/>
          <cell r="L349"/>
          <cell r="M349"/>
          <cell r="N349"/>
          <cell r="O349"/>
          <cell r="P349"/>
          <cell r="Q349"/>
          <cell r="R349"/>
          <cell r="S349"/>
        </row>
        <row r="350">
          <cell r="A350"/>
          <cell r="B350"/>
          <cell r="C350"/>
          <cell r="D350"/>
          <cell r="E350"/>
          <cell r="F350"/>
          <cell r="G350"/>
          <cell r="H350"/>
          <cell r="I350"/>
          <cell r="J350"/>
          <cell r="K350"/>
          <cell r="L350"/>
          <cell r="M350"/>
          <cell r="N350"/>
          <cell r="O350"/>
          <cell r="P350"/>
          <cell r="Q350"/>
          <cell r="R350"/>
          <cell r="S350"/>
        </row>
        <row r="351">
          <cell r="A351"/>
          <cell r="B351"/>
          <cell r="C351"/>
          <cell r="D351"/>
          <cell r="E351"/>
          <cell r="F351"/>
          <cell r="G351"/>
          <cell r="H351"/>
          <cell r="I351"/>
          <cell r="J351"/>
          <cell r="K351"/>
          <cell r="L351"/>
          <cell r="M351"/>
          <cell r="N351"/>
          <cell r="O351"/>
          <cell r="P351"/>
          <cell r="Q351"/>
          <cell r="R351"/>
          <cell r="S351"/>
        </row>
        <row r="352">
          <cell r="A352"/>
          <cell r="B352"/>
          <cell r="C352"/>
          <cell r="D352"/>
          <cell r="E352"/>
          <cell r="F352"/>
          <cell r="G352"/>
          <cell r="H352"/>
          <cell r="I352"/>
          <cell r="J352"/>
          <cell r="K352"/>
          <cell r="L352"/>
          <cell r="M352"/>
          <cell r="N352"/>
          <cell r="O352"/>
          <cell r="P352"/>
          <cell r="Q352"/>
          <cell r="R352"/>
          <cell r="S352"/>
        </row>
        <row r="353">
          <cell r="A353"/>
          <cell r="B353"/>
          <cell r="C353"/>
          <cell r="D353"/>
          <cell r="E353"/>
          <cell r="F353"/>
          <cell r="G353"/>
          <cell r="H353"/>
          <cell r="I353"/>
          <cell r="J353"/>
          <cell r="K353"/>
          <cell r="L353"/>
          <cell r="M353"/>
          <cell r="N353"/>
          <cell r="O353"/>
          <cell r="P353"/>
          <cell r="Q353"/>
          <cell r="R353"/>
          <cell r="S353"/>
        </row>
        <row r="354">
          <cell r="A354"/>
          <cell r="B354"/>
          <cell r="C354"/>
          <cell r="D354"/>
          <cell r="E354"/>
          <cell r="F354"/>
          <cell r="G354"/>
          <cell r="H354"/>
          <cell r="I354"/>
          <cell r="J354"/>
          <cell r="K354"/>
          <cell r="L354"/>
          <cell r="M354"/>
          <cell r="N354"/>
          <cell r="O354"/>
          <cell r="P354"/>
          <cell r="Q354"/>
          <cell r="R354"/>
          <cell r="S354"/>
        </row>
        <row r="355">
          <cell r="A355"/>
          <cell r="B355"/>
          <cell r="C355"/>
          <cell r="D355"/>
          <cell r="E355"/>
          <cell r="F355"/>
          <cell r="G355"/>
          <cell r="H355"/>
          <cell r="I355"/>
          <cell r="J355"/>
          <cell r="K355"/>
          <cell r="L355"/>
          <cell r="M355"/>
          <cell r="N355"/>
          <cell r="O355"/>
          <cell r="P355"/>
          <cell r="Q355"/>
          <cell r="R355"/>
          <cell r="S355"/>
        </row>
        <row r="356">
          <cell r="A356"/>
          <cell r="B356"/>
          <cell r="C356"/>
          <cell r="D356"/>
          <cell r="E356"/>
          <cell r="F356"/>
          <cell r="G356"/>
          <cell r="H356"/>
          <cell r="I356"/>
          <cell r="J356"/>
          <cell r="K356"/>
          <cell r="L356"/>
          <cell r="M356"/>
          <cell r="N356"/>
          <cell r="O356"/>
          <cell r="P356"/>
          <cell r="Q356"/>
          <cell r="R356"/>
          <cell r="S356"/>
        </row>
        <row r="357">
          <cell r="A357"/>
          <cell r="B357"/>
          <cell r="C357"/>
          <cell r="D357"/>
          <cell r="E357"/>
          <cell r="F357"/>
          <cell r="G357"/>
          <cell r="H357"/>
          <cell r="I357"/>
          <cell r="J357"/>
          <cell r="K357"/>
          <cell r="L357"/>
          <cell r="M357"/>
          <cell r="N357"/>
          <cell r="O357"/>
          <cell r="P357"/>
          <cell r="Q357"/>
          <cell r="R357"/>
          <cell r="S357"/>
        </row>
        <row r="358">
          <cell r="A358"/>
          <cell r="B358"/>
          <cell r="C358"/>
          <cell r="D358"/>
          <cell r="E358"/>
          <cell r="F358"/>
          <cell r="G358"/>
          <cell r="H358"/>
          <cell r="I358"/>
          <cell r="J358"/>
          <cell r="K358"/>
          <cell r="L358"/>
          <cell r="M358"/>
          <cell r="N358"/>
          <cell r="O358"/>
          <cell r="P358"/>
          <cell r="Q358"/>
          <cell r="R358"/>
          <cell r="S358"/>
        </row>
        <row r="359">
          <cell r="A359"/>
          <cell r="B359"/>
          <cell r="C359"/>
          <cell r="D359"/>
          <cell r="E359"/>
          <cell r="F359"/>
          <cell r="G359"/>
          <cell r="H359"/>
          <cell r="I359"/>
          <cell r="J359"/>
          <cell r="K359"/>
          <cell r="L359"/>
          <cell r="M359"/>
          <cell r="N359"/>
          <cell r="O359"/>
          <cell r="P359"/>
          <cell r="Q359"/>
          <cell r="R359"/>
          <cell r="S359"/>
        </row>
        <row r="360">
          <cell r="A360"/>
          <cell r="B360"/>
          <cell r="C360"/>
          <cell r="D360"/>
          <cell r="E360"/>
          <cell r="F360"/>
          <cell r="G360"/>
          <cell r="H360"/>
          <cell r="I360"/>
          <cell r="J360"/>
          <cell r="K360"/>
          <cell r="L360"/>
          <cell r="M360"/>
          <cell r="N360"/>
          <cell r="O360"/>
          <cell r="P360"/>
          <cell r="Q360"/>
          <cell r="R360"/>
          <cell r="S360"/>
        </row>
        <row r="361">
          <cell r="A361"/>
          <cell r="B361"/>
          <cell r="C361"/>
          <cell r="D361"/>
          <cell r="E361"/>
          <cell r="F361"/>
          <cell r="G361"/>
          <cell r="H361"/>
          <cell r="I361"/>
          <cell r="J361"/>
          <cell r="K361"/>
          <cell r="L361"/>
          <cell r="M361"/>
          <cell r="N361"/>
          <cell r="O361"/>
          <cell r="P361"/>
          <cell r="Q361"/>
          <cell r="R361"/>
          <cell r="S361"/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  <cell r="N362"/>
          <cell r="O362"/>
          <cell r="P362"/>
          <cell r="Q362"/>
          <cell r="R362"/>
          <cell r="S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  <cell r="N363"/>
          <cell r="O363"/>
          <cell r="P363"/>
          <cell r="Q363"/>
          <cell r="R363"/>
          <cell r="S363"/>
        </row>
        <row r="364">
          <cell r="A364"/>
          <cell r="B364"/>
          <cell r="C364"/>
          <cell r="D364"/>
          <cell r="E364"/>
          <cell r="F364"/>
          <cell r="G364"/>
          <cell r="H364"/>
          <cell r="I364"/>
          <cell r="J364"/>
          <cell r="K364"/>
          <cell r="L364"/>
          <cell r="M364"/>
          <cell r="N364"/>
          <cell r="O364"/>
          <cell r="P364"/>
          <cell r="Q364"/>
          <cell r="R364"/>
          <cell r="S364"/>
        </row>
        <row r="365">
          <cell r="A365"/>
          <cell r="B365"/>
          <cell r="C365"/>
          <cell r="D365"/>
          <cell r="E365"/>
          <cell r="F365"/>
          <cell r="G365"/>
          <cell r="H365"/>
          <cell r="I365"/>
          <cell r="J365"/>
          <cell r="K365"/>
          <cell r="L365"/>
          <cell r="M365"/>
          <cell r="N365"/>
          <cell r="O365"/>
          <cell r="P365"/>
          <cell r="Q365"/>
          <cell r="R365"/>
          <cell r="S365"/>
        </row>
        <row r="366">
          <cell r="A366"/>
          <cell r="B366"/>
          <cell r="C366"/>
          <cell r="D366"/>
          <cell r="E366"/>
          <cell r="F366"/>
          <cell r="G366"/>
          <cell r="H366"/>
          <cell r="I366"/>
          <cell r="J366"/>
          <cell r="K366"/>
          <cell r="L366"/>
          <cell r="M366"/>
          <cell r="N366"/>
          <cell r="O366"/>
          <cell r="P366"/>
          <cell r="Q366"/>
          <cell r="R366"/>
          <cell r="S366"/>
        </row>
        <row r="367">
          <cell r="A367"/>
          <cell r="B367"/>
          <cell r="C367"/>
          <cell r="D367"/>
          <cell r="E367"/>
          <cell r="F367"/>
          <cell r="G367"/>
          <cell r="H367"/>
          <cell r="I367"/>
          <cell r="J367"/>
          <cell r="K367"/>
          <cell r="L367"/>
          <cell r="M367"/>
          <cell r="N367"/>
          <cell r="O367"/>
          <cell r="P367"/>
          <cell r="Q367"/>
          <cell r="R367"/>
          <cell r="S367"/>
        </row>
        <row r="368">
          <cell r="A368"/>
          <cell r="B368"/>
          <cell r="C368"/>
          <cell r="D368"/>
          <cell r="E368"/>
          <cell r="F368"/>
          <cell r="G368"/>
          <cell r="H368"/>
          <cell r="I368"/>
          <cell r="J368"/>
          <cell r="K368"/>
          <cell r="L368"/>
          <cell r="M368"/>
          <cell r="N368"/>
          <cell r="O368"/>
          <cell r="P368"/>
          <cell r="Q368"/>
          <cell r="R368"/>
          <cell r="S368"/>
        </row>
        <row r="369">
          <cell r="A369"/>
          <cell r="B369"/>
          <cell r="C369"/>
          <cell r="D369"/>
          <cell r="E369"/>
          <cell r="F369"/>
          <cell r="G369"/>
          <cell r="H369"/>
          <cell r="I369"/>
          <cell r="J369"/>
          <cell r="K369"/>
          <cell r="L369"/>
          <cell r="M369"/>
          <cell r="N369"/>
          <cell r="O369"/>
          <cell r="P369"/>
          <cell r="Q369"/>
          <cell r="R369"/>
          <cell r="S369"/>
        </row>
        <row r="370">
          <cell r="A370"/>
          <cell r="B370"/>
          <cell r="C370"/>
          <cell r="D370"/>
          <cell r="E370"/>
          <cell r="F370"/>
          <cell r="G370"/>
          <cell r="H370"/>
          <cell r="I370"/>
          <cell r="J370"/>
          <cell r="K370"/>
          <cell r="L370"/>
          <cell r="M370"/>
          <cell r="N370"/>
          <cell r="O370"/>
          <cell r="P370"/>
          <cell r="Q370"/>
          <cell r="R370"/>
          <cell r="S370"/>
        </row>
        <row r="371">
          <cell r="A371"/>
          <cell r="B371"/>
          <cell r="C371"/>
          <cell r="D371"/>
          <cell r="E371"/>
          <cell r="F371"/>
          <cell r="G371"/>
          <cell r="H371"/>
          <cell r="I371"/>
          <cell r="J371"/>
          <cell r="K371"/>
          <cell r="L371"/>
          <cell r="M371"/>
          <cell r="N371"/>
          <cell r="O371"/>
          <cell r="P371"/>
          <cell r="Q371"/>
          <cell r="R371"/>
          <cell r="S371"/>
        </row>
        <row r="372">
          <cell r="A372"/>
          <cell r="B372"/>
          <cell r="C372"/>
          <cell r="D372"/>
          <cell r="E372"/>
          <cell r="F372"/>
          <cell r="G372"/>
          <cell r="H372"/>
          <cell r="I372"/>
          <cell r="J372"/>
          <cell r="K372"/>
          <cell r="L372"/>
          <cell r="M372"/>
          <cell r="N372"/>
          <cell r="O372"/>
          <cell r="P372"/>
          <cell r="Q372"/>
          <cell r="R372"/>
          <cell r="S372"/>
        </row>
        <row r="373">
          <cell r="A373"/>
          <cell r="B373"/>
          <cell r="C373"/>
          <cell r="D373"/>
          <cell r="E373"/>
          <cell r="F373"/>
          <cell r="G373"/>
          <cell r="H373"/>
          <cell r="I373"/>
          <cell r="J373"/>
          <cell r="K373"/>
          <cell r="L373"/>
          <cell r="M373"/>
          <cell r="N373"/>
          <cell r="O373"/>
          <cell r="P373"/>
          <cell r="Q373"/>
          <cell r="R373"/>
          <cell r="S373"/>
        </row>
        <row r="374">
          <cell r="A374"/>
          <cell r="B374"/>
          <cell r="C374"/>
          <cell r="D374"/>
          <cell r="E374"/>
          <cell r="F374"/>
          <cell r="G374"/>
          <cell r="H374"/>
          <cell r="I374"/>
          <cell r="J374"/>
          <cell r="K374"/>
          <cell r="L374"/>
          <cell r="M374"/>
          <cell r="N374"/>
          <cell r="O374"/>
          <cell r="P374"/>
          <cell r="Q374"/>
          <cell r="R374"/>
          <cell r="S374"/>
        </row>
        <row r="375">
          <cell r="A375"/>
          <cell r="B375"/>
          <cell r="C375"/>
          <cell r="D375"/>
          <cell r="E375"/>
          <cell r="F375"/>
          <cell r="G375"/>
          <cell r="H375"/>
          <cell r="I375"/>
          <cell r="J375"/>
          <cell r="K375"/>
          <cell r="L375"/>
          <cell r="M375"/>
          <cell r="N375"/>
          <cell r="O375"/>
          <cell r="P375"/>
          <cell r="Q375"/>
          <cell r="R375"/>
          <cell r="S375"/>
        </row>
        <row r="376">
          <cell r="A376"/>
          <cell r="B376"/>
          <cell r="C376"/>
          <cell r="D376"/>
          <cell r="E376"/>
          <cell r="F376"/>
          <cell r="G376"/>
          <cell r="H376"/>
          <cell r="I376"/>
          <cell r="J376"/>
          <cell r="K376"/>
          <cell r="L376"/>
          <cell r="M376"/>
          <cell r="N376"/>
          <cell r="O376"/>
          <cell r="P376"/>
          <cell r="Q376"/>
          <cell r="R376"/>
          <cell r="S376"/>
        </row>
        <row r="377">
          <cell r="A377"/>
          <cell r="B377"/>
          <cell r="C377"/>
          <cell r="D377"/>
          <cell r="E377"/>
          <cell r="F377"/>
          <cell r="G377"/>
          <cell r="H377"/>
          <cell r="I377"/>
          <cell r="J377"/>
          <cell r="K377"/>
          <cell r="L377"/>
          <cell r="M377"/>
          <cell r="N377"/>
          <cell r="O377"/>
          <cell r="P377"/>
          <cell r="Q377"/>
          <cell r="R377"/>
          <cell r="S377"/>
        </row>
        <row r="378">
          <cell r="A378"/>
          <cell r="B378"/>
          <cell r="C378"/>
          <cell r="D378"/>
          <cell r="E378"/>
          <cell r="F378"/>
          <cell r="G378"/>
          <cell r="H378"/>
          <cell r="I378"/>
          <cell r="J378"/>
          <cell r="K378"/>
          <cell r="L378"/>
          <cell r="M378"/>
          <cell r="N378"/>
          <cell r="O378"/>
          <cell r="P378"/>
          <cell r="Q378"/>
          <cell r="R378"/>
          <cell r="S378"/>
        </row>
        <row r="379">
          <cell r="A379"/>
          <cell r="B379"/>
          <cell r="C379"/>
          <cell r="D379"/>
          <cell r="E379"/>
          <cell r="F379"/>
          <cell r="G379"/>
          <cell r="H379"/>
          <cell r="I379"/>
          <cell r="J379"/>
          <cell r="K379"/>
          <cell r="L379"/>
          <cell r="M379"/>
          <cell r="N379"/>
          <cell r="O379"/>
          <cell r="P379"/>
          <cell r="Q379"/>
          <cell r="R379"/>
          <cell r="S379"/>
        </row>
        <row r="380">
          <cell r="A380"/>
          <cell r="B380"/>
          <cell r="C380"/>
          <cell r="D380"/>
          <cell r="E380"/>
          <cell r="F380"/>
          <cell r="G380"/>
          <cell r="H380"/>
          <cell r="I380"/>
          <cell r="J380"/>
          <cell r="K380"/>
          <cell r="L380"/>
          <cell r="M380"/>
          <cell r="N380"/>
          <cell r="O380"/>
          <cell r="P380"/>
          <cell r="Q380"/>
          <cell r="R380"/>
          <cell r="S380"/>
        </row>
        <row r="381">
          <cell r="A381"/>
          <cell r="B381"/>
          <cell r="C381"/>
          <cell r="D381"/>
          <cell r="E381"/>
          <cell r="F381"/>
          <cell r="G381"/>
          <cell r="H381"/>
          <cell r="I381"/>
          <cell r="J381"/>
          <cell r="K381"/>
          <cell r="L381"/>
          <cell r="M381"/>
          <cell r="N381"/>
          <cell r="O381"/>
          <cell r="P381"/>
          <cell r="Q381"/>
          <cell r="R381"/>
          <cell r="S381"/>
        </row>
        <row r="382">
          <cell r="A382"/>
          <cell r="B382"/>
          <cell r="C382"/>
          <cell r="D382"/>
          <cell r="E382"/>
          <cell r="F382"/>
          <cell r="G382"/>
          <cell r="H382"/>
          <cell r="I382"/>
          <cell r="J382"/>
          <cell r="K382"/>
          <cell r="L382"/>
          <cell r="M382"/>
          <cell r="N382"/>
          <cell r="O382"/>
          <cell r="P382"/>
          <cell r="Q382"/>
          <cell r="R382"/>
          <cell r="S382"/>
        </row>
        <row r="383">
          <cell r="A383"/>
          <cell r="B383"/>
          <cell r="C383"/>
          <cell r="D383"/>
          <cell r="E383"/>
          <cell r="F383"/>
          <cell r="G383"/>
          <cell r="H383"/>
          <cell r="I383"/>
          <cell r="J383"/>
          <cell r="K383"/>
          <cell r="L383"/>
          <cell r="M383"/>
          <cell r="N383"/>
          <cell r="O383"/>
          <cell r="P383"/>
          <cell r="Q383"/>
          <cell r="R383"/>
          <cell r="S383"/>
        </row>
        <row r="384">
          <cell r="A384"/>
          <cell r="B384"/>
          <cell r="C384"/>
          <cell r="D384"/>
          <cell r="E384"/>
          <cell r="F384"/>
          <cell r="G384"/>
          <cell r="H384"/>
          <cell r="I384"/>
          <cell r="J384"/>
          <cell r="K384"/>
          <cell r="L384"/>
          <cell r="M384"/>
          <cell r="N384"/>
          <cell r="O384"/>
          <cell r="P384"/>
          <cell r="Q384"/>
          <cell r="R384"/>
          <cell r="S384"/>
        </row>
        <row r="385">
          <cell r="A385"/>
          <cell r="B385"/>
          <cell r="C385"/>
          <cell r="D385"/>
          <cell r="E385"/>
          <cell r="F385"/>
          <cell r="G385"/>
          <cell r="H385"/>
          <cell r="I385"/>
          <cell r="J385"/>
          <cell r="K385"/>
          <cell r="L385"/>
          <cell r="M385"/>
          <cell r="N385"/>
          <cell r="O385"/>
          <cell r="P385"/>
          <cell r="Q385"/>
          <cell r="R385"/>
          <cell r="S385"/>
        </row>
        <row r="386">
          <cell r="A386"/>
          <cell r="B386"/>
          <cell r="C386"/>
          <cell r="D386"/>
          <cell r="E386"/>
          <cell r="F386"/>
          <cell r="G386"/>
          <cell r="H386"/>
          <cell r="I386"/>
          <cell r="J386"/>
          <cell r="K386"/>
          <cell r="L386"/>
          <cell r="M386"/>
          <cell r="N386"/>
          <cell r="O386"/>
          <cell r="P386"/>
          <cell r="Q386"/>
          <cell r="R386"/>
          <cell r="S386"/>
        </row>
        <row r="387">
          <cell r="A387"/>
          <cell r="B387"/>
          <cell r="C387"/>
          <cell r="D387"/>
          <cell r="E387"/>
          <cell r="F387"/>
          <cell r="G387"/>
          <cell r="H387"/>
          <cell r="I387"/>
          <cell r="J387"/>
          <cell r="K387"/>
          <cell r="L387"/>
          <cell r="M387"/>
          <cell r="N387"/>
          <cell r="O387"/>
          <cell r="P387"/>
          <cell r="Q387"/>
          <cell r="R387"/>
          <cell r="S387"/>
        </row>
        <row r="388">
          <cell r="A388"/>
          <cell r="B388"/>
          <cell r="C388"/>
          <cell r="D388"/>
          <cell r="E388"/>
          <cell r="F388"/>
          <cell r="G388"/>
          <cell r="H388"/>
          <cell r="I388"/>
          <cell r="J388"/>
          <cell r="K388"/>
          <cell r="L388"/>
          <cell r="M388"/>
          <cell r="N388"/>
          <cell r="O388"/>
          <cell r="P388"/>
          <cell r="Q388"/>
          <cell r="R388"/>
          <cell r="S388"/>
        </row>
        <row r="389">
          <cell r="A389"/>
          <cell r="B389"/>
          <cell r="C389"/>
          <cell r="D389"/>
          <cell r="E389"/>
          <cell r="F389"/>
          <cell r="G389"/>
          <cell r="H389"/>
          <cell r="I389"/>
          <cell r="J389"/>
          <cell r="K389"/>
          <cell r="L389"/>
          <cell r="M389"/>
          <cell r="N389"/>
          <cell r="O389"/>
          <cell r="P389"/>
          <cell r="Q389"/>
          <cell r="R389"/>
          <cell r="S389"/>
        </row>
        <row r="390">
          <cell r="A390"/>
          <cell r="B390"/>
          <cell r="C390"/>
          <cell r="D390"/>
          <cell r="E390"/>
          <cell r="F390"/>
          <cell r="G390"/>
          <cell r="H390"/>
          <cell r="I390"/>
          <cell r="J390"/>
          <cell r="K390"/>
          <cell r="L390"/>
          <cell r="M390"/>
          <cell r="N390"/>
          <cell r="O390"/>
          <cell r="P390"/>
          <cell r="Q390"/>
          <cell r="R390"/>
          <cell r="S390"/>
        </row>
        <row r="391">
          <cell r="A391"/>
          <cell r="B391"/>
          <cell r="C391"/>
          <cell r="D391"/>
          <cell r="E391"/>
          <cell r="F391"/>
          <cell r="G391"/>
          <cell r="H391"/>
          <cell r="I391"/>
          <cell r="J391"/>
          <cell r="K391"/>
          <cell r="L391"/>
          <cell r="M391"/>
          <cell r="N391"/>
          <cell r="O391"/>
          <cell r="P391"/>
          <cell r="Q391"/>
          <cell r="R391"/>
          <cell r="S391"/>
        </row>
        <row r="392">
          <cell r="A392"/>
          <cell r="B392"/>
          <cell r="C392"/>
          <cell r="D392"/>
          <cell r="E392"/>
          <cell r="F392"/>
          <cell r="G392"/>
          <cell r="H392"/>
          <cell r="I392"/>
          <cell r="J392"/>
          <cell r="K392"/>
          <cell r="L392"/>
          <cell r="M392"/>
          <cell r="N392"/>
          <cell r="O392"/>
          <cell r="P392"/>
          <cell r="Q392"/>
          <cell r="R392"/>
          <cell r="S392"/>
        </row>
        <row r="393">
          <cell r="A393"/>
          <cell r="B393"/>
          <cell r="C393"/>
          <cell r="D393"/>
          <cell r="E393"/>
          <cell r="F393"/>
          <cell r="G393"/>
          <cell r="H393"/>
          <cell r="I393"/>
          <cell r="J393"/>
          <cell r="K393"/>
          <cell r="L393"/>
          <cell r="M393"/>
          <cell r="N393"/>
          <cell r="O393"/>
          <cell r="P393"/>
          <cell r="Q393"/>
          <cell r="R393"/>
          <cell r="S393"/>
        </row>
        <row r="394">
          <cell r="A394"/>
          <cell r="B394"/>
          <cell r="C394"/>
          <cell r="D394"/>
          <cell r="E394"/>
          <cell r="F394"/>
          <cell r="G394"/>
          <cell r="H394"/>
          <cell r="I394"/>
          <cell r="J394"/>
          <cell r="K394"/>
          <cell r="L394"/>
          <cell r="M394"/>
          <cell r="N394"/>
          <cell r="O394"/>
          <cell r="P394"/>
          <cell r="Q394"/>
          <cell r="R394"/>
          <cell r="S394"/>
        </row>
        <row r="395">
          <cell r="A395"/>
          <cell r="B395"/>
          <cell r="C395"/>
          <cell r="D395"/>
          <cell r="E395"/>
          <cell r="F395"/>
          <cell r="G395"/>
          <cell r="H395"/>
          <cell r="I395"/>
          <cell r="J395"/>
          <cell r="K395"/>
          <cell r="L395"/>
          <cell r="M395"/>
          <cell r="N395"/>
          <cell r="O395"/>
          <cell r="P395"/>
          <cell r="Q395"/>
          <cell r="R395"/>
          <cell r="S395"/>
        </row>
        <row r="396">
          <cell r="A396"/>
          <cell r="B396"/>
          <cell r="C396"/>
          <cell r="D396"/>
          <cell r="E396"/>
          <cell r="F396"/>
          <cell r="G396"/>
          <cell r="H396"/>
          <cell r="I396"/>
          <cell r="J396"/>
          <cell r="K396"/>
          <cell r="L396"/>
          <cell r="M396"/>
          <cell r="N396"/>
          <cell r="O396"/>
          <cell r="P396"/>
          <cell r="Q396"/>
          <cell r="R396"/>
          <cell r="S396"/>
        </row>
        <row r="397">
          <cell r="A397"/>
          <cell r="B397"/>
          <cell r="C397"/>
          <cell r="D397"/>
          <cell r="E397"/>
          <cell r="F397"/>
          <cell r="G397"/>
          <cell r="H397"/>
          <cell r="I397"/>
          <cell r="J397"/>
          <cell r="K397"/>
          <cell r="L397"/>
          <cell r="M397"/>
          <cell r="N397"/>
          <cell r="O397"/>
          <cell r="P397"/>
          <cell r="Q397"/>
          <cell r="R397"/>
          <cell r="S397"/>
        </row>
        <row r="398">
          <cell r="A398"/>
          <cell r="B398"/>
          <cell r="C398"/>
          <cell r="D398"/>
          <cell r="E398"/>
          <cell r="F398"/>
          <cell r="G398"/>
          <cell r="H398"/>
          <cell r="I398"/>
          <cell r="J398"/>
          <cell r="K398"/>
          <cell r="L398"/>
          <cell r="M398"/>
          <cell r="N398"/>
          <cell r="O398"/>
          <cell r="P398"/>
          <cell r="Q398"/>
          <cell r="R398"/>
          <cell r="S398"/>
        </row>
        <row r="399">
          <cell r="A399"/>
          <cell r="B399"/>
          <cell r="C399"/>
          <cell r="D399"/>
          <cell r="E399"/>
          <cell r="F399"/>
          <cell r="G399"/>
          <cell r="H399"/>
          <cell r="I399"/>
          <cell r="J399"/>
          <cell r="K399"/>
          <cell r="L399"/>
          <cell r="M399"/>
          <cell r="N399"/>
          <cell r="O399"/>
          <cell r="P399"/>
          <cell r="Q399"/>
          <cell r="R399"/>
          <cell r="S399"/>
        </row>
        <row r="400">
          <cell r="A400"/>
          <cell r="B400"/>
          <cell r="C400"/>
          <cell r="D400"/>
          <cell r="E400"/>
          <cell r="F400"/>
          <cell r="G400"/>
          <cell r="H400"/>
          <cell r="I400"/>
          <cell r="J400"/>
          <cell r="K400"/>
          <cell r="L400"/>
          <cell r="M400"/>
          <cell r="N400"/>
          <cell r="O400"/>
          <cell r="P400"/>
          <cell r="Q400"/>
          <cell r="R400"/>
          <cell r="S400"/>
        </row>
        <row r="401">
          <cell r="A401"/>
          <cell r="B401"/>
          <cell r="C401"/>
          <cell r="D401"/>
          <cell r="E401"/>
          <cell r="F401"/>
          <cell r="G401"/>
          <cell r="H401"/>
          <cell r="I401"/>
          <cell r="J401"/>
          <cell r="K401"/>
          <cell r="L401"/>
          <cell r="M401"/>
          <cell r="N401"/>
          <cell r="O401"/>
          <cell r="P401"/>
          <cell r="Q401"/>
          <cell r="R401"/>
          <cell r="S401"/>
        </row>
        <row r="402">
          <cell r="A402"/>
          <cell r="B402"/>
          <cell r="C402"/>
          <cell r="D402"/>
          <cell r="E402"/>
          <cell r="F402"/>
          <cell r="G402"/>
          <cell r="H402"/>
          <cell r="I402"/>
          <cell r="J402"/>
          <cell r="K402"/>
          <cell r="L402"/>
          <cell r="M402"/>
          <cell r="N402"/>
          <cell r="O402"/>
          <cell r="P402"/>
          <cell r="Q402"/>
          <cell r="R402"/>
          <cell r="S402"/>
        </row>
        <row r="403">
          <cell r="A403"/>
          <cell r="B403"/>
          <cell r="C403"/>
          <cell r="D403"/>
          <cell r="E403"/>
          <cell r="F403"/>
          <cell r="G403"/>
          <cell r="H403"/>
          <cell r="I403"/>
          <cell r="J403"/>
          <cell r="K403"/>
          <cell r="L403"/>
          <cell r="M403"/>
          <cell r="N403"/>
          <cell r="O403"/>
          <cell r="P403"/>
          <cell r="Q403"/>
          <cell r="R403"/>
          <cell r="S403"/>
        </row>
        <row r="404">
          <cell r="A404"/>
          <cell r="B404"/>
          <cell r="C404"/>
          <cell r="D404"/>
          <cell r="E404"/>
          <cell r="F404"/>
          <cell r="G404"/>
          <cell r="H404"/>
          <cell r="I404"/>
          <cell r="J404"/>
          <cell r="K404"/>
          <cell r="L404"/>
          <cell r="M404"/>
          <cell r="N404"/>
          <cell r="O404"/>
          <cell r="P404"/>
          <cell r="Q404"/>
          <cell r="R404"/>
          <cell r="S404"/>
        </row>
        <row r="405">
          <cell r="A405"/>
          <cell r="B405"/>
          <cell r="C405"/>
          <cell r="D405"/>
          <cell r="E405"/>
          <cell r="F405"/>
          <cell r="G405"/>
          <cell r="H405"/>
          <cell r="I405"/>
          <cell r="J405"/>
          <cell r="K405"/>
          <cell r="L405"/>
          <cell r="M405"/>
          <cell r="N405"/>
          <cell r="O405"/>
          <cell r="P405"/>
          <cell r="Q405"/>
          <cell r="R405"/>
          <cell r="S405"/>
        </row>
        <row r="406">
          <cell r="A406"/>
          <cell r="B406"/>
          <cell r="C406"/>
          <cell r="D406"/>
          <cell r="E406"/>
          <cell r="F406"/>
          <cell r="G406"/>
          <cell r="H406"/>
          <cell r="I406"/>
          <cell r="J406"/>
          <cell r="K406"/>
          <cell r="L406"/>
          <cell r="M406"/>
          <cell r="N406"/>
          <cell r="O406"/>
          <cell r="P406"/>
          <cell r="Q406"/>
          <cell r="R406"/>
          <cell r="S406"/>
        </row>
        <row r="407">
          <cell r="A407"/>
          <cell r="B407"/>
          <cell r="C407"/>
          <cell r="D407"/>
          <cell r="E407"/>
          <cell r="F407"/>
          <cell r="G407"/>
          <cell r="H407"/>
          <cell r="I407"/>
          <cell r="J407"/>
          <cell r="K407"/>
          <cell r="L407"/>
          <cell r="M407"/>
          <cell r="N407"/>
          <cell r="O407"/>
          <cell r="P407"/>
          <cell r="Q407"/>
          <cell r="R407"/>
          <cell r="S407"/>
        </row>
        <row r="408">
          <cell r="A408"/>
          <cell r="B408"/>
          <cell r="C408"/>
          <cell r="D408"/>
          <cell r="E408"/>
          <cell r="F408"/>
          <cell r="G408"/>
          <cell r="H408"/>
          <cell r="I408"/>
          <cell r="J408"/>
          <cell r="K408"/>
          <cell r="L408"/>
          <cell r="M408"/>
          <cell r="N408"/>
          <cell r="O408"/>
          <cell r="P408"/>
          <cell r="Q408"/>
          <cell r="R408"/>
          <cell r="S408"/>
        </row>
        <row r="409">
          <cell r="A409"/>
          <cell r="B409"/>
          <cell r="C409"/>
          <cell r="D409"/>
          <cell r="E409"/>
          <cell r="F409"/>
          <cell r="G409"/>
          <cell r="H409"/>
          <cell r="I409"/>
          <cell r="J409"/>
          <cell r="K409"/>
          <cell r="L409"/>
          <cell r="M409"/>
          <cell r="N409"/>
          <cell r="O409"/>
          <cell r="P409"/>
          <cell r="Q409"/>
          <cell r="R409"/>
          <cell r="S409"/>
        </row>
        <row r="410">
          <cell r="A410"/>
          <cell r="B410"/>
          <cell r="C410"/>
          <cell r="D410"/>
          <cell r="E410"/>
          <cell r="F410"/>
          <cell r="G410"/>
          <cell r="H410"/>
          <cell r="I410"/>
          <cell r="J410"/>
          <cell r="K410"/>
          <cell r="L410"/>
          <cell r="M410"/>
          <cell r="N410"/>
          <cell r="O410"/>
          <cell r="P410"/>
          <cell r="Q410"/>
          <cell r="R410"/>
          <cell r="S410"/>
        </row>
        <row r="411">
          <cell r="A411"/>
          <cell r="B411"/>
          <cell r="C411"/>
          <cell r="D411"/>
          <cell r="E411"/>
          <cell r="F411"/>
          <cell r="G411"/>
          <cell r="H411"/>
          <cell r="I411"/>
          <cell r="J411"/>
          <cell r="K411"/>
          <cell r="L411"/>
          <cell r="M411"/>
          <cell r="N411"/>
          <cell r="O411"/>
          <cell r="P411"/>
          <cell r="Q411"/>
          <cell r="R411"/>
          <cell r="S411"/>
        </row>
        <row r="412">
          <cell r="A412"/>
          <cell r="B412"/>
          <cell r="C412"/>
          <cell r="D412"/>
          <cell r="E412"/>
          <cell r="F412"/>
          <cell r="G412"/>
          <cell r="H412"/>
          <cell r="I412"/>
          <cell r="J412"/>
          <cell r="K412"/>
          <cell r="L412"/>
          <cell r="M412"/>
          <cell r="N412"/>
          <cell r="O412"/>
          <cell r="P412"/>
          <cell r="Q412"/>
          <cell r="R412"/>
          <cell r="S412"/>
        </row>
        <row r="413">
          <cell r="A413"/>
          <cell r="B413"/>
          <cell r="C413"/>
          <cell r="D413"/>
          <cell r="E413"/>
          <cell r="F413"/>
          <cell r="G413"/>
          <cell r="H413"/>
          <cell r="I413"/>
          <cell r="J413"/>
          <cell r="K413"/>
          <cell r="L413"/>
          <cell r="M413"/>
          <cell r="N413"/>
          <cell r="O413"/>
          <cell r="P413"/>
          <cell r="Q413"/>
          <cell r="R413"/>
          <cell r="S413"/>
        </row>
        <row r="414">
          <cell r="A414"/>
          <cell r="B414"/>
          <cell r="C414"/>
          <cell r="D414"/>
          <cell r="E414"/>
          <cell r="F414"/>
          <cell r="G414"/>
          <cell r="H414"/>
          <cell r="I414"/>
          <cell r="J414"/>
          <cell r="K414"/>
          <cell r="L414"/>
          <cell r="M414"/>
          <cell r="N414"/>
          <cell r="O414"/>
          <cell r="P414"/>
          <cell r="Q414"/>
          <cell r="R414"/>
          <cell r="S414"/>
        </row>
        <row r="415">
          <cell r="A415"/>
          <cell r="B415"/>
          <cell r="C415"/>
          <cell r="D415"/>
          <cell r="E415"/>
          <cell r="F415"/>
          <cell r="G415"/>
          <cell r="H415"/>
          <cell r="I415"/>
          <cell r="J415"/>
          <cell r="K415"/>
          <cell r="L415"/>
          <cell r="M415"/>
          <cell r="N415"/>
          <cell r="O415"/>
          <cell r="P415"/>
          <cell r="Q415"/>
          <cell r="R415"/>
          <cell r="S415"/>
        </row>
        <row r="416">
          <cell r="A416"/>
          <cell r="B416"/>
          <cell r="C416"/>
          <cell r="D416"/>
          <cell r="E416"/>
          <cell r="F416"/>
          <cell r="G416"/>
          <cell r="H416"/>
          <cell r="I416"/>
          <cell r="J416"/>
          <cell r="K416"/>
          <cell r="L416"/>
          <cell r="M416"/>
          <cell r="N416"/>
          <cell r="O416"/>
          <cell r="P416"/>
          <cell r="Q416"/>
          <cell r="R416"/>
          <cell r="S416"/>
        </row>
        <row r="417">
          <cell r="A417"/>
          <cell r="B417"/>
          <cell r="C417"/>
          <cell r="D417"/>
          <cell r="E417"/>
          <cell r="F417"/>
          <cell r="G417"/>
          <cell r="H417"/>
          <cell r="I417"/>
          <cell r="J417"/>
          <cell r="K417"/>
          <cell r="L417"/>
          <cell r="M417"/>
          <cell r="N417"/>
          <cell r="O417"/>
          <cell r="P417"/>
          <cell r="Q417"/>
          <cell r="R417"/>
          <cell r="S417"/>
        </row>
        <row r="418">
          <cell r="A418"/>
          <cell r="B418"/>
          <cell r="C418"/>
          <cell r="D418"/>
          <cell r="E418"/>
          <cell r="F418"/>
          <cell r="G418"/>
          <cell r="H418"/>
          <cell r="I418"/>
          <cell r="J418"/>
          <cell r="K418"/>
          <cell r="L418"/>
          <cell r="M418"/>
          <cell r="N418"/>
          <cell r="O418"/>
          <cell r="P418"/>
          <cell r="Q418"/>
          <cell r="R418"/>
          <cell r="S418"/>
        </row>
        <row r="419">
          <cell r="A419"/>
          <cell r="B419"/>
          <cell r="C419"/>
          <cell r="D419"/>
          <cell r="E419"/>
          <cell r="F419"/>
          <cell r="G419"/>
          <cell r="H419"/>
          <cell r="I419"/>
          <cell r="J419"/>
          <cell r="K419"/>
          <cell r="L419"/>
          <cell r="M419"/>
          <cell r="N419"/>
          <cell r="O419"/>
          <cell r="P419"/>
          <cell r="Q419"/>
          <cell r="R419"/>
          <cell r="S419"/>
        </row>
        <row r="420">
          <cell r="A420"/>
          <cell r="B420"/>
          <cell r="C420"/>
          <cell r="D420"/>
          <cell r="E420"/>
          <cell r="F420"/>
          <cell r="G420"/>
          <cell r="H420"/>
          <cell r="I420"/>
          <cell r="J420"/>
          <cell r="K420"/>
          <cell r="L420"/>
          <cell r="M420"/>
          <cell r="N420"/>
          <cell r="O420"/>
          <cell r="P420"/>
          <cell r="Q420"/>
          <cell r="R420"/>
          <cell r="S420"/>
        </row>
        <row r="421">
          <cell r="A421"/>
          <cell r="B421"/>
          <cell r="C421"/>
          <cell r="D421"/>
          <cell r="E421"/>
          <cell r="F421"/>
          <cell r="G421"/>
          <cell r="H421"/>
          <cell r="I421"/>
          <cell r="J421"/>
          <cell r="K421"/>
          <cell r="L421"/>
          <cell r="M421"/>
          <cell r="N421"/>
          <cell r="O421"/>
          <cell r="P421"/>
          <cell r="Q421"/>
          <cell r="R421"/>
          <cell r="S421"/>
        </row>
        <row r="422">
          <cell r="A422"/>
          <cell r="B422"/>
          <cell r="C422"/>
          <cell r="D422"/>
          <cell r="E422"/>
          <cell r="F422"/>
          <cell r="G422"/>
          <cell r="H422"/>
          <cell r="I422"/>
          <cell r="J422"/>
          <cell r="K422"/>
          <cell r="L422"/>
          <cell r="M422"/>
          <cell r="N422"/>
          <cell r="O422"/>
          <cell r="P422"/>
          <cell r="Q422"/>
          <cell r="R422"/>
          <cell r="S422"/>
        </row>
        <row r="423">
          <cell r="A423"/>
          <cell r="B423"/>
          <cell r="C423"/>
          <cell r="D423"/>
          <cell r="E423"/>
          <cell r="F423"/>
          <cell r="G423"/>
          <cell r="H423"/>
          <cell r="I423"/>
          <cell r="J423"/>
          <cell r="K423"/>
          <cell r="L423"/>
          <cell r="M423"/>
          <cell r="N423"/>
          <cell r="O423"/>
          <cell r="P423"/>
          <cell r="Q423"/>
          <cell r="R423"/>
          <cell r="S423"/>
        </row>
        <row r="424">
          <cell r="A424"/>
          <cell r="B424"/>
          <cell r="C424"/>
          <cell r="D424"/>
          <cell r="E424"/>
          <cell r="F424"/>
          <cell r="G424"/>
          <cell r="H424"/>
          <cell r="I424"/>
          <cell r="J424"/>
          <cell r="K424"/>
          <cell r="L424"/>
          <cell r="M424"/>
          <cell r="N424"/>
          <cell r="O424"/>
          <cell r="P424"/>
          <cell r="Q424"/>
          <cell r="R424"/>
          <cell r="S424"/>
        </row>
        <row r="425">
          <cell r="A425"/>
          <cell r="B425"/>
          <cell r="C425"/>
          <cell r="D425"/>
          <cell r="E425"/>
          <cell r="F425"/>
          <cell r="G425"/>
          <cell r="H425"/>
          <cell r="I425"/>
          <cell r="J425"/>
          <cell r="K425"/>
          <cell r="L425"/>
          <cell r="M425"/>
          <cell r="N425"/>
          <cell r="O425"/>
          <cell r="P425"/>
          <cell r="Q425"/>
          <cell r="R425"/>
          <cell r="S425"/>
        </row>
        <row r="426">
          <cell r="A426"/>
          <cell r="B426"/>
          <cell r="C426"/>
          <cell r="D426"/>
          <cell r="E426"/>
          <cell r="F426"/>
          <cell r="G426"/>
          <cell r="H426"/>
          <cell r="I426"/>
          <cell r="J426"/>
          <cell r="K426"/>
          <cell r="L426"/>
          <cell r="M426"/>
          <cell r="N426"/>
          <cell r="O426"/>
          <cell r="P426"/>
          <cell r="Q426"/>
          <cell r="R426"/>
          <cell r="S426"/>
        </row>
        <row r="427">
          <cell r="A427"/>
          <cell r="B427"/>
          <cell r="C427"/>
          <cell r="D427"/>
          <cell r="E427"/>
          <cell r="F427"/>
          <cell r="G427"/>
          <cell r="H427"/>
          <cell r="I427"/>
          <cell r="J427"/>
          <cell r="K427"/>
          <cell r="L427"/>
          <cell r="M427"/>
          <cell r="N427"/>
          <cell r="O427"/>
          <cell r="P427"/>
          <cell r="Q427"/>
          <cell r="R427"/>
          <cell r="S427"/>
        </row>
        <row r="428">
          <cell r="A428"/>
          <cell r="B428"/>
          <cell r="C428"/>
          <cell r="D428"/>
          <cell r="E428"/>
          <cell r="F428"/>
          <cell r="G428"/>
          <cell r="H428"/>
          <cell r="I428"/>
          <cell r="J428"/>
          <cell r="K428"/>
          <cell r="L428"/>
          <cell r="M428"/>
          <cell r="N428"/>
          <cell r="O428"/>
          <cell r="P428"/>
          <cell r="Q428"/>
          <cell r="R428"/>
          <cell r="S428"/>
        </row>
        <row r="429">
          <cell r="A429"/>
          <cell r="B429"/>
          <cell r="C429"/>
          <cell r="D429"/>
          <cell r="E429"/>
          <cell r="F429"/>
          <cell r="G429"/>
          <cell r="H429"/>
          <cell r="I429"/>
          <cell r="J429"/>
          <cell r="K429"/>
          <cell r="L429"/>
          <cell r="M429"/>
          <cell r="N429"/>
          <cell r="O429"/>
          <cell r="P429"/>
          <cell r="Q429"/>
          <cell r="R429"/>
          <cell r="S429"/>
        </row>
        <row r="430">
          <cell r="A430"/>
          <cell r="B430"/>
          <cell r="C430"/>
          <cell r="D430"/>
          <cell r="E430"/>
          <cell r="F430"/>
          <cell r="G430"/>
          <cell r="H430"/>
          <cell r="I430"/>
          <cell r="J430"/>
          <cell r="K430"/>
          <cell r="L430"/>
          <cell r="M430"/>
          <cell r="N430"/>
          <cell r="O430"/>
          <cell r="P430"/>
          <cell r="Q430"/>
          <cell r="R430"/>
          <cell r="S430"/>
        </row>
        <row r="431">
          <cell r="A431"/>
          <cell r="B431"/>
          <cell r="C431"/>
          <cell r="D431"/>
          <cell r="E431"/>
          <cell r="F431"/>
          <cell r="G431"/>
          <cell r="H431"/>
          <cell r="I431"/>
          <cell r="J431"/>
          <cell r="K431"/>
          <cell r="L431"/>
          <cell r="M431"/>
          <cell r="N431"/>
          <cell r="O431"/>
          <cell r="P431"/>
          <cell r="Q431"/>
          <cell r="R431"/>
          <cell r="S431"/>
        </row>
        <row r="432">
          <cell r="A432"/>
          <cell r="B432"/>
          <cell r="C432"/>
          <cell r="D432"/>
          <cell r="E432"/>
          <cell r="F432"/>
          <cell r="G432"/>
          <cell r="H432"/>
          <cell r="I432"/>
          <cell r="J432"/>
          <cell r="K432"/>
          <cell r="L432"/>
          <cell r="M432"/>
          <cell r="N432"/>
          <cell r="O432"/>
          <cell r="P432"/>
          <cell r="Q432"/>
          <cell r="R432"/>
          <cell r="S432"/>
        </row>
        <row r="433">
          <cell r="A433"/>
          <cell r="B433"/>
          <cell r="C433"/>
          <cell r="D433"/>
          <cell r="E433"/>
          <cell r="F433"/>
          <cell r="G433"/>
          <cell r="H433"/>
          <cell r="I433"/>
          <cell r="J433"/>
          <cell r="K433"/>
          <cell r="L433"/>
          <cell r="M433"/>
          <cell r="N433"/>
          <cell r="O433"/>
          <cell r="P433"/>
          <cell r="Q433"/>
          <cell r="R433"/>
          <cell r="S433"/>
        </row>
        <row r="434">
          <cell r="A434"/>
          <cell r="B434"/>
          <cell r="C434"/>
          <cell r="D434"/>
          <cell r="E434"/>
          <cell r="F434"/>
          <cell r="G434"/>
          <cell r="H434"/>
          <cell r="I434"/>
          <cell r="J434"/>
          <cell r="K434"/>
          <cell r="L434"/>
          <cell r="M434"/>
          <cell r="N434"/>
          <cell r="O434"/>
          <cell r="P434"/>
          <cell r="Q434"/>
          <cell r="R434"/>
          <cell r="S434"/>
        </row>
        <row r="435">
          <cell r="A435"/>
          <cell r="B435"/>
          <cell r="C435"/>
          <cell r="D435"/>
          <cell r="E435"/>
          <cell r="F435"/>
          <cell r="G435"/>
          <cell r="H435"/>
          <cell r="I435"/>
          <cell r="J435"/>
          <cell r="K435"/>
          <cell r="L435"/>
          <cell r="M435"/>
          <cell r="N435"/>
          <cell r="O435"/>
          <cell r="P435"/>
          <cell r="Q435"/>
          <cell r="R435"/>
          <cell r="S435"/>
        </row>
        <row r="436">
          <cell r="A436"/>
          <cell r="B436"/>
          <cell r="C436"/>
          <cell r="D436"/>
          <cell r="E436"/>
          <cell r="F436"/>
          <cell r="G436"/>
          <cell r="H436"/>
          <cell r="I436"/>
          <cell r="J436"/>
          <cell r="K436"/>
          <cell r="L436"/>
          <cell r="M436"/>
          <cell r="N436"/>
          <cell r="O436"/>
          <cell r="P436"/>
          <cell r="Q436"/>
          <cell r="R436"/>
          <cell r="S436"/>
        </row>
        <row r="437">
          <cell r="A437"/>
          <cell r="B437"/>
          <cell r="C437"/>
          <cell r="D437"/>
          <cell r="E437"/>
          <cell r="F437"/>
          <cell r="G437"/>
          <cell r="H437"/>
          <cell r="I437"/>
          <cell r="J437"/>
          <cell r="K437"/>
          <cell r="L437"/>
          <cell r="M437"/>
          <cell r="N437"/>
          <cell r="O437"/>
          <cell r="P437"/>
          <cell r="Q437"/>
          <cell r="R437"/>
          <cell r="S437"/>
        </row>
        <row r="438">
          <cell r="A438"/>
          <cell r="B438"/>
          <cell r="C438"/>
          <cell r="D438"/>
          <cell r="E438"/>
          <cell r="F438"/>
          <cell r="G438"/>
          <cell r="H438"/>
          <cell r="I438"/>
          <cell r="J438"/>
          <cell r="K438"/>
          <cell r="L438"/>
          <cell r="M438"/>
          <cell r="N438"/>
          <cell r="O438"/>
          <cell r="P438"/>
          <cell r="Q438"/>
          <cell r="R438"/>
          <cell r="S438"/>
        </row>
        <row r="439">
          <cell r="A439"/>
          <cell r="B439"/>
          <cell r="C439"/>
          <cell r="D439"/>
          <cell r="E439"/>
          <cell r="F439"/>
          <cell r="G439"/>
          <cell r="H439"/>
          <cell r="I439"/>
          <cell r="J439"/>
          <cell r="K439"/>
          <cell r="L439"/>
          <cell r="M439"/>
          <cell r="N439"/>
          <cell r="O439"/>
          <cell r="P439"/>
          <cell r="Q439"/>
          <cell r="R439"/>
          <cell r="S439"/>
        </row>
        <row r="440">
          <cell r="A440"/>
          <cell r="B440"/>
          <cell r="C440"/>
          <cell r="D440"/>
          <cell r="E440"/>
          <cell r="F440"/>
          <cell r="G440"/>
          <cell r="H440"/>
          <cell r="I440"/>
          <cell r="J440"/>
          <cell r="K440"/>
          <cell r="L440"/>
          <cell r="M440"/>
          <cell r="N440"/>
          <cell r="O440"/>
          <cell r="P440"/>
          <cell r="Q440"/>
          <cell r="R440"/>
          <cell r="S440"/>
        </row>
        <row r="441">
          <cell r="A441"/>
          <cell r="B441"/>
          <cell r="C441"/>
          <cell r="D441"/>
          <cell r="E441"/>
          <cell r="F441"/>
          <cell r="G441"/>
          <cell r="H441"/>
          <cell r="I441"/>
          <cell r="J441"/>
          <cell r="K441"/>
          <cell r="L441"/>
          <cell r="M441"/>
          <cell r="N441"/>
          <cell r="O441"/>
          <cell r="P441"/>
          <cell r="Q441"/>
          <cell r="R441"/>
          <cell r="S441"/>
        </row>
        <row r="442">
          <cell r="A442"/>
          <cell r="B442"/>
          <cell r="C442"/>
          <cell r="D442"/>
          <cell r="E442"/>
          <cell r="F442"/>
          <cell r="G442"/>
          <cell r="H442"/>
          <cell r="I442"/>
          <cell r="J442"/>
          <cell r="K442"/>
          <cell r="L442"/>
          <cell r="M442"/>
          <cell r="N442"/>
          <cell r="O442"/>
          <cell r="P442"/>
          <cell r="Q442"/>
          <cell r="R442"/>
          <cell r="S442"/>
        </row>
        <row r="443">
          <cell r="A443"/>
          <cell r="B443"/>
          <cell r="C443"/>
          <cell r="D443"/>
          <cell r="E443"/>
          <cell r="F443"/>
          <cell r="G443"/>
          <cell r="H443"/>
          <cell r="I443"/>
          <cell r="J443"/>
          <cell r="K443"/>
          <cell r="L443"/>
          <cell r="M443"/>
          <cell r="N443"/>
          <cell r="O443"/>
          <cell r="P443"/>
          <cell r="Q443"/>
          <cell r="R443"/>
          <cell r="S443"/>
        </row>
        <row r="444">
          <cell r="A444"/>
          <cell r="B444"/>
          <cell r="C444"/>
          <cell r="D444"/>
          <cell r="E444"/>
          <cell r="F444"/>
          <cell r="G444"/>
          <cell r="H444"/>
          <cell r="I444"/>
          <cell r="J444"/>
          <cell r="K444"/>
          <cell r="L444"/>
          <cell r="M444"/>
          <cell r="N444"/>
          <cell r="O444"/>
          <cell r="P444"/>
          <cell r="Q444"/>
          <cell r="R444"/>
          <cell r="S444"/>
        </row>
        <row r="445">
          <cell r="A445"/>
          <cell r="B445"/>
          <cell r="C445"/>
          <cell r="D445"/>
          <cell r="E445"/>
          <cell r="F445"/>
          <cell r="G445"/>
          <cell r="H445"/>
          <cell r="I445"/>
          <cell r="J445"/>
          <cell r="K445"/>
          <cell r="L445"/>
          <cell r="M445"/>
          <cell r="N445"/>
          <cell r="O445"/>
          <cell r="P445"/>
          <cell r="Q445"/>
          <cell r="R445"/>
          <cell r="S445"/>
        </row>
        <row r="446">
          <cell r="A446"/>
          <cell r="B446"/>
          <cell r="C446"/>
          <cell r="D446"/>
          <cell r="E446"/>
          <cell r="F446"/>
          <cell r="G446"/>
          <cell r="H446"/>
          <cell r="I446"/>
          <cell r="J446"/>
          <cell r="K446"/>
          <cell r="L446"/>
          <cell r="M446"/>
          <cell r="N446"/>
          <cell r="O446"/>
          <cell r="P446"/>
          <cell r="Q446"/>
          <cell r="R446"/>
          <cell r="S446"/>
        </row>
        <row r="447">
          <cell r="A447"/>
          <cell r="B447"/>
          <cell r="C447"/>
          <cell r="D447"/>
          <cell r="E447"/>
          <cell r="F447"/>
          <cell r="G447"/>
          <cell r="H447"/>
          <cell r="I447"/>
          <cell r="J447"/>
          <cell r="K447"/>
          <cell r="L447"/>
          <cell r="M447"/>
          <cell r="N447"/>
          <cell r="O447"/>
          <cell r="P447"/>
          <cell r="Q447"/>
          <cell r="R447"/>
          <cell r="S447"/>
        </row>
        <row r="448">
          <cell r="A448"/>
          <cell r="B448"/>
          <cell r="C448"/>
          <cell r="D448"/>
          <cell r="E448"/>
          <cell r="F448"/>
          <cell r="G448"/>
          <cell r="H448"/>
          <cell r="I448"/>
          <cell r="J448"/>
          <cell r="K448"/>
          <cell r="L448"/>
          <cell r="M448"/>
          <cell r="N448"/>
          <cell r="O448"/>
          <cell r="P448"/>
          <cell r="Q448"/>
          <cell r="R448"/>
          <cell r="S448"/>
        </row>
        <row r="449">
          <cell r="A449"/>
          <cell r="B449"/>
          <cell r="C449"/>
          <cell r="D449"/>
          <cell r="E449"/>
          <cell r="F449"/>
          <cell r="G449"/>
          <cell r="H449"/>
          <cell r="I449"/>
          <cell r="J449"/>
          <cell r="K449"/>
          <cell r="L449"/>
          <cell r="M449"/>
          <cell r="N449"/>
          <cell r="O449"/>
          <cell r="P449"/>
          <cell r="Q449"/>
          <cell r="R449"/>
          <cell r="S449"/>
        </row>
        <row r="450">
          <cell r="A450"/>
          <cell r="B450"/>
          <cell r="C450"/>
          <cell r="D450"/>
          <cell r="E450"/>
          <cell r="F450"/>
          <cell r="G450"/>
          <cell r="H450"/>
          <cell r="I450"/>
          <cell r="J450"/>
          <cell r="K450"/>
          <cell r="L450"/>
          <cell r="M450"/>
          <cell r="N450"/>
          <cell r="O450"/>
          <cell r="P450"/>
          <cell r="Q450"/>
          <cell r="R450"/>
          <cell r="S450"/>
        </row>
        <row r="451">
          <cell r="A451"/>
          <cell r="B451"/>
          <cell r="C451"/>
          <cell r="D451"/>
          <cell r="E451"/>
          <cell r="F451"/>
          <cell r="G451"/>
          <cell r="H451"/>
          <cell r="I451"/>
          <cell r="J451"/>
          <cell r="K451"/>
          <cell r="L451"/>
          <cell r="M451"/>
          <cell r="N451"/>
          <cell r="O451"/>
          <cell r="P451"/>
          <cell r="Q451"/>
          <cell r="R451"/>
          <cell r="S451"/>
        </row>
        <row r="452">
          <cell r="A452"/>
          <cell r="B452"/>
          <cell r="C452"/>
          <cell r="D452"/>
          <cell r="E452"/>
          <cell r="F452"/>
          <cell r="G452"/>
          <cell r="H452"/>
          <cell r="I452"/>
          <cell r="J452"/>
          <cell r="K452"/>
          <cell r="L452"/>
          <cell r="M452"/>
          <cell r="N452"/>
          <cell r="O452"/>
          <cell r="P452"/>
          <cell r="Q452"/>
          <cell r="R452"/>
          <cell r="S452"/>
        </row>
        <row r="453">
          <cell r="A453"/>
          <cell r="B453"/>
          <cell r="C453"/>
          <cell r="D453"/>
          <cell r="E453"/>
          <cell r="F453"/>
          <cell r="G453"/>
          <cell r="H453"/>
          <cell r="I453"/>
          <cell r="J453"/>
          <cell r="K453"/>
          <cell r="L453"/>
          <cell r="M453"/>
          <cell r="N453"/>
          <cell r="O453"/>
          <cell r="P453"/>
          <cell r="Q453"/>
          <cell r="R453"/>
          <cell r="S453"/>
        </row>
        <row r="454">
          <cell r="A454"/>
          <cell r="B454"/>
          <cell r="C454"/>
          <cell r="D454"/>
          <cell r="E454"/>
          <cell r="F454"/>
          <cell r="G454"/>
          <cell r="H454"/>
          <cell r="I454"/>
          <cell r="J454"/>
          <cell r="K454"/>
          <cell r="L454"/>
          <cell r="M454"/>
          <cell r="N454"/>
          <cell r="O454"/>
          <cell r="P454"/>
          <cell r="Q454"/>
          <cell r="R454"/>
          <cell r="S454"/>
        </row>
        <row r="455">
          <cell r="A455"/>
          <cell r="B455"/>
          <cell r="C455"/>
          <cell r="D455"/>
          <cell r="E455"/>
          <cell r="F455"/>
          <cell r="G455"/>
          <cell r="H455"/>
          <cell r="I455"/>
          <cell r="J455"/>
          <cell r="K455"/>
          <cell r="L455"/>
          <cell r="M455"/>
          <cell r="N455"/>
          <cell r="O455"/>
          <cell r="P455"/>
          <cell r="Q455"/>
          <cell r="R455"/>
          <cell r="S455"/>
        </row>
        <row r="456">
          <cell r="A456"/>
          <cell r="B456"/>
          <cell r="C456"/>
          <cell r="D456"/>
          <cell r="E456"/>
          <cell r="F456"/>
          <cell r="G456"/>
          <cell r="H456"/>
          <cell r="I456"/>
          <cell r="J456"/>
          <cell r="K456"/>
          <cell r="L456"/>
          <cell r="M456"/>
          <cell r="N456"/>
          <cell r="O456"/>
          <cell r="P456"/>
          <cell r="Q456"/>
          <cell r="R456"/>
          <cell r="S456"/>
        </row>
        <row r="457">
          <cell r="A457"/>
          <cell r="B457"/>
          <cell r="C457"/>
          <cell r="D457"/>
          <cell r="E457"/>
          <cell r="F457"/>
          <cell r="G457"/>
          <cell r="H457"/>
          <cell r="I457"/>
          <cell r="J457"/>
          <cell r="K457"/>
          <cell r="L457"/>
          <cell r="M457"/>
          <cell r="N457"/>
          <cell r="O457"/>
          <cell r="P457"/>
          <cell r="Q457"/>
          <cell r="R457"/>
          <cell r="S457"/>
        </row>
        <row r="458">
          <cell r="A458"/>
          <cell r="B458"/>
          <cell r="C458"/>
          <cell r="D458"/>
          <cell r="E458"/>
          <cell r="F458"/>
          <cell r="G458"/>
          <cell r="H458"/>
          <cell r="I458"/>
          <cell r="J458"/>
          <cell r="K458"/>
          <cell r="L458"/>
          <cell r="M458"/>
          <cell r="N458"/>
          <cell r="O458"/>
          <cell r="P458"/>
          <cell r="Q458"/>
          <cell r="R458"/>
          <cell r="S458"/>
        </row>
        <row r="459">
          <cell r="A459"/>
          <cell r="B459"/>
          <cell r="C459"/>
          <cell r="D459"/>
          <cell r="E459"/>
          <cell r="F459"/>
          <cell r="G459"/>
          <cell r="H459"/>
          <cell r="I459"/>
          <cell r="J459"/>
          <cell r="K459"/>
          <cell r="L459"/>
          <cell r="M459"/>
          <cell r="N459"/>
          <cell r="O459"/>
          <cell r="P459"/>
          <cell r="Q459"/>
          <cell r="R459"/>
          <cell r="S459"/>
        </row>
        <row r="460">
          <cell r="A460"/>
          <cell r="B460"/>
          <cell r="C460"/>
          <cell r="D460"/>
          <cell r="E460"/>
          <cell r="F460"/>
          <cell r="G460"/>
          <cell r="H460"/>
          <cell r="I460"/>
          <cell r="J460"/>
          <cell r="K460"/>
          <cell r="L460"/>
          <cell r="M460"/>
          <cell r="N460"/>
          <cell r="O460"/>
          <cell r="P460"/>
          <cell r="Q460"/>
          <cell r="R460"/>
          <cell r="S460"/>
        </row>
        <row r="461">
          <cell r="A461"/>
          <cell r="B461"/>
          <cell r="C461"/>
          <cell r="D461"/>
          <cell r="E461"/>
          <cell r="F461"/>
          <cell r="G461"/>
          <cell r="H461"/>
          <cell r="I461"/>
          <cell r="J461"/>
          <cell r="K461"/>
          <cell r="L461"/>
          <cell r="M461"/>
          <cell r="N461"/>
          <cell r="O461"/>
          <cell r="P461"/>
          <cell r="Q461"/>
          <cell r="R461"/>
          <cell r="S461"/>
        </row>
        <row r="462">
          <cell r="A462"/>
          <cell r="B462"/>
          <cell r="C462"/>
          <cell r="D462"/>
          <cell r="E462"/>
          <cell r="F462"/>
          <cell r="G462"/>
          <cell r="H462"/>
          <cell r="I462"/>
          <cell r="J462"/>
          <cell r="K462"/>
          <cell r="L462"/>
          <cell r="M462"/>
          <cell r="N462"/>
          <cell r="O462"/>
          <cell r="P462"/>
          <cell r="Q462"/>
          <cell r="R462"/>
          <cell r="S462"/>
        </row>
        <row r="463">
          <cell r="A463"/>
          <cell r="B463"/>
          <cell r="C463"/>
          <cell r="D463"/>
          <cell r="E463"/>
          <cell r="F463"/>
          <cell r="G463"/>
          <cell r="H463"/>
          <cell r="I463"/>
          <cell r="J463"/>
          <cell r="K463"/>
          <cell r="L463"/>
          <cell r="M463"/>
          <cell r="N463"/>
          <cell r="O463"/>
          <cell r="P463"/>
          <cell r="Q463"/>
          <cell r="R463"/>
          <cell r="S463"/>
        </row>
        <row r="464">
          <cell r="A464"/>
          <cell r="B464"/>
          <cell r="C464"/>
          <cell r="D464"/>
          <cell r="E464"/>
          <cell r="F464"/>
          <cell r="G464"/>
          <cell r="H464"/>
          <cell r="I464"/>
          <cell r="J464"/>
          <cell r="K464"/>
          <cell r="L464"/>
          <cell r="M464"/>
          <cell r="N464"/>
          <cell r="O464"/>
          <cell r="P464"/>
          <cell r="Q464"/>
          <cell r="R464"/>
          <cell r="S464"/>
        </row>
        <row r="465">
          <cell r="A465"/>
          <cell r="B465"/>
          <cell r="C465"/>
          <cell r="D465"/>
          <cell r="E465"/>
          <cell r="F465"/>
          <cell r="G465"/>
          <cell r="H465"/>
          <cell r="I465"/>
          <cell r="J465"/>
          <cell r="K465"/>
          <cell r="L465"/>
          <cell r="M465"/>
          <cell r="N465"/>
          <cell r="O465"/>
          <cell r="P465"/>
          <cell r="Q465"/>
          <cell r="R465"/>
          <cell r="S465"/>
        </row>
        <row r="466">
          <cell r="A466"/>
          <cell r="B466"/>
          <cell r="C466"/>
          <cell r="D466"/>
          <cell r="E466"/>
          <cell r="F466"/>
          <cell r="G466"/>
          <cell r="H466"/>
          <cell r="I466"/>
          <cell r="J466"/>
          <cell r="K466"/>
          <cell r="L466"/>
          <cell r="M466"/>
          <cell r="N466"/>
          <cell r="O466"/>
          <cell r="P466"/>
          <cell r="Q466"/>
          <cell r="R466"/>
          <cell r="S466"/>
        </row>
        <row r="467">
          <cell r="A467"/>
          <cell r="B467"/>
          <cell r="C467"/>
          <cell r="D467"/>
          <cell r="E467"/>
          <cell r="F467"/>
          <cell r="G467"/>
          <cell r="H467"/>
          <cell r="I467"/>
          <cell r="J467"/>
          <cell r="K467"/>
          <cell r="L467"/>
          <cell r="M467"/>
          <cell r="N467"/>
          <cell r="O467"/>
          <cell r="P467"/>
          <cell r="Q467"/>
          <cell r="R467"/>
          <cell r="S467"/>
        </row>
        <row r="468">
          <cell r="A468"/>
          <cell r="B468"/>
          <cell r="C468"/>
          <cell r="D468"/>
          <cell r="E468"/>
          <cell r="F468"/>
          <cell r="G468"/>
          <cell r="H468"/>
          <cell r="I468"/>
          <cell r="J468"/>
          <cell r="K468"/>
          <cell r="L468"/>
          <cell r="M468"/>
          <cell r="N468"/>
          <cell r="O468"/>
          <cell r="P468"/>
          <cell r="Q468"/>
          <cell r="R468"/>
          <cell r="S468"/>
        </row>
        <row r="469">
          <cell r="A469"/>
          <cell r="B469"/>
          <cell r="C469"/>
          <cell r="D469"/>
          <cell r="E469"/>
          <cell r="F469"/>
          <cell r="G469"/>
          <cell r="H469"/>
          <cell r="I469"/>
          <cell r="J469"/>
          <cell r="K469"/>
          <cell r="L469"/>
          <cell r="M469"/>
          <cell r="N469"/>
          <cell r="O469"/>
          <cell r="P469"/>
          <cell r="Q469"/>
          <cell r="R469"/>
          <cell r="S469"/>
        </row>
        <row r="470">
          <cell r="A470"/>
          <cell r="B470"/>
          <cell r="C470"/>
          <cell r="D470"/>
          <cell r="E470"/>
          <cell r="F470"/>
          <cell r="G470"/>
          <cell r="H470"/>
          <cell r="I470"/>
          <cell r="J470"/>
          <cell r="K470"/>
          <cell r="L470"/>
          <cell r="M470"/>
          <cell r="N470"/>
          <cell r="O470"/>
          <cell r="P470"/>
          <cell r="Q470"/>
          <cell r="R470"/>
          <cell r="S470"/>
        </row>
        <row r="471">
          <cell r="A471"/>
          <cell r="B471"/>
          <cell r="C471"/>
          <cell r="D471"/>
          <cell r="E471"/>
          <cell r="F471"/>
          <cell r="G471"/>
          <cell r="H471"/>
          <cell r="I471"/>
          <cell r="J471"/>
          <cell r="K471"/>
          <cell r="L471"/>
          <cell r="M471"/>
          <cell r="N471"/>
          <cell r="O471"/>
          <cell r="P471"/>
          <cell r="Q471"/>
          <cell r="R471"/>
          <cell r="S471"/>
        </row>
        <row r="472">
          <cell r="A472"/>
          <cell r="B472"/>
          <cell r="C472"/>
          <cell r="D472"/>
          <cell r="E472"/>
          <cell r="F472"/>
          <cell r="G472"/>
          <cell r="H472"/>
          <cell r="I472"/>
          <cell r="J472"/>
          <cell r="K472"/>
          <cell r="L472"/>
          <cell r="M472"/>
          <cell r="N472"/>
          <cell r="O472"/>
          <cell r="P472"/>
          <cell r="Q472"/>
          <cell r="R472"/>
          <cell r="S472"/>
        </row>
        <row r="473">
          <cell r="A473"/>
          <cell r="B473"/>
          <cell r="C473"/>
          <cell r="D473"/>
          <cell r="E473"/>
          <cell r="F473"/>
          <cell r="G473"/>
          <cell r="H473"/>
          <cell r="I473"/>
          <cell r="J473"/>
          <cell r="K473"/>
          <cell r="L473"/>
          <cell r="M473"/>
          <cell r="N473"/>
          <cell r="O473"/>
          <cell r="P473"/>
          <cell r="Q473"/>
          <cell r="R473"/>
          <cell r="S473"/>
        </row>
        <row r="474">
          <cell r="A474"/>
          <cell r="B474"/>
          <cell r="C474"/>
          <cell r="D474"/>
          <cell r="E474"/>
          <cell r="F474"/>
          <cell r="G474"/>
          <cell r="H474"/>
          <cell r="I474"/>
          <cell r="J474"/>
          <cell r="K474"/>
          <cell r="L474"/>
          <cell r="M474"/>
          <cell r="N474"/>
          <cell r="O474"/>
          <cell r="P474"/>
          <cell r="Q474"/>
          <cell r="R474"/>
          <cell r="S474"/>
        </row>
        <row r="475">
          <cell r="A475"/>
          <cell r="B475"/>
          <cell r="C475"/>
          <cell r="D475"/>
          <cell r="E475"/>
          <cell r="F475"/>
          <cell r="G475"/>
          <cell r="H475"/>
          <cell r="I475"/>
          <cell r="J475"/>
          <cell r="K475"/>
          <cell r="L475"/>
          <cell r="M475"/>
          <cell r="N475"/>
          <cell r="O475"/>
          <cell r="P475"/>
          <cell r="Q475"/>
          <cell r="R475"/>
          <cell r="S475"/>
        </row>
        <row r="476">
          <cell r="A476"/>
          <cell r="B476"/>
          <cell r="C476"/>
          <cell r="D476"/>
          <cell r="E476"/>
          <cell r="F476"/>
          <cell r="G476"/>
          <cell r="H476"/>
          <cell r="I476"/>
          <cell r="J476"/>
          <cell r="K476"/>
          <cell r="L476"/>
          <cell r="M476"/>
          <cell r="N476"/>
          <cell r="O476"/>
          <cell r="P476"/>
          <cell r="Q476"/>
          <cell r="R476"/>
          <cell r="S476"/>
        </row>
        <row r="477">
          <cell r="A477"/>
          <cell r="B477"/>
          <cell r="C477"/>
          <cell r="D477"/>
          <cell r="E477"/>
          <cell r="F477"/>
          <cell r="G477"/>
          <cell r="H477"/>
          <cell r="I477"/>
          <cell r="J477"/>
          <cell r="K477"/>
          <cell r="L477"/>
          <cell r="M477"/>
          <cell r="N477"/>
          <cell r="O477"/>
          <cell r="P477"/>
          <cell r="Q477"/>
          <cell r="R477"/>
          <cell r="S477"/>
        </row>
        <row r="478">
          <cell r="A478"/>
          <cell r="B478"/>
          <cell r="C478"/>
          <cell r="D478"/>
          <cell r="E478"/>
          <cell r="F478"/>
          <cell r="G478"/>
          <cell r="H478"/>
          <cell r="I478"/>
          <cell r="J478"/>
          <cell r="K478"/>
          <cell r="L478"/>
          <cell r="M478"/>
          <cell r="N478"/>
          <cell r="O478"/>
          <cell r="P478"/>
          <cell r="Q478"/>
          <cell r="R478"/>
          <cell r="S478"/>
        </row>
        <row r="479">
          <cell r="A479"/>
          <cell r="B479"/>
          <cell r="C479"/>
          <cell r="D479"/>
          <cell r="E479"/>
          <cell r="F479"/>
          <cell r="G479"/>
          <cell r="H479"/>
          <cell r="I479"/>
          <cell r="J479"/>
          <cell r="K479"/>
          <cell r="L479"/>
          <cell r="M479"/>
          <cell r="N479"/>
          <cell r="O479"/>
          <cell r="P479"/>
          <cell r="Q479"/>
          <cell r="R479"/>
          <cell r="S479"/>
        </row>
        <row r="480">
          <cell r="A480"/>
          <cell r="B480"/>
          <cell r="C480"/>
          <cell r="D480"/>
          <cell r="E480"/>
          <cell r="F480"/>
          <cell r="G480"/>
          <cell r="H480"/>
          <cell r="I480"/>
          <cell r="J480"/>
          <cell r="K480"/>
          <cell r="L480"/>
          <cell r="M480"/>
          <cell r="N480"/>
          <cell r="O480"/>
          <cell r="P480"/>
          <cell r="Q480"/>
          <cell r="R480"/>
          <cell r="S480"/>
        </row>
        <row r="481">
          <cell r="A481"/>
          <cell r="B481"/>
          <cell r="C481"/>
          <cell r="D481"/>
          <cell r="E481"/>
          <cell r="F481"/>
          <cell r="G481"/>
          <cell r="H481"/>
          <cell r="I481"/>
          <cell r="J481"/>
          <cell r="K481"/>
          <cell r="L481"/>
          <cell r="M481"/>
          <cell r="N481"/>
          <cell r="O481"/>
          <cell r="P481"/>
          <cell r="Q481"/>
          <cell r="R481"/>
          <cell r="S481"/>
        </row>
        <row r="482">
          <cell r="A482"/>
          <cell r="B482"/>
          <cell r="C482"/>
          <cell r="D482"/>
          <cell r="E482"/>
          <cell r="F482"/>
          <cell r="G482"/>
          <cell r="H482"/>
          <cell r="I482"/>
          <cell r="J482"/>
          <cell r="K482"/>
          <cell r="L482"/>
          <cell r="M482"/>
          <cell r="N482"/>
          <cell r="O482"/>
          <cell r="P482"/>
          <cell r="Q482"/>
          <cell r="R482"/>
          <cell r="S482"/>
        </row>
        <row r="483">
          <cell r="A483"/>
          <cell r="B483"/>
          <cell r="C483"/>
          <cell r="D483"/>
          <cell r="E483"/>
          <cell r="F483"/>
          <cell r="G483"/>
          <cell r="H483"/>
          <cell r="I483"/>
          <cell r="J483"/>
          <cell r="K483"/>
          <cell r="L483"/>
          <cell r="M483"/>
          <cell r="N483"/>
          <cell r="O483"/>
          <cell r="P483"/>
          <cell r="Q483"/>
          <cell r="R483"/>
          <cell r="S483"/>
        </row>
        <row r="484">
          <cell r="A484"/>
          <cell r="B484"/>
          <cell r="C484"/>
          <cell r="D484"/>
          <cell r="E484"/>
          <cell r="F484"/>
          <cell r="G484"/>
          <cell r="H484"/>
          <cell r="I484"/>
          <cell r="J484"/>
          <cell r="K484"/>
          <cell r="L484"/>
          <cell r="M484"/>
          <cell r="N484"/>
          <cell r="O484"/>
          <cell r="P484"/>
          <cell r="Q484"/>
          <cell r="R484"/>
          <cell r="S484"/>
        </row>
        <row r="485">
          <cell r="A485"/>
          <cell r="B485"/>
          <cell r="C485"/>
          <cell r="D485"/>
          <cell r="E485"/>
          <cell r="F485"/>
          <cell r="G485"/>
          <cell r="H485"/>
          <cell r="I485"/>
          <cell r="J485"/>
          <cell r="K485"/>
          <cell r="L485"/>
          <cell r="M485"/>
          <cell r="N485"/>
          <cell r="O485"/>
          <cell r="P485"/>
          <cell r="Q485"/>
          <cell r="R485"/>
          <cell r="S485"/>
        </row>
        <row r="486">
          <cell r="A486"/>
          <cell r="B486"/>
          <cell r="C486"/>
          <cell r="D486"/>
          <cell r="E486"/>
          <cell r="F486"/>
          <cell r="G486"/>
          <cell r="H486"/>
          <cell r="I486"/>
          <cell r="J486"/>
          <cell r="K486"/>
          <cell r="L486"/>
          <cell r="M486"/>
          <cell r="N486"/>
          <cell r="O486"/>
          <cell r="P486"/>
          <cell r="Q486"/>
          <cell r="R486"/>
          <cell r="S486"/>
        </row>
        <row r="487">
          <cell r="A487"/>
          <cell r="B487"/>
          <cell r="C487"/>
          <cell r="D487"/>
          <cell r="E487"/>
          <cell r="F487"/>
          <cell r="G487"/>
          <cell r="H487"/>
          <cell r="I487"/>
          <cell r="J487"/>
          <cell r="K487"/>
          <cell r="L487"/>
          <cell r="M487"/>
          <cell r="N487"/>
          <cell r="O487"/>
          <cell r="P487"/>
          <cell r="Q487"/>
          <cell r="R487"/>
          <cell r="S487"/>
        </row>
        <row r="488">
          <cell r="A488"/>
          <cell r="B488"/>
          <cell r="C488"/>
          <cell r="D488"/>
          <cell r="E488"/>
          <cell r="F488"/>
          <cell r="G488"/>
          <cell r="H488"/>
          <cell r="I488"/>
          <cell r="J488"/>
          <cell r="K488"/>
          <cell r="L488"/>
          <cell r="M488"/>
          <cell r="N488"/>
          <cell r="O488"/>
          <cell r="P488"/>
          <cell r="Q488"/>
          <cell r="R488"/>
          <cell r="S488"/>
        </row>
        <row r="489">
          <cell r="A489"/>
          <cell r="B489"/>
          <cell r="C489"/>
          <cell r="D489"/>
          <cell r="E489"/>
          <cell r="F489"/>
          <cell r="G489"/>
          <cell r="H489"/>
          <cell r="I489"/>
          <cell r="J489"/>
          <cell r="K489"/>
          <cell r="L489"/>
          <cell r="M489"/>
          <cell r="N489"/>
          <cell r="O489"/>
          <cell r="P489"/>
          <cell r="Q489"/>
          <cell r="R489"/>
          <cell r="S489"/>
        </row>
        <row r="490">
          <cell r="A490"/>
          <cell r="B490"/>
          <cell r="C490"/>
          <cell r="D490"/>
          <cell r="E490"/>
          <cell r="F490"/>
          <cell r="G490"/>
          <cell r="H490"/>
          <cell r="I490"/>
          <cell r="J490"/>
          <cell r="K490"/>
          <cell r="L490"/>
          <cell r="M490"/>
          <cell r="N490"/>
          <cell r="O490"/>
          <cell r="P490"/>
          <cell r="Q490"/>
          <cell r="R490"/>
          <cell r="S490"/>
        </row>
        <row r="491">
          <cell r="A491"/>
          <cell r="B491"/>
          <cell r="C491"/>
          <cell r="D491"/>
          <cell r="E491"/>
          <cell r="F491"/>
          <cell r="G491"/>
          <cell r="H491"/>
          <cell r="I491"/>
          <cell r="J491"/>
          <cell r="K491"/>
          <cell r="L491"/>
          <cell r="M491"/>
          <cell r="N491"/>
          <cell r="O491"/>
          <cell r="P491"/>
          <cell r="Q491"/>
          <cell r="R491"/>
          <cell r="S491"/>
        </row>
        <row r="492">
          <cell r="A492"/>
          <cell r="B492"/>
          <cell r="C492"/>
          <cell r="D492"/>
          <cell r="E492"/>
          <cell r="F492"/>
          <cell r="G492"/>
          <cell r="H492"/>
          <cell r="I492"/>
          <cell r="J492"/>
          <cell r="K492"/>
          <cell r="L492"/>
          <cell r="M492"/>
          <cell r="N492"/>
          <cell r="O492"/>
          <cell r="P492"/>
          <cell r="Q492"/>
          <cell r="R492"/>
          <cell r="S492"/>
        </row>
        <row r="493">
          <cell r="A493"/>
          <cell r="B493"/>
          <cell r="C493"/>
          <cell r="D493"/>
          <cell r="E493"/>
          <cell r="F493"/>
          <cell r="G493"/>
          <cell r="H493"/>
          <cell r="I493"/>
          <cell r="J493"/>
          <cell r="K493"/>
          <cell r="L493"/>
          <cell r="M493"/>
          <cell r="N493"/>
          <cell r="O493"/>
          <cell r="P493"/>
          <cell r="Q493"/>
          <cell r="R493"/>
          <cell r="S493"/>
        </row>
        <row r="494">
          <cell r="A494"/>
          <cell r="B494"/>
          <cell r="C494"/>
          <cell r="D494"/>
          <cell r="E494"/>
          <cell r="F494"/>
          <cell r="G494"/>
          <cell r="H494"/>
          <cell r="I494"/>
          <cell r="J494"/>
          <cell r="K494"/>
          <cell r="L494"/>
          <cell r="M494"/>
          <cell r="N494"/>
          <cell r="O494"/>
          <cell r="P494"/>
          <cell r="Q494"/>
          <cell r="R494"/>
          <cell r="S494"/>
        </row>
        <row r="495">
          <cell r="A495"/>
          <cell r="B495"/>
          <cell r="C495"/>
          <cell r="D495"/>
          <cell r="E495"/>
          <cell r="F495"/>
          <cell r="G495"/>
          <cell r="H495"/>
          <cell r="I495"/>
          <cell r="J495"/>
          <cell r="K495"/>
          <cell r="L495"/>
          <cell r="M495"/>
          <cell r="N495"/>
          <cell r="O495"/>
          <cell r="P495"/>
          <cell r="Q495"/>
          <cell r="R495"/>
          <cell r="S495"/>
        </row>
        <row r="496">
          <cell r="A496"/>
          <cell r="B496"/>
          <cell r="C496"/>
          <cell r="D496"/>
          <cell r="E496"/>
          <cell r="F496"/>
          <cell r="G496"/>
          <cell r="H496"/>
          <cell r="I496"/>
          <cell r="J496"/>
          <cell r="K496"/>
          <cell r="L496"/>
          <cell r="M496"/>
          <cell r="N496"/>
          <cell r="O496"/>
          <cell r="P496"/>
          <cell r="Q496"/>
          <cell r="R496"/>
          <cell r="S496"/>
        </row>
        <row r="497">
          <cell r="A497"/>
          <cell r="B497"/>
          <cell r="C497"/>
          <cell r="D497"/>
          <cell r="E497"/>
          <cell r="F497"/>
          <cell r="G497"/>
          <cell r="H497"/>
          <cell r="I497"/>
          <cell r="J497"/>
          <cell r="K497"/>
          <cell r="L497"/>
          <cell r="M497"/>
          <cell r="N497"/>
          <cell r="O497"/>
          <cell r="P497"/>
          <cell r="Q497"/>
          <cell r="R497"/>
          <cell r="S497"/>
        </row>
        <row r="498">
          <cell r="A498"/>
          <cell r="B498"/>
          <cell r="C498"/>
          <cell r="D498"/>
          <cell r="E498"/>
          <cell r="F498"/>
          <cell r="G498"/>
          <cell r="H498"/>
          <cell r="I498"/>
          <cell r="J498"/>
          <cell r="K498"/>
          <cell r="L498"/>
          <cell r="M498"/>
          <cell r="N498"/>
          <cell r="O498"/>
          <cell r="P498"/>
          <cell r="Q498"/>
          <cell r="R498"/>
          <cell r="S498"/>
        </row>
        <row r="499">
          <cell r="A499"/>
          <cell r="B499"/>
          <cell r="C499"/>
          <cell r="D499"/>
          <cell r="E499"/>
          <cell r="F499"/>
          <cell r="G499"/>
          <cell r="H499"/>
          <cell r="I499"/>
          <cell r="J499"/>
          <cell r="K499"/>
          <cell r="L499"/>
          <cell r="M499"/>
          <cell r="N499"/>
          <cell r="O499"/>
          <cell r="P499"/>
          <cell r="Q499"/>
          <cell r="R499"/>
          <cell r="S499"/>
        </row>
        <row r="500">
          <cell r="A500"/>
          <cell r="B500"/>
          <cell r="C500"/>
          <cell r="D500"/>
          <cell r="E500"/>
          <cell r="F500"/>
          <cell r="G500"/>
          <cell r="H500"/>
          <cell r="I500"/>
          <cell r="J500"/>
          <cell r="K500"/>
          <cell r="L500"/>
          <cell r="M500"/>
          <cell r="N500"/>
          <cell r="O500"/>
          <cell r="P500"/>
          <cell r="Q500"/>
          <cell r="R500"/>
          <cell r="S500"/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заказ</v>
          </cell>
          <cell r="R3" t="str">
            <v>заказ филиала</v>
          </cell>
          <cell r="S3" t="str">
            <v>Комментарии филиала</v>
          </cell>
          <cell r="T3" t="str">
            <v>кон ост</v>
          </cell>
          <cell r="U3" t="str">
            <v>факт</v>
          </cell>
          <cell r="V3" t="str">
            <v>ср</v>
          </cell>
          <cell r="W3" t="str">
            <v>ср</v>
          </cell>
          <cell r="X3" t="str">
            <v>ср</v>
          </cell>
          <cell r="Y3" t="str">
            <v>ср</v>
          </cell>
          <cell r="Z3" t="str">
            <v>ср</v>
          </cell>
          <cell r="AA3" t="str">
            <v>ср</v>
          </cell>
          <cell r="AB3" t="str">
            <v>ср</v>
          </cell>
          <cell r="AC3" t="str">
            <v>ср</v>
          </cell>
          <cell r="AD3" t="str">
            <v>ср</v>
          </cell>
          <cell r="AE3" t="str">
            <v>ср</v>
          </cell>
          <cell r="AF3" t="str">
            <v>комментарии</v>
          </cell>
          <cell r="AG3" t="str">
            <v>вес</v>
          </cell>
          <cell r="AH3" t="str">
            <v>вес кор.</v>
          </cell>
        </row>
        <row r="4">
          <cell r="O4" t="str">
            <v>29,09,</v>
          </cell>
          <cell r="P4" t="str">
            <v>06,10,</v>
          </cell>
          <cell r="Q4" t="str">
            <v>13,10,</v>
          </cell>
          <cell r="V4" t="str">
            <v>29,09,</v>
          </cell>
          <cell r="W4" t="str">
            <v>22,09,</v>
          </cell>
          <cell r="X4" t="str">
            <v>15,09,</v>
          </cell>
          <cell r="Y4" t="str">
            <v>08,09,</v>
          </cell>
          <cell r="Z4" t="str">
            <v>01,09,</v>
          </cell>
          <cell r="AA4" t="str">
            <v>25,08,</v>
          </cell>
          <cell r="AB4" t="str">
            <v>18,08,</v>
          </cell>
          <cell r="AC4" t="str">
            <v>11,08,</v>
          </cell>
          <cell r="AD4" t="str">
            <v>04,08,</v>
          </cell>
          <cell r="AE4" t="str">
            <v>28,07,</v>
          </cell>
        </row>
        <row r="5">
          <cell r="K5">
            <v>0</v>
          </cell>
          <cell r="L5">
            <v>2213</v>
          </cell>
          <cell r="M5">
            <v>0</v>
          </cell>
          <cell r="N5">
            <v>0</v>
          </cell>
          <cell r="O5">
            <v>3070</v>
          </cell>
          <cell r="P5">
            <v>442.59999999999997</v>
          </cell>
          <cell r="Q5">
            <v>2450</v>
          </cell>
          <cell r="R5">
            <v>2346</v>
          </cell>
          <cell r="V5">
            <v>386.6</v>
          </cell>
          <cell r="W5">
            <v>318.8</v>
          </cell>
          <cell r="X5">
            <v>422.00000000000006</v>
          </cell>
          <cell r="Y5">
            <v>347.79999999999995</v>
          </cell>
          <cell r="Z5">
            <v>320.39999999999998</v>
          </cell>
          <cell r="AA5">
            <v>278.20000000000005</v>
          </cell>
          <cell r="AB5">
            <v>604.4</v>
          </cell>
          <cell r="AC5">
            <v>158.6</v>
          </cell>
          <cell r="AD5">
            <v>442</v>
          </cell>
          <cell r="AE5">
            <v>188.60000000000002</v>
          </cell>
          <cell r="AG5">
            <v>703.75</v>
          </cell>
        </row>
        <row r="6">
          <cell r="I6" t="str">
            <v>не в матрице</v>
          </cell>
          <cell r="L6">
            <v>0</v>
          </cell>
          <cell r="P6">
            <v>0</v>
          </cell>
          <cell r="T6" t="e">
            <v>#DIV/0!</v>
          </cell>
          <cell r="U6" t="e">
            <v>#DIV/0!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</row>
        <row r="7">
          <cell r="I7">
            <v>1010027650</v>
          </cell>
          <cell r="L7">
            <v>203</v>
          </cell>
          <cell r="P7">
            <v>40.6</v>
          </cell>
          <cell r="Q7">
            <v>200</v>
          </cell>
          <cell r="R7">
            <v>72</v>
          </cell>
          <cell r="T7">
            <v>28.152709359605911</v>
          </cell>
          <cell r="U7">
            <v>23.226600985221673</v>
          </cell>
          <cell r="V7">
            <v>31.4</v>
          </cell>
          <cell r="W7">
            <v>39.4</v>
          </cell>
          <cell r="X7">
            <v>49.4</v>
          </cell>
          <cell r="Y7">
            <v>-1</v>
          </cell>
          <cell r="Z7">
            <v>6.6</v>
          </cell>
          <cell r="AA7">
            <v>42.8</v>
          </cell>
          <cell r="AB7">
            <v>72.8</v>
          </cell>
          <cell r="AC7">
            <v>0</v>
          </cell>
          <cell r="AD7">
            <v>0</v>
          </cell>
          <cell r="AE7">
            <v>0</v>
          </cell>
          <cell r="AF7" t="str">
            <v>вместо 375гр</v>
          </cell>
          <cell r="AG7">
            <v>60</v>
          </cell>
          <cell r="AH7">
            <v>1.7999999999999998</v>
          </cell>
        </row>
        <row r="8">
          <cell r="I8">
            <v>1010033736</v>
          </cell>
          <cell r="L8">
            <v>146</v>
          </cell>
          <cell r="O8">
            <v>300</v>
          </cell>
          <cell r="P8">
            <v>29.2</v>
          </cell>
          <cell r="Q8">
            <v>200</v>
          </cell>
          <cell r="R8">
            <v>253</v>
          </cell>
          <cell r="T8">
            <v>23.184931506849317</v>
          </cell>
          <cell r="U8">
            <v>16.335616438356166</v>
          </cell>
          <cell r="V8">
            <v>23.8</v>
          </cell>
          <cell r="W8">
            <v>-0.8</v>
          </cell>
          <cell r="X8">
            <v>14</v>
          </cell>
          <cell r="Y8">
            <v>4.8</v>
          </cell>
          <cell r="Z8">
            <v>31.2</v>
          </cell>
          <cell r="AA8">
            <v>6.8</v>
          </cell>
          <cell r="AB8">
            <v>33.6</v>
          </cell>
          <cell r="AC8">
            <v>0</v>
          </cell>
          <cell r="AD8">
            <v>0</v>
          </cell>
          <cell r="AE8">
            <v>0</v>
          </cell>
          <cell r="AF8" t="str">
            <v>вместо 430гр</v>
          </cell>
          <cell r="AG8">
            <v>66</v>
          </cell>
          <cell r="AH8">
            <v>1.65</v>
          </cell>
        </row>
        <row r="9">
          <cell r="I9">
            <v>1010033335</v>
          </cell>
          <cell r="L9">
            <v>5</v>
          </cell>
          <cell r="O9">
            <v>400</v>
          </cell>
          <cell r="P9">
            <v>1</v>
          </cell>
          <cell r="S9" t="str">
            <v>?, заказ</v>
          </cell>
          <cell r="T9">
            <v>401</v>
          </cell>
          <cell r="U9">
            <v>401</v>
          </cell>
          <cell r="V9">
            <v>-0.8</v>
          </cell>
          <cell r="W9">
            <v>3.6</v>
          </cell>
          <cell r="X9">
            <v>10.4</v>
          </cell>
          <cell r="Y9">
            <v>14.4</v>
          </cell>
          <cell r="Z9">
            <v>5.2</v>
          </cell>
          <cell r="AA9">
            <v>8</v>
          </cell>
          <cell r="AB9">
            <v>3</v>
          </cell>
          <cell r="AC9">
            <v>0</v>
          </cell>
          <cell r="AD9">
            <v>0</v>
          </cell>
          <cell r="AE9">
            <v>0</v>
          </cell>
          <cell r="AF9" t="str">
            <v>вместо 300гр</v>
          </cell>
          <cell r="AG9">
            <v>0</v>
          </cell>
          <cell r="AH9">
            <v>1.68</v>
          </cell>
        </row>
        <row r="10">
          <cell r="I10">
            <v>1010016111</v>
          </cell>
          <cell r="L10">
            <v>42</v>
          </cell>
          <cell r="O10">
            <v>150</v>
          </cell>
          <cell r="P10">
            <v>8.4</v>
          </cell>
          <cell r="T10">
            <v>57.38095238095238</v>
          </cell>
          <cell r="U10">
            <v>57.38095238095238</v>
          </cell>
          <cell r="V10">
            <v>7.8</v>
          </cell>
          <cell r="W10">
            <v>10</v>
          </cell>
          <cell r="X10">
            <v>12</v>
          </cell>
          <cell r="Y10">
            <v>10</v>
          </cell>
          <cell r="Z10">
            <v>11.8</v>
          </cell>
          <cell r="AA10">
            <v>13</v>
          </cell>
          <cell r="AB10">
            <v>15.6</v>
          </cell>
          <cell r="AC10">
            <v>6.6</v>
          </cell>
          <cell r="AD10">
            <v>9.8000000000000007</v>
          </cell>
          <cell r="AE10">
            <v>8.6</v>
          </cell>
          <cell r="AF10" t="str">
            <v>нужно увеличить продажи!!!</v>
          </cell>
          <cell r="AG10">
            <v>0</v>
          </cell>
          <cell r="AH10">
            <v>2.4</v>
          </cell>
        </row>
        <row r="11">
          <cell r="I11">
            <v>1010033329</v>
          </cell>
          <cell r="L11">
            <v>-2</v>
          </cell>
          <cell r="O11">
            <v>1200</v>
          </cell>
          <cell r="P11">
            <v>-0.4</v>
          </cell>
          <cell r="S11" t="str">
            <v>?сроки, заказ</v>
          </cell>
          <cell r="T11">
            <v>-3000</v>
          </cell>
          <cell r="U11">
            <v>-3000</v>
          </cell>
          <cell r="V11">
            <v>13.4</v>
          </cell>
          <cell r="W11">
            <v>56.2</v>
          </cell>
          <cell r="X11">
            <v>82.4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 t="str">
            <v>вместо 300гр</v>
          </cell>
          <cell r="AG11">
            <v>0</v>
          </cell>
          <cell r="AH11">
            <v>1.6800000000000002</v>
          </cell>
        </row>
        <row r="12">
          <cell r="I12">
            <v>1010028068</v>
          </cell>
          <cell r="L12">
            <v>0</v>
          </cell>
          <cell r="P12">
            <v>0</v>
          </cell>
          <cell r="T12" t="e">
            <v>#DIV/0!</v>
          </cell>
          <cell r="U12" t="e">
            <v>#DIV/0!</v>
          </cell>
          <cell r="V12">
            <v>-0.2</v>
          </cell>
          <cell r="W12">
            <v>0</v>
          </cell>
          <cell r="X12">
            <v>0</v>
          </cell>
          <cell r="Y12">
            <v>0</v>
          </cell>
          <cell r="Z12">
            <v>-0.2</v>
          </cell>
          <cell r="AA12">
            <v>-1.2</v>
          </cell>
          <cell r="AB12">
            <v>64.2</v>
          </cell>
          <cell r="AC12">
            <v>72.599999999999994</v>
          </cell>
          <cell r="AD12">
            <v>100.6</v>
          </cell>
          <cell r="AE12">
            <v>-0.4</v>
          </cell>
          <cell r="AF12" t="str">
            <v>завод вывел, но остается в бланке заказа</v>
          </cell>
        </row>
        <row r="13">
          <cell r="I13">
            <v>1010015954</v>
          </cell>
          <cell r="L13">
            <v>45</v>
          </cell>
          <cell r="O13">
            <v>80</v>
          </cell>
          <cell r="P13">
            <v>9</v>
          </cell>
          <cell r="T13">
            <v>31.666666666666668</v>
          </cell>
          <cell r="U13">
            <v>31.666666666666668</v>
          </cell>
          <cell r="V13">
            <v>10.199999999999999</v>
          </cell>
          <cell r="W13">
            <v>7.4</v>
          </cell>
          <cell r="X13">
            <v>10.8</v>
          </cell>
          <cell r="Y13">
            <v>14.6</v>
          </cell>
          <cell r="Z13">
            <v>13</v>
          </cell>
          <cell r="AA13">
            <v>9</v>
          </cell>
          <cell r="AB13">
            <v>16</v>
          </cell>
          <cell r="AC13">
            <v>11.4</v>
          </cell>
          <cell r="AD13">
            <v>10.199999999999999</v>
          </cell>
          <cell r="AE13">
            <v>14</v>
          </cell>
          <cell r="AF13" t="str">
            <v>нужно увеличить продажи!!!</v>
          </cell>
          <cell r="AG13">
            <v>0</v>
          </cell>
          <cell r="AH13">
            <v>2.82</v>
          </cell>
        </row>
        <row r="14">
          <cell r="I14">
            <v>1010016092</v>
          </cell>
          <cell r="L14">
            <v>14</v>
          </cell>
          <cell r="O14">
            <v>40</v>
          </cell>
          <cell r="P14">
            <v>2.8</v>
          </cell>
          <cell r="T14">
            <v>68.571428571428569</v>
          </cell>
          <cell r="U14">
            <v>68.571428571428569</v>
          </cell>
          <cell r="V14">
            <v>6.8</v>
          </cell>
          <cell r="W14">
            <v>4</v>
          </cell>
          <cell r="X14">
            <v>5.6</v>
          </cell>
          <cell r="Y14">
            <v>4.2</v>
          </cell>
          <cell r="Z14">
            <v>3.6</v>
          </cell>
          <cell r="AA14">
            <v>4</v>
          </cell>
          <cell r="AB14">
            <v>8.6</v>
          </cell>
          <cell r="AC14">
            <v>7.6</v>
          </cell>
          <cell r="AD14">
            <v>7.8</v>
          </cell>
          <cell r="AE14">
            <v>10</v>
          </cell>
          <cell r="AF14" t="str">
            <v>нужно увеличить продажи!!!</v>
          </cell>
          <cell r="AG14">
            <v>0</v>
          </cell>
          <cell r="AH14">
            <v>2.82</v>
          </cell>
        </row>
        <row r="15">
          <cell r="I15">
            <v>1010015952</v>
          </cell>
          <cell r="L15">
            <v>34</v>
          </cell>
          <cell r="P15">
            <v>6.8</v>
          </cell>
          <cell r="T15">
            <v>27.352941176470591</v>
          </cell>
          <cell r="U15">
            <v>27.352941176470591</v>
          </cell>
          <cell r="V15">
            <v>7.2</v>
          </cell>
          <cell r="W15">
            <v>3.8</v>
          </cell>
          <cell r="X15">
            <v>6.2</v>
          </cell>
          <cell r="Y15">
            <v>12</v>
          </cell>
          <cell r="Z15">
            <v>8.4</v>
          </cell>
          <cell r="AA15">
            <v>5.2</v>
          </cell>
          <cell r="AB15">
            <v>8.6</v>
          </cell>
          <cell r="AC15">
            <v>3.2</v>
          </cell>
          <cell r="AD15">
            <v>5.6</v>
          </cell>
          <cell r="AE15">
            <v>8.6</v>
          </cell>
          <cell r="AF15" t="str">
            <v>нужно увеличить продажи!!!</v>
          </cell>
          <cell r="AG15">
            <v>0</v>
          </cell>
          <cell r="AH15">
            <v>2.82</v>
          </cell>
        </row>
        <row r="16">
          <cell r="I16">
            <v>1010032953</v>
          </cell>
          <cell r="L16">
            <v>30</v>
          </cell>
          <cell r="P16">
            <v>6</v>
          </cell>
          <cell r="S16" t="str">
            <v>низкие продажи</v>
          </cell>
          <cell r="T16">
            <v>161.5</v>
          </cell>
          <cell r="U16">
            <v>161.5</v>
          </cell>
          <cell r="V16">
            <v>0.2</v>
          </cell>
          <cell r="W16">
            <v>0</v>
          </cell>
          <cell r="X16">
            <v>4</v>
          </cell>
          <cell r="Y16">
            <v>51.2</v>
          </cell>
          <cell r="Z16">
            <v>29.6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 t="str">
            <v>нужно увеличить продажи!!! / вместо 375гр</v>
          </cell>
          <cell r="AG16">
            <v>0</v>
          </cell>
          <cell r="AH16">
            <v>1.7999999999999998</v>
          </cell>
        </row>
        <row r="17">
          <cell r="I17">
            <v>1010022954</v>
          </cell>
          <cell r="L17">
            <v>230</v>
          </cell>
          <cell r="P17">
            <v>46</v>
          </cell>
          <cell r="Q17">
            <v>200</v>
          </cell>
          <cell r="R17">
            <v>236</v>
          </cell>
          <cell r="T17">
            <v>24.217391304347824</v>
          </cell>
          <cell r="U17">
            <v>19.869565217391305</v>
          </cell>
          <cell r="V17">
            <v>32.200000000000003</v>
          </cell>
          <cell r="W17">
            <v>36.6</v>
          </cell>
          <cell r="X17">
            <v>46.4</v>
          </cell>
          <cell r="Y17">
            <v>55.2</v>
          </cell>
          <cell r="Z17">
            <v>38.200000000000003</v>
          </cell>
          <cell r="AA17">
            <v>39.6</v>
          </cell>
          <cell r="AB17">
            <v>67.599999999999994</v>
          </cell>
          <cell r="AC17">
            <v>-7.2</v>
          </cell>
          <cell r="AD17">
            <v>41.4</v>
          </cell>
          <cell r="AE17">
            <v>37.6</v>
          </cell>
          <cell r="AF17" t="str">
            <v>11,05,25 списание 274шт.</v>
          </cell>
          <cell r="AG17">
            <v>75</v>
          </cell>
          <cell r="AH17">
            <v>2.25</v>
          </cell>
        </row>
        <row r="18">
          <cell r="I18">
            <v>1010016034</v>
          </cell>
          <cell r="L18">
            <v>190</v>
          </cell>
          <cell r="P18">
            <v>38</v>
          </cell>
          <cell r="Q18">
            <v>250</v>
          </cell>
          <cell r="R18">
            <v>140</v>
          </cell>
          <cell r="T18">
            <v>27.894736842105264</v>
          </cell>
          <cell r="U18">
            <v>21.315789473684209</v>
          </cell>
          <cell r="V18">
            <v>28.6</v>
          </cell>
          <cell r="W18">
            <v>27.2</v>
          </cell>
          <cell r="X18">
            <v>43.8</v>
          </cell>
          <cell r="Y18">
            <v>48.8</v>
          </cell>
          <cell r="Z18">
            <v>24.8</v>
          </cell>
          <cell r="AA18">
            <v>34.4</v>
          </cell>
          <cell r="AB18">
            <v>55</v>
          </cell>
          <cell r="AC18">
            <v>-2.4</v>
          </cell>
          <cell r="AD18">
            <v>38.200000000000003</v>
          </cell>
          <cell r="AE18">
            <v>9.1999999999999993</v>
          </cell>
          <cell r="AF18" t="str">
            <v>нужно увеличить продажи / 22,05,25 списание 310шт.</v>
          </cell>
          <cell r="AG18">
            <v>93.75</v>
          </cell>
          <cell r="AH18">
            <v>2.25</v>
          </cell>
        </row>
        <row r="19">
          <cell r="I19">
            <v>1010023122</v>
          </cell>
          <cell r="L19">
            <v>219</v>
          </cell>
          <cell r="P19">
            <v>43.8</v>
          </cell>
          <cell r="R19">
            <v>69</v>
          </cell>
          <cell r="T19">
            <v>23.424657534246577</v>
          </cell>
          <cell r="U19">
            <v>23.424657534246577</v>
          </cell>
          <cell r="V19">
            <v>27.8</v>
          </cell>
          <cell r="W19">
            <v>30.2</v>
          </cell>
          <cell r="X19">
            <v>34.6</v>
          </cell>
          <cell r="Y19">
            <v>18.2</v>
          </cell>
          <cell r="Z19">
            <v>38.799999999999997</v>
          </cell>
          <cell r="AA19">
            <v>-1.2</v>
          </cell>
          <cell r="AB19">
            <v>57</v>
          </cell>
          <cell r="AC19">
            <v>10.199999999999999</v>
          </cell>
          <cell r="AD19">
            <v>38.200000000000003</v>
          </cell>
          <cell r="AE19">
            <v>16.8</v>
          </cell>
          <cell r="AF19" t="str">
            <v>нужно увеличить продажи</v>
          </cell>
          <cell r="AG19">
            <v>0</v>
          </cell>
          <cell r="AH19">
            <v>2.25</v>
          </cell>
        </row>
        <row r="20">
          <cell r="I20" t="str">
            <v>на вывод / 1010030636</v>
          </cell>
          <cell r="L20">
            <v>0</v>
          </cell>
          <cell r="P20">
            <v>0</v>
          </cell>
          <cell r="T20" t="e">
            <v>#DIV/0!</v>
          </cell>
          <cell r="U20" t="e">
            <v>#DIV/0!</v>
          </cell>
          <cell r="V20">
            <v>-0.4</v>
          </cell>
          <cell r="W20">
            <v>0.2</v>
          </cell>
          <cell r="X20">
            <v>-0.2</v>
          </cell>
          <cell r="Y20">
            <v>-0.8</v>
          </cell>
          <cell r="Z20">
            <v>-1.2</v>
          </cell>
          <cell r="AA20">
            <v>0.6</v>
          </cell>
          <cell r="AB20">
            <v>2.4</v>
          </cell>
          <cell r="AC20">
            <v>7.2</v>
          </cell>
          <cell r="AD20">
            <v>5</v>
          </cell>
          <cell r="AE20">
            <v>1.2</v>
          </cell>
          <cell r="AF20" t="str">
            <v>17,09,25 списание 692шт. / на вывод / СРОКИ (17,03,25)</v>
          </cell>
        </row>
        <row r="21">
          <cell r="I21">
            <v>1010033324</v>
          </cell>
          <cell r="L21">
            <v>181</v>
          </cell>
          <cell r="O21">
            <v>400</v>
          </cell>
          <cell r="P21">
            <v>36.200000000000003</v>
          </cell>
          <cell r="Q21">
            <v>200</v>
          </cell>
          <cell r="R21">
            <v>111.00000000000011</v>
          </cell>
          <cell r="T21">
            <v>27.458563535911601</v>
          </cell>
          <cell r="U21">
            <v>21.933701657458563</v>
          </cell>
          <cell r="V21">
            <v>25.4</v>
          </cell>
          <cell r="W21">
            <v>1</v>
          </cell>
          <cell r="X21">
            <v>4.8</v>
          </cell>
          <cell r="Y21">
            <v>16</v>
          </cell>
          <cell r="Z21">
            <v>20</v>
          </cell>
          <cell r="AA21">
            <v>11.8</v>
          </cell>
          <cell r="AB21">
            <v>20.399999999999999</v>
          </cell>
          <cell r="AC21">
            <v>18.600000000000001</v>
          </cell>
          <cell r="AD21">
            <v>31.4</v>
          </cell>
          <cell r="AE21">
            <v>14.4</v>
          </cell>
          <cell r="AF21" t="str">
            <v>новый артикул</v>
          </cell>
          <cell r="AG21">
            <v>60</v>
          </cell>
          <cell r="AH21">
            <v>1.8</v>
          </cell>
        </row>
        <row r="22">
          <cell r="I22">
            <v>1010025585</v>
          </cell>
          <cell r="L22">
            <v>260</v>
          </cell>
          <cell r="O22">
            <v>500</v>
          </cell>
          <cell r="P22">
            <v>52</v>
          </cell>
          <cell r="Q22">
            <v>800</v>
          </cell>
          <cell r="R22">
            <v>718</v>
          </cell>
          <cell r="T22">
            <v>26.576923076923077</v>
          </cell>
          <cell r="U22">
            <v>11.192307692307692</v>
          </cell>
          <cell r="V22">
            <v>48</v>
          </cell>
          <cell r="W22">
            <v>53.2</v>
          </cell>
          <cell r="X22">
            <v>52</v>
          </cell>
          <cell r="Y22">
            <v>57.2</v>
          </cell>
          <cell r="Z22">
            <v>56.8</v>
          </cell>
          <cell r="AA22">
            <v>51</v>
          </cell>
          <cell r="AB22">
            <v>63.4</v>
          </cell>
          <cell r="AC22">
            <v>42.2</v>
          </cell>
          <cell r="AD22">
            <v>54.8</v>
          </cell>
          <cell r="AE22">
            <v>53.4</v>
          </cell>
          <cell r="AG22">
            <v>160</v>
          </cell>
          <cell r="AH22">
            <v>2</v>
          </cell>
        </row>
        <row r="23">
          <cell r="I23">
            <v>1010029655</v>
          </cell>
          <cell r="L23">
            <v>198</v>
          </cell>
          <cell r="P23">
            <v>39.6</v>
          </cell>
          <cell r="Q23">
            <v>300</v>
          </cell>
          <cell r="R23">
            <v>281</v>
          </cell>
          <cell r="T23">
            <v>25.479797979797979</v>
          </cell>
          <cell r="U23">
            <v>17.904040404040405</v>
          </cell>
          <cell r="V23">
            <v>26.8</v>
          </cell>
          <cell r="W23">
            <v>22.2</v>
          </cell>
          <cell r="X23">
            <v>24.8</v>
          </cell>
          <cell r="Y23">
            <v>44.2</v>
          </cell>
          <cell r="Z23">
            <v>36.4</v>
          </cell>
          <cell r="AA23">
            <v>30.8</v>
          </cell>
          <cell r="AB23">
            <v>61.6</v>
          </cell>
          <cell r="AC23">
            <v>-3.8</v>
          </cell>
          <cell r="AD23">
            <v>21.8</v>
          </cell>
          <cell r="AE23">
            <v>15.8</v>
          </cell>
          <cell r="AF23" t="str">
            <v>нужно увеличить продажи / 22,05,25 списание 215шт.</v>
          </cell>
          <cell r="AG23">
            <v>99</v>
          </cell>
          <cell r="AH23">
            <v>1.98</v>
          </cell>
        </row>
        <row r="24">
          <cell r="I24" t="str">
            <v>на вывод (заменили на 300гр)</v>
          </cell>
          <cell r="L24">
            <v>197</v>
          </cell>
          <cell r="P24">
            <v>39.4</v>
          </cell>
          <cell r="T24">
            <v>1.8527918781725889</v>
          </cell>
          <cell r="U24">
            <v>1.8527918781725889</v>
          </cell>
          <cell r="V24">
            <v>19</v>
          </cell>
          <cell r="W24">
            <v>24.6</v>
          </cell>
          <cell r="X24">
            <v>21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 t="str">
            <v>завод перестал отгружать, заменив на 300гр. и снова отгрузил</v>
          </cell>
        </row>
        <row r="25">
          <cell r="I25">
            <v>1010033332</v>
          </cell>
          <cell r="L25">
            <v>221</v>
          </cell>
          <cell r="P25">
            <v>44.2</v>
          </cell>
          <cell r="Q25">
            <v>300</v>
          </cell>
          <cell r="R25">
            <v>466</v>
          </cell>
          <cell r="T25">
            <v>21.244343891402714</v>
          </cell>
          <cell r="U25">
            <v>14.457013574660632</v>
          </cell>
          <cell r="V25">
            <v>79.400000000000006</v>
          </cell>
          <cell r="W25">
            <v>0</v>
          </cell>
          <cell r="X25">
            <v>0</v>
          </cell>
          <cell r="Y25">
            <v>-1.2</v>
          </cell>
          <cell r="Z25">
            <v>-2.6</v>
          </cell>
          <cell r="AA25">
            <v>23.6</v>
          </cell>
          <cell r="AB25">
            <v>54.6</v>
          </cell>
          <cell r="AC25">
            <v>-7.6</v>
          </cell>
          <cell r="AD25">
            <v>77.2</v>
          </cell>
          <cell r="AE25">
            <v>-0.6</v>
          </cell>
          <cell r="AF25" t="str">
            <v>новый артикул</v>
          </cell>
          <cell r="AG25">
            <v>90</v>
          </cell>
          <cell r="AH25">
            <v>1.7999999999999998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2">
          <cell r="S2" t="str">
            <v>приход 5-6 нояб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Q3" t="str">
            <v>ср нов</v>
          </cell>
          <cell r="R3" t="str">
            <v>расчет</v>
          </cell>
          <cell r="S3" t="str">
            <v>заказ филиала</v>
          </cell>
        </row>
        <row r="4">
          <cell r="F4">
            <v>45957</v>
          </cell>
          <cell r="Q4" t="str">
            <v>20,10,</v>
          </cell>
          <cell r="S4" t="str">
            <v>штуки</v>
          </cell>
        </row>
        <row r="5">
          <cell r="E5">
            <v>1642</v>
          </cell>
          <cell r="F5">
            <v>7429</v>
          </cell>
          <cell r="K5">
            <v>0</v>
          </cell>
          <cell r="L5">
            <v>1642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328.4</v>
          </cell>
          <cell r="R5">
            <v>1872</v>
          </cell>
          <cell r="S5">
            <v>1190</v>
          </cell>
        </row>
        <row r="6">
          <cell r="A6" t="str">
            <v>!!!НЕ ИСПОЛЬЗОВАТЬ!!! Сервелат полусухой с/к ВУ ОХЛ 300гр МИРАТОРГ</v>
          </cell>
          <cell r="B6" t="str">
            <v>шт</v>
          </cell>
          <cell r="C6">
            <v>-9</v>
          </cell>
          <cell r="G6">
            <v>0</v>
          </cell>
          <cell r="I6" t="str">
            <v>не в матрице</v>
          </cell>
          <cell r="L6">
            <v>0</v>
          </cell>
          <cell r="Q6">
            <v>0</v>
          </cell>
        </row>
        <row r="7">
          <cell r="A7" t="str">
            <v>КП Колбаса в/к Балыковая ВУ охл 300г*6  МИРАТОРГ</v>
          </cell>
          <cell r="B7" t="str">
            <v>шт</v>
          </cell>
          <cell r="C7">
            <v>739</v>
          </cell>
          <cell r="E7">
            <v>139</v>
          </cell>
          <cell r="F7">
            <v>591</v>
          </cell>
          <cell r="G7">
            <v>0.3</v>
          </cell>
          <cell r="H7">
            <v>55</v>
          </cell>
          <cell r="I7">
            <v>1010027650</v>
          </cell>
          <cell r="L7">
            <v>139</v>
          </cell>
          <cell r="Q7">
            <v>27.8</v>
          </cell>
          <cell r="R7">
            <v>104</v>
          </cell>
        </row>
        <row r="8">
          <cell r="A8" t="str">
            <v>Колбаса п/к Краковская ОХЛ ВУ 330г*5 (1,65 кг)  МИРАТОРГ</v>
          </cell>
          <cell r="B8" t="str">
            <v>шт</v>
          </cell>
          <cell r="C8">
            <v>389</v>
          </cell>
          <cell r="E8">
            <v>102</v>
          </cell>
          <cell r="F8">
            <v>402</v>
          </cell>
          <cell r="G8">
            <v>0.33</v>
          </cell>
          <cell r="H8">
            <v>55</v>
          </cell>
          <cell r="I8">
            <v>1010033736</v>
          </cell>
          <cell r="L8">
            <v>102</v>
          </cell>
          <cell r="Q8">
            <v>20.399999999999999</v>
          </cell>
          <cell r="R8">
            <v>107.99999999999994</v>
          </cell>
        </row>
        <row r="9">
          <cell r="A9" t="str">
            <v>Колбаса с/к Сальчичон ВУ ОХЛ 280г*6 (1,68 кг)  МИРАТОРГ</v>
          </cell>
          <cell r="B9" t="str">
            <v>шт</v>
          </cell>
          <cell r="C9">
            <v>472</v>
          </cell>
          <cell r="E9">
            <v>35</v>
          </cell>
          <cell r="F9">
            <v>376</v>
          </cell>
          <cell r="G9">
            <v>0.28000000000000003</v>
          </cell>
          <cell r="H9">
            <v>180</v>
          </cell>
          <cell r="I9">
            <v>1010033335</v>
          </cell>
          <cell r="L9">
            <v>35</v>
          </cell>
          <cell r="Q9">
            <v>7</v>
          </cell>
          <cell r="R9">
            <v>-201</v>
          </cell>
        </row>
        <row r="10">
          <cell r="A10" t="str">
            <v>Колбаса с/к Сервелат ГОСТ ВУ ОХЛ 0,3кг*6(1,8кг)  МИРАТОРГ</v>
          </cell>
          <cell r="B10" t="str">
            <v>шт</v>
          </cell>
          <cell r="C10">
            <v>366</v>
          </cell>
          <cell r="E10">
            <v>109</v>
          </cell>
          <cell r="F10">
            <v>96</v>
          </cell>
          <cell r="G10">
            <v>0.3</v>
          </cell>
          <cell r="H10">
            <v>150</v>
          </cell>
          <cell r="I10">
            <v>1010033332</v>
          </cell>
          <cell r="L10">
            <v>109</v>
          </cell>
          <cell r="Q10">
            <v>21.8</v>
          </cell>
          <cell r="R10">
            <v>449</v>
          </cell>
        </row>
        <row r="11">
          <cell r="A11" t="str">
            <v>МХБ Ветчина для завтрака ШТ. ОХЛ п/а 400г*6 (2,4кг) МИРАТОРГ</v>
          </cell>
          <cell r="B11" t="str">
            <v>шт</v>
          </cell>
          <cell r="C11">
            <v>410</v>
          </cell>
          <cell r="E11">
            <v>26</v>
          </cell>
          <cell r="F11">
            <v>332</v>
          </cell>
          <cell r="G11">
            <v>0.4</v>
          </cell>
          <cell r="H11">
            <v>75</v>
          </cell>
          <cell r="I11">
            <v>1010016111</v>
          </cell>
          <cell r="L11">
            <v>26</v>
          </cell>
          <cell r="Q11">
            <v>5.2</v>
          </cell>
          <cell r="R11">
            <v>-202</v>
          </cell>
        </row>
        <row r="12">
          <cell r="A12" t="str">
            <v>МХБ Колб полусухая «Салями» ВУ ОХЛ 280гр*6 (1,68кг)  МИРАТОРГ</v>
          </cell>
          <cell r="B12" t="str">
            <v>шт</v>
          </cell>
          <cell r="C12">
            <v>941</v>
          </cell>
          <cell r="E12">
            <v>247</v>
          </cell>
          <cell r="F12">
            <v>477</v>
          </cell>
          <cell r="G12">
            <v>0.28000000000000003</v>
          </cell>
          <cell r="H12">
            <v>120</v>
          </cell>
          <cell r="I12">
            <v>1010033329</v>
          </cell>
          <cell r="L12">
            <v>247</v>
          </cell>
          <cell r="Q12">
            <v>49.4</v>
          </cell>
          <cell r="R12">
            <v>758</v>
          </cell>
          <cell r="S12">
            <v>550</v>
          </cell>
        </row>
        <row r="13">
          <cell r="A13" t="str">
            <v>МХБ Колб полусухая «Салями» ШТ. ВУ ОХЛ 300гр*8  МИРАТОРГ</v>
          </cell>
          <cell r="B13" t="str">
            <v>шт</v>
          </cell>
          <cell r="G13">
            <v>0</v>
          </cell>
          <cell r="H13">
            <v>120</v>
          </cell>
          <cell r="I13">
            <v>1010028068</v>
          </cell>
          <cell r="L13">
            <v>0</v>
          </cell>
          <cell r="Q13">
            <v>0</v>
          </cell>
          <cell r="R13">
            <v>0</v>
          </cell>
        </row>
        <row r="14">
          <cell r="A14" t="str">
            <v>МХБ Колбаса вареная Докторская ШТ. п/а ОХЛ 470г*6 (2,82 кг) МИРАТОРГ</v>
          </cell>
          <cell r="B14" t="str">
            <v>шт</v>
          </cell>
          <cell r="C14">
            <v>242</v>
          </cell>
          <cell r="E14">
            <v>67</v>
          </cell>
          <cell r="F14">
            <v>130</v>
          </cell>
          <cell r="G14">
            <v>0.47</v>
          </cell>
          <cell r="H14">
            <v>75</v>
          </cell>
          <cell r="I14">
            <v>1010015954</v>
          </cell>
          <cell r="L14">
            <v>67</v>
          </cell>
          <cell r="Q14">
            <v>13.4</v>
          </cell>
          <cell r="R14">
            <v>205</v>
          </cell>
          <cell r="S14">
            <v>80</v>
          </cell>
        </row>
        <row r="15">
          <cell r="A15" t="str">
            <v>МХБ Колбаса вареная Классическая ШТ. ОХЛ п/а 470г*6 (2,82кг) МИРАТОРГ</v>
          </cell>
          <cell r="B15" t="str">
            <v>шт</v>
          </cell>
          <cell r="C15">
            <v>149</v>
          </cell>
          <cell r="E15">
            <v>33</v>
          </cell>
          <cell r="F15">
            <v>79</v>
          </cell>
          <cell r="G15">
            <v>0.47</v>
          </cell>
          <cell r="H15">
            <v>75</v>
          </cell>
          <cell r="I15">
            <v>1010016092</v>
          </cell>
          <cell r="L15">
            <v>33</v>
          </cell>
          <cell r="Q15">
            <v>6.6</v>
          </cell>
          <cell r="R15">
            <v>86</v>
          </cell>
          <cell r="S15">
            <v>80</v>
          </cell>
        </row>
        <row r="16">
          <cell r="A16" t="str">
            <v>МХБ Колбаса вареная Молочная ШТ. п/а ОХЛ 470*6 (2,82 кг) МИРАТОРГ</v>
          </cell>
          <cell r="B16" t="str">
            <v>шт</v>
          </cell>
          <cell r="C16">
            <v>158</v>
          </cell>
          <cell r="E16">
            <v>29</v>
          </cell>
          <cell r="F16">
            <v>86</v>
          </cell>
          <cell r="G16">
            <v>0.47</v>
          </cell>
          <cell r="H16">
            <v>75</v>
          </cell>
          <cell r="I16">
            <v>1010015952</v>
          </cell>
          <cell r="L16">
            <v>29</v>
          </cell>
          <cell r="Q16">
            <v>5.8</v>
          </cell>
          <cell r="R16">
            <v>59</v>
          </cell>
          <cell r="S16">
            <v>60</v>
          </cell>
        </row>
        <row r="17">
          <cell r="A17" t="str">
            <v>МХБ Колбаса варено-копченая Сервелат Коньячный Ф/О ОХЛ В/У 300г*6 (1,8кг)  МИРАТОРГ</v>
          </cell>
          <cell r="B17" t="str">
            <v>шт</v>
          </cell>
          <cell r="C17">
            <v>868</v>
          </cell>
          <cell r="E17">
            <v>113</v>
          </cell>
          <cell r="F17">
            <v>367</v>
          </cell>
          <cell r="G17">
            <v>0.3</v>
          </cell>
          <cell r="H17">
            <v>55</v>
          </cell>
          <cell r="I17">
            <v>1010032953</v>
          </cell>
          <cell r="L17">
            <v>113</v>
          </cell>
          <cell r="Q17">
            <v>22.6</v>
          </cell>
          <cell r="R17">
            <v>198</v>
          </cell>
          <cell r="S17">
            <v>120</v>
          </cell>
        </row>
        <row r="18">
          <cell r="A18" t="str">
            <v>МХБ Колбаса варено-копченая Сервелат Финский ШТ. Ф/О ОХЛ В/У 375г*6 (2,25кг) МИРАТОРГ</v>
          </cell>
          <cell r="B18" t="str">
            <v>шт</v>
          </cell>
          <cell r="C18">
            <v>674</v>
          </cell>
          <cell r="E18">
            <v>181</v>
          </cell>
          <cell r="F18">
            <v>535</v>
          </cell>
          <cell r="G18">
            <v>0.375</v>
          </cell>
          <cell r="H18">
            <v>55</v>
          </cell>
          <cell r="I18">
            <v>1010022954</v>
          </cell>
          <cell r="L18">
            <v>181</v>
          </cell>
          <cell r="Q18">
            <v>36.200000000000003</v>
          </cell>
          <cell r="R18">
            <v>370.00000000000011</v>
          </cell>
          <cell r="S18">
            <v>200</v>
          </cell>
        </row>
        <row r="19">
          <cell r="A19" t="str">
            <v>МХБ Колбаса варено-копченая Сервелат ШТ. Ф/О ОХЛ В/У 375г*6 (2,25кг) МИРАТОРГ</v>
          </cell>
          <cell r="B19" t="str">
            <v>шт</v>
          </cell>
          <cell r="C19">
            <v>626</v>
          </cell>
          <cell r="E19">
            <v>124</v>
          </cell>
          <cell r="F19">
            <v>589</v>
          </cell>
          <cell r="G19">
            <v>0.375</v>
          </cell>
          <cell r="H19">
            <v>55</v>
          </cell>
          <cell r="I19">
            <v>1010016034</v>
          </cell>
          <cell r="L19">
            <v>124</v>
          </cell>
          <cell r="Q19">
            <v>24.8</v>
          </cell>
          <cell r="R19">
            <v>31</v>
          </cell>
        </row>
        <row r="20">
          <cell r="A20" t="str">
            <v>МХБ Колбаса полукопченая Чесночная ШТ. ф/о ОХЛ 375г*6 (2,25кг) МИРАТОРГ</v>
          </cell>
          <cell r="B20" t="str">
            <v>шт</v>
          </cell>
          <cell r="C20">
            <v>802</v>
          </cell>
          <cell r="E20">
            <v>131</v>
          </cell>
          <cell r="F20">
            <v>510</v>
          </cell>
          <cell r="G20">
            <v>0.375</v>
          </cell>
          <cell r="H20">
            <v>55</v>
          </cell>
          <cell r="I20">
            <v>1010023122</v>
          </cell>
          <cell r="L20">
            <v>131</v>
          </cell>
          <cell r="Q20">
            <v>26.2</v>
          </cell>
          <cell r="R20">
            <v>145</v>
          </cell>
          <cell r="S20">
            <v>100</v>
          </cell>
        </row>
        <row r="21">
          <cell r="A21" t="str">
            <v>МХБ Колбаса с/к "Куршская" ВУ ОХЛ 280г*8 (2,24 кг)  МИРАТОРГ</v>
          </cell>
          <cell r="B21" t="str">
            <v>шт</v>
          </cell>
          <cell r="C21">
            <v>-8</v>
          </cell>
          <cell r="F21">
            <v>-8</v>
          </cell>
          <cell r="G21">
            <v>0</v>
          </cell>
          <cell r="H21">
            <v>120</v>
          </cell>
          <cell r="I21" t="str">
            <v>на вывод / 1010030636</v>
          </cell>
          <cell r="L21">
            <v>0</v>
          </cell>
          <cell r="Q21">
            <v>0</v>
          </cell>
          <cell r="R21">
            <v>8</v>
          </cell>
        </row>
        <row r="22">
          <cell r="A22" t="str">
            <v>МХБ Колбаса сырокопченая Брауншвейгская ШТ. ВУ ОХЛ 300гр*8 (2,4 кг) МИРАТОРГ</v>
          </cell>
          <cell r="B22" t="str">
            <v>шт</v>
          </cell>
          <cell r="C22">
            <v>292</v>
          </cell>
          <cell r="E22">
            <v>30</v>
          </cell>
          <cell r="F22">
            <v>171</v>
          </cell>
          <cell r="G22">
            <v>0.3</v>
          </cell>
          <cell r="H22">
            <v>150</v>
          </cell>
          <cell r="I22">
            <v>1010033324</v>
          </cell>
          <cell r="L22">
            <v>30</v>
          </cell>
          <cell r="Q22">
            <v>6</v>
          </cell>
          <cell r="R22">
            <v>-21</v>
          </cell>
        </row>
        <row r="23">
          <cell r="A23" t="str">
            <v>МХБ Мясной продукт из свинины сырокопченый Бекон ШТ. ОХЛ ВУ 200г*10 (2 кг) МИРАТОРГ</v>
          </cell>
          <cell r="B23" t="str">
            <v>шт</v>
          </cell>
          <cell r="C23">
            <v>547</v>
          </cell>
          <cell r="E23">
            <v>155</v>
          </cell>
          <cell r="F23">
            <v>1007</v>
          </cell>
          <cell r="G23">
            <v>0.2</v>
          </cell>
          <cell r="H23">
            <v>90</v>
          </cell>
          <cell r="I23">
            <v>1010025585</v>
          </cell>
          <cell r="L23">
            <v>155</v>
          </cell>
          <cell r="Q23">
            <v>31</v>
          </cell>
          <cell r="R23">
            <v>-232</v>
          </cell>
        </row>
        <row r="24">
          <cell r="A24" t="str">
            <v>МХБ Сервелат Мраморный ШТ. в/к ВУ ОХЛ 330г*6 (1,98кг)  МИРАТОРГ</v>
          </cell>
          <cell r="B24" t="str">
            <v>шт</v>
          </cell>
          <cell r="C24">
            <v>557</v>
          </cell>
          <cell r="E24">
            <v>122</v>
          </cell>
          <cell r="F24">
            <v>603</v>
          </cell>
          <cell r="G24">
            <v>0.33</v>
          </cell>
          <cell r="H24">
            <v>55</v>
          </cell>
          <cell r="I24">
            <v>1010029655</v>
          </cell>
          <cell r="L24">
            <v>122</v>
          </cell>
          <cell r="Q24">
            <v>24.4</v>
          </cell>
          <cell r="R24">
            <v>7</v>
          </cell>
        </row>
        <row r="25">
          <cell r="A25" t="str">
            <v>Сервелат Коньячный в/к ВУ ОХЛ 375гр  МИРАТОРГ</v>
          </cell>
          <cell r="B25" t="str">
            <v>шт</v>
          </cell>
          <cell r="C25">
            <v>14</v>
          </cell>
          <cell r="E25">
            <v>-1</v>
          </cell>
          <cell r="G25">
            <v>0</v>
          </cell>
          <cell r="I25" t="str">
            <v>на вывод (заменили на 300гр)</v>
          </cell>
          <cell r="L25">
            <v>-1</v>
          </cell>
          <cell r="Q25">
            <v>-0.2</v>
          </cell>
        </row>
        <row r="26">
          <cell r="A26" t="str">
            <v>КП Колбаса с/к Брауншвейгская ВУ ОХЛ 300г*6 (1,8кг)  МИРАТОРГ</v>
          </cell>
          <cell r="F26">
            <v>336</v>
          </cell>
        </row>
        <row r="27">
          <cell r="A27" t="str">
            <v>Сервелат полусухой с/к ВУ ОХЛ 300гр МИРАТОРГ</v>
          </cell>
          <cell r="F27">
            <v>327</v>
          </cell>
        </row>
        <row r="29">
          <cell r="F29">
            <v>423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L7" sqref="AL7"/>
    </sheetView>
  </sheetViews>
  <sheetFormatPr defaultRowHeight="15" x14ac:dyDescent="0.25"/>
  <cols>
    <col min="1" max="1" width="41.28515625" customWidth="1"/>
    <col min="2" max="2" width="3" customWidth="1"/>
    <col min="3" max="4" width="6" customWidth="1"/>
    <col min="5" max="6" width="7" customWidth="1"/>
    <col min="7" max="7" width="6" style="6" customWidth="1"/>
    <col min="8" max="8" width="5" customWidth="1"/>
    <col min="9" max="9" width="12" customWidth="1"/>
    <col min="10" max="10" width="1" customWidth="1"/>
    <col min="11" max="14" width="0.42578125" customWidth="1"/>
    <col min="15" max="17" width="7" customWidth="1"/>
    <col min="18" max="19" width="7" style="23" customWidth="1"/>
    <col min="20" max="20" width="7" customWidth="1"/>
    <col min="21" max="21" width="9.42578125" customWidth="1"/>
    <col min="22" max="23" width="5" customWidth="1"/>
    <col min="24" max="33" width="6" customWidth="1"/>
    <col min="34" max="34" width="12.7109375" customWidth="1"/>
    <col min="35" max="35" width="7" customWidth="1"/>
    <col min="36" max="36" width="7" style="23" customWidth="1"/>
    <col min="37" max="37" width="8.28515625" style="21" bestFit="1" customWidth="1"/>
    <col min="38" max="38" width="4.28515625" style="22" customWidth="1"/>
    <col min="39" max="39" width="4.28515625" style="23" customWidth="1"/>
    <col min="40" max="40" width="4.28515625" style="22" customWidth="1"/>
    <col min="41" max="41" width="4.28515625" style="23" customWidth="1"/>
    <col min="42" max="42" width="9.42578125" style="23" customWidth="1"/>
    <col min="43" max="43" width="8" style="22" customWidth="1"/>
    <col min="44" max="44" width="8" style="23" customWidth="1"/>
    <col min="45" max="53" width="3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6"/>
      <c r="AL1" s="17"/>
      <c r="AM1" s="1"/>
      <c r="AN1" s="17"/>
      <c r="AO1" s="1"/>
      <c r="AP1" s="1"/>
      <c r="AQ1" s="17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6"/>
      <c r="AL2" s="17" t="s">
        <v>78</v>
      </c>
      <c r="AM2" s="1"/>
      <c r="AN2" s="17" t="s">
        <v>79</v>
      </c>
      <c r="AO2" s="1"/>
      <c r="AP2" s="1"/>
      <c r="AQ2" s="17" t="s">
        <v>81</v>
      </c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73</v>
      </c>
      <c r="R3" s="3" t="s">
        <v>73</v>
      </c>
      <c r="S3" s="3" t="s">
        <v>73</v>
      </c>
      <c r="T3" s="7" t="s">
        <v>16</v>
      </c>
      <c r="U3" s="7" t="s">
        <v>17</v>
      </c>
      <c r="V3" s="2" t="s">
        <v>18</v>
      </c>
      <c r="W3" s="2" t="s">
        <v>19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21</v>
      </c>
      <c r="AI3" s="2" t="s">
        <v>22</v>
      </c>
      <c r="AJ3" s="2" t="s">
        <v>22</v>
      </c>
      <c r="AK3" s="18" t="s">
        <v>74</v>
      </c>
      <c r="AL3" s="18" t="s">
        <v>75</v>
      </c>
      <c r="AM3" s="19" t="s">
        <v>76</v>
      </c>
      <c r="AN3" s="18" t="s">
        <v>75</v>
      </c>
      <c r="AO3" s="19" t="s">
        <v>76</v>
      </c>
      <c r="AP3" s="2" t="s">
        <v>22</v>
      </c>
      <c r="AQ3" s="18" t="s">
        <v>75</v>
      </c>
      <c r="AR3" s="19" t="s">
        <v>76</v>
      </c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23</v>
      </c>
      <c r="P4" s="1" t="s">
        <v>24</v>
      </c>
      <c r="Q4" s="1" t="s">
        <v>82</v>
      </c>
      <c r="R4" s="1" t="s">
        <v>83</v>
      </c>
      <c r="S4" s="1" t="s">
        <v>80</v>
      </c>
      <c r="T4" s="1"/>
      <c r="U4" s="1"/>
      <c r="V4" s="1"/>
      <c r="W4" s="1"/>
      <c r="X4" s="1" t="s">
        <v>23</v>
      </c>
      <c r="Y4" s="1" t="s">
        <v>25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/>
      <c r="AI4" s="1" t="s">
        <v>72</v>
      </c>
      <c r="AJ4" s="1" t="s">
        <v>77</v>
      </c>
      <c r="AK4" s="16"/>
      <c r="AL4" s="17"/>
      <c r="AM4" s="1"/>
      <c r="AN4" s="17"/>
      <c r="AO4" s="1"/>
      <c r="AP4" s="1" t="s">
        <v>72</v>
      </c>
      <c r="AQ4" s="17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SUM(E6:E500)</f>
        <v>1642</v>
      </c>
      <c r="F5" s="4">
        <f>SUM(F6:F500)</f>
        <v>6404</v>
      </c>
      <c r="G5" s="8"/>
      <c r="H5" s="1"/>
      <c r="I5" s="1"/>
      <c r="J5" s="1"/>
      <c r="K5" s="4">
        <f t="shared" ref="K5:T5" si="0">SUM(K6:K500)</f>
        <v>0</v>
      </c>
      <c r="L5" s="4">
        <f t="shared" si="0"/>
        <v>1642</v>
      </c>
      <c r="M5" s="4">
        <f t="shared" si="0"/>
        <v>0</v>
      </c>
      <c r="N5" s="4">
        <f t="shared" si="0"/>
        <v>0</v>
      </c>
      <c r="O5" s="4">
        <f t="shared" si="0"/>
        <v>2450</v>
      </c>
      <c r="P5" s="4">
        <f t="shared" si="0"/>
        <v>328.4</v>
      </c>
      <c r="Q5" s="4">
        <f t="shared" si="0"/>
        <v>1540</v>
      </c>
      <c r="R5" s="4">
        <f t="shared" ref="R5:S5" si="1">SUM(R6:R500)</f>
        <v>1600</v>
      </c>
      <c r="S5" s="4">
        <f t="shared" si="1"/>
        <v>1190</v>
      </c>
      <c r="T5" s="4">
        <f t="shared" si="0"/>
        <v>1060</v>
      </c>
      <c r="U5" s="1"/>
      <c r="V5" s="1"/>
      <c r="W5" s="1"/>
      <c r="X5" s="4">
        <f t="shared" ref="X5:AG5" si="2">SUM(X6:X500)</f>
        <v>457.6</v>
      </c>
      <c r="Y5" s="4">
        <f t="shared" si="2"/>
        <v>442.6</v>
      </c>
      <c r="Z5" s="4">
        <f t="shared" si="2"/>
        <v>386.6</v>
      </c>
      <c r="AA5" s="4">
        <f t="shared" si="2"/>
        <v>318.8</v>
      </c>
      <c r="AB5" s="4">
        <f t="shared" si="2"/>
        <v>422.00000000000006</v>
      </c>
      <c r="AC5" s="4">
        <f t="shared" si="2"/>
        <v>347.79999999999995</v>
      </c>
      <c r="AD5" s="4">
        <f t="shared" si="2"/>
        <v>320.40000000000003</v>
      </c>
      <c r="AE5" s="4">
        <f t="shared" si="2"/>
        <v>278.2</v>
      </c>
      <c r="AF5" s="4">
        <f t="shared" si="2"/>
        <v>604.4</v>
      </c>
      <c r="AG5" s="4">
        <f t="shared" si="2"/>
        <v>158.59999999999997</v>
      </c>
      <c r="AH5" s="1"/>
      <c r="AI5" s="4">
        <f>SUM(AI6:AI500)</f>
        <v>530.70000000000005</v>
      </c>
      <c r="AJ5" s="4">
        <f>SUM(AJ6:AJ500)</f>
        <v>510.45000000000005</v>
      </c>
      <c r="AK5" s="16"/>
      <c r="AL5" s="20">
        <f>SUM(AL6:AL499)</f>
        <v>262</v>
      </c>
      <c r="AM5" s="4">
        <f t="shared" ref="AM5" si="3">SUM(AM6:AM499)</f>
        <v>527.84999999999991</v>
      </c>
      <c r="AN5" s="20">
        <f>SUM(AN6:AN499)</f>
        <v>256</v>
      </c>
      <c r="AO5" s="4">
        <f t="shared" ref="AO5:AR5" si="4">SUM(AO6:AO499)</f>
        <v>510.64000000000004</v>
      </c>
      <c r="AP5" s="4">
        <f>SUM(AP6:AP500)</f>
        <v>405.90000000000003</v>
      </c>
      <c r="AQ5" s="20">
        <f>SUM(AQ6:AQ499)</f>
        <v>198</v>
      </c>
      <c r="AR5" s="4">
        <f t="shared" si="4"/>
        <v>404.58</v>
      </c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0" t="s">
        <v>34</v>
      </c>
      <c r="B6" s="10" t="s">
        <v>35</v>
      </c>
      <c r="C6" s="10">
        <v>-9</v>
      </c>
      <c r="D6" s="10"/>
      <c r="E6" s="10"/>
      <c r="F6" s="10">
        <v>-9</v>
      </c>
      <c r="G6" s="11">
        <v>0</v>
      </c>
      <c r="H6" s="10"/>
      <c r="I6" s="10" t="s">
        <v>36</v>
      </c>
      <c r="J6" s="10"/>
      <c r="K6" s="10"/>
      <c r="L6" s="10">
        <f t="shared" ref="L6:L25" si="5">E6-K6</f>
        <v>0</v>
      </c>
      <c r="M6" s="10"/>
      <c r="N6" s="10"/>
      <c r="O6" s="10"/>
      <c r="P6" s="10">
        <f>E6/5</f>
        <v>0</v>
      </c>
      <c r="Q6" s="12"/>
      <c r="R6" s="12"/>
      <c r="S6" s="12"/>
      <c r="T6" s="12"/>
      <c r="U6" s="10"/>
      <c r="V6" s="10" t="e">
        <f>(F6+O6+Q6)/P6</f>
        <v>#DIV/0!</v>
      </c>
      <c r="W6" s="10" t="e">
        <f>(F6+O6)/P6</f>
        <v>#DIV/0!</v>
      </c>
      <c r="X6" s="10">
        <f>IFERROR(VLOOKUP(A6,[1]TDSheet!$A:$G,3,0),0)/5</f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37</v>
      </c>
      <c r="B7" s="1" t="s">
        <v>35</v>
      </c>
      <c r="C7" s="1">
        <v>739</v>
      </c>
      <c r="D7" s="1"/>
      <c r="E7" s="1">
        <v>139</v>
      </c>
      <c r="F7" s="1">
        <v>583</v>
      </c>
      <c r="G7" s="8">
        <v>0.3</v>
      </c>
      <c r="H7" s="1">
        <v>55</v>
      </c>
      <c r="I7" s="1">
        <v>1010027650</v>
      </c>
      <c r="J7" s="1"/>
      <c r="K7" s="1"/>
      <c r="L7" s="1">
        <f t="shared" si="5"/>
        <v>139</v>
      </c>
      <c r="M7" s="1"/>
      <c r="N7" s="1"/>
      <c r="O7" s="1">
        <v>200</v>
      </c>
      <c r="P7" s="1">
        <f t="shared" ref="P7:P25" si="6">E7/5</f>
        <v>27.8</v>
      </c>
      <c r="Q7" s="5"/>
      <c r="R7" s="5">
        <f>IFERROR(VLOOKUP(A7,[2]Sheet!$A:$S,19,0),0)</f>
        <v>120</v>
      </c>
      <c r="S7" s="5"/>
      <c r="T7" s="5"/>
      <c r="U7" s="1"/>
      <c r="V7" s="1">
        <f t="shared" ref="V7:V25" si="7">(F7+O7+Q7)/P7</f>
        <v>28.165467625899279</v>
      </c>
      <c r="W7" s="1">
        <f t="shared" ref="W7:W25" si="8">(F7+O7)/P7</f>
        <v>28.165467625899279</v>
      </c>
      <c r="X7" s="1">
        <f>IFERROR(VLOOKUP(A7,[1]TDSheet!$A:$G,3,0),0)/5</f>
        <v>37.6</v>
      </c>
      <c r="Y7" s="1">
        <v>40.6</v>
      </c>
      <c r="Z7" s="1">
        <v>31.4</v>
      </c>
      <c r="AA7" s="1">
        <v>39.4</v>
      </c>
      <c r="AB7" s="1">
        <v>49.4</v>
      </c>
      <c r="AC7" s="1">
        <v>-1</v>
      </c>
      <c r="AD7" s="1">
        <v>6.6</v>
      </c>
      <c r="AE7" s="1">
        <v>42.8</v>
      </c>
      <c r="AF7" s="1">
        <v>72.8</v>
      </c>
      <c r="AG7" s="1">
        <v>0</v>
      </c>
      <c r="AH7" s="1" t="s">
        <v>38</v>
      </c>
      <c r="AI7" s="1">
        <f t="shared" ref="AI7:AI12" si="9">G7*Q7</f>
        <v>0</v>
      </c>
      <c r="AJ7" s="1">
        <f>G7*R7</f>
        <v>36</v>
      </c>
      <c r="AK7" s="16">
        <f>VLOOKUP(I7,[3]Sheet!$I:$AH,26,0)</f>
        <v>1.7999999999999998</v>
      </c>
      <c r="AL7" s="17">
        <f>MROUND(G7*Q7,AK7)/AK7</f>
        <v>0</v>
      </c>
      <c r="AM7" s="1">
        <f>AL7*AK7</f>
        <v>0</v>
      </c>
      <c r="AN7" s="17">
        <f>MROUND(G7*R7,AK7)/AK7</f>
        <v>20.000000000000004</v>
      </c>
      <c r="AO7" s="1">
        <f>AN7*AK7</f>
        <v>36</v>
      </c>
      <c r="AP7" s="1">
        <f>S7*G7</f>
        <v>0</v>
      </c>
      <c r="AQ7" s="17">
        <f>MROUND(G7*S7,AK7)/AK7</f>
        <v>0</v>
      </c>
      <c r="AR7" s="1">
        <f>AQ7*AK7</f>
        <v>0</v>
      </c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39</v>
      </c>
      <c r="B8" s="1" t="s">
        <v>35</v>
      </c>
      <c r="C8" s="1">
        <v>389</v>
      </c>
      <c r="D8" s="1"/>
      <c r="E8" s="1">
        <v>102</v>
      </c>
      <c r="F8" s="1">
        <v>282</v>
      </c>
      <c r="G8" s="8">
        <v>0.33</v>
      </c>
      <c r="H8" s="1">
        <v>55</v>
      </c>
      <c r="I8" s="1">
        <v>1010033736</v>
      </c>
      <c r="J8" s="1"/>
      <c r="K8" s="1"/>
      <c r="L8" s="1">
        <f t="shared" si="5"/>
        <v>102</v>
      </c>
      <c r="M8" s="1"/>
      <c r="N8" s="1"/>
      <c r="O8" s="1">
        <v>200</v>
      </c>
      <c r="P8" s="1">
        <f t="shared" si="6"/>
        <v>20.399999999999999</v>
      </c>
      <c r="Q8" s="5">
        <v>200</v>
      </c>
      <c r="R8" s="5">
        <f>IFERROR(VLOOKUP(A8,[2]Sheet!$A:$S,19,0),0)</f>
        <v>80</v>
      </c>
      <c r="S8" s="5"/>
      <c r="T8" s="5">
        <v>27.999999999999943</v>
      </c>
      <c r="U8" s="1"/>
      <c r="V8" s="1">
        <f t="shared" si="7"/>
        <v>33.431372549019613</v>
      </c>
      <c r="W8" s="1">
        <f t="shared" si="8"/>
        <v>23.627450980392158</v>
      </c>
      <c r="X8" s="1">
        <f>IFERROR(VLOOKUP(A8,[1]TDSheet!$A:$G,3,0),0)/5</f>
        <v>30</v>
      </c>
      <c r="Y8" s="1">
        <v>29.2</v>
      </c>
      <c r="Z8" s="1">
        <v>23.8</v>
      </c>
      <c r="AA8" s="1">
        <v>-0.8</v>
      </c>
      <c r="AB8" s="1">
        <v>14</v>
      </c>
      <c r="AC8" s="1">
        <v>4.8</v>
      </c>
      <c r="AD8" s="1">
        <v>31.2</v>
      </c>
      <c r="AE8" s="1">
        <v>6.8</v>
      </c>
      <c r="AF8" s="1">
        <v>33.6</v>
      </c>
      <c r="AG8" s="1">
        <v>0</v>
      </c>
      <c r="AH8" s="1" t="s">
        <v>40</v>
      </c>
      <c r="AI8" s="1">
        <f t="shared" si="9"/>
        <v>66</v>
      </c>
      <c r="AJ8" s="1">
        <f t="shared" ref="AJ8:AJ24" si="10">G8*R8</f>
        <v>26.400000000000002</v>
      </c>
      <c r="AK8" s="16">
        <f>VLOOKUP(I8,[3]Sheet!$I:$AH,26,0)</f>
        <v>1.65</v>
      </c>
      <c r="AL8" s="17">
        <f t="shared" ref="AL8:AL12" si="11">MROUND(G8*Q8,AK8)/AK8</f>
        <v>40</v>
      </c>
      <c r="AM8" s="1">
        <f t="shared" ref="AM8:AM12" si="12">AL8*AK8</f>
        <v>66</v>
      </c>
      <c r="AN8" s="17">
        <f t="shared" ref="AN8:AN12" si="13">MROUND(G8*R8,AK8)/AK8</f>
        <v>16</v>
      </c>
      <c r="AO8" s="1">
        <f t="shared" ref="AO8:AO12" si="14">AN8*AK8</f>
        <v>26.4</v>
      </c>
      <c r="AP8" s="1">
        <f t="shared" ref="AP8:AP24" si="15">S8*G8</f>
        <v>0</v>
      </c>
      <c r="AQ8" s="17">
        <f t="shared" ref="AQ8:AQ12" si="16">MROUND(G8*S8,AK8)/AK8</f>
        <v>0</v>
      </c>
      <c r="AR8" s="1">
        <f t="shared" ref="AR8:AR12" si="17">AQ8*AK8</f>
        <v>0</v>
      </c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41</v>
      </c>
      <c r="B9" s="1" t="s">
        <v>35</v>
      </c>
      <c r="C9" s="1">
        <v>472</v>
      </c>
      <c r="D9" s="1"/>
      <c r="E9" s="1">
        <v>35</v>
      </c>
      <c r="F9" s="1">
        <v>429</v>
      </c>
      <c r="G9" s="8">
        <v>0.28000000000000003</v>
      </c>
      <c r="H9" s="1">
        <v>180</v>
      </c>
      <c r="I9" s="1">
        <v>1010033335</v>
      </c>
      <c r="J9" s="1"/>
      <c r="K9" s="1"/>
      <c r="L9" s="1">
        <f t="shared" si="5"/>
        <v>35</v>
      </c>
      <c r="M9" s="1"/>
      <c r="N9" s="1"/>
      <c r="O9" s="1"/>
      <c r="P9" s="1">
        <f t="shared" si="6"/>
        <v>7</v>
      </c>
      <c r="Q9" s="5"/>
      <c r="R9" s="5">
        <f>IFERROR(VLOOKUP(A9,[2]Sheet!$A:$S,19,0),0)</f>
        <v>100</v>
      </c>
      <c r="S9" s="5"/>
      <c r="T9" s="5"/>
      <c r="U9" s="1"/>
      <c r="V9" s="1">
        <f t="shared" si="7"/>
        <v>61.285714285714285</v>
      </c>
      <c r="W9" s="1">
        <f t="shared" si="8"/>
        <v>61.285714285714285</v>
      </c>
      <c r="X9" s="1">
        <f>IFERROR(VLOOKUP(A9,[1]TDSheet!$A:$G,3,0),0)/5</f>
        <v>4</v>
      </c>
      <c r="Y9" s="1">
        <v>1</v>
      </c>
      <c r="Z9" s="1">
        <v>-0.8</v>
      </c>
      <c r="AA9" s="1">
        <v>3.6</v>
      </c>
      <c r="AB9" s="1">
        <v>10.4</v>
      </c>
      <c r="AC9" s="1">
        <v>14.4</v>
      </c>
      <c r="AD9" s="1">
        <v>5.2</v>
      </c>
      <c r="AE9" s="1">
        <v>8</v>
      </c>
      <c r="AF9" s="1">
        <v>3</v>
      </c>
      <c r="AG9" s="1">
        <v>0</v>
      </c>
      <c r="AH9" s="13" t="s">
        <v>68</v>
      </c>
      <c r="AI9" s="1">
        <f t="shared" si="9"/>
        <v>0</v>
      </c>
      <c r="AJ9" s="1">
        <f t="shared" si="10"/>
        <v>28.000000000000004</v>
      </c>
      <c r="AK9" s="16">
        <f>VLOOKUP(I9,[3]Sheet!$I:$AH,26,0)</f>
        <v>1.68</v>
      </c>
      <c r="AL9" s="17">
        <f t="shared" si="11"/>
        <v>0</v>
      </c>
      <c r="AM9" s="1">
        <f t="shared" si="12"/>
        <v>0</v>
      </c>
      <c r="AN9" s="17">
        <f t="shared" si="13"/>
        <v>17</v>
      </c>
      <c r="AO9" s="1">
        <f t="shared" si="14"/>
        <v>28.56</v>
      </c>
      <c r="AP9" s="1">
        <f t="shared" si="15"/>
        <v>0</v>
      </c>
      <c r="AQ9" s="17">
        <f t="shared" si="16"/>
        <v>0</v>
      </c>
      <c r="AR9" s="1">
        <f t="shared" si="17"/>
        <v>0</v>
      </c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43</v>
      </c>
      <c r="B10" s="1" t="s">
        <v>35</v>
      </c>
      <c r="C10" s="1">
        <v>366</v>
      </c>
      <c r="D10" s="1"/>
      <c r="E10" s="1">
        <v>109</v>
      </c>
      <c r="F10" s="1">
        <v>246</v>
      </c>
      <c r="G10" s="8">
        <v>0.3</v>
      </c>
      <c r="H10" s="1">
        <v>150</v>
      </c>
      <c r="I10" s="1">
        <v>1010033332</v>
      </c>
      <c r="J10" s="1"/>
      <c r="K10" s="1"/>
      <c r="L10" s="1">
        <f t="shared" si="5"/>
        <v>109</v>
      </c>
      <c r="M10" s="1"/>
      <c r="N10" s="1"/>
      <c r="O10" s="1">
        <v>300</v>
      </c>
      <c r="P10" s="1">
        <f t="shared" si="6"/>
        <v>21.8</v>
      </c>
      <c r="Q10" s="5">
        <v>200</v>
      </c>
      <c r="R10" s="5">
        <f>IFERROR(VLOOKUP(A10,[2]Sheet!$A:$S,19,0),0)</f>
        <v>60</v>
      </c>
      <c r="S10" s="5"/>
      <c r="T10" s="5"/>
      <c r="U10" s="1"/>
      <c r="V10" s="1">
        <f t="shared" si="7"/>
        <v>34.220183486238533</v>
      </c>
      <c r="W10" s="1">
        <f t="shared" si="8"/>
        <v>25.045871559633028</v>
      </c>
      <c r="X10" s="1">
        <f>IFERROR(VLOOKUP(A10,[1]TDSheet!$A:$G,3,0),0)/5</f>
        <v>53.4</v>
      </c>
      <c r="Y10" s="1">
        <v>44.2</v>
      </c>
      <c r="Z10" s="1">
        <v>79.400000000000006</v>
      </c>
      <c r="AA10" s="1">
        <v>0</v>
      </c>
      <c r="AB10" s="1">
        <v>0</v>
      </c>
      <c r="AC10" s="1">
        <v>-1.2</v>
      </c>
      <c r="AD10" s="1">
        <v>-2.6</v>
      </c>
      <c r="AE10" s="1">
        <v>23.6</v>
      </c>
      <c r="AF10" s="1">
        <v>54.6</v>
      </c>
      <c r="AG10" s="1">
        <v>-7.6</v>
      </c>
      <c r="AH10" s="1" t="s">
        <v>44</v>
      </c>
      <c r="AI10" s="1">
        <f t="shared" si="9"/>
        <v>60</v>
      </c>
      <c r="AJ10" s="1">
        <f t="shared" si="10"/>
        <v>18</v>
      </c>
      <c r="AK10" s="16">
        <f>VLOOKUP(I10,[3]Sheet!$I:$AH,26,0)</f>
        <v>1.7999999999999998</v>
      </c>
      <c r="AL10" s="17">
        <f t="shared" si="11"/>
        <v>33</v>
      </c>
      <c r="AM10" s="1">
        <f t="shared" si="12"/>
        <v>59.399999999999991</v>
      </c>
      <c r="AN10" s="17">
        <f t="shared" si="13"/>
        <v>10.000000000000002</v>
      </c>
      <c r="AO10" s="1">
        <f t="shared" si="14"/>
        <v>18</v>
      </c>
      <c r="AP10" s="1">
        <f t="shared" si="15"/>
        <v>0</v>
      </c>
      <c r="AQ10" s="17">
        <f t="shared" si="16"/>
        <v>0</v>
      </c>
      <c r="AR10" s="1">
        <f t="shared" si="17"/>
        <v>0</v>
      </c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45</v>
      </c>
      <c r="B11" s="1" t="s">
        <v>35</v>
      </c>
      <c r="C11" s="1">
        <v>410</v>
      </c>
      <c r="D11" s="1"/>
      <c r="E11" s="1">
        <v>26</v>
      </c>
      <c r="F11" s="1">
        <v>361</v>
      </c>
      <c r="G11" s="8">
        <v>0.4</v>
      </c>
      <c r="H11" s="1">
        <v>75</v>
      </c>
      <c r="I11" s="1">
        <v>1010016111</v>
      </c>
      <c r="J11" s="1"/>
      <c r="K11" s="1"/>
      <c r="L11" s="1">
        <f t="shared" si="5"/>
        <v>26</v>
      </c>
      <c r="M11" s="1"/>
      <c r="N11" s="1"/>
      <c r="O11" s="1"/>
      <c r="P11" s="1">
        <f t="shared" si="6"/>
        <v>5.2</v>
      </c>
      <c r="Q11" s="5"/>
      <c r="R11" s="5">
        <f>IFERROR(VLOOKUP(A11,[2]Sheet!$A:$S,19,0),0)</f>
        <v>0</v>
      </c>
      <c r="S11" s="5"/>
      <c r="T11" s="5"/>
      <c r="U11" s="1"/>
      <c r="V11" s="1">
        <f t="shared" si="7"/>
        <v>69.42307692307692</v>
      </c>
      <c r="W11" s="1">
        <f t="shared" si="8"/>
        <v>69.42307692307692</v>
      </c>
      <c r="X11" s="1">
        <f>IFERROR(VLOOKUP(A11,[1]TDSheet!$A:$G,3,0),0)/5</f>
        <v>13.4</v>
      </c>
      <c r="Y11" s="1">
        <v>8.4</v>
      </c>
      <c r="Z11" s="1">
        <v>7.8</v>
      </c>
      <c r="AA11" s="1">
        <v>10</v>
      </c>
      <c r="AB11" s="1">
        <v>12</v>
      </c>
      <c r="AC11" s="1">
        <v>10</v>
      </c>
      <c r="AD11" s="1">
        <v>11.8</v>
      </c>
      <c r="AE11" s="1">
        <v>13</v>
      </c>
      <c r="AF11" s="1">
        <v>15.6</v>
      </c>
      <c r="AG11" s="1">
        <v>6.6</v>
      </c>
      <c r="AH11" s="14" t="s">
        <v>46</v>
      </c>
      <c r="AI11" s="1">
        <f t="shared" si="9"/>
        <v>0</v>
      </c>
      <c r="AJ11" s="1">
        <f t="shared" si="10"/>
        <v>0</v>
      </c>
      <c r="AK11" s="16">
        <f>VLOOKUP(I11,[3]Sheet!$I:$AH,26,0)</f>
        <v>2.4</v>
      </c>
      <c r="AL11" s="17">
        <f t="shared" si="11"/>
        <v>0</v>
      </c>
      <c r="AM11" s="1">
        <f t="shared" si="12"/>
        <v>0</v>
      </c>
      <c r="AN11" s="17">
        <f t="shared" si="13"/>
        <v>0</v>
      </c>
      <c r="AO11" s="1">
        <f t="shared" si="14"/>
        <v>0</v>
      </c>
      <c r="AP11" s="1">
        <f t="shared" si="15"/>
        <v>0</v>
      </c>
      <c r="AQ11" s="17">
        <f t="shared" si="16"/>
        <v>0</v>
      </c>
      <c r="AR11" s="1">
        <f t="shared" si="17"/>
        <v>0</v>
      </c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47</v>
      </c>
      <c r="B12" s="1" t="s">
        <v>35</v>
      </c>
      <c r="C12" s="1">
        <v>941</v>
      </c>
      <c r="D12" s="1"/>
      <c r="E12" s="1">
        <v>247</v>
      </c>
      <c r="F12" s="1">
        <v>693</v>
      </c>
      <c r="G12" s="8">
        <v>0.28000000000000003</v>
      </c>
      <c r="H12" s="1">
        <v>120</v>
      </c>
      <c r="I12" s="1">
        <v>1010033329</v>
      </c>
      <c r="J12" s="1"/>
      <c r="K12" s="1"/>
      <c r="L12" s="1">
        <f t="shared" si="5"/>
        <v>247</v>
      </c>
      <c r="M12" s="1"/>
      <c r="N12" s="1"/>
      <c r="O12" s="1"/>
      <c r="P12" s="1">
        <f t="shared" si="6"/>
        <v>49.4</v>
      </c>
      <c r="Q12" s="5">
        <v>500</v>
      </c>
      <c r="R12" s="5">
        <f>IFERROR(VLOOKUP(A12,[2]Sheet!$A:$S,19,0),0)</f>
        <v>350</v>
      </c>
      <c r="S12" s="5">
        <f>VLOOKUP(A12,[4]Sheet!$A:$S,19,0)</f>
        <v>550</v>
      </c>
      <c r="T12" s="5">
        <v>542</v>
      </c>
      <c r="U12" s="1"/>
      <c r="V12" s="1">
        <f t="shared" si="7"/>
        <v>24.149797570850204</v>
      </c>
      <c r="W12" s="1">
        <f t="shared" si="8"/>
        <v>14.02834008097166</v>
      </c>
      <c r="X12" s="1">
        <f>IFERROR(VLOOKUP(A12,[1]TDSheet!$A:$G,3,0),0)/5</f>
        <v>51.4</v>
      </c>
      <c r="Y12" s="1">
        <v>-0.4</v>
      </c>
      <c r="Z12" s="1">
        <v>13.4</v>
      </c>
      <c r="AA12" s="1">
        <v>56.2</v>
      </c>
      <c r="AB12" s="1">
        <v>82.4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 t="s">
        <v>42</v>
      </c>
      <c r="AI12" s="1">
        <f t="shared" si="9"/>
        <v>140</v>
      </c>
      <c r="AJ12" s="1">
        <f t="shared" si="10"/>
        <v>98.000000000000014</v>
      </c>
      <c r="AK12" s="16">
        <f>VLOOKUP(I12,[3]Sheet!$I:$AH,26,0)</f>
        <v>1.6800000000000002</v>
      </c>
      <c r="AL12" s="17">
        <f t="shared" si="11"/>
        <v>83.000000000000014</v>
      </c>
      <c r="AM12" s="1">
        <f t="shared" si="12"/>
        <v>139.44000000000003</v>
      </c>
      <c r="AN12" s="17">
        <f t="shared" si="13"/>
        <v>58</v>
      </c>
      <c r="AO12" s="1">
        <f t="shared" si="14"/>
        <v>97.440000000000012</v>
      </c>
      <c r="AP12" s="1">
        <f t="shared" si="15"/>
        <v>154.00000000000003</v>
      </c>
      <c r="AQ12" s="17">
        <f t="shared" si="16"/>
        <v>91.999999999999986</v>
      </c>
      <c r="AR12" s="1">
        <f t="shared" si="17"/>
        <v>154.56</v>
      </c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0" t="s">
        <v>48</v>
      </c>
      <c r="B13" s="10" t="s">
        <v>35</v>
      </c>
      <c r="C13" s="10"/>
      <c r="D13" s="10"/>
      <c r="E13" s="10"/>
      <c r="F13" s="10"/>
      <c r="G13" s="11">
        <v>0</v>
      </c>
      <c r="H13" s="10">
        <v>120</v>
      </c>
      <c r="I13" s="10">
        <v>1010028068</v>
      </c>
      <c r="J13" s="10"/>
      <c r="K13" s="10"/>
      <c r="L13" s="10">
        <f t="shared" si="5"/>
        <v>0</v>
      </c>
      <c r="M13" s="10"/>
      <c r="N13" s="10"/>
      <c r="O13" s="10"/>
      <c r="P13" s="10">
        <f t="shared" si="6"/>
        <v>0</v>
      </c>
      <c r="Q13" s="5"/>
      <c r="R13" s="5">
        <f>IFERROR(VLOOKUP(A13,[2]Sheet!$A:$S,19,0),0)</f>
        <v>0</v>
      </c>
      <c r="S13" s="5"/>
      <c r="T13" s="12"/>
      <c r="U13" s="10"/>
      <c r="V13" s="10" t="e">
        <f t="shared" si="7"/>
        <v>#DIV/0!</v>
      </c>
      <c r="W13" s="10" t="e">
        <f t="shared" si="8"/>
        <v>#DIV/0!</v>
      </c>
      <c r="X13" s="10">
        <f>IFERROR(VLOOKUP(A13,[1]TDSheet!$A:$G,3,0),0)/5</f>
        <v>0</v>
      </c>
      <c r="Y13" s="10">
        <v>0</v>
      </c>
      <c r="Z13" s="10">
        <v>-0.2</v>
      </c>
      <c r="AA13" s="10">
        <v>0</v>
      </c>
      <c r="AB13" s="10">
        <v>0</v>
      </c>
      <c r="AC13" s="10">
        <v>0</v>
      </c>
      <c r="AD13" s="10">
        <v>-0.2</v>
      </c>
      <c r="AE13" s="10">
        <v>-1.2</v>
      </c>
      <c r="AF13" s="10">
        <v>64.2</v>
      </c>
      <c r="AG13" s="10">
        <v>72.599999999999994</v>
      </c>
      <c r="AH13" s="10" t="s">
        <v>49</v>
      </c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50</v>
      </c>
      <c r="B14" s="1" t="s">
        <v>35</v>
      </c>
      <c r="C14" s="1">
        <v>242</v>
      </c>
      <c r="D14" s="1"/>
      <c r="E14" s="1">
        <v>67</v>
      </c>
      <c r="F14" s="1">
        <v>160</v>
      </c>
      <c r="G14" s="8">
        <v>0.47</v>
      </c>
      <c r="H14" s="1">
        <v>75</v>
      </c>
      <c r="I14" s="1">
        <v>1010015954</v>
      </c>
      <c r="J14" s="1"/>
      <c r="K14" s="1"/>
      <c r="L14" s="1">
        <f t="shared" si="5"/>
        <v>67</v>
      </c>
      <c r="M14" s="1"/>
      <c r="N14" s="1"/>
      <c r="O14" s="1"/>
      <c r="P14" s="1">
        <f t="shared" si="6"/>
        <v>13.4</v>
      </c>
      <c r="Q14" s="5">
        <v>120</v>
      </c>
      <c r="R14" s="5">
        <f>IFERROR(VLOOKUP(A14,[2]Sheet!$A:$S,19,0),0)</f>
        <v>80</v>
      </c>
      <c r="S14" s="5">
        <f>VLOOKUP(A14,[4]Sheet!$A:$S,19,0)</f>
        <v>80</v>
      </c>
      <c r="T14" s="5">
        <v>175</v>
      </c>
      <c r="U14" s="1"/>
      <c r="V14" s="1">
        <f t="shared" si="7"/>
        <v>20.8955223880597</v>
      </c>
      <c r="W14" s="1">
        <f t="shared" si="8"/>
        <v>11.940298507462686</v>
      </c>
      <c r="X14" s="1">
        <f>IFERROR(VLOOKUP(A14,[1]TDSheet!$A:$G,3,0),0)/5</f>
        <v>5.8</v>
      </c>
      <c r="Y14" s="1">
        <v>9</v>
      </c>
      <c r="Z14" s="1">
        <v>10.199999999999999</v>
      </c>
      <c r="AA14" s="1">
        <v>7.4</v>
      </c>
      <c r="AB14" s="1">
        <v>10.8</v>
      </c>
      <c r="AC14" s="1">
        <v>14.6</v>
      </c>
      <c r="AD14" s="1">
        <v>13</v>
      </c>
      <c r="AE14" s="1">
        <v>9</v>
      </c>
      <c r="AF14" s="1">
        <v>16</v>
      </c>
      <c r="AG14" s="1">
        <v>11.4</v>
      </c>
      <c r="AH14" s="1"/>
      <c r="AI14" s="1">
        <f t="shared" ref="AI14:AI20" si="18">G14*Q14</f>
        <v>56.4</v>
      </c>
      <c r="AJ14" s="1">
        <f t="shared" si="10"/>
        <v>37.599999999999994</v>
      </c>
      <c r="AK14" s="16">
        <f>VLOOKUP(I14,[3]Sheet!$I:$AH,26,0)</f>
        <v>2.82</v>
      </c>
      <c r="AL14" s="17">
        <f t="shared" ref="AL14:AL20" si="19">MROUND(G14*Q14,AK14)/AK14</f>
        <v>20</v>
      </c>
      <c r="AM14" s="1">
        <f t="shared" ref="AM14:AM20" si="20">AL14*AK14</f>
        <v>56.4</v>
      </c>
      <c r="AN14" s="17">
        <f t="shared" ref="AN14:AN20" si="21">MROUND(G14*R14,AK14)/AK14</f>
        <v>13</v>
      </c>
      <c r="AO14" s="1">
        <f t="shared" ref="AO14:AO20" si="22">AN14*AK14</f>
        <v>36.659999999999997</v>
      </c>
      <c r="AP14" s="1">
        <f t="shared" si="15"/>
        <v>37.599999999999994</v>
      </c>
      <c r="AQ14" s="17">
        <f t="shared" ref="AQ14:AQ20" si="23">MROUND(G14*S14,AK14)/AK14</f>
        <v>13</v>
      </c>
      <c r="AR14" s="1">
        <f t="shared" ref="AR14:AR20" si="24">AQ14*AK14</f>
        <v>36.659999999999997</v>
      </c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51</v>
      </c>
      <c r="B15" s="1" t="s">
        <v>35</v>
      </c>
      <c r="C15" s="1">
        <v>149</v>
      </c>
      <c r="D15" s="1"/>
      <c r="E15" s="1">
        <v>33</v>
      </c>
      <c r="F15" s="1">
        <v>104</v>
      </c>
      <c r="G15" s="8">
        <v>0.47</v>
      </c>
      <c r="H15" s="1">
        <v>75</v>
      </c>
      <c r="I15" s="1">
        <v>1010016092</v>
      </c>
      <c r="J15" s="1"/>
      <c r="K15" s="1"/>
      <c r="L15" s="1">
        <f t="shared" si="5"/>
        <v>33</v>
      </c>
      <c r="M15" s="1"/>
      <c r="N15" s="1"/>
      <c r="O15" s="1"/>
      <c r="P15" s="1">
        <f t="shared" si="6"/>
        <v>6.6</v>
      </c>
      <c r="Q15" s="5">
        <v>80</v>
      </c>
      <c r="R15" s="5">
        <f>IFERROR(VLOOKUP(A15,[2]Sheet!$A:$S,19,0),0)</f>
        <v>40</v>
      </c>
      <c r="S15" s="5">
        <f>VLOOKUP(A15,[4]Sheet!$A:$S,19,0)</f>
        <v>80</v>
      </c>
      <c r="T15" s="5">
        <v>61</v>
      </c>
      <c r="U15" s="1"/>
      <c r="V15" s="1">
        <f t="shared" si="7"/>
        <v>27.878787878787879</v>
      </c>
      <c r="W15" s="1">
        <f t="shared" si="8"/>
        <v>15.757575757575758</v>
      </c>
      <c r="X15" s="1">
        <f>IFERROR(VLOOKUP(A15,[1]TDSheet!$A:$G,3,0),0)/5</f>
        <v>6.2</v>
      </c>
      <c r="Y15" s="1">
        <v>2.8</v>
      </c>
      <c r="Z15" s="1">
        <v>6.8</v>
      </c>
      <c r="AA15" s="1">
        <v>4</v>
      </c>
      <c r="AB15" s="1">
        <v>5.6</v>
      </c>
      <c r="AC15" s="1">
        <v>4.2</v>
      </c>
      <c r="AD15" s="1">
        <v>3.6</v>
      </c>
      <c r="AE15" s="1">
        <v>4</v>
      </c>
      <c r="AF15" s="1">
        <v>8.6</v>
      </c>
      <c r="AG15" s="1">
        <v>7.6</v>
      </c>
      <c r="AH15" s="1"/>
      <c r="AI15" s="1">
        <f t="shared" si="18"/>
        <v>37.599999999999994</v>
      </c>
      <c r="AJ15" s="1">
        <f t="shared" si="10"/>
        <v>18.799999999999997</v>
      </c>
      <c r="AK15" s="16">
        <f>VLOOKUP(I15,[3]Sheet!$I:$AH,26,0)</f>
        <v>2.82</v>
      </c>
      <c r="AL15" s="17">
        <f t="shared" si="19"/>
        <v>13</v>
      </c>
      <c r="AM15" s="1">
        <f t="shared" si="20"/>
        <v>36.659999999999997</v>
      </c>
      <c r="AN15" s="17">
        <f t="shared" si="21"/>
        <v>7</v>
      </c>
      <c r="AO15" s="1">
        <f t="shared" si="22"/>
        <v>19.739999999999998</v>
      </c>
      <c r="AP15" s="1">
        <f t="shared" si="15"/>
        <v>37.599999999999994</v>
      </c>
      <c r="AQ15" s="17">
        <f t="shared" si="23"/>
        <v>13</v>
      </c>
      <c r="AR15" s="1">
        <f t="shared" si="24"/>
        <v>36.659999999999997</v>
      </c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52</v>
      </c>
      <c r="B16" s="1" t="s">
        <v>35</v>
      </c>
      <c r="C16" s="1">
        <v>158</v>
      </c>
      <c r="D16" s="1"/>
      <c r="E16" s="1">
        <v>29</v>
      </c>
      <c r="F16" s="1">
        <v>112</v>
      </c>
      <c r="G16" s="8">
        <v>0.47</v>
      </c>
      <c r="H16" s="1">
        <v>75</v>
      </c>
      <c r="I16" s="1">
        <v>1010015952</v>
      </c>
      <c r="J16" s="1"/>
      <c r="K16" s="1"/>
      <c r="L16" s="1">
        <f t="shared" si="5"/>
        <v>29</v>
      </c>
      <c r="M16" s="1"/>
      <c r="N16" s="1"/>
      <c r="O16" s="1"/>
      <c r="P16" s="1">
        <f t="shared" si="6"/>
        <v>5.8</v>
      </c>
      <c r="Q16" s="5">
        <v>60</v>
      </c>
      <c r="R16" s="5">
        <f>IFERROR(VLOOKUP(A16,[2]Sheet!$A:$S,19,0),0)</f>
        <v>40</v>
      </c>
      <c r="S16" s="5">
        <f>VLOOKUP(A16,[4]Sheet!$A:$S,19,0)</f>
        <v>60</v>
      </c>
      <c r="T16" s="5">
        <v>33</v>
      </c>
      <c r="U16" s="1"/>
      <c r="V16" s="1">
        <f t="shared" si="7"/>
        <v>29.655172413793103</v>
      </c>
      <c r="W16" s="1">
        <f t="shared" si="8"/>
        <v>19.310344827586206</v>
      </c>
      <c r="X16" s="1">
        <f>IFERROR(VLOOKUP(A16,[1]TDSheet!$A:$G,3,0),0)/5</f>
        <v>5.2</v>
      </c>
      <c r="Y16" s="1">
        <v>6.8</v>
      </c>
      <c r="Z16" s="1">
        <v>7.2</v>
      </c>
      <c r="AA16" s="1">
        <v>3.8</v>
      </c>
      <c r="AB16" s="1">
        <v>6.2</v>
      </c>
      <c r="AC16" s="1">
        <v>12</v>
      </c>
      <c r="AD16" s="1">
        <v>8.4</v>
      </c>
      <c r="AE16" s="1">
        <v>5.2</v>
      </c>
      <c r="AF16" s="1">
        <v>8.6</v>
      </c>
      <c r="AG16" s="1">
        <v>3.2</v>
      </c>
      <c r="AH16" s="1"/>
      <c r="AI16" s="1">
        <f t="shared" si="18"/>
        <v>28.2</v>
      </c>
      <c r="AJ16" s="1">
        <f t="shared" si="10"/>
        <v>18.799999999999997</v>
      </c>
      <c r="AK16" s="16">
        <f>VLOOKUP(I16,[3]Sheet!$I:$AH,26,0)</f>
        <v>2.82</v>
      </c>
      <c r="AL16" s="17">
        <f t="shared" si="19"/>
        <v>10</v>
      </c>
      <c r="AM16" s="1">
        <f t="shared" si="20"/>
        <v>28.2</v>
      </c>
      <c r="AN16" s="17">
        <f t="shared" si="21"/>
        <v>7</v>
      </c>
      <c r="AO16" s="1">
        <f t="shared" si="22"/>
        <v>19.739999999999998</v>
      </c>
      <c r="AP16" s="1">
        <f t="shared" si="15"/>
        <v>28.2</v>
      </c>
      <c r="AQ16" s="17">
        <f t="shared" si="23"/>
        <v>10</v>
      </c>
      <c r="AR16" s="1">
        <f t="shared" si="24"/>
        <v>28.2</v>
      </c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53</v>
      </c>
      <c r="B17" s="1" t="s">
        <v>35</v>
      </c>
      <c r="C17" s="1">
        <v>868</v>
      </c>
      <c r="D17" s="1"/>
      <c r="E17" s="1">
        <v>113</v>
      </c>
      <c r="F17" s="1">
        <v>744</v>
      </c>
      <c r="G17" s="8">
        <v>0.3</v>
      </c>
      <c r="H17" s="1">
        <v>55</v>
      </c>
      <c r="I17" s="1">
        <v>1010032953</v>
      </c>
      <c r="J17" s="1"/>
      <c r="K17" s="1"/>
      <c r="L17" s="1">
        <f t="shared" si="5"/>
        <v>113</v>
      </c>
      <c r="M17" s="1"/>
      <c r="N17" s="1"/>
      <c r="O17" s="1"/>
      <c r="P17" s="1">
        <f t="shared" si="6"/>
        <v>22.6</v>
      </c>
      <c r="Q17" s="5"/>
      <c r="R17" s="5">
        <f>IFERROR(VLOOKUP(A17,[2]Sheet!$A:$S,19,0),0)</f>
        <v>60</v>
      </c>
      <c r="S17" s="5">
        <f>VLOOKUP(A17,[4]Sheet!$A:$S,19,0)</f>
        <v>120</v>
      </c>
      <c r="T17" s="5"/>
      <c r="U17" s="1"/>
      <c r="V17" s="1">
        <f t="shared" si="7"/>
        <v>32.920353982300881</v>
      </c>
      <c r="W17" s="1">
        <f t="shared" si="8"/>
        <v>32.920353982300881</v>
      </c>
      <c r="X17" s="1">
        <f>IFERROR(VLOOKUP(A17,[1]TDSheet!$A:$G,3,0),0)/5</f>
        <v>19</v>
      </c>
      <c r="Y17" s="1">
        <v>6</v>
      </c>
      <c r="Z17" s="1">
        <v>0.2</v>
      </c>
      <c r="AA17" s="1">
        <v>0</v>
      </c>
      <c r="AB17" s="1">
        <v>4</v>
      </c>
      <c r="AC17" s="1">
        <v>51.2</v>
      </c>
      <c r="AD17" s="1">
        <v>29.6</v>
      </c>
      <c r="AE17" s="1">
        <v>0</v>
      </c>
      <c r="AF17" s="1">
        <v>0</v>
      </c>
      <c r="AG17" s="1">
        <v>0</v>
      </c>
      <c r="AH17" s="13" t="s">
        <v>69</v>
      </c>
      <c r="AI17" s="1">
        <f t="shared" si="18"/>
        <v>0</v>
      </c>
      <c r="AJ17" s="1">
        <f t="shared" si="10"/>
        <v>18</v>
      </c>
      <c r="AK17" s="16">
        <f>VLOOKUP(I17,[3]Sheet!$I:$AH,26,0)</f>
        <v>1.7999999999999998</v>
      </c>
      <c r="AL17" s="17">
        <f t="shared" si="19"/>
        <v>0</v>
      </c>
      <c r="AM17" s="1">
        <f t="shared" si="20"/>
        <v>0</v>
      </c>
      <c r="AN17" s="17">
        <f t="shared" si="21"/>
        <v>10.000000000000002</v>
      </c>
      <c r="AO17" s="1">
        <f t="shared" si="22"/>
        <v>18</v>
      </c>
      <c r="AP17" s="1">
        <f t="shared" si="15"/>
        <v>36</v>
      </c>
      <c r="AQ17" s="17">
        <f t="shared" si="23"/>
        <v>20.000000000000004</v>
      </c>
      <c r="AR17" s="1">
        <f t="shared" si="24"/>
        <v>36</v>
      </c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54</v>
      </c>
      <c r="B18" s="1" t="s">
        <v>35</v>
      </c>
      <c r="C18" s="1">
        <v>674</v>
      </c>
      <c r="D18" s="1"/>
      <c r="E18" s="1">
        <v>181</v>
      </c>
      <c r="F18" s="1">
        <v>484</v>
      </c>
      <c r="G18" s="8">
        <v>0.375</v>
      </c>
      <c r="H18" s="1">
        <v>55</v>
      </c>
      <c r="I18" s="1">
        <v>1010022954</v>
      </c>
      <c r="J18" s="1"/>
      <c r="K18" s="1"/>
      <c r="L18" s="1">
        <f t="shared" si="5"/>
        <v>181</v>
      </c>
      <c r="M18" s="1"/>
      <c r="N18" s="1"/>
      <c r="O18" s="1">
        <v>200</v>
      </c>
      <c r="P18" s="1">
        <f t="shared" si="6"/>
        <v>36.200000000000003</v>
      </c>
      <c r="Q18" s="5">
        <v>300</v>
      </c>
      <c r="R18" s="5">
        <f>IFERROR(VLOOKUP(A18,[2]Sheet!$A:$S,19,0),0)</f>
        <v>0</v>
      </c>
      <c r="S18" s="5">
        <f>VLOOKUP(A18,[4]Sheet!$A:$S,19,0)</f>
        <v>200</v>
      </c>
      <c r="T18" s="5">
        <v>221.00000000000011</v>
      </c>
      <c r="U18" s="1"/>
      <c r="V18" s="1">
        <f t="shared" si="7"/>
        <v>27.182320441988949</v>
      </c>
      <c r="W18" s="1">
        <f t="shared" si="8"/>
        <v>18.895027624309392</v>
      </c>
      <c r="X18" s="1">
        <f>IFERROR(VLOOKUP(A18,[1]TDSheet!$A:$G,3,0),0)/5</f>
        <v>44.8</v>
      </c>
      <c r="Y18" s="1">
        <v>46</v>
      </c>
      <c r="Z18" s="1">
        <v>32.200000000000003</v>
      </c>
      <c r="AA18" s="1">
        <v>36.6</v>
      </c>
      <c r="AB18" s="1">
        <v>46.4</v>
      </c>
      <c r="AC18" s="1">
        <v>55.2</v>
      </c>
      <c r="AD18" s="1">
        <v>38.200000000000003</v>
      </c>
      <c r="AE18" s="1">
        <v>39.6</v>
      </c>
      <c r="AF18" s="1">
        <v>67.599999999999994</v>
      </c>
      <c r="AG18" s="1">
        <v>-7.2</v>
      </c>
      <c r="AH18" s="1" t="s">
        <v>55</v>
      </c>
      <c r="AI18" s="1">
        <f t="shared" si="18"/>
        <v>112.5</v>
      </c>
      <c r="AJ18" s="1">
        <f t="shared" si="10"/>
        <v>0</v>
      </c>
      <c r="AK18" s="16">
        <f>VLOOKUP(I18,[3]Sheet!$I:$AH,26,0)</f>
        <v>2.25</v>
      </c>
      <c r="AL18" s="17">
        <f t="shared" si="19"/>
        <v>50</v>
      </c>
      <c r="AM18" s="1">
        <f t="shared" si="20"/>
        <v>112.5</v>
      </c>
      <c r="AN18" s="17">
        <f t="shared" si="21"/>
        <v>0</v>
      </c>
      <c r="AO18" s="1">
        <f t="shared" si="22"/>
        <v>0</v>
      </c>
      <c r="AP18" s="1">
        <f t="shared" si="15"/>
        <v>75</v>
      </c>
      <c r="AQ18" s="17">
        <f t="shared" si="23"/>
        <v>33</v>
      </c>
      <c r="AR18" s="1">
        <f t="shared" si="24"/>
        <v>74.25</v>
      </c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56</v>
      </c>
      <c r="B19" s="1" t="s">
        <v>35</v>
      </c>
      <c r="C19" s="1">
        <v>626</v>
      </c>
      <c r="D19" s="1"/>
      <c r="E19" s="1">
        <v>124</v>
      </c>
      <c r="F19" s="1">
        <v>489</v>
      </c>
      <c r="G19" s="8">
        <v>0.375</v>
      </c>
      <c r="H19" s="1">
        <v>55</v>
      </c>
      <c r="I19" s="1">
        <v>1010016034</v>
      </c>
      <c r="J19" s="1"/>
      <c r="K19" s="1"/>
      <c r="L19" s="1">
        <f t="shared" si="5"/>
        <v>124</v>
      </c>
      <c r="M19" s="1"/>
      <c r="N19" s="1"/>
      <c r="O19" s="1">
        <v>250</v>
      </c>
      <c r="P19" s="1">
        <f t="shared" si="6"/>
        <v>24.8</v>
      </c>
      <c r="Q19" s="5"/>
      <c r="R19" s="5">
        <f>IFERROR(VLOOKUP(A19,[2]Sheet!$A:$S,19,0),0)</f>
        <v>150</v>
      </c>
      <c r="S19" s="5"/>
      <c r="T19" s="5"/>
      <c r="U19" s="1"/>
      <c r="V19" s="1">
        <f t="shared" si="7"/>
        <v>29.798387096774192</v>
      </c>
      <c r="W19" s="1">
        <f t="shared" si="8"/>
        <v>29.798387096774192</v>
      </c>
      <c r="X19" s="1">
        <f>IFERROR(VLOOKUP(A19,[1]TDSheet!$A:$G,3,0),0)/5</f>
        <v>31.8</v>
      </c>
      <c r="Y19" s="1">
        <v>38</v>
      </c>
      <c r="Z19" s="1">
        <v>28.6</v>
      </c>
      <c r="AA19" s="1">
        <v>27.2</v>
      </c>
      <c r="AB19" s="1">
        <v>43.8</v>
      </c>
      <c r="AC19" s="1">
        <v>48.8</v>
      </c>
      <c r="AD19" s="1">
        <v>24.8</v>
      </c>
      <c r="AE19" s="1">
        <v>34.4</v>
      </c>
      <c r="AF19" s="1">
        <v>55</v>
      </c>
      <c r="AG19" s="1">
        <v>-2.4</v>
      </c>
      <c r="AH19" s="15" t="s">
        <v>57</v>
      </c>
      <c r="AI19" s="1">
        <f t="shared" si="18"/>
        <v>0</v>
      </c>
      <c r="AJ19" s="1">
        <f t="shared" si="10"/>
        <v>56.25</v>
      </c>
      <c r="AK19" s="16">
        <f>VLOOKUP(I19,[3]Sheet!$I:$AH,26,0)</f>
        <v>2.25</v>
      </c>
      <c r="AL19" s="17">
        <f t="shared" si="19"/>
        <v>0</v>
      </c>
      <c r="AM19" s="1">
        <f t="shared" si="20"/>
        <v>0</v>
      </c>
      <c r="AN19" s="17">
        <f t="shared" si="21"/>
        <v>25</v>
      </c>
      <c r="AO19" s="1">
        <f t="shared" si="22"/>
        <v>56.25</v>
      </c>
      <c r="AP19" s="1">
        <f t="shared" si="15"/>
        <v>0</v>
      </c>
      <c r="AQ19" s="17">
        <f t="shared" si="23"/>
        <v>0</v>
      </c>
      <c r="AR19" s="1">
        <f t="shared" si="24"/>
        <v>0</v>
      </c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58</v>
      </c>
      <c r="B20" s="1" t="s">
        <v>35</v>
      </c>
      <c r="C20" s="1">
        <v>802</v>
      </c>
      <c r="D20" s="1"/>
      <c r="E20" s="1">
        <v>131</v>
      </c>
      <c r="F20" s="1">
        <v>669</v>
      </c>
      <c r="G20" s="8">
        <v>0.375</v>
      </c>
      <c r="H20" s="1">
        <v>55</v>
      </c>
      <c r="I20" s="1">
        <v>1010023122</v>
      </c>
      <c r="J20" s="1"/>
      <c r="K20" s="1"/>
      <c r="L20" s="1">
        <f t="shared" si="5"/>
        <v>131</v>
      </c>
      <c r="M20" s="1"/>
      <c r="N20" s="1"/>
      <c r="O20" s="1"/>
      <c r="P20" s="1">
        <f t="shared" si="6"/>
        <v>26.2</v>
      </c>
      <c r="Q20" s="5">
        <v>80</v>
      </c>
      <c r="R20" s="5">
        <f>IFERROR(VLOOKUP(A20,[2]Sheet!$A:$S,19,0),0)</f>
        <v>200</v>
      </c>
      <c r="S20" s="5">
        <f>VLOOKUP(A20,[4]Sheet!$A:$S,19,0)</f>
        <v>100</v>
      </c>
      <c r="T20" s="5"/>
      <c r="U20" s="1"/>
      <c r="V20" s="1">
        <f t="shared" si="7"/>
        <v>28.587786259541986</v>
      </c>
      <c r="W20" s="1">
        <f t="shared" si="8"/>
        <v>25.534351145038169</v>
      </c>
      <c r="X20" s="1">
        <f>IFERROR(VLOOKUP(A20,[1]TDSheet!$A:$G,3,0),0)/5</f>
        <v>43.4</v>
      </c>
      <c r="Y20" s="1">
        <v>43.8</v>
      </c>
      <c r="Z20" s="1">
        <v>27.8</v>
      </c>
      <c r="AA20" s="1">
        <v>30.2</v>
      </c>
      <c r="AB20" s="1">
        <v>34.6</v>
      </c>
      <c r="AC20" s="1">
        <v>18.2</v>
      </c>
      <c r="AD20" s="1">
        <v>38.799999999999997</v>
      </c>
      <c r="AE20" s="1">
        <v>-1.2</v>
      </c>
      <c r="AF20" s="1">
        <v>57</v>
      </c>
      <c r="AG20" s="1">
        <v>10.199999999999999</v>
      </c>
      <c r="AH20" s="14" t="s">
        <v>46</v>
      </c>
      <c r="AI20" s="1">
        <f t="shared" si="18"/>
        <v>30</v>
      </c>
      <c r="AJ20" s="1">
        <f t="shared" si="10"/>
        <v>75</v>
      </c>
      <c r="AK20" s="16">
        <f>VLOOKUP(I20,[3]Sheet!$I:$AH,26,0)</f>
        <v>2.25</v>
      </c>
      <c r="AL20" s="17">
        <f t="shared" si="19"/>
        <v>13</v>
      </c>
      <c r="AM20" s="1">
        <f t="shared" si="20"/>
        <v>29.25</v>
      </c>
      <c r="AN20" s="17">
        <f t="shared" si="21"/>
        <v>33</v>
      </c>
      <c r="AO20" s="1">
        <f t="shared" si="22"/>
        <v>74.25</v>
      </c>
      <c r="AP20" s="1">
        <f t="shared" si="15"/>
        <v>37.5</v>
      </c>
      <c r="AQ20" s="17">
        <f t="shared" si="23"/>
        <v>17</v>
      </c>
      <c r="AR20" s="1">
        <f t="shared" si="24"/>
        <v>38.25</v>
      </c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0" t="s">
        <v>59</v>
      </c>
      <c r="B21" s="10" t="s">
        <v>35</v>
      </c>
      <c r="C21" s="10">
        <v>-8</v>
      </c>
      <c r="D21" s="10"/>
      <c r="E21" s="10"/>
      <c r="F21" s="10">
        <v>-8</v>
      </c>
      <c r="G21" s="11">
        <v>0</v>
      </c>
      <c r="H21" s="10">
        <v>120</v>
      </c>
      <c r="I21" s="10" t="s">
        <v>60</v>
      </c>
      <c r="J21" s="10"/>
      <c r="K21" s="10"/>
      <c r="L21" s="10">
        <f t="shared" si="5"/>
        <v>0</v>
      </c>
      <c r="M21" s="10"/>
      <c r="N21" s="10"/>
      <c r="O21" s="10"/>
      <c r="P21" s="10">
        <f t="shared" si="6"/>
        <v>0</v>
      </c>
      <c r="Q21" s="5"/>
      <c r="R21" s="5">
        <f>IFERROR(VLOOKUP(A21,[2]Sheet!$A:$S,19,0),0)</f>
        <v>0</v>
      </c>
      <c r="S21" s="5"/>
      <c r="T21" s="12"/>
      <c r="U21" s="10"/>
      <c r="V21" s="10" t="e">
        <f t="shared" si="7"/>
        <v>#DIV/0!</v>
      </c>
      <c r="W21" s="10" t="e">
        <f t="shared" si="8"/>
        <v>#DIV/0!</v>
      </c>
      <c r="X21" s="10">
        <f>IFERROR(VLOOKUP(A21,[1]TDSheet!$A:$G,3,0),0)/5</f>
        <v>0</v>
      </c>
      <c r="Y21" s="10">
        <v>0</v>
      </c>
      <c r="Z21" s="10">
        <v>-0.4</v>
      </c>
      <c r="AA21" s="10">
        <v>0.2</v>
      </c>
      <c r="AB21" s="10">
        <v>-0.2</v>
      </c>
      <c r="AC21" s="10">
        <v>-0.8</v>
      </c>
      <c r="AD21" s="10">
        <v>-1.2</v>
      </c>
      <c r="AE21" s="10">
        <v>0.6</v>
      </c>
      <c r="AF21" s="10">
        <v>2.4</v>
      </c>
      <c r="AG21" s="10">
        <v>7.2</v>
      </c>
      <c r="AH21" s="10" t="s">
        <v>61</v>
      </c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62</v>
      </c>
      <c r="B22" s="1" t="s">
        <v>35</v>
      </c>
      <c r="C22" s="1">
        <v>292</v>
      </c>
      <c r="D22" s="1"/>
      <c r="E22" s="1">
        <v>30</v>
      </c>
      <c r="F22" s="1">
        <v>262</v>
      </c>
      <c r="G22" s="8">
        <v>0.3</v>
      </c>
      <c r="H22" s="1">
        <v>150</v>
      </c>
      <c r="I22" s="1">
        <v>1010033324</v>
      </c>
      <c r="J22" s="1"/>
      <c r="K22" s="1"/>
      <c r="L22" s="1">
        <f t="shared" si="5"/>
        <v>30</v>
      </c>
      <c r="M22" s="1"/>
      <c r="N22" s="1"/>
      <c r="O22" s="1">
        <v>200</v>
      </c>
      <c r="P22" s="1">
        <f t="shared" si="6"/>
        <v>6</v>
      </c>
      <c r="Q22" s="5"/>
      <c r="R22" s="5">
        <f>IFERROR(VLOOKUP(A22,[2]Sheet!$A:$S,19,0),0)</f>
        <v>0</v>
      </c>
      <c r="S22" s="5"/>
      <c r="T22" s="5"/>
      <c r="U22" s="1"/>
      <c r="V22" s="1">
        <f t="shared" si="7"/>
        <v>77</v>
      </c>
      <c r="W22" s="1">
        <f t="shared" si="8"/>
        <v>77</v>
      </c>
      <c r="X22" s="1">
        <f>IFERROR(VLOOKUP(A22,[1]TDSheet!$A:$G,3,0),0)/5</f>
        <v>17.8</v>
      </c>
      <c r="Y22" s="1">
        <v>36.200000000000003</v>
      </c>
      <c r="Z22" s="1">
        <v>25.4</v>
      </c>
      <c r="AA22" s="1">
        <v>1</v>
      </c>
      <c r="AB22" s="1">
        <v>4.8</v>
      </c>
      <c r="AC22" s="1">
        <v>16</v>
      </c>
      <c r="AD22" s="1">
        <v>20</v>
      </c>
      <c r="AE22" s="1">
        <v>11.8</v>
      </c>
      <c r="AF22" s="1">
        <v>20.399999999999999</v>
      </c>
      <c r="AG22" s="1">
        <v>18.600000000000001</v>
      </c>
      <c r="AH22" s="13" t="s">
        <v>70</v>
      </c>
      <c r="AI22" s="1">
        <f>G22*Q22</f>
        <v>0</v>
      </c>
      <c r="AJ22" s="1">
        <f t="shared" si="10"/>
        <v>0</v>
      </c>
      <c r="AK22" s="16">
        <f>VLOOKUP(I22,[3]Sheet!$I:$AH,26,0)</f>
        <v>1.8</v>
      </c>
      <c r="AL22" s="17">
        <f t="shared" ref="AL22:AL24" si="25">MROUND(G22*Q22,AK22)/AK22</f>
        <v>0</v>
      </c>
      <c r="AM22" s="1">
        <f t="shared" ref="AM22:AM24" si="26">AL22*AK22</f>
        <v>0</v>
      </c>
      <c r="AN22" s="17">
        <f t="shared" ref="AN22:AN24" si="27">MROUND(G22*R22,AK22)/AK22</f>
        <v>0</v>
      </c>
      <c r="AO22" s="1">
        <f t="shared" ref="AO22:AO24" si="28">AN22*AK22</f>
        <v>0</v>
      </c>
      <c r="AP22" s="1">
        <f t="shared" si="15"/>
        <v>0</v>
      </c>
      <c r="AQ22" s="17">
        <f t="shared" ref="AQ22:AQ24" si="29">MROUND(G22*S22,AK22)/AK22</f>
        <v>0</v>
      </c>
      <c r="AR22" s="1">
        <f t="shared" ref="AR22:AR24" si="30">AQ22*AK22</f>
        <v>0</v>
      </c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63</v>
      </c>
      <c r="B23" s="1" t="s">
        <v>35</v>
      </c>
      <c r="C23" s="1">
        <v>547</v>
      </c>
      <c r="D23" s="1"/>
      <c r="E23" s="1">
        <v>155</v>
      </c>
      <c r="F23" s="1">
        <v>380</v>
      </c>
      <c r="G23" s="8">
        <v>0.2</v>
      </c>
      <c r="H23" s="1">
        <v>90</v>
      </c>
      <c r="I23" s="1">
        <v>1010025585</v>
      </c>
      <c r="J23" s="1"/>
      <c r="K23" s="1"/>
      <c r="L23" s="1">
        <f t="shared" si="5"/>
        <v>155</v>
      </c>
      <c r="M23" s="1"/>
      <c r="N23" s="1"/>
      <c r="O23" s="1">
        <v>800</v>
      </c>
      <c r="P23" s="1">
        <f t="shared" si="6"/>
        <v>31</v>
      </c>
      <c r="Q23" s="5"/>
      <c r="R23" s="5">
        <f>IFERROR(VLOOKUP(A23,[2]Sheet!$A:$S,19,0),0)</f>
        <v>200</v>
      </c>
      <c r="S23" s="5"/>
      <c r="T23" s="5"/>
      <c r="U23" s="1"/>
      <c r="V23" s="1">
        <f t="shared" si="7"/>
        <v>38.064516129032256</v>
      </c>
      <c r="W23" s="1">
        <f t="shared" si="8"/>
        <v>38.064516129032256</v>
      </c>
      <c r="X23" s="1">
        <f>IFERROR(VLOOKUP(A23,[1]TDSheet!$A:$G,3,0),0)/5</f>
        <v>53</v>
      </c>
      <c r="Y23" s="1">
        <v>52</v>
      </c>
      <c r="Z23" s="1">
        <v>48</v>
      </c>
      <c r="AA23" s="1">
        <v>53.2</v>
      </c>
      <c r="AB23" s="1">
        <v>52</v>
      </c>
      <c r="AC23" s="1">
        <v>57.2</v>
      </c>
      <c r="AD23" s="1">
        <v>56.8</v>
      </c>
      <c r="AE23" s="1">
        <v>51</v>
      </c>
      <c r="AF23" s="1">
        <v>63.4</v>
      </c>
      <c r="AG23" s="1">
        <v>42.2</v>
      </c>
      <c r="AH23" s="14" t="s">
        <v>46</v>
      </c>
      <c r="AI23" s="1">
        <f>G23*Q23</f>
        <v>0</v>
      </c>
      <c r="AJ23" s="1">
        <f t="shared" si="10"/>
        <v>40</v>
      </c>
      <c r="AK23" s="16">
        <f>VLOOKUP(I23,[3]Sheet!$I:$AH,26,0)</f>
        <v>2</v>
      </c>
      <c r="AL23" s="17">
        <f t="shared" si="25"/>
        <v>0</v>
      </c>
      <c r="AM23" s="1">
        <f t="shared" si="26"/>
        <v>0</v>
      </c>
      <c r="AN23" s="17">
        <f t="shared" si="27"/>
        <v>20</v>
      </c>
      <c r="AO23" s="1">
        <f t="shared" si="28"/>
        <v>40</v>
      </c>
      <c r="AP23" s="1">
        <f t="shared" si="15"/>
        <v>0</v>
      </c>
      <c r="AQ23" s="17">
        <f t="shared" si="29"/>
        <v>0</v>
      </c>
      <c r="AR23" s="1">
        <f t="shared" si="30"/>
        <v>0</v>
      </c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64</v>
      </c>
      <c r="B24" s="1" t="s">
        <v>35</v>
      </c>
      <c r="C24" s="1">
        <v>557</v>
      </c>
      <c r="D24" s="1"/>
      <c r="E24" s="1">
        <v>122</v>
      </c>
      <c r="F24" s="1">
        <v>423</v>
      </c>
      <c r="G24" s="8">
        <v>0.33</v>
      </c>
      <c r="H24" s="1">
        <v>55</v>
      </c>
      <c r="I24" s="1">
        <v>1010029655</v>
      </c>
      <c r="J24" s="1"/>
      <c r="K24" s="1"/>
      <c r="L24" s="1">
        <f t="shared" si="5"/>
        <v>122</v>
      </c>
      <c r="M24" s="1"/>
      <c r="N24" s="1"/>
      <c r="O24" s="1">
        <v>300</v>
      </c>
      <c r="P24" s="1">
        <f t="shared" si="6"/>
        <v>24.4</v>
      </c>
      <c r="Q24" s="5"/>
      <c r="R24" s="5">
        <f>IFERROR(VLOOKUP(A24,[2]Sheet!$A:$S,19,0),0)</f>
        <v>120</v>
      </c>
      <c r="S24" s="5"/>
      <c r="T24" s="5"/>
      <c r="U24" s="1"/>
      <c r="V24" s="1">
        <f t="shared" si="7"/>
        <v>29.631147540983608</v>
      </c>
      <c r="W24" s="1">
        <f t="shared" si="8"/>
        <v>29.631147540983608</v>
      </c>
      <c r="X24" s="1">
        <f>IFERROR(VLOOKUP(A24,[1]TDSheet!$A:$G,3,0),0)/5</f>
        <v>29.8</v>
      </c>
      <c r="Y24" s="1">
        <v>39.6</v>
      </c>
      <c r="Z24" s="1">
        <v>26.8</v>
      </c>
      <c r="AA24" s="1">
        <v>22.2</v>
      </c>
      <c r="AB24" s="1">
        <v>24.8</v>
      </c>
      <c r="AC24" s="1">
        <v>44.2</v>
      </c>
      <c r="AD24" s="1">
        <v>36.4</v>
      </c>
      <c r="AE24" s="1">
        <v>30.8</v>
      </c>
      <c r="AF24" s="1">
        <v>61.6</v>
      </c>
      <c r="AG24" s="1">
        <v>-3.8</v>
      </c>
      <c r="AH24" s="13" t="s">
        <v>71</v>
      </c>
      <c r="AI24" s="1">
        <f>G24*Q24</f>
        <v>0</v>
      </c>
      <c r="AJ24" s="1">
        <f t="shared" si="10"/>
        <v>39.6</v>
      </c>
      <c r="AK24" s="16">
        <f>VLOOKUP(I24,[3]Sheet!$I:$AH,26,0)</f>
        <v>1.98</v>
      </c>
      <c r="AL24" s="17">
        <f t="shared" si="25"/>
        <v>0</v>
      </c>
      <c r="AM24" s="1">
        <f t="shared" si="26"/>
        <v>0</v>
      </c>
      <c r="AN24" s="17">
        <f t="shared" si="27"/>
        <v>20</v>
      </c>
      <c r="AO24" s="1">
        <f t="shared" si="28"/>
        <v>39.6</v>
      </c>
      <c r="AP24" s="1">
        <f t="shared" si="15"/>
        <v>0</v>
      </c>
      <c r="AQ24" s="17">
        <f t="shared" si="29"/>
        <v>0</v>
      </c>
      <c r="AR24" s="1">
        <f t="shared" si="30"/>
        <v>0</v>
      </c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0" t="s">
        <v>65</v>
      </c>
      <c r="B25" s="10" t="s">
        <v>35</v>
      </c>
      <c r="C25" s="10">
        <v>14</v>
      </c>
      <c r="D25" s="10"/>
      <c r="E25" s="10">
        <v>-1</v>
      </c>
      <c r="F25" s="10"/>
      <c r="G25" s="11">
        <v>0</v>
      </c>
      <c r="H25" s="10"/>
      <c r="I25" s="10" t="s">
        <v>66</v>
      </c>
      <c r="J25" s="10"/>
      <c r="K25" s="10"/>
      <c r="L25" s="10">
        <f t="shared" si="5"/>
        <v>-1</v>
      </c>
      <c r="M25" s="10"/>
      <c r="N25" s="10"/>
      <c r="O25" s="10"/>
      <c r="P25" s="10">
        <f t="shared" si="6"/>
        <v>-0.2</v>
      </c>
      <c r="Q25" s="5"/>
      <c r="R25" s="5">
        <f>IFERROR(VLOOKUP(A25,[2]Sheet!$A:$S,19,0),0)</f>
        <v>0</v>
      </c>
      <c r="S25" s="5"/>
      <c r="T25" s="12"/>
      <c r="U25" s="10"/>
      <c r="V25" s="10">
        <f t="shared" si="7"/>
        <v>0</v>
      </c>
      <c r="W25" s="10">
        <f t="shared" si="8"/>
        <v>0</v>
      </c>
      <c r="X25" s="10">
        <f>IFERROR(VLOOKUP(A25,[1]TDSheet!$A:$G,3,0),0)/5</f>
        <v>11</v>
      </c>
      <c r="Y25" s="10">
        <v>39.4</v>
      </c>
      <c r="Z25" s="10">
        <v>19</v>
      </c>
      <c r="AA25" s="10">
        <v>24.6</v>
      </c>
      <c r="AB25" s="10">
        <v>21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 t="s">
        <v>67</v>
      </c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/>
      <c r="B26" s="1"/>
      <c r="C26" s="1"/>
      <c r="D26" s="1"/>
      <c r="E26" s="1"/>
      <c r="F26" s="1"/>
      <c r="G26" s="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6"/>
      <c r="AL26" s="17"/>
      <c r="AM26" s="1"/>
      <c r="AN26" s="17"/>
      <c r="AO26" s="1"/>
      <c r="AP26" s="1"/>
      <c r="AQ26" s="17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/>
      <c r="B27" s="1"/>
      <c r="C27" s="1"/>
      <c r="D27" s="1"/>
      <c r="E27" s="1"/>
      <c r="F27" s="1"/>
      <c r="G27" s="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6"/>
      <c r="AL27" s="17"/>
      <c r="AM27" s="1"/>
      <c r="AN27" s="17"/>
      <c r="AO27" s="1"/>
      <c r="AP27" s="1"/>
      <c r="AQ27" s="17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/>
      <c r="B28" s="1"/>
      <c r="C28" s="1"/>
      <c r="D28" s="1"/>
      <c r="E28" s="1"/>
      <c r="F28" s="1"/>
      <c r="G28" s="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6"/>
      <c r="AL28" s="17"/>
      <c r="AM28" s="1"/>
      <c r="AN28" s="17"/>
      <c r="AO28" s="1"/>
      <c r="AP28" s="1"/>
      <c r="AQ28" s="17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/>
      <c r="B29" s="1"/>
      <c r="C29" s="1"/>
      <c r="D29" s="1"/>
      <c r="E29" s="1"/>
      <c r="F29" s="1"/>
      <c r="G29" s="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6"/>
      <c r="AL29" s="17"/>
      <c r="AM29" s="1"/>
      <c r="AN29" s="17"/>
      <c r="AO29" s="1"/>
      <c r="AP29" s="1"/>
      <c r="AQ29" s="17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/>
      <c r="B30" s="1"/>
      <c r="C30" s="1"/>
      <c r="D30" s="1"/>
      <c r="E30" s="1"/>
      <c r="F30" s="1"/>
      <c r="G30" s="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6"/>
      <c r="AL30" s="17"/>
      <c r="AM30" s="1"/>
      <c r="AN30" s="17"/>
      <c r="AO30" s="1"/>
      <c r="AP30" s="1"/>
      <c r="AQ30" s="17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/>
      <c r="B31" s="1"/>
      <c r="C31" s="1"/>
      <c r="D31" s="1"/>
      <c r="E31" s="1"/>
      <c r="F31" s="1"/>
      <c r="G31" s="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6"/>
      <c r="AL31" s="17"/>
      <c r="AM31" s="1"/>
      <c r="AN31" s="17"/>
      <c r="AO31" s="1"/>
      <c r="AP31" s="1"/>
      <c r="AQ31" s="17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/>
      <c r="B32" s="1"/>
      <c r="C32" s="1"/>
      <c r="D32" s="1"/>
      <c r="E32" s="1"/>
      <c r="F32" s="1"/>
      <c r="G32" s="8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6"/>
      <c r="AL32" s="17"/>
      <c r="AM32" s="1"/>
      <c r="AN32" s="17"/>
      <c r="AO32" s="1"/>
      <c r="AP32" s="1"/>
      <c r="AQ32" s="17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/>
      <c r="B33" s="1"/>
      <c r="C33" s="1"/>
      <c r="D33" s="1"/>
      <c r="E33" s="1"/>
      <c r="F33" s="1"/>
      <c r="G33" s="8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6"/>
      <c r="AL33" s="17"/>
      <c r="AM33" s="1"/>
      <c r="AN33" s="17"/>
      <c r="AO33" s="1"/>
      <c r="AP33" s="1"/>
      <c r="AQ33" s="17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/>
      <c r="B34" s="1"/>
      <c r="C34" s="1"/>
      <c r="D34" s="1"/>
      <c r="E34" s="1"/>
      <c r="F34" s="1"/>
      <c r="G34" s="8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6"/>
      <c r="AL34" s="17"/>
      <c r="AM34" s="1"/>
      <c r="AN34" s="17"/>
      <c r="AO34" s="1"/>
      <c r="AP34" s="1"/>
      <c r="AQ34" s="17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/>
      <c r="B35" s="1"/>
      <c r="C35" s="1"/>
      <c r="D35" s="1"/>
      <c r="E35" s="1"/>
      <c r="F35" s="1"/>
      <c r="G35" s="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6"/>
      <c r="AL35" s="17"/>
      <c r="AM35" s="1"/>
      <c r="AN35" s="17"/>
      <c r="AO35" s="1"/>
      <c r="AP35" s="1"/>
      <c r="AQ35" s="17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/>
      <c r="B36" s="1"/>
      <c r="C36" s="1"/>
      <c r="D36" s="1"/>
      <c r="E36" s="1"/>
      <c r="F36" s="1"/>
      <c r="G36" s="8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6"/>
      <c r="AL36" s="17"/>
      <c r="AM36" s="1"/>
      <c r="AN36" s="17"/>
      <c r="AO36" s="1"/>
      <c r="AP36" s="1"/>
      <c r="AQ36" s="17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/>
      <c r="B37" s="1"/>
      <c r="C37" s="1"/>
      <c r="D37" s="1"/>
      <c r="E37" s="1"/>
      <c r="F37" s="1"/>
      <c r="G37" s="8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6"/>
      <c r="AL37" s="17"/>
      <c r="AM37" s="1"/>
      <c r="AN37" s="17"/>
      <c r="AO37" s="1"/>
      <c r="AP37" s="1"/>
      <c r="AQ37" s="17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/>
      <c r="B38" s="1"/>
      <c r="C38" s="1"/>
      <c r="D38" s="1"/>
      <c r="E38" s="1"/>
      <c r="F38" s="1"/>
      <c r="G38" s="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6"/>
      <c r="AL38" s="17"/>
      <c r="AM38" s="1"/>
      <c r="AN38" s="17"/>
      <c r="AO38" s="1"/>
      <c r="AP38" s="1"/>
      <c r="AQ38" s="17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/>
      <c r="B39" s="1"/>
      <c r="C39" s="1"/>
      <c r="D39" s="1"/>
      <c r="E39" s="1"/>
      <c r="F39" s="1"/>
      <c r="G39" s="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6"/>
      <c r="AL39" s="17"/>
      <c r="AM39" s="1"/>
      <c r="AN39" s="17"/>
      <c r="AO39" s="1"/>
      <c r="AP39" s="1"/>
      <c r="AQ39" s="17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/>
      <c r="B40" s="1"/>
      <c r="C40" s="1"/>
      <c r="D40" s="1"/>
      <c r="E40" s="1"/>
      <c r="F40" s="1"/>
      <c r="G40" s="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6"/>
      <c r="AL40" s="17"/>
      <c r="AM40" s="1"/>
      <c r="AN40" s="17"/>
      <c r="AO40" s="1"/>
      <c r="AP40" s="1"/>
      <c r="AQ40" s="17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/>
      <c r="B41" s="1"/>
      <c r="C41" s="1"/>
      <c r="D41" s="1"/>
      <c r="E41" s="1"/>
      <c r="F41" s="1"/>
      <c r="G41" s="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6"/>
      <c r="AL41" s="17"/>
      <c r="AM41" s="1"/>
      <c r="AN41" s="17"/>
      <c r="AO41" s="1"/>
      <c r="AP41" s="1"/>
      <c r="AQ41" s="17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/>
      <c r="B42" s="1"/>
      <c r="C42" s="1"/>
      <c r="D42" s="1"/>
      <c r="E42" s="1"/>
      <c r="F42" s="1"/>
      <c r="G42" s="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6"/>
      <c r="AL42" s="17"/>
      <c r="AM42" s="1"/>
      <c r="AN42" s="17"/>
      <c r="AO42" s="1"/>
      <c r="AP42" s="1"/>
      <c r="AQ42" s="17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/>
      <c r="B43" s="1"/>
      <c r="C43" s="1"/>
      <c r="D43" s="1"/>
      <c r="E43" s="1"/>
      <c r="F43" s="1"/>
      <c r="G43" s="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6"/>
      <c r="AL43" s="17"/>
      <c r="AM43" s="1"/>
      <c r="AN43" s="17"/>
      <c r="AO43" s="1"/>
      <c r="AP43" s="1"/>
      <c r="AQ43" s="17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/>
      <c r="B44" s="1"/>
      <c r="C44" s="1"/>
      <c r="D44" s="1"/>
      <c r="E44" s="1"/>
      <c r="F44" s="1"/>
      <c r="G44" s="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6"/>
      <c r="AL44" s="17"/>
      <c r="AM44" s="1"/>
      <c r="AN44" s="17"/>
      <c r="AO44" s="1"/>
      <c r="AP44" s="1"/>
      <c r="AQ44" s="17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/>
      <c r="B45" s="1"/>
      <c r="C45" s="1"/>
      <c r="D45" s="1"/>
      <c r="E45" s="1"/>
      <c r="F45" s="1"/>
      <c r="G45" s="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6"/>
      <c r="AL45" s="17"/>
      <c r="AM45" s="1"/>
      <c r="AN45" s="17"/>
      <c r="AO45" s="1"/>
      <c r="AP45" s="1"/>
      <c r="AQ45" s="17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/>
      <c r="B46" s="1"/>
      <c r="C46" s="1"/>
      <c r="D46" s="1"/>
      <c r="E46" s="1"/>
      <c r="F46" s="1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6"/>
      <c r="AL46" s="17"/>
      <c r="AM46" s="1"/>
      <c r="AN46" s="17"/>
      <c r="AO46" s="1"/>
      <c r="AP46" s="1"/>
      <c r="AQ46" s="17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/>
      <c r="B47" s="1"/>
      <c r="C47" s="1"/>
      <c r="D47" s="1"/>
      <c r="E47" s="1"/>
      <c r="F47" s="1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6"/>
      <c r="AL47" s="17"/>
      <c r="AM47" s="1"/>
      <c r="AN47" s="17"/>
      <c r="AO47" s="1"/>
      <c r="AP47" s="1"/>
      <c r="AQ47" s="17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/>
      <c r="B48" s="1"/>
      <c r="C48" s="1"/>
      <c r="D48" s="1"/>
      <c r="E48" s="1"/>
      <c r="F48" s="1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6"/>
      <c r="AL48" s="17"/>
      <c r="AM48" s="1"/>
      <c r="AN48" s="17"/>
      <c r="AO48" s="1"/>
      <c r="AP48" s="1"/>
      <c r="AQ48" s="17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/>
      <c r="B49" s="1"/>
      <c r="C49" s="1"/>
      <c r="D49" s="1"/>
      <c r="E49" s="1"/>
      <c r="F49" s="1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6"/>
      <c r="AL49" s="17"/>
      <c r="AM49" s="1"/>
      <c r="AN49" s="17"/>
      <c r="AO49" s="1"/>
      <c r="AP49" s="1"/>
      <c r="AQ49" s="17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6"/>
      <c r="AL50" s="17"/>
      <c r="AM50" s="1"/>
      <c r="AN50" s="17"/>
      <c r="AO50" s="1"/>
      <c r="AP50" s="1"/>
      <c r="AQ50" s="17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6"/>
      <c r="AL51" s="17"/>
      <c r="AM51" s="1"/>
      <c r="AN51" s="17"/>
      <c r="AO51" s="1"/>
      <c r="AP51" s="1"/>
      <c r="AQ51" s="17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6"/>
      <c r="AL52" s="17"/>
      <c r="AM52" s="1"/>
      <c r="AN52" s="17"/>
      <c r="AO52" s="1"/>
      <c r="AP52" s="1"/>
      <c r="AQ52" s="17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6"/>
      <c r="AL53" s="17"/>
      <c r="AM53" s="1"/>
      <c r="AN53" s="17"/>
      <c r="AO53" s="1"/>
      <c r="AP53" s="1"/>
      <c r="AQ53" s="17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6"/>
      <c r="AL54" s="17"/>
      <c r="AM54" s="1"/>
      <c r="AN54" s="17"/>
      <c r="AO54" s="1"/>
      <c r="AP54" s="1"/>
      <c r="AQ54" s="17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6"/>
      <c r="AL55" s="17"/>
      <c r="AM55" s="1"/>
      <c r="AN55" s="17"/>
      <c r="AO55" s="1"/>
      <c r="AP55" s="1"/>
      <c r="AQ55" s="17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6"/>
      <c r="AL56" s="17"/>
      <c r="AM56" s="1"/>
      <c r="AN56" s="17"/>
      <c r="AO56" s="1"/>
      <c r="AP56" s="1"/>
      <c r="AQ56" s="17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6"/>
      <c r="AL57" s="17"/>
      <c r="AM57" s="1"/>
      <c r="AN57" s="17"/>
      <c r="AO57" s="1"/>
      <c r="AP57" s="1"/>
      <c r="AQ57" s="17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6"/>
      <c r="AL58" s="17"/>
      <c r="AM58" s="1"/>
      <c r="AN58" s="17"/>
      <c r="AO58" s="1"/>
      <c r="AP58" s="1"/>
      <c r="AQ58" s="17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6"/>
      <c r="AL59" s="17"/>
      <c r="AM59" s="1"/>
      <c r="AN59" s="17"/>
      <c r="AO59" s="1"/>
      <c r="AP59" s="1"/>
      <c r="AQ59" s="17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6"/>
      <c r="AL60" s="17"/>
      <c r="AM60" s="1"/>
      <c r="AN60" s="17"/>
      <c r="AO60" s="1"/>
      <c r="AP60" s="1"/>
      <c r="AQ60" s="17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6"/>
      <c r="AL61" s="17"/>
      <c r="AM61" s="1"/>
      <c r="AN61" s="17"/>
      <c r="AO61" s="1"/>
      <c r="AP61" s="1"/>
      <c r="AQ61" s="17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6"/>
      <c r="AL62" s="17"/>
      <c r="AM62" s="1"/>
      <c r="AN62" s="17"/>
      <c r="AO62" s="1"/>
      <c r="AP62" s="1"/>
      <c r="AQ62" s="17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6"/>
      <c r="AL63" s="17"/>
      <c r="AM63" s="1"/>
      <c r="AN63" s="17"/>
      <c r="AO63" s="1"/>
      <c r="AP63" s="1"/>
      <c r="AQ63" s="17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6"/>
      <c r="AL64" s="17"/>
      <c r="AM64" s="1"/>
      <c r="AN64" s="17"/>
      <c r="AO64" s="1"/>
      <c r="AP64" s="1"/>
      <c r="AQ64" s="17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6"/>
      <c r="AL65" s="17"/>
      <c r="AM65" s="1"/>
      <c r="AN65" s="17"/>
      <c r="AO65" s="1"/>
      <c r="AP65" s="1"/>
      <c r="AQ65" s="17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6"/>
      <c r="AL66" s="17"/>
      <c r="AM66" s="1"/>
      <c r="AN66" s="17"/>
      <c r="AO66" s="1"/>
      <c r="AP66" s="1"/>
      <c r="AQ66" s="17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6"/>
      <c r="AL67" s="17"/>
      <c r="AM67" s="1"/>
      <c r="AN67" s="17"/>
      <c r="AO67" s="1"/>
      <c r="AP67" s="1"/>
      <c r="AQ67" s="17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6"/>
      <c r="AL68" s="17"/>
      <c r="AM68" s="1"/>
      <c r="AN68" s="17"/>
      <c r="AO68" s="1"/>
      <c r="AP68" s="1"/>
      <c r="AQ68" s="17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6"/>
      <c r="AL69" s="17"/>
      <c r="AM69" s="1"/>
      <c r="AN69" s="17"/>
      <c r="AO69" s="1"/>
      <c r="AP69" s="1"/>
      <c r="AQ69" s="17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6"/>
      <c r="AL70" s="17"/>
      <c r="AM70" s="1"/>
      <c r="AN70" s="17"/>
      <c r="AO70" s="1"/>
      <c r="AP70" s="1"/>
      <c r="AQ70" s="17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6"/>
      <c r="AL71" s="17"/>
      <c r="AM71" s="1"/>
      <c r="AN71" s="17"/>
      <c r="AO71" s="1"/>
      <c r="AP71" s="1"/>
      <c r="AQ71" s="17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6"/>
      <c r="AL72" s="17"/>
      <c r="AM72" s="1"/>
      <c r="AN72" s="17"/>
      <c r="AO72" s="1"/>
      <c r="AP72" s="1"/>
      <c r="AQ72" s="17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6"/>
      <c r="AL73" s="17"/>
      <c r="AM73" s="1"/>
      <c r="AN73" s="17"/>
      <c r="AO73" s="1"/>
      <c r="AP73" s="1"/>
      <c r="AQ73" s="17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6"/>
      <c r="AL74" s="17"/>
      <c r="AM74" s="1"/>
      <c r="AN74" s="17"/>
      <c r="AO74" s="1"/>
      <c r="AP74" s="1"/>
      <c r="AQ74" s="17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6"/>
      <c r="AL75" s="17"/>
      <c r="AM75" s="1"/>
      <c r="AN75" s="17"/>
      <c r="AO75" s="1"/>
      <c r="AP75" s="1"/>
      <c r="AQ75" s="17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6"/>
      <c r="AL76" s="17"/>
      <c r="AM76" s="1"/>
      <c r="AN76" s="17"/>
      <c r="AO76" s="1"/>
      <c r="AP76" s="1"/>
      <c r="AQ76" s="17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6"/>
      <c r="AL77" s="17"/>
      <c r="AM77" s="1"/>
      <c r="AN77" s="17"/>
      <c r="AO77" s="1"/>
      <c r="AP77" s="1"/>
      <c r="AQ77" s="17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6"/>
      <c r="AL78" s="17"/>
      <c r="AM78" s="1"/>
      <c r="AN78" s="17"/>
      <c r="AO78" s="1"/>
      <c r="AP78" s="1"/>
      <c r="AQ78" s="17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6"/>
      <c r="AL79" s="17"/>
      <c r="AM79" s="1"/>
      <c r="AN79" s="17"/>
      <c r="AO79" s="1"/>
      <c r="AP79" s="1"/>
      <c r="AQ79" s="17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6"/>
      <c r="AL80" s="17"/>
      <c r="AM80" s="1"/>
      <c r="AN80" s="17"/>
      <c r="AO80" s="1"/>
      <c r="AP80" s="1"/>
      <c r="AQ80" s="17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6"/>
      <c r="AL81" s="17"/>
      <c r="AM81" s="1"/>
      <c r="AN81" s="17"/>
      <c r="AO81" s="1"/>
      <c r="AP81" s="1"/>
      <c r="AQ81" s="17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6"/>
      <c r="AL82" s="17"/>
      <c r="AM82" s="1"/>
      <c r="AN82" s="17"/>
      <c r="AO82" s="1"/>
      <c r="AP82" s="1"/>
      <c r="AQ82" s="17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6"/>
      <c r="AL83" s="17"/>
      <c r="AM83" s="1"/>
      <c r="AN83" s="17"/>
      <c r="AO83" s="1"/>
      <c r="AP83" s="1"/>
      <c r="AQ83" s="17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6"/>
      <c r="AL84" s="17"/>
      <c r="AM84" s="1"/>
      <c r="AN84" s="17"/>
      <c r="AO84" s="1"/>
      <c r="AP84" s="1"/>
      <c r="AQ84" s="17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6"/>
      <c r="AL85" s="17"/>
      <c r="AM85" s="1"/>
      <c r="AN85" s="17"/>
      <c r="AO85" s="1"/>
      <c r="AP85" s="1"/>
      <c r="AQ85" s="17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6"/>
      <c r="AL86" s="17"/>
      <c r="AM86" s="1"/>
      <c r="AN86" s="17"/>
      <c r="AO86" s="1"/>
      <c r="AP86" s="1"/>
      <c r="AQ86" s="17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6"/>
      <c r="AL87" s="17"/>
      <c r="AM87" s="1"/>
      <c r="AN87" s="17"/>
      <c r="AO87" s="1"/>
      <c r="AP87" s="1"/>
      <c r="AQ87" s="17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6"/>
      <c r="AL88" s="17"/>
      <c r="AM88" s="1"/>
      <c r="AN88" s="17"/>
      <c r="AO88" s="1"/>
      <c r="AP88" s="1"/>
      <c r="AQ88" s="17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6"/>
      <c r="AL89" s="17"/>
      <c r="AM89" s="1"/>
      <c r="AN89" s="17"/>
      <c r="AO89" s="1"/>
      <c r="AP89" s="1"/>
      <c r="AQ89" s="17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6"/>
      <c r="AL90" s="17"/>
      <c r="AM90" s="1"/>
      <c r="AN90" s="17"/>
      <c r="AO90" s="1"/>
      <c r="AP90" s="1"/>
      <c r="AQ90" s="17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6"/>
      <c r="AL91" s="17"/>
      <c r="AM91" s="1"/>
      <c r="AN91" s="17"/>
      <c r="AO91" s="1"/>
      <c r="AP91" s="1"/>
      <c r="AQ91" s="17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6"/>
      <c r="AL92" s="17"/>
      <c r="AM92" s="1"/>
      <c r="AN92" s="17"/>
      <c r="AO92" s="1"/>
      <c r="AP92" s="1"/>
      <c r="AQ92" s="17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6"/>
      <c r="AL93" s="17"/>
      <c r="AM93" s="1"/>
      <c r="AN93" s="17"/>
      <c r="AO93" s="1"/>
      <c r="AP93" s="1"/>
      <c r="AQ93" s="17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6"/>
      <c r="AL94" s="17"/>
      <c r="AM94" s="1"/>
      <c r="AN94" s="17"/>
      <c r="AO94" s="1"/>
      <c r="AP94" s="1"/>
      <c r="AQ94" s="17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6"/>
      <c r="AL95" s="17"/>
      <c r="AM95" s="1"/>
      <c r="AN95" s="17"/>
      <c r="AO95" s="1"/>
      <c r="AP95" s="1"/>
      <c r="AQ95" s="17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6"/>
      <c r="AL96" s="17"/>
      <c r="AM96" s="1"/>
      <c r="AN96" s="17"/>
      <c r="AO96" s="1"/>
      <c r="AP96" s="1"/>
      <c r="AQ96" s="17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6"/>
      <c r="AL97" s="17"/>
      <c r="AM97" s="1"/>
      <c r="AN97" s="17"/>
      <c r="AO97" s="1"/>
      <c r="AP97" s="1"/>
      <c r="AQ97" s="17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6"/>
      <c r="AL98" s="17"/>
      <c r="AM98" s="1"/>
      <c r="AN98" s="17"/>
      <c r="AO98" s="1"/>
      <c r="AP98" s="1"/>
      <c r="AQ98" s="17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6"/>
      <c r="AL99" s="17"/>
      <c r="AM99" s="1"/>
      <c r="AN99" s="17"/>
      <c r="AO99" s="1"/>
      <c r="AP99" s="1"/>
      <c r="AQ99" s="17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6"/>
      <c r="AL100" s="17"/>
      <c r="AM100" s="1"/>
      <c r="AN100" s="17"/>
      <c r="AO100" s="1"/>
      <c r="AP100" s="1"/>
      <c r="AQ100" s="17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6"/>
      <c r="AL101" s="17"/>
      <c r="AM101" s="1"/>
      <c r="AN101" s="17"/>
      <c r="AO101" s="1"/>
      <c r="AP101" s="1"/>
      <c r="AQ101" s="17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6"/>
      <c r="AL102" s="17"/>
      <c r="AM102" s="1"/>
      <c r="AN102" s="17"/>
      <c r="AO102" s="1"/>
      <c r="AP102" s="1"/>
      <c r="AQ102" s="17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6"/>
      <c r="AL103" s="17"/>
      <c r="AM103" s="1"/>
      <c r="AN103" s="17"/>
      <c r="AO103" s="1"/>
      <c r="AP103" s="1"/>
      <c r="AQ103" s="17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6"/>
      <c r="AL104" s="17"/>
      <c r="AM104" s="1"/>
      <c r="AN104" s="17"/>
      <c r="AO104" s="1"/>
      <c r="AP104" s="1"/>
      <c r="AQ104" s="17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6"/>
      <c r="AL105" s="17"/>
      <c r="AM105" s="1"/>
      <c r="AN105" s="17"/>
      <c r="AO105" s="1"/>
      <c r="AP105" s="1"/>
      <c r="AQ105" s="17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6"/>
      <c r="AL106" s="17"/>
      <c r="AM106" s="1"/>
      <c r="AN106" s="17"/>
      <c r="AO106" s="1"/>
      <c r="AP106" s="1"/>
      <c r="AQ106" s="17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6"/>
      <c r="AL107" s="17"/>
      <c r="AM107" s="1"/>
      <c r="AN107" s="17"/>
      <c r="AO107" s="1"/>
      <c r="AP107" s="1"/>
      <c r="AQ107" s="17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6"/>
      <c r="AL108" s="17"/>
      <c r="AM108" s="1"/>
      <c r="AN108" s="17"/>
      <c r="AO108" s="1"/>
      <c r="AP108" s="1"/>
      <c r="AQ108" s="17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6"/>
      <c r="AL109" s="17"/>
      <c r="AM109" s="1"/>
      <c r="AN109" s="17"/>
      <c r="AO109" s="1"/>
      <c r="AP109" s="1"/>
      <c r="AQ109" s="17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6"/>
      <c r="AL110" s="17"/>
      <c r="AM110" s="1"/>
      <c r="AN110" s="17"/>
      <c r="AO110" s="1"/>
      <c r="AP110" s="1"/>
      <c r="AQ110" s="17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6"/>
      <c r="AL111" s="17"/>
      <c r="AM111" s="1"/>
      <c r="AN111" s="17"/>
      <c r="AO111" s="1"/>
      <c r="AP111" s="1"/>
      <c r="AQ111" s="17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6"/>
      <c r="AL112" s="17"/>
      <c r="AM112" s="1"/>
      <c r="AN112" s="17"/>
      <c r="AO112" s="1"/>
      <c r="AP112" s="1"/>
      <c r="AQ112" s="17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6"/>
      <c r="AL113" s="17"/>
      <c r="AM113" s="1"/>
      <c r="AN113" s="17"/>
      <c r="AO113" s="1"/>
      <c r="AP113" s="1"/>
      <c r="AQ113" s="17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6"/>
      <c r="AL114" s="17"/>
      <c r="AM114" s="1"/>
      <c r="AN114" s="17"/>
      <c r="AO114" s="1"/>
      <c r="AP114" s="1"/>
      <c r="AQ114" s="17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6"/>
      <c r="AL115" s="17"/>
      <c r="AM115" s="1"/>
      <c r="AN115" s="17"/>
      <c r="AO115" s="1"/>
      <c r="AP115" s="1"/>
      <c r="AQ115" s="17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6"/>
      <c r="AL116" s="17"/>
      <c r="AM116" s="1"/>
      <c r="AN116" s="17"/>
      <c r="AO116" s="1"/>
      <c r="AP116" s="1"/>
      <c r="AQ116" s="17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6"/>
      <c r="AL117" s="17"/>
      <c r="AM117" s="1"/>
      <c r="AN117" s="17"/>
      <c r="AO117" s="1"/>
      <c r="AP117" s="1"/>
      <c r="AQ117" s="17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6"/>
      <c r="AL118" s="17"/>
      <c r="AM118" s="1"/>
      <c r="AN118" s="17"/>
      <c r="AO118" s="1"/>
      <c r="AP118" s="1"/>
      <c r="AQ118" s="17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6"/>
      <c r="AL119" s="17"/>
      <c r="AM119" s="1"/>
      <c r="AN119" s="17"/>
      <c r="AO119" s="1"/>
      <c r="AP119" s="1"/>
      <c r="AQ119" s="17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6"/>
      <c r="AL120" s="17"/>
      <c r="AM120" s="1"/>
      <c r="AN120" s="17"/>
      <c r="AO120" s="1"/>
      <c r="AP120" s="1"/>
      <c r="AQ120" s="17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6"/>
      <c r="AL121" s="17"/>
      <c r="AM121" s="1"/>
      <c r="AN121" s="17"/>
      <c r="AO121" s="1"/>
      <c r="AP121" s="1"/>
      <c r="AQ121" s="17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6"/>
      <c r="AL122" s="17"/>
      <c r="AM122" s="1"/>
      <c r="AN122" s="17"/>
      <c r="AO122" s="1"/>
      <c r="AP122" s="1"/>
      <c r="AQ122" s="17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6"/>
      <c r="AL123" s="17"/>
      <c r="AM123" s="1"/>
      <c r="AN123" s="17"/>
      <c r="AO123" s="1"/>
      <c r="AP123" s="1"/>
      <c r="AQ123" s="17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6"/>
      <c r="AL124" s="17"/>
      <c r="AM124" s="1"/>
      <c r="AN124" s="17"/>
      <c r="AO124" s="1"/>
      <c r="AP124" s="1"/>
      <c r="AQ124" s="17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6"/>
      <c r="AL125" s="17"/>
      <c r="AM125" s="1"/>
      <c r="AN125" s="17"/>
      <c r="AO125" s="1"/>
      <c r="AP125" s="1"/>
      <c r="AQ125" s="17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6"/>
      <c r="AL126" s="17"/>
      <c r="AM126" s="1"/>
      <c r="AN126" s="17"/>
      <c r="AO126" s="1"/>
      <c r="AP126" s="1"/>
      <c r="AQ126" s="17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6"/>
      <c r="AL127" s="17"/>
      <c r="AM127" s="1"/>
      <c r="AN127" s="17"/>
      <c r="AO127" s="1"/>
      <c r="AP127" s="1"/>
      <c r="AQ127" s="17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6"/>
      <c r="AL128" s="17"/>
      <c r="AM128" s="1"/>
      <c r="AN128" s="17"/>
      <c r="AO128" s="1"/>
      <c r="AP128" s="1"/>
      <c r="AQ128" s="17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6"/>
      <c r="AL129" s="17"/>
      <c r="AM129" s="1"/>
      <c r="AN129" s="17"/>
      <c r="AO129" s="1"/>
      <c r="AP129" s="1"/>
      <c r="AQ129" s="17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6"/>
      <c r="AL130" s="17"/>
      <c r="AM130" s="1"/>
      <c r="AN130" s="17"/>
      <c r="AO130" s="1"/>
      <c r="AP130" s="1"/>
      <c r="AQ130" s="17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6"/>
      <c r="AL131" s="17"/>
      <c r="AM131" s="1"/>
      <c r="AN131" s="17"/>
      <c r="AO131" s="1"/>
      <c r="AP131" s="1"/>
      <c r="AQ131" s="17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6"/>
      <c r="AL132" s="17"/>
      <c r="AM132" s="1"/>
      <c r="AN132" s="17"/>
      <c r="AO132" s="1"/>
      <c r="AP132" s="1"/>
      <c r="AQ132" s="17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6"/>
      <c r="AL133" s="17"/>
      <c r="AM133" s="1"/>
      <c r="AN133" s="17"/>
      <c r="AO133" s="1"/>
      <c r="AP133" s="1"/>
      <c r="AQ133" s="17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6"/>
      <c r="AL134" s="17"/>
      <c r="AM134" s="1"/>
      <c r="AN134" s="17"/>
      <c r="AO134" s="1"/>
      <c r="AP134" s="1"/>
      <c r="AQ134" s="17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6"/>
      <c r="AL135" s="17"/>
      <c r="AM135" s="1"/>
      <c r="AN135" s="17"/>
      <c r="AO135" s="1"/>
      <c r="AP135" s="1"/>
      <c r="AQ135" s="17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6"/>
      <c r="AL136" s="17"/>
      <c r="AM136" s="1"/>
      <c r="AN136" s="17"/>
      <c r="AO136" s="1"/>
      <c r="AP136" s="1"/>
      <c r="AQ136" s="17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6"/>
      <c r="AL137" s="17"/>
      <c r="AM137" s="1"/>
      <c r="AN137" s="17"/>
      <c r="AO137" s="1"/>
      <c r="AP137" s="1"/>
      <c r="AQ137" s="17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6"/>
      <c r="AL138" s="17"/>
      <c r="AM138" s="1"/>
      <c r="AN138" s="17"/>
      <c r="AO138" s="1"/>
      <c r="AP138" s="1"/>
      <c r="AQ138" s="17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6"/>
      <c r="AL139" s="17"/>
      <c r="AM139" s="1"/>
      <c r="AN139" s="17"/>
      <c r="AO139" s="1"/>
      <c r="AP139" s="1"/>
      <c r="AQ139" s="17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6"/>
      <c r="AL140" s="17"/>
      <c r="AM140" s="1"/>
      <c r="AN140" s="17"/>
      <c r="AO140" s="1"/>
      <c r="AP140" s="1"/>
      <c r="AQ140" s="17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6"/>
      <c r="AL141" s="17"/>
      <c r="AM141" s="1"/>
      <c r="AN141" s="17"/>
      <c r="AO141" s="1"/>
      <c r="AP141" s="1"/>
      <c r="AQ141" s="17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6"/>
      <c r="AL142" s="17"/>
      <c r="AM142" s="1"/>
      <c r="AN142" s="17"/>
      <c r="AO142" s="1"/>
      <c r="AP142" s="1"/>
      <c r="AQ142" s="17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6"/>
      <c r="AL143" s="17"/>
      <c r="AM143" s="1"/>
      <c r="AN143" s="17"/>
      <c r="AO143" s="1"/>
      <c r="AP143" s="1"/>
      <c r="AQ143" s="17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6"/>
      <c r="AL144" s="17"/>
      <c r="AM144" s="1"/>
      <c r="AN144" s="17"/>
      <c r="AO144" s="1"/>
      <c r="AP144" s="1"/>
      <c r="AQ144" s="17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6"/>
      <c r="AL145" s="17"/>
      <c r="AM145" s="1"/>
      <c r="AN145" s="17"/>
      <c r="AO145" s="1"/>
      <c r="AP145" s="1"/>
      <c r="AQ145" s="17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6"/>
      <c r="AL146" s="17"/>
      <c r="AM146" s="1"/>
      <c r="AN146" s="17"/>
      <c r="AO146" s="1"/>
      <c r="AP146" s="1"/>
      <c r="AQ146" s="17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6"/>
      <c r="AL147" s="17"/>
      <c r="AM147" s="1"/>
      <c r="AN147" s="17"/>
      <c r="AO147" s="1"/>
      <c r="AP147" s="1"/>
      <c r="AQ147" s="17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6"/>
      <c r="AL148" s="17"/>
      <c r="AM148" s="1"/>
      <c r="AN148" s="17"/>
      <c r="AO148" s="1"/>
      <c r="AP148" s="1"/>
      <c r="AQ148" s="17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6"/>
      <c r="AL149" s="17"/>
      <c r="AM149" s="1"/>
      <c r="AN149" s="17"/>
      <c r="AO149" s="1"/>
      <c r="AP149" s="1"/>
      <c r="AQ149" s="17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6"/>
      <c r="AL150" s="17"/>
      <c r="AM150" s="1"/>
      <c r="AN150" s="17"/>
      <c r="AO150" s="1"/>
      <c r="AP150" s="1"/>
      <c r="AQ150" s="17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6"/>
      <c r="AL151" s="17"/>
      <c r="AM151" s="1"/>
      <c r="AN151" s="17"/>
      <c r="AO151" s="1"/>
      <c r="AP151" s="1"/>
      <c r="AQ151" s="17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6"/>
      <c r="AL152" s="17"/>
      <c r="AM152" s="1"/>
      <c r="AN152" s="17"/>
      <c r="AO152" s="1"/>
      <c r="AP152" s="1"/>
      <c r="AQ152" s="17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6"/>
      <c r="AL153" s="17"/>
      <c r="AM153" s="1"/>
      <c r="AN153" s="17"/>
      <c r="AO153" s="1"/>
      <c r="AP153" s="1"/>
      <c r="AQ153" s="17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6"/>
      <c r="AL154" s="17"/>
      <c r="AM154" s="1"/>
      <c r="AN154" s="17"/>
      <c r="AO154" s="1"/>
      <c r="AP154" s="1"/>
      <c r="AQ154" s="17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6"/>
      <c r="AL155" s="17"/>
      <c r="AM155" s="1"/>
      <c r="AN155" s="17"/>
      <c r="AO155" s="1"/>
      <c r="AP155" s="1"/>
      <c r="AQ155" s="17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6"/>
      <c r="AL156" s="17"/>
      <c r="AM156" s="1"/>
      <c r="AN156" s="17"/>
      <c r="AO156" s="1"/>
      <c r="AP156" s="1"/>
      <c r="AQ156" s="17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6"/>
      <c r="AL157" s="17"/>
      <c r="AM157" s="1"/>
      <c r="AN157" s="17"/>
      <c r="AO157" s="1"/>
      <c r="AP157" s="1"/>
      <c r="AQ157" s="17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6"/>
      <c r="AL158" s="17"/>
      <c r="AM158" s="1"/>
      <c r="AN158" s="17"/>
      <c r="AO158" s="1"/>
      <c r="AP158" s="1"/>
      <c r="AQ158" s="17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6"/>
      <c r="AL159" s="17"/>
      <c r="AM159" s="1"/>
      <c r="AN159" s="17"/>
      <c r="AO159" s="1"/>
      <c r="AP159" s="1"/>
      <c r="AQ159" s="17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6"/>
      <c r="AL160" s="17"/>
      <c r="AM160" s="1"/>
      <c r="AN160" s="17"/>
      <c r="AO160" s="1"/>
      <c r="AP160" s="1"/>
      <c r="AQ160" s="17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6"/>
      <c r="AL161" s="17"/>
      <c r="AM161" s="1"/>
      <c r="AN161" s="17"/>
      <c r="AO161" s="1"/>
      <c r="AP161" s="1"/>
      <c r="AQ161" s="17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6"/>
      <c r="AL162" s="17"/>
      <c r="AM162" s="1"/>
      <c r="AN162" s="17"/>
      <c r="AO162" s="1"/>
      <c r="AP162" s="1"/>
      <c r="AQ162" s="17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6"/>
      <c r="AL163" s="17"/>
      <c r="AM163" s="1"/>
      <c r="AN163" s="17"/>
      <c r="AO163" s="1"/>
      <c r="AP163" s="1"/>
      <c r="AQ163" s="17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6"/>
      <c r="AL164" s="17"/>
      <c r="AM164" s="1"/>
      <c r="AN164" s="17"/>
      <c r="AO164" s="1"/>
      <c r="AP164" s="1"/>
      <c r="AQ164" s="17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6"/>
      <c r="AL165" s="17"/>
      <c r="AM165" s="1"/>
      <c r="AN165" s="17"/>
      <c r="AO165" s="1"/>
      <c r="AP165" s="1"/>
      <c r="AQ165" s="17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6"/>
      <c r="AL166" s="17"/>
      <c r="AM166" s="1"/>
      <c r="AN166" s="17"/>
      <c r="AO166" s="1"/>
      <c r="AP166" s="1"/>
      <c r="AQ166" s="17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6"/>
      <c r="AL167" s="17"/>
      <c r="AM167" s="1"/>
      <c r="AN167" s="17"/>
      <c r="AO167" s="1"/>
      <c r="AP167" s="1"/>
      <c r="AQ167" s="17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6"/>
      <c r="AL168" s="17"/>
      <c r="AM168" s="1"/>
      <c r="AN168" s="17"/>
      <c r="AO168" s="1"/>
      <c r="AP168" s="1"/>
      <c r="AQ168" s="17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6"/>
      <c r="AL169" s="17"/>
      <c r="AM169" s="1"/>
      <c r="AN169" s="17"/>
      <c r="AO169" s="1"/>
      <c r="AP169" s="1"/>
      <c r="AQ169" s="17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6"/>
      <c r="AL170" s="17"/>
      <c r="AM170" s="1"/>
      <c r="AN170" s="17"/>
      <c r="AO170" s="1"/>
      <c r="AP170" s="1"/>
      <c r="AQ170" s="17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6"/>
      <c r="AL171" s="17"/>
      <c r="AM171" s="1"/>
      <c r="AN171" s="17"/>
      <c r="AO171" s="1"/>
      <c r="AP171" s="1"/>
      <c r="AQ171" s="17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6"/>
      <c r="AL172" s="17"/>
      <c r="AM172" s="1"/>
      <c r="AN172" s="17"/>
      <c r="AO172" s="1"/>
      <c r="AP172" s="1"/>
      <c r="AQ172" s="17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6"/>
      <c r="AL173" s="17"/>
      <c r="AM173" s="1"/>
      <c r="AN173" s="17"/>
      <c r="AO173" s="1"/>
      <c r="AP173" s="1"/>
      <c r="AQ173" s="17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6"/>
      <c r="AL174" s="17"/>
      <c r="AM174" s="1"/>
      <c r="AN174" s="17"/>
      <c r="AO174" s="1"/>
      <c r="AP174" s="1"/>
      <c r="AQ174" s="17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6"/>
      <c r="AL175" s="17"/>
      <c r="AM175" s="1"/>
      <c r="AN175" s="17"/>
      <c r="AO175" s="1"/>
      <c r="AP175" s="1"/>
      <c r="AQ175" s="17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6"/>
      <c r="AL176" s="17"/>
      <c r="AM176" s="1"/>
      <c r="AN176" s="17"/>
      <c r="AO176" s="1"/>
      <c r="AP176" s="1"/>
      <c r="AQ176" s="17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6"/>
      <c r="AL177" s="17"/>
      <c r="AM177" s="1"/>
      <c r="AN177" s="17"/>
      <c r="AO177" s="1"/>
      <c r="AP177" s="1"/>
      <c r="AQ177" s="17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6"/>
      <c r="AL178" s="17"/>
      <c r="AM178" s="1"/>
      <c r="AN178" s="17"/>
      <c r="AO178" s="1"/>
      <c r="AP178" s="1"/>
      <c r="AQ178" s="17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6"/>
      <c r="AL179" s="17"/>
      <c r="AM179" s="1"/>
      <c r="AN179" s="17"/>
      <c r="AO179" s="1"/>
      <c r="AP179" s="1"/>
      <c r="AQ179" s="17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6"/>
      <c r="AL180" s="17"/>
      <c r="AM180" s="1"/>
      <c r="AN180" s="17"/>
      <c r="AO180" s="1"/>
      <c r="AP180" s="1"/>
      <c r="AQ180" s="17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6"/>
      <c r="AL181" s="17"/>
      <c r="AM181" s="1"/>
      <c r="AN181" s="17"/>
      <c r="AO181" s="1"/>
      <c r="AP181" s="1"/>
      <c r="AQ181" s="17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6"/>
      <c r="AL182" s="17"/>
      <c r="AM182" s="1"/>
      <c r="AN182" s="17"/>
      <c r="AO182" s="1"/>
      <c r="AP182" s="1"/>
      <c r="AQ182" s="17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6"/>
      <c r="AL183" s="17"/>
      <c r="AM183" s="1"/>
      <c r="AN183" s="17"/>
      <c r="AO183" s="1"/>
      <c r="AP183" s="1"/>
      <c r="AQ183" s="17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6"/>
      <c r="AL184" s="17"/>
      <c r="AM184" s="1"/>
      <c r="AN184" s="17"/>
      <c r="AO184" s="1"/>
      <c r="AP184" s="1"/>
      <c r="AQ184" s="17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6"/>
      <c r="AL185" s="17"/>
      <c r="AM185" s="1"/>
      <c r="AN185" s="17"/>
      <c r="AO185" s="1"/>
      <c r="AP185" s="1"/>
      <c r="AQ185" s="17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6"/>
      <c r="AL186" s="17"/>
      <c r="AM186" s="1"/>
      <c r="AN186" s="17"/>
      <c r="AO186" s="1"/>
      <c r="AP186" s="1"/>
      <c r="AQ186" s="17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6"/>
      <c r="AL187" s="17"/>
      <c r="AM187" s="1"/>
      <c r="AN187" s="17"/>
      <c r="AO187" s="1"/>
      <c r="AP187" s="1"/>
      <c r="AQ187" s="17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6"/>
      <c r="AL188" s="17"/>
      <c r="AM188" s="1"/>
      <c r="AN188" s="17"/>
      <c r="AO188" s="1"/>
      <c r="AP188" s="1"/>
      <c r="AQ188" s="17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6"/>
      <c r="AL189" s="17"/>
      <c r="AM189" s="1"/>
      <c r="AN189" s="17"/>
      <c r="AO189" s="1"/>
      <c r="AP189" s="1"/>
      <c r="AQ189" s="17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6"/>
      <c r="AL190" s="17"/>
      <c r="AM190" s="1"/>
      <c r="AN190" s="17"/>
      <c r="AO190" s="1"/>
      <c r="AP190" s="1"/>
      <c r="AQ190" s="17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6"/>
      <c r="AL191" s="17"/>
      <c r="AM191" s="1"/>
      <c r="AN191" s="17"/>
      <c r="AO191" s="1"/>
      <c r="AP191" s="1"/>
      <c r="AQ191" s="17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6"/>
      <c r="AL192" s="17"/>
      <c r="AM192" s="1"/>
      <c r="AN192" s="17"/>
      <c r="AO192" s="1"/>
      <c r="AP192" s="1"/>
      <c r="AQ192" s="17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6"/>
      <c r="AL193" s="17"/>
      <c r="AM193" s="1"/>
      <c r="AN193" s="17"/>
      <c r="AO193" s="1"/>
      <c r="AP193" s="1"/>
      <c r="AQ193" s="17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6"/>
      <c r="AL194" s="17"/>
      <c r="AM194" s="1"/>
      <c r="AN194" s="17"/>
      <c r="AO194" s="1"/>
      <c r="AP194" s="1"/>
      <c r="AQ194" s="17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6"/>
      <c r="AL195" s="17"/>
      <c r="AM195" s="1"/>
      <c r="AN195" s="17"/>
      <c r="AO195" s="1"/>
      <c r="AP195" s="1"/>
      <c r="AQ195" s="17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6"/>
      <c r="AL196" s="17"/>
      <c r="AM196" s="1"/>
      <c r="AN196" s="17"/>
      <c r="AO196" s="1"/>
      <c r="AP196" s="1"/>
      <c r="AQ196" s="17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6"/>
      <c r="AL197" s="17"/>
      <c r="AM197" s="1"/>
      <c r="AN197" s="17"/>
      <c r="AO197" s="1"/>
      <c r="AP197" s="1"/>
      <c r="AQ197" s="17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6"/>
      <c r="AL198" s="17"/>
      <c r="AM198" s="1"/>
      <c r="AN198" s="17"/>
      <c r="AO198" s="1"/>
      <c r="AP198" s="1"/>
      <c r="AQ198" s="17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6"/>
      <c r="AL199" s="17"/>
      <c r="AM199" s="1"/>
      <c r="AN199" s="17"/>
      <c r="AO199" s="1"/>
      <c r="AP199" s="1"/>
      <c r="AQ199" s="17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6"/>
      <c r="AL200" s="17"/>
      <c r="AM200" s="1"/>
      <c r="AN200" s="17"/>
      <c r="AO200" s="1"/>
      <c r="AP200" s="1"/>
      <c r="AQ200" s="17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6"/>
      <c r="AL201" s="17"/>
      <c r="AM201" s="1"/>
      <c r="AN201" s="17"/>
      <c r="AO201" s="1"/>
      <c r="AP201" s="1"/>
      <c r="AQ201" s="17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6"/>
      <c r="AL202" s="17"/>
      <c r="AM202" s="1"/>
      <c r="AN202" s="17"/>
      <c r="AO202" s="1"/>
      <c r="AP202" s="1"/>
      <c r="AQ202" s="17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6"/>
      <c r="AL203" s="17"/>
      <c r="AM203" s="1"/>
      <c r="AN203" s="17"/>
      <c r="AO203" s="1"/>
      <c r="AP203" s="1"/>
      <c r="AQ203" s="17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6"/>
      <c r="AL204" s="17"/>
      <c r="AM204" s="1"/>
      <c r="AN204" s="17"/>
      <c r="AO204" s="1"/>
      <c r="AP204" s="1"/>
      <c r="AQ204" s="17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6"/>
      <c r="AL205" s="17"/>
      <c r="AM205" s="1"/>
      <c r="AN205" s="17"/>
      <c r="AO205" s="1"/>
      <c r="AP205" s="1"/>
      <c r="AQ205" s="17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6"/>
      <c r="AL206" s="17"/>
      <c r="AM206" s="1"/>
      <c r="AN206" s="17"/>
      <c r="AO206" s="1"/>
      <c r="AP206" s="1"/>
      <c r="AQ206" s="17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6"/>
      <c r="AL207" s="17"/>
      <c r="AM207" s="1"/>
      <c r="AN207" s="17"/>
      <c r="AO207" s="1"/>
      <c r="AP207" s="1"/>
      <c r="AQ207" s="17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6"/>
      <c r="AL208" s="17"/>
      <c r="AM208" s="1"/>
      <c r="AN208" s="17"/>
      <c r="AO208" s="1"/>
      <c r="AP208" s="1"/>
      <c r="AQ208" s="17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6"/>
      <c r="AL209" s="17"/>
      <c r="AM209" s="1"/>
      <c r="AN209" s="17"/>
      <c r="AO209" s="1"/>
      <c r="AP209" s="1"/>
      <c r="AQ209" s="17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6"/>
      <c r="AL210" s="17"/>
      <c r="AM210" s="1"/>
      <c r="AN210" s="17"/>
      <c r="AO210" s="1"/>
      <c r="AP210" s="1"/>
      <c r="AQ210" s="17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6"/>
      <c r="AL211" s="17"/>
      <c r="AM211" s="1"/>
      <c r="AN211" s="17"/>
      <c r="AO211" s="1"/>
      <c r="AP211" s="1"/>
      <c r="AQ211" s="17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6"/>
      <c r="AL212" s="17"/>
      <c r="AM212" s="1"/>
      <c r="AN212" s="17"/>
      <c r="AO212" s="1"/>
      <c r="AP212" s="1"/>
      <c r="AQ212" s="17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6"/>
      <c r="AL213" s="17"/>
      <c r="AM213" s="1"/>
      <c r="AN213" s="17"/>
      <c r="AO213" s="1"/>
      <c r="AP213" s="1"/>
      <c r="AQ213" s="17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6"/>
      <c r="AL214" s="17"/>
      <c r="AM214" s="1"/>
      <c r="AN214" s="17"/>
      <c r="AO214" s="1"/>
      <c r="AP214" s="1"/>
      <c r="AQ214" s="17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6"/>
      <c r="AL215" s="17"/>
      <c r="AM215" s="1"/>
      <c r="AN215" s="17"/>
      <c r="AO215" s="1"/>
      <c r="AP215" s="1"/>
      <c r="AQ215" s="17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6"/>
      <c r="AL216" s="17"/>
      <c r="AM216" s="1"/>
      <c r="AN216" s="17"/>
      <c r="AO216" s="1"/>
      <c r="AP216" s="1"/>
      <c r="AQ216" s="17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6"/>
      <c r="AL217" s="17"/>
      <c r="AM217" s="1"/>
      <c r="AN217" s="17"/>
      <c r="AO217" s="1"/>
      <c r="AP217" s="1"/>
      <c r="AQ217" s="17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6"/>
      <c r="AL218" s="17"/>
      <c r="AM218" s="1"/>
      <c r="AN218" s="17"/>
      <c r="AO218" s="1"/>
      <c r="AP218" s="1"/>
      <c r="AQ218" s="17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6"/>
      <c r="AL219" s="17"/>
      <c r="AM219" s="1"/>
      <c r="AN219" s="17"/>
      <c r="AO219" s="1"/>
      <c r="AP219" s="1"/>
      <c r="AQ219" s="17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6"/>
      <c r="AL220" s="17"/>
      <c r="AM220" s="1"/>
      <c r="AN220" s="17"/>
      <c r="AO220" s="1"/>
      <c r="AP220" s="1"/>
      <c r="AQ220" s="17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6"/>
      <c r="AL221" s="17"/>
      <c r="AM221" s="1"/>
      <c r="AN221" s="17"/>
      <c r="AO221" s="1"/>
      <c r="AP221" s="1"/>
      <c r="AQ221" s="17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6"/>
      <c r="AL222" s="17"/>
      <c r="AM222" s="1"/>
      <c r="AN222" s="17"/>
      <c r="AO222" s="1"/>
      <c r="AP222" s="1"/>
      <c r="AQ222" s="17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6"/>
      <c r="AL223" s="17"/>
      <c r="AM223" s="1"/>
      <c r="AN223" s="17"/>
      <c r="AO223" s="1"/>
      <c r="AP223" s="1"/>
      <c r="AQ223" s="17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6"/>
      <c r="AL224" s="17"/>
      <c r="AM224" s="1"/>
      <c r="AN224" s="17"/>
      <c r="AO224" s="1"/>
      <c r="AP224" s="1"/>
      <c r="AQ224" s="17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6"/>
      <c r="AL225" s="17"/>
      <c r="AM225" s="1"/>
      <c r="AN225" s="17"/>
      <c r="AO225" s="1"/>
      <c r="AP225" s="1"/>
      <c r="AQ225" s="17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6"/>
      <c r="AL226" s="17"/>
      <c r="AM226" s="1"/>
      <c r="AN226" s="17"/>
      <c r="AO226" s="1"/>
      <c r="AP226" s="1"/>
      <c r="AQ226" s="17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6"/>
      <c r="AL227" s="17"/>
      <c r="AM227" s="1"/>
      <c r="AN227" s="17"/>
      <c r="AO227" s="1"/>
      <c r="AP227" s="1"/>
      <c r="AQ227" s="17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6"/>
      <c r="AL228" s="17"/>
      <c r="AM228" s="1"/>
      <c r="AN228" s="17"/>
      <c r="AO228" s="1"/>
      <c r="AP228" s="1"/>
      <c r="AQ228" s="17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6"/>
      <c r="AL229" s="17"/>
      <c r="AM229" s="1"/>
      <c r="AN229" s="17"/>
      <c r="AO229" s="1"/>
      <c r="AP229" s="1"/>
      <c r="AQ229" s="17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6"/>
      <c r="AL230" s="17"/>
      <c r="AM230" s="1"/>
      <c r="AN230" s="17"/>
      <c r="AO230" s="1"/>
      <c r="AP230" s="1"/>
      <c r="AQ230" s="17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6"/>
      <c r="AL231" s="17"/>
      <c r="AM231" s="1"/>
      <c r="AN231" s="17"/>
      <c r="AO231" s="1"/>
      <c r="AP231" s="1"/>
      <c r="AQ231" s="17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6"/>
      <c r="AL232" s="17"/>
      <c r="AM232" s="1"/>
      <c r="AN232" s="17"/>
      <c r="AO232" s="1"/>
      <c r="AP232" s="1"/>
      <c r="AQ232" s="17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6"/>
      <c r="AL233" s="17"/>
      <c r="AM233" s="1"/>
      <c r="AN233" s="17"/>
      <c r="AO233" s="1"/>
      <c r="AP233" s="1"/>
      <c r="AQ233" s="17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6"/>
      <c r="AL234" s="17"/>
      <c r="AM234" s="1"/>
      <c r="AN234" s="17"/>
      <c r="AO234" s="1"/>
      <c r="AP234" s="1"/>
      <c r="AQ234" s="17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6"/>
      <c r="AL235" s="17"/>
      <c r="AM235" s="1"/>
      <c r="AN235" s="17"/>
      <c r="AO235" s="1"/>
      <c r="AP235" s="1"/>
      <c r="AQ235" s="17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6"/>
      <c r="AL236" s="17"/>
      <c r="AM236" s="1"/>
      <c r="AN236" s="17"/>
      <c r="AO236" s="1"/>
      <c r="AP236" s="1"/>
      <c r="AQ236" s="17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6"/>
      <c r="AL237" s="17"/>
      <c r="AM237" s="1"/>
      <c r="AN237" s="17"/>
      <c r="AO237" s="1"/>
      <c r="AP237" s="1"/>
      <c r="AQ237" s="17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6"/>
      <c r="AL238" s="17"/>
      <c r="AM238" s="1"/>
      <c r="AN238" s="17"/>
      <c r="AO238" s="1"/>
      <c r="AP238" s="1"/>
      <c r="AQ238" s="17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6"/>
      <c r="AL239" s="17"/>
      <c r="AM239" s="1"/>
      <c r="AN239" s="17"/>
      <c r="AO239" s="1"/>
      <c r="AP239" s="1"/>
      <c r="AQ239" s="17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6"/>
      <c r="AL240" s="17"/>
      <c r="AM240" s="1"/>
      <c r="AN240" s="17"/>
      <c r="AO240" s="1"/>
      <c r="AP240" s="1"/>
      <c r="AQ240" s="17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6"/>
      <c r="AL241" s="17"/>
      <c r="AM241" s="1"/>
      <c r="AN241" s="17"/>
      <c r="AO241" s="1"/>
      <c r="AP241" s="1"/>
      <c r="AQ241" s="17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6"/>
      <c r="AL242" s="17"/>
      <c r="AM242" s="1"/>
      <c r="AN242" s="17"/>
      <c r="AO242" s="1"/>
      <c r="AP242" s="1"/>
      <c r="AQ242" s="17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6"/>
      <c r="AL243" s="17"/>
      <c r="AM243" s="1"/>
      <c r="AN243" s="17"/>
      <c r="AO243" s="1"/>
      <c r="AP243" s="1"/>
      <c r="AQ243" s="17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6"/>
      <c r="AL244" s="17"/>
      <c r="AM244" s="1"/>
      <c r="AN244" s="17"/>
      <c r="AO244" s="1"/>
      <c r="AP244" s="1"/>
      <c r="AQ244" s="17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6"/>
      <c r="AL245" s="17"/>
      <c r="AM245" s="1"/>
      <c r="AN245" s="17"/>
      <c r="AO245" s="1"/>
      <c r="AP245" s="1"/>
      <c r="AQ245" s="17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6"/>
      <c r="AL246" s="17"/>
      <c r="AM246" s="1"/>
      <c r="AN246" s="17"/>
      <c r="AO246" s="1"/>
      <c r="AP246" s="1"/>
      <c r="AQ246" s="17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6"/>
      <c r="AL247" s="17"/>
      <c r="AM247" s="1"/>
      <c r="AN247" s="17"/>
      <c r="AO247" s="1"/>
      <c r="AP247" s="1"/>
      <c r="AQ247" s="17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6"/>
      <c r="AL248" s="17"/>
      <c r="AM248" s="1"/>
      <c r="AN248" s="17"/>
      <c r="AO248" s="1"/>
      <c r="AP248" s="1"/>
      <c r="AQ248" s="17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6"/>
      <c r="AL249" s="17"/>
      <c r="AM249" s="1"/>
      <c r="AN249" s="17"/>
      <c r="AO249" s="1"/>
      <c r="AP249" s="1"/>
      <c r="AQ249" s="17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6"/>
      <c r="AL250" s="17"/>
      <c r="AM250" s="1"/>
      <c r="AN250" s="17"/>
      <c r="AO250" s="1"/>
      <c r="AP250" s="1"/>
      <c r="AQ250" s="17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6"/>
      <c r="AL251" s="17"/>
      <c r="AM251" s="1"/>
      <c r="AN251" s="17"/>
      <c r="AO251" s="1"/>
      <c r="AP251" s="1"/>
      <c r="AQ251" s="17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6"/>
      <c r="AL252" s="17"/>
      <c r="AM252" s="1"/>
      <c r="AN252" s="17"/>
      <c r="AO252" s="1"/>
      <c r="AP252" s="1"/>
      <c r="AQ252" s="17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6"/>
      <c r="AL253" s="17"/>
      <c r="AM253" s="1"/>
      <c r="AN253" s="17"/>
      <c r="AO253" s="1"/>
      <c r="AP253" s="1"/>
      <c r="AQ253" s="17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6"/>
      <c r="AL254" s="17"/>
      <c r="AM254" s="1"/>
      <c r="AN254" s="17"/>
      <c r="AO254" s="1"/>
      <c r="AP254" s="1"/>
      <c r="AQ254" s="17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6"/>
      <c r="AL255" s="17"/>
      <c r="AM255" s="1"/>
      <c r="AN255" s="17"/>
      <c r="AO255" s="1"/>
      <c r="AP255" s="1"/>
      <c r="AQ255" s="17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6"/>
      <c r="AL256" s="17"/>
      <c r="AM256" s="1"/>
      <c r="AN256" s="17"/>
      <c r="AO256" s="1"/>
      <c r="AP256" s="1"/>
      <c r="AQ256" s="17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6"/>
      <c r="AL257" s="17"/>
      <c r="AM257" s="1"/>
      <c r="AN257" s="17"/>
      <c r="AO257" s="1"/>
      <c r="AP257" s="1"/>
      <c r="AQ257" s="17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6"/>
      <c r="AL258" s="17"/>
      <c r="AM258" s="1"/>
      <c r="AN258" s="17"/>
      <c r="AO258" s="1"/>
      <c r="AP258" s="1"/>
      <c r="AQ258" s="17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6"/>
      <c r="AL259" s="17"/>
      <c r="AM259" s="1"/>
      <c r="AN259" s="17"/>
      <c r="AO259" s="1"/>
      <c r="AP259" s="1"/>
      <c r="AQ259" s="17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6"/>
      <c r="AL260" s="17"/>
      <c r="AM260" s="1"/>
      <c r="AN260" s="17"/>
      <c r="AO260" s="1"/>
      <c r="AP260" s="1"/>
      <c r="AQ260" s="17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6"/>
      <c r="AL261" s="17"/>
      <c r="AM261" s="1"/>
      <c r="AN261" s="17"/>
      <c r="AO261" s="1"/>
      <c r="AP261" s="1"/>
      <c r="AQ261" s="17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6"/>
      <c r="AL262" s="17"/>
      <c r="AM262" s="1"/>
      <c r="AN262" s="17"/>
      <c r="AO262" s="1"/>
      <c r="AP262" s="1"/>
      <c r="AQ262" s="17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6"/>
      <c r="AL263" s="17"/>
      <c r="AM263" s="1"/>
      <c r="AN263" s="17"/>
      <c r="AO263" s="1"/>
      <c r="AP263" s="1"/>
      <c r="AQ263" s="17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6"/>
      <c r="AL264" s="17"/>
      <c r="AM264" s="1"/>
      <c r="AN264" s="17"/>
      <c r="AO264" s="1"/>
      <c r="AP264" s="1"/>
      <c r="AQ264" s="17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6"/>
      <c r="AL265" s="17"/>
      <c r="AM265" s="1"/>
      <c r="AN265" s="17"/>
      <c r="AO265" s="1"/>
      <c r="AP265" s="1"/>
      <c r="AQ265" s="17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6"/>
      <c r="AL266" s="17"/>
      <c r="AM266" s="1"/>
      <c r="AN266" s="17"/>
      <c r="AO266" s="1"/>
      <c r="AP266" s="1"/>
      <c r="AQ266" s="17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6"/>
      <c r="AL267" s="17"/>
      <c r="AM267" s="1"/>
      <c r="AN267" s="17"/>
      <c r="AO267" s="1"/>
      <c r="AP267" s="1"/>
      <c r="AQ267" s="17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6"/>
      <c r="AL268" s="17"/>
      <c r="AM268" s="1"/>
      <c r="AN268" s="17"/>
      <c r="AO268" s="1"/>
      <c r="AP268" s="1"/>
      <c r="AQ268" s="17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6"/>
      <c r="AL269" s="17"/>
      <c r="AM269" s="1"/>
      <c r="AN269" s="17"/>
      <c r="AO269" s="1"/>
      <c r="AP269" s="1"/>
      <c r="AQ269" s="17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6"/>
      <c r="AL270" s="17"/>
      <c r="AM270" s="1"/>
      <c r="AN270" s="17"/>
      <c r="AO270" s="1"/>
      <c r="AP270" s="1"/>
      <c r="AQ270" s="17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6"/>
      <c r="AL271" s="17"/>
      <c r="AM271" s="1"/>
      <c r="AN271" s="17"/>
      <c r="AO271" s="1"/>
      <c r="AP271" s="1"/>
      <c r="AQ271" s="17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6"/>
      <c r="AL272" s="17"/>
      <c r="AM272" s="1"/>
      <c r="AN272" s="17"/>
      <c r="AO272" s="1"/>
      <c r="AP272" s="1"/>
      <c r="AQ272" s="17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6"/>
      <c r="AL273" s="17"/>
      <c r="AM273" s="1"/>
      <c r="AN273" s="17"/>
      <c r="AO273" s="1"/>
      <c r="AP273" s="1"/>
      <c r="AQ273" s="17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6"/>
      <c r="AL274" s="17"/>
      <c r="AM274" s="1"/>
      <c r="AN274" s="17"/>
      <c r="AO274" s="1"/>
      <c r="AP274" s="1"/>
      <c r="AQ274" s="17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6"/>
      <c r="AL275" s="17"/>
      <c r="AM275" s="1"/>
      <c r="AN275" s="17"/>
      <c r="AO275" s="1"/>
      <c r="AP275" s="1"/>
      <c r="AQ275" s="17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6"/>
      <c r="AL276" s="17"/>
      <c r="AM276" s="1"/>
      <c r="AN276" s="17"/>
      <c r="AO276" s="1"/>
      <c r="AP276" s="1"/>
      <c r="AQ276" s="17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6"/>
      <c r="AL277" s="17"/>
      <c r="AM277" s="1"/>
      <c r="AN277" s="17"/>
      <c r="AO277" s="1"/>
      <c r="AP277" s="1"/>
      <c r="AQ277" s="17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6"/>
      <c r="AL278" s="17"/>
      <c r="AM278" s="1"/>
      <c r="AN278" s="17"/>
      <c r="AO278" s="1"/>
      <c r="AP278" s="1"/>
      <c r="AQ278" s="17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6"/>
      <c r="AL279" s="17"/>
      <c r="AM279" s="1"/>
      <c r="AN279" s="17"/>
      <c r="AO279" s="1"/>
      <c r="AP279" s="1"/>
      <c r="AQ279" s="17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6"/>
      <c r="AL280" s="17"/>
      <c r="AM280" s="1"/>
      <c r="AN280" s="17"/>
      <c r="AO280" s="1"/>
      <c r="AP280" s="1"/>
      <c r="AQ280" s="17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6"/>
      <c r="AL281" s="17"/>
      <c r="AM281" s="1"/>
      <c r="AN281" s="17"/>
      <c r="AO281" s="1"/>
      <c r="AP281" s="1"/>
      <c r="AQ281" s="17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6"/>
      <c r="AL282" s="17"/>
      <c r="AM282" s="1"/>
      <c r="AN282" s="17"/>
      <c r="AO282" s="1"/>
      <c r="AP282" s="1"/>
      <c r="AQ282" s="17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6"/>
      <c r="AL283" s="17"/>
      <c r="AM283" s="1"/>
      <c r="AN283" s="17"/>
      <c r="AO283" s="1"/>
      <c r="AP283" s="1"/>
      <c r="AQ283" s="17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6"/>
      <c r="AL284" s="17"/>
      <c r="AM284" s="1"/>
      <c r="AN284" s="17"/>
      <c r="AO284" s="1"/>
      <c r="AP284" s="1"/>
      <c r="AQ284" s="17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6"/>
      <c r="AL285" s="17"/>
      <c r="AM285" s="1"/>
      <c r="AN285" s="17"/>
      <c r="AO285" s="1"/>
      <c r="AP285" s="1"/>
      <c r="AQ285" s="17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6"/>
      <c r="AL286" s="17"/>
      <c r="AM286" s="1"/>
      <c r="AN286" s="17"/>
      <c r="AO286" s="1"/>
      <c r="AP286" s="1"/>
      <c r="AQ286" s="17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6"/>
      <c r="AL287" s="17"/>
      <c r="AM287" s="1"/>
      <c r="AN287" s="17"/>
      <c r="AO287" s="1"/>
      <c r="AP287" s="1"/>
      <c r="AQ287" s="17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6"/>
      <c r="AL288" s="17"/>
      <c r="AM288" s="1"/>
      <c r="AN288" s="17"/>
      <c r="AO288" s="1"/>
      <c r="AP288" s="1"/>
      <c r="AQ288" s="17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6"/>
      <c r="AL289" s="17"/>
      <c r="AM289" s="1"/>
      <c r="AN289" s="17"/>
      <c r="AO289" s="1"/>
      <c r="AP289" s="1"/>
      <c r="AQ289" s="17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6"/>
      <c r="AL290" s="17"/>
      <c r="AM290" s="1"/>
      <c r="AN290" s="17"/>
      <c r="AO290" s="1"/>
      <c r="AP290" s="1"/>
      <c r="AQ290" s="17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6"/>
      <c r="AL291" s="17"/>
      <c r="AM291" s="1"/>
      <c r="AN291" s="17"/>
      <c r="AO291" s="1"/>
      <c r="AP291" s="1"/>
      <c r="AQ291" s="17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6"/>
      <c r="AL292" s="17"/>
      <c r="AM292" s="1"/>
      <c r="AN292" s="17"/>
      <c r="AO292" s="1"/>
      <c r="AP292" s="1"/>
      <c r="AQ292" s="17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6"/>
      <c r="AL293" s="17"/>
      <c r="AM293" s="1"/>
      <c r="AN293" s="17"/>
      <c r="AO293" s="1"/>
      <c r="AP293" s="1"/>
      <c r="AQ293" s="17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6"/>
      <c r="AL294" s="17"/>
      <c r="AM294" s="1"/>
      <c r="AN294" s="17"/>
      <c r="AO294" s="1"/>
      <c r="AP294" s="1"/>
      <c r="AQ294" s="17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6"/>
      <c r="AL295" s="17"/>
      <c r="AM295" s="1"/>
      <c r="AN295" s="17"/>
      <c r="AO295" s="1"/>
      <c r="AP295" s="1"/>
      <c r="AQ295" s="17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6"/>
      <c r="AL296" s="17"/>
      <c r="AM296" s="1"/>
      <c r="AN296" s="17"/>
      <c r="AO296" s="1"/>
      <c r="AP296" s="1"/>
      <c r="AQ296" s="17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6"/>
      <c r="AL297" s="17"/>
      <c r="AM297" s="1"/>
      <c r="AN297" s="17"/>
      <c r="AO297" s="1"/>
      <c r="AP297" s="1"/>
      <c r="AQ297" s="17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6"/>
      <c r="AL298" s="17"/>
      <c r="AM298" s="1"/>
      <c r="AN298" s="17"/>
      <c r="AO298" s="1"/>
      <c r="AP298" s="1"/>
      <c r="AQ298" s="17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6"/>
      <c r="AL299" s="17"/>
      <c r="AM299" s="1"/>
      <c r="AN299" s="17"/>
      <c r="AO299" s="1"/>
      <c r="AP299" s="1"/>
      <c r="AQ299" s="17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6"/>
      <c r="AL300" s="17"/>
      <c r="AM300" s="1"/>
      <c r="AN300" s="17"/>
      <c r="AO300" s="1"/>
      <c r="AP300" s="1"/>
      <c r="AQ300" s="17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6"/>
      <c r="AL301" s="17"/>
      <c r="AM301" s="1"/>
      <c r="AN301" s="17"/>
      <c r="AO301" s="1"/>
      <c r="AP301" s="1"/>
      <c r="AQ301" s="17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6"/>
      <c r="AL302" s="17"/>
      <c r="AM302" s="1"/>
      <c r="AN302" s="17"/>
      <c r="AO302" s="1"/>
      <c r="AP302" s="1"/>
      <c r="AQ302" s="17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6"/>
      <c r="AL303" s="17"/>
      <c r="AM303" s="1"/>
      <c r="AN303" s="17"/>
      <c r="AO303" s="1"/>
      <c r="AP303" s="1"/>
      <c r="AQ303" s="17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6"/>
      <c r="AL304" s="17"/>
      <c r="AM304" s="1"/>
      <c r="AN304" s="17"/>
      <c r="AO304" s="1"/>
      <c r="AP304" s="1"/>
      <c r="AQ304" s="17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6"/>
      <c r="AL305" s="17"/>
      <c r="AM305" s="1"/>
      <c r="AN305" s="17"/>
      <c r="AO305" s="1"/>
      <c r="AP305" s="1"/>
      <c r="AQ305" s="17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6"/>
      <c r="AL306" s="17"/>
      <c r="AM306" s="1"/>
      <c r="AN306" s="17"/>
      <c r="AO306" s="1"/>
      <c r="AP306" s="1"/>
      <c r="AQ306" s="17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6"/>
      <c r="AL307" s="17"/>
      <c r="AM307" s="1"/>
      <c r="AN307" s="17"/>
      <c r="AO307" s="1"/>
      <c r="AP307" s="1"/>
      <c r="AQ307" s="17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6"/>
      <c r="AL308" s="17"/>
      <c r="AM308" s="1"/>
      <c r="AN308" s="17"/>
      <c r="AO308" s="1"/>
      <c r="AP308" s="1"/>
      <c r="AQ308" s="17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6"/>
      <c r="AL309" s="17"/>
      <c r="AM309" s="1"/>
      <c r="AN309" s="17"/>
      <c r="AO309" s="1"/>
      <c r="AP309" s="1"/>
      <c r="AQ309" s="17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6"/>
      <c r="AL310" s="17"/>
      <c r="AM310" s="1"/>
      <c r="AN310" s="17"/>
      <c r="AO310" s="1"/>
      <c r="AP310" s="1"/>
      <c r="AQ310" s="17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6"/>
      <c r="AL311" s="17"/>
      <c r="AM311" s="1"/>
      <c r="AN311" s="17"/>
      <c r="AO311" s="1"/>
      <c r="AP311" s="1"/>
      <c r="AQ311" s="17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6"/>
      <c r="AL312" s="17"/>
      <c r="AM312" s="1"/>
      <c r="AN312" s="17"/>
      <c r="AO312" s="1"/>
      <c r="AP312" s="1"/>
      <c r="AQ312" s="17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6"/>
      <c r="AL313" s="17"/>
      <c r="AM313" s="1"/>
      <c r="AN313" s="17"/>
      <c r="AO313" s="1"/>
      <c r="AP313" s="1"/>
      <c r="AQ313" s="17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6"/>
      <c r="AL314" s="17"/>
      <c r="AM314" s="1"/>
      <c r="AN314" s="17"/>
      <c r="AO314" s="1"/>
      <c r="AP314" s="1"/>
      <c r="AQ314" s="17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6"/>
      <c r="AL315" s="17"/>
      <c r="AM315" s="1"/>
      <c r="AN315" s="17"/>
      <c r="AO315" s="1"/>
      <c r="AP315" s="1"/>
      <c r="AQ315" s="17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6"/>
      <c r="AL316" s="17"/>
      <c r="AM316" s="1"/>
      <c r="AN316" s="17"/>
      <c r="AO316" s="1"/>
      <c r="AP316" s="1"/>
      <c r="AQ316" s="17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6"/>
      <c r="AL317" s="17"/>
      <c r="AM317" s="1"/>
      <c r="AN317" s="17"/>
      <c r="AO317" s="1"/>
      <c r="AP317" s="1"/>
      <c r="AQ317" s="17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6"/>
      <c r="AL318" s="17"/>
      <c r="AM318" s="1"/>
      <c r="AN318" s="17"/>
      <c r="AO318" s="1"/>
      <c r="AP318" s="1"/>
      <c r="AQ318" s="17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6"/>
      <c r="AL319" s="17"/>
      <c r="AM319" s="1"/>
      <c r="AN319" s="17"/>
      <c r="AO319" s="1"/>
      <c r="AP319" s="1"/>
      <c r="AQ319" s="17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6"/>
      <c r="AL320" s="17"/>
      <c r="AM320" s="1"/>
      <c r="AN320" s="17"/>
      <c r="AO320" s="1"/>
      <c r="AP320" s="1"/>
      <c r="AQ320" s="17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6"/>
      <c r="AL321" s="17"/>
      <c r="AM321" s="1"/>
      <c r="AN321" s="17"/>
      <c r="AO321" s="1"/>
      <c r="AP321" s="1"/>
      <c r="AQ321" s="17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6"/>
      <c r="AL322" s="17"/>
      <c r="AM322" s="1"/>
      <c r="AN322" s="17"/>
      <c r="AO322" s="1"/>
      <c r="AP322" s="1"/>
      <c r="AQ322" s="17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6"/>
      <c r="AL323" s="17"/>
      <c r="AM323" s="1"/>
      <c r="AN323" s="17"/>
      <c r="AO323" s="1"/>
      <c r="AP323" s="1"/>
      <c r="AQ323" s="17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6"/>
      <c r="AL324" s="17"/>
      <c r="AM324" s="1"/>
      <c r="AN324" s="17"/>
      <c r="AO324" s="1"/>
      <c r="AP324" s="1"/>
      <c r="AQ324" s="17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6"/>
      <c r="AL325" s="17"/>
      <c r="AM325" s="1"/>
      <c r="AN325" s="17"/>
      <c r="AO325" s="1"/>
      <c r="AP325" s="1"/>
      <c r="AQ325" s="17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6"/>
      <c r="AL326" s="17"/>
      <c r="AM326" s="1"/>
      <c r="AN326" s="17"/>
      <c r="AO326" s="1"/>
      <c r="AP326" s="1"/>
      <c r="AQ326" s="17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6"/>
      <c r="AL327" s="17"/>
      <c r="AM327" s="1"/>
      <c r="AN327" s="17"/>
      <c r="AO327" s="1"/>
      <c r="AP327" s="1"/>
      <c r="AQ327" s="17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6"/>
      <c r="AL328" s="17"/>
      <c r="AM328" s="1"/>
      <c r="AN328" s="17"/>
      <c r="AO328" s="1"/>
      <c r="AP328" s="1"/>
      <c r="AQ328" s="17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6"/>
      <c r="AL329" s="17"/>
      <c r="AM329" s="1"/>
      <c r="AN329" s="17"/>
      <c r="AO329" s="1"/>
      <c r="AP329" s="1"/>
      <c r="AQ329" s="17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6"/>
      <c r="AL330" s="17"/>
      <c r="AM330" s="1"/>
      <c r="AN330" s="17"/>
      <c r="AO330" s="1"/>
      <c r="AP330" s="1"/>
      <c r="AQ330" s="17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6"/>
      <c r="AL331" s="17"/>
      <c r="AM331" s="1"/>
      <c r="AN331" s="17"/>
      <c r="AO331" s="1"/>
      <c r="AP331" s="1"/>
      <c r="AQ331" s="17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6"/>
      <c r="AL332" s="17"/>
      <c r="AM332" s="1"/>
      <c r="AN332" s="17"/>
      <c r="AO332" s="1"/>
      <c r="AP332" s="1"/>
      <c r="AQ332" s="17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6"/>
      <c r="AL333" s="17"/>
      <c r="AM333" s="1"/>
      <c r="AN333" s="17"/>
      <c r="AO333" s="1"/>
      <c r="AP333" s="1"/>
      <c r="AQ333" s="17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6"/>
      <c r="AL334" s="17"/>
      <c r="AM334" s="1"/>
      <c r="AN334" s="17"/>
      <c r="AO334" s="1"/>
      <c r="AP334" s="1"/>
      <c r="AQ334" s="17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6"/>
      <c r="AL335" s="17"/>
      <c r="AM335" s="1"/>
      <c r="AN335" s="17"/>
      <c r="AO335" s="1"/>
      <c r="AP335" s="1"/>
      <c r="AQ335" s="17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6"/>
      <c r="AL336" s="17"/>
      <c r="AM336" s="1"/>
      <c r="AN336" s="17"/>
      <c r="AO336" s="1"/>
      <c r="AP336" s="1"/>
      <c r="AQ336" s="17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6"/>
      <c r="AL337" s="17"/>
      <c r="AM337" s="1"/>
      <c r="AN337" s="17"/>
      <c r="AO337" s="1"/>
      <c r="AP337" s="1"/>
      <c r="AQ337" s="17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6"/>
      <c r="AL338" s="17"/>
      <c r="AM338" s="1"/>
      <c r="AN338" s="17"/>
      <c r="AO338" s="1"/>
      <c r="AP338" s="1"/>
      <c r="AQ338" s="17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6"/>
      <c r="AL339" s="17"/>
      <c r="AM339" s="1"/>
      <c r="AN339" s="17"/>
      <c r="AO339" s="1"/>
      <c r="AP339" s="1"/>
      <c r="AQ339" s="17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6"/>
      <c r="AL340" s="17"/>
      <c r="AM340" s="1"/>
      <c r="AN340" s="17"/>
      <c r="AO340" s="1"/>
      <c r="AP340" s="1"/>
      <c r="AQ340" s="17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6"/>
      <c r="AL341" s="17"/>
      <c r="AM341" s="1"/>
      <c r="AN341" s="17"/>
      <c r="AO341" s="1"/>
      <c r="AP341" s="1"/>
      <c r="AQ341" s="17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6"/>
      <c r="AL342" s="17"/>
      <c r="AM342" s="1"/>
      <c r="AN342" s="17"/>
      <c r="AO342" s="1"/>
      <c r="AP342" s="1"/>
      <c r="AQ342" s="17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6"/>
      <c r="AL343" s="17"/>
      <c r="AM343" s="1"/>
      <c r="AN343" s="17"/>
      <c r="AO343" s="1"/>
      <c r="AP343" s="1"/>
      <c r="AQ343" s="17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6"/>
      <c r="AL344" s="17"/>
      <c r="AM344" s="1"/>
      <c r="AN344" s="17"/>
      <c r="AO344" s="1"/>
      <c r="AP344" s="1"/>
      <c r="AQ344" s="17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6"/>
      <c r="AL345" s="17"/>
      <c r="AM345" s="1"/>
      <c r="AN345" s="17"/>
      <c r="AO345" s="1"/>
      <c r="AP345" s="1"/>
      <c r="AQ345" s="17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6"/>
      <c r="AL346" s="17"/>
      <c r="AM346" s="1"/>
      <c r="AN346" s="17"/>
      <c r="AO346" s="1"/>
      <c r="AP346" s="1"/>
      <c r="AQ346" s="17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6"/>
      <c r="AL347" s="17"/>
      <c r="AM347" s="1"/>
      <c r="AN347" s="17"/>
      <c r="AO347" s="1"/>
      <c r="AP347" s="1"/>
      <c r="AQ347" s="17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6"/>
      <c r="AL348" s="17"/>
      <c r="AM348" s="1"/>
      <c r="AN348" s="17"/>
      <c r="AO348" s="1"/>
      <c r="AP348" s="1"/>
      <c r="AQ348" s="17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6"/>
      <c r="AL349" s="17"/>
      <c r="AM349" s="1"/>
      <c r="AN349" s="17"/>
      <c r="AO349" s="1"/>
      <c r="AP349" s="1"/>
      <c r="AQ349" s="17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6"/>
      <c r="AL350" s="17"/>
      <c r="AM350" s="1"/>
      <c r="AN350" s="17"/>
      <c r="AO350" s="1"/>
      <c r="AP350" s="1"/>
      <c r="AQ350" s="17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6"/>
      <c r="AL351" s="17"/>
      <c r="AM351" s="1"/>
      <c r="AN351" s="17"/>
      <c r="AO351" s="1"/>
      <c r="AP351" s="1"/>
      <c r="AQ351" s="17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6"/>
      <c r="AL352" s="17"/>
      <c r="AM352" s="1"/>
      <c r="AN352" s="17"/>
      <c r="AO352" s="1"/>
      <c r="AP352" s="1"/>
      <c r="AQ352" s="17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6"/>
      <c r="AL353" s="17"/>
      <c r="AM353" s="1"/>
      <c r="AN353" s="17"/>
      <c r="AO353" s="1"/>
      <c r="AP353" s="1"/>
      <c r="AQ353" s="17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6"/>
      <c r="AL354" s="17"/>
      <c r="AM354" s="1"/>
      <c r="AN354" s="17"/>
      <c r="AO354" s="1"/>
      <c r="AP354" s="1"/>
      <c r="AQ354" s="17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6"/>
      <c r="AL355" s="17"/>
      <c r="AM355" s="1"/>
      <c r="AN355" s="17"/>
      <c r="AO355" s="1"/>
      <c r="AP355" s="1"/>
      <c r="AQ355" s="17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6"/>
      <c r="AL356" s="17"/>
      <c r="AM356" s="1"/>
      <c r="AN356" s="17"/>
      <c r="AO356" s="1"/>
      <c r="AP356" s="1"/>
      <c r="AQ356" s="17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6"/>
      <c r="AL357" s="17"/>
      <c r="AM357" s="1"/>
      <c r="AN357" s="17"/>
      <c r="AO357" s="1"/>
      <c r="AP357" s="1"/>
      <c r="AQ357" s="17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6"/>
      <c r="AL358" s="17"/>
      <c r="AM358" s="1"/>
      <c r="AN358" s="17"/>
      <c r="AO358" s="1"/>
      <c r="AP358" s="1"/>
      <c r="AQ358" s="17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6"/>
      <c r="AL359" s="17"/>
      <c r="AM359" s="1"/>
      <c r="AN359" s="17"/>
      <c r="AO359" s="1"/>
      <c r="AP359" s="1"/>
      <c r="AQ359" s="17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6"/>
      <c r="AL360" s="17"/>
      <c r="AM360" s="1"/>
      <c r="AN360" s="17"/>
      <c r="AO360" s="1"/>
      <c r="AP360" s="1"/>
      <c r="AQ360" s="17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6"/>
      <c r="AL361" s="17"/>
      <c r="AM361" s="1"/>
      <c r="AN361" s="17"/>
      <c r="AO361" s="1"/>
      <c r="AP361" s="1"/>
      <c r="AQ361" s="17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6"/>
      <c r="AL362" s="17"/>
      <c r="AM362" s="1"/>
      <c r="AN362" s="17"/>
      <c r="AO362" s="1"/>
      <c r="AP362" s="1"/>
      <c r="AQ362" s="17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6"/>
      <c r="AL363" s="17"/>
      <c r="AM363" s="1"/>
      <c r="AN363" s="17"/>
      <c r="AO363" s="1"/>
      <c r="AP363" s="1"/>
      <c r="AQ363" s="17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6"/>
      <c r="AL364" s="17"/>
      <c r="AM364" s="1"/>
      <c r="AN364" s="17"/>
      <c r="AO364" s="1"/>
      <c r="AP364" s="1"/>
      <c r="AQ364" s="17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6"/>
      <c r="AL365" s="17"/>
      <c r="AM365" s="1"/>
      <c r="AN365" s="17"/>
      <c r="AO365" s="1"/>
      <c r="AP365" s="1"/>
      <c r="AQ365" s="17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6"/>
      <c r="AL366" s="17"/>
      <c r="AM366" s="1"/>
      <c r="AN366" s="17"/>
      <c r="AO366" s="1"/>
      <c r="AP366" s="1"/>
      <c r="AQ366" s="17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6"/>
      <c r="AL367" s="17"/>
      <c r="AM367" s="1"/>
      <c r="AN367" s="17"/>
      <c r="AO367" s="1"/>
      <c r="AP367" s="1"/>
      <c r="AQ367" s="17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6"/>
      <c r="AL368" s="17"/>
      <c r="AM368" s="1"/>
      <c r="AN368" s="17"/>
      <c r="AO368" s="1"/>
      <c r="AP368" s="1"/>
      <c r="AQ368" s="17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6"/>
      <c r="AL369" s="17"/>
      <c r="AM369" s="1"/>
      <c r="AN369" s="17"/>
      <c r="AO369" s="1"/>
      <c r="AP369" s="1"/>
      <c r="AQ369" s="17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6"/>
      <c r="AL370" s="17"/>
      <c r="AM370" s="1"/>
      <c r="AN370" s="17"/>
      <c r="AO370" s="1"/>
      <c r="AP370" s="1"/>
      <c r="AQ370" s="17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6"/>
      <c r="AL371" s="17"/>
      <c r="AM371" s="1"/>
      <c r="AN371" s="17"/>
      <c r="AO371" s="1"/>
      <c r="AP371" s="1"/>
      <c r="AQ371" s="17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6"/>
      <c r="AL372" s="17"/>
      <c r="AM372" s="1"/>
      <c r="AN372" s="17"/>
      <c r="AO372" s="1"/>
      <c r="AP372" s="1"/>
      <c r="AQ372" s="17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6"/>
      <c r="AL373" s="17"/>
      <c r="AM373" s="1"/>
      <c r="AN373" s="17"/>
      <c r="AO373" s="1"/>
      <c r="AP373" s="1"/>
      <c r="AQ373" s="17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6"/>
      <c r="AL374" s="17"/>
      <c r="AM374" s="1"/>
      <c r="AN374" s="17"/>
      <c r="AO374" s="1"/>
      <c r="AP374" s="1"/>
      <c r="AQ374" s="17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6"/>
      <c r="AL375" s="17"/>
      <c r="AM375" s="1"/>
      <c r="AN375" s="17"/>
      <c r="AO375" s="1"/>
      <c r="AP375" s="1"/>
      <c r="AQ375" s="17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6"/>
      <c r="AL376" s="17"/>
      <c r="AM376" s="1"/>
      <c r="AN376" s="17"/>
      <c r="AO376" s="1"/>
      <c r="AP376" s="1"/>
      <c r="AQ376" s="17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6"/>
      <c r="AL377" s="17"/>
      <c r="AM377" s="1"/>
      <c r="AN377" s="17"/>
      <c r="AO377" s="1"/>
      <c r="AP377" s="1"/>
      <c r="AQ377" s="17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6"/>
      <c r="AL378" s="17"/>
      <c r="AM378" s="1"/>
      <c r="AN378" s="17"/>
      <c r="AO378" s="1"/>
      <c r="AP378" s="1"/>
      <c r="AQ378" s="17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6"/>
      <c r="AL379" s="17"/>
      <c r="AM379" s="1"/>
      <c r="AN379" s="17"/>
      <c r="AO379" s="1"/>
      <c r="AP379" s="1"/>
      <c r="AQ379" s="17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6"/>
      <c r="AL380" s="17"/>
      <c r="AM380" s="1"/>
      <c r="AN380" s="17"/>
      <c r="AO380" s="1"/>
      <c r="AP380" s="1"/>
      <c r="AQ380" s="17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6"/>
      <c r="AL381" s="17"/>
      <c r="AM381" s="1"/>
      <c r="AN381" s="17"/>
      <c r="AO381" s="1"/>
      <c r="AP381" s="1"/>
      <c r="AQ381" s="17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6"/>
      <c r="AL382" s="17"/>
      <c r="AM382" s="1"/>
      <c r="AN382" s="17"/>
      <c r="AO382" s="1"/>
      <c r="AP382" s="1"/>
      <c r="AQ382" s="17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6"/>
      <c r="AL383" s="17"/>
      <c r="AM383" s="1"/>
      <c r="AN383" s="17"/>
      <c r="AO383" s="1"/>
      <c r="AP383" s="1"/>
      <c r="AQ383" s="17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6"/>
      <c r="AL384" s="17"/>
      <c r="AM384" s="1"/>
      <c r="AN384" s="17"/>
      <c r="AO384" s="1"/>
      <c r="AP384" s="1"/>
      <c r="AQ384" s="17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6"/>
      <c r="AL385" s="17"/>
      <c r="AM385" s="1"/>
      <c r="AN385" s="17"/>
      <c r="AO385" s="1"/>
      <c r="AP385" s="1"/>
      <c r="AQ385" s="17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6"/>
      <c r="AL386" s="17"/>
      <c r="AM386" s="1"/>
      <c r="AN386" s="17"/>
      <c r="AO386" s="1"/>
      <c r="AP386" s="1"/>
      <c r="AQ386" s="17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6"/>
      <c r="AL387" s="17"/>
      <c r="AM387" s="1"/>
      <c r="AN387" s="17"/>
      <c r="AO387" s="1"/>
      <c r="AP387" s="1"/>
      <c r="AQ387" s="17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6"/>
      <c r="AL388" s="17"/>
      <c r="AM388" s="1"/>
      <c r="AN388" s="17"/>
      <c r="AO388" s="1"/>
      <c r="AP388" s="1"/>
      <c r="AQ388" s="17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6"/>
      <c r="AL389" s="17"/>
      <c r="AM389" s="1"/>
      <c r="AN389" s="17"/>
      <c r="AO389" s="1"/>
      <c r="AP389" s="1"/>
      <c r="AQ389" s="17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6"/>
      <c r="AL390" s="17"/>
      <c r="AM390" s="1"/>
      <c r="AN390" s="17"/>
      <c r="AO390" s="1"/>
      <c r="AP390" s="1"/>
      <c r="AQ390" s="17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6"/>
      <c r="AL391" s="17"/>
      <c r="AM391" s="1"/>
      <c r="AN391" s="17"/>
      <c r="AO391" s="1"/>
      <c r="AP391" s="1"/>
      <c r="AQ391" s="17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6"/>
      <c r="AL392" s="17"/>
      <c r="AM392" s="1"/>
      <c r="AN392" s="17"/>
      <c r="AO392" s="1"/>
      <c r="AP392" s="1"/>
      <c r="AQ392" s="17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6"/>
      <c r="AL393" s="17"/>
      <c r="AM393" s="1"/>
      <c r="AN393" s="17"/>
      <c r="AO393" s="1"/>
      <c r="AP393" s="1"/>
      <c r="AQ393" s="17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6"/>
      <c r="AL394" s="17"/>
      <c r="AM394" s="1"/>
      <c r="AN394" s="17"/>
      <c r="AO394" s="1"/>
      <c r="AP394" s="1"/>
      <c r="AQ394" s="17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6"/>
      <c r="AL395" s="17"/>
      <c r="AM395" s="1"/>
      <c r="AN395" s="17"/>
      <c r="AO395" s="1"/>
      <c r="AP395" s="1"/>
      <c r="AQ395" s="17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6"/>
      <c r="AL396" s="17"/>
      <c r="AM396" s="1"/>
      <c r="AN396" s="17"/>
      <c r="AO396" s="1"/>
      <c r="AP396" s="1"/>
      <c r="AQ396" s="17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6"/>
      <c r="AL397" s="17"/>
      <c r="AM397" s="1"/>
      <c r="AN397" s="17"/>
      <c r="AO397" s="1"/>
      <c r="AP397" s="1"/>
      <c r="AQ397" s="17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6"/>
      <c r="AL398" s="17"/>
      <c r="AM398" s="1"/>
      <c r="AN398" s="17"/>
      <c r="AO398" s="1"/>
      <c r="AP398" s="1"/>
      <c r="AQ398" s="17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6"/>
      <c r="AL399" s="17"/>
      <c r="AM399" s="1"/>
      <c r="AN399" s="17"/>
      <c r="AO399" s="1"/>
      <c r="AP399" s="1"/>
      <c r="AQ399" s="17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6"/>
      <c r="AL400" s="17"/>
      <c r="AM400" s="1"/>
      <c r="AN400" s="17"/>
      <c r="AO400" s="1"/>
      <c r="AP400" s="1"/>
      <c r="AQ400" s="17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6"/>
      <c r="AL401" s="17"/>
      <c r="AM401" s="1"/>
      <c r="AN401" s="17"/>
      <c r="AO401" s="1"/>
      <c r="AP401" s="1"/>
      <c r="AQ401" s="17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6"/>
      <c r="AL402" s="17"/>
      <c r="AM402" s="1"/>
      <c r="AN402" s="17"/>
      <c r="AO402" s="1"/>
      <c r="AP402" s="1"/>
      <c r="AQ402" s="17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6"/>
      <c r="AL403" s="17"/>
      <c r="AM403" s="1"/>
      <c r="AN403" s="17"/>
      <c r="AO403" s="1"/>
      <c r="AP403" s="1"/>
      <c r="AQ403" s="17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6"/>
      <c r="AL404" s="17"/>
      <c r="AM404" s="1"/>
      <c r="AN404" s="17"/>
      <c r="AO404" s="1"/>
      <c r="AP404" s="1"/>
      <c r="AQ404" s="17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6"/>
      <c r="AL405" s="17"/>
      <c r="AM405" s="1"/>
      <c r="AN405" s="17"/>
      <c r="AO405" s="1"/>
      <c r="AP405" s="1"/>
      <c r="AQ405" s="17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6"/>
      <c r="AL406" s="17"/>
      <c r="AM406" s="1"/>
      <c r="AN406" s="17"/>
      <c r="AO406" s="1"/>
      <c r="AP406" s="1"/>
      <c r="AQ406" s="17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6"/>
      <c r="AL407" s="17"/>
      <c r="AM407" s="1"/>
      <c r="AN407" s="17"/>
      <c r="AO407" s="1"/>
      <c r="AP407" s="1"/>
      <c r="AQ407" s="17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6"/>
      <c r="AL408" s="17"/>
      <c r="AM408" s="1"/>
      <c r="AN408" s="17"/>
      <c r="AO408" s="1"/>
      <c r="AP408" s="1"/>
      <c r="AQ408" s="17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6"/>
      <c r="AL409" s="17"/>
      <c r="AM409" s="1"/>
      <c r="AN409" s="17"/>
      <c r="AO409" s="1"/>
      <c r="AP409" s="1"/>
      <c r="AQ409" s="17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6"/>
      <c r="AL410" s="17"/>
      <c r="AM410" s="1"/>
      <c r="AN410" s="17"/>
      <c r="AO410" s="1"/>
      <c r="AP410" s="1"/>
      <c r="AQ410" s="17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6"/>
      <c r="AL411" s="17"/>
      <c r="AM411" s="1"/>
      <c r="AN411" s="17"/>
      <c r="AO411" s="1"/>
      <c r="AP411" s="1"/>
      <c r="AQ411" s="17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6"/>
      <c r="AL412" s="17"/>
      <c r="AM412" s="1"/>
      <c r="AN412" s="17"/>
      <c r="AO412" s="1"/>
      <c r="AP412" s="1"/>
      <c r="AQ412" s="17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6"/>
      <c r="AL413" s="17"/>
      <c r="AM413" s="1"/>
      <c r="AN413" s="17"/>
      <c r="AO413" s="1"/>
      <c r="AP413" s="1"/>
      <c r="AQ413" s="17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6"/>
      <c r="AL414" s="17"/>
      <c r="AM414" s="1"/>
      <c r="AN414" s="17"/>
      <c r="AO414" s="1"/>
      <c r="AP414" s="1"/>
      <c r="AQ414" s="17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6"/>
      <c r="AL415" s="17"/>
      <c r="AM415" s="1"/>
      <c r="AN415" s="17"/>
      <c r="AO415" s="1"/>
      <c r="AP415" s="1"/>
      <c r="AQ415" s="17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6"/>
      <c r="AL416" s="17"/>
      <c r="AM416" s="1"/>
      <c r="AN416" s="17"/>
      <c r="AO416" s="1"/>
      <c r="AP416" s="1"/>
      <c r="AQ416" s="17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6"/>
      <c r="AL417" s="17"/>
      <c r="AM417" s="1"/>
      <c r="AN417" s="17"/>
      <c r="AO417" s="1"/>
      <c r="AP417" s="1"/>
      <c r="AQ417" s="17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6"/>
      <c r="AL418" s="17"/>
      <c r="AM418" s="1"/>
      <c r="AN418" s="17"/>
      <c r="AO418" s="1"/>
      <c r="AP418" s="1"/>
      <c r="AQ418" s="17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6"/>
      <c r="AL419" s="17"/>
      <c r="AM419" s="1"/>
      <c r="AN419" s="17"/>
      <c r="AO419" s="1"/>
      <c r="AP419" s="1"/>
      <c r="AQ419" s="17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6"/>
      <c r="AL420" s="17"/>
      <c r="AM420" s="1"/>
      <c r="AN420" s="17"/>
      <c r="AO420" s="1"/>
      <c r="AP420" s="1"/>
      <c r="AQ420" s="17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6"/>
      <c r="AL421" s="17"/>
      <c r="AM421" s="1"/>
      <c r="AN421" s="17"/>
      <c r="AO421" s="1"/>
      <c r="AP421" s="1"/>
      <c r="AQ421" s="17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6"/>
      <c r="AL422" s="17"/>
      <c r="AM422" s="1"/>
      <c r="AN422" s="17"/>
      <c r="AO422" s="1"/>
      <c r="AP422" s="1"/>
      <c r="AQ422" s="17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6"/>
      <c r="AL423" s="17"/>
      <c r="AM423" s="1"/>
      <c r="AN423" s="17"/>
      <c r="AO423" s="1"/>
      <c r="AP423" s="1"/>
      <c r="AQ423" s="17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6"/>
      <c r="AL424" s="17"/>
      <c r="AM424" s="1"/>
      <c r="AN424" s="17"/>
      <c r="AO424" s="1"/>
      <c r="AP424" s="1"/>
      <c r="AQ424" s="17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6"/>
      <c r="AL425" s="17"/>
      <c r="AM425" s="1"/>
      <c r="AN425" s="17"/>
      <c r="AO425" s="1"/>
      <c r="AP425" s="1"/>
      <c r="AQ425" s="17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6"/>
      <c r="AL426" s="17"/>
      <c r="AM426" s="1"/>
      <c r="AN426" s="17"/>
      <c r="AO426" s="1"/>
      <c r="AP426" s="1"/>
      <c r="AQ426" s="17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6"/>
      <c r="AL427" s="17"/>
      <c r="AM427" s="1"/>
      <c r="AN427" s="17"/>
      <c r="AO427" s="1"/>
      <c r="AP427" s="1"/>
      <c r="AQ427" s="17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6"/>
      <c r="AL428" s="17"/>
      <c r="AM428" s="1"/>
      <c r="AN428" s="17"/>
      <c r="AO428" s="1"/>
      <c r="AP428" s="1"/>
      <c r="AQ428" s="17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6"/>
      <c r="AL429" s="17"/>
      <c r="AM429" s="1"/>
      <c r="AN429" s="17"/>
      <c r="AO429" s="1"/>
      <c r="AP429" s="1"/>
      <c r="AQ429" s="17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6"/>
      <c r="AL430" s="17"/>
      <c r="AM430" s="1"/>
      <c r="AN430" s="17"/>
      <c r="AO430" s="1"/>
      <c r="AP430" s="1"/>
      <c r="AQ430" s="17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6"/>
      <c r="AL431" s="17"/>
      <c r="AM431" s="1"/>
      <c r="AN431" s="17"/>
      <c r="AO431" s="1"/>
      <c r="AP431" s="1"/>
      <c r="AQ431" s="17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6"/>
      <c r="AL432" s="17"/>
      <c r="AM432" s="1"/>
      <c r="AN432" s="17"/>
      <c r="AO432" s="1"/>
      <c r="AP432" s="1"/>
      <c r="AQ432" s="17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6"/>
      <c r="AL433" s="17"/>
      <c r="AM433" s="1"/>
      <c r="AN433" s="17"/>
      <c r="AO433" s="1"/>
      <c r="AP433" s="1"/>
      <c r="AQ433" s="17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6"/>
      <c r="AL434" s="17"/>
      <c r="AM434" s="1"/>
      <c r="AN434" s="17"/>
      <c r="AO434" s="1"/>
      <c r="AP434" s="1"/>
      <c r="AQ434" s="17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6"/>
      <c r="AL435" s="17"/>
      <c r="AM435" s="1"/>
      <c r="AN435" s="17"/>
      <c r="AO435" s="1"/>
      <c r="AP435" s="1"/>
      <c r="AQ435" s="17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6"/>
      <c r="AL436" s="17"/>
      <c r="AM436" s="1"/>
      <c r="AN436" s="17"/>
      <c r="AO436" s="1"/>
      <c r="AP436" s="1"/>
      <c r="AQ436" s="17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6"/>
      <c r="AL437" s="17"/>
      <c r="AM437" s="1"/>
      <c r="AN437" s="17"/>
      <c r="AO437" s="1"/>
      <c r="AP437" s="1"/>
      <c r="AQ437" s="17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6"/>
      <c r="AL438" s="17"/>
      <c r="AM438" s="1"/>
      <c r="AN438" s="17"/>
      <c r="AO438" s="1"/>
      <c r="AP438" s="1"/>
      <c r="AQ438" s="17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6"/>
      <c r="AL439" s="17"/>
      <c r="AM439" s="1"/>
      <c r="AN439" s="17"/>
      <c r="AO439" s="1"/>
      <c r="AP439" s="1"/>
      <c r="AQ439" s="17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6"/>
      <c r="AL440" s="17"/>
      <c r="AM440" s="1"/>
      <c r="AN440" s="17"/>
      <c r="AO440" s="1"/>
      <c r="AP440" s="1"/>
      <c r="AQ440" s="17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6"/>
      <c r="AL441" s="17"/>
      <c r="AM441" s="1"/>
      <c r="AN441" s="17"/>
      <c r="AO441" s="1"/>
      <c r="AP441" s="1"/>
      <c r="AQ441" s="17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6"/>
      <c r="AL442" s="17"/>
      <c r="AM442" s="1"/>
      <c r="AN442" s="17"/>
      <c r="AO442" s="1"/>
      <c r="AP442" s="1"/>
      <c r="AQ442" s="17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6"/>
      <c r="AL443" s="17"/>
      <c r="AM443" s="1"/>
      <c r="AN443" s="17"/>
      <c r="AO443" s="1"/>
      <c r="AP443" s="1"/>
      <c r="AQ443" s="17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6"/>
      <c r="AL444" s="17"/>
      <c r="AM444" s="1"/>
      <c r="AN444" s="17"/>
      <c r="AO444" s="1"/>
      <c r="AP444" s="1"/>
      <c r="AQ444" s="17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6"/>
      <c r="AL445" s="17"/>
      <c r="AM445" s="1"/>
      <c r="AN445" s="17"/>
      <c r="AO445" s="1"/>
      <c r="AP445" s="1"/>
      <c r="AQ445" s="17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6"/>
      <c r="AL446" s="17"/>
      <c r="AM446" s="1"/>
      <c r="AN446" s="17"/>
      <c r="AO446" s="1"/>
      <c r="AP446" s="1"/>
      <c r="AQ446" s="17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6"/>
      <c r="AL447" s="17"/>
      <c r="AM447" s="1"/>
      <c r="AN447" s="17"/>
      <c r="AO447" s="1"/>
      <c r="AP447" s="1"/>
      <c r="AQ447" s="17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6"/>
      <c r="AL448" s="17"/>
      <c r="AM448" s="1"/>
      <c r="AN448" s="17"/>
      <c r="AO448" s="1"/>
      <c r="AP448" s="1"/>
      <c r="AQ448" s="17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6"/>
      <c r="AL449" s="17"/>
      <c r="AM449" s="1"/>
      <c r="AN449" s="17"/>
      <c r="AO449" s="1"/>
      <c r="AP449" s="1"/>
      <c r="AQ449" s="17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6"/>
      <c r="AL450" s="17"/>
      <c r="AM450" s="1"/>
      <c r="AN450" s="17"/>
      <c r="AO450" s="1"/>
      <c r="AP450" s="1"/>
      <c r="AQ450" s="17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6"/>
      <c r="AL451" s="17"/>
      <c r="AM451" s="1"/>
      <c r="AN451" s="17"/>
      <c r="AO451" s="1"/>
      <c r="AP451" s="1"/>
      <c r="AQ451" s="17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6"/>
      <c r="AL452" s="17"/>
      <c r="AM452" s="1"/>
      <c r="AN452" s="17"/>
      <c r="AO452" s="1"/>
      <c r="AP452" s="1"/>
      <c r="AQ452" s="17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6"/>
      <c r="AL453" s="17"/>
      <c r="AM453" s="1"/>
      <c r="AN453" s="17"/>
      <c r="AO453" s="1"/>
      <c r="AP453" s="1"/>
      <c r="AQ453" s="17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6"/>
      <c r="AL454" s="17"/>
      <c r="AM454" s="1"/>
      <c r="AN454" s="17"/>
      <c r="AO454" s="1"/>
      <c r="AP454" s="1"/>
      <c r="AQ454" s="17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6"/>
      <c r="AL455" s="17"/>
      <c r="AM455" s="1"/>
      <c r="AN455" s="17"/>
      <c r="AO455" s="1"/>
      <c r="AP455" s="1"/>
      <c r="AQ455" s="17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6"/>
      <c r="AL456" s="17"/>
      <c r="AM456" s="1"/>
      <c r="AN456" s="17"/>
      <c r="AO456" s="1"/>
      <c r="AP456" s="1"/>
      <c r="AQ456" s="17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6"/>
      <c r="AL457" s="17"/>
      <c r="AM457" s="1"/>
      <c r="AN457" s="17"/>
      <c r="AO457" s="1"/>
      <c r="AP457" s="1"/>
      <c r="AQ457" s="17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6"/>
      <c r="AL458" s="17"/>
      <c r="AM458" s="1"/>
      <c r="AN458" s="17"/>
      <c r="AO458" s="1"/>
      <c r="AP458" s="1"/>
      <c r="AQ458" s="17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6"/>
      <c r="AL459" s="17"/>
      <c r="AM459" s="1"/>
      <c r="AN459" s="17"/>
      <c r="AO459" s="1"/>
      <c r="AP459" s="1"/>
      <c r="AQ459" s="17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6"/>
      <c r="AL460" s="17"/>
      <c r="AM460" s="1"/>
      <c r="AN460" s="17"/>
      <c r="AO460" s="1"/>
      <c r="AP460" s="1"/>
      <c r="AQ460" s="17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6"/>
      <c r="AL461" s="17"/>
      <c r="AM461" s="1"/>
      <c r="AN461" s="17"/>
      <c r="AO461" s="1"/>
      <c r="AP461" s="1"/>
      <c r="AQ461" s="17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6"/>
      <c r="AL462" s="17"/>
      <c r="AM462" s="1"/>
      <c r="AN462" s="17"/>
      <c r="AO462" s="1"/>
      <c r="AP462" s="1"/>
      <c r="AQ462" s="17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6"/>
      <c r="AL463" s="17"/>
      <c r="AM463" s="1"/>
      <c r="AN463" s="17"/>
      <c r="AO463" s="1"/>
      <c r="AP463" s="1"/>
      <c r="AQ463" s="17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6"/>
      <c r="AL464" s="17"/>
      <c r="AM464" s="1"/>
      <c r="AN464" s="17"/>
      <c r="AO464" s="1"/>
      <c r="AP464" s="1"/>
      <c r="AQ464" s="17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6"/>
      <c r="AL465" s="17"/>
      <c r="AM465" s="1"/>
      <c r="AN465" s="17"/>
      <c r="AO465" s="1"/>
      <c r="AP465" s="1"/>
      <c r="AQ465" s="17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6"/>
      <c r="AL466" s="17"/>
      <c r="AM466" s="1"/>
      <c r="AN466" s="17"/>
      <c r="AO466" s="1"/>
      <c r="AP466" s="1"/>
      <c r="AQ466" s="17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6"/>
      <c r="AL467" s="17"/>
      <c r="AM467" s="1"/>
      <c r="AN467" s="17"/>
      <c r="AO467" s="1"/>
      <c r="AP467" s="1"/>
      <c r="AQ467" s="17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6"/>
      <c r="AL468" s="17"/>
      <c r="AM468" s="1"/>
      <c r="AN468" s="17"/>
      <c r="AO468" s="1"/>
      <c r="AP468" s="1"/>
      <c r="AQ468" s="17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6"/>
      <c r="AL469" s="17"/>
      <c r="AM469" s="1"/>
      <c r="AN469" s="17"/>
      <c r="AO469" s="1"/>
      <c r="AP469" s="1"/>
      <c r="AQ469" s="17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6"/>
      <c r="AL470" s="17"/>
      <c r="AM470" s="1"/>
      <c r="AN470" s="17"/>
      <c r="AO470" s="1"/>
      <c r="AP470" s="1"/>
      <c r="AQ470" s="17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6"/>
      <c r="AL471" s="17"/>
      <c r="AM471" s="1"/>
      <c r="AN471" s="17"/>
      <c r="AO471" s="1"/>
      <c r="AP471" s="1"/>
      <c r="AQ471" s="17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6"/>
      <c r="AL472" s="17"/>
      <c r="AM472" s="1"/>
      <c r="AN472" s="17"/>
      <c r="AO472" s="1"/>
      <c r="AP472" s="1"/>
      <c r="AQ472" s="17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6"/>
      <c r="AL473" s="17"/>
      <c r="AM473" s="1"/>
      <c r="AN473" s="17"/>
      <c r="AO473" s="1"/>
      <c r="AP473" s="1"/>
      <c r="AQ473" s="17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6"/>
      <c r="AL474" s="17"/>
      <c r="AM474" s="1"/>
      <c r="AN474" s="17"/>
      <c r="AO474" s="1"/>
      <c r="AP474" s="1"/>
      <c r="AQ474" s="17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6"/>
      <c r="AL475" s="17"/>
      <c r="AM475" s="1"/>
      <c r="AN475" s="17"/>
      <c r="AO475" s="1"/>
      <c r="AP475" s="1"/>
      <c r="AQ475" s="17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6"/>
      <c r="AL476" s="17"/>
      <c r="AM476" s="1"/>
      <c r="AN476" s="17"/>
      <c r="AO476" s="1"/>
      <c r="AP476" s="1"/>
      <c r="AQ476" s="17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6"/>
      <c r="AL477" s="17"/>
      <c r="AM477" s="1"/>
      <c r="AN477" s="17"/>
      <c r="AO477" s="1"/>
      <c r="AP477" s="1"/>
      <c r="AQ477" s="17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6"/>
      <c r="AL478" s="17"/>
      <c r="AM478" s="1"/>
      <c r="AN478" s="17"/>
      <c r="AO478" s="1"/>
      <c r="AP478" s="1"/>
      <c r="AQ478" s="17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6"/>
      <c r="AL479" s="17"/>
      <c r="AM479" s="1"/>
      <c r="AN479" s="17"/>
      <c r="AO479" s="1"/>
      <c r="AP479" s="1"/>
      <c r="AQ479" s="17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6"/>
      <c r="AL480" s="17"/>
      <c r="AM480" s="1"/>
      <c r="AN480" s="17"/>
      <c r="AO480" s="1"/>
      <c r="AP480" s="1"/>
      <c r="AQ480" s="17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6"/>
      <c r="AL481" s="17"/>
      <c r="AM481" s="1"/>
      <c r="AN481" s="17"/>
      <c r="AO481" s="1"/>
      <c r="AP481" s="1"/>
      <c r="AQ481" s="17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6"/>
      <c r="AL482" s="17"/>
      <c r="AM482" s="1"/>
      <c r="AN482" s="17"/>
      <c r="AO482" s="1"/>
      <c r="AP482" s="1"/>
      <c r="AQ482" s="17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6"/>
      <c r="AL483" s="17"/>
      <c r="AM483" s="1"/>
      <c r="AN483" s="17"/>
      <c r="AO483" s="1"/>
      <c r="AP483" s="1"/>
      <c r="AQ483" s="17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6"/>
      <c r="AL484" s="17"/>
      <c r="AM484" s="1"/>
      <c r="AN484" s="17"/>
      <c r="AO484" s="1"/>
      <c r="AP484" s="1"/>
      <c r="AQ484" s="17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6"/>
      <c r="AL485" s="17"/>
      <c r="AM485" s="1"/>
      <c r="AN485" s="17"/>
      <c r="AO485" s="1"/>
      <c r="AP485" s="1"/>
      <c r="AQ485" s="17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6"/>
      <c r="AL486" s="17"/>
      <c r="AM486" s="1"/>
      <c r="AN486" s="17"/>
      <c r="AO486" s="1"/>
      <c r="AP486" s="1"/>
      <c r="AQ486" s="17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6"/>
      <c r="AL487" s="17"/>
      <c r="AM487" s="1"/>
      <c r="AN487" s="17"/>
      <c r="AO487" s="1"/>
      <c r="AP487" s="1"/>
      <c r="AQ487" s="17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6"/>
      <c r="AL488" s="17"/>
      <c r="AM488" s="1"/>
      <c r="AN488" s="17"/>
      <c r="AO488" s="1"/>
      <c r="AP488" s="1"/>
      <c r="AQ488" s="17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6"/>
      <c r="AL489" s="17"/>
      <c r="AM489" s="1"/>
      <c r="AN489" s="17"/>
      <c r="AO489" s="1"/>
      <c r="AP489" s="1"/>
      <c r="AQ489" s="17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6"/>
      <c r="AL490" s="17"/>
      <c r="AM490" s="1"/>
      <c r="AN490" s="17"/>
      <c r="AO490" s="1"/>
      <c r="AP490" s="1"/>
      <c r="AQ490" s="17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6"/>
      <c r="AL491" s="17"/>
      <c r="AM491" s="1"/>
      <c r="AN491" s="17"/>
      <c r="AO491" s="1"/>
      <c r="AP491" s="1"/>
      <c r="AQ491" s="17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6"/>
      <c r="AL492" s="17"/>
      <c r="AM492" s="1"/>
      <c r="AN492" s="17"/>
      <c r="AO492" s="1"/>
      <c r="AP492" s="1"/>
      <c r="AQ492" s="17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6"/>
      <c r="AL493" s="17"/>
      <c r="AM493" s="1"/>
      <c r="AN493" s="17"/>
      <c r="AO493" s="1"/>
      <c r="AP493" s="1"/>
      <c r="AQ493" s="17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6"/>
      <c r="AL494" s="17"/>
      <c r="AM494" s="1"/>
      <c r="AN494" s="17"/>
      <c r="AO494" s="1"/>
      <c r="AP494" s="1"/>
      <c r="AQ494" s="17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6"/>
      <c r="AL495" s="17"/>
      <c r="AM495" s="1"/>
      <c r="AN495" s="17"/>
      <c r="AO495" s="1"/>
      <c r="AP495" s="1"/>
      <c r="AQ495" s="17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S500" s="1"/>
      <c r="AT500" s="1"/>
      <c r="AU500" s="1"/>
      <c r="AV500" s="1"/>
      <c r="AW500" s="1"/>
      <c r="AX500" s="1"/>
      <c r="AY500" s="1"/>
      <c r="AZ500" s="1"/>
      <c r="BA500" s="1"/>
    </row>
  </sheetData>
  <autoFilter ref="A3:AI2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2025-10-20T16:47:34Z</dcterms:created>
  <dcterms:modified xsi:type="dcterms:W3CDTF">2025-11-11T12:11:14Z</dcterms:modified>
</cp:coreProperties>
</file>