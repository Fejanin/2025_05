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820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62913"/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<sst xmlns="http://schemas.openxmlformats.org/spreadsheetml/2006/main" count="447" uniqueCount="262">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</sst>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9"/>
  <sheetViews>
    <sheetView tabSelected="1" zoomScale="87" zoomScaleNormal="87" workbookViewId="0">
      <pane ySplit="9" topLeftCell="A159" activePane="bottomLeft" state="frozen"/>
      <selection pane="bottomLeft" activeCell="E185" sqref="E18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45992</v>
      </c>
      <c r="E3" s="7" t="s">
        <v>3</v>
      </c>
      <c r="F3" s="97"/>
      <c r="G3" s="101">
        <v>45995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/>
      <c r="F18" s="23">
        <v>0.4</v>
      </c>
      <c r="G18" s="23">
        <f>E18*0.4</f>
        <v>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>
        <v>20</v>
      </c>
      <c r="F28" s="23">
        <v>1.48</v>
      </c>
      <c r="G28" s="23">
        <f>E28*1</f>
        <v>20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1400</v>
      </c>
      <c r="F35" s="23">
        <v>0.4</v>
      </c>
      <c r="G35" s="23">
        <f>F35*E35</f>
        <v>560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/>
      <c r="F40" s="23">
        <v>0.4</v>
      </c>
      <c r="G40" s="23">
        <f>E40*0.4</f>
        <v>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/>
      <c r="F46" s="23"/>
      <c r="G46" s="23">
        <f>E46</f>
        <v>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/>
      <c r="F53" s="23"/>
      <c r="G53" s="23">
        <f>E53*0.35</f>
        <v>0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7077</v>
      </c>
      <c r="B61" s="70" t="s">
        <v>74</v>
      </c>
      <c r="C61" s="33" t="s">
        <v>27</v>
      </c>
      <c r="D61" s="28">
        <v>1001025507077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/>
      <c r="F62" s="23">
        <v>0.45</v>
      </c>
      <c r="G62" s="23">
        <f>E62*0.41</f>
        <v>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/>
      <c r="F69" s="23"/>
      <c r="G69" s="23">
        <f>E69*0.36</f>
        <v>0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/>
      <c r="F95" s="23">
        <v>0.28000000000000003</v>
      </c>
      <c r="G95" s="23">
        <f>E95*0.28</f>
        <v>0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/>
      <c r="F101" s="23">
        <v>0.28000000000000003</v>
      </c>
      <c r="G101" s="23">
        <f>E101*0.28</f>
        <v>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/>
      <c r="F115" s="23">
        <v>0.35</v>
      </c>
      <c r="G115" s="23">
        <f>E115*0.35</f>
        <v>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/>
      <c r="F118" s="23">
        <v>0.1</v>
      </c>
      <c r="G118" s="23">
        <f>E118*0.1</f>
        <v>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/>
      <c r="F128" s="23">
        <v>0.09</v>
      </c>
      <c r="G128" s="23">
        <f>F128*E128</f>
        <v>0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/>
      <c r="F129" s="23">
        <v>0.15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RIGHT(D141:D267,4)</f>
        <v>5682</v>
      </c>
      <c r="B141" s="27" t="s">
        <v>154</v>
      </c>
      <c r="C141" s="33" t="s">
        <v>27</v>
      </c>
      <c r="D141" s="28">
        <v>1001193115682</v>
      </c>
      <c r="E141" s="24">
        <v>800</v>
      </c>
      <c r="F141" s="23">
        <v>0.12</v>
      </c>
      <c r="G141" s="23">
        <f>E141*0.12</f>
        <v>96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/>
      <c r="F142" s="23">
        <v>0.48749999999999999</v>
      </c>
      <c r="G142" s="23">
        <f>E142*1</f>
        <v>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/>
      <c r="F144" s="23">
        <v>0.25</v>
      </c>
      <c r="G144" s="23">
        <f>E144*0.25</f>
        <v>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/>
      <c r="F145" s="23">
        <v>0.1</v>
      </c>
      <c r="G145" s="23">
        <f>E145*0.1</f>
        <v>0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/>
      <c r="F147" s="23"/>
      <c r="G147" s="23">
        <f>E147*1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>
        <v>250</v>
      </c>
      <c r="F151" s="23"/>
      <c r="G151" s="23">
        <f>E151*1</f>
        <v>250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/>
      <c r="F152" s="23">
        <v>0.4</v>
      </c>
      <c r="G152" s="23">
        <f>E152*0.4</f>
        <v>0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/>
      <c r="F153" s="23">
        <v>0.4</v>
      </c>
      <c r="G153" s="23">
        <f>E153*0.4</f>
        <v>0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/>
      <c r="F155" s="23">
        <v>0.3</v>
      </c>
      <c r="G155" s="23">
        <f>E155*F155</f>
        <v>0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/>
      <c r="F157" s="23">
        <v>0.3</v>
      </c>
      <c r="G157" s="23">
        <f t="shared" si="5"/>
        <v>0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/>
      <c r="F159" s="23">
        <v>0.3</v>
      </c>
      <c r="G159" s="23">
        <f t="shared" si="5"/>
        <v>0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/>
      <c r="F161" s="23">
        <v>0.15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/>
      <c r="F165" s="23">
        <v>0.14000000000000001</v>
      </c>
      <c r="G165" s="23">
        <f>F165*E165</f>
        <v>0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3110</v>
      </c>
      <c r="F185" s="17">
        <f>SUM(F10:F184)</f>
        <v>46.96333333333331</v>
      </c>
      <c r="G185" s="17">
        <f>SUM(G11:G184)</f>
        <v>1179.2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/>
  <mergeCells count="2">
    <mergeCell ref="E1:J1"/>
    <mergeCell ref="G3:J3"/>
  </mergeCells>
  <dataValidations disablePrompts="1" count="2">
    <dataValidation type="textLength" operator="lessThanOrEqual" showInputMessage="1" showErrorMessage="1" sqref="B178">
      <formula1>40</formula1>
    </dataValidation>
    <dataValidation type="textLength" operator="equal" showInputMessage="1" showErrorMessage="1" sqref="D182:D184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154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215</v>
      </c>
    </row>
    <row r="28" spans="2:3" x14ac:dyDescent="0.25">
      <c r="B28" s="78" t="s">
        <v>77</v>
      </c>
      <c r="C28" s="61"/>
    </row>
    <row r="29" spans="2:3" x14ac:dyDescent="0.25">
      <c r="B29" s="45" t="s">
        <v>216</v>
      </c>
    </row>
    <row r="30" spans="2:3" x14ac:dyDescent="0.25">
      <c r="B30" s="70" t="s">
        <v>49</v>
      </c>
    </row>
    <row r="31" spans="2:3" x14ac:dyDescent="0.25">
      <c r="B31" s="66" t="s">
        <v>217</v>
      </c>
      <c r="C31" s="61"/>
    </row>
    <row r="32" spans="2:3" x14ac:dyDescent="0.25">
      <c r="B32" s="79" t="s">
        <v>218</v>
      </c>
      <c r="C32" s="81"/>
    </row>
    <row r="33" spans="2:3" x14ac:dyDescent="0.25">
      <c r="B33" s="79" t="s">
        <v>219</v>
      </c>
      <c r="C33" s="61"/>
    </row>
    <row r="34" spans="2:3" x14ac:dyDescent="0.25">
      <c r="B34" s="66" t="s">
        <v>220</v>
      </c>
      <c r="C34" s="61"/>
    </row>
    <row r="35" spans="2:3" x14ac:dyDescent="0.25">
      <c r="B35" s="27" t="s">
        <v>221</v>
      </c>
    </row>
    <row r="36" spans="2:3" x14ac:dyDescent="0.25">
      <c r="B36" s="27" t="s">
        <v>222</v>
      </c>
    </row>
    <row r="37" spans="2:3" x14ac:dyDescent="0.25">
      <c r="B37" s="79" t="s">
        <v>174</v>
      </c>
      <c r="C37" s="81"/>
    </row>
    <row r="38" spans="2:3" x14ac:dyDescent="0.25">
      <c r="B38" s="66" t="s">
        <v>223</v>
      </c>
      <c r="C38" s="61"/>
    </row>
    <row r="39" spans="2:3" x14ac:dyDescent="0.25">
      <c r="B39" s="27" t="s">
        <v>224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225</v>
      </c>
    </row>
    <row r="45" spans="2:3" x14ac:dyDescent="0.25">
      <c r="B45" s="27" t="s">
        <v>226</v>
      </c>
    </row>
    <row r="46" spans="2:3" x14ac:dyDescent="0.25">
      <c r="B46" s="66" t="s">
        <v>227</v>
      </c>
      <c r="C46" s="61"/>
    </row>
    <row r="47" spans="2:3" x14ac:dyDescent="0.25">
      <c r="B47" s="27" t="s">
        <v>228</v>
      </c>
    </row>
    <row r="48" spans="2:3" x14ac:dyDescent="0.25">
      <c r="B48" s="66" t="s">
        <v>229</v>
      </c>
      <c r="C48" s="61"/>
    </row>
    <row r="49" spans="2:3" x14ac:dyDescent="0.25">
      <c r="B49" s="66" t="s">
        <v>230</v>
      </c>
      <c r="C49" s="61"/>
    </row>
    <row r="50" spans="2:3" x14ac:dyDescent="0.25">
      <c r="B50" s="66" t="s">
        <v>231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232</v>
      </c>
      <c r="C52" s="61"/>
    </row>
    <row r="53" spans="2:3" x14ac:dyDescent="0.25">
      <c r="B53" s="79" t="s">
        <v>233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234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235</v>
      </c>
      <c r="C58" s="61"/>
    </row>
    <row r="59" spans="2:3" x14ac:dyDescent="0.25">
      <c r="B59" s="79" t="s">
        <v>236</v>
      </c>
      <c r="C59" s="61"/>
    </row>
    <row r="60" spans="2:3" x14ac:dyDescent="0.25">
      <c r="B60" s="79" t="s">
        <v>237</v>
      </c>
      <c r="C60" s="81"/>
    </row>
    <row r="61" spans="2:3" x14ac:dyDescent="0.25">
      <c r="B61" s="27" t="s">
        <v>128</v>
      </c>
    </row>
    <row r="62" spans="2:3" x14ac:dyDescent="0.25">
      <c r="B62" s="66" t="s">
        <v>238</v>
      </c>
      <c r="C62" s="61"/>
    </row>
    <row r="63" spans="2:3" x14ac:dyDescent="0.25">
      <c r="B63" s="79" t="s">
        <v>239</v>
      </c>
      <c r="C63" s="81"/>
    </row>
    <row r="64" spans="2:3" x14ac:dyDescent="0.25">
      <c r="B64" s="55" t="s">
        <v>99</v>
      </c>
    </row>
    <row r="65" spans="2:3" x14ac:dyDescent="0.25">
      <c r="B65" s="55" t="s">
        <v>240</v>
      </c>
      <c r="C65" s="61"/>
    </row>
    <row r="66" spans="2:3" x14ac:dyDescent="0.25">
      <c r="B66" s="55" t="s">
        <v>241</v>
      </c>
      <c r="C66" s="61"/>
    </row>
    <row r="67" spans="2:3" x14ac:dyDescent="0.25">
      <c r="B67" s="79" t="s">
        <v>242</v>
      </c>
      <c r="C67" s="61"/>
    </row>
    <row r="68" spans="2:3" x14ac:dyDescent="0.25">
      <c r="B68" s="79" t="s">
        <v>243</v>
      </c>
      <c r="C68" s="61"/>
    </row>
    <row r="69" spans="2:3" x14ac:dyDescent="0.25">
      <c r="B69" s="79" t="s">
        <v>244</v>
      </c>
      <c r="C69" s="61"/>
    </row>
    <row r="70" spans="2:3" x14ac:dyDescent="0.25">
      <c r="B70" s="79" t="s">
        <v>245</v>
      </c>
      <c r="C70" s="61"/>
    </row>
    <row r="71" spans="2:3" x14ac:dyDescent="0.25">
      <c r="B71" s="79" t="s">
        <v>246</v>
      </c>
      <c r="C71" s="61"/>
    </row>
    <row r="72" spans="2:3" x14ac:dyDescent="0.25">
      <c r="B72" s="79" t="s">
        <v>247</v>
      </c>
      <c r="C72" s="81"/>
    </row>
    <row r="73" spans="2:3" x14ac:dyDescent="0.25">
      <c r="B73" s="79" t="s">
        <v>248</v>
      </c>
      <c r="C73" s="81"/>
    </row>
    <row r="74" spans="2:3" x14ac:dyDescent="0.25">
      <c r="B74" s="79" t="s">
        <v>249</v>
      </c>
      <c r="C74" s="81"/>
    </row>
    <row r="75" spans="2:3" x14ac:dyDescent="0.25">
      <c r="B75" s="79" t="s">
        <v>250</v>
      </c>
      <c r="C75" s="81"/>
    </row>
    <row r="76" spans="2:3" x14ac:dyDescent="0.25">
      <c r="B76" s="60" t="s">
        <v>251</v>
      </c>
      <c r="C76" s="61"/>
    </row>
    <row r="77" spans="2:3" x14ac:dyDescent="0.25">
      <c r="B77" s="60" t="s">
        <v>252</v>
      </c>
      <c r="C77" s="61"/>
    </row>
    <row r="78" spans="2:3" x14ac:dyDescent="0.25">
      <c r="B78" s="60" t="s">
        <v>253</v>
      </c>
      <c r="C78" s="61"/>
    </row>
    <row r="79" spans="2:3" x14ac:dyDescent="0.25">
      <c r="B79" s="60" t="s">
        <v>254</v>
      </c>
      <c r="C79" s="61"/>
    </row>
    <row r="80" spans="2:3" x14ac:dyDescent="0.25">
      <c r="B80" s="60" t="s">
        <v>255</v>
      </c>
      <c r="C80" s="61"/>
    </row>
    <row r="81" spans="2:4" x14ac:dyDescent="0.25">
      <c r="B81" s="60" t="s">
        <v>256</v>
      </c>
      <c r="C81" s="61"/>
    </row>
    <row r="82" spans="2:4" x14ac:dyDescent="0.25">
      <c r="B82" s="60" t="s">
        <v>257</v>
      </c>
      <c r="C82" s="61"/>
    </row>
    <row r="83" spans="2:4" x14ac:dyDescent="0.25">
      <c r="B83" s="60" t="s">
        <v>258</v>
      </c>
      <c r="C83" s="61"/>
    </row>
    <row r="84" spans="2:4" x14ac:dyDescent="0.25">
      <c r="B84" s="60" t="s">
        <v>259</v>
      </c>
      <c r="C84" s="61"/>
    </row>
    <row r="85" spans="2:4" x14ac:dyDescent="0.25">
      <c r="B85" s="60" t="s">
        <v>260</v>
      </c>
      <c r="C85" s="61"/>
    </row>
    <row r="86" spans="2:4" x14ac:dyDescent="0.25">
      <c r="B86" s="67" t="s">
        <v>261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2025-11-28T11:45:05Z</dcterms:modified>
</cp:coreProperties>
</file>