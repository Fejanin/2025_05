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360" windowHeight="12225"/>
  </bookViews>
  <sheets>
    <sheet name="Дист 1" sheetId="1" r:id="rId1"/>
    <sheet name="кск формула" sheetId="2" r:id="rId2"/>
  </sheets>
  <definedNames>
    <definedName name="_xlnm._FilterDatabase" localSheetId="0" hidden="1">'Дист 1'!$A$9:$J$185</definedName>
  </definedNames>
  <calcPr calcId="162913"/>
</workbook>
</file>

<file path=xl/calcChain.xml><?xml version="1.0" encoding="utf-8"?>
<calcChain xmlns="http://schemas.openxmlformats.org/spreadsheetml/2006/main">
  <c r="D87" i="2" l="1"/>
  <c r="H185" i="1"/>
  <c r="F185" i="1"/>
  <c r="E185" i="1"/>
  <c r="G184" i="1"/>
  <c r="A184" i="1"/>
  <c r="G183" i="1"/>
  <c r="A183" i="1"/>
  <c r="G182" i="1"/>
  <c r="A182" i="1"/>
  <c r="A181" i="1"/>
  <c r="A180" i="1"/>
  <c r="G179" i="1"/>
  <c r="A179" i="1"/>
  <c r="G178" i="1"/>
  <c r="A178" i="1"/>
  <c r="G177" i="1"/>
  <c r="A177" i="1"/>
  <c r="A176" i="1"/>
  <c r="G175" i="1"/>
  <c r="A175" i="1"/>
  <c r="A174" i="1"/>
  <c r="G173" i="1"/>
  <c r="A173" i="1"/>
  <c r="G172" i="1"/>
  <c r="A172" i="1"/>
  <c r="G171" i="1"/>
  <c r="A171" i="1"/>
  <c r="G170" i="1"/>
  <c r="A170" i="1"/>
  <c r="A169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5" i="1" s="1"/>
  <c r="A11" i="1"/>
</calcChain>
</file>

<file path=xl/sharedStrings.xml><?xml version="1.0" encoding="utf-8"?>
<sst xmlns="http://schemas.openxmlformats.org/spreadsheetml/2006/main" count="447" uniqueCount="262">
  <si>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</si>
  <si>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</si>
  <si>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</si>
  <si>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</si>
  <si>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</si>
  <si>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</si>
  <si>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</si>
  <si>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</si>
  <si>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</si>
  <si>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</si>
  <si>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</si>
  <si>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</si>
  <si>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</si>
  <si>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</si>
  <si>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</si>
  <si>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</si>
  <si>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</si>
  <si>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</si>
  <si>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</si>
  <si>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</si>
  <si>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</si>
  <si>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</si>
  <si>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</si>
  <si>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</si>
  <si>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</si>
  <si>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</si>
  <si>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</si>
  <si>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</si>
  <si>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</si>
  <si>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</si>
  <si>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</si>
  <si>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</si>
  <si>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</si>
  <si>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</si>
  <si>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</si>
  <si>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</si>
  <si>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</si>
  <si>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</si>
  <si>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</si>
  <si>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</si>
  <si>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</si>
  <si>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</si>
  <si>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</si>
  <si>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</si>
  <si>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</si>
  <si>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</si>
  <si>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</si>
  <si>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</si>
  <si>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</si>
  <si>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</si>
  <si>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</si>
  <si>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</si>
  <si>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</si>
  <si>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</si>
  <si>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</si>
  <si>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</si>
  <si>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</si>
  <si>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</si>
  <si>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</si>
  <si>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</si>
  <si>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</si>
  <si>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</si>
  <si>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</si>
  <si>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</si>
  <si>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</si>
  <si>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</si>
  <si>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</si>
  <si>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</si>
  <si>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</si>
  <si>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</si>
  <si>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</si>
  <si>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</si>
  <si>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</si>
  <si>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</si>
  <si>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</si>
  <si>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</si>
  <si>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</si>
  <si>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</si>
  <si>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</si>
  <si>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</si>
  <si>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</si>
  <si>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</si>
  <si>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</si>
  <si>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</si>
  <si>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</si>
  <si>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</si>
  <si>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</si>
  <si>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</si>
  <si>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</si>
  <si>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</si>
  <si>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</si>
  <si>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</si>
  <si>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</si>
  <si>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</si>
  <si>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</si>
  <si>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</si>
  <si>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</si>
  <si>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</si>
  <si>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</si>
  <si>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</si>
  <si>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</si>
  <si>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</si>
  <si>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</si>
  <si>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</si>
  <si>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</si>
  <si>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</si>
  <si>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</si>
  <si>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</si>
  <si>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</si>
  <si>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</si>
  <si>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</si>
  <si>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</si>
  <si>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</si>
  <si>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</si>
  <si>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</si>
  <si>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</si>
  <si>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</si>
  <si>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</si>
  <si>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</si>
  <si>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</si>
  <si>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</si>
  <si>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</si>
  <si>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</si>
  <si>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</si>
  <si>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</si>
  <si>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</si>
  <si>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</si>
  <si>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</si>
  <si>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</si>
  <si>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</si>
  <si>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</si>
  <si>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</si>
  <si>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</si>
  <si>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</si>
  <si>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</si>
  <si>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</si>
  <si>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</si>
  <si>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</si>
  <si>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</si>
  <si>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</si>
  <si>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</si>
  <si>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</si>
  <si>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</si>
  <si>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</si>
  <si>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</si>
  <si>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</si>
  <si>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</si>
  <si>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</si>
  <si>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</si>
  <si>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</si>
  <si>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</si>
  <si>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</si>
  <si>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</si>
  <si>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</si>
  <si>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1/120_60с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</si>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</sst>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9"/>
  <sheetViews>
    <sheetView tabSelected="1" zoomScale="87" zoomScaleNormal="87" workbookViewId="0">
      <pane ySplit="9" topLeftCell="A159" activePane="bottomLeft" state="frozen"/>
      <selection pane="bottomLeft" activeCell="E185" sqref="E185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45990</v>
      </c>
      <c r="E3" s="7" t="s">
        <v>3</v>
      </c>
      <c r="F3" s="97"/>
      <c r="G3" s="101">
        <v>45993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RIGHT(D11:D184,4)</f>
        <v>5246</v>
      </c>
      <c r="B11" s="27" t="s">
        <v>22</v>
      </c>
      <c r="C11" s="30" t="s">
        <v>23</v>
      </c>
      <c r="D11" s="28">
        <v>1001010105246</v>
      </c>
      <c r="E11" s="24">
        <v>10</v>
      </c>
      <c r="F11" s="23">
        <v>1.48</v>
      </c>
      <c r="G11" s="23">
        <f>E11*1</f>
        <v>10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RIGHT(D12:D185,4)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RIGHT(D13:D186,4)</f>
        <v>6220</v>
      </c>
      <c r="B13" s="27" t="s">
        <v>25</v>
      </c>
      <c r="C13" s="30" t="s">
        <v>23</v>
      </c>
      <c r="D13" s="28">
        <v>1001012426220</v>
      </c>
      <c r="E13" s="24">
        <v>20</v>
      </c>
      <c r="F13" s="23"/>
      <c r="G13" s="23">
        <f>E13</f>
        <v>20</v>
      </c>
      <c r="H13" s="14"/>
      <c r="I13" s="14"/>
      <c r="J13" s="39"/>
      <c r="L13" s="94"/>
    </row>
    <row r="14" spans="1:12" ht="16.5" customHeight="1" x14ac:dyDescent="0.25">
      <c r="A14" s="93" t="str">
        <f>RIGHT(D14:D185,4)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RIGHT(D15:D186,4)</f>
        <v>6268</v>
      </c>
      <c r="B15" s="27" t="s">
        <v>28</v>
      </c>
      <c r="C15" s="33" t="s">
        <v>27</v>
      </c>
      <c r="D15" s="28">
        <v>1001012426268</v>
      </c>
      <c r="E15" s="24">
        <v>80</v>
      </c>
      <c r="F15" s="23"/>
      <c r="G15" s="23">
        <f>E15*0.4</f>
        <v>32</v>
      </c>
      <c r="H15" s="14"/>
      <c r="I15" s="14"/>
      <c r="J15" s="39"/>
    </row>
    <row r="16" spans="1:12" ht="16.5" customHeight="1" x14ac:dyDescent="0.25">
      <c r="A16" s="93" t="str">
        <f>RIGHT(D16:D187,4)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RIGHT(D17:D187,4)</f>
        <v>6247</v>
      </c>
      <c r="B17" s="27" t="s">
        <v>30</v>
      </c>
      <c r="C17" s="33" t="s">
        <v>27</v>
      </c>
      <c r="D17" s="28">
        <v>1001011086247</v>
      </c>
      <c r="E17" s="24">
        <v>120</v>
      </c>
      <c r="F17" s="23"/>
      <c r="G17" s="23">
        <f>E17*0.4</f>
        <v>48</v>
      </c>
      <c r="H17" s="14"/>
      <c r="I17" s="14"/>
      <c r="J17" s="39"/>
    </row>
    <row r="18" spans="1:10" ht="16.5" customHeight="1" x14ac:dyDescent="0.25">
      <c r="A18" s="93" t="str">
        <f t="shared" ref="A18:A25" si="0">RIGHT(D18:D187,4)</f>
        <v>6325</v>
      </c>
      <c r="B18" s="27" t="s">
        <v>31</v>
      </c>
      <c r="C18" s="33" t="s">
        <v>27</v>
      </c>
      <c r="D18" s="28">
        <v>1001010106325</v>
      </c>
      <c r="E18" s="24">
        <v>800</v>
      </c>
      <c r="F18" s="23">
        <v>0.4</v>
      </c>
      <c r="G18" s="23">
        <f>E18*0.4</f>
        <v>320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80</v>
      </c>
      <c r="F19" s="23">
        <v>0.4</v>
      </c>
      <c r="G19" s="23">
        <f>F19*E19</f>
        <v>32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600</v>
      </c>
      <c r="F21" s="23"/>
      <c r="G21" s="23">
        <f>E21*0.3</f>
        <v>180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/>
      <c r="F22" s="23">
        <v>1.366666666666666</v>
      </c>
      <c r="G22" s="23">
        <f>E22*1</f>
        <v>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600</v>
      </c>
      <c r="F23" s="23">
        <v>0.4</v>
      </c>
      <c r="G23" s="23">
        <f>E23*0.4</f>
        <v>240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/>
      <c r="F24" s="23">
        <v>1.366666666666666</v>
      </c>
      <c r="G24" s="23">
        <f>E24*1</f>
        <v>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/>
      <c r="F25" s="23">
        <v>2</v>
      </c>
      <c r="G25" s="23">
        <f>E25*1</f>
        <v>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RIGHT(D26:D198,4)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RIGHT(D27:D198,4)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RIGHT(D28:D199,4)</f>
        <v>5247</v>
      </c>
      <c r="B28" s="27" t="s">
        <v>41</v>
      </c>
      <c r="C28" s="30" t="s">
        <v>23</v>
      </c>
      <c r="D28" s="28">
        <v>1001010855247</v>
      </c>
      <c r="E28" s="24">
        <v>40</v>
      </c>
      <c r="F28" s="23">
        <v>1.48</v>
      </c>
      <c r="G28" s="23">
        <f>E28*1</f>
        <v>40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RIGHT(D29:D202,4)</f>
        <v>4813</v>
      </c>
      <c r="B29" s="27" t="s">
        <v>42</v>
      </c>
      <c r="C29" s="30" t="s">
        <v>23</v>
      </c>
      <c r="D29" s="28">
        <v>1001012564813</v>
      </c>
      <c r="E29" s="24">
        <v>120</v>
      </c>
      <c r="F29" s="23">
        <v>1.366666666666666</v>
      </c>
      <c r="G29" s="23">
        <f>E29*1</f>
        <v>120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/>
      <c r="F30" s="23">
        <v>0.4</v>
      </c>
      <c r="G30" s="23">
        <f>E30*0.4</f>
        <v>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1600</v>
      </c>
      <c r="F35" s="23">
        <v>0.4</v>
      </c>
      <c r="G35" s="23">
        <f>F35*E35</f>
        <v>640</v>
      </c>
      <c r="H35" s="14"/>
      <c r="I35" s="14"/>
      <c r="J35" s="39"/>
    </row>
    <row r="36" spans="1:11" ht="16.5" customHeight="1" x14ac:dyDescent="0.25">
      <c r="A36" s="93" t="str">
        <f>RIGHT(D36:D205,4)</f>
        <v>5851</v>
      </c>
      <c r="B36" s="27" t="s">
        <v>49</v>
      </c>
      <c r="C36" s="30" t="s">
        <v>23</v>
      </c>
      <c r="D36" s="28">
        <v>1001012505851</v>
      </c>
      <c r="E36" s="24"/>
      <c r="F36" s="23">
        <v>1.366666666666666</v>
      </c>
      <c r="G36" s="23">
        <f>E36*1</f>
        <v>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RIGHT(D37:D206,4)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RIGHT(D38:D206,4)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RIGHT(D39:D208,4)</f>
        <v>6340</v>
      </c>
      <c r="B39" s="95" t="s">
        <v>52</v>
      </c>
      <c r="C39" s="33" t="s">
        <v>27</v>
      </c>
      <c r="D39" s="28">
        <v>1001012816340</v>
      </c>
      <c r="E39" s="24">
        <v>80</v>
      </c>
      <c r="F39" s="23">
        <v>0.5</v>
      </c>
      <c r="G39" s="23">
        <f>E39*0.5</f>
        <v>40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RIGHT(D40:D206,4)</f>
        <v>6353</v>
      </c>
      <c r="B40" s="27" t="s">
        <v>53</v>
      </c>
      <c r="C40" s="33" t="s">
        <v>27</v>
      </c>
      <c r="D40" s="28">
        <v>1001012506353</v>
      </c>
      <c r="E40" s="24">
        <v>600</v>
      </c>
      <c r="F40" s="23">
        <v>0.4</v>
      </c>
      <c r="G40" s="23">
        <f>E40*0.4</f>
        <v>240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RIGHT(D41:D207,4)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RIGHT(D42:D210,4)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RIGHT(D43:D212,4)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RIGHT(D44:D213,4)</f>
        <v>7040</v>
      </c>
      <c r="B44" s="27" t="s">
        <v>57</v>
      </c>
      <c r="C44" s="30" t="s">
        <v>27</v>
      </c>
      <c r="D44" s="28">
        <v>1001025027040</v>
      </c>
      <c r="E44" s="24">
        <v>160</v>
      </c>
      <c r="F44" s="23">
        <v>0.27</v>
      </c>
      <c r="G44" s="23">
        <f>F44*E44</f>
        <v>43.2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RIGHT(D45:D212,4)</f>
        <v>7075</v>
      </c>
      <c r="B45" s="27" t="s">
        <v>58</v>
      </c>
      <c r="C45" s="30" t="s">
        <v>23</v>
      </c>
      <c r="D45" s="28">
        <v>1001022657075</v>
      </c>
      <c r="E45" s="24">
        <v>80</v>
      </c>
      <c r="F45" s="23"/>
      <c r="G45" s="23">
        <f>E45</f>
        <v>80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RIGHT(D46:D213,4)</f>
        <v>7070</v>
      </c>
      <c r="B46" s="27" t="s">
        <v>59</v>
      </c>
      <c r="C46" s="30" t="s">
        <v>23</v>
      </c>
      <c r="D46" s="28">
        <v>1001022377070</v>
      </c>
      <c r="E46" s="24">
        <v>1000</v>
      </c>
      <c r="F46" s="23"/>
      <c r="G46" s="23">
        <f>E46</f>
        <v>1000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RIGHT(D47:D211,4)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RIGHT(D48:D210,4)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RIGHT(D49:D213,4)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RIGHT(D50:D214,4)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RIGHT(D51:D217,4)</f>
        <v>6829</v>
      </c>
      <c r="B51" s="27" t="s">
        <v>64</v>
      </c>
      <c r="C51" s="31" t="s">
        <v>23</v>
      </c>
      <c r="D51" s="28">
        <v>1001024976829</v>
      </c>
      <c r="E51" s="24"/>
      <c r="F51" s="23"/>
      <c r="G51" s="23">
        <f>E51*1</f>
        <v>0</v>
      </c>
      <c r="H51" s="14"/>
      <c r="I51" s="14"/>
      <c r="J51" s="39"/>
    </row>
    <row r="52" spans="1:11" ht="16.5" customHeight="1" x14ac:dyDescent="0.25">
      <c r="A52" s="93" t="str">
        <f t="shared" ref="A52:A57" si="2">RIGHT(D52:D222,4)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480</v>
      </c>
      <c r="F53" s="23"/>
      <c r="G53" s="23">
        <f>E53*0.35</f>
        <v>168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/>
      <c r="F55" s="23">
        <v>0.41</v>
      </c>
      <c r="G55" s="23">
        <f>F55*E55</f>
        <v>0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1200</v>
      </c>
      <c r="F56" s="23">
        <v>0.3</v>
      </c>
      <c r="G56" s="23">
        <f>F56*E56</f>
        <v>360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RIGHT(D58:D225,4)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RIGHT(D59:D226,4)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RIGHT(D60:D224,4)</f>
        <v>6303</v>
      </c>
      <c r="B60" s="70" t="s">
        <v>73</v>
      </c>
      <c r="C60" s="30" t="s">
        <v>23</v>
      </c>
      <c r="D60" s="28">
        <v>1001022726303</v>
      </c>
      <c r="E60" s="24"/>
      <c r="F60" s="23">
        <v>1.0666666666666671</v>
      </c>
      <c r="G60" s="23">
        <f>E60*1</f>
        <v>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RIGHT(D61:D225,4)</f>
        <v>7077</v>
      </c>
      <c r="B61" s="70" t="s">
        <v>74</v>
      </c>
      <c r="C61" s="33" t="s">
        <v>27</v>
      </c>
      <c r="D61" s="28">
        <v>1001025507077</v>
      </c>
      <c r="E61" s="24">
        <v>480</v>
      </c>
      <c r="F61" s="23"/>
      <c r="G61" s="23">
        <f>E61*0.4</f>
        <v>192</v>
      </c>
      <c r="H61" s="14"/>
      <c r="I61" s="14"/>
      <c r="J61" s="39"/>
      <c r="K61" s="82"/>
    </row>
    <row r="62" spans="1:11" ht="16.5" customHeight="1" x14ac:dyDescent="0.25">
      <c r="A62" s="93" t="str">
        <f>RIGHT(D62:D225,4)</f>
        <v>7080</v>
      </c>
      <c r="B62" s="45" t="s">
        <v>75</v>
      </c>
      <c r="C62" s="33" t="s">
        <v>27</v>
      </c>
      <c r="D62" s="28">
        <v>1001022467080</v>
      </c>
      <c r="E62" s="24">
        <v>1200</v>
      </c>
      <c r="F62" s="23">
        <v>0.45</v>
      </c>
      <c r="G62" s="23">
        <f>E62*0.41</f>
        <v>491.99999999999994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RIGHT(D63:D226,4)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RIGHT(D64:D226,4)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RIGHT(D65:D227,4)</f>
        <v>7082</v>
      </c>
      <c r="B65" s="45" t="s">
        <v>78</v>
      </c>
      <c r="C65" s="30" t="s">
        <v>23</v>
      </c>
      <c r="D65" s="28">
        <v>1001022467082</v>
      </c>
      <c r="E65" s="24">
        <v>30</v>
      </c>
      <c r="F65" s="23"/>
      <c r="G65" s="23">
        <f>E65*1</f>
        <v>30</v>
      </c>
      <c r="H65" s="14"/>
      <c r="I65" s="14"/>
      <c r="J65" s="39"/>
    </row>
    <row r="66" spans="1:11" ht="16.5" customHeight="1" x14ac:dyDescent="0.25">
      <c r="A66" s="93" t="str">
        <f>RIGHT(D66:D228,4)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RIGHT(D67:D230,4)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RIGHT(D68:D231,4)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RIGHT(D69:D231,4)</f>
        <v>6765</v>
      </c>
      <c r="B69" s="45" t="s">
        <v>82</v>
      </c>
      <c r="C69" s="33" t="s">
        <v>27</v>
      </c>
      <c r="D69" s="28">
        <v>1001023696765</v>
      </c>
      <c r="E69" s="24">
        <v>180</v>
      </c>
      <c r="F69" s="23"/>
      <c r="G69" s="23">
        <f>E69*0.36</f>
        <v>64.8</v>
      </c>
      <c r="H69" s="14"/>
      <c r="I69" s="14"/>
      <c r="J69" s="39"/>
    </row>
    <row r="70" spans="1:11" ht="16.5" customHeight="1" x14ac:dyDescent="0.25">
      <c r="A70" s="93" t="str">
        <f>RIGHT(D70:D232,4)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RIGHT(D71:D233,4)</f>
        <v>7284</v>
      </c>
      <c r="B71" s="45" t="s">
        <v>84</v>
      </c>
      <c r="C71" s="33" t="s">
        <v>27</v>
      </c>
      <c r="D71" s="28">
        <v>1001025767284</v>
      </c>
      <c r="E71" s="24">
        <v>60</v>
      </c>
      <c r="F71" s="23">
        <v>0.33</v>
      </c>
      <c r="G71" s="23">
        <f>E71*F71</f>
        <v>19.8</v>
      </c>
      <c r="H71" s="14"/>
      <c r="I71" s="14"/>
      <c r="J71" s="39"/>
    </row>
    <row r="72" spans="1:11" ht="16.5" customHeight="1" x14ac:dyDescent="0.25">
      <c r="A72" s="93" t="str">
        <f>RIGHT(D72:D233,4)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RIGHT(D73:D233,4)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RIGHT(D74:D231,4)</f>
        <v>7066</v>
      </c>
      <c r="B74" s="45" t="s">
        <v>87</v>
      </c>
      <c r="C74" s="33" t="s">
        <v>27</v>
      </c>
      <c r="D74" s="28">
        <v>1001022377066</v>
      </c>
      <c r="E74" s="24">
        <v>1900</v>
      </c>
      <c r="F74" s="23">
        <v>0.41</v>
      </c>
      <c r="G74" s="23">
        <f>E74*0.41</f>
        <v>779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RIGHT(D75:D232,4)</f>
        <v>6837</v>
      </c>
      <c r="B75" s="45" t="s">
        <v>88</v>
      </c>
      <c r="C75" s="33" t="s">
        <v>27</v>
      </c>
      <c r="D75" s="28">
        <v>1001022556837</v>
      </c>
      <c r="E75" s="24"/>
      <c r="F75" s="23">
        <v>0.4</v>
      </c>
      <c r="G75" s="23">
        <f>E75*0.4</f>
        <v>0</v>
      </c>
      <c r="H75" s="14"/>
      <c r="I75" s="14"/>
      <c r="J75" s="39"/>
    </row>
    <row r="76" spans="1:11" ht="16.5" customHeight="1" x14ac:dyDescent="0.25">
      <c r="A76" s="93" t="str">
        <f>RIGHT(D76:D233,4)</f>
        <v>7271</v>
      </c>
      <c r="B76" s="45" t="s">
        <v>89</v>
      </c>
      <c r="C76" s="33" t="s">
        <v>23</v>
      </c>
      <c r="D76" s="28">
        <v>1001025507271</v>
      </c>
      <c r="E76" s="24">
        <v>100</v>
      </c>
      <c r="F76" s="23"/>
      <c r="G76" s="23">
        <f>E76</f>
        <v>100</v>
      </c>
      <c r="H76" s="14"/>
      <c r="I76" s="14"/>
      <c r="J76" s="39"/>
    </row>
    <row r="77" spans="1:11" ht="16.5" customHeight="1" x14ac:dyDescent="0.25">
      <c r="A77" s="93" t="str">
        <f>RIGHT(D77:D233,4)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RIGHT(D78:D234,4)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RIGHT(D79:D235,4)</f>
        <v>6713</v>
      </c>
      <c r="B79" s="27" t="s">
        <v>92</v>
      </c>
      <c r="C79" s="35" t="s">
        <v>27</v>
      </c>
      <c r="D79" s="28">
        <v>1001022246713</v>
      </c>
      <c r="E79" s="24"/>
      <c r="F79" s="23"/>
      <c r="G79" s="23">
        <f>E79*0.41</f>
        <v>0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RIGHT(D80:D231,4)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RIGHT(D81:D232,4)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RIGHT(D82:D235,4)</f>
        <v>6528</v>
      </c>
      <c r="B82" s="46" t="s">
        <v>95</v>
      </c>
      <c r="C82" s="33" t="s">
        <v>27</v>
      </c>
      <c r="D82" s="28">
        <v>1001031076528</v>
      </c>
      <c r="E82" s="24">
        <v>80</v>
      </c>
      <c r="F82" s="23"/>
      <c r="G82" s="23">
        <f>E82*0.4</f>
        <v>32</v>
      </c>
      <c r="H82" s="14"/>
      <c r="I82" s="14"/>
      <c r="J82" s="39"/>
    </row>
    <row r="83" spans="1:10" ht="16.5" customHeight="1" x14ac:dyDescent="0.25">
      <c r="A83" s="93" t="str">
        <f>RIGHT(D83:D236,4)</f>
        <v>7059</v>
      </c>
      <c r="B83" s="46" t="s">
        <v>96</v>
      </c>
      <c r="C83" s="33" t="s">
        <v>27</v>
      </c>
      <c r="D83" s="28">
        <v>1001035277059</v>
      </c>
      <c r="E83" s="24">
        <v>240</v>
      </c>
      <c r="F83" s="23">
        <v>0.3</v>
      </c>
      <c r="G83" s="23">
        <f>F83*E83</f>
        <v>72</v>
      </c>
      <c r="H83" s="14"/>
      <c r="I83" s="14"/>
      <c r="J83" s="39"/>
    </row>
    <row r="84" spans="1:10" ht="16.5" customHeight="1" x14ac:dyDescent="0.25">
      <c r="A84" s="93" t="str">
        <f>RIGHT(D84:D236,4)</f>
        <v>6609</v>
      </c>
      <c r="B84" s="46" t="s">
        <v>97</v>
      </c>
      <c r="C84" s="33" t="s">
        <v>27</v>
      </c>
      <c r="D84" s="28">
        <v>1001033856609</v>
      </c>
      <c r="E84" s="24">
        <v>40</v>
      </c>
      <c r="F84" s="23">
        <v>0.4</v>
      </c>
      <c r="G84" s="23">
        <f>F84*E84</f>
        <v>16</v>
      </c>
      <c r="H84" s="14"/>
      <c r="I84" s="14"/>
      <c r="J84" s="39"/>
    </row>
    <row r="85" spans="1:10" ht="16.5" customHeight="1" x14ac:dyDescent="0.25">
      <c r="A85" s="93" t="str">
        <f>RIGHT(D85:D237,4)</f>
        <v>7001</v>
      </c>
      <c r="B85" s="46" t="s">
        <v>98</v>
      </c>
      <c r="C85" s="33" t="s">
        <v>23</v>
      </c>
      <c r="D85" s="28">
        <v>1001035937001</v>
      </c>
      <c r="E85" s="24">
        <v>80</v>
      </c>
      <c r="F85" s="23">
        <v>1</v>
      </c>
      <c r="G85" s="23">
        <f>E85</f>
        <v>80</v>
      </c>
      <c r="H85" s="14"/>
      <c r="I85" s="14"/>
      <c r="J85" s="39"/>
    </row>
    <row r="86" spans="1:10" ht="16.5" customHeight="1" thickBot="1" x14ac:dyDescent="0.3">
      <c r="A86" s="93" t="str">
        <f>RIGHT(D86:D237,4)</f>
        <v>6527</v>
      </c>
      <c r="B86" s="46" t="s">
        <v>99</v>
      </c>
      <c r="C86" s="30" t="s">
        <v>23</v>
      </c>
      <c r="D86" s="28">
        <v>1001031076527</v>
      </c>
      <c r="E86" s="24">
        <v>50</v>
      </c>
      <c r="F86" s="23">
        <v>1.0166666666666671</v>
      </c>
      <c r="G86" s="23">
        <f>E86*1</f>
        <v>50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RIGHT(D87:D238,4)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RIGHT(D88:D239,4)</f>
        <v>7232</v>
      </c>
      <c r="B88" s="27" t="s">
        <v>101</v>
      </c>
      <c r="C88" s="33" t="s">
        <v>27</v>
      </c>
      <c r="D88" s="28">
        <v>1001302277232</v>
      </c>
      <c r="E88" s="24">
        <v>800</v>
      </c>
      <c r="F88" s="23">
        <v>0.28000000000000003</v>
      </c>
      <c r="G88" s="23">
        <f>E88*F88</f>
        <v>224.00000000000003</v>
      </c>
      <c r="H88" s="14"/>
      <c r="I88" s="14">
        <v>50</v>
      </c>
      <c r="J88" s="39"/>
    </row>
    <row r="89" spans="1:10" ht="16.5" customHeight="1" x14ac:dyDescent="0.25">
      <c r="A89" s="93" t="str">
        <f>RIGHT(D89:D240,4)</f>
        <v>7332</v>
      </c>
      <c r="B89" s="27" t="s">
        <v>102</v>
      </c>
      <c r="C89" s="33" t="s">
        <v>27</v>
      </c>
      <c r="D89" s="28">
        <v>1001301777332</v>
      </c>
      <c r="E89" s="24">
        <v>40</v>
      </c>
      <c r="F89" s="23">
        <v>0.28000000000000003</v>
      </c>
      <c r="G89" s="23">
        <f>E89*F89</f>
        <v>11.200000000000001</v>
      </c>
      <c r="H89" s="14"/>
      <c r="I89" s="14"/>
      <c r="J89" s="39"/>
    </row>
    <row r="90" spans="1:10" ht="16.5" customHeight="1" x14ac:dyDescent="0.25">
      <c r="A90" s="93" t="str">
        <f>RIGHT(D90:D240,4)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RIGHT(D91:D241,4)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RIGHT(D92:D241,4)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RIGHT(D93:D242,4)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RIGHT(D94:D242,4)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RIGHT(D95:D240,4)</f>
        <v>7241</v>
      </c>
      <c r="B95" s="27" t="s">
        <v>108</v>
      </c>
      <c r="C95" s="33" t="s">
        <v>27</v>
      </c>
      <c r="D95" s="28">
        <v>1001303107241</v>
      </c>
      <c r="E95" s="24">
        <v>400</v>
      </c>
      <c r="F95" s="23">
        <v>0.28000000000000003</v>
      </c>
      <c r="G95" s="23">
        <f>E95*0.28</f>
        <v>112.00000000000001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RIGHT(D96:D243,4)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RIGHT(D97:D244,4)</f>
        <v>7154</v>
      </c>
      <c r="B97" s="27" t="s">
        <v>110</v>
      </c>
      <c r="C97" s="33" t="s">
        <v>27</v>
      </c>
      <c r="D97" s="28">
        <v>1001300387154</v>
      </c>
      <c r="E97" s="24">
        <v>600</v>
      </c>
      <c r="F97" s="23">
        <v>0.35</v>
      </c>
      <c r="G97" s="23">
        <f>E97*0.35</f>
        <v>210</v>
      </c>
      <c r="H97" s="14"/>
      <c r="I97" s="14">
        <v>50</v>
      </c>
      <c r="J97" s="39"/>
    </row>
    <row r="98" spans="1:10" ht="16.5" customHeight="1" x14ac:dyDescent="0.25">
      <c r="A98" s="93" t="str">
        <f>RIGHT(D98:D246,4)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RIGHT(D99:D247,4)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RIGHT(D100:D247,4)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RIGHT(D101:D247,4)</f>
        <v>7236</v>
      </c>
      <c r="B101" s="27" t="s">
        <v>114</v>
      </c>
      <c r="C101" s="33" t="s">
        <v>27</v>
      </c>
      <c r="D101" s="28">
        <v>1001304507236</v>
      </c>
      <c r="E101" s="24">
        <v>1200</v>
      </c>
      <c r="F101" s="23">
        <v>0.28000000000000003</v>
      </c>
      <c r="G101" s="23">
        <f>E101*0.28</f>
        <v>336.00000000000006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RIGHT(D102:D248,4)</f>
        <v>7333</v>
      </c>
      <c r="B102" s="27" t="s">
        <v>115</v>
      </c>
      <c r="C102" s="33" t="s">
        <v>27</v>
      </c>
      <c r="D102" s="28">
        <v>1001303987333</v>
      </c>
      <c r="E102" s="24">
        <v>40</v>
      </c>
      <c r="F102" s="23">
        <v>0.28000000000000003</v>
      </c>
      <c r="G102" s="23">
        <f>E102*0.28</f>
        <v>11.200000000000001</v>
      </c>
      <c r="H102" s="14"/>
      <c r="I102" s="14"/>
      <c r="J102" s="39"/>
    </row>
    <row r="103" spans="1:10" ht="16.5" customHeight="1" x14ac:dyDescent="0.25">
      <c r="A103" s="93" t="str">
        <f>RIGHT(D103:D249,4)</f>
        <v>6787</v>
      </c>
      <c r="B103" s="27" t="s">
        <v>116</v>
      </c>
      <c r="C103" s="33" t="s">
        <v>27</v>
      </c>
      <c r="D103" s="28">
        <v>1001300456787</v>
      </c>
      <c r="E103" s="24">
        <v>80</v>
      </c>
      <c r="F103" s="23"/>
      <c r="G103" s="23">
        <f>E103*0.33</f>
        <v>26.400000000000002</v>
      </c>
      <c r="H103" s="14"/>
      <c r="I103" s="14"/>
      <c r="J103" s="39"/>
    </row>
    <row r="104" spans="1:10" ht="16.5" customHeight="1" x14ac:dyDescent="0.25">
      <c r="A104" s="93" t="str">
        <f>RIGHT(D104:D250,4)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RIGHT(D105:D251,4)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RIGHT(D106:D251,4)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RIGHT(D107:D250,4)</f>
        <v>7169</v>
      </c>
      <c r="B107" s="64" t="s">
        <v>120</v>
      </c>
      <c r="C107" s="33" t="s">
        <v>27</v>
      </c>
      <c r="D107" s="28">
        <v>1001303987169</v>
      </c>
      <c r="E107" s="24">
        <v>1200</v>
      </c>
      <c r="F107" s="23">
        <v>0.35</v>
      </c>
      <c r="G107" s="23">
        <f>E107*F107</f>
        <v>420</v>
      </c>
      <c r="H107" s="14"/>
      <c r="I107" s="14">
        <v>50</v>
      </c>
      <c r="J107" s="39"/>
    </row>
    <row r="108" spans="1:10" ht="16.5" customHeight="1" x14ac:dyDescent="0.25">
      <c r="A108" s="93" t="str">
        <f>RIGHT(D108:D251,4)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RIGHT(D109:D252,4)</f>
        <v>7166</v>
      </c>
      <c r="B109" s="64" t="s">
        <v>122</v>
      </c>
      <c r="C109" s="30" t="s">
        <v>23</v>
      </c>
      <c r="D109" s="28">
        <v>1001303987166</v>
      </c>
      <c r="E109" s="24">
        <v>100</v>
      </c>
      <c r="F109" s="23"/>
      <c r="G109" s="23">
        <f>E109*1</f>
        <v>100</v>
      </c>
      <c r="H109" s="14"/>
      <c r="I109" s="14">
        <v>50</v>
      </c>
      <c r="J109" s="39"/>
    </row>
    <row r="110" spans="1:10" ht="16.5" customHeight="1" x14ac:dyDescent="0.25">
      <c r="A110" s="93" t="str">
        <f>RIGHT(D110:D253,4)</f>
        <v>6459</v>
      </c>
      <c r="B110" s="64" t="s">
        <v>123</v>
      </c>
      <c r="C110" s="33" t="s">
        <v>27</v>
      </c>
      <c r="D110" s="28">
        <v>1001214196459</v>
      </c>
      <c r="E110" s="24">
        <v>200</v>
      </c>
      <c r="F110" s="23">
        <v>0.1</v>
      </c>
      <c r="G110" s="23">
        <f>E110*F110</f>
        <v>20</v>
      </c>
      <c r="H110" s="14"/>
      <c r="I110" s="14"/>
      <c r="J110" s="39"/>
    </row>
    <row r="111" spans="1:10" ht="16.5" customHeight="1" x14ac:dyDescent="0.25">
      <c r="A111" s="93" t="str">
        <f>RIGHT(D111:D254,4)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RIGHT(D112:D252,4)</f>
        <v>6228</v>
      </c>
      <c r="B112" s="64" t="s">
        <v>125</v>
      </c>
      <c r="C112" s="33" t="s">
        <v>27</v>
      </c>
      <c r="D112" s="28">
        <v>1001225416228</v>
      </c>
      <c r="E112" s="24">
        <v>360</v>
      </c>
      <c r="F112" s="23"/>
      <c r="G112" s="23">
        <f>E112*0.09</f>
        <v>32.4</v>
      </c>
      <c r="H112" s="14"/>
      <c r="I112" s="14"/>
      <c r="J112" s="39"/>
    </row>
    <row r="113" spans="1:10" ht="16.5" customHeight="1" x14ac:dyDescent="0.25">
      <c r="A113" s="93" t="str">
        <f>RIGHT(D113:D253,4)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RIGHT(D114:D252,4)</f>
        <v>5544</v>
      </c>
      <c r="B114" s="27" t="s">
        <v>127</v>
      </c>
      <c r="C114" s="30" t="s">
        <v>23</v>
      </c>
      <c r="D114" s="28">
        <v>1001051875544</v>
      </c>
      <c r="E114" s="24">
        <v>100</v>
      </c>
      <c r="F114" s="23">
        <v>0.85</v>
      </c>
      <c r="G114" s="23">
        <f>E114*1</f>
        <v>100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RIGHT(D115:D254,4)</f>
        <v>6697</v>
      </c>
      <c r="B115" s="27" t="s">
        <v>128</v>
      </c>
      <c r="C115" s="36" t="s">
        <v>27</v>
      </c>
      <c r="D115" s="28">
        <v>1001301876697</v>
      </c>
      <c r="E115" s="24">
        <v>2000</v>
      </c>
      <c r="F115" s="23">
        <v>0.35</v>
      </c>
      <c r="G115" s="23">
        <f>E115*0.35</f>
        <v>700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700</v>
      </c>
      <c r="F118" s="23">
        <v>0.1</v>
      </c>
      <c r="G118" s="23">
        <f>E118*0.1</f>
        <v>70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RIGHT(D121:D261,4)</f>
        <v>5708</v>
      </c>
      <c r="B121" s="27" t="s">
        <v>134</v>
      </c>
      <c r="C121" s="30" t="s">
        <v>23</v>
      </c>
      <c r="D121" s="28">
        <v>1001063145708</v>
      </c>
      <c r="E121" s="24">
        <v>50</v>
      </c>
      <c r="F121" s="23">
        <v>0.51249999999999996</v>
      </c>
      <c r="G121" s="23">
        <f>E121*1</f>
        <v>50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RIGHT(D122:D262,4)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RIGHT(D123:D263,4)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RIGHT(D124:D264,4)</f>
        <v>6832</v>
      </c>
      <c r="B124" s="27" t="s">
        <v>137</v>
      </c>
      <c r="C124" s="30" t="s">
        <v>23</v>
      </c>
      <c r="D124" s="28">
        <v>1001065616832</v>
      </c>
      <c r="E124" s="24">
        <v>12</v>
      </c>
      <c r="F124" s="23"/>
      <c r="G124" s="23">
        <f>E124</f>
        <v>12</v>
      </c>
      <c r="H124" s="14"/>
      <c r="I124" s="14"/>
      <c r="J124" s="39"/>
    </row>
    <row r="125" spans="1:10" ht="16.5" customHeight="1" x14ac:dyDescent="0.25">
      <c r="A125" s="93" t="str">
        <f>RIGHT(D125:D265,4)</f>
        <v>7299</v>
      </c>
      <c r="B125" s="27" t="s">
        <v>138</v>
      </c>
      <c r="C125" s="30" t="s">
        <v>23</v>
      </c>
      <c r="D125" s="28">
        <v>1001060677299</v>
      </c>
      <c r="E125" s="24">
        <v>10</v>
      </c>
      <c r="F125" s="23"/>
      <c r="G125" s="23">
        <f>E125</f>
        <v>10</v>
      </c>
      <c r="H125" s="14"/>
      <c r="I125" s="14"/>
      <c r="J125" s="39"/>
    </row>
    <row r="126" spans="1:10" ht="16.5" customHeight="1" x14ac:dyDescent="0.25">
      <c r="A126" s="93" t="str">
        <f>RIGHT(D126:D262,4)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RIGHT(D127:D263,4)</f>
        <v>6448</v>
      </c>
      <c r="B127" s="27" t="s">
        <v>140</v>
      </c>
      <c r="C127" s="33" t="s">
        <v>27</v>
      </c>
      <c r="D127" s="28">
        <v>1001234146448</v>
      </c>
      <c r="E127" s="24"/>
      <c r="F127" s="23">
        <v>0.1</v>
      </c>
      <c r="G127" s="23">
        <f>F127*E127</f>
        <v>0</v>
      </c>
      <c r="H127" s="14"/>
      <c r="I127" s="14"/>
      <c r="J127" s="39"/>
    </row>
    <row r="128" spans="1:10" ht="16.5" customHeight="1" x14ac:dyDescent="0.25">
      <c r="A128" s="93" t="str">
        <f>RIGHT(D128:D264,4)</f>
        <v>6221</v>
      </c>
      <c r="B128" s="27" t="s">
        <v>141</v>
      </c>
      <c r="C128" s="33" t="s">
        <v>27</v>
      </c>
      <c r="D128" s="28">
        <v>1001205376221</v>
      </c>
      <c r="E128" s="24">
        <v>120</v>
      </c>
      <c r="F128" s="23">
        <v>0.09</v>
      </c>
      <c r="G128" s="23">
        <f>F128*E128</f>
        <v>10.799999999999999</v>
      </c>
      <c r="H128" s="14"/>
      <c r="I128" s="14"/>
      <c r="J128" s="39"/>
    </row>
    <row r="129" spans="1:10" ht="16.5" customHeight="1" x14ac:dyDescent="0.25">
      <c r="A129" s="93" t="str">
        <f>RIGHT(D129:D264,4)</f>
        <v>5679</v>
      </c>
      <c r="B129" s="27" t="s">
        <v>142</v>
      </c>
      <c r="C129" s="33" t="s">
        <v>27</v>
      </c>
      <c r="D129" s="28">
        <v>1001190765679</v>
      </c>
      <c r="E129" s="24">
        <v>40</v>
      </c>
      <c r="F129" s="23">
        <v>0.15</v>
      </c>
      <c r="G129" s="23">
        <f>F129*E129</f>
        <v>6</v>
      </c>
      <c r="H129" s="14"/>
      <c r="I129" s="14"/>
      <c r="J129" s="39"/>
    </row>
    <row r="130" spans="1:10" ht="16.5" customHeight="1" x14ac:dyDescent="0.25">
      <c r="A130" s="93" t="str">
        <f>RIGHT(D130:D266,4)</f>
        <v>4993</v>
      </c>
      <c r="B130" s="27" t="s">
        <v>143</v>
      </c>
      <c r="C130" s="33" t="s">
        <v>27</v>
      </c>
      <c r="D130" s="28">
        <v>1001060764993</v>
      </c>
      <c r="E130" s="24"/>
      <c r="F130" s="23">
        <v>0.25</v>
      </c>
      <c r="G130" s="23">
        <f>E130*0.25</f>
        <v>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RIGHT(D131:D267,4)</f>
        <v>3986</v>
      </c>
      <c r="B131" s="27" t="s">
        <v>144</v>
      </c>
      <c r="C131" s="33" t="s">
        <v>27</v>
      </c>
      <c r="D131" s="28">
        <v>1001061973986</v>
      </c>
      <c r="E131" s="24"/>
      <c r="F131" s="23">
        <v>0.25</v>
      </c>
      <c r="G131" s="23">
        <f>E131*0.25</f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0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RIGHT(D135:D270,4)</f>
        <v>7147</v>
      </c>
      <c r="B135" s="27" t="s">
        <v>148</v>
      </c>
      <c r="C135" s="33" t="s">
        <v>27</v>
      </c>
      <c r="D135" s="28">
        <v>1001063237147</v>
      </c>
      <c r="E135" s="24"/>
      <c r="F135" s="23">
        <v>0.22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RIGHT(D136:D271,4)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RIGHT(D138:D272,4)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RIGHT(D139:D273,4)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RIGHT(D140:D267,4)</f>
        <v>3684</v>
      </c>
      <c r="B140" s="27" t="s">
        <v>153</v>
      </c>
      <c r="C140" s="33" t="s">
        <v>27</v>
      </c>
      <c r="D140" s="28">
        <v>1001062353684</v>
      </c>
      <c r="E140" s="24"/>
      <c r="F140" s="23">
        <v>0.25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RIGHT(D141:D267,4)</f>
        <v>5682</v>
      </c>
      <c r="B141" s="27" t="s">
        <v>154</v>
      </c>
      <c r="C141" s="33" t="s">
        <v>27</v>
      </c>
      <c r="D141" s="28">
        <v>1001193115682</v>
      </c>
      <c r="E141" s="24">
        <v>1800</v>
      </c>
      <c r="F141" s="23">
        <v>0.12</v>
      </c>
      <c r="G141" s="23">
        <f>E141*0.12</f>
        <v>216</v>
      </c>
      <c r="H141" s="14">
        <v>0.96</v>
      </c>
      <c r="I141" s="14">
        <v>60</v>
      </c>
      <c r="J141" s="39"/>
    </row>
    <row r="142" spans="1:10" ht="16.5" customHeight="1" x14ac:dyDescent="0.25">
      <c r="A142" s="93" t="str">
        <f>RIGHT(D142:D270,4)</f>
        <v>4117</v>
      </c>
      <c r="B142" s="27" t="s">
        <v>155</v>
      </c>
      <c r="C142" s="30" t="s">
        <v>23</v>
      </c>
      <c r="D142" s="28">
        <v>1001062504117</v>
      </c>
      <c r="E142" s="24"/>
      <c r="F142" s="23">
        <v>0.48749999999999999</v>
      </c>
      <c r="G142" s="23">
        <f>E142*1</f>
        <v>0</v>
      </c>
      <c r="H142" s="14">
        <v>3.9</v>
      </c>
      <c r="I142" s="14">
        <v>120</v>
      </c>
      <c r="J142" s="39"/>
    </row>
    <row r="143" spans="1:10" ht="16.5" customHeight="1" x14ac:dyDescent="0.25">
      <c r="A143" s="93" t="str">
        <f>RIGHT(D143:D271,4)</f>
        <v>3680</v>
      </c>
      <c r="B143" s="27" t="s">
        <v>156</v>
      </c>
      <c r="C143" s="30" t="s">
        <v>23</v>
      </c>
      <c r="D143" s="28">
        <v>1001062353680</v>
      </c>
      <c r="E143" s="24"/>
      <c r="F143" s="23"/>
      <c r="G143" s="23">
        <f>E143</f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5483</v>
      </c>
      <c r="B144" s="27" t="s">
        <v>157</v>
      </c>
      <c r="C144" s="33" t="s">
        <v>27</v>
      </c>
      <c r="D144" s="28">
        <v>1001062505483</v>
      </c>
      <c r="E144" s="24"/>
      <c r="F144" s="23">
        <v>0.25</v>
      </c>
      <c r="G144" s="23">
        <f>E144*0.25</f>
        <v>0</v>
      </c>
      <c r="H144" s="14">
        <v>2</v>
      </c>
      <c r="I144" s="14">
        <v>120</v>
      </c>
      <c r="J144" s="39"/>
    </row>
    <row r="145" spans="1:10" ht="16.5" customHeight="1" thickBot="1" x14ac:dyDescent="0.3">
      <c r="A145" s="93" t="str">
        <f>RIGHT(D145:D272,4)</f>
        <v>6453</v>
      </c>
      <c r="B145" s="27" t="s">
        <v>158</v>
      </c>
      <c r="C145" s="33" t="s">
        <v>27</v>
      </c>
      <c r="D145" s="28">
        <v>1001202506453</v>
      </c>
      <c r="E145" s="24"/>
      <c r="F145" s="23">
        <v>0.1</v>
      </c>
      <c r="G145" s="23">
        <f>E145*0.1</f>
        <v>0</v>
      </c>
      <c r="H145" s="14">
        <v>0.8</v>
      </c>
      <c r="I145" s="14">
        <v>60</v>
      </c>
      <c r="J145" s="39"/>
    </row>
    <row r="146" spans="1:10" ht="16.5" customHeight="1" thickTop="1" thickBot="1" x14ac:dyDescent="0.3">
      <c r="A146" s="93" t="str">
        <f>RIGHT(D146:D273,4)</f>
        <v/>
      </c>
      <c r="B146" s="74" t="s">
        <v>159</v>
      </c>
      <c r="C146" s="74"/>
      <c r="D146" s="74"/>
      <c r="E146" s="74"/>
      <c r="F146" s="73"/>
      <c r="G146" s="74"/>
      <c r="H146" s="74"/>
      <c r="I146" s="74"/>
      <c r="J146" s="75"/>
    </row>
    <row r="147" spans="1:10" ht="16.5" customHeight="1" thickTop="1" x14ac:dyDescent="0.25">
      <c r="A147" s="93" t="str">
        <f>RIGHT(D147:D277,4)</f>
        <v>6470</v>
      </c>
      <c r="B147" s="29" t="s">
        <v>160</v>
      </c>
      <c r="C147" s="32" t="s">
        <v>23</v>
      </c>
      <c r="D147" s="80">
        <v>1001092436470</v>
      </c>
      <c r="E147" s="24"/>
      <c r="F147" s="23"/>
      <c r="G147" s="23">
        <f>E147*1</f>
        <v>0</v>
      </c>
      <c r="H147" s="14"/>
      <c r="I147" s="14"/>
      <c r="J147" s="39"/>
    </row>
    <row r="148" spans="1:10" ht="16.5" customHeight="1" x14ac:dyDescent="0.25">
      <c r="A148" s="93" t="str">
        <f>RIGHT(D148:D278,4)</f>
        <v>6495</v>
      </c>
      <c r="B148" s="29" t="s">
        <v>161</v>
      </c>
      <c r="C148" s="32" t="s">
        <v>27</v>
      </c>
      <c r="D148" s="80">
        <v>1001092436495</v>
      </c>
      <c r="E148" s="24">
        <v>30</v>
      </c>
      <c r="F148" s="23">
        <v>0.3</v>
      </c>
      <c r="G148" s="23">
        <f>F148*E148</f>
        <v>9</v>
      </c>
      <c r="H148" s="14"/>
      <c r="I148" s="14"/>
      <c r="J148" s="39"/>
    </row>
    <row r="149" spans="1:10" ht="16.5" customHeight="1" x14ac:dyDescent="0.25">
      <c r="A149" s="93" t="str">
        <f>RIGHT(D149:D279,4)</f>
        <v>7235</v>
      </c>
      <c r="B149" s="29" t="s">
        <v>162</v>
      </c>
      <c r="C149" s="32" t="s">
        <v>27</v>
      </c>
      <c r="D149" s="80">
        <v>1001095227235</v>
      </c>
      <c r="E149" s="24"/>
      <c r="F149" s="23">
        <v>0.35</v>
      </c>
      <c r="G149" s="23">
        <f>F149*E149</f>
        <v>0</v>
      </c>
      <c r="H149" s="14"/>
      <c r="I149" s="14"/>
      <c r="J149" s="39"/>
    </row>
    <row r="150" spans="1:10" ht="16.5" customHeight="1" x14ac:dyDescent="0.25">
      <c r="A150" s="93" t="str">
        <f>RIGHT(D150:D280,4)</f>
        <v>6411</v>
      </c>
      <c r="B150" s="29" t="s">
        <v>163</v>
      </c>
      <c r="C150" s="32" t="s">
        <v>27</v>
      </c>
      <c r="D150" s="80">
        <v>1001093316411</v>
      </c>
      <c r="E150" s="24"/>
      <c r="F150" s="23">
        <v>0.3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RIGHT(D151:D278,4)</f>
        <v>6866</v>
      </c>
      <c r="B151" s="29" t="s">
        <v>164</v>
      </c>
      <c r="C151" s="32" t="s">
        <v>23</v>
      </c>
      <c r="D151" s="80">
        <v>1001095716866</v>
      </c>
      <c r="E151" s="24">
        <v>150</v>
      </c>
      <c r="F151" s="23"/>
      <c r="G151" s="23">
        <f>E151*1</f>
        <v>150</v>
      </c>
      <c r="H151" s="14"/>
      <c r="I151" s="14"/>
      <c r="J151" s="39"/>
    </row>
    <row r="152" spans="1:10" ht="16.5" customHeight="1" x14ac:dyDescent="0.25">
      <c r="A152" s="93" t="str">
        <f>RIGHT(D152:D275,4)</f>
        <v>3215</v>
      </c>
      <c r="B152" s="27" t="s">
        <v>165</v>
      </c>
      <c r="C152" s="37" t="s">
        <v>27</v>
      </c>
      <c r="D152" s="51">
        <v>1001094053215</v>
      </c>
      <c r="E152" s="24">
        <v>80</v>
      </c>
      <c r="F152" s="23">
        <v>0.4</v>
      </c>
      <c r="G152" s="23">
        <f>E152*0.4</f>
        <v>32</v>
      </c>
      <c r="H152" s="14">
        <v>3.2</v>
      </c>
      <c r="I152" s="14">
        <v>60</v>
      </c>
      <c r="J152" s="39"/>
    </row>
    <row r="153" spans="1:10" ht="16.5" customHeight="1" thickBot="1" x14ac:dyDescent="0.3">
      <c r="A153" s="93" t="str">
        <f>RIGHT(D153:D276,4)</f>
        <v>7245</v>
      </c>
      <c r="B153" s="27" t="s">
        <v>166</v>
      </c>
      <c r="C153" s="37" t="s">
        <v>27</v>
      </c>
      <c r="D153" s="51">
        <v>1001092687245</v>
      </c>
      <c r="E153" s="24"/>
      <c r="F153" s="23">
        <v>0.4</v>
      </c>
      <c r="G153" s="23">
        <f>E153*0.4</f>
        <v>0</v>
      </c>
      <c r="H153" s="14"/>
      <c r="I153" s="14"/>
      <c r="J153" s="39"/>
    </row>
    <row r="154" spans="1:10" ht="16.5" customHeight="1" thickTop="1" thickBot="1" x14ac:dyDescent="0.3">
      <c r="A154" s="93" t="str">
        <f>RIGHT(D154:D278,4)</f>
        <v/>
      </c>
      <c r="B154" s="74" t="s">
        <v>167</v>
      </c>
      <c r="C154" s="74"/>
      <c r="D154" s="74"/>
      <c r="E154" s="74"/>
      <c r="F154" s="73"/>
      <c r="G154" s="74"/>
      <c r="H154" s="74"/>
      <c r="I154" s="74"/>
      <c r="J154" s="75"/>
    </row>
    <row r="155" spans="1:10" ht="16.5" customHeight="1" thickTop="1" x14ac:dyDescent="0.25">
      <c r="A155" s="93" t="str">
        <f>RIGHT(D155:D281,4)</f>
        <v>7090</v>
      </c>
      <c r="B155" s="47" t="s">
        <v>168</v>
      </c>
      <c r="C155" s="35" t="s">
        <v>27</v>
      </c>
      <c r="D155" s="28">
        <v>1001084217090</v>
      </c>
      <c r="E155" s="24">
        <v>120</v>
      </c>
      <c r="F155" s="23">
        <v>0.3</v>
      </c>
      <c r="G155" s="23">
        <f>E155*F155</f>
        <v>36</v>
      </c>
      <c r="H155" s="14"/>
      <c r="I155" s="14">
        <v>50</v>
      </c>
      <c r="J155" s="39"/>
    </row>
    <row r="156" spans="1:10" ht="16.5" customHeight="1" x14ac:dyDescent="0.25">
      <c r="A156" s="93" t="str">
        <f>RIGHT(D156:D282,4)</f>
        <v>4691</v>
      </c>
      <c r="B156" s="47" t="s">
        <v>169</v>
      </c>
      <c r="C156" s="35" t="s">
        <v>27</v>
      </c>
      <c r="D156" s="28">
        <v>1001083424691</v>
      </c>
      <c r="E156" s="24"/>
      <c r="F156" s="23">
        <v>0.3</v>
      </c>
      <c r="G156" s="23">
        <f t="shared" ref="G156:G162" si="5">F156*E156</f>
        <v>0</v>
      </c>
      <c r="H156" s="14"/>
      <c r="I156" s="14"/>
      <c r="J156" s="92"/>
    </row>
    <row r="157" spans="1:10" ht="16.5" customHeight="1" x14ac:dyDescent="0.25">
      <c r="A157" s="93" t="str">
        <f>RIGHT(D157:D283,4)</f>
        <v>7187</v>
      </c>
      <c r="B157" s="47" t="s">
        <v>170</v>
      </c>
      <c r="C157" s="35" t="s">
        <v>27</v>
      </c>
      <c r="D157" s="28">
        <v>1001085637187</v>
      </c>
      <c r="E157" s="24">
        <v>480</v>
      </c>
      <c r="F157" s="23">
        <v>0.3</v>
      </c>
      <c r="G157" s="23">
        <f t="shared" si="5"/>
        <v>144</v>
      </c>
      <c r="H157" s="14"/>
      <c r="I157" s="14"/>
      <c r="J157" s="92"/>
    </row>
    <row r="158" spans="1:10" ht="16.5" customHeight="1" x14ac:dyDescent="0.25">
      <c r="A158" s="93" t="str">
        <f>RIGHT(D158:D284,4)</f>
        <v>6201</v>
      </c>
      <c r="B158" s="47" t="s">
        <v>171</v>
      </c>
      <c r="C158" s="35" t="s">
        <v>27</v>
      </c>
      <c r="D158" s="28">
        <v>1001225636201</v>
      </c>
      <c r="E158" s="24"/>
      <c r="F158" s="23">
        <v>0.15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RIGHT(D159:D284,4)</f>
        <v>6842</v>
      </c>
      <c r="B159" s="47" t="s">
        <v>172</v>
      </c>
      <c r="C159" s="35" t="s">
        <v>27</v>
      </c>
      <c r="D159" s="28">
        <v>1001080216842</v>
      </c>
      <c r="E159" s="24">
        <v>160</v>
      </c>
      <c r="F159" s="23">
        <v>0.3</v>
      </c>
      <c r="G159" s="23">
        <f t="shared" si="5"/>
        <v>48</v>
      </c>
      <c r="H159" s="14"/>
      <c r="I159" s="14"/>
      <c r="J159" s="92"/>
    </row>
    <row r="160" spans="1:10" ht="16.5" customHeight="1" x14ac:dyDescent="0.25">
      <c r="A160" s="93" t="str">
        <f>RIGHT(D160:D284,4)</f>
        <v>6492</v>
      </c>
      <c r="B160" s="47" t="s">
        <v>173</v>
      </c>
      <c r="C160" s="35" t="s">
        <v>27</v>
      </c>
      <c r="D160" s="28">
        <v>1001084226492</v>
      </c>
      <c r="E160" s="24"/>
      <c r="F160" s="23">
        <v>0.3</v>
      </c>
      <c r="G160" s="23">
        <f t="shared" si="5"/>
        <v>0</v>
      </c>
      <c r="H160" s="14"/>
      <c r="I160" s="14"/>
      <c r="J160" s="92"/>
    </row>
    <row r="161" spans="1:10" ht="16.5" customHeight="1" x14ac:dyDescent="0.25">
      <c r="A161" s="93" t="str">
        <f>RIGHT(D161:D282,4)</f>
        <v>6279</v>
      </c>
      <c r="B161" s="47" t="s">
        <v>174</v>
      </c>
      <c r="C161" s="35" t="s">
        <v>27</v>
      </c>
      <c r="D161" s="28">
        <v>1001220286279</v>
      </c>
      <c r="E161" s="24"/>
      <c r="F161" s="23">
        <v>0.15</v>
      </c>
      <c r="G161" s="23">
        <f t="shared" si="5"/>
        <v>0</v>
      </c>
      <c r="H161" s="14"/>
      <c r="I161" s="14"/>
      <c r="J161" s="92"/>
    </row>
    <row r="162" spans="1:10" ht="16.5" customHeight="1" x14ac:dyDescent="0.25">
      <c r="A162" s="93" t="str">
        <f>RIGHT(D162:D283,4)</f>
        <v>4786</v>
      </c>
      <c r="B162" s="47" t="s">
        <v>175</v>
      </c>
      <c r="C162" s="35" t="s">
        <v>27</v>
      </c>
      <c r="D162" s="28">
        <v>1001053944786</v>
      </c>
      <c r="E162" s="24"/>
      <c r="F162" s="23">
        <v>7.0000000000000007E-2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7052</v>
      </c>
      <c r="B163" s="47" t="s">
        <v>176</v>
      </c>
      <c r="C163" s="35" t="s">
        <v>23</v>
      </c>
      <c r="D163" s="28">
        <v>1001204447052</v>
      </c>
      <c r="E163" s="24"/>
      <c r="F163" s="23">
        <v>1</v>
      </c>
      <c r="G163" s="23">
        <f>E163</f>
        <v>0</v>
      </c>
      <c r="H163" s="14"/>
      <c r="I163" s="14"/>
      <c r="J163" s="92"/>
    </row>
    <row r="164" spans="1:10" ht="16.5" customHeight="1" x14ac:dyDescent="0.25">
      <c r="A164" s="93" t="str">
        <f>RIGHT(D164:D284,4)</f>
        <v>7053</v>
      </c>
      <c r="B164" s="47" t="s">
        <v>177</v>
      </c>
      <c r="C164" s="35" t="s">
        <v>23</v>
      </c>
      <c r="D164" s="28">
        <v>1001223297053</v>
      </c>
      <c r="E164" s="24"/>
      <c r="F164" s="23">
        <v>1</v>
      </c>
      <c r="G164" s="23">
        <f>E164</f>
        <v>0</v>
      </c>
      <c r="H164" s="14"/>
      <c r="I164" s="14"/>
      <c r="J164" s="92"/>
    </row>
    <row r="165" spans="1:10" ht="16.5" customHeight="1" x14ac:dyDescent="0.25">
      <c r="A165" s="93" t="str">
        <f>RIGHT(D165:D284,4)</f>
        <v>7092</v>
      </c>
      <c r="B165" s="27" t="s">
        <v>178</v>
      </c>
      <c r="C165" s="33" t="s">
        <v>27</v>
      </c>
      <c r="D165" s="28">
        <v>1001223297092</v>
      </c>
      <c r="E165" s="24">
        <v>120</v>
      </c>
      <c r="F165" s="23">
        <v>0.14000000000000001</v>
      </c>
      <c r="G165" s="23">
        <f>F165*E165</f>
        <v>16.8</v>
      </c>
      <c r="H165" s="14"/>
      <c r="I165" s="14"/>
      <c r="J165" s="39"/>
    </row>
    <row r="166" spans="1:10" ht="16.5" customHeight="1" x14ac:dyDescent="0.25">
      <c r="A166" s="93" t="str">
        <f>RIGHT(D166:D285,4)</f>
        <v>7103</v>
      </c>
      <c r="B166" s="27" t="s">
        <v>179</v>
      </c>
      <c r="C166" s="33" t="s">
        <v>27</v>
      </c>
      <c r="D166" s="28">
        <v>1001223297103</v>
      </c>
      <c r="E166" s="24"/>
      <c r="F166" s="23">
        <v>0.18</v>
      </c>
      <c r="G166" s="23">
        <f>F166*E166</f>
        <v>0</v>
      </c>
      <c r="H166" s="14"/>
      <c r="I166" s="14"/>
      <c r="J166" s="92"/>
    </row>
    <row r="167" spans="1:10" ht="16.5" customHeight="1" thickBot="1" x14ac:dyDescent="0.3">
      <c r="A167" s="93" t="str">
        <f>RIGHT(D167:D282,4)</f>
        <v>6919</v>
      </c>
      <c r="B167" s="47" t="s">
        <v>180</v>
      </c>
      <c r="C167" s="35" t="s">
        <v>27</v>
      </c>
      <c r="D167" s="28">
        <v>1001223296919</v>
      </c>
      <c r="E167" s="24"/>
      <c r="F167" s="23"/>
      <c r="G167" s="23">
        <f>E167*0.18</f>
        <v>0</v>
      </c>
      <c r="H167" s="14"/>
      <c r="I167" s="14"/>
      <c r="J167" s="92"/>
    </row>
    <row r="168" spans="1:10" ht="16.5" customHeight="1" thickTop="1" thickBot="1" x14ac:dyDescent="0.3">
      <c r="A168" s="93" t="str">
        <f>RIGHT(D168:D283,4)</f>
        <v/>
      </c>
      <c r="B168" s="74" t="s">
        <v>181</v>
      </c>
      <c r="C168" s="74"/>
      <c r="D168" s="74"/>
      <c r="E168" s="74"/>
      <c r="F168" s="73"/>
      <c r="G168" s="74"/>
      <c r="H168" s="74"/>
      <c r="I168" s="74"/>
      <c r="J168" s="75"/>
    </row>
    <row r="169" spans="1:10" ht="16.5" customHeight="1" thickTop="1" thickBot="1" x14ac:dyDescent="0.3">
      <c r="A169" s="93" t="str">
        <f>RIGHT(D169:D286,4)</f>
        <v/>
      </c>
      <c r="B169" s="74" t="s">
        <v>182</v>
      </c>
      <c r="C169" s="74"/>
      <c r="D169" s="74"/>
      <c r="E169" s="74"/>
      <c r="F169" s="73"/>
      <c r="G169" s="74"/>
      <c r="H169" s="74"/>
      <c r="I169" s="74"/>
      <c r="J169" s="75"/>
    </row>
    <row r="170" spans="1:10" ht="16.5" customHeight="1" thickTop="1" x14ac:dyDescent="0.25">
      <c r="A170" s="93" t="str">
        <f>RIGHT(D170:D287,4)</f>
        <v>6314</v>
      </c>
      <c r="B170" s="47" t="s">
        <v>183</v>
      </c>
      <c r="C170" s="33" t="s">
        <v>27</v>
      </c>
      <c r="D170" s="28">
        <v>1002112606314</v>
      </c>
      <c r="E170" s="24"/>
      <c r="F170" s="23">
        <v>0.5</v>
      </c>
      <c r="G170" s="23">
        <f>E170*0.5</f>
        <v>0</v>
      </c>
      <c r="H170" s="14">
        <v>8</v>
      </c>
      <c r="I170" s="72">
        <v>120</v>
      </c>
      <c r="J170" s="39"/>
    </row>
    <row r="171" spans="1:10" ht="16.5" customHeight="1" x14ac:dyDescent="0.25">
      <c r="A171" s="93" t="str">
        <f>RIGHT(D171:D288,4)</f>
        <v>6155</v>
      </c>
      <c r="B171" s="47" t="s">
        <v>184</v>
      </c>
      <c r="C171" s="33" t="s">
        <v>27</v>
      </c>
      <c r="D171" s="28">
        <v>1002115036155</v>
      </c>
      <c r="E171" s="24"/>
      <c r="F171" s="23"/>
      <c r="G171" s="23">
        <f>E171*0.45</f>
        <v>0</v>
      </c>
      <c r="H171" s="14"/>
      <c r="I171" s="72"/>
      <c r="J171" s="39"/>
    </row>
    <row r="172" spans="1:10" ht="16.5" customHeight="1" x14ac:dyDescent="0.25">
      <c r="A172" s="93" t="str">
        <f>RIGHT(D172:D289,4)</f>
        <v>6157</v>
      </c>
      <c r="B172" s="47" t="s">
        <v>185</v>
      </c>
      <c r="C172" s="33" t="s">
        <v>27</v>
      </c>
      <c r="D172" s="28">
        <v>1002115056157</v>
      </c>
      <c r="E172" s="24"/>
      <c r="F172" s="23"/>
      <c r="G172" s="23">
        <f>E172*0.45</f>
        <v>0</v>
      </c>
      <c r="H172" s="14"/>
      <c r="I172" s="72"/>
      <c r="J172" s="39"/>
    </row>
    <row r="173" spans="1:10" ht="16.5" customHeight="1" thickBot="1" x14ac:dyDescent="0.3">
      <c r="A173" s="93" t="str">
        <f t="shared" ref="A173:A184" si="6">RIGHT(D173:D288,4)</f>
        <v>6313</v>
      </c>
      <c r="B173" s="47" t="s">
        <v>186</v>
      </c>
      <c r="C173" s="36" t="s">
        <v>27</v>
      </c>
      <c r="D173" s="28">
        <v>1002112606313</v>
      </c>
      <c r="E173" s="24"/>
      <c r="F173" s="23">
        <v>0.9</v>
      </c>
      <c r="G173" s="23">
        <f>E173*0.9</f>
        <v>0</v>
      </c>
      <c r="H173" s="14">
        <v>9</v>
      </c>
      <c r="I173" s="72">
        <v>120</v>
      </c>
      <c r="J173" s="39"/>
    </row>
    <row r="174" spans="1:10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0" ht="16.5" customHeight="1" thickTop="1" thickBot="1" x14ac:dyDescent="0.3">
      <c r="A175" s="93" t="str">
        <f t="shared" si="6"/>
        <v>4945</v>
      </c>
      <c r="B175" s="47" t="s">
        <v>188</v>
      </c>
      <c r="C175" s="36" t="s">
        <v>27</v>
      </c>
      <c r="D175" s="28">
        <v>1002151784945</v>
      </c>
      <c r="E175" s="24"/>
      <c r="F175" s="23">
        <v>0.5</v>
      </c>
      <c r="G175" s="23">
        <f>E175*0.5</f>
        <v>0</v>
      </c>
      <c r="H175" s="14">
        <v>8</v>
      </c>
      <c r="I175" s="72">
        <v>120</v>
      </c>
      <c r="J175" s="39"/>
    </row>
    <row r="176" spans="1:10" ht="16.5" customHeight="1" thickTop="1" thickBot="1" x14ac:dyDescent="0.3">
      <c r="A176" s="93" t="str">
        <f t="shared" si="6"/>
        <v/>
      </c>
      <c r="B176" s="74" t="s">
        <v>189</v>
      </c>
      <c r="C176" s="74"/>
      <c r="D176" s="74"/>
      <c r="E176" s="74"/>
      <c r="F176" s="73"/>
      <c r="G176" s="74"/>
      <c r="H176" s="74"/>
      <c r="I176" s="74"/>
      <c r="J176" s="75"/>
    </row>
    <row r="177" spans="1:11" s="88" customFormat="1" ht="16.5" customHeight="1" thickTop="1" thickBot="1" x14ac:dyDescent="0.3">
      <c r="A177" s="93" t="str">
        <f t="shared" si="6"/>
        <v>4956</v>
      </c>
      <c r="B177" s="89" t="s">
        <v>190</v>
      </c>
      <c r="C177" s="90" t="s">
        <v>27</v>
      </c>
      <c r="D177" s="83">
        <v>1002133974956</v>
      </c>
      <c r="E177" s="84"/>
      <c r="F177" s="85">
        <v>0.42</v>
      </c>
      <c r="G177" s="85">
        <f>E177*0.42</f>
        <v>0</v>
      </c>
      <c r="H177" s="86">
        <v>4.2</v>
      </c>
      <c r="I177" s="91">
        <v>120</v>
      </c>
      <c r="J177" s="86"/>
      <c r="K177" s="87"/>
    </row>
    <row r="178" spans="1:11" ht="16.5" customHeight="1" thickTop="1" x14ac:dyDescent="0.25">
      <c r="A178" s="93" t="str">
        <f t="shared" si="6"/>
        <v>1762</v>
      </c>
      <c r="B178" s="47" t="s">
        <v>191</v>
      </c>
      <c r="C178" s="33" t="s">
        <v>27</v>
      </c>
      <c r="D178" s="28">
        <v>1002131151762</v>
      </c>
      <c r="E178" s="24"/>
      <c r="F178" s="23">
        <v>0.42</v>
      </c>
      <c r="G178" s="23">
        <f>E178*0.42</f>
        <v>0</v>
      </c>
      <c r="H178" s="14">
        <v>4.2</v>
      </c>
      <c r="I178" s="72">
        <v>120</v>
      </c>
      <c r="J178" s="39"/>
    </row>
    <row r="179" spans="1:11" ht="16.5" customHeight="1" thickBot="1" x14ac:dyDescent="0.3">
      <c r="A179" s="93" t="str">
        <f t="shared" si="6"/>
        <v>1764</v>
      </c>
      <c r="B179" s="47" t="s">
        <v>192</v>
      </c>
      <c r="C179" s="36" t="s">
        <v>27</v>
      </c>
      <c r="D179" s="28">
        <v>1002131181764</v>
      </c>
      <c r="E179" s="24"/>
      <c r="F179" s="23">
        <v>0.42</v>
      </c>
      <c r="G179" s="23">
        <f>E179*0.42</f>
        <v>0</v>
      </c>
      <c r="H179" s="14">
        <v>4.2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ht="16.5" customHeight="1" thickTop="1" thickBot="1" x14ac:dyDescent="0.3">
      <c r="A181" s="93" t="str">
        <f t="shared" si="6"/>
        <v/>
      </c>
      <c r="B181" s="74" t="s">
        <v>194</v>
      </c>
      <c r="C181" s="74"/>
      <c r="D181" s="74"/>
      <c r="E181" s="74"/>
      <c r="F181" s="73"/>
      <c r="G181" s="74"/>
      <c r="H181" s="74"/>
      <c r="I181" s="74"/>
      <c r="J181" s="75"/>
    </row>
    <row r="182" spans="1:11" ht="16.5" customHeight="1" thickTop="1" thickBot="1" x14ac:dyDescent="0.3">
      <c r="A182" s="93" t="str">
        <f t="shared" si="6"/>
        <v>6004</v>
      </c>
      <c r="B182" s="47" t="s">
        <v>195</v>
      </c>
      <c r="C182" s="36" t="s">
        <v>27</v>
      </c>
      <c r="D182" s="68" t="s">
        <v>196</v>
      </c>
      <c r="E182" s="24"/>
      <c r="F182" s="23">
        <v>1</v>
      </c>
      <c r="G182" s="23">
        <f>E182*1</f>
        <v>0</v>
      </c>
      <c r="H182" s="14">
        <v>8</v>
      </c>
      <c r="I182" s="72">
        <v>120</v>
      </c>
      <c r="J182" s="39"/>
    </row>
    <row r="183" spans="1:11" ht="15.75" customHeight="1" thickTop="1" x14ac:dyDescent="0.25">
      <c r="A183" s="93" t="str">
        <f t="shared" si="6"/>
        <v>5417</v>
      </c>
      <c r="B183" s="47" t="s">
        <v>197</v>
      </c>
      <c r="C183" s="30" t="s">
        <v>23</v>
      </c>
      <c r="D183" s="68" t="s">
        <v>198</v>
      </c>
      <c r="E183" s="24"/>
      <c r="F183" s="23">
        <v>2</v>
      </c>
      <c r="G183" s="23">
        <f>E183*1</f>
        <v>0</v>
      </c>
      <c r="H183" s="14">
        <v>6</v>
      </c>
      <c r="I183" s="72">
        <v>90</v>
      </c>
      <c r="J183" s="39"/>
    </row>
    <row r="184" spans="1:11" ht="15.75" customHeight="1" thickBot="1" x14ac:dyDescent="0.3">
      <c r="A184" s="93" t="str">
        <f t="shared" si="6"/>
        <v>6019</v>
      </c>
      <c r="B184" s="47" t="s">
        <v>199</v>
      </c>
      <c r="C184" s="36" t="s">
        <v>27</v>
      </c>
      <c r="D184" s="69" t="s">
        <v>200</v>
      </c>
      <c r="E184" s="24"/>
      <c r="F184" s="23">
        <v>1</v>
      </c>
      <c r="G184" s="23">
        <f>E184*1</f>
        <v>0</v>
      </c>
      <c r="H184" s="14">
        <v>12</v>
      </c>
      <c r="I184" s="72">
        <v>120</v>
      </c>
      <c r="J184" s="39"/>
    </row>
    <row r="185" spans="1:11" ht="16.5" customHeight="1" thickTop="1" thickBot="1" x14ac:dyDescent="0.3">
      <c r="A185" s="77"/>
      <c r="B185" s="77" t="s">
        <v>201</v>
      </c>
      <c r="C185" s="16"/>
      <c r="D185" s="48"/>
      <c r="E185" s="17">
        <f>SUM(E5:E184)</f>
        <v>23222</v>
      </c>
      <c r="F185" s="17">
        <f>SUM(F10:F184)</f>
        <v>46.96333333333331</v>
      </c>
      <c r="G185" s="17">
        <f>SUM(G11:G184)</f>
        <v>8692.9999999999982</v>
      </c>
      <c r="H185" s="17">
        <f>SUM(H10:H181)</f>
        <v>128.91</v>
      </c>
      <c r="I185" s="17"/>
      <c r="J185" s="17"/>
    </row>
    <row r="186" spans="1:11" ht="15.75" customHeight="1" thickTop="1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1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</sheetData>
  <autoFilter ref="A9:J185"/>
  <mergeCells count="2">
    <mergeCell ref="E1:J1"/>
    <mergeCell ref="G3:J3"/>
  </mergeCells>
  <dataValidations disablePrompts="1" count="2">
    <dataValidation type="textLength" operator="lessThanOrEqual" showInputMessage="1" showErrorMessage="1" sqref="B178">
      <formula1>40</formula1>
    </dataValidation>
    <dataValidation type="textLength" operator="equal" showInputMessage="1" showErrorMessage="1" sqref="D182:D184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165</v>
      </c>
    </row>
    <row r="2" spans="2:3" x14ac:dyDescent="0.25">
      <c r="B2" s="58" t="s">
        <v>202</v>
      </c>
      <c r="C2" s="81"/>
    </row>
    <row r="3" spans="2:3" x14ac:dyDescent="0.25">
      <c r="B3" s="27" t="s">
        <v>203</v>
      </c>
      <c r="C3" s="63"/>
    </row>
    <row r="4" spans="2:3" x14ac:dyDescent="0.25">
      <c r="B4" s="44" t="s">
        <v>204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155</v>
      </c>
      <c r="C6" s="61"/>
    </row>
    <row r="7" spans="2:3" x14ac:dyDescent="0.25">
      <c r="B7" s="71" t="s">
        <v>205</v>
      </c>
      <c r="C7" s="81"/>
    </row>
    <row r="8" spans="2:3" x14ac:dyDescent="0.25">
      <c r="B8" s="27" t="s">
        <v>37</v>
      </c>
    </row>
    <row r="9" spans="2:3" x14ac:dyDescent="0.25">
      <c r="B9" s="79" t="s">
        <v>206</v>
      </c>
      <c r="C9" s="81"/>
    </row>
    <row r="10" spans="2:3" x14ac:dyDescent="0.25">
      <c r="B10" s="29" t="s">
        <v>207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208</v>
      </c>
    </row>
    <row r="14" spans="2:3" x14ac:dyDescent="0.25">
      <c r="B14" s="27" t="s">
        <v>209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210</v>
      </c>
    </row>
    <row r="18" spans="2:3" x14ac:dyDescent="0.25">
      <c r="B18" s="27" t="s">
        <v>211</v>
      </c>
      <c r="C18" s="62"/>
    </row>
    <row r="19" spans="2:3" x14ac:dyDescent="0.25">
      <c r="B19" s="58" t="s">
        <v>212</v>
      </c>
      <c r="C19" s="61"/>
    </row>
    <row r="20" spans="2:3" x14ac:dyDescent="0.25">
      <c r="B20" s="70" t="s">
        <v>157</v>
      </c>
    </row>
    <row r="21" spans="2:3" x14ac:dyDescent="0.25">
      <c r="B21" s="58" t="s">
        <v>213</v>
      </c>
      <c r="C21" s="81"/>
    </row>
    <row r="22" spans="2:3" x14ac:dyDescent="0.25">
      <c r="B22" s="67" t="s">
        <v>214</v>
      </c>
      <c r="C22" s="61"/>
    </row>
    <row r="23" spans="2:3" x14ac:dyDescent="0.25">
      <c r="B23" s="27" t="s">
        <v>127</v>
      </c>
    </row>
    <row r="24" spans="2:3" x14ac:dyDescent="0.25">
      <c r="B24" s="27" t="s">
        <v>154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215</v>
      </c>
    </row>
    <row r="28" spans="2:3" x14ac:dyDescent="0.25">
      <c r="B28" s="78" t="s">
        <v>77</v>
      </c>
      <c r="C28" s="61"/>
    </row>
    <row r="29" spans="2:3" x14ac:dyDescent="0.25">
      <c r="B29" s="45" t="s">
        <v>216</v>
      </c>
    </row>
    <row r="30" spans="2:3" x14ac:dyDescent="0.25">
      <c r="B30" s="70" t="s">
        <v>49</v>
      </c>
    </row>
    <row r="31" spans="2:3" x14ac:dyDescent="0.25">
      <c r="B31" s="66" t="s">
        <v>217</v>
      </c>
      <c r="C31" s="61"/>
    </row>
    <row r="32" spans="2:3" x14ac:dyDescent="0.25">
      <c r="B32" s="79" t="s">
        <v>218</v>
      </c>
      <c r="C32" s="81"/>
    </row>
    <row r="33" spans="2:3" x14ac:dyDescent="0.25">
      <c r="B33" s="79" t="s">
        <v>219</v>
      </c>
      <c r="C33" s="61"/>
    </row>
    <row r="34" spans="2:3" x14ac:dyDescent="0.25">
      <c r="B34" s="66" t="s">
        <v>220</v>
      </c>
      <c r="C34" s="61"/>
    </row>
    <row r="35" spans="2:3" x14ac:dyDescent="0.25">
      <c r="B35" s="27" t="s">
        <v>221</v>
      </c>
    </row>
    <row r="36" spans="2:3" x14ac:dyDescent="0.25">
      <c r="B36" s="27" t="s">
        <v>222</v>
      </c>
    </row>
    <row r="37" spans="2:3" x14ac:dyDescent="0.25">
      <c r="B37" s="79" t="s">
        <v>174</v>
      </c>
      <c r="C37" s="81"/>
    </row>
    <row r="38" spans="2:3" x14ac:dyDescent="0.25">
      <c r="B38" s="66" t="s">
        <v>223</v>
      </c>
      <c r="C38" s="61"/>
    </row>
    <row r="39" spans="2:3" x14ac:dyDescent="0.25">
      <c r="B39" s="27" t="s">
        <v>224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225</v>
      </c>
    </row>
    <row r="45" spans="2:3" x14ac:dyDescent="0.25">
      <c r="B45" s="27" t="s">
        <v>226</v>
      </c>
    </row>
    <row r="46" spans="2:3" x14ac:dyDescent="0.25">
      <c r="B46" s="66" t="s">
        <v>227</v>
      </c>
      <c r="C46" s="61"/>
    </row>
    <row r="47" spans="2:3" x14ac:dyDescent="0.25">
      <c r="B47" s="27" t="s">
        <v>228</v>
      </c>
    </row>
    <row r="48" spans="2:3" x14ac:dyDescent="0.25">
      <c r="B48" s="66" t="s">
        <v>229</v>
      </c>
      <c r="C48" s="61"/>
    </row>
    <row r="49" spans="2:3" x14ac:dyDescent="0.25">
      <c r="B49" s="66" t="s">
        <v>230</v>
      </c>
      <c r="C49" s="61"/>
    </row>
    <row r="50" spans="2:3" x14ac:dyDescent="0.25">
      <c r="B50" s="66" t="s">
        <v>231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232</v>
      </c>
      <c r="C52" s="61"/>
    </row>
    <row r="53" spans="2:3" x14ac:dyDescent="0.25">
      <c r="B53" s="79" t="s">
        <v>233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234</v>
      </c>
      <c r="C55" s="81"/>
    </row>
    <row r="56" spans="2:3" x14ac:dyDescent="0.25">
      <c r="B56" s="70" t="s">
        <v>158</v>
      </c>
    </row>
    <row r="57" spans="2:3" x14ac:dyDescent="0.25">
      <c r="B57" s="27" t="s">
        <v>131</v>
      </c>
    </row>
    <row r="58" spans="2:3" x14ac:dyDescent="0.25">
      <c r="B58" s="79" t="s">
        <v>235</v>
      </c>
      <c r="C58" s="61"/>
    </row>
    <row r="59" spans="2:3" x14ac:dyDescent="0.25">
      <c r="B59" s="79" t="s">
        <v>236</v>
      </c>
      <c r="C59" s="61"/>
    </row>
    <row r="60" spans="2:3" x14ac:dyDescent="0.25">
      <c r="B60" s="79" t="s">
        <v>237</v>
      </c>
      <c r="C60" s="81"/>
    </row>
    <row r="61" spans="2:3" x14ac:dyDescent="0.25">
      <c r="B61" s="27" t="s">
        <v>128</v>
      </c>
    </row>
    <row r="62" spans="2:3" x14ac:dyDescent="0.25">
      <c r="B62" s="66" t="s">
        <v>238</v>
      </c>
      <c r="C62" s="61"/>
    </row>
    <row r="63" spans="2:3" x14ac:dyDescent="0.25">
      <c r="B63" s="79" t="s">
        <v>239</v>
      </c>
      <c r="C63" s="81"/>
    </row>
    <row r="64" spans="2:3" x14ac:dyDescent="0.25">
      <c r="B64" s="55" t="s">
        <v>99</v>
      </c>
    </row>
    <row r="65" spans="2:3" x14ac:dyDescent="0.25">
      <c r="B65" s="55" t="s">
        <v>240</v>
      </c>
      <c r="C65" s="61"/>
    </row>
    <row r="66" spans="2:3" x14ac:dyDescent="0.25">
      <c r="B66" s="55" t="s">
        <v>241</v>
      </c>
      <c r="C66" s="61"/>
    </row>
    <row r="67" spans="2:3" x14ac:dyDescent="0.25">
      <c r="B67" s="79" t="s">
        <v>242</v>
      </c>
      <c r="C67" s="61"/>
    </row>
    <row r="68" spans="2:3" x14ac:dyDescent="0.25">
      <c r="B68" s="79" t="s">
        <v>243</v>
      </c>
      <c r="C68" s="61"/>
    </row>
    <row r="69" spans="2:3" x14ac:dyDescent="0.25">
      <c r="B69" s="79" t="s">
        <v>244</v>
      </c>
      <c r="C69" s="61"/>
    </row>
    <row r="70" spans="2:3" x14ac:dyDescent="0.25">
      <c r="B70" s="79" t="s">
        <v>245</v>
      </c>
      <c r="C70" s="61"/>
    </row>
    <row r="71" spans="2:3" x14ac:dyDescent="0.25">
      <c r="B71" s="79" t="s">
        <v>246</v>
      </c>
      <c r="C71" s="61"/>
    </row>
    <row r="72" spans="2:3" x14ac:dyDescent="0.25">
      <c r="B72" s="79" t="s">
        <v>247</v>
      </c>
      <c r="C72" s="81"/>
    </row>
    <row r="73" spans="2:3" x14ac:dyDescent="0.25">
      <c r="B73" s="79" t="s">
        <v>248</v>
      </c>
      <c r="C73" s="81"/>
    </row>
    <row r="74" spans="2:3" x14ac:dyDescent="0.25">
      <c r="B74" s="79" t="s">
        <v>249</v>
      </c>
      <c r="C74" s="81"/>
    </row>
    <row r="75" spans="2:3" x14ac:dyDescent="0.25">
      <c r="B75" s="79" t="s">
        <v>250</v>
      </c>
      <c r="C75" s="81"/>
    </row>
    <row r="76" spans="2:3" x14ac:dyDescent="0.25">
      <c r="B76" s="60" t="s">
        <v>251</v>
      </c>
      <c r="C76" s="61"/>
    </row>
    <row r="77" spans="2:3" x14ac:dyDescent="0.25">
      <c r="B77" s="60" t="s">
        <v>252</v>
      </c>
      <c r="C77" s="61"/>
    </row>
    <row r="78" spans="2:3" x14ac:dyDescent="0.25">
      <c r="B78" s="60" t="s">
        <v>253</v>
      </c>
      <c r="C78" s="61"/>
    </row>
    <row r="79" spans="2:3" x14ac:dyDescent="0.25">
      <c r="B79" s="60" t="s">
        <v>254</v>
      </c>
      <c r="C79" s="61"/>
    </row>
    <row r="80" spans="2:3" x14ac:dyDescent="0.25">
      <c r="B80" s="60" t="s">
        <v>255</v>
      </c>
      <c r="C80" s="61"/>
    </row>
    <row r="81" spans="2:4" x14ac:dyDescent="0.25">
      <c r="B81" s="60" t="s">
        <v>256</v>
      </c>
      <c r="C81" s="61"/>
    </row>
    <row r="82" spans="2:4" x14ac:dyDescent="0.25">
      <c r="B82" s="60" t="s">
        <v>257</v>
      </c>
      <c r="C82" s="61"/>
    </row>
    <row r="83" spans="2:4" x14ac:dyDescent="0.25">
      <c r="B83" s="60" t="s">
        <v>258</v>
      </c>
      <c r="C83" s="61"/>
    </row>
    <row r="84" spans="2:4" x14ac:dyDescent="0.25">
      <c r="B84" s="60" t="s">
        <v>259</v>
      </c>
      <c r="C84" s="61"/>
    </row>
    <row r="85" spans="2:4" x14ac:dyDescent="0.25">
      <c r="B85" s="60" t="s">
        <v>260</v>
      </c>
      <c r="C85" s="61"/>
    </row>
    <row r="86" spans="2:4" x14ac:dyDescent="0.25">
      <c r="B86" s="67" t="s">
        <v>261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2025-11-27T13:07:22Z</dcterms:modified>
</cp:coreProperties>
</file>