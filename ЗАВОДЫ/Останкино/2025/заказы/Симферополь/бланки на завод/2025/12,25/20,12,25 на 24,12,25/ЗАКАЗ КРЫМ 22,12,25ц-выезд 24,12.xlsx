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76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<sst xmlns="http://schemas.openxmlformats.org/spreadsheetml/2006/main" count="451" uniqueCount="265">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</sst>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1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46015</v>
      </c>
      <c r="E3" s="7" t="s">
        <v>3</v>
      </c>
      <c r="F3" s="97"/>
      <c r="G3" s="101">
        <v>46018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400</v>
      </c>
      <c r="F21" s="23"/>
      <c r="G21" s="23">
        <f>E21*0.3</f>
        <v>120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900</v>
      </c>
      <c r="F22" s="23">
        <v>1.366666666666666</v>
      </c>
      <c r="G22" s="23">
        <f>E22*1</f>
        <v>900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2200</v>
      </c>
      <c r="F23" s="23">
        <v>0.4</v>
      </c>
      <c r="G23" s="23">
        <f>E23*0.4</f>
        <v>880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300</v>
      </c>
      <c r="F25" s="23">
        <v>2</v>
      </c>
      <c r="G25" s="23">
        <f>E25*1</f>
        <v>300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1000</v>
      </c>
      <c r="F35" s="23">
        <v>0.4</v>
      </c>
      <c r="G35" s="23">
        <f>F35*E35</f>
        <v>400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200</v>
      </c>
      <c r="F39" s="23">
        <v>0.5</v>
      </c>
      <c r="G39" s="23">
        <f>E39*0.5</f>
        <v>100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720</v>
      </c>
      <c r="F40" s="23">
        <v>0.4</v>
      </c>
      <c r="G40" s="23">
        <f>E40*0.4</f>
        <v>288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120</v>
      </c>
      <c r="F44" s="23">
        <v>0.27</v>
      </c>
      <c r="G44" s="23">
        <f>F44*E44</f>
        <v>32.400000000000006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>
        <v>30</v>
      </c>
      <c r="F45" s="23"/>
      <c r="G45" s="23">
        <f>E45</f>
        <v>30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1400</v>
      </c>
      <c r="F46" s="23"/>
      <c r="G46" s="23">
        <f>E46</f>
        <v>1400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350</v>
      </c>
      <c r="F51" s="23"/>
      <c r="G51" s="23">
        <f>E51*1</f>
        <v>350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150</v>
      </c>
      <c r="F55" s="23">
        <v>0.41</v>
      </c>
      <c r="G55" s="23">
        <f>F55*E55</f>
        <v>61.499999999999993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400</v>
      </c>
      <c r="F61" s="23"/>
      <c r="G61" s="23">
        <f>E61*0.4</f>
        <v>160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1400</v>
      </c>
      <c r="F62" s="23">
        <v>0.45</v>
      </c>
      <c r="G62" s="23">
        <f>E62*0.41</f>
        <v>574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2600</v>
      </c>
      <c r="F74" s="23">
        <v>0.41</v>
      </c>
      <c r="G74" s="23">
        <f>E74*0.41</f>
        <v>1066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>
        <v>90</v>
      </c>
      <c r="F76" s="23"/>
      <c r="G76" s="23">
        <f>E76</f>
        <v>90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840</v>
      </c>
      <c r="F79" s="23"/>
      <c r="G79" s="23">
        <f>E79*0.41</f>
        <v>344.4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120</v>
      </c>
      <c r="F83" s="23">
        <v>0.3</v>
      </c>
      <c r="G83" s="23">
        <f>F83*E83</f>
        <v>36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800</v>
      </c>
      <c r="F88" s="23">
        <v>0.28000000000000003</v>
      </c>
      <c r="G88" s="23">
        <f>E88*F88</f>
        <v>224.00000000000003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400</v>
      </c>
      <c r="F95" s="23">
        <v>0.28000000000000003</v>
      </c>
      <c r="G95" s="23">
        <f>E95*0.28</f>
        <v>112.00000000000001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1400</v>
      </c>
      <c r="F101" s="23">
        <v>0.28000000000000003</v>
      </c>
      <c r="G101" s="23">
        <f>E101*0.28</f>
        <v>392.00000000000006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1600</v>
      </c>
      <c r="F107" s="23">
        <v>0.35</v>
      </c>
      <c r="G107" s="23">
        <f>E107*F107</f>
        <v>560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150</v>
      </c>
      <c r="F110" s="23">
        <v>0.1</v>
      </c>
      <c r="G110" s="23">
        <f>E110*F110</f>
        <v>15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300</v>
      </c>
      <c r="F118" s="23">
        <v>0.1</v>
      </c>
      <c r="G118" s="23">
        <f>E118*0.1</f>
        <v>30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400</v>
      </c>
      <c r="F120" s="23">
        <v>0.22</v>
      </c>
      <c r="G120" s="23">
        <f>E120*0.22</f>
        <v>88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40</v>
      </c>
      <c r="F129" s="23">
        <v>0.15</v>
      </c>
      <c r="G129" s="23">
        <f>F129*E129</f>
        <v>6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>
        <v>30</v>
      </c>
      <c r="F141" s="23">
        <v>0.54</v>
      </c>
      <c r="G141" s="23">
        <f t="shared" si="4"/>
        <v>16.200000000000003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600</v>
      </c>
      <c r="F142" s="23">
        <v>0.12</v>
      </c>
      <c r="G142" s="23">
        <f>E142*0.12</f>
        <v>72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>
        <v>50</v>
      </c>
      <c r="F143" s="23">
        <v>0.48749999999999999</v>
      </c>
      <c r="G143" s="23">
        <f>E143*1</f>
        <v>50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200</v>
      </c>
      <c r="F145" s="23">
        <v>0.25</v>
      </c>
      <c r="G145" s="23">
        <f>E145*0.25</f>
        <v>50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420</v>
      </c>
      <c r="F146" s="23">
        <v>0.1</v>
      </c>
      <c r="G146" s="23">
        <f>E146*0.1</f>
        <v>42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>
        <v>10</v>
      </c>
      <c r="F148" s="23"/>
      <c r="G148" s="23">
        <f>E148*1</f>
        <v>10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60</v>
      </c>
      <c r="F149" s="23">
        <v>0.3</v>
      </c>
      <c r="G149" s="23">
        <f>F149*E149</f>
        <v>18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80</v>
      </c>
      <c r="F152" s="23">
        <v>0.3</v>
      </c>
      <c r="G152" s="23">
        <f>F152*E152</f>
        <v>24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/>
      <c r="F153" s="23"/>
      <c r="G153" s="23">
        <f>E153*1</f>
        <v>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/>
      <c r="F154" s="23">
        <v>0.4</v>
      </c>
      <c r="G154" s="23">
        <f>E154*0.4</f>
        <v>0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>
        <v>80</v>
      </c>
      <c r="F155" s="23">
        <v>0.4</v>
      </c>
      <c r="G155" s="23">
        <f>E155*0.4</f>
        <v>32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120</v>
      </c>
      <c r="F157" s="23">
        <v>0.3</v>
      </c>
      <c r="G157" s="23">
        <f>E157*F157</f>
        <v>36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240</v>
      </c>
      <c r="F159" s="23">
        <v>0.3</v>
      </c>
      <c r="G159" s="23">
        <f t="shared" si="5"/>
        <v>72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40</v>
      </c>
      <c r="F163" s="23">
        <v>0.15</v>
      </c>
      <c r="G163" s="23">
        <f t="shared" si="5"/>
        <v>6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360</v>
      </c>
      <c r="F167" s="23">
        <v>0.14000000000000001</v>
      </c>
      <c r="G167" s="23">
        <f>F167*E167</f>
        <v>50.400000000000006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27740</v>
      </c>
      <c r="F187" s="17">
        <f>SUM(F10:F186)</f>
        <v>47.803333333333306</v>
      </c>
      <c r="G187" s="17">
        <f>SUM(G11:G186)</f>
        <v>12211.800000000001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2025-12-22T13:23:57Z</dcterms:modified>
</cp:coreProperties>
</file>