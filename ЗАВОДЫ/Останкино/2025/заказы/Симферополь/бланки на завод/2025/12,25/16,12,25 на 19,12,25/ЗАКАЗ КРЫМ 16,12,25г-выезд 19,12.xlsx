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53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<sst xmlns="http://schemas.openxmlformats.org/spreadsheetml/2006/main" count="451" uniqueCount="265">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</sst>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46010</v>
      </c>
      <c r="E3" s="7" t="s">
        <v>3</v>
      </c>
      <c r="F3" s="97"/>
      <c r="G3" s="101">
        <v>46013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40</v>
      </c>
      <c r="F11" s="23">
        <v>1.48</v>
      </c>
      <c r="G11" s="23">
        <f>E11*1</f>
        <v>40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600</v>
      </c>
      <c r="F15" s="23"/>
      <c r="G15" s="23">
        <f>E15*0.4</f>
        <v>240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600</v>
      </c>
      <c r="F21" s="23"/>
      <c r="G21" s="23">
        <f>E21*0.3</f>
        <v>180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2200</v>
      </c>
      <c r="F23" s="23">
        <v>0.4</v>
      </c>
      <c r="G23" s="23">
        <f>E23*0.4</f>
        <v>880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800</v>
      </c>
      <c r="F25" s="23">
        <v>2</v>
      </c>
      <c r="G25" s="23">
        <f>E25*1</f>
        <v>800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250</v>
      </c>
      <c r="F29" s="23">
        <v>1.366666666666666</v>
      </c>
      <c r="G29" s="23">
        <f>E29*1</f>
        <v>250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1500</v>
      </c>
      <c r="F46" s="23"/>
      <c r="G46" s="23">
        <f>E46</f>
        <v>1500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50</v>
      </c>
      <c r="F51" s="23"/>
      <c r="G51" s="23">
        <f>E51*1</f>
        <v>50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840</v>
      </c>
      <c r="F53" s="23"/>
      <c r="G53" s="23">
        <f>E53*0.35</f>
        <v>294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280</v>
      </c>
      <c r="F55" s="23">
        <v>0.41</v>
      </c>
      <c r="G55" s="23">
        <f>F55*E55</f>
        <v>114.8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1200</v>
      </c>
      <c r="F62" s="23">
        <v>0.45</v>
      </c>
      <c r="G62" s="23">
        <f>E62*0.41</f>
        <v>491.99999999999994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300</v>
      </c>
      <c r="F69" s="23"/>
      <c r="G69" s="23">
        <f>E69*0.36</f>
        <v>108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2100</v>
      </c>
      <c r="F74" s="23">
        <v>0.41</v>
      </c>
      <c r="G74" s="23">
        <f>E74*0.41</f>
        <v>861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200</v>
      </c>
      <c r="F75" s="23">
        <v>0.4</v>
      </c>
      <c r="G75" s="23">
        <f>E75*0.4</f>
        <v>80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>
        <v>100</v>
      </c>
      <c r="F76" s="23"/>
      <c r="G76" s="23">
        <f>E76</f>
        <v>100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720</v>
      </c>
      <c r="F79" s="23"/>
      <c r="G79" s="23">
        <f>E79*0.41</f>
        <v>295.2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90</v>
      </c>
      <c r="F85" s="23">
        <v>1</v>
      </c>
      <c r="G85" s="23">
        <f>E85</f>
        <v>90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2200</v>
      </c>
      <c r="F101" s="23">
        <v>0.28000000000000003</v>
      </c>
      <c r="G101" s="23">
        <f>E101*0.28</f>
        <v>616.00000000000011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>
        <v>200</v>
      </c>
      <c r="F105" s="23"/>
      <c r="G105" s="23">
        <f>E105*1</f>
        <v>200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2400</v>
      </c>
      <c r="F107" s="23">
        <v>0.35</v>
      </c>
      <c r="G107" s="23">
        <f>E107*F107</f>
        <v>840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600</v>
      </c>
      <c r="F114" s="23">
        <v>0.85</v>
      </c>
      <c r="G114" s="23">
        <f>E114*1</f>
        <v>600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1600</v>
      </c>
      <c r="F115" s="23">
        <v>0.35</v>
      </c>
      <c r="G115" s="23">
        <f>E115*0.35</f>
        <v>560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700</v>
      </c>
      <c r="F118" s="23">
        <v>0.1</v>
      </c>
      <c r="G118" s="23">
        <f>E118*0.1</f>
        <v>70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600</v>
      </c>
      <c r="F120" s="23">
        <v>0.22</v>
      </c>
      <c r="G120" s="23">
        <f>E120*0.22</f>
        <v>132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>
        <v>50</v>
      </c>
      <c r="F121" s="23">
        <v>0.51249999999999996</v>
      </c>
      <c r="G121" s="23">
        <f>E121*1</f>
        <v>50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80</v>
      </c>
      <c r="F128" s="23">
        <v>0.09</v>
      </c>
      <c r="G128" s="23">
        <f>F128*E128</f>
        <v>7.1999999999999993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160</v>
      </c>
      <c r="F129" s="23">
        <v>0.15</v>
      </c>
      <c r="G129" s="23">
        <f>F129*E129</f>
        <v>24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>
        <v>200</v>
      </c>
      <c r="F135" s="23">
        <v>0.22</v>
      </c>
      <c r="G135" s="23">
        <f t="shared" si="4"/>
        <v>44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>
        <v>40</v>
      </c>
      <c r="F141" s="23">
        <v>0.54</v>
      </c>
      <c r="G141" s="23">
        <f t="shared" si="4"/>
        <v>21.6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1200</v>
      </c>
      <c r="F142" s="23">
        <v>0.12</v>
      </c>
      <c r="G142" s="23">
        <f>E142*0.12</f>
        <v>144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400</v>
      </c>
      <c r="F145" s="23">
        <v>0.25</v>
      </c>
      <c r="G145" s="23">
        <f>E145*0.25</f>
        <v>100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700</v>
      </c>
      <c r="F146" s="23">
        <v>0.1</v>
      </c>
      <c r="G146" s="23">
        <f>E146*0.1</f>
        <v>70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/>
      <c r="F149" s="23">
        <v>0.3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180</v>
      </c>
      <c r="F152" s="23">
        <v>0.3</v>
      </c>
      <c r="G152" s="23">
        <f>F152*E152</f>
        <v>54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>
        <v>50</v>
      </c>
      <c r="F153" s="23"/>
      <c r="G153" s="23">
        <f>E153*1</f>
        <v>50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160</v>
      </c>
      <c r="F154" s="23">
        <v>0.4</v>
      </c>
      <c r="G154" s="23">
        <f>E154*0.4</f>
        <v>64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360</v>
      </c>
      <c r="F157" s="23">
        <v>0.3</v>
      </c>
      <c r="G157" s="23">
        <f>E157*F157</f>
        <v>108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360</v>
      </c>
      <c r="F159" s="23">
        <v>0.3</v>
      </c>
      <c r="G159" s="23">
        <f t="shared" si="5"/>
        <v>108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/>
      <c r="F163" s="23">
        <v>0.15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120</v>
      </c>
      <c r="F167" s="23">
        <v>0.14000000000000001</v>
      </c>
      <c r="G167" s="23">
        <f>F167*E167</f>
        <v>16.8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32190</v>
      </c>
      <c r="F187" s="17">
        <f>SUM(F10:F186)</f>
        <v>47.803333333333306</v>
      </c>
      <c r="G187" s="17">
        <f>SUM(G11:G186)</f>
        <v>13507.7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2025-12-16T12:39:48Z</dcterms:modified>
</cp:coreProperties>
</file>