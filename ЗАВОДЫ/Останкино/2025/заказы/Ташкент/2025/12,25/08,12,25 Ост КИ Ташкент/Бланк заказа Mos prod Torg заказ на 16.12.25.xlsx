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F3501641-68DB-4BBE-9AB3-359B66E186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9" i="1" l="1"/>
  <c r="F98" i="1"/>
  <c r="A98" i="1"/>
  <c r="F97" i="1"/>
  <c r="A97" i="1"/>
  <c r="F96" i="1"/>
  <c r="A96" i="1"/>
  <c r="F95" i="1"/>
  <c r="A95" i="1"/>
  <c r="F94" i="1"/>
  <c r="A94" i="1"/>
  <c r="A93" i="1"/>
  <c r="F92" i="1"/>
  <c r="A92" i="1"/>
  <c r="F91" i="1"/>
  <c r="A91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80" i="1"/>
  <c r="A80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99" i="1" s="1"/>
  <c r="A11" i="1"/>
</calcChain>
</file>

<file path=xl/sharedStrings.xml><?xml version="1.0" encoding="utf-8"?>
<sst xmlns="http://schemas.openxmlformats.org/spreadsheetml/2006/main" count="191" uniqueCount="111">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</sst>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1" name="Picture 7406">
          <a:extLst>
            <a:ext uri="{FF2B5EF4-FFF2-40B4-BE49-F238E27FC236}">
              <a16:creationId xmlns:a16="http://schemas.microsoft.com/office/drawing/2014/main" id="{00000000-0008-0000-0000-000051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2" name="Picture 7406">
          <a:extLst>
            <a:ext uri="{FF2B5EF4-FFF2-40B4-BE49-F238E27FC236}">
              <a16:creationId xmlns:a16="http://schemas.microsoft.com/office/drawing/2014/main" id="{00000000-0008-0000-0000-000052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3" name="Picture 7406">
          <a:extLst>
            <a:ext uri="{FF2B5EF4-FFF2-40B4-BE49-F238E27FC236}">
              <a16:creationId xmlns:a16="http://schemas.microsoft.com/office/drawing/2014/main" id="{00000000-0008-0000-0000-000053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3"/>
  <sheetViews>
    <sheetView tabSelected="1" zoomScaleNormal="100" workbookViewId="0">
      <pane ySplit="9" topLeftCell="A96" activePane="bottomLeft" state="frozen"/>
      <selection pane="bottomLeft" activeCell="G102" sqref="G102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3" width="9.140625" style="6" customWidth="1"/>
    <col min="14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46007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E13*1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E14*1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>
        <v>400</v>
      </c>
      <c r="F16" s="14">
        <f>E16*0.4</f>
        <v>160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50</v>
      </c>
      <c r="F17" s="14">
        <f>E17</f>
        <v>50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>
        <v>400</v>
      </c>
      <c r="F19" s="14">
        <f>E19*0.5</f>
        <v>200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50</v>
      </c>
      <c r="F20" s="14">
        <f>E20</f>
        <v>50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320</v>
      </c>
      <c r="F21" s="14">
        <f>E21*0.4</f>
        <v>128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70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70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70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>
        <v>100</v>
      </c>
      <c r="F26" s="70">
        <f>E26</f>
        <v>100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/>
      <c r="F27" s="70">
        <f>E27*0.4</f>
        <v>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70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70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3" si="1">RIGHT(D31,4)</f>
        <v>6765</v>
      </c>
      <c r="B31" s="6" t="s">
        <v>43</v>
      </c>
      <c r="C31" s="61" t="s">
        <v>22</v>
      </c>
      <c r="D31" s="64">
        <v>1001023696765</v>
      </c>
      <c r="E31" s="55">
        <v>210</v>
      </c>
      <c r="F31" s="19">
        <f>E31*0.36</f>
        <v>75.599999999999994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66" t="s">
        <v>53</v>
      </c>
      <c r="C41" s="61" t="s">
        <v>22</v>
      </c>
      <c r="D41" s="69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7077</v>
      </c>
      <c r="B42" s="66" t="s">
        <v>53</v>
      </c>
      <c r="C42" s="61" t="s">
        <v>22</v>
      </c>
      <c r="D42" s="69">
        <v>1001025507077</v>
      </c>
      <c r="E42" s="55">
        <v>240</v>
      </c>
      <c r="F42" s="14">
        <f>E42*0.4</f>
        <v>96</v>
      </c>
      <c r="G42" s="14"/>
      <c r="H42" s="16"/>
      <c r="I42" s="16"/>
    </row>
    <row r="43" spans="1:9" x14ac:dyDescent="0.2">
      <c r="A43" s="63" t="str">
        <f t="shared" si="1"/>
        <v>7271</v>
      </c>
      <c r="B43" s="66" t="s">
        <v>54</v>
      </c>
      <c r="C43" s="61" t="s">
        <v>24</v>
      </c>
      <c r="D43" s="69">
        <v>1001025507271</v>
      </c>
      <c r="E43" s="55"/>
      <c r="F43" s="14">
        <f>E43*1</f>
        <v>0</v>
      </c>
      <c r="G43" s="14"/>
      <c r="H43" s="16"/>
      <c r="I43" s="16"/>
    </row>
    <row r="44" spans="1:9" x14ac:dyDescent="0.2">
      <c r="A44" s="65">
        <v>6870</v>
      </c>
      <c r="B44" s="63" t="s">
        <v>55</v>
      </c>
      <c r="C44" s="61" t="s">
        <v>22</v>
      </c>
      <c r="D44" s="69">
        <v>1001022466726</v>
      </c>
      <c r="E44" s="55"/>
      <c r="F44" s="14">
        <f>E44*0.41</f>
        <v>0</v>
      </c>
      <c r="G44" s="14"/>
      <c r="H44" s="16"/>
      <c r="I44" s="16"/>
    </row>
    <row r="45" spans="1:9" x14ac:dyDescent="0.2">
      <c r="A45" s="65">
        <v>6759</v>
      </c>
      <c r="B45" s="66" t="s">
        <v>56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>
        <v>200</v>
      </c>
      <c r="F47" s="14">
        <f>E47*0.41</f>
        <v>82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>
        <v>300</v>
      </c>
      <c r="F48" s="14">
        <f>E48</f>
        <v>300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E49*1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E50*1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E51*1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>
        <v>160</v>
      </c>
      <c r="F52" s="14">
        <f>E52*0.4</f>
        <v>64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24</v>
      </c>
      <c r="D56" s="69">
        <v>1001035277059</v>
      </c>
      <c r="E56" s="55">
        <v>160</v>
      </c>
      <c r="F56" s="14">
        <f>E56*0.3</f>
        <v>48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22</v>
      </c>
      <c r="D57" s="69">
        <v>1001035277058</v>
      </c>
      <c r="E57" s="55">
        <v>200</v>
      </c>
      <c r="F57" s="14">
        <f>E57</f>
        <v>200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8" si="4">RIGHT(D65,4)</f>
        <v>7158</v>
      </c>
      <c r="B65" s="66" t="s">
        <v>76</v>
      </c>
      <c r="C65" s="61" t="s">
        <v>22</v>
      </c>
      <c r="D65" s="69">
        <v>1001304237158</v>
      </c>
      <c r="E65" s="55">
        <v>520</v>
      </c>
      <c r="F65" s="14">
        <f>E65*0.35</f>
        <v>182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150</v>
      </c>
      <c r="F66" s="14">
        <f>E66*1</f>
        <v>150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7333</v>
      </c>
      <c r="B68" s="66" t="s">
        <v>79</v>
      </c>
      <c r="C68" s="61" t="s">
        <v>22</v>
      </c>
      <c r="D68" s="69">
        <v>1001303987333</v>
      </c>
      <c r="E68" s="55">
        <v>280</v>
      </c>
      <c r="F68" s="14">
        <f>E68*0.28</f>
        <v>78.400000000000006</v>
      </c>
      <c r="G68" s="19"/>
      <c r="H68" s="16"/>
      <c r="I68" s="16"/>
    </row>
    <row r="69" spans="1:9" x14ac:dyDescent="0.2">
      <c r="A69" s="63" t="str">
        <f t="shared" si="4"/>
        <v>6790</v>
      </c>
      <c r="B69" s="66" t="s">
        <v>80</v>
      </c>
      <c r="C69" s="61" t="s">
        <v>24</v>
      </c>
      <c r="D69" s="69">
        <v>1001300366790</v>
      </c>
      <c r="E69" s="55"/>
      <c r="F69" s="14">
        <f>E69*1</f>
        <v>0</v>
      </c>
      <c r="G69" s="19"/>
      <c r="H69" s="16"/>
      <c r="I69" s="16"/>
    </row>
    <row r="70" spans="1:9" x14ac:dyDescent="0.2">
      <c r="A70" s="63" t="str">
        <f t="shared" si="4"/>
        <v>6566</v>
      </c>
      <c r="B70" s="66" t="s">
        <v>81</v>
      </c>
      <c r="C70" s="61" t="s">
        <v>22</v>
      </c>
      <c r="D70" s="69">
        <v>1001305306566</v>
      </c>
      <c r="E70" s="55"/>
      <c r="F70" s="14">
        <f>E70*0.31</f>
        <v>0</v>
      </c>
      <c r="G70" s="19"/>
      <c r="H70" s="16"/>
      <c r="I70" s="16"/>
    </row>
    <row r="71" spans="1:9" x14ac:dyDescent="0.2">
      <c r="A71" s="63" t="str">
        <f t="shared" si="4"/>
        <v>7238</v>
      </c>
      <c r="B71" s="66" t="s">
        <v>82</v>
      </c>
      <c r="C71" s="61" t="s">
        <v>22</v>
      </c>
      <c r="D71" s="69">
        <v>1001305197238</v>
      </c>
      <c r="E71" s="55"/>
      <c r="F71" s="14">
        <f>E71*0.31</f>
        <v>0</v>
      </c>
      <c r="G71" s="14"/>
      <c r="H71" s="15"/>
      <c r="I71" s="16"/>
    </row>
    <row r="72" spans="1:9" x14ac:dyDescent="0.2">
      <c r="A72" s="63" t="str">
        <f t="shared" si="4"/>
        <v>6565</v>
      </c>
      <c r="B72" s="66" t="s">
        <v>83</v>
      </c>
      <c r="C72" s="61" t="s">
        <v>22</v>
      </c>
      <c r="D72" s="69">
        <v>1001305316565</v>
      </c>
      <c r="E72" s="55"/>
      <c r="F72" s="14">
        <f>E72*0.31</f>
        <v>0</v>
      </c>
      <c r="G72" s="14"/>
      <c r="H72" s="16"/>
      <c r="I72" s="16"/>
    </row>
    <row r="73" spans="1:9" x14ac:dyDescent="0.2">
      <c r="A73" s="63" t="str">
        <f t="shared" si="4"/>
        <v>7162</v>
      </c>
      <c r="B73" s="66" t="s">
        <v>84</v>
      </c>
      <c r="C73" s="61" t="s">
        <v>22</v>
      </c>
      <c r="D73" s="69">
        <v>1001303987162</v>
      </c>
      <c r="E73" s="55"/>
      <c r="F73" s="14">
        <f>E73*0.35</f>
        <v>0</v>
      </c>
      <c r="G73" s="14"/>
      <c r="H73" s="15"/>
      <c r="I73" s="16"/>
    </row>
    <row r="74" spans="1:9" x14ac:dyDescent="0.2">
      <c r="A74" s="63" t="str">
        <f t="shared" si="4"/>
        <v>7165</v>
      </c>
      <c r="B74" s="66" t="s">
        <v>85</v>
      </c>
      <c r="C74" s="61" t="s">
        <v>24</v>
      </c>
      <c r="D74" s="69">
        <v>1001303987165</v>
      </c>
      <c r="E74" s="55"/>
      <c r="F74" s="14">
        <f>E74*1</f>
        <v>0</v>
      </c>
      <c r="G74" s="14"/>
      <c r="H74" s="22"/>
      <c r="I74" s="16"/>
    </row>
    <row r="75" spans="1:9" x14ac:dyDescent="0.2">
      <c r="A75" s="63" t="str">
        <f t="shared" si="4"/>
        <v>6698</v>
      </c>
      <c r="B75" s="66" t="s">
        <v>86</v>
      </c>
      <c r="C75" s="61" t="s">
        <v>22</v>
      </c>
      <c r="D75" s="69">
        <v>1001301876698</v>
      </c>
      <c r="E75" s="55">
        <v>480</v>
      </c>
      <c r="F75" s="14">
        <f>E75*0.35</f>
        <v>168</v>
      </c>
      <c r="G75" s="14"/>
      <c r="H75" s="15"/>
      <c r="I75" s="16"/>
    </row>
    <row r="76" spans="1:9" ht="15.75" customHeight="1" x14ac:dyDescent="0.2">
      <c r="A76" s="63" t="str">
        <f t="shared" si="4"/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E76*1</f>
        <v>0</v>
      </c>
      <c r="G76" s="14"/>
      <c r="H76" s="15"/>
      <c r="I76" s="16"/>
    </row>
    <row r="77" spans="1:9" ht="15.75" customHeight="1" x14ac:dyDescent="0.2">
      <c r="A77" s="63" t="str">
        <f t="shared" si="4"/>
        <v>6787</v>
      </c>
      <c r="B77" s="66" t="s">
        <v>88</v>
      </c>
      <c r="C77" s="61" t="s">
        <v>22</v>
      </c>
      <c r="D77" s="69">
        <v>1001300456787</v>
      </c>
      <c r="E77" s="55">
        <v>320</v>
      </c>
      <c r="F77" s="14">
        <f>E77*0.33</f>
        <v>105.60000000000001</v>
      </c>
      <c r="G77" s="26"/>
      <c r="H77" s="62"/>
      <c r="I77" s="24"/>
    </row>
    <row r="78" spans="1:9" ht="15.75" customHeight="1" thickBot="1" x14ac:dyDescent="0.25">
      <c r="A78" s="63" t="str">
        <f t="shared" si="4"/>
        <v>6946</v>
      </c>
      <c r="B78" s="66" t="s">
        <v>89</v>
      </c>
      <c r="C78" s="61" t="s">
        <v>24</v>
      </c>
      <c r="D78" s="69">
        <v>1001300456946</v>
      </c>
      <c r="E78" s="55">
        <v>100</v>
      </c>
      <c r="F78" s="14">
        <f>E78</f>
        <v>100</v>
      </c>
      <c r="G78" s="26"/>
      <c r="H78" s="62"/>
      <c r="I78" s="24"/>
    </row>
    <row r="79" spans="1:9" ht="15.75" customHeight="1" thickTop="1" thickBot="1" x14ac:dyDescent="0.25">
      <c r="A79" s="35"/>
      <c r="B79" s="3" t="s">
        <v>90</v>
      </c>
      <c r="C79" s="2"/>
      <c r="D79" s="2"/>
      <c r="E79" s="56"/>
      <c r="F79" s="21"/>
      <c r="G79" s="21"/>
      <c r="H79" s="13"/>
      <c r="I79" s="13"/>
    </row>
    <row r="80" spans="1:9" ht="15" customHeight="1" thickTop="1" x14ac:dyDescent="0.2">
      <c r="A80" s="63" t="str">
        <f t="shared" ref="A80:A89" si="5">RIGHT(D80,4)</f>
        <v>5738</v>
      </c>
      <c r="B80" s="63" t="s">
        <v>91</v>
      </c>
      <c r="C80" s="61" t="s">
        <v>22</v>
      </c>
      <c r="D80" s="64">
        <v>1001061975738</v>
      </c>
      <c r="E80" s="55">
        <v>240</v>
      </c>
      <c r="F80" s="14">
        <f>E80*0.25</f>
        <v>60</v>
      </c>
      <c r="G80" s="14"/>
      <c r="H80" s="20"/>
      <c r="I80" s="20"/>
    </row>
    <row r="81" spans="1:9" x14ac:dyDescent="0.2">
      <c r="A81" s="63" t="str">
        <f t="shared" si="5"/>
        <v>5708</v>
      </c>
      <c r="B81" s="66" t="s">
        <v>92</v>
      </c>
      <c r="C81" s="61" t="s">
        <v>24</v>
      </c>
      <c r="D81" s="69">
        <v>1001063145708</v>
      </c>
      <c r="E81" s="55"/>
      <c r="F81" s="14">
        <f>E81*1</f>
        <v>0</v>
      </c>
      <c r="G81" s="14"/>
      <c r="H81" s="20"/>
      <c r="I81" s="20"/>
    </row>
    <row r="82" spans="1:9" x14ac:dyDescent="0.2">
      <c r="A82" s="63" t="str">
        <f t="shared" si="5"/>
        <v>4993</v>
      </c>
      <c r="B82" s="66" t="s">
        <v>93</v>
      </c>
      <c r="C82" s="61" t="s">
        <v>22</v>
      </c>
      <c r="D82" s="69">
        <v>1001060764993</v>
      </c>
      <c r="E82" s="55">
        <v>400</v>
      </c>
      <c r="F82" s="14">
        <f>E82*0.25</f>
        <v>100</v>
      </c>
      <c r="G82" s="14"/>
      <c r="H82" s="20"/>
      <c r="I82" s="20"/>
    </row>
    <row r="83" spans="1:9" x14ac:dyDescent="0.2">
      <c r="A83" s="63" t="str">
        <f t="shared" si="5"/>
        <v>6453</v>
      </c>
      <c r="B83" s="66" t="s">
        <v>94</v>
      </c>
      <c r="C83" s="61" t="s">
        <v>22</v>
      </c>
      <c r="D83" s="69">
        <v>1001202506453</v>
      </c>
      <c r="E83" s="55"/>
      <c r="F83" s="14">
        <f>E83*0.5</f>
        <v>0</v>
      </c>
      <c r="G83" s="14"/>
      <c r="H83" s="20"/>
      <c r="I83" s="20"/>
    </row>
    <row r="84" spans="1:9" x14ac:dyDescent="0.2">
      <c r="A84" s="63" t="str">
        <f t="shared" si="5"/>
        <v>4117</v>
      </c>
      <c r="B84" s="66" t="s">
        <v>95</v>
      </c>
      <c r="C84" s="61" t="s">
        <v>24</v>
      </c>
      <c r="D84" s="69">
        <v>1001062504117</v>
      </c>
      <c r="E84" s="55"/>
      <c r="F84" s="14">
        <f>E84</f>
        <v>0</v>
      </c>
      <c r="G84" s="14"/>
      <c r="H84" s="15"/>
      <c r="I84" s="20"/>
    </row>
    <row r="85" spans="1:9" x14ac:dyDescent="0.2">
      <c r="A85" s="63" t="str">
        <f t="shared" si="5"/>
        <v>5681</v>
      </c>
      <c r="B85" s="66" t="s">
        <v>96</v>
      </c>
      <c r="C85" s="61" t="s">
        <v>22</v>
      </c>
      <c r="D85" s="69">
        <v>1001190765681</v>
      </c>
      <c r="E85" s="55"/>
      <c r="F85" s="14">
        <f>E85*0.15</f>
        <v>0</v>
      </c>
      <c r="G85" s="14"/>
      <c r="H85" s="16"/>
      <c r="I85" s="16"/>
    </row>
    <row r="86" spans="1:9" x14ac:dyDescent="0.2">
      <c r="A86" s="63" t="str">
        <f t="shared" si="5"/>
        <v>5739</v>
      </c>
      <c r="B86" s="66" t="s">
        <v>97</v>
      </c>
      <c r="C86" s="61" t="s">
        <v>22</v>
      </c>
      <c r="D86" s="69">
        <v>1001062475739</v>
      </c>
      <c r="E86" s="55">
        <v>240</v>
      </c>
      <c r="F86" s="14">
        <f>E86*0.25</f>
        <v>60</v>
      </c>
      <c r="G86" s="14"/>
      <c r="H86" s="15"/>
      <c r="I86" s="24"/>
    </row>
    <row r="87" spans="1:9" x14ac:dyDescent="0.2">
      <c r="A87" s="63" t="str">
        <f t="shared" si="5"/>
        <v>3582</v>
      </c>
      <c r="B87" s="71" t="s">
        <v>98</v>
      </c>
      <c r="C87" s="73" t="s">
        <v>24</v>
      </c>
      <c r="D87" s="72">
        <v>1001061973582</v>
      </c>
      <c r="E87" s="55">
        <v>60</v>
      </c>
      <c r="F87" s="14">
        <f>E87*1</f>
        <v>60</v>
      </c>
      <c r="G87" s="26"/>
      <c r="H87" s="62"/>
      <c r="I87" s="24"/>
    </row>
    <row r="88" spans="1:9" x14ac:dyDescent="0.2">
      <c r="A88" s="63" t="str">
        <f t="shared" si="5"/>
        <v>3970</v>
      </c>
      <c r="B88" s="71" t="s">
        <v>99</v>
      </c>
      <c r="C88" s="73" t="s">
        <v>24</v>
      </c>
      <c r="D88" s="72">
        <v>1001062473970</v>
      </c>
      <c r="E88" s="55">
        <v>50</v>
      </c>
      <c r="F88" s="14">
        <f>E88*1</f>
        <v>50</v>
      </c>
      <c r="G88" s="26"/>
      <c r="H88" s="62"/>
      <c r="I88" s="24"/>
    </row>
    <row r="89" spans="1:9" ht="15" customHeight="1" thickBot="1" x14ac:dyDescent="0.25">
      <c r="A89" s="63" t="str">
        <f t="shared" si="5"/>
        <v>6835</v>
      </c>
      <c r="B89" s="63" t="s">
        <v>100</v>
      </c>
      <c r="C89" s="61" t="s">
        <v>22</v>
      </c>
      <c r="D89" s="64">
        <v>1001203146835</v>
      </c>
      <c r="E89" s="55"/>
      <c r="F89" s="14">
        <f>E89*0.1</f>
        <v>0</v>
      </c>
      <c r="G89" s="26"/>
      <c r="H89" s="62"/>
      <c r="I89" s="24"/>
    </row>
    <row r="90" spans="1:9" ht="15.75" customHeight="1" thickTop="1" thickBot="1" x14ac:dyDescent="0.25">
      <c r="A90" s="35"/>
      <c r="B90" s="3" t="s">
        <v>101</v>
      </c>
      <c r="C90" s="25"/>
      <c r="D90" s="25"/>
      <c r="E90" s="56"/>
      <c r="F90" s="21"/>
      <c r="G90" s="21"/>
      <c r="H90" s="13"/>
      <c r="I90" s="13"/>
    </row>
    <row r="91" spans="1:9" ht="15.75" customHeight="1" thickTop="1" x14ac:dyDescent="0.2">
      <c r="A91" s="63" t="str">
        <f t="shared" ref="A91:A98" si="6">RIGHT(D91,4)</f>
        <v>3215</v>
      </c>
      <c r="B91" s="63" t="s">
        <v>102</v>
      </c>
      <c r="C91" s="61" t="s">
        <v>22</v>
      </c>
      <c r="D91" s="64">
        <v>1001094053215</v>
      </c>
      <c r="E91" s="55"/>
      <c r="F91" s="14">
        <f>E91</f>
        <v>0</v>
      </c>
      <c r="G91" s="14"/>
      <c r="H91" s="15"/>
      <c r="I91" s="24"/>
    </row>
    <row r="92" spans="1:9" ht="15.75" customHeight="1" thickBot="1" x14ac:dyDescent="0.25">
      <c r="A92" s="63" t="str">
        <f t="shared" si="6"/>
        <v>5452</v>
      </c>
      <c r="B92" s="63" t="s">
        <v>103</v>
      </c>
      <c r="C92" s="61" t="s">
        <v>24</v>
      </c>
      <c r="D92" s="64">
        <v>1001092485452</v>
      </c>
      <c r="E92" s="55"/>
      <c r="F92" s="14">
        <f>E92*0.4</f>
        <v>0</v>
      </c>
      <c r="G92" s="14"/>
      <c r="H92" s="15"/>
      <c r="I92" s="24"/>
    </row>
    <row r="93" spans="1:9" ht="15.75" customHeight="1" thickTop="1" thickBot="1" x14ac:dyDescent="0.25">
      <c r="A93" s="35" t="str">
        <f t="shared" si="6"/>
        <v/>
      </c>
      <c r="B93" s="3" t="s">
        <v>104</v>
      </c>
      <c r="C93" s="2"/>
      <c r="D93" s="25"/>
      <c r="E93" s="56"/>
      <c r="F93" s="21"/>
      <c r="G93" s="21"/>
      <c r="H93" s="13"/>
      <c r="I93" s="13"/>
    </row>
    <row r="94" spans="1:9" ht="15" customHeight="1" thickTop="1" x14ac:dyDescent="0.2">
      <c r="A94" s="63" t="str">
        <f t="shared" si="6"/>
        <v>5074</v>
      </c>
      <c r="B94" s="66" t="s">
        <v>105</v>
      </c>
      <c r="C94" s="61" t="s">
        <v>24</v>
      </c>
      <c r="D94" s="69">
        <v>1001080345074</v>
      </c>
      <c r="E94" s="55"/>
      <c r="F94" s="14">
        <f>E94*0.3</f>
        <v>0</v>
      </c>
      <c r="G94" s="14"/>
      <c r="H94" s="15"/>
      <c r="I94" s="16"/>
    </row>
    <row r="95" spans="1:9" x14ac:dyDescent="0.2">
      <c r="A95" s="63" t="str">
        <f t="shared" si="6"/>
        <v>6207</v>
      </c>
      <c r="B95" s="66" t="s">
        <v>106</v>
      </c>
      <c r="C95" s="61" t="s">
        <v>22</v>
      </c>
      <c r="D95" s="69">
        <v>1001083446207</v>
      </c>
      <c r="E95" s="55"/>
      <c r="F95" s="14">
        <f>E95*0.3</f>
        <v>0</v>
      </c>
      <c r="G95" s="14"/>
      <c r="H95" s="15"/>
      <c r="I95" s="16"/>
    </row>
    <row r="96" spans="1:9" x14ac:dyDescent="0.2">
      <c r="A96" s="63" t="str">
        <f t="shared" si="6"/>
        <v>7089</v>
      </c>
      <c r="B96" s="66" t="s">
        <v>107</v>
      </c>
      <c r="C96" s="61" t="s">
        <v>22</v>
      </c>
      <c r="D96" s="69">
        <v>1001084217089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7187</v>
      </c>
      <c r="B97" s="66" t="s">
        <v>108</v>
      </c>
      <c r="C97" s="61" t="s">
        <v>22</v>
      </c>
      <c r="D97" s="69">
        <v>1001085637187</v>
      </c>
      <c r="E97" s="55">
        <v>1600</v>
      </c>
      <c r="F97" s="14">
        <f>E97*0.3</f>
        <v>480</v>
      </c>
      <c r="G97" s="14"/>
      <c r="H97" s="15"/>
      <c r="I97" s="16"/>
    </row>
    <row r="98" spans="1:9" ht="15" customHeight="1" thickBot="1" x14ac:dyDescent="0.25">
      <c r="A98" s="63" t="str">
        <f t="shared" si="6"/>
        <v>7104</v>
      </c>
      <c r="B98" s="66" t="s">
        <v>109</v>
      </c>
      <c r="C98" s="61" t="s">
        <v>22</v>
      </c>
      <c r="D98" s="69">
        <v>1001223297104</v>
      </c>
      <c r="E98" s="55">
        <v>200</v>
      </c>
      <c r="F98" s="14">
        <f>E98*0.18</f>
        <v>36</v>
      </c>
      <c r="G98" s="14"/>
      <c r="H98" s="15"/>
      <c r="I98" s="16"/>
    </row>
    <row r="99" spans="1:9" ht="15.75" customHeight="1" thickTop="1" thickBot="1" x14ac:dyDescent="0.25">
      <c r="A99" s="27"/>
      <c r="B99" s="27" t="s">
        <v>110</v>
      </c>
      <c r="C99" s="27"/>
      <c r="D99" s="27"/>
      <c r="E99" s="57">
        <f>SUM(E10:E98)</f>
        <v>7580</v>
      </c>
      <c r="F99" s="28">
        <f>SUM(F10:F98)</f>
        <v>3333.6</v>
      </c>
      <c r="G99" s="37"/>
      <c r="H99" s="28"/>
      <c r="I99" s="29"/>
    </row>
    <row r="100" spans="1:9" ht="15" customHeight="1" thickTop="1" x14ac:dyDescent="0.2">
      <c r="B100" s="30"/>
      <c r="C100" s="31"/>
      <c r="D100" s="31"/>
      <c r="F100" s="60"/>
      <c r="G100" s="33"/>
      <c r="H100" s="33"/>
      <c r="I100" s="59"/>
    </row>
    <row r="101" spans="1:9" x14ac:dyDescent="0.2">
      <c r="B101" s="30"/>
      <c r="C101" s="31"/>
      <c r="D101" s="31"/>
      <c r="F101" s="60"/>
      <c r="G101" s="33"/>
      <c r="H101" s="33"/>
      <c r="I101" s="34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32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</sheetData>
  <autoFilter ref="A9:I101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2025-12-11T09:25:11Z</dcterms:modified>
</cp:coreProperties>
</file>