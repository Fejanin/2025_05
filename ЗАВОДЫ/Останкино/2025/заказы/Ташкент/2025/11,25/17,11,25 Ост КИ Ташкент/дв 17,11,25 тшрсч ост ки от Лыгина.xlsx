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КИ Ташкент\"/>
    </mc:Choice>
  </mc:AlternateContent>
  <xr:revisionPtr revIDLastSave="0" documentId="13_ncr:1_{390E521D-6F78-4FCE-8858-5C63C1B417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Sheet!$A$3:$AF$39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6" i="1"/>
  <c r="Q39" i="1" l="1"/>
  <c r="V39" i="1" s="1"/>
  <c r="L39" i="1"/>
  <c r="Q38" i="1"/>
  <c r="V38" i="1" s="1"/>
  <c r="L38" i="1"/>
  <c r="Q37" i="1"/>
  <c r="L37" i="1"/>
  <c r="Q36" i="1"/>
  <c r="V36" i="1" s="1"/>
  <c r="L36" i="1"/>
  <c r="F35" i="1"/>
  <c r="E35" i="1"/>
  <c r="L35" i="1" s="1"/>
  <c r="Q34" i="1"/>
  <c r="V34" i="1" s="1"/>
  <c r="L34" i="1"/>
  <c r="Q33" i="1"/>
  <c r="L33" i="1"/>
  <c r="Q32" i="1"/>
  <c r="V32" i="1" s="1"/>
  <c r="L32" i="1"/>
  <c r="Q31" i="1"/>
  <c r="L31" i="1"/>
  <c r="F31" i="1"/>
  <c r="Q30" i="1"/>
  <c r="AF30" i="1" s="1"/>
  <c r="L30" i="1"/>
  <c r="Q29" i="1"/>
  <c r="V29" i="1" s="1"/>
  <c r="L29" i="1"/>
  <c r="Q28" i="1"/>
  <c r="AF28" i="1" s="1"/>
  <c r="L28" i="1"/>
  <c r="Q27" i="1"/>
  <c r="V27" i="1" s="1"/>
  <c r="L27" i="1"/>
  <c r="Q26" i="1"/>
  <c r="AF26" i="1" s="1"/>
  <c r="L26" i="1"/>
  <c r="Q25" i="1"/>
  <c r="V25" i="1" s="1"/>
  <c r="L25" i="1"/>
  <c r="F24" i="1"/>
  <c r="E24" i="1"/>
  <c r="L24" i="1" s="1"/>
  <c r="Q23" i="1"/>
  <c r="U23" i="1" s="1"/>
  <c r="L23" i="1"/>
  <c r="Q22" i="1"/>
  <c r="V22" i="1" s="1"/>
  <c r="L22" i="1"/>
  <c r="Q21" i="1"/>
  <c r="AF21" i="1" s="1"/>
  <c r="L21" i="1"/>
  <c r="Q20" i="1"/>
  <c r="V20" i="1" s="1"/>
  <c r="L20" i="1"/>
  <c r="Q19" i="1"/>
  <c r="L19" i="1"/>
  <c r="Q18" i="1"/>
  <c r="V18" i="1" s="1"/>
  <c r="L18" i="1"/>
  <c r="Q17" i="1"/>
  <c r="AF17" i="1" s="1"/>
  <c r="L17" i="1"/>
  <c r="Q16" i="1"/>
  <c r="V16" i="1" s="1"/>
  <c r="L16" i="1"/>
  <c r="Q15" i="1"/>
  <c r="V15" i="1" s="1"/>
  <c r="L15" i="1"/>
  <c r="Q14" i="1"/>
  <c r="L14" i="1"/>
  <c r="Q13" i="1"/>
  <c r="V13" i="1" s="1"/>
  <c r="L13" i="1"/>
  <c r="AF12" i="1"/>
  <c r="Q12" i="1"/>
  <c r="L12" i="1"/>
  <c r="Q11" i="1"/>
  <c r="V11" i="1" s="1"/>
  <c r="L11" i="1"/>
  <c r="AF10" i="1"/>
  <c r="Q10" i="1"/>
  <c r="L10" i="1"/>
  <c r="Q9" i="1"/>
  <c r="V9" i="1" s="1"/>
  <c r="L9" i="1"/>
  <c r="Q8" i="1"/>
  <c r="L8" i="1"/>
  <c r="Q7" i="1"/>
  <c r="V7" i="1" s="1"/>
  <c r="L7" i="1"/>
  <c r="Q6" i="1"/>
  <c r="AF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AF25" i="1" l="1"/>
  <c r="AF34" i="1"/>
  <c r="AF8" i="1"/>
  <c r="AF31" i="1"/>
  <c r="E5" i="1"/>
  <c r="AF36" i="1"/>
  <c r="AF14" i="1"/>
  <c r="AF19" i="1"/>
  <c r="U17" i="1"/>
  <c r="AF9" i="1"/>
  <c r="AF11" i="1"/>
  <c r="AF16" i="1"/>
  <c r="AF18" i="1"/>
  <c r="AF22" i="1"/>
  <c r="AF27" i="1"/>
  <c r="AF29" i="1"/>
  <c r="AF33" i="1"/>
  <c r="AF37" i="1"/>
  <c r="U8" i="1"/>
  <c r="U10" i="1"/>
  <c r="U12" i="1"/>
  <c r="U21" i="1"/>
  <c r="U26" i="1"/>
  <c r="U28" i="1"/>
  <c r="U30" i="1"/>
  <c r="U6" i="1"/>
  <c r="U9" i="1"/>
  <c r="U38" i="1"/>
  <c r="F5" i="1"/>
  <c r="U11" i="1"/>
  <c r="U15" i="1"/>
  <c r="U22" i="1"/>
  <c r="L5" i="1"/>
  <c r="Q24" i="1"/>
  <c r="V24" i="1" s="1"/>
  <c r="Q35" i="1"/>
  <c r="U39" i="1"/>
  <c r="V6" i="1"/>
  <c r="V8" i="1"/>
  <c r="V10" i="1"/>
  <c r="V12" i="1"/>
  <c r="V14" i="1"/>
  <c r="V17" i="1"/>
  <c r="V19" i="1"/>
  <c r="V21" i="1"/>
  <c r="V23" i="1"/>
  <c r="V26" i="1"/>
  <c r="V28" i="1"/>
  <c r="V30" i="1"/>
  <c r="V31" i="1"/>
  <c r="V33" i="1"/>
  <c r="V37" i="1"/>
  <c r="Q5" i="1" l="1"/>
  <c r="V35" i="1"/>
  <c r="U25" i="1"/>
  <c r="U18" i="1"/>
  <c r="U36" i="1"/>
  <c r="U34" i="1"/>
  <c r="U14" i="1"/>
  <c r="U32" i="1"/>
  <c r="AF32" i="1"/>
  <c r="U27" i="1"/>
  <c r="U31" i="1"/>
  <c r="U20" i="1"/>
  <c r="AF20" i="1"/>
  <c r="AF7" i="1"/>
  <c r="U37" i="1"/>
  <c r="AF35" i="1"/>
  <c r="U29" i="1"/>
  <c r="AF24" i="1"/>
  <c r="U7" i="1"/>
  <c r="U16" i="1"/>
  <c r="U13" i="1"/>
  <c r="AF13" i="1"/>
  <c r="U33" i="1"/>
  <c r="U19" i="1"/>
  <c r="U24" i="1" l="1"/>
  <c r="AF5" i="1"/>
  <c r="U35" i="1"/>
  <c r="R5" i="1"/>
</calcChain>
</file>

<file path=xl/sharedStrings.xml><?xml version="1.0" encoding="utf-8"?>
<sst xmlns="http://schemas.openxmlformats.org/spreadsheetml/2006/main" count="154" uniqueCount="78">
  <si>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</si>
  <si>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</si>
  <si>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</si>
  <si>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</si>
  <si>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</si>
  <si>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</si>
  <si>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</si>
  <si>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</si>
  <si>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</si>
  <si>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</si>
  <si>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</si>
  <si>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</si>
  <si>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</si>
  <si>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</si>
  <si>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</si>
  <si>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</si>
  <si>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</si>
  <si>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</si>
  <si>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</si>
  <si>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</si>
  <si>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</si>
  <si>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</si>
  <si>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</si>
  <si>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11,11,</t>
  </si>
  <si>
    <t>18,11,</t>
  </si>
  <si>
    <t>17,11,</t>
  </si>
  <si>
    <t>10,11,</t>
  </si>
  <si>
    <t>03,11,</t>
  </si>
  <si>
    <t>27,10,</t>
  </si>
  <si>
    <t>20,10,</t>
  </si>
  <si>
    <t>13,10,</t>
  </si>
  <si>
    <t>06,10,</t>
  </si>
  <si>
    <t>29,09,</t>
  </si>
  <si>
    <t>22,09,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</si>
  <si>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</si>
  <si>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</si>
  <si>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</si>
  <si>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</si>
  <si>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</si>
  <si>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</si>
  <si>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</si>
  <si>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</si>
  <si>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</si>
  <si>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</si>
  <si>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</si>
  <si>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</si>
  <si>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</si>
  <si>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не в матрице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</si>
  <si>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</si>
  <si>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</si>
  <si>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</si>
  <si>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</si>
  <si>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</si>
  <si>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</si>
  <si>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</si>
  <si>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</si>
  <si>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</si>
  <si>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</si>
  <si>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</si>
  <si>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</si>
  <si>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</si>
  <si>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</si>
  <si>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</si>
  <si>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</si>
  <si>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</si>
  <si>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</si>
  <si>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</si>
  <si>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</si>
  <si>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</si>
  <si>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</si>
  <si>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</si>
  <si>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</t>
  </si>
  <si>
    <t>БОНУС_7104 БЕКОН Останкино с/к с/н в/у 1/180_СНГ_50 ОСТАНКИНО</t>
  </si>
  <si>
    <t>нужно увеличить продажи</t>
  </si>
  <si>
    <t>нужно увеличить продажи!!!</t>
  </si>
  <si>
    <t>НОВЫЙ КОД 6345</t>
  </si>
  <si>
    <t>заказ</t>
  </si>
  <si>
    <t>25,11,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</si>
</sst>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8,11,25%20&#1090;&#1096;&#1088;&#1089;&#1095;%20&#1086;&#1089;&#1090;%20&#1082;&#1080;&#1054;&#10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Конечный остаток</v>
          </cell>
          <cell r="H3" t="str">
            <v>крат</v>
          </cell>
          <cell r="I3" t="str">
            <v>сроки</v>
          </cell>
          <cell r="J3" t="str">
            <v>метка</v>
          </cell>
          <cell r="K3" t="str">
            <v>метка2</v>
          </cell>
          <cell r="L3" t="str">
            <v>заяв</v>
          </cell>
          <cell r="M3" t="str">
            <v>разн</v>
          </cell>
          <cell r="N3" t="str">
            <v>без опта</v>
          </cell>
          <cell r="O3" t="str">
            <v>опт</v>
          </cell>
          <cell r="P3" t="str">
            <v>заказ в пути</v>
          </cell>
          <cell r="Q3" t="str">
            <v>заказ в пути</v>
          </cell>
          <cell r="R3" t="str">
            <v>ср нов</v>
          </cell>
          <cell r="S3" t="str">
            <v>расчет</v>
          </cell>
          <cell r="T3" t="str">
            <v>заказ филиала</v>
          </cell>
          <cell r="U3" t="str">
            <v>Комментарии филиала</v>
          </cell>
        </row>
        <row r="4">
          <cell r="F4">
            <v>45979</v>
          </cell>
          <cell r="G4">
            <v>45979</v>
          </cell>
          <cell r="P4" t="str">
            <v>11,11,</v>
          </cell>
          <cell r="Q4" t="str">
            <v>18,11,</v>
          </cell>
          <cell r="R4" t="str">
            <v>17,11,</v>
          </cell>
          <cell r="T4" t="str">
            <v>25,11,</v>
          </cell>
        </row>
        <row r="5">
          <cell r="E5">
            <v>7462.7979999999989</v>
          </cell>
          <cell r="F5">
            <v>6596.2360000000008</v>
          </cell>
          <cell r="G5">
            <v>6530</v>
          </cell>
          <cell r="L5">
            <v>0</v>
          </cell>
          <cell r="M5">
            <v>7462.7979999999989</v>
          </cell>
          <cell r="N5">
            <v>0</v>
          </cell>
          <cell r="O5">
            <v>0</v>
          </cell>
          <cell r="P5">
            <v>6610</v>
          </cell>
          <cell r="Q5">
            <v>6590</v>
          </cell>
          <cell r="R5">
            <v>1492.5595999999998</v>
          </cell>
          <cell r="S5">
            <v>9793.9560000000001</v>
          </cell>
          <cell r="T5">
            <v>7690</v>
          </cell>
        </row>
        <row r="6">
          <cell r="A6" t="str">
            <v>4079 СЕРВЕЛАТ КОПЧЕНЫЙ НА БУКЕ в/к в/у_СНГ</v>
          </cell>
          <cell r="B6" t="str">
            <v>кг</v>
          </cell>
          <cell r="C6">
            <v>85.712999999999994</v>
          </cell>
          <cell r="D6">
            <v>144.798</v>
          </cell>
          <cell r="E6">
            <v>124.79</v>
          </cell>
          <cell r="F6">
            <v>56.162999999999997</v>
          </cell>
          <cell r="G6">
            <v>50</v>
          </cell>
          <cell r="H6">
            <v>1</v>
          </cell>
          <cell r="I6">
            <v>45</v>
          </cell>
          <cell r="J6" t="str">
            <v>матрица</v>
          </cell>
          <cell r="M6">
            <v>124.79</v>
          </cell>
          <cell r="P6">
            <v>50</v>
          </cell>
          <cell r="Q6">
            <v>150</v>
          </cell>
          <cell r="R6">
            <v>24.958000000000002</v>
          </cell>
          <cell r="S6">
            <v>242.99700000000001</v>
          </cell>
          <cell r="T6">
            <v>160</v>
          </cell>
        </row>
        <row r="7">
          <cell r="A7" t="str">
            <v>4087   СЕРВЕЛАТ КОПЧЕНЫЙ НА БУКЕ в/к в/К 0,35</v>
          </cell>
          <cell r="B7" t="str">
            <v>шт</v>
          </cell>
          <cell r="C7">
            <v>599.81100000000004</v>
          </cell>
          <cell r="D7">
            <v>200</v>
          </cell>
          <cell r="E7">
            <v>565</v>
          </cell>
          <cell r="F7">
            <v>143.81100000000001</v>
          </cell>
          <cell r="G7">
            <v>132</v>
          </cell>
          <cell r="H7">
            <v>0.35</v>
          </cell>
          <cell r="I7">
            <v>45</v>
          </cell>
          <cell r="J7" t="str">
            <v>матрица</v>
          </cell>
          <cell r="M7">
            <v>565</v>
          </cell>
          <cell r="P7">
            <v>440</v>
          </cell>
          <cell r="Q7">
            <v>600</v>
          </cell>
          <cell r="R7">
            <v>113</v>
          </cell>
          <cell r="S7">
            <v>1076.1890000000001</v>
          </cell>
          <cell r="T7">
            <v>700</v>
          </cell>
        </row>
        <row r="8">
          <cell r="A8" t="str">
            <v>5096   СЕРВЕЛАТ КРЕМЛЕВСКИЙ в/к в/у_СНГ</v>
          </cell>
          <cell r="B8" t="str">
            <v>кг</v>
          </cell>
          <cell r="C8">
            <v>157.1</v>
          </cell>
          <cell r="D8">
            <v>52.386000000000003</v>
          </cell>
          <cell r="E8">
            <v>91.302999999999997</v>
          </cell>
          <cell r="F8">
            <v>73.614999999999995</v>
          </cell>
          <cell r="G8">
            <v>73</v>
          </cell>
          <cell r="H8">
            <v>1</v>
          </cell>
          <cell r="I8">
            <v>45</v>
          </cell>
          <cell r="J8" t="str">
            <v>матрица</v>
          </cell>
          <cell r="M8">
            <v>91.302999999999997</v>
          </cell>
          <cell r="P8">
            <v>30</v>
          </cell>
          <cell r="Q8">
            <v>50</v>
          </cell>
          <cell r="R8">
            <v>18.2606</v>
          </cell>
          <cell r="S8">
            <v>211.59699999999998</v>
          </cell>
          <cell r="T8">
            <v>150</v>
          </cell>
        </row>
        <row r="9">
          <cell r="A9" t="str">
            <v>5608 СЕРВЕЛАТ ФИНСКИЙ в/к в/у срез 0.35кг_СНГ</v>
          </cell>
          <cell r="B9" t="str">
            <v>шт</v>
          </cell>
          <cell r="C9">
            <v>670</v>
          </cell>
          <cell r="E9">
            <v>334</v>
          </cell>
          <cell r="F9">
            <v>239</v>
          </cell>
          <cell r="G9">
            <v>239</v>
          </cell>
          <cell r="H9">
            <v>0.35</v>
          </cell>
          <cell r="I9">
            <v>45</v>
          </cell>
          <cell r="J9" t="str">
            <v>матрица</v>
          </cell>
          <cell r="M9">
            <v>334</v>
          </cell>
          <cell r="P9">
            <v>160</v>
          </cell>
          <cell r="Q9">
            <v>400</v>
          </cell>
          <cell r="R9">
            <v>66.8</v>
          </cell>
          <cell r="S9">
            <v>537</v>
          </cell>
          <cell r="T9">
            <v>500</v>
          </cell>
        </row>
        <row r="10">
          <cell r="A10" t="str">
            <v>6071 ЭКСТРА Папа может вар п/о_UZ</v>
          </cell>
          <cell r="B10" t="str">
            <v>кг</v>
          </cell>
          <cell r="C10">
            <v>28.547999999999998</v>
          </cell>
          <cell r="D10">
            <v>28.469000000000001</v>
          </cell>
          <cell r="E10">
            <v>6.7290000000000001</v>
          </cell>
          <cell r="F10">
            <v>46.244</v>
          </cell>
          <cell r="G10">
            <v>46</v>
          </cell>
          <cell r="H10">
            <v>1</v>
          </cell>
          <cell r="I10">
            <v>60</v>
          </cell>
          <cell r="J10" t="str">
            <v>матрица</v>
          </cell>
          <cell r="M10">
            <v>6.7290000000000001</v>
          </cell>
          <cell r="R10">
            <v>1.3458000000000001</v>
          </cell>
          <cell r="S10">
            <v>-19.327999999999996</v>
          </cell>
        </row>
        <row r="11">
          <cell r="A11" t="str">
            <v>6072 ЭКСТРА Папа может вар п/о 0.4кг_UZ</v>
          </cell>
          <cell r="B11" t="str">
            <v>шт</v>
          </cell>
          <cell r="C11">
            <v>1231</v>
          </cell>
          <cell r="E11">
            <v>342</v>
          </cell>
          <cell r="F11">
            <v>781</v>
          </cell>
          <cell r="G11">
            <v>781</v>
          </cell>
          <cell r="H11">
            <v>0.4</v>
          </cell>
          <cell r="I11">
            <v>60</v>
          </cell>
          <cell r="J11" t="str">
            <v>матрица</v>
          </cell>
          <cell r="M11">
            <v>342</v>
          </cell>
          <cell r="P11">
            <v>600</v>
          </cell>
          <cell r="Q11">
            <v>600</v>
          </cell>
          <cell r="R11">
            <v>68.400000000000006</v>
          </cell>
          <cell r="S11">
            <v>-613</v>
          </cell>
          <cell r="T11">
            <v>200</v>
          </cell>
          <cell r="U11" t="str">
            <v>на халк</v>
          </cell>
        </row>
        <row r="12">
          <cell r="A12" t="str">
            <v>6075 МЯСНАЯ Папа может вар п/о_UZ</v>
          </cell>
          <cell r="B12" t="str">
            <v>кг</v>
          </cell>
          <cell r="C12">
            <v>112</v>
          </cell>
          <cell r="E12">
            <v>25.675999999999998</v>
          </cell>
          <cell r="F12">
            <v>64.748999999999995</v>
          </cell>
          <cell r="G12">
            <v>64</v>
          </cell>
          <cell r="H12">
            <v>1</v>
          </cell>
          <cell r="I12">
            <v>60</v>
          </cell>
          <cell r="J12" t="str">
            <v>матрица</v>
          </cell>
          <cell r="M12">
            <v>25.675999999999998</v>
          </cell>
          <cell r="Q12">
            <v>50</v>
          </cell>
          <cell r="R12">
            <v>5.1351999999999993</v>
          </cell>
          <cell r="S12">
            <v>-12.045000000000016</v>
          </cell>
        </row>
        <row r="13">
          <cell r="A13" t="str">
            <v>6076 МЯСНАЯ Папа может вар п/о 0.4кг_UZ</v>
          </cell>
          <cell r="B13" t="str">
            <v>шт</v>
          </cell>
          <cell r="C13">
            <v>602</v>
          </cell>
          <cell r="E13">
            <v>322</v>
          </cell>
          <cell r="F13">
            <v>180</v>
          </cell>
          <cell r="G13">
            <v>172</v>
          </cell>
          <cell r="H13">
            <v>0.4</v>
          </cell>
          <cell r="I13">
            <v>60</v>
          </cell>
          <cell r="J13" t="str">
            <v>матрица</v>
          </cell>
          <cell r="M13">
            <v>322</v>
          </cell>
          <cell r="P13">
            <v>320</v>
          </cell>
          <cell r="Q13">
            <v>320</v>
          </cell>
          <cell r="R13">
            <v>64.400000000000006</v>
          </cell>
          <cell r="S13">
            <v>468</v>
          </cell>
          <cell r="T13">
            <v>400</v>
          </cell>
        </row>
        <row r="14">
          <cell r="A14" t="str">
            <v>6078 ФИЛЕЙНАЯ Папа может вар п/о_UZ</v>
          </cell>
          <cell r="B14" t="str">
            <v>кг</v>
          </cell>
          <cell r="C14">
            <v>84</v>
          </cell>
          <cell r="D14">
            <v>44.554000000000002</v>
          </cell>
          <cell r="E14">
            <v>34.61</v>
          </cell>
          <cell r="F14">
            <v>67.84</v>
          </cell>
          <cell r="G14">
            <v>64</v>
          </cell>
          <cell r="H14">
            <v>1</v>
          </cell>
          <cell r="I14">
            <v>60</v>
          </cell>
          <cell r="J14" t="str">
            <v>матрица</v>
          </cell>
          <cell r="M14">
            <v>34.61</v>
          </cell>
          <cell r="P14">
            <v>30</v>
          </cell>
          <cell r="R14">
            <v>6.9219999999999997</v>
          </cell>
          <cell r="S14">
            <v>40.599999999999994</v>
          </cell>
          <cell r="T14">
            <v>50</v>
          </cell>
        </row>
        <row r="15">
          <cell r="A15" t="str">
            <v>6087 СОЧНЫЕ сос п/о мгс 0.45кг_UZ</v>
          </cell>
          <cell r="B15" t="str">
            <v>шт</v>
          </cell>
          <cell r="C15">
            <v>-3</v>
          </cell>
          <cell r="F15">
            <v>-3</v>
          </cell>
          <cell r="G15">
            <v>-3</v>
          </cell>
          <cell r="H15">
            <v>0</v>
          </cell>
          <cell r="J15" t="str">
            <v>не в матрице</v>
          </cell>
          <cell r="K15" t="str">
            <v>7067 СОЧНЫЕ ПМ сос п/о мгс 0.41кг_СНГ_50с  ОСТАНКИНО</v>
          </cell>
          <cell r="M15">
            <v>0</v>
          </cell>
          <cell r="R15">
            <v>0</v>
          </cell>
          <cell r="S15">
            <v>3</v>
          </cell>
        </row>
        <row r="16">
          <cell r="A16" t="str">
            <v>6091 АРОМАТНАЯ с/к в/у_UZ</v>
          </cell>
          <cell r="B16" t="str">
            <v>кг</v>
          </cell>
          <cell r="C16">
            <v>218.8</v>
          </cell>
          <cell r="E16">
            <v>53.988999999999997</v>
          </cell>
          <cell r="F16">
            <v>158.90600000000001</v>
          </cell>
          <cell r="G16">
            <v>158</v>
          </cell>
          <cell r="H16">
            <v>1</v>
          </cell>
          <cell r="I16">
            <v>120</v>
          </cell>
          <cell r="J16" t="str">
            <v>матрица</v>
          </cell>
          <cell r="M16">
            <v>53.988999999999997</v>
          </cell>
          <cell r="R16">
            <v>10.797799999999999</v>
          </cell>
          <cell r="S16">
            <v>57.049999999999955</v>
          </cell>
          <cell r="T16">
            <v>50</v>
          </cell>
        </row>
        <row r="17">
          <cell r="A17" t="str">
            <v>6092 АРОМАТНАЯ с/к в/у 1/250 8шт_UZ</v>
          </cell>
          <cell r="B17" t="str">
            <v>шт</v>
          </cell>
          <cell r="C17">
            <v>336</v>
          </cell>
          <cell r="D17">
            <v>120</v>
          </cell>
          <cell r="E17">
            <v>200</v>
          </cell>
          <cell r="F17">
            <v>236</v>
          </cell>
          <cell r="G17">
            <v>236</v>
          </cell>
          <cell r="H17">
            <v>0.25</v>
          </cell>
          <cell r="I17">
            <v>120</v>
          </cell>
          <cell r="J17" t="str">
            <v>матрица</v>
          </cell>
          <cell r="M17">
            <v>200</v>
          </cell>
          <cell r="P17">
            <v>240</v>
          </cell>
          <cell r="Q17">
            <v>120</v>
          </cell>
          <cell r="R17">
            <v>40</v>
          </cell>
          <cell r="S17">
            <v>204</v>
          </cell>
          <cell r="T17">
            <v>300</v>
          </cell>
        </row>
        <row r="18">
          <cell r="A18" t="str">
            <v>6093 САЛЯМИ ИТАЛЬЯНСКАЯ с/к в/у 1/250 8шт_UZ</v>
          </cell>
          <cell r="B18" t="str">
            <v>шт</v>
          </cell>
          <cell r="C18">
            <v>66</v>
          </cell>
          <cell r="D18">
            <v>360</v>
          </cell>
          <cell r="E18">
            <v>329</v>
          </cell>
          <cell r="F18">
            <v>38</v>
          </cell>
          <cell r="G18">
            <v>30</v>
          </cell>
          <cell r="H18">
            <v>0.25</v>
          </cell>
          <cell r="I18">
            <v>120</v>
          </cell>
          <cell r="J18" t="str">
            <v>матрица</v>
          </cell>
          <cell r="M18">
            <v>329</v>
          </cell>
          <cell r="P18">
            <v>440</v>
          </cell>
          <cell r="Q18">
            <v>320</v>
          </cell>
          <cell r="R18">
            <v>65.8</v>
          </cell>
          <cell r="S18">
            <v>518</v>
          </cell>
          <cell r="T18">
            <v>500</v>
          </cell>
        </row>
        <row r="19">
          <cell r="A19" t="str">
            <v>6094 ЮБИЛЕЙНАЯ с/к в/у_UZ</v>
          </cell>
          <cell r="B19" t="str">
            <v>кг</v>
          </cell>
          <cell r="C19">
            <v>35.4</v>
          </cell>
          <cell r="D19">
            <v>46.954000000000001</v>
          </cell>
          <cell r="E19">
            <v>26.457999999999998</v>
          </cell>
          <cell r="F19">
            <v>45.18</v>
          </cell>
          <cell r="G19">
            <v>45</v>
          </cell>
          <cell r="H19">
            <v>1</v>
          </cell>
          <cell r="I19">
            <v>120</v>
          </cell>
          <cell r="J19" t="str">
            <v>матрица</v>
          </cell>
          <cell r="M19">
            <v>26.457999999999998</v>
          </cell>
          <cell r="P19">
            <v>30</v>
          </cell>
          <cell r="Q19">
            <v>80</v>
          </cell>
          <cell r="R19">
            <v>5.2915999999999999</v>
          </cell>
          <cell r="S19">
            <v>-49.348000000000006</v>
          </cell>
          <cell r="T19">
            <v>50</v>
          </cell>
        </row>
        <row r="20">
          <cell r="A20" t="str">
            <v>6095 ЮБИЛЕЙНАЯ с/к в/у 1/250 8шт_UZ</v>
          </cell>
          <cell r="B20" t="str">
            <v>шт</v>
          </cell>
          <cell r="C20">
            <v>274</v>
          </cell>
          <cell r="E20">
            <v>237</v>
          </cell>
          <cell r="F20">
            <v>18</v>
          </cell>
          <cell r="G20">
            <v>18</v>
          </cell>
          <cell r="H20">
            <v>0.25</v>
          </cell>
          <cell r="I20">
            <v>120</v>
          </cell>
          <cell r="J20" t="str">
            <v>матрица</v>
          </cell>
          <cell r="M20">
            <v>237</v>
          </cell>
          <cell r="P20">
            <v>240</v>
          </cell>
          <cell r="Q20">
            <v>320</v>
          </cell>
          <cell r="R20">
            <v>47.4</v>
          </cell>
          <cell r="S20">
            <v>370</v>
          </cell>
          <cell r="T20">
            <v>400</v>
          </cell>
        </row>
        <row r="21">
          <cell r="A21" t="str">
            <v>6220 ГОВЯЖЬЯ Папа может вар п/о  ОСТАНКИНО</v>
          </cell>
          <cell r="B21" t="str">
            <v>кг</v>
          </cell>
          <cell r="C21">
            <v>43.945999999999998</v>
          </cell>
          <cell r="D21">
            <v>48.837000000000003</v>
          </cell>
          <cell r="E21">
            <v>21.866</v>
          </cell>
          <cell r="F21">
            <v>57.305999999999997</v>
          </cell>
          <cell r="G21">
            <v>57</v>
          </cell>
          <cell r="H21">
            <v>1</v>
          </cell>
          <cell r="I21">
            <v>60</v>
          </cell>
          <cell r="J21" t="str">
            <v>матрица</v>
          </cell>
          <cell r="M21">
            <v>21.866</v>
          </cell>
          <cell r="P21">
            <v>30</v>
          </cell>
          <cell r="Q21">
            <v>30</v>
          </cell>
          <cell r="R21">
            <v>4.3731999999999998</v>
          </cell>
          <cell r="S21">
            <v>-29.841999999999999</v>
          </cell>
        </row>
        <row r="22">
          <cell r="A22" t="str">
            <v>6268 ГОВЯЖЬЯ Папа может вар п/о 0.4кг 8шт.  ОСТАНКИНО</v>
          </cell>
          <cell r="B22" t="str">
            <v>шт</v>
          </cell>
          <cell r="C22">
            <v>86</v>
          </cell>
          <cell r="E22">
            <v>86</v>
          </cell>
          <cell r="H22">
            <v>0.4</v>
          </cell>
          <cell r="I22">
            <v>60</v>
          </cell>
          <cell r="J22" t="str">
            <v>матрица</v>
          </cell>
          <cell r="M22">
            <v>86</v>
          </cell>
          <cell r="P22">
            <v>400</v>
          </cell>
          <cell r="Q22">
            <v>480</v>
          </cell>
          <cell r="R22">
            <v>17.2</v>
          </cell>
          <cell r="S22">
            <v>-536</v>
          </cell>
          <cell r="T22">
            <v>400</v>
          </cell>
          <cell r="U22" t="str">
            <v>на халк</v>
          </cell>
        </row>
        <row r="23">
          <cell r="A23" t="str">
            <v>6270 ФИЛЕЙНАЯ Папа может вар п/о 0.4кг СНГ</v>
          </cell>
          <cell r="B23" t="str">
            <v>шт</v>
          </cell>
          <cell r="C23">
            <v>-3</v>
          </cell>
          <cell r="F23">
            <v>-3</v>
          </cell>
          <cell r="G23">
            <v>-3</v>
          </cell>
          <cell r="H23">
            <v>0</v>
          </cell>
          <cell r="J23" t="str">
            <v>не в матрице</v>
          </cell>
          <cell r="K23" t="str">
            <v>6346 ФИЛЕЙНАЯ Папа может вар п/о 0.5кг_СНГ  ОСТАНКИНО</v>
          </cell>
          <cell r="M23">
            <v>0</v>
          </cell>
          <cell r="R23">
            <v>0</v>
          </cell>
          <cell r="S23">
            <v>3</v>
          </cell>
        </row>
        <row r="24">
          <cell r="A24" t="str">
            <v>6346 ФИЛЕЙНАЯ Папа может вар п/о 0.5кг_СНГ  ОСТАНКИНО</v>
          </cell>
          <cell r="B24" t="str">
            <v>шт</v>
          </cell>
          <cell r="C24">
            <v>1703</v>
          </cell>
          <cell r="E24">
            <v>441</v>
          </cell>
          <cell r="F24">
            <v>1184</v>
          </cell>
          <cell r="G24">
            <v>1166</v>
          </cell>
          <cell r="H24">
            <v>0.5</v>
          </cell>
          <cell r="I24">
            <v>60</v>
          </cell>
          <cell r="J24" t="str">
            <v>матрица</v>
          </cell>
          <cell r="M24">
            <v>441</v>
          </cell>
          <cell r="R24">
            <v>88.2</v>
          </cell>
          <cell r="S24">
            <v>580</v>
          </cell>
          <cell r="U24" t="str">
            <v>вывод из сети халк, ротация на говяжью</v>
          </cell>
        </row>
        <row r="25">
          <cell r="A25" t="str">
            <v>6765 РУБЛЕНЫЕ сос ц/о мгс 0.36кг 6шт.  ОСТАНКИНО</v>
          </cell>
          <cell r="B25" t="str">
            <v>шт</v>
          </cell>
          <cell r="C25">
            <v>364</v>
          </cell>
          <cell r="E25">
            <v>163</v>
          </cell>
          <cell r="F25">
            <v>180</v>
          </cell>
          <cell r="G25">
            <v>180</v>
          </cell>
          <cell r="H25">
            <v>0.36</v>
          </cell>
          <cell r="I25">
            <v>45</v>
          </cell>
          <cell r="J25" t="str">
            <v>матрица</v>
          </cell>
          <cell r="M25">
            <v>163</v>
          </cell>
          <cell r="P25">
            <v>160</v>
          </cell>
          <cell r="R25">
            <v>32.6</v>
          </cell>
          <cell r="S25">
            <v>312</v>
          </cell>
          <cell r="T25">
            <v>100</v>
          </cell>
        </row>
        <row r="26">
          <cell r="A26" t="str">
            <v>6787 СЕРВЕЛАТ КРЕМЛЕВСКИЙ в/к в/у 0.33кг 8шт.  ОСТАНКИНО</v>
          </cell>
          <cell r="B26" t="str">
            <v>шт</v>
          </cell>
          <cell r="C26">
            <v>289</v>
          </cell>
          <cell r="D26">
            <v>200</v>
          </cell>
          <cell r="E26">
            <v>307</v>
          </cell>
          <cell r="F26">
            <v>130</v>
          </cell>
          <cell r="G26">
            <v>125</v>
          </cell>
          <cell r="H26">
            <v>0.33</v>
          </cell>
          <cell r="I26">
            <v>45</v>
          </cell>
          <cell r="J26" t="str">
            <v>матрица</v>
          </cell>
          <cell r="M26">
            <v>307</v>
          </cell>
          <cell r="P26">
            <v>240</v>
          </cell>
          <cell r="Q26">
            <v>320</v>
          </cell>
          <cell r="R26">
            <v>61.4</v>
          </cell>
          <cell r="S26">
            <v>538</v>
          </cell>
          <cell r="T26">
            <v>200</v>
          </cell>
        </row>
        <row r="27">
          <cell r="A27" t="str">
            <v>6807 СЕРВЕЛАТ ЕВРОПЕЙСКИЙ в/к в/у 0.33кг 8шт.  ОСТАНКИНО</v>
          </cell>
          <cell r="B27" t="str">
            <v>шт</v>
          </cell>
          <cell r="C27">
            <v>323</v>
          </cell>
          <cell r="D27">
            <v>200</v>
          </cell>
          <cell r="E27">
            <v>159</v>
          </cell>
          <cell r="F27">
            <v>321</v>
          </cell>
          <cell r="G27">
            <v>321</v>
          </cell>
          <cell r="H27">
            <v>0.33</v>
          </cell>
          <cell r="I27">
            <v>45</v>
          </cell>
          <cell r="J27" t="str">
            <v>матрица</v>
          </cell>
          <cell r="M27">
            <v>159</v>
          </cell>
          <cell r="P27">
            <v>240</v>
          </cell>
          <cell r="R27">
            <v>31.8</v>
          </cell>
          <cell r="S27">
            <v>75</v>
          </cell>
          <cell r="T27">
            <v>80</v>
          </cell>
        </row>
        <row r="28">
          <cell r="A28" t="str">
            <v>6837 ФИЛЕЙНЫЕ Папа Может сос ц/о мгс 0.4кг  ОСТАНКИНО</v>
          </cell>
          <cell r="B28" t="str">
            <v>шт</v>
          </cell>
          <cell r="C28">
            <v>270</v>
          </cell>
          <cell r="D28">
            <v>198</v>
          </cell>
          <cell r="E28">
            <v>155</v>
          </cell>
          <cell r="F28">
            <v>269</v>
          </cell>
          <cell r="G28">
            <v>265</v>
          </cell>
          <cell r="H28">
            <v>0.4</v>
          </cell>
          <cell r="I28">
            <v>45</v>
          </cell>
          <cell r="J28" t="str">
            <v>матрица</v>
          </cell>
          <cell r="M28">
            <v>155</v>
          </cell>
          <cell r="P28">
            <v>100</v>
          </cell>
          <cell r="R28">
            <v>31</v>
          </cell>
          <cell r="S28">
            <v>251</v>
          </cell>
          <cell r="T28">
            <v>100</v>
          </cell>
        </row>
        <row r="29">
          <cell r="A29" t="str">
            <v>7058 ШПИКАЧКИ СОЧНЫЕ С БЕКОНОМ п/о мгс 1*3_60с  ОСТАНКИНО</v>
          </cell>
          <cell r="B29" t="str">
            <v>кг</v>
          </cell>
          <cell r="C29">
            <v>303.08100000000002</v>
          </cell>
          <cell r="D29">
            <v>201.69300000000001</v>
          </cell>
          <cell r="E29">
            <v>228.63499999999999</v>
          </cell>
          <cell r="F29">
            <v>206.11799999999999</v>
          </cell>
          <cell r="G29">
            <v>206</v>
          </cell>
          <cell r="H29">
            <v>1</v>
          </cell>
          <cell r="I29">
            <v>60</v>
          </cell>
          <cell r="J29" t="str">
            <v>матрица</v>
          </cell>
          <cell r="M29">
            <v>228.63499999999999</v>
          </cell>
          <cell r="P29">
            <v>100</v>
          </cell>
          <cell r="Q29">
            <v>200</v>
          </cell>
          <cell r="R29">
            <v>45.726999999999997</v>
          </cell>
          <cell r="S29">
            <v>408.42199999999997</v>
          </cell>
          <cell r="T29">
            <v>300</v>
          </cell>
        </row>
        <row r="30">
          <cell r="A30" t="str">
            <v>7059 ШПИКАЧКИ СОЧНЫЕ С БЕК. п/о мгс 0.3кг_60с  ОСТАНКИНО</v>
          </cell>
          <cell r="B30" t="str">
            <v>шт</v>
          </cell>
          <cell r="C30">
            <v>138</v>
          </cell>
          <cell r="D30">
            <v>96</v>
          </cell>
          <cell r="E30">
            <v>106</v>
          </cell>
          <cell r="F30">
            <v>56</v>
          </cell>
          <cell r="G30">
            <v>56</v>
          </cell>
          <cell r="H30">
            <v>0.3</v>
          </cell>
          <cell r="I30">
            <v>60</v>
          </cell>
          <cell r="J30" t="str">
            <v>матрица</v>
          </cell>
          <cell r="M30">
            <v>106</v>
          </cell>
          <cell r="P30">
            <v>100</v>
          </cell>
          <cell r="Q30">
            <v>100</v>
          </cell>
          <cell r="R30">
            <v>21.2</v>
          </cell>
          <cell r="S30">
            <v>168</v>
          </cell>
          <cell r="T30">
            <v>100</v>
          </cell>
        </row>
        <row r="31">
          <cell r="A31" t="str">
            <v>7067 СОЧНЫЕ ПМ сос п/о мгс 0.41кг_СНГ_50с  ОСТАНКИНО</v>
          </cell>
          <cell r="B31" t="str">
            <v>шт</v>
          </cell>
          <cell r="C31">
            <v>496</v>
          </cell>
          <cell r="D31">
            <v>200</v>
          </cell>
          <cell r="E31">
            <v>215</v>
          </cell>
          <cell r="F31">
            <v>406</v>
          </cell>
          <cell r="G31">
            <v>406</v>
          </cell>
          <cell r="H31">
            <v>0.41</v>
          </cell>
          <cell r="I31">
            <v>50</v>
          </cell>
          <cell r="J31" t="str">
            <v>матрица</v>
          </cell>
          <cell r="M31">
            <v>215</v>
          </cell>
          <cell r="R31">
            <v>43</v>
          </cell>
          <cell r="S31">
            <v>454</v>
          </cell>
          <cell r="T31">
            <v>200</v>
          </cell>
        </row>
        <row r="32">
          <cell r="A32" t="str">
            <v>7070 СОЧНЫЕ ПМ сос п/о мгс 1.5*4_А_50с  ОСТАНКИНО</v>
          </cell>
          <cell r="B32" t="str">
            <v>кг</v>
          </cell>
          <cell r="C32">
            <v>558.6</v>
          </cell>
          <cell r="D32">
            <v>405.53399999999999</v>
          </cell>
          <cell r="E32">
            <v>343.28399999999999</v>
          </cell>
          <cell r="F32">
            <v>484.93400000000003</v>
          </cell>
          <cell r="G32">
            <v>485</v>
          </cell>
          <cell r="H32">
            <v>1</v>
          </cell>
          <cell r="I32">
            <v>50</v>
          </cell>
          <cell r="J32" t="str">
            <v>матрица</v>
          </cell>
          <cell r="M32">
            <v>343.28399999999999</v>
          </cell>
          <cell r="P32">
            <v>350</v>
          </cell>
          <cell r="Q32">
            <v>400</v>
          </cell>
          <cell r="R32">
            <v>68.656800000000004</v>
          </cell>
          <cell r="S32">
            <v>138.20199999999994</v>
          </cell>
          <cell r="T32">
            <v>200</v>
          </cell>
        </row>
        <row r="33">
          <cell r="A33" t="str">
            <v>7075 МОЛОЧ.ПРЕМИУМ ПМ сос п/о мгс 1.5*4_О_50с  ОСТАНКИНО</v>
          </cell>
          <cell r="B33" t="str">
            <v>кг</v>
          </cell>
          <cell r="C33">
            <v>108.36499999999999</v>
          </cell>
          <cell r="D33">
            <v>126.5</v>
          </cell>
          <cell r="E33">
            <v>131.458</v>
          </cell>
          <cell r="F33">
            <v>36.369999999999997</v>
          </cell>
          <cell r="G33">
            <v>36</v>
          </cell>
          <cell r="H33">
            <v>1</v>
          </cell>
          <cell r="I33">
            <v>50</v>
          </cell>
          <cell r="J33" t="str">
            <v>матрица</v>
          </cell>
          <cell r="M33">
            <v>131.458</v>
          </cell>
          <cell r="P33">
            <v>150</v>
          </cell>
          <cell r="Q33">
            <v>150</v>
          </cell>
          <cell r="R33">
            <v>26.291599999999999</v>
          </cell>
          <cell r="S33">
            <v>189.46199999999999</v>
          </cell>
          <cell r="T33">
            <v>150</v>
          </cell>
        </row>
        <row r="34">
          <cell r="A34" t="str">
            <v>7077 МЯСНЫЕ С ГОВЯД.ПМ сос п/о мгс 0.4кг_50с ОСТАНКИНО</v>
          </cell>
          <cell r="B34" t="str">
            <v>шт</v>
          </cell>
          <cell r="C34">
            <v>418</v>
          </cell>
          <cell r="D34">
            <v>280</v>
          </cell>
          <cell r="E34">
            <v>265</v>
          </cell>
          <cell r="F34">
            <v>346</v>
          </cell>
          <cell r="G34">
            <v>341</v>
          </cell>
          <cell r="H34">
            <v>0.4</v>
          </cell>
          <cell r="I34">
            <v>50</v>
          </cell>
          <cell r="J34" t="str">
            <v>матрица</v>
          </cell>
          <cell r="M34">
            <v>265</v>
          </cell>
          <cell r="P34">
            <v>160</v>
          </cell>
          <cell r="R34">
            <v>53</v>
          </cell>
          <cell r="S34">
            <v>554</v>
          </cell>
          <cell r="T34">
            <v>250</v>
          </cell>
        </row>
        <row r="35">
          <cell r="A35" t="str">
            <v>7104 БЕКОН Останкино с/к с/н в/у 1/180_СНГ_50 ОСТАНКИНО</v>
          </cell>
          <cell r="B35" t="str">
            <v>шт</v>
          </cell>
          <cell r="C35">
            <v>412</v>
          </cell>
          <cell r="E35">
            <v>195</v>
          </cell>
          <cell r="F35">
            <v>177</v>
          </cell>
          <cell r="G35">
            <v>172</v>
          </cell>
          <cell r="H35">
            <v>0.18</v>
          </cell>
          <cell r="I35">
            <v>50</v>
          </cell>
          <cell r="J35" t="str">
            <v>матрица</v>
          </cell>
          <cell r="M35">
            <v>195</v>
          </cell>
          <cell r="P35">
            <v>160</v>
          </cell>
          <cell r="R35">
            <v>39</v>
          </cell>
          <cell r="S35">
            <v>443</v>
          </cell>
          <cell r="T35">
            <v>50</v>
          </cell>
          <cell r="U35" t="str">
            <v>запустили акцию, чтобы распродать</v>
          </cell>
        </row>
        <row r="36">
          <cell r="A36" t="str">
            <v>7187 ГРУДИНКА ПРЕМИУМ к/в мл/к в/у 0.3кг_50с  ОСТАНКИНО</v>
          </cell>
          <cell r="B36" t="str">
            <v>шт</v>
          </cell>
          <cell r="C36">
            <v>1434</v>
          </cell>
          <cell r="D36">
            <v>1200</v>
          </cell>
          <cell r="E36">
            <v>1679</v>
          </cell>
          <cell r="F36">
            <v>563</v>
          </cell>
          <cell r="G36">
            <v>557</v>
          </cell>
          <cell r="H36">
            <v>0.3</v>
          </cell>
          <cell r="I36">
            <v>50</v>
          </cell>
          <cell r="J36" t="str">
            <v>матрица</v>
          </cell>
          <cell r="M36">
            <v>1679</v>
          </cell>
          <cell r="P36">
            <v>1600</v>
          </cell>
          <cell r="Q36">
            <v>1700</v>
          </cell>
          <cell r="R36">
            <v>335.8</v>
          </cell>
          <cell r="S36">
            <v>2853</v>
          </cell>
          <cell r="T36">
            <v>1800</v>
          </cell>
        </row>
        <row r="37">
          <cell r="A37" t="str">
            <v>7333 СЕРВЕЛАТ ОХОТНИЧИЙ ПМ в/к в/у 0.28кг_СНГ  ОСТАНКИНО</v>
          </cell>
          <cell r="B37" t="str">
            <v>шт</v>
          </cell>
          <cell r="C37">
            <v>229</v>
          </cell>
          <cell r="D37">
            <v>160</v>
          </cell>
          <cell r="E37">
            <v>223</v>
          </cell>
          <cell r="F37">
            <v>94</v>
          </cell>
          <cell r="G37">
            <v>94</v>
          </cell>
          <cell r="H37">
            <v>0.28000000000000003</v>
          </cell>
          <cell r="I37">
            <v>50</v>
          </cell>
          <cell r="J37" t="str">
            <v>матрица</v>
          </cell>
          <cell r="M37">
            <v>223</v>
          </cell>
          <cell r="P37">
            <v>240</v>
          </cell>
          <cell r="Q37">
            <v>200</v>
          </cell>
          <cell r="R37">
            <v>44.6</v>
          </cell>
          <cell r="S37">
            <v>358</v>
          </cell>
          <cell r="T37">
            <v>300</v>
          </cell>
        </row>
        <row r="38">
          <cell r="A38" t="str">
            <v>БОНУС_6346 ФИЛЕЙНАЯ Папа может вар п/о 0.5кг_СНГ  ОСТАНКИНО</v>
          </cell>
          <cell r="B38" t="str">
            <v>шт</v>
          </cell>
          <cell r="E38">
            <v>13</v>
          </cell>
          <cell r="F38">
            <v>-23</v>
          </cell>
          <cell r="G38">
            <v>-13</v>
          </cell>
          <cell r="H38">
            <v>0</v>
          </cell>
          <cell r="J38" t="str">
            <v>бонус</v>
          </cell>
          <cell r="K38" t="str">
            <v>6346 ФИЛЕЙНАЯ Папа может вар п/о 0.5кг_СНГ  ОСТАНКИНО</v>
          </cell>
          <cell r="M38">
            <v>13</v>
          </cell>
          <cell r="R38">
            <v>2.6</v>
          </cell>
        </row>
        <row r="39">
          <cell r="A39" t="str">
            <v>БОНУС_7104 БЕКОН Останкино с/к с/н в/у 1/180_СНГ_50 ОСТАНКИНО</v>
          </cell>
          <cell r="B39" t="str">
            <v>шт</v>
          </cell>
          <cell r="E39">
            <v>38</v>
          </cell>
          <cell r="F39">
            <v>-34</v>
          </cell>
          <cell r="G39">
            <v>-26</v>
          </cell>
          <cell r="H39">
            <v>0</v>
          </cell>
          <cell r="J39" t="str">
            <v>бонус</v>
          </cell>
          <cell r="K39" t="str">
            <v>7104 БЕКОН Останкино с/к с/н в/у 1/180_СНГ_50 ОСТАНКИНО</v>
          </cell>
          <cell r="M39">
            <v>38</v>
          </cell>
          <cell r="R39">
            <v>7.6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4" sqref="S4"/>
    </sheetView>
  </sheetViews>
  <sheetFormatPr defaultRowHeight="15" x14ac:dyDescent="0.25"/>
  <cols>
    <col min="1" max="1" width="53.5703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9" width="7" customWidth="1"/>
    <col min="20" max="20" width="14.28515625" customWidth="1"/>
    <col min="21" max="22" width="5" customWidth="1"/>
    <col min="23" max="30" width="6" customWidth="1"/>
    <col min="31" max="31" width="26" customWidth="1"/>
    <col min="32" max="32" width="7" customWidth="1"/>
    <col min="33" max="50" width="3" customWidth="1"/>
  </cols>
  <sheetData>
    <row r="1" spans="1:50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76</v>
      </c>
      <c r="S3" s="7" t="s">
        <v>16</v>
      </c>
      <c r="T3" s="7" t="s">
        <v>17</v>
      </c>
      <c r="U3" s="1" t="s">
        <v>18</v>
      </c>
      <c r="V3" s="1" t="s">
        <v>19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23</v>
      </c>
      <c r="P4" s="5" t="s">
        <v>24</v>
      </c>
      <c r="Q4" s="5" t="s">
        <v>25</v>
      </c>
      <c r="R4" s="5" t="s">
        <v>77</v>
      </c>
      <c r="S4" s="5"/>
      <c r="T4" s="5"/>
      <c r="U4" s="5"/>
      <c r="V4" s="5"/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 t="s">
        <v>33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SUM(E6:E500)</f>
        <v>7462.7979999999989</v>
      </c>
      <c r="F5" s="3">
        <f>SUM(F6:F500)</f>
        <v>8303.6010000000006</v>
      </c>
      <c r="G5" s="8"/>
      <c r="H5" s="5"/>
      <c r="I5" s="5"/>
      <c r="J5" s="5"/>
      <c r="K5" s="3">
        <f t="shared" ref="K5:S5" si="0">SUM(K6:K500)</f>
        <v>0</v>
      </c>
      <c r="L5" s="3">
        <f t="shared" si="0"/>
        <v>7462.7979999999989</v>
      </c>
      <c r="M5" s="3">
        <f t="shared" si="0"/>
        <v>0</v>
      </c>
      <c r="N5" s="3">
        <f t="shared" si="0"/>
        <v>0</v>
      </c>
      <c r="O5" s="3">
        <f t="shared" si="0"/>
        <v>6610</v>
      </c>
      <c r="P5" s="3">
        <f t="shared" si="0"/>
        <v>6590</v>
      </c>
      <c r="Q5" s="3">
        <f t="shared" si="0"/>
        <v>1492.5595999999998</v>
      </c>
      <c r="R5" s="3">
        <f t="shared" si="0"/>
        <v>7780</v>
      </c>
      <c r="S5" s="3">
        <f t="shared" si="0"/>
        <v>9140.8297999999995</v>
      </c>
      <c r="T5" s="5"/>
      <c r="U5" s="5"/>
      <c r="V5" s="5"/>
      <c r="W5" s="3">
        <f t="shared" ref="W5:AD5" si="1">SUM(W6:W500)</f>
        <v>1533.9048</v>
      </c>
      <c r="X5" s="3">
        <f t="shared" si="1"/>
        <v>1414.6848</v>
      </c>
      <c r="Y5" s="3">
        <f t="shared" si="1"/>
        <v>992.18959999999993</v>
      </c>
      <c r="Z5" s="3">
        <f t="shared" si="1"/>
        <v>1452.8553999999999</v>
      </c>
      <c r="AA5" s="3">
        <f t="shared" si="1"/>
        <v>1416.2003999999999</v>
      </c>
      <c r="AB5" s="3">
        <f t="shared" si="1"/>
        <v>1287.1432</v>
      </c>
      <c r="AC5" s="3">
        <f t="shared" si="1"/>
        <v>1088.5380000000002</v>
      </c>
      <c r="AD5" s="3">
        <f t="shared" si="1"/>
        <v>939.43639999999994</v>
      </c>
      <c r="AE5" s="5"/>
      <c r="AF5" s="3">
        <f>SUM(AF6:AF500)</f>
        <v>3270.2000000000003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5" t="s">
        <v>34</v>
      </c>
      <c r="B6" s="5" t="s">
        <v>35</v>
      </c>
      <c r="C6" s="5">
        <v>85.712999999999994</v>
      </c>
      <c r="D6" s="5">
        <v>144.798</v>
      </c>
      <c r="E6" s="5">
        <v>124.79</v>
      </c>
      <c r="F6" s="5">
        <v>100.76300000000001</v>
      </c>
      <c r="G6" s="8">
        <v>1</v>
      </c>
      <c r="H6" s="5">
        <v>45</v>
      </c>
      <c r="I6" s="5" t="s">
        <v>36</v>
      </c>
      <c r="J6" s="5"/>
      <c r="K6" s="5"/>
      <c r="L6" s="5">
        <f t="shared" ref="L6:L39" si="2">E6-K6</f>
        <v>124.79</v>
      </c>
      <c r="M6" s="5"/>
      <c r="N6" s="5"/>
      <c r="O6" s="5">
        <v>50</v>
      </c>
      <c r="P6" s="5">
        <v>150</v>
      </c>
      <c r="Q6" s="5">
        <f t="shared" ref="Q6:Q39" si="3">E6/5</f>
        <v>24.958000000000002</v>
      </c>
      <c r="R6" s="4">
        <v>160</v>
      </c>
      <c r="S6" s="4">
        <v>198.39700000000002</v>
      </c>
      <c r="T6" s="5">
        <f>VLOOKUP(A:A,[1]Sheet!$A:$U,21,0)</f>
        <v>0</v>
      </c>
      <c r="U6" s="5">
        <f t="shared" ref="U6:U39" si="4">(F6+O6+P6+R6)/Q6</f>
        <v>18.461535379437453</v>
      </c>
      <c r="V6" s="5">
        <f t="shared" ref="V6:V39" si="5">(F6+O6+P6)/Q6</f>
        <v>12.050765285679942</v>
      </c>
      <c r="W6" s="5">
        <v>37.103200000000001</v>
      </c>
      <c r="X6" s="5">
        <v>16.863600000000002</v>
      </c>
      <c r="Y6" s="5">
        <v>22.165800000000001</v>
      </c>
      <c r="Z6" s="5">
        <v>22.668399999999998</v>
      </c>
      <c r="AA6" s="5">
        <v>28.996400000000001</v>
      </c>
      <c r="AB6" s="5">
        <v>30.9406</v>
      </c>
      <c r="AC6" s="5">
        <v>26.750599999999999</v>
      </c>
      <c r="AD6" s="5">
        <v>30.160399999999999</v>
      </c>
      <c r="AE6" s="5"/>
      <c r="AF6" s="5">
        <f t="shared" ref="AF6:AF14" si="6">G6*R6</f>
        <v>160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5" t="s">
        <v>37</v>
      </c>
      <c r="B7" s="5" t="s">
        <v>38</v>
      </c>
      <c r="C7" s="5">
        <v>599.81100000000004</v>
      </c>
      <c r="D7" s="5">
        <v>200</v>
      </c>
      <c r="E7" s="5">
        <v>565</v>
      </c>
      <c r="F7" s="5">
        <v>225.81100000000001</v>
      </c>
      <c r="G7" s="8">
        <v>0.35</v>
      </c>
      <c r="H7" s="5">
        <v>45</v>
      </c>
      <c r="I7" s="5" t="s">
        <v>36</v>
      </c>
      <c r="J7" s="5"/>
      <c r="K7" s="5"/>
      <c r="L7" s="5">
        <f t="shared" si="2"/>
        <v>565</v>
      </c>
      <c r="M7" s="5"/>
      <c r="N7" s="5"/>
      <c r="O7" s="5">
        <v>440</v>
      </c>
      <c r="P7" s="5">
        <v>600</v>
      </c>
      <c r="Q7" s="5">
        <f t="shared" si="3"/>
        <v>113</v>
      </c>
      <c r="R7" s="4">
        <v>720</v>
      </c>
      <c r="S7" s="4">
        <v>881.18899999999996</v>
      </c>
      <c r="T7" s="5">
        <f>VLOOKUP(A:A,[1]Sheet!$A:$U,21,0)</f>
        <v>0</v>
      </c>
      <c r="U7" s="5">
        <f t="shared" si="4"/>
        <v>17.573548672566375</v>
      </c>
      <c r="V7" s="5">
        <f t="shared" si="5"/>
        <v>11.20186725663717</v>
      </c>
      <c r="W7" s="5">
        <v>115.2</v>
      </c>
      <c r="X7" s="5">
        <v>83.2</v>
      </c>
      <c r="Y7" s="5">
        <v>64.2</v>
      </c>
      <c r="Z7" s="5">
        <v>100.4</v>
      </c>
      <c r="AA7" s="5">
        <v>123.8</v>
      </c>
      <c r="AB7" s="5">
        <v>113.4378</v>
      </c>
      <c r="AC7" s="5">
        <v>114.4</v>
      </c>
      <c r="AD7" s="5">
        <v>93.8</v>
      </c>
      <c r="AE7" s="5"/>
      <c r="AF7" s="5">
        <f t="shared" si="6"/>
        <v>251.99999999999997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39</v>
      </c>
      <c r="B8" s="5" t="s">
        <v>35</v>
      </c>
      <c r="C8" s="5">
        <v>157.1</v>
      </c>
      <c r="D8" s="5">
        <v>52.386000000000003</v>
      </c>
      <c r="E8" s="5">
        <v>91.302999999999997</v>
      </c>
      <c r="F8" s="5">
        <v>104.437</v>
      </c>
      <c r="G8" s="8">
        <v>1</v>
      </c>
      <c r="H8" s="5">
        <v>45</v>
      </c>
      <c r="I8" s="5" t="s">
        <v>36</v>
      </c>
      <c r="J8" s="5"/>
      <c r="K8" s="5"/>
      <c r="L8" s="5">
        <f t="shared" si="2"/>
        <v>91.302999999999997</v>
      </c>
      <c r="M8" s="5"/>
      <c r="N8" s="5"/>
      <c r="O8" s="5">
        <v>30</v>
      </c>
      <c r="P8" s="5">
        <v>50</v>
      </c>
      <c r="Q8" s="5">
        <f t="shared" si="3"/>
        <v>18.2606</v>
      </c>
      <c r="R8" s="4">
        <v>150</v>
      </c>
      <c r="S8" s="4">
        <v>144.25380000000001</v>
      </c>
      <c r="T8" s="5">
        <f>VLOOKUP(A:A,[1]Sheet!$A:$U,21,0)</f>
        <v>0</v>
      </c>
      <c r="U8" s="5">
        <f t="shared" si="4"/>
        <v>18.314677502382178</v>
      </c>
      <c r="V8" s="5">
        <f t="shared" si="5"/>
        <v>10.10027052780303</v>
      </c>
      <c r="W8" s="5">
        <v>18.8154</v>
      </c>
      <c r="X8" s="5">
        <v>14.9602</v>
      </c>
      <c r="Y8" s="5">
        <v>14.5648</v>
      </c>
      <c r="Z8" s="5">
        <v>15.2286</v>
      </c>
      <c r="AA8" s="5">
        <v>14.629799999999999</v>
      </c>
      <c r="AB8" s="5">
        <v>28.49</v>
      </c>
      <c r="AC8" s="5">
        <v>18.126200000000001</v>
      </c>
      <c r="AD8" s="5">
        <v>15.042400000000001</v>
      </c>
      <c r="AE8" s="5"/>
      <c r="AF8" s="5">
        <f t="shared" si="6"/>
        <v>150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40</v>
      </c>
      <c r="B9" s="5" t="s">
        <v>38</v>
      </c>
      <c r="C9" s="5">
        <v>670</v>
      </c>
      <c r="D9" s="5"/>
      <c r="E9" s="5">
        <v>334</v>
      </c>
      <c r="F9" s="5">
        <v>319</v>
      </c>
      <c r="G9" s="8">
        <v>0.35</v>
      </c>
      <c r="H9" s="5">
        <v>45</v>
      </c>
      <c r="I9" s="5" t="s">
        <v>36</v>
      </c>
      <c r="J9" s="5"/>
      <c r="K9" s="5"/>
      <c r="L9" s="5">
        <f t="shared" si="2"/>
        <v>334</v>
      </c>
      <c r="M9" s="5"/>
      <c r="N9" s="5"/>
      <c r="O9" s="5">
        <v>160</v>
      </c>
      <c r="P9" s="5">
        <v>400</v>
      </c>
      <c r="Q9" s="5">
        <f t="shared" si="3"/>
        <v>66.8</v>
      </c>
      <c r="R9" s="4">
        <v>480</v>
      </c>
      <c r="S9" s="4">
        <v>457</v>
      </c>
      <c r="T9" s="5">
        <f>VLOOKUP(A:A,[1]Sheet!$A:$U,21,0)</f>
        <v>0</v>
      </c>
      <c r="U9" s="5">
        <f t="shared" si="4"/>
        <v>20.344311377245511</v>
      </c>
      <c r="V9" s="5">
        <f t="shared" si="5"/>
        <v>13.158682634730539</v>
      </c>
      <c r="W9" s="5">
        <v>76</v>
      </c>
      <c r="X9" s="5">
        <v>51.8</v>
      </c>
      <c r="Y9" s="5">
        <v>47.4</v>
      </c>
      <c r="Z9" s="5">
        <v>86.6</v>
      </c>
      <c r="AA9" s="5">
        <v>98.8</v>
      </c>
      <c r="AB9" s="5">
        <v>85.8</v>
      </c>
      <c r="AC9" s="5">
        <v>79.400000000000006</v>
      </c>
      <c r="AD9" s="5">
        <v>69.8</v>
      </c>
      <c r="AE9" s="5"/>
      <c r="AF9" s="5">
        <f t="shared" si="6"/>
        <v>168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41</v>
      </c>
      <c r="B10" s="5" t="s">
        <v>35</v>
      </c>
      <c r="C10" s="5">
        <v>28.547999999999998</v>
      </c>
      <c r="D10" s="5">
        <v>28.469000000000001</v>
      </c>
      <c r="E10" s="5">
        <v>6.7290000000000001</v>
      </c>
      <c r="F10" s="5">
        <v>46.244</v>
      </c>
      <c r="G10" s="8">
        <v>1</v>
      </c>
      <c r="H10" s="5">
        <v>60</v>
      </c>
      <c r="I10" s="5" t="s">
        <v>36</v>
      </c>
      <c r="J10" s="5"/>
      <c r="K10" s="5"/>
      <c r="L10" s="5">
        <f t="shared" si="2"/>
        <v>6.7290000000000001</v>
      </c>
      <c r="M10" s="5"/>
      <c r="N10" s="5"/>
      <c r="O10" s="5"/>
      <c r="P10" s="5"/>
      <c r="Q10" s="5">
        <f t="shared" si="3"/>
        <v>1.3458000000000001</v>
      </c>
      <c r="R10" s="4"/>
      <c r="S10" s="4"/>
      <c r="T10" s="5">
        <f>VLOOKUP(A:A,[1]Sheet!$A:$U,21,0)</f>
        <v>0</v>
      </c>
      <c r="U10" s="5">
        <f t="shared" si="4"/>
        <v>34.361717937286372</v>
      </c>
      <c r="V10" s="5">
        <f t="shared" si="5"/>
        <v>34.361717937286372</v>
      </c>
      <c r="W10" s="5">
        <v>0</v>
      </c>
      <c r="X10" s="5">
        <v>1.3475999999999999</v>
      </c>
      <c r="Y10" s="5">
        <v>1.0840000000000001</v>
      </c>
      <c r="Z10" s="5">
        <v>2.9575999999999998</v>
      </c>
      <c r="AA10" s="5">
        <v>0</v>
      </c>
      <c r="AB10" s="5">
        <v>0</v>
      </c>
      <c r="AC10" s="5">
        <v>0</v>
      </c>
      <c r="AD10" s="5">
        <v>0</v>
      </c>
      <c r="AE10" s="18" t="s">
        <v>74</v>
      </c>
      <c r="AF10" s="5">
        <f t="shared" si="6"/>
        <v>0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42</v>
      </c>
      <c r="B11" s="5" t="s">
        <v>38</v>
      </c>
      <c r="C11" s="5">
        <v>1231</v>
      </c>
      <c r="D11" s="5"/>
      <c r="E11" s="5">
        <v>342</v>
      </c>
      <c r="F11" s="5">
        <v>882</v>
      </c>
      <c r="G11" s="8">
        <v>0.4</v>
      </c>
      <c r="H11" s="5">
        <v>60</v>
      </c>
      <c r="I11" s="5" t="s">
        <v>36</v>
      </c>
      <c r="J11" s="5"/>
      <c r="K11" s="5"/>
      <c r="L11" s="5">
        <f t="shared" si="2"/>
        <v>342</v>
      </c>
      <c r="M11" s="5"/>
      <c r="N11" s="5"/>
      <c r="O11" s="5">
        <v>600</v>
      </c>
      <c r="P11" s="5">
        <v>600</v>
      </c>
      <c r="Q11" s="5">
        <f t="shared" si="3"/>
        <v>68.400000000000006</v>
      </c>
      <c r="R11" s="4">
        <v>200</v>
      </c>
      <c r="S11" s="4"/>
      <c r="T11" s="5" t="str">
        <f>VLOOKUP(A:A,[1]Sheet!$A:$U,21,0)</f>
        <v>на халк</v>
      </c>
      <c r="U11" s="5">
        <f t="shared" si="4"/>
        <v>33.362573099415201</v>
      </c>
      <c r="V11" s="5">
        <f t="shared" si="5"/>
        <v>30.438596491228068</v>
      </c>
      <c r="W11" s="5">
        <v>154.19999999999999</v>
      </c>
      <c r="X11" s="5">
        <v>117.4</v>
      </c>
      <c r="Y11" s="5">
        <v>80.599999999999994</v>
      </c>
      <c r="Z11" s="5">
        <v>123.2</v>
      </c>
      <c r="AA11" s="5">
        <v>95.2</v>
      </c>
      <c r="AB11" s="5">
        <v>106</v>
      </c>
      <c r="AC11" s="5">
        <v>57.8</v>
      </c>
      <c r="AD11" s="5">
        <v>63.6</v>
      </c>
      <c r="AE11" s="5"/>
      <c r="AF11" s="5">
        <f t="shared" si="6"/>
        <v>80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43</v>
      </c>
      <c r="B12" s="5" t="s">
        <v>35</v>
      </c>
      <c r="C12" s="5">
        <v>112</v>
      </c>
      <c r="D12" s="5"/>
      <c r="E12" s="5">
        <v>25.675999999999998</v>
      </c>
      <c r="F12" s="5">
        <v>78.218999999999994</v>
      </c>
      <c r="G12" s="8">
        <v>1</v>
      </c>
      <c r="H12" s="5">
        <v>60</v>
      </c>
      <c r="I12" s="5" t="s">
        <v>36</v>
      </c>
      <c r="J12" s="5"/>
      <c r="K12" s="5"/>
      <c r="L12" s="5">
        <f t="shared" si="2"/>
        <v>25.675999999999998</v>
      </c>
      <c r="M12" s="5"/>
      <c r="N12" s="5"/>
      <c r="O12" s="5"/>
      <c r="P12" s="5">
        <v>50</v>
      </c>
      <c r="Q12" s="5">
        <f t="shared" si="3"/>
        <v>5.1351999999999993</v>
      </c>
      <c r="R12" s="4"/>
      <c r="S12" s="4"/>
      <c r="T12" s="5">
        <f>VLOOKUP(A:A,[1]Sheet!$A:$U,21,0)</f>
        <v>0</v>
      </c>
      <c r="U12" s="5">
        <f t="shared" si="4"/>
        <v>24.968647764449294</v>
      </c>
      <c r="V12" s="5">
        <f t="shared" si="5"/>
        <v>24.968647764449294</v>
      </c>
      <c r="W12" s="5">
        <v>8.2263999999999999</v>
      </c>
      <c r="X12" s="5">
        <v>7.3245999999999993</v>
      </c>
      <c r="Y12" s="5">
        <v>3.8149999999999999</v>
      </c>
      <c r="Z12" s="5">
        <v>11.121600000000001</v>
      </c>
      <c r="AA12" s="5">
        <v>10.275399999999999</v>
      </c>
      <c r="AB12" s="5">
        <v>15.8506</v>
      </c>
      <c r="AC12" s="5">
        <v>6.383</v>
      </c>
      <c r="AD12" s="5">
        <v>8.5988000000000007</v>
      </c>
      <c r="AE12" s="17" t="s">
        <v>73</v>
      </c>
      <c r="AF12" s="5">
        <f t="shared" si="6"/>
        <v>0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44</v>
      </c>
      <c r="B13" s="5" t="s">
        <v>38</v>
      </c>
      <c r="C13" s="5">
        <v>602</v>
      </c>
      <c r="D13" s="5"/>
      <c r="E13" s="5">
        <v>322</v>
      </c>
      <c r="F13" s="5">
        <v>271</v>
      </c>
      <c r="G13" s="8">
        <v>0.4</v>
      </c>
      <c r="H13" s="5">
        <v>60</v>
      </c>
      <c r="I13" s="5" t="s">
        <v>36</v>
      </c>
      <c r="J13" s="5"/>
      <c r="K13" s="5"/>
      <c r="L13" s="5">
        <f t="shared" si="2"/>
        <v>322</v>
      </c>
      <c r="M13" s="5"/>
      <c r="N13" s="5"/>
      <c r="O13" s="5">
        <v>320</v>
      </c>
      <c r="P13" s="5">
        <v>320</v>
      </c>
      <c r="Q13" s="5">
        <f t="shared" si="3"/>
        <v>64.400000000000006</v>
      </c>
      <c r="R13" s="4">
        <v>400</v>
      </c>
      <c r="S13" s="4">
        <v>377</v>
      </c>
      <c r="T13" s="5">
        <f>VLOOKUP(A:A,[1]Sheet!$A:$U,21,0)</f>
        <v>0</v>
      </c>
      <c r="U13" s="5">
        <f t="shared" si="4"/>
        <v>20.357142857142854</v>
      </c>
      <c r="V13" s="5">
        <f t="shared" si="5"/>
        <v>14.145962732919253</v>
      </c>
      <c r="W13" s="5">
        <v>60</v>
      </c>
      <c r="X13" s="5">
        <v>64.8</v>
      </c>
      <c r="Y13" s="5">
        <v>50.2</v>
      </c>
      <c r="Z13" s="5">
        <v>77.400000000000006</v>
      </c>
      <c r="AA13" s="5">
        <v>82</v>
      </c>
      <c r="AB13" s="5">
        <v>66.8</v>
      </c>
      <c r="AC13" s="5">
        <v>63.2</v>
      </c>
      <c r="AD13" s="5">
        <v>51.4</v>
      </c>
      <c r="AE13" s="5"/>
      <c r="AF13" s="5">
        <f t="shared" si="6"/>
        <v>160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45</v>
      </c>
      <c r="B14" s="5" t="s">
        <v>35</v>
      </c>
      <c r="C14" s="5">
        <v>84</v>
      </c>
      <c r="D14" s="5">
        <v>44.554000000000002</v>
      </c>
      <c r="E14" s="5">
        <v>34.61</v>
      </c>
      <c r="F14" s="5">
        <v>88.063999999999993</v>
      </c>
      <c r="G14" s="8">
        <v>1</v>
      </c>
      <c r="H14" s="5">
        <v>60</v>
      </c>
      <c r="I14" s="5" t="s">
        <v>36</v>
      </c>
      <c r="J14" s="5"/>
      <c r="K14" s="5"/>
      <c r="L14" s="5">
        <f t="shared" si="2"/>
        <v>34.61</v>
      </c>
      <c r="M14" s="5"/>
      <c r="N14" s="5"/>
      <c r="O14" s="5">
        <v>30</v>
      </c>
      <c r="P14" s="5"/>
      <c r="Q14" s="5">
        <f t="shared" si="3"/>
        <v>6.9219999999999997</v>
      </c>
      <c r="R14" s="4">
        <v>50</v>
      </c>
      <c r="S14" s="4">
        <v>20.376000000000005</v>
      </c>
      <c r="T14" s="5">
        <f>VLOOKUP(A:A,[1]Sheet!$A:$U,21,0)</f>
        <v>0</v>
      </c>
      <c r="U14" s="5">
        <f t="shared" si="4"/>
        <v>24.279687951459117</v>
      </c>
      <c r="V14" s="5">
        <f t="shared" si="5"/>
        <v>17.056342097659634</v>
      </c>
      <c r="W14" s="5">
        <v>2.5983999999999998</v>
      </c>
      <c r="X14" s="5">
        <v>3.9805999999999999</v>
      </c>
      <c r="Y14" s="5">
        <v>4.4265999999999996</v>
      </c>
      <c r="Z14" s="5">
        <v>14.9488</v>
      </c>
      <c r="AA14" s="5">
        <v>15.698600000000001</v>
      </c>
      <c r="AB14" s="5">
        <v>13.7072</v>
      </c>
      <c r="AC14" s="5">
        <v>4.3572000000000006</v>
      </c>
      <c r="AD14" s="5">
        <v>10.7782</v>
      </c>
      <c r="AE14" s="5"/>
      <c r="AF14" s="5">
        <f t="shared" si="6"/>
        <v>50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10" t="s">
        <v>46</v>
      </c>
      <c r="B15" s="10" t="s">
        <v>38</v>
      </c>
      <c r="C15" s="10">
        <v>-3</v>
      </c>
      <c r="D15" s="10"/>
      <c r="E15" s="10"/>
      <c r="F15" s="16">
        <v>-3</v>
      </c>
      <c r="G15" s="11">
        <v>0</v>
      </c>
      <c r="H15" s="10"/>
      <c r="I15" s="10" t="s">
        <v>47</v>
      </c>
      <c r="J15" s="10" t="s">
        <v>48</v>
      </c>
      <c r="K15" s="10"/>
      <c r="L15" s="10">
        <f t="shared" si="2"/>
        <v>0</v>
      </c>
      <c r="M15" s="10"/>
      <c r="N15" s="10"/>
      <c r="O15" s="10"/>
      <c r="P15" s="10"/>
      <c r="Q15" s="10">
        <f t="shared" si="3"/>
        <v>0</v>
      </c>
      <c r="R15" s="4"/>
      <c r="S15" s="12"/>
      <c r="T15" s="5">
        <f>VLOOKUP(A:A,[1]Sheet!$A:$U,21,0)</f>
        <v>0</v>
      </c>
      <c r="U15" s="10" t="e">
        <f t="shared" si="4"/>
        <v>#DIV/0!</v>
      </c>
      <c r="V15" s="10" t="e">
        <f t="shared" si="5"/>
        <v>#DIV/0!</v>
      </c>
      <c r="W15" s="10">
        <v>0</v>
      </c>
      <c r="X15" s="10">
        <v>0</v>
      </c>
      <c r="Y15" s="10">
        <v>0</v>
      </c>
      <c r="Z15" s="10">
        <v>0</v>
      </c>
      <c r="AA15" s="10">
        <v>0.6</v>
      </c>
      <c r="AB15" s="10">
        <v>0</v>
      </c>
      <c r="AC15" s="10">
        <v>0</v>
      </c>
      <c r="AD15" s="10">
        <v>0</v>
      </c>
      <c r="AE15" s="10"/>
      <c r="AF15" s="10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49</v>
      </c>
      <c r="B16" s="5" t="s">
        <v>35</v>
      </c>
      <c r="C16" s="5">
        <v>218.8</v>
      </c>
      <c r="D16" s="5"/>
      <c r="E16" s="5">
        <v>53.988999999999997</v>
      </c>
      <c r="F16" s="5">
        <v>164.81100000000001</v>
      </c>
      <c r="G16" s="8">
        <v>1</v>
      </c>
      <c r="H16" s="5">
        <v>120</v>
      </c>
      <c r="I16" s="5" t="s">
        <v>36</v>
      </c>
      <c r="J16" s="5"/>
      <c r="K16" s="5"/>
      <c r="L16" s="5">
        <f t="shared" si="2"/>
        <v>53.988999999999997</v>
      </c>
      <c r="M16" s="5"/>
      <c r="N16" s="5"/>
      <c r="O16" s="5"/>
      <c r="P16" s="5"/>
      <c r="Q16" s="5">
        <f t="shared" si="3"/>
        <v>10.797799999999999</v>
      </c>
      <c r="R16" s="4">
        <v>50</v>
      </c>
      <c r="S16" s="4">
        <v>51.144999999999953</v>
      </c>
      <c r="T16" s="5">
        <f>VLOOKUP(A:A,[1]Sheet!$A:$U,21,0)</f>
        <v>0</v>
      </c>
      <c r="U16" s="5">
        <f t="shared" si="4"/>
        <v>19.893959880716444</v>
      </c>
      <c r="V16" s="5">
        <f t="shared" si="5"/>
        <v>15.26338698623794</v>
      </c>
      <c r="W16" s="5">
        <v>7.4238</v>
      </c>
      <c r="X16" s="5">
        <v>2.2747999999999999</v>
      </c>
      <c r="Y16" s="5">
        <v>3.871</v>
      </c>
      <c r="Z16" s="5">
        <v>4.7553999999999998</v>
      </c>
      <c r="AA16" s="5">
        <v>3.657</v>
      </c>
      <c r="AB16" s="5">
        <v>7.6374000000000004</v>
      </c>
      <c r="AC16" s="5">
        <v>1.4505999999999999</v>
      </c>
      <c r="AD16" s="5">
        <v>5.3266</v>
      </c>
      <c r="AE16" s="19"/>
      <c r="AF16" s="5">
        <f t="shared" ref="AF16:AF22" si="7">G16*R16</f>
        <v>50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50</v>
      </c>
      <c r="B17" s="5" t="s">
        <v>38</v>
      </c>
      <c r="C17" s="5">
        <v>336</v>
      </c>
      <c r="D17" s="5">
        <v>120</v>
      </c>
      <c r="E17" s="5">
        <v>200</v>
      </c>
      <c r="F17" s="5">
        <v>254</v>
      </c>
      <c r="G17" s="8">
        <v>0.25</v>
      </c>
      <c r="H17" s="5">
        <v>120</v>
      </c>
      <c r="I17" s="5" t="s">
        <v>36</v>
      </c>
      <c r="J17" s="5"/>
      <c r="K17" s="5"/>
      <c r="L17" s="5">
        <f t="shared" si="2"/>
        <v>200</v>
      </c>
      <c r="M17" s="5"/>
      <c r="N17" s="5"/>
      <c r="O17" s="5">
        <v>240</v>
      </c>
      <c r="P17" s="5">
        <v>120</v>
      </c>
      <c r="Q17" s="5">
        <f t="shared" si="3"/>
        <v>40</v>
      </c>
      <c r="R17" s="4">
        <v>320</v>
      </c>
      <c r="S17" s="4">
        <v>186</v>
      </c>
      <c r="T17" s="5">
        <f>VLOOKUP(A:A,[1]Sheet!$A:$U,21,0)</f>
        <v>0</v>
      </c>
      <c r="U17" s="5">
        <f t="shared" si="4"/>
        <v>23.35</v>
      </c>
      <c r="V17" s="5">
        <f t="shared" si="5"/>
        <v>15.35</v>
      </c>
      <c r="W17" s="5">
        <v>34</v>
      </c>
      <c r="X17" s="5">
        <v>41.4</v>
      </c>
      <c r="Y17" s="5">
        <v>30.6</v>
      </c>
      <c r="Z17" s="5">
        <v>22.6</v>
      </c>
      <c r="AA17" s="5">
        <v>27</v>
      </c>
      <c r="AB17" s="5">
        <v>36</v>
      </c>
      <c r="AC17" s="5">
        <v>18.2</v>
      </c>
      <c r="AD17" s="5">
        <v>35.4</v>
      </c>
      <c r="AE17" s="5"/>
      <c r="AF17" s="5">
        <f t="shared" si="7"/>
        <v>80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51</v>
      </c>
      <c r="B18" s="5" t="s">
        <v>38</v>
      </c>
      <c r="C18" s="5">
        <v>66</v>
      </c>
      <c r="D18" s="5">
        <v>360</v>
      </c>
      <c r="E18" s="5">
        <v>329</v>
      </c>
      <c r="F18" s="5">
        <v>96</v>
      </c>
      <c r="G18" s="8">
        <v>0.25</v>
      </c>
      <c r="H18" s="5">
        <v>120</v>
      </c>
      <c r="I18" s="5" t="s">
        <v>36</v>
      </c>
      <c r="J18" s="5"/>
      <c r="K18" s="5"/>
      <c r="L18" s="5">
        <f t="shared" si="2"/>
        <v>329</v>
      </c>
      <c r="M18" s="5"/>
      <c r="N18" s="5"/>
      <c r="O18" s="5">
        <v>440</v>
      </c>
      <c r="P18" s="5">
        <v>320</v>
      </c>
      <c r="Q18" s="5">
        <f t="shared" si="3"/>
        <v>65.8</v>
      </c>
      <c r="R18" s="4">
        <v>520</v>
      </c>
      <c r="S18" s="4">
        <v>460</v>
      </c>
      <c r="T18" s="5">
        <f>VLOOKUP(A:A,[1]Sheet!$A:$U,21,0)</f>
        <v>0</v>
      </c>
      <c r="U18" s="5">
        <f t="shared" si="4"/>
        <v>20.911854103343465</v>
      </c>
      <c r="V18" s="5">
        <f t="shared" si="5"/>
        <v>13.009118541033436</v>
      </c>
      <c r="W18" s="5">
        <v>52.4</v>
      </c>
      <c r="X18" s="5">
        <v>68.599999999999994</v>
      </c>
      <c r="Y18" s="5">
        <v>48</v>
      </c>
      <c r="Z18" s="5">
        <v>47.2</v>
      </c>
      <c r="AA18" s="5">
        <v>58.4</v>
      </c>
      <c r="AB18" s="5">
        <v>75.599999999999994</v>
      </c>
      <c r="AC18" s="5">
        <v>47.4</v>
      </c>
      <c r="AD18" s="5">
        <v>43.4</v>
      </c>
      <c r="AE18" s="5"/>
      <c r="AF18" s="5">
        <f t="shared" si="7"/>
        <v>130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 t="s">
        <v>52</v>
      </c>
      <c r="B19" s="5" t="s">
        <v>35</v>
      </c>
      <c r="C19" s="5">
        <v>35.4</v>
      </c>
      <c r="D19" s="5">
        <v>46.954000000000001</v>
      </c>
      <c r="E19" s="5">
        <v>26.457999999999998</v>
      </c>
      <c r="F19" s="5">
        <v>55.896000000000001</v>
      </c>
      <c r="G19" s="8">
        <v>1</v>
      </c>
      <c r="H19" s="5">
        <v>120</v>
      </c>
      <c r="I19" s="5" t="s">
        <v>36</v>
      </c>
      <c r="J19" s="5"/>
      <c r="K19" s="5"/>
      <c r="L19" s="5">
        <f t="shared" si="2"/>
        <v>26.457999999999998</v>
      </c>
      <c r="M19" s="5"/>
      <c r="N19" s="5"/>
      <c r="O19" s="5">
        <v>30</v>
      </c>
      <c r="P19" s="5">
        <v>80</v>
      </c>
      <c r="Q19" s="5">
        <f t="shared" si="3"/>
        <v>5.2915999999999999</v>
      </c>
      <c r="R19" s="4">
        <v>50</v>
      </c>
      <c r="S19" s="4"/>
      <c r="T19" s="5">
        <f>VLOOKUP(A:A,[1]Sheet!$A:$U,21,0)</f>
        <v>0</v>
      </c>
      <c r="U19" s="5">
        <f t="shared" si="4"/>
        <v>40.799758107188758</v>
      </c>
      <c r="V19" s="5">
        <f t="shared" si="5"/>
        <v>31.35082016781314</v>
      </c>
      <c r="W19" s="5">
        <v>13.229799999999999</v>
      </c>
      <c r="X19" s="5">
        <v>4.0868000000000002</v>
      </c>
      <c r="Y19" s="5">
        <v>6.3287999999999993</v>
      </c>
      <c r="Z19" s="5">
        <v>5.9488000000000003</v>
      </c>
      <c r="AA19" s="5">
        <v>7.6367999999999991</v>
      </c>
      <c r="AB19" s="5">
        <v>10.076000000000001</v>
      </c>
      <c r="AC19" s="5">
        <v>4.7776000000000014</v>
      </c>
      <c r="AD19" s="5">
        <v>6.0907999999999998</v>
      </c>
      <c r="AE19" s="5"/>
      <c r="AF19" s="5">
        <f t="shared" si="7"/>
        <v>50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5" t="s">
        <v>53</v>
      </c>
      <c r="B20" s="5" t="s">
        <v>38</v>
      </c>
      <c r="C20" s="5">
        <v>274</v>
      </c>
      <c r="D20" s="5"/>
      <c r="E20" s="5">
        <v>237</v>
      </c>
      <c r="F20" s="5">
        <v>37</v>
      </c>
      <c r="G20" s="8">
        <v>0.25</v>
      </c>
      <c r="H20" s="5">
        <v>120</v>
      </c>
      <c r="I20" s="5" t="s">
        <v>36</v>
      </c>
      <c r="J20" s="5"/>
      <c r="K20" s="5"/>
      <c r="L20" s="5">
        <f t="shared" si="2"/>
        <v>237</v>
      </c>
      <c r="M20" s="5"/>
      <c r="N20" s="5"/>
      <c r="O20" s="5">
        <v>240</v>
      </c>
      <c r="P20" s="5">
        <v>320</v>
      </c>
      <c r="Q20" s="5">
        <f t="shared" si="3"/>
        <v>47.4</v>
      </c>
      <c r="R20" s="4">
        <v>400</v>
      </c>
      <c r="S20" s="4">
        <v>351</v>
      </c>
      <c r="T20" s="5">
        <f>VLOOKUP(A:A,[1]Sheet!$A:$U,21,0)</f>
        <v>0</v>
      </c>
      <c r="U20" s="5">
        <f t="shared" si="4"/>
        <v>21.033755274261605</v>
      </c>
      <c r="V20" s="5">
        <f t="shared" si="5"/>
        <v>12.594936708860759</v>
      </c>
      <c r="W20" s="5">
        <v>44.4</v>
      </c>
      <c r="X20" s="5">
        <v>38.200000000000003</v>
      </c>
      <c r="Y20" s="5">
        <v>31.6</v>
      </c>
      <c r="Z20" s="5">
        <v>24.2</v>
      </c>
      <c r="AA20" s="5">
        <v>36</v>
      </c>
      <c r="AB20" s="5">
        <v>51.2</v>
      </c>
      <c r="AC20" s="5">
        <v>26.8</v>
      </c>
      <c r="AD20" s="5">
        <v>31.4</v>
      </c>
      <c r="AE20" s="5"/>
      <c r="AF20" s="5">
        <f t="shared" si="7"/>
        <v>100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54</v>
      </c>
      <c r="B21" s="5" t="s">
        <v>35</v>
      </c>
      <c r="C21" s="5">
        <v>43.945999999999998</v>
      </c>
      <c r="D21" s="5">
        <v>48.837000000000003</v>
      </c>
      <c r="E21" s="5">
        <v>21.866</v>
      </c>
      <c r="F21" s="5">
        <v>70.917000000000002</v>
      </c>
      <c r="G21" s="8">
        <v>1</v>
      </c>
      <c r="H21" s="5">
        <v>60</v>
      </c>
      <c r="I21" s="5" t="s">
        <v>36</v>
      </c>
      <c r="J21" s="5"/>
      <c r="K21" s="5"/>
      <c r="L21" s="5">
        <f t="shared" si="2"/>
        <v>21.866</v>
      </c>
      <c r="M21" s="5"/>
      <c r="N21" s="5"/>
      <c r="O21" s="5">
        <v>30</v>
      </c>
      <c r="P21" s="5">
        <v>30</v>
      </c>
      <c r="Q21" s="5">
        <f t="shared" si="3"/>
        <v>4.3731999999999998</v>
      </c>
      <c r="R21" s="4"/>
      <c r="S21" s="4"/>
      <c r="T21" s="5">
        <f>VLOOKUP(A:A,[1]Sheet!$A:$U,21,0)</f>
        <v>0</v>
      </c>
      <c r="U21" s="5">
        <f t="shared" si="4"/>
        <v>29.936202323241563</v>
      </c>
      <c r="V21" s="5">
        <f t="shared" si="5"/>
        <v>29.936202323241563</v>
      </c>
      <c r="W21" s="5">
        <v>11.28</v>
      </c>
      <c r="X21" s="5">
        <v>8.0076000000000001</v>
      </c>
      <c r="Y21" s="5">
        <v>1.0691999999999999</v>
      </c>
      <c r="Z21" s="5">
        <v>0.79239999999999999</v>
      </c>
      <c r="AA21" s="5">
        <v>0.53120000000000001</v>
      </c>
      <c r="AB21" s="5">
        <v>0</v>
      </c>
      <c r="AC21" s="5">
        <v>0</v>
      </c>
      <c r="AD21" s="5">
        <v>0</v>
      </c>
      <c r="AE21" s="17" t="s">
        <v>73</v>
      </c>
      <c r="AF21" s="5">
        <f t="shared" si="7"/>
        <v>0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55</v>
      </c>
      <c r="B22" s="5" t="s">
        <v>38</v>
      </c>
      <c r="C22" s="5">
        <v>86</v>
      </c>
      <c r="D22" s="5"/>
      <c r="E22" s="5">
        <v>86</v>
      </c>
      <c r="F22" s="5"/>
      <c r="G22" s="8">
        <v>0.4</v>
      </c>
      <c r="H22" s="5">
        <v>60</v>
      </c>
      <c r="I22" s="5" t="s">
        <v>36</v>
      </c>
      <c r="J22" s="5"/>
      <c r="K22" s="5"/>
      <c r="L22" s="5">
        <f t="shared" si="2"/>
        <v>86</v>
      </c>
      <c r="M22" s="5"/>
      <c r="N22" s="5"/>
      <c r="O22" s="5">
        <v>400</v>
      </c>
      <c r="P22" s="5">
        <v>480</v>
      </c>
      <c r="Q22" s="5">
        <f t="shared" si="3"/>
        <v>17.2</v>
      </c>
      <c r="R22" s="4">
        <v>400</v>
      </c>
      <c r="S22" s="4"/>
      <c r="T22" s="5" t="str">
        <f>VLOOKUP(A:A,[1]Sheet!$A:$U,21,0)</f>
        <v>на халк</v>
      </c>
      <c r="U22" s="5">
        <f t="shared" si="4"/>
        <v>74.418604651162795</v>
      </c>
      <c r="V22" s="5">
        <f t="shared" si="5"/>
        <v>51.162790697674424</v>
      </c>
      <c r="W22" s="5">
        <v>45.4</v>
      </c>
      <c r="X22" s="5">
        <v>58.8</v>
      </c>
      <c r="Y22" s="5">
        <v>6</v>
      </c>
      <c r="Z22" s="5">
        <v>0</v>
      </c>
      <c r="AA22" s="5">
        <v>1</v>
      </c>
      <c r="AB22" s="5">
        <v>0</v>
      </c>
      <c r="AC22" s="5">
        <v>0</v>
      </c>
      <c r="AD22" s="5">
        <v>0</v>
      </c>
      <c r="AE22" s="5"/>
      <c r="AF22" s="5">
        <f t="shared" si="7"/>
        <v>160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10" t="s">
        <v>56</v>
      </c>
      <c r="B23" s="10" t="s">
        <v>38</v>
      </c>
      <c r="C23" s="10">
        <v>-3</v>
      </c>
      <c r="D23" s="10"/>
      <c r="E23" s="10"/>
      <c r="F23" s="16">
        <v>-3</v>
      </c>
      <c r="G23" s="11">
        <v>0</v>
      </c>
      <c r="H23" s="10"/>
      <c r="I23" s="10" t="s">
        <v>47</v>
      </c>
      <c r="J23" s="10" t="s">
        <v>57</v>
      </c>
      <c r="K23" s="10"/>
      <c r="L23" s="10">
        <f t="shared" si="2"/>
        <v>0</v>
      </c>
      <c r="M23" s="10"/>
      <c r="N23" s="10"/>
      <c r="O23" s="10"/>
      <c r="P23" s="10"/>
      <c r="Q23" s="10">
        <f t="shared" si="3"/>
        <v>0</v>
      </c>
      <c r="R23" s="4"/>
      <c r="S23" s="12"/>
      <c r="T23" s="5">
        <f>VLOOKUP(A:A,[1]Sheet!$A:$U,21,0)</f>
        <v>0</v>
      </c>
      <c r="U23" s="10" t="e">
        <f t="shared" si="4"/>
        <v>#DIV/0!</v>
      </c>
      <c r="V23" s="10" t="e">
        <f t="shared" si="5"/>
        <v>#DIV/0!</v>
      </c>
      <c r="W23" s="10">
        <v>0</v>
      </c>
      <c r="X23" s="10">
        <v>0</v>
      </c>
      <c r="Y23" s="10">
        <v>0</v>
      </c>
      <c r="Z23" s="10">
        <v>0</v>
      </c>
      <c r="AA23" s="10">
        <v>0.6</v>
      </c>
      <c r="AB23" s="10">
        <v>0</v>
      </c>
      <c r="AC23" s="10">
        <v>0</v>
      </c>
      <c r="AD23" s="10">
        <v>0</v>
      </c>
      <c r="AE23" s="10"/>
      <c r="AF23" s="10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5" t="s">
        <v>57</v>
      </c>
      <c r="B24" s="5" t="s">
        <v>38</v>
      </c>
      <c r="C24" s="5">
        <v>1703</v>
      </c>
      <c r="D24" s="5"/>
      <c r="E24" s="16">
        <f>428+E38</f>
        <v>441</v>
      </c>
      <c r="F24" s="16">
        <f>1262+F23+F38</f>
        <v>1246</v>
      </c>
      <c r="G24" s="8">
        <v>0.5</v>
      </c>
      <c r="H24" s="5">
        <v>60</v>
      </c>
      <c r="I24" s="5" t="s">
        <v>36</v>
      </c>
      <c r="J24" s="5"/>
      <c r="K24" s="5"/>
      <c r="L24" s="5">
        <f t="shared" si="2"/>
        <v>441</v>
      </c>
      <c r="M24" s="5"/>
      <c r="N24" s="5"/>
      <c r="O24" s="5"/>
      <c r="P24" s="5"/>
      <c r="Q24" s="5">
        <f t="shared" si="3"/>
        <v>88.2</v>
      </c>
      <c r="R24" s="4"/>
      <c r="S24" s="4">
        <v>518</v>
      </c>
      <c r="T24" s="5" t="str">
        <f>VLOOKUP(A:A,[1]Sheet!$A:$U,21,0)</f>
        <v>вывод из сети халк, ротация на говяжью</v>
      </c>
      <c r="U24" s="5">
        <f t="shared" si="4"/>
        <v>14.126984126984127</v>
      </c>
      <c r="V24" s="5">
        <f t="shared" si="5"/>
        <v>14.126984126984127</v>
      </c>
      <c r="W24" s="5">
        <v>83</v>
      </c>
      <c r="X24" s="5">
        <v>82.6</v>
      </c>
      <c r="Y24" s="5">
        <v>68.2</v>
      </c>
      <c r="Z24" s="5">
        <v>110.6</v>
      </c>
      <c r="AA24" s="5">
        <v>76.400000000000006</v>
      </c>
      <c r="AB24" s="5">
        <v>108</v>
      </c>
      <c r="AC24" s="5">
        <v>68.8</v>
      </c>
      <c r="AD24" s="5">
        <v>77.599999999999994</v>
      </c>
      <c r="AE24" s="19" t="s">
        <v>75</v>
      </c>
      <c r="AF24" s="5">
        <f t="shared" ref="AF24:AF37" si="8">G24*R24</f>
        <v>0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58</v>
      </c>
      <c r="B25" s="5" t="s">
        <v>38</v>
      </c>
      <c r="C25" s="5">
        <v>364</v>
      </c>
      <c r="D25" s="5"/>
      <c r="E25" s="5">
        <v>163</v>
      </c>
      <c r="F25" s="5">
        <v>195</v>
      </c>
      <c r="G25" s="8">
        <v>0.36</v>
      </c>
      <c r="H25" s="5">
        <v>45</v>
      </c>
      <c r="I25" s="5" t="s">
        <v>36</v>
      </c>
      <c r="J25" s="5"/>
      <c r="K25" s="5"/>
      <c r="L25" s="5">
        <f t="shared" si="2"/>
        <v>163</v>
      </c>
      <c r="M25" s="5"/>
      <c r="N25" s="5"/>
      <c r="O25" s="5">
        <v>160</v>
      </c>
      <c r="P25" s="5"/>
      <c r="Q25" s="5">
        <f t="shared" si="3"/>
        <v>32.6</v>
      </c>
      <c r="R25" s="4">
        <v>120</v>
      </c>
      <c r="S25" s="4">
        <v>264.39999999999998</v>
      </c>
      <c r="T25" s="5">
        <f>VLOOKUP(A:A,[1]Sheet!$A:$U,21,0)</f>
        <v>0</v>
      </c>
      <c r="U25" s="5">
        <f t="shared" si="4"/>
        <v>14.570552147239264</v>
      </c>
      <c r="V25" s="5">
        <f t="shared" si="5"/>
        <v>10.889570552147239</v>
      </c>
      <c r="W25" s="5">
        <v>31.2</v>
      </c>
      <c r="X25" s="5">
        <v>33.799999999999997</v>
      </c>
      <c r="Y25" s="5">
        <v>7.8</v>
      </c>
      <c r="Z25" s="5">
        <v>34.200000000000003</v>
      </c>
      <c r="AA25" s="5">
        <v>39.6</v>
      </c>
      <c r="AB25" s="5">
        <v>0</v>
      </c>
      <c r="AC25" s="5">
        <v>15</v>
      </c>
      <c r="AD25" s="5">
        <v>0</v>
      </c>
      <c r="AE25" s="5"/>
      <c r="AF25" s="5">
        <f t="shared" si="8"/>
        <v>43.199999999999996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 t="s">
        <v>59</v>
      </c>
      <c r="B26" s="5" t="s">
        <v>38</v>
      </c>
      <c r="C26" s="5">
        <v>289</v>
      </c>
      <c r="D26" s="5">
        <v>200</v>
      </c>
      <c r="E26" s="5">
        <v>307</v>
      </c>
      <c r="F26" s="5">
        <v>179</v>
      </c>
      <c r="G26" s="8">
        <v>0.33</v>
      </c>
      <c r="H26" s="5">
        <v>45</v>
      </c>
      <c r="I26" s="5" t="s">
        <v>36</v>
      </c>
      <c r="J26" s="5"/>
      <c r="K26" s="5"/>
      <c r="L26" s="5">
        <f t="shared" si="2"/>
        <v>307</v>
      </c>
      <c r="M26" s="5"/>
      <c r="N26" s="5"/>
      <c r="O26" s="5">
        <v>240</v>
      </c>
      <c r="P26" s="5">
        <v>320</v>
      </c>
      <c r="Q26" s="5">
        <f t="shared" si="3"/>
        <v>61.4</v>
      </c>
      <c r="R26" s="4">
        <v>200</v>
      </c>
      <c r="S26" s="4">
        <v>489</v>
      </c>
      <c r="T26" s="5">
        <f>VLOOKUP(A:A,[1]Sheet!$A:$U,21,0)</f>
        <v>0</v>
      </c>
      <c r="U26" s="5">
        <f t="shared" si="4"/>
        <v>15.293159609120522</v>
      </c>
      <c r="V26" s="5">
        <f t="shared" si="5"/>
        <v>12.035830618892508</v>
      </c>
      <c r="W26" s="5">
        <v>71.2</v>
      </c>
      <c r="X26" s="5">
        <v>51.6</v>
      </c>
      <c r="Y26" s="5">
        <v>29.2</v>
      </c>
      <c r="Z26" s="5">
        <v>57.6</v>
      </c>
      <c r="AA26" s="5">
        <v>0</v>
      </c>
      <c r="AB26" s="5">
        <v>-0.2</v>
      </c>
      <c r="AC26" s="5">
        <v>31.4</v>
      </c>
      <c r="AD26" s="5">
        <v>0</v>
      </c>
      <c r="AE26" s="5"/>
      <c r="AF26" s="5">
        <f t="shared" si="8"/>
        <v>66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60</v>
      </c>
      <c r="B27" s="5" t="s">
        <v>38</v>
      </c>
      <c r="C27" s="5">
        <v>323</v>
      </c>
      <c r="D27" s="5">
        <v>200</v>
      </c>
      <c r="E27" s="5">
        <v>159</v>
      </c>
      <c r="F27" s="5">
        <v>348</v>
      </c>
      <c r="G27" s="8">
        <v>0.33</v>
      </c>
      <c r="H27" s="5">
        <v>45</v>
      </c>
      <c r="I27" s="5" t="s">
        <v>36</v>
      </c>
      <c r="J27" s="5"/>
      <c r="K27" s="5"/>
      <c r="L27" s="5">
        <f t="shared" si="2"/>
        <v>159</v>
      </c>
      <c r="M27" s="5"/>
      <c r="N27" s="5"/>
      <c r="O27" s="5">
        <v>240</v>
      </c>
      <c r="P27" s="5"/>
      <c r="Q27" s="5">
        <f t="shared" si="3"/>
        <v>31.8</v>
      </c>
      <c r="R27" s="4">
        <v>80</v>
      </c>
      <c r="S27" s="4">
        <v>48</v>
      </c>
      <c r="T27" s="5">
        <f>VLOOKUP(A:A,[1]Sheet!$A:$U,21,0)</f>
        <v>0</v>
      </c>
      <c r="U27" s="5">
        <f t="shared" si="4"/>
        <v>21.0062893081761</v>
      </c>
      <c r="V27" s="5">
        <f t="shared" si="5"/>
        <v>18.490566037735849</v>
      </c>
      <c r="W27" s="5">
        <v>35.6</v>
      </c>
      <c r="X27" s="5">
        <v>47.6</v>
      </c>
      <c r="Y27" s="5">
        <v>1.4</v>
      </c>
      <c r="Z27" s="5">
        <v>0</v>
      </c>
      <c r="AA27" s="5">
        <v>30.8</v>
      </c>
      <c r="AB27" s="5">
        <v>0</v>
      </c>
      <c r="AC27" s="5">
        <v>0.6</v>
      </c>
      <c r="AD27" s="5">
        <v>0</v>
      </c>
      <c r="AE27" s="5"/>
      <c r="AF27" s="5">
        <f t="shared" si="8"/>
        <v>26.400000000000002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 t="s">
        <v>61</v>
      </c>
      <c r="B28" s="5" t="s">
        <v>38</v>
      </c>
      <c r="C28" s="5">
        <v>270</v>
      </c>
      <c r="D28" s="5">
        <v>198</v>
      </c>
      <c r="E28" s="5">
        <v>155</v>
      </c>
      <c r="F28" s="5">
        <v>302</v>
      </c>
      <c r="G28" s="8">
        <v>0.4</v>
      </c>
      <c r="H28" s="5">
        <v>45</v>
      </c>
      <c r="I28" s="5" t="s">
        <v>36</v>
      </c>
      <c r="J28" s="5"/>
      <c r="K28" s="5"/>
      <c r="L28" s="5">
        <f t="shared" si="2"/>
        <v>155</v>
      </c>
      <c r="M28" s="5"/>
      <c r="N28" s="5"/>
      <c r="O28" s="5">
        <v>100</v>
      </c>
      <c r="P28" s="5"/>
      <c r="Q28" s="5">
        <f t="shared" si="3"/>
        <v>31</v>
      </c>
      <c r="R28" s="4">
        <v>120</v>
      </c>
      <c r="S28" s="4">
        <v>218</v>
      </c>
      <c r="T28" s="5">
        <f>VLOOKUP(A:A,[1]Sheet!$A:$U,21,0)</f>
        <v>0</v>
      </c>
      <c r="U28" s="5">
        <f t="shared" si="4"/>
        <v>16.838709677419356</v>
      </c>
      <c r="V28" s="5">
        <f t="shared" si="5"/>
        <v>12.96774193548387</v>
      </c>
      <c r="W28" s="5">
        <v>24.2</v>
      </c>
      <c r="X28" s="5">
        <v>32.4</v>
      </c>
      <c r="Y28" s="5">
        <v>19.8</v>
      </c>
      <c r="Z28" s="5">
        <v>36.799999999999997</v>
      </c>
      <c r="AA28" s="5">
        <v>30.2</v>
      </c>
      <c r="AB28" s="5">
        <v>0</v>
      </c>
      <c r="AC28" s="5">
        <v>14.8</v>
      </c>
      <c r="AD28" s="5">
        <v>0</v>
      </c>
      <c r="AE28" s="5"/>
      <c r="AF28" s="5">
        <f t="shared" si="8"/>
        <v>48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 t="s">
        <v>62</v>
      </c>
      <c r="B29" s="5" t="s">
        <v>35</v>
      </c>
      <c r="C29" s="5">
        <v>303.08100000000002</v>
      </c>
      <c r="D29" s="5">
        <v>201.69300000000001</v>
      </c>
      <c r="E29" s="5">
        <v>228.63499999999999</v>
      </c>
      <c r="F29" s="5">
        <v>272.40800000000002</v>
      </c>
      <c r="G29" s="8">
        <v>1</v>
      </c>
      <c r="H29" s="5">
        <v>60</v>
      </c>
      <c r="I29" s="5" t="s">
        <v>36</v>
      </c>
      <c r="J29" s="5"/>
      <c r="K29" s="5"/>
      <c r="L29" s="5">
        <f t="shared" si="2"/>
        <v>228.63499999999999</v>
      </c>
      <c r="M29" s="5"/>
      <c r="N29" s="5"/>
      <c r="O29" s="5">
        <v>100</v>
      </c>
      <c r="P29" s="5">
        <v>200</v>
      </c>
      <c r="Q29" s="5">
        <f t="shared" si="3"/>
        <v>45.726999999999997</v>
      </c>
      <c r="R29" s="4">
        <v>300</v>
      </c>
      <c r="S29" s="4">
        <v>342.13199999999995</v>
      </c>
      <c r="T29" s="5">
        <f>VLOOKUP(A:A,[1]Sheet!$A:$U,21,0)</f>
        <v>0</v>
      </c>
      <c r="U29" s="5">
        <f t="shared" si="4"/>
        <v>19.07861875915761</v>
      </c>
      <c r="V29" s="5">
        <f t="shared" si="5"/>
        <v>12.51794344697881</v>
      </c>
      <c r="W29" s="5">
        <v>51.441999999999993</v>
      </c>
      <c r="X29" s="5">
        <v>32.028399999999998</v>
      </c>
      <c r="Y29" s="5">
        <v>39.184199999999997</v>
      </c>
      <c r="Z29" s="5">
        <v>48.998199999999997</v>
      </c>
      <c r="AA29" s="5">
        <v>46.230200000000004</v>
      </c>
      <c r="AB29" s="5">
        <v>54.262999999999998</v>
      </c>
      <c r="AC29" s="5">
        <v>45.597799999999999</v>
      </c>
      <c r="AD29" s="5">
        <v>44.827599999999997</v>
      </c>
      <c r="AE29" s="5"/>
      <c r="AF29" s="5">
        <f t="shared" si="8"/>
        <v>300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 t="s">
        <v>63</v>
      </c>
      <c r="B30" s="5" t="s">
        <v>38</v>
      </c>
      <c r="C30" s="5">
        <v>138</v>
      </c>
      <c r="D30" s="5">
        <v>96</v>
      </c>
      <c r="E30" s="5">
        <v>106</v>
      </c>
      <c r="F30" s="5">
        <v>118</v>
      </c>
      <c r="G30" s="8">
        <v>0.3</v>
      </c>
      <c r="H30" s="5">
        <v>60</v>
      </c>
      <c r="I30" s="5" t="s">
        <v>36</v>
      </c>
      <c r="J30" s="5"/>
      <c r="K30" s="5"/>
      <c r="L30" s="5">
        <f t="shared" si="2"/>
        <v>106</v>
      </c>
      <c r="M30" s="5"/>
      <c r="N30" s="5"/>
      <c r="O30" s="5">
        <v>100</v>
      </c>
      <c r="P30" s="5">
        <v>100</v>
      </c>
      <c r="Q30" s="5">
        <f t="shared" si="3"/>
        <v>21.2</v>
      </c>
      <c r="R30" s="4">
        <v>100</v>
      </c>
      <c r="S30" s="4">
        <v>106</v>
      </c>
      <c r="T30" s="5">
        <f>VLOOKUP(A:A,[1]Sheet!$A:$U,21,0)</f>
        <v>0</v>
      </c>
      <c r="U30" s="5">
        <f t="shared" si="4"/>
        <v>19.716981132075471</v>
      </c>
      <c r="V30" s="5">
        <f t="shared" si="5"/>
        <v>15</v>
      </c>
      <c r="W30" s="5">
        <v>28.4</v>
      </c>
      <c r="X30" s="5">
        <v>19.600000000000001</v>
      </c>
      <c r="Y30" s="5">
        <v>16</v>
      </c>
      <c r="Z30" s="5">
        <v>17.8</v>
      </c>
      <c r="AA30" s="5">
        <v>46.6</v>
      </c>
      <c r="AB30" s="5">
        <v>6.4</v>
      </c>
      <c r="AC30" s="5">
        <v>21.6</v>
      </c>
      <c r="AD30" s="5">
        <v>0</v>
      </c>
      <c r="AE30" s="5"/>
      <c r="AF30" s="5">
        <f t="shared" si="8"/>
        <v>30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48</v>
      </c>
      <c r="B31" s="5" t="s">
        <v>38</v>
      </c>
      <c r="C31" s="5">
        <v>496</v>
      </c>
      <c r="D31" s="5">
        <v>200</v>
      </c>
      <c r="E31" s="5">
        <v>215</v>
      </c>
      <c r="F31" s="16">
        <f>466+F15</f>
        <v>463</v>
      </c>
      <c r="G31" s="8">
        <v>0.41</v>
      </c>
      <c r="H31" s="5">
        <v>50</v>
      </c>
      <c r="I31" s="5" t="s">
        <v>36</v>
      </c>
      <c r="J31" s="5"/>
      <c r="K31" s="5"/>
      <c r="L31" s="5">
        <f t="shared" si="2"/>
        <v>215</v>
      </c>
      <c r="M31" s="5"/>
      <c r="N31" s="5"/>
      <c r="O31" s="5"/>
      <c r="P31" s="5"/>
      <c r="Q31" s="5">
        <f t="shared" si="3"/>
        <v>43</v>
      </c>
      <c r="R31" s="4">
        <v>200</v>
      </c>
      <c r="S31" s="4">
        <v>354</v>
      </c>
      <c r="T31" s="5">
        <f>VLOOKUP(A:A,[1]Sheet!$A:$U,21,0)</f>
        <v>0</v>
      </c>
      <c r="U31" s="5">
        <f t="shared" si="4"/>
        <v>15.418604651162791</v>
      </c>
      <c r="V31" s="5">
        <f t="shared" si="5"/>
        <v>10.767441860465116</v>
      </c>
      <c r="W31" s="5">
        <v>26.8</v>
      </c>
      <c r="X31" s="5">
        <v>33.6</v>
      </c>
      <c r="Y31" s="5">
        <v>20.8</v>
      </c>
      <c r="Z31" s="5">
        <v>40.200000000000003</v>
      </c>
      <c r="AA31" s="5">
        <v>52.8</v>
      </c>
      <c r="AB31" s="5">
        <v>2</v>
      </c>
      <c r="AC31" s="5">
        <v>24.2</v>
      </c>
      <c r="AD31" s="5">
        <v>0</v>
      </c>
      <c r="AE31" s="5"/>
      <c r="AF31" s="5">
        <f t="shared" si="8"/>
        <v>82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 t="s">
        <v>64</v>
      </c>
      <c r="B32" s="5" t="s">
        <v>35</v>
      </c>
      <c r="C32" s="5">
        <v>558.6</v>
      </c>
      <c r="D32" s="5">
        <v>405.53399999999999</v>
      </c>
      <c r="E32" s="5">
        <v>343.28399999999999</v>
      </c>
      <c r="F32" s="5">
        <v>603.46900000000005</v>
      </c>
      <c r="G32" s="8">
        <v>1</v>
      </c>
      <c r="H32" s="5">
        <v>50</v>
      </c>
      <c r="I32" s="5" t="s">
        <v>36</v>
      </c>
      <c r="J32" s="5"/>
      <c r="K32" s="5"/>
      <c r="L32" s="5">
        <f t="shared" si="2"/>
        <v>343.28399999999999</v>
      </c>
      <c r="M32" s="5"/>
      <c r="N32" s="5"/>
      <c r="O32" s="5">
        <v>350</v>
      </c>
      <c r="P32" s="5">
        <v>400</v>
      </c>
      <c r="Q32" s="5">
        <f t="shared" si="3"/>
        <v>68.656800000000004</v>
      </c>
      <c r="R32" s="4">
        <v>200</v>
      </c>
      <c r="S32" s="4">
        <v>19.666999999999916</v>
      </c>
      <c r="T32" s="5">
        <f>VLOOKUP(A:A,[1]Sheet!$A:$U,21,0)</f>
        <v>0</v>
      </c>
      <c r="U32" s="5">
        <f t="shared" si="4"/>
        <v>22.626586150242947</v>
      </c>
      <c r="V32" s="5">
        <f t="shared" si="5"/>
        <v>19.713546218291558</v>
      </c>
      <c r="W32" s="5">
        <v>94.631600000000006</v>
      </c>
      <c r="X32" s="5">
        <v>60.880999999999993</v>
      </c>
      <c r="Y32" s="5">
        <v>81.591200000000001</v>
      </c>
      <c r="Z32" s="5">
        <v>92.709400000000002</v>
      </c>
      <c r="AA32" s="5">
        <v>93.669000000000011</v>
      </c>
      <c r="AB32" s="5">
        <v>106.9704</v>
      </c>
      <c r="AC32" s="5">
        <v>72.168399999999991</v>
      </c>
      <c r="AD32" s="5">
        <v>88.650599999999997</v>
      </c>
      <c r="AE32" s="5"/>
      <c r="AF32" s="5">
        <f t="shared" si="8"/>
        <v>200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5" t="s">
        <v>65</v>
      </c>
      <c r="B33" s="5" t="s">
        <v>35</v>
      </c>
      <c r="C33" s="5">
        <v>108.36499999999999</v>
      </c>
      <c r="D33" s="5">
        <v>126.5</v>
      </c>
      <c r="E33" s="5">
        <v>131.458</v>
      </c>
      <c r="F33" s="5">
        <v>99.561999999999998</v>
      </c>
      <c r="G33" s="8">
        <v>1</v>
      </c>
      <c r="H33" s="5">
        <v>50</v>
      </c>
      <c r="I33" s="5" t="s">
        <v>36</v>
      </c>
      <c r="J33" s="5"/>
      <c r="K33" s="5"/>
      <c r="L33" s="5">
        <f t="shared" si="2"/>
        <v>131.458</v>
      </c>
      <c r="M33" s="5"/>
      <c r="N33" s="5"/>
      <c r="O33" s="5">
        <v>150</v>
      </c>
      <c r="P33" s="5">
        <v>150</v>
      </c>
      <c r="Q33" s="5">
        <f t="shared" si="3"/>
        <v>26.291599999999999</v>
      </c>
      <c r="R33" s="4">
        <v>150</v>
      </c>
      <c r="S33" s="4">
        <v>126.27</v>
      </c>
      <c r="T33" s="5">
        <f>VLOOKUP(A:A,[1]Sheet!$A:$U,21,0)</f>
        <v>0</v>
      </c>
      <c r="U33" s="5">
        <f t="shared" si="4"/>
        <v>20.902569642014942</v>
      </c>
      <c r="V33" s="5">
        <f t="shared" si="5"/>
        <v>15.197325381490668</v>
      </c>
      <c r="W33" s="5">
        <v>25.154199999999999</v>
      </c>
      <c r="X33" s="5">
        <v>26.1296</v>
      </c>
      <c r="Y33" s="5">
        <v>25.888999999999999</v>
      </c>
      <c r="Z33" s="5">
        <v>25.126200000000001</v>
      </c>
      <c r="AA33" s="5">
        <v>36.475999999999999</v>
      </c>
      <c r="AB33" s="5">
        <v>27.370200000000001</v>
      </c>
      <c r="AC33" s="5">
        <v>24.926600000000001</v>
      </c>
      <c r="AD33" s="5">
        <v>25.960999999999999</v>
      </c>
      <c r="AE33" s="5"/>
      <c r="AF33" s="5">
        <f t="shared" si="8"/>
        <v>150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66</v>
      </c>
      <c r="B34" s="5" t="s">
        <v>38</v>
      </c>
      <c r="C34" s="5">
        <v>418</v>
      </c>
      <c r="D34" s="5">
        <v>280</v>
      </c>
      <c r="E34" s="5">
        <v>265</v>
      </c>
      <c r="F34" s="5">
        <v>427</v>
      </c>
      <c r="G34" s="8">
        <v>0.4</v>
      </c>
      <c r="H34" s="5">
        <v>50</v>
      </c>
      <c r="I34" s="5" t="s">
        <v>36</v>
      </c>
      <c r="J34" s="5"/>
      <c r="K34" s="5"/>
      <c r="L34" s="5">
        <f t="shared" si="2"/>
        <v>265</v>
      </c>
      <c r="M34" s="5"/>
      <c r="N34" s="5"/>
      <c r="O34" s="5">
        <v>160</v>
      </c>
      <c r="P34" s="5"/>
      <c r="Q34" s="5">
        <f t="shared" si="3"/>
        <v>53</v>
      </c>
      <c r="R34" s="4">
        <v>240</v>
      </c>
      <c r="S34" s="4">
        <v>420</v>
      </c>
      <c r="T34" s="5">
        <f>VLOOKUP(A:A,[1]Sheet!$A:$U,21,0)</f>
        <v>0</v>
      </c>
      <c r="U34" s="5">
        <f t="shared" si="4"/>
        <v>15.60377358490566</v>
      </c>
      <c r="V34" s="5">
        <f t="shared" si="5"/>
        <v>11.075471698113208</v>
      </c>
      <c r="W34" s="5">
        <v>40.4</v>
      </c>
      <c r="X34" s="5">
        <v>51</v>
      </c>
      <c r="Y34" s="5">
        <v>7.2</v>
      </c>
      <c r="Z34" s="5">
        <v>49.8</v>
      </c>
      <c r="AA34" s="5">
        <v>41</v>
      </c>
      <c r="AB34" s="5">
        <v>0.2</v>
      </c>
      <c r="AC34" s="5">
        <v>22.2</v>
      </c>
      <c r="AD34" s="5">
        <v>0</v>
      </c>
      <c r="AE34" s="5"/>
      <c r="AF34" s="5">
        <f t="shared" si="8"/>
        <v>96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5" t="s">
        <v>67</v>
      </c>
      <c r="B35" s="5" t="s">
        <v>38</v>
      </c>
      <c r="C35" s="5">
        <v>412</v>
      </c>
      <c r="D35" s="5"/>
      <c r="E35" s="16">
        <f>157+E39</f>
        <v>195</v>
      </c>
      <c r="F35" s="16">
        <f>255+F39</f>
        <v>229</v>
      </c>
      <c r="G35" s="8">
        <v>0.18</v>
      </c>
      <c r="H35" s="5">
        <v>50</v>
      </c>
      <c r="I35" s="5" t="s">
        <v>36</v>
      </c>
      <c r="J35" s="5"/>
      <c r="K35" s="5"/>
      <c r="L35" s="5">
        <f t="shared" si="2"/>
        <v>195</v>
      </c>
      <c r="M35" s="5"/>
      <c r="N35" s="5"/>
      <c r="O35" s="5">
        <v>160</v>
      </c>
      <c r="P35" s="5"/>
      <c r="Q35" s="5">
        <f t="shared" si="3"/>
        <v>39</v>
      </c>
      <c r="R35" s="4">
        <v>50</v>
      </c>
      <c r="S35" s="4">
        <v>313</v>
      </c>
      <c r="T35" s="5" t="str">
        <f>VLOOKUP(A:A,[1]Sheet!$A:$U,21,0)</f>
        <v>запустили акцию, чтобы распродать</v>
      </c>
      <c r="U35" s="5">
        <f t="shared" si="4"/>
        <v>11.256410256410257</v>
      </c>
      <c r="V35" s="5">
        <f t="shared" si="5"/>
        <v>9.9743589743589745</v>
      </c>
      <c r="W35" s="5">
        <v>33.799999999999997</v>
      </c>
      <c r="X35" s="5">
        <v>35.4</v>
      </c>
      <c r="Y35" s="5">
        <v>15.4</v>
      </c>
      <c r="Z35" s="5">
        <v>37.6</v>
      </c>
      <c r="AA35" s="5">
        <v>38.200000000000003</v>
      </c>
      <c r="AB35" s="5">
        <v>9.8000000000000007</v>
      </c>
      <c r="AC35" s="5">
        <v>27.2</v>
      </c>
      <c r="AD35" s="5">
        <v>0</v>
      </c>
      <c r="AE35" s="5"/>
      <c r="AF35" s="5">
        <f t="shared" si="8"/>
        <v>9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 t="s">
        <v>68</v>
      </c>
      <c r="B36" s="5" t="s">
        <v>38</v>
      </c>
      <c r="C36" s="5">
        <v>1434</v>
      </c>
      <c r="D36" s="5">
        <v>1200</v>
      </c>
      <c r="E36" s="5">
        <v>1679</v>
      </c>
      <c r="F36" s="5">
        <v>946</v>
      </c>
      <c r="G36" s="8">
        <v>0.3</v>
      </c>
      <c r="H36" s="5">
        <v>50</v>
      </c>
      <c r="I36" s="5" t="s">
        <v>36</v>
      </c>
      <c r="J36" s="5"/>
      <c r="K36" s="5"/>
      <c r="L36" s="5">
        <f t="shared" si="2"/>
        <v>1679</v>
      </c>
      <c r="M36" s="5"/>
      <c r="N36" s="5"/>
      <c r="O36" s="5">
        <v>1600</v>
      </c>
      <c r="P36" s="5">
        <v>1700</v>
      </c>
      <c r="Q36" s="5">
        <f t="shared" si="3"/>
        <v>335.8</v>
      </c>
      <c r="R36" s="4">
        <v>1800</v>
      </c>
      <c r="S36" s="4">
        <v>2470</v>
      </c>
      <c r="T36" s="5">
        <f>VLOOKUP(A:A,[1]Sheet!$A:$U,21,0)</f>
        <v>0</v>
      </c>
      <c r="U36" s="5">
        <f t="shared" si="4"/>
        <v>18.004764740917214</v>
      </c>
      <c r="V36" s="5">
        <f t="shared" si="5"/>
        <v>12.644431209053007</v>
      </c>
      <c r="W36" s="5">
        <v>282.60000000000002</v>
      </c>
      <c r="X36" s="5">
        <v>283.39999999999998</v>
      </c>
      <c r="Y36" s="5">
        <v>202.8</v>
      </c>
      <c r="Z36" s="5">
        <v>293.39999999999998</v>
      </c>
      <c r="AA36" s="5">
        <v>239</v>
      </c>
      <c r="AB36" s="5">
        <v>330.8</v>
      </c>
      <c r="AC36" s="5">
        <v>219.8</v>
      </c>
      <c r="AD36" s="5">
        <v>237.6</v>
      </c>
      <c r="AE36" s="5"/>
      <c r="AF36" s="5">
        <f t="shared" si="8"/>
        <v>540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 t="s">
        <v>69</v>
      </c>
      <c r="B37" s="5" t="s">
        <v>38</v>
      </c>
      <c r="C37" s="5">
        <v>229</v>
      </c>
      <c r="D37" s="5">
        <v>160</v>
      </c>
      <c r="E37" s="5">
        <v>223</v>
      </c>
      <c r="F37" s="5">
        <v>126</v>
      </c>
      <c r="G37" s="8">
        <v>0.28000000000000003</v>
      </c>
      <c r="H37" s="5">
        <v>50</v>
      </c>
      <c r="I37" s="5" t="s">
        <v>36</v>
      </c>
      <c r="J37" s="5"/>
      <c r="K37" s="5"/>
      <c r="L37" s="5">
        <f t="shared" si="2"/>
        <v>223</v>
      </c>
      <c r="M37" s="5"/>
      <c r="N37" s="5"/>
      <c r="O37" s="5">
        <v>240</v>
      </c>
      <c r="P37" s="5">
        <v>200</v>
      </c>
      <c r="Q37" s="5">
        <f t="shared" si="3"/>
        <v>44.6</v>
      </c>
      <c r="R37" s="4">
        <v>320</v>
      </c>
      <c r="S37" s="4">
        <v>326</v>
      </c>
      <c r="T37" s="5">
        <f>VLOOKUP(A:A,[1]Sheet!$A:$U,21,0)</f>
        <v>0</v>
      </c>
      <c r="U37" s="5">
        <f t="shared" si="4"/>
        <v>19.865470852017935</v>
      </c>
      <c r="V37" s="5">
        <f t="shared" si="5"/>
        <v>12.690582959641254</v>
      </c>
      <c r="W37" s="5">
        <v>25.2</v>
      </c>
      <c r="X37" s="5">
        <v>41.6</v>
      </c>
      <c r="Y37" s="5">
        <v>41</v>
      </c>
      <c r="Z37" s="5">
        <v>48</v>
      </c>
      <c r="AA37" s="5">
        <v>40.4</v>
      </c>
      <c r="AB37" s="5">
        <v>0</v>
      </c>
      <c r="AC37" s="5">
        <v>31.2</v>
      </c>
      <c r="AD37" s="5">
        <v>0</v>
      </c>
      <c r="AE37" s="5"/>
      <c r="AF37" s="5">
        <f t="shared" si="8"/>
        <v>89.600000000000009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13" t="s">
        <v>70</v>
      </c>
      <c r="B38" s="13" t="s">
        <v>38</v>
      </c>
      <c r="C38" s="13"/>
      <c r="D38" s="13"/>
      <c r="E38" s="16">
        <v>13</v>
      </c>
      <c r="F38" s="16">
        <v>-13</v>
      </c>
      <c r="G38" s="14">
        <v>0</v>
      </c>
      <c r="H38" s="13"/>
      <c r="I38" s="13" t="s">
        <v>71</v>
      </c>
      <c r="J38" s="13" t="s">
        <v>57</v>
      </c>
      <c r="K38" s="13"/>
      <c r="L38" s="13">
        <f t="shared" si="2"/>
        <v>13</v>
      </c>
      <c r="M38" s="13"/>
      <c r="N38" s="13"/>
      <c r="O38" s="13"/>
      <c r="P38" s="13"/>
      <c r="Q38" s="13">
        <f t="shared" si="3"/>
        <v>2.6</v>
      </c>
      <c r="R38" s="4"/>
      <c r="S38" s="15"/>
      <c r="T38" s="5">
        <f>VLOOKUP(A:A,[1]Sheet!$A:$U,21,0)</f>
        <v>0</v>
      </c>
      <c r="U38" s="13">
        <f t="shared" si="4"/>
        <v>-5</v>
      </c>
      <c r="V38" s="13">
        <f t="shared" si="5"/>
        <v>-5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/>
      <c r="AF38" s="13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13" t="s">
        <v>72</v>
      </c>
      <c r="B39" s="13" t="s">
        <v>38</v>
      </c>
      <c r="C39" s="13"/>
      <c r="D39" s="13"/>
      <c r="E39" s="16">
        <v>38</v>
      </c>
      <c r="F39" s="16">
        <v>-26</v>
      </c>
      <c r="G39" s="14">
        <v>0</v>
      </c>
      <c r="H39" s="13"/>
      <c r="I39" s="13" t="s">
        <v>71</v>
      </c>
      <c r="J39" s="13" t="s">
        <v>67</v>
      </c>
      <c r="K39" s="13"/>
      <c r="L39" s="13">
        <f t="shared" si="2"/>
        <v>38</v>
      </c>
      <c r="M39" s="13"/>
      <c r="N39" s="13"/>
      <c r="O39" s="13"/>
      <c r="P39" s="13"/>
      <c r="Q39" s="13">
        <f t="shared" si="3"/>
        <v>7.6</v>
      </c>
      <c r="R39" s="4"/>
      <c r="S39" s="15"/>
      <c r="T39" s="5">
        <f>VLOOKUP(A:A,[1]Sheet!$A:$U,21,0)</f>
        <v>0</v>
      </c>
      <c r="U39" s="13">
        <f t="shared" si="4"/>
        <v>-3.4210526315789473</v>
      </c>
      <c r="V39" s="13">
        <f t="shared" si="5"/>
        <v>-3.4210526315789473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/>
      <c r="AF39" s="13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/>
      <c r="B40" s="5"/>
      <c r="C40" s="5"/>
      <c r="D40" s="5"/>
      <c r="E40" s="5"/>
      <c r="F40" s="5"/>
      <c r="G40" s="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/>
      <c r="B41" s="5"/>
      <c r="C41" s="5"/>
      <c r="D41" s="5"/>
      <c r="E41" s="5"/>
      <c r="F41" s="5"/>
      <c r="G41" s="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/>
      <c r="B42" s="5"/>
      <c r="C42" s="5"/>
      <c r="D42" s="5"/>
      <c r="E42" s="5"/>
      <c r="F42" s="5"/>
      <c r="G42" s="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/>
      <c r="B43" s="5"/>
      <c r="C43" s="5"/>
      <c r="D43" s="5"/>
      <c r="E43" s="5"/>
      <c r="F43" s="5"/>
      <c r="G43" s="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/>
      <c r="B44" s="5"/>
      <c r="C44" s="5"/>
      <c r="D44" s="5"/>
      <c r="E44" s="5"/>
      <c r="F44" s="5"/>
      <c r="G44" s="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/>
      <c r="B45" s="5"/>
      <c r="C45" s="5"/>
      <c r="D45" s="5"/>
      <c r="E45" s="5"/>
      <c r="F45" s="5"/>
      <c r="G45" s="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/>
      <c r="B46" s="5"/>
      <c r="C46" s="5"/>
      <c r="D46" s="5"/>
      <c r="E46" s="5"/>
      <c r="F46" s="5"/>
      <c r="G46" s="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/>
      <c r="B47" s="5"/>
      <c r="C47" s="5"/>
      <c r="D47" s="5"/>
      <c r="E47" s="5"/>
      <c r="F47" s="5"/>
      <c r="G47" s="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/>
      <c r="B48" s="5"/>
      <c r="C48" s="5"/>
      <c r="D48" s="5"/>
      <c r="E48" s="5"/>
      <c r="F48" s="5"/>
      <c r="G48" s="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/>
      <c r="B49" s="5"/>
      <c r="C49" s="5"/>
      <c r="D49" s="5"/>
      <c r="E49" s="5"/>
      <c r="F49" s="5"/>
      <c r="G49" s="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/>
      <c r="B50" s="5"/>
      <c r="C50" s="5"/>
      <c r="D50" s="5"/>
      <c r="E50" s="5"/>
      <c r="F50" s="5"/>
      <c r="G50" s="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/>
      <c r="B51" s="5"/>
      <c r="C51" s="5"/>
      <c r="D51" s="5"/>
      <c r="E51" s="5"/>
      <c r="F51" s="5"/>
      <c r="G51" s="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/>
      <c r="B52" s="5"/>
      <c r="C52" s="5"/>
      <c r="D52" s="5"/>
      <c r="E52" s="5"/>
      <c r="F52" s="5"/>
      <c r="G52" s="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5"/>
      <c r="B53" s="5"/>
      <c r="C53" s="5"/>
      <c r="D53" s="5"/>
      <c r="E53" s="5"/>
      <c r="F53" s="5"/>
      <c r="G53" s="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5"/>
      <c r="B54" s="5"/>
      <c r="C54" s="5"/>
      <c r="D54" s="5"/>
      <c r="E54" s="5"/>
      <c r="F54" s="5"/>
      <c r="G54" s="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5"/>
      <c r="B55" s="5"/>
      <c r="C55" s="5"/>
      <c r="D55" s="5"/>
      <c r="E55" s="5"/>
      <c r="F55" s="5"/>
      <c r="G55" s="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/>
      <c r="B56" s="5"/>
      <c r="C56" s="5"/>
      <c r="D56" s="5"/>
      <c r="E56" s="5"/>
      <c r="F56" s="5"/>
      <c r="G56" s="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5"/>
      <c r="B57" s="5"/>
      <c r="C57" s="5"/>
      <c r="D57" s="5"/>
      <c r="E57" s="5"/>
      <c r="F57" s="5"/>
      <c r="G57" s="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5"/>
      <c r="B58" s="5"/>
      <c r="C58" s="5"/>
      <c r="D58" s="5"/>
      <c r="E58" s="5"/>
      <c r="F58" s="5"/>
      <c r="G58" s="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/>
      <c r="B59" s="5"/>
      <c r="C59" s="5"/>
      <c r="D59" s="5"/>
      <c r="E59" s="5"/>
      <c r="F59" s="5"/>
      <c r="G59" s="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/>
      <c r="B60" s="5"/>
      <c r="C60" s="5"/>
      <c r="D60" s="5"/>
      <c r="E60" s="5"/>
      <c r="F60" s="5"/>
      <c r="G60" s="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5"/>
      <c r="B61" s="5"/>
      <c r="C61" s="5"/>
      <c r="D61" s="5"/>
      <c r="E61" s="5"/>
      <c r="F61" s="5"/>
      <c r="G61" s="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/>
      <c r="B62" s="5"/>
      <c r="C62" s="5"/>
      <c r="D62" s="5"/>
      <c r="E62" s="5"/>
      <c r="F62" s="5"/>
      <c r="G62" s="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/>
      <c r="B63" s="5"/>
      <c r="C63" s="5"/>
      <c r="D63" s="5"/>
      <c r="E63" s="5"/>
      <c r="F63" s="5"/>
      <c r="G63" s="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/>
      <c r="B64" s="5"/>
      <c r="C64" s="5"/>
      <c r="D64" s="5"/>
      <c r="E64" s="5"/>
      <c r="F64" s="5"/>
      <c r="G64" s="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/>
      <c r="B65" s="5"/>
      <c r="C65" s="5"/>
      <c r="D65" s="5"/>
      <c r="E65" s="5"/>
      <c r="F65" s="5"/>
      <c r="G65" s="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/>
      <c r="B66" s="5"/>
      <c r="C66" s="5"/>
      <c r="D66" s="5"/>
      <c r="E66" s="5"/>
      <c r="F66" s="5"/>
      <c r="G66" s="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/>
      <c r="B67" s="5"/>
      <c r="C67" s="5"/>
      <c r="D67" s="5"/>
      <c r="E67" s="5"/>
      <c r="F67" s="5"/>
      <c r="G67" s="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/>
      <c r="B68" s="5"/>
      <c r="C68" s="5"/>
      <c r="D68" s="5"/>
      <c r="E68" s="5"/>
      <c r="F68" s="5"/>
      <c r="G68" s="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/>
      <c r="B69" s="5"/>
      <c r="C69" s="5"/>
      <c r="D69" s="5"/>
      <c r="E69" s="5"/>
      <c r="F69" s="5"/>
      <c r="G69" s="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/>
      <c r="B70" s="5"/>
      <c r="C70" s="5"/>
      <c r="D70" s="5"/>
      <c r="E70" s="5"/>
      <c r="F70" s="5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/>
      <c r="B71" s="5"/>
      <c r="C71" s="5"/>
      <c r="D71" s="5"/>
      <c r="E71" s="5"/>
      <c r="F71" s="5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/>
      <c r="B72" s="5"/>
      <c r="C72" s="5"/>
      <c r="D72" s="5"/>
      <c r="E72" s="5"/>
      <c r="F72" s="5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  <row r="500" spans="1:50" x14ac:dyDescent="0.25">
      <c r="A500" s="5"/>
      <c r="B500" s="5"/>
      <c r="C500" s="5"/>
      <c r="D500" s="5"/>
      <c r="E500" s="5"/>
      <c r="F500" s="5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</row>
  </sheetData>
  <autoFilter ref="A3:AF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2025-11-17T10:56:11Z</dcterms:created>
  <dcterms:modified xsi:type="dcterms:W3CDTF">2025-11-18T12:30:44Z</dcterms:modified>
</cp:coreProperties>
</file>