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СЫР филиалы\"/>
    </mc:Choice>
  </mc:AlternateContent>
  <xr:revisionPtr revIDLastSave="0" documentId="13_ncr:1_{6AD0AAAC-287E-4A1D-8087-F8A2DB5B58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0" i="1" l="1"/>
  <c r="Q24" i="1"/>
  <c r="Q33" i="1"/>
  <c r="Q38" i="1"/>
  <c r="Q43" i="1"/>
  <c r="Q42" i="1"/>
  <c r="Q40" i="1"/>
  <c r="Q29" i="1"/>
  <c r="Q18" i="1"/>
  <c r="Q15" i="1"/>
  <c r="Q14" i="1"/>
  <c r="Q9" i="1"/>
  <c r="Q8" i="1"/>
  <c r="Q7" i="1"/>
  <c r="AE12" i="1" l="1"/>
  <c r="P12" i="1"/>
  <c r="T12" i="1" s="1"/>
  <c r="U12" i="1" l="1"/>
  <c r="P43" i="1" l="1"/>
  <c r="T43" i="1" s="1"/>
  <c r="P6" i="1"/>
  <c r="T6" i="1" s="1"/>
  <c r="P7" i="1"/>
  <c r="T7" i="1" s="1"/>
  <c r="P8" i="1"/>
  <c r="T8" i="1" s="1"/>
  <c r="P40" i="1"/>
  <c r="T40" i="1" s="1"/>
  <c r="P41" i="1"/>
  <c r="T41" i="1" s="1"/>
  <c r="P9" i="1"/>
  <c r="T9" i="1" s="1"/>
  <c r="P10" i="1"/>
  <c r="T10" i="1" s="1"/>
  <c r="P11" i="1"/>
  <c r="T11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42" i="1"/>
  <c r="U42" i="1" s="1"/>
  <c r="U34" i="1" l="1"/>
  <c r="U26" i="1"/>
  <c r="U18" i="1"/>
  <c r="U9" i="1"/>
  <c r="U38" i="1"/>
  <c r="U30" i="1"/>
  <c r="U22" i="1"/>
  <c r="U14" i="1"/>
  <c r="U7" i="1"/>
  <c r="U36" i="1"/>
  <c r="U32" i="1"/>
  <c r="U28" i="1"/>
  <c r="U24" i="1"/>
  <c r="U20" i="1"/>
  <c r="U16" i="1"/>
  <c r="U11" i="1"/>
  <c r="U40" i="1"/>
  <c r="U43" i="1"/>
  <c r="T42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0" i="1"/>
  <c r="U41" i="1"/>
  <c r="U8" i="1"/>
  <c r="U6" i="1"/>
  <c r="AE38" i="1"/>
  <c r="L38" i="1"/>
  <c r="L37" i="1"/>
  <c r="AE36" i="1"/>
  <c r="L36" i="1"/>
  <c r="AE35" i="1"/>
  <c r="L35" i="1"/>
  <c r="L34" i="1"/>
  <c r="AE33" i="1"/>
  <c r="L33" i="1"/>
  <c r="L32" i="1"/>
  <c r="AE31" i="1"/>
  <c r="L31" i="1"/>
  <c r="AE30" i="1"/>
  <c r="L30" i="1"/>
  <c r="AE29" i="1"/>
  <c r="L29" i="1"/>
  <c r="AE28" i="1"/>
  <c r="L28" i="1"/>
  <c r="AE27" i="1"/>
  <c r="L27" i="1"/>
  <c r="L26" i="1"/>
  <c r="L25" i="1"/>
  <c r="AE24" i="1"/>
  <c r="L24" i="1"/>
  <c r="L23" i="1"/>
  <c r="AE22" i="1"/>
  <c r="L22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1" i="1"/>
  <c r="L11" i="1"/>
  <c r="AE10" i="1"/>
  <c r="L10" i="1"/>
  <c r="AE9" i="1"/>
  <c r="L9" i="1"/>
  <c r="AE41" i="1"/>
  <c r="L41" i="1"/>
  <c r="AE40" i="1"/>
  <c r="L40" i="1"/>
  <c r="AE8" i="1"/>
  <c r="L8" i="1"/>
  <c r="AE7" i="1"/>
  <c r="L7" i="1"/>
  <c r="AE6" i="1"/>
  <c r="L6" i="1"/>
  <c r="AE43" i="1"/>
  <c r="L43" i="1"/>
  <c r="AE42" i="1"/>
  <c r="L42" i="1"/>
  <c r="AC5" i="1"/>
  <c r="AB5" i="1"/>
  <c r="AA5" i="1"/>
  <c r="Z5" i="1"/>
  <c r="Y5" i="1"/>
  <c r="X5" i="1"/>
  <c r="W5" i="1"/>
  <c r="V5" i="1"/>
  <c r="R5" i="1"/>
  <c r="Q5" i="1"/>
  <c r="P5" i="1"/>
  <c r="O5" i="1"/>
  <c r="N5" i="1"/>
  <c r="M5" i="1"/>
  <c r="K5" i="1"/>
  <c r="F5" i="1"/>
  <c r="E5" i="1"/>
  <c r="AE5" i="1" l="1"/>
  <c r="L5" i="1"/>
</calcChain>
</file>

<file path=xl/sharedStrings.xml><?xml version="1.0" encoding="utf-8"?>
<sst xmlns="http://schemas.openxmlformats.org/spreadsheetml/2006/main" count="145" uniqueCount="89">
  <si>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</si>
  <si>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</si>
  <si>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</si>
  <si>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</si>
  <si>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</si>
  <si>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</si>
  <si>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</si>
  <si>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</si>
  <si>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</si>
  <si>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</si>
  <si>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</si>
  <si>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</si>
  <si>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</si>
  <si>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</si>
  <si>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</si>
  <si>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</si>
  <si>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</si>
  <si>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</si>
  <si>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</si>
  <si>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</si>
  <si>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</si>
  <si>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</si>
  <si>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</si>
  <si>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</si>
  <si>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</si>
  <si>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24,11,</t>
  </si>
  <si>
    <t>10,11,</t>
  </si>
  <si>
    <t>03,11,</t>
  </si>
  <si>
    <t>27,10,</t>
  </si>
  <si>
    <t>20,10,</t>
  </si>
  <si>
    <t>13,10,</t>
  </si>
  <si>
    <t>06,10,</t>
  </si>
  <si>
    <t>29,09,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</si>
  <si>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</si>
  <si>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</si>
  <si>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</si>
  <si>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нужно увеличить продажи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</si>
  <si>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</si>
  <si>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</si>
  <si>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</si>
  <si>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</si>
  <si>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</si>
  <si>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</si>
  <si>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</si>
  <si>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</si>
  <si>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</si>
  <si>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18,08,25 завод не отгрузил</t>
  </si>
  <si>
    <t>Сыр Боккончини копченый 40% 100 гр.  ОСТАНКИНО</t>
  </si>
  <si>
    <t>нужно увеличить продажи!!!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</si>
  <si>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</si>
  <si>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</si>
  <si>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</si>
  <si>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</si>
  <si>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</si>
  <si>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</si>
  <si>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</si>
  <si>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</si>
  <si>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</si>
  <si>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</si>
  <si>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</si>
  <si>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</si>
  <si>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</si>
  <si>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</si>
  <si>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</si>
  <si>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</si>
  <si>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</si>
  <si>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</si>
  <si>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</si>
  <si>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</si>
  <si>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</si>
  <si>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</si>
  <si>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</si>
  <si>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</si>
  <si>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</si>
  <si>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</si>
  <si>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</si>
  <si>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</si>
  <si>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</si>
  <si>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</si>
  <si>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</si>
  <si>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</si>
  <si>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</si>
  <si>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</si>
  <si>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</si>
  <si>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(150кг) / 04,08,25 завод отгрузил 160кг из заказанных 500кг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</si>
  <si>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</si>
  <si>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</si>
  <si>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26,08,25 списание 140шт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</si>
  <si>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на остатках брак (2000 шт на складе с плесенью)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</si>
</sst>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0" fontId="0" fillId="0" borderId="1" xfId="0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9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2.8554687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4218.8520000000008</v>
      </c>
      <c r="F5" s="4">
        <f>SUM(F6:F495)</f>
        <v>14727.494000000001</v>
      </c>
      <c r="G5" s="7"/>
      <c r="H5" s="1"/>
      <c r="I5" s="1"/>
      <c r="J5" s="1"/>
      <c r="K5" s="4">
        <f t="shared" ref="K5:R5" si="0">SUM(K6:K495)</f>
        <v>4459.6000000000004</v>
      </c>
      <c r="L5" s="4">
        <f t="shared" si="0"/>
        <v>-240.74799999999999</v>
      </c>
      <c r="M5" s="4">
        <f t="shared" si="0"/>
        <v>0</v>
      </c>
      <c r="N5" s="4">
        <f t="shared" si="0"/>
        <v>0</v>
      </c>
      <c r="O5" s="4">
        <f t="shared" si="0"/>
        <v>4240</v>
      </c>
      <c r="P5" s="4">
        <f t="shared" si="0"/>
        <v>843.7704</v>
      </c>
      <c r="Q5" s="4">
        <f t="shared" si="0"/>
        <v>2941.2860000000001</v>
      </c>
      <c r="R5" s="4">
        <f t="shared" si="0"/>
        <v>0</v>
      </c>
      <c r="S5" s="1"/>
      <c r="T5" s="1"/>
      <c r="U5" s="1"/>
      <c r="V5" s="4">
        <f t="shared" ref="V5:AC5" si="1">SUM(V6:V495)</f>
        <v>973.03700000000015</v>
      </c>
      <c r="W5" s="4">
        <f t="shared" si="1"/>
        <v>1035.2360000000001</v>
      </c>
      <c r="X5" s="4">
        <f t="shared" si="1"/>
        <v>969.89660000000003</v>
      </c>
      <c r="Y5" s="4">
        <f t="shared" si="1"/>
        <v>1166.6854000000003</v>
      </c>
      <c r="Z5" s="4">
        <f t="shared" si="1"/>
        <v>1079.4366000000002</v>
      </c>
      <c r="AA5" s="4">
        <f t="shared" si="1"/>
        <v>959.14099999999996</v>
      </c>
      <c r="AB5" s="4">
        <f t="shared" si="1"/>
        <v>1040.4766</v>
      </c>
      <c r="AC5" s="4">
        <f t="shared" si="1"/>
        <v>1267.6952000000003</v>
      </c>
      <c r="AD5" s="1"/>
      <c r="AE5" s="4">
        <f>SUM(AE6:AE495)</f>
        <v>794.90600000000018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88</v>
      </c>
      <c r="D6" s="1"/>
      <c r="E6" s="1"/>
      <c r="F6" s="1">
        <v>82</v>
      </c>
      <c r="G6" s="7">
        <v>0.14000000000000001</v>
      </c>
      <c r="H6" s="1">
        <v>180</v>
      </c>
      <c r="I6" s="1">
        <v>9988421</v>
      </c>
      <c r="J6" s="1"/>
      <c r="K6" s="1">
        <v>6</v>
      </c>
      <c r="L6" s="1">
        <f t="shared" ref="L6:L38" si="2">E6-K6</f>
        <v>-6</v>
      </c>
      <c r="M6" s="1"/>
      <c r="N6" s="1"/>
      <c r="O6" s="1">
        <v>0</v>
      </c>
      <c r="P6" s="1">
        <f t="shared" ref="P6:P38" si="3">E6/5</f>
        <v>0</v>
      </c>
      <c r="Q6" s="9"/>
      <c r="R6" s="9"/>
      <c r="S6" s="1"/>
      <c r="T6" s="1" t="e">
        <f t="shared" ref="T6:T38" si="4">(F6+O6+Q6)/P6</f>
        <v>#DIV/0!</v>
      </c>
      <c r="U6" s="1" t="e">
        <f t="shared" ref="U6:U38" si="5">(F6+O6)/P6</f>
        <v>#DIV/0!</v>
      </c>
      <c r="V6" s="1">
        <v>1</v>
      </c>
      <c r="W6" s="1">
        <v>5</v>
      </c>
      <c r="X6" s="1">
        <v>5.6</v>
      </c>
      <c r="Y6" s="1">
        <v>4</v>
      </c>
      <c r="Z6" s="1">
        <v>5.6</v>
      </c>
      <c r="AA6" s="1">
        <v>6.8</v>
      </c>
      <c r="AB6" s="1">
        <v>4.5999999999999996</v>
      </c>
      <c r="AC6" s="1">
        <v>12</v>
      </c>
      <c r="AD6" s="29" t="s">
        <v>87</v>
      </c>
      <c r="AE6" s="1">
        <f t="shared" ref="AE6:AE20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171</v>
      </c>
      <c r="D7" s="1">
        <v>144</v>
      </c>
      <c r="E7" s="1">
        <v>73</v>
      </c>
      <c r="F7" s="1">
        <v>242</v>
      </c>
      <c r="G7" s="7">
        <v>0.18</v>
      </c>
      <c r="H7" s="1">
        <v>270</v>
      </c>
      <c r="I7" s="1">
        <v>9988438</v>
      </c>
      <c r="J7" s="1"/>
      <c r="K7" s="1">
        <v>73</v>
      </c>
      <c r="L7" s="1">
        <f t="shared" si="2"/>
        <v>0</v>
      </c>
      <c r="M7" s="1"/>
      <c r="N7" s="1"/>
      <c r="O7" s="1">
        <v>0</v>
      </c>
      <c r="P7" s="1">
        <f t="shared" si="3"/>
        <v>14.6</v>
      </c>
      <c r="Q7" s="9">
        <f t="shared" ref="Q7:Q9" si="7">20*P7-O7-F7</f>
        <v>50</v>
      </c>
      <c r="R7" s="9"/>
      <c r="S7" s="1"/>
      <c r="T7" s="1">
        <f t="shared" si="4"/>
        <v>20</v>
      </c>
      <c r="U7" s="1">
        <f t="shared" si="5"/>
        <v>16.575342465753426</v>
      </c>
      <c r="V7" s="1">
        <v>12.8</v>
      </c>
      <c r="W7" s="1">
        <v>17.600000000000001</v>
      </c>
      <c r="X7" s="1">
        <v>11.8</v>
      </c>
      <c r="Y7" s="1">
        <v>12.2</v>
      </c>
      <c r="Z7" s="1">
        <v>17</v>
      </c>
      <c r="AA7" s="1">
        <v>18.399999999999999</v>
      </c>
      <c r="AB7" s="1">
        <v>13.8</v>
      </c>
      <c r="AC7" s="1">
        <v>14.6</v>
      </c>
      <c r="AD7" s="1"/>
      <c r="AE7" s="1">
        <f t="shared" si="6"/>
        <v>9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135</v>
      </c>
      <c r="D8" s="1">
        <v>128</v>
      </c>
      <c r="E8" s="1">
        <v>66</v>
      </c>
      <c r="F8" s="1">
        <v>197</v>
      </c>
      <c r="G8" s="7">
        <v>0.18</v>
      </c>
      <c r="H8" s="1">
        <v>270</v>
      </c>
      <c r="I8" s="1">
        <v>9988445</v>
      </c>
      <c r="J8" s="1"/>
      <c r="K8" s="1">
        <v>66</v>
      </c>
      <c r="L8" s="1">
        <f t="shared" si="2"/>
        <v>0</v>
      </c>
      <c r="M8" s="1"/>
      <c r="N8" s="1"/>
      <c r="O8" s="1">
        <v>0</v>
      </c>
      <c r="P8" s="1">
        <f t="shared" si="3"/>
        <v>13.2</v>
      </c>
      <c r="Q8" s="9">
        <f t="shared" si="7"/>
        <v>67</v>
      </c>
      <c r="R8" s="9"/>
      <c r="S8" s="1"/>
      <c r="T8" s="1">
        <f t="shared" si="4"/>
        <v>20</v>
      </c>
      <c r="U8" s="1">
        <f t="shared" si="5"/>
        <v>14.924242424242426</v>
      </c>
      <c r="V8" s="1">
        <v>10.4</v>
      </c>
      <c r="W8" s="1">
        <v>14.6</v>
      </c>
      <c r="X8" s="1">
        <v>12.8</v>
      </c>
      <c r="Y8" s="1">
        <v>13.2</v>
      </c>
      <c r="Z8" s="1">
        <v>12.8</v>
      </c>
      <c r="AA8" s="1">
        <v>18</v>
      </c>
      <c r="AB8" s="1">
        <v>15.4</v>
      </c>
      <c r="AC8" s="1">
        <v>15.2</v>
      </c>
      <c r="AD8" s="1"/>
      <c r="AE8" s="1">
        <f t="shared" si="6"/>
        <v>12.059999999999999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34</v>
      </c>
      <c r="C9" s="1">
        <v>128</v>
      </c>
      <c r="D9" s="1"/>
      <c r="E9" s="1">
        <v>32</v>
      </c>
      <c r="F9" s="1">
        <v>96</v>
      </c>
      <c r="G9" s="7">
        <v>0.4</v>
      </c>
      <c r="H9" s="1">
        <v>270</v>
      </c>
      <c r="I9" s="1">
        <v>9988452</v>
      </c>
      <c r="J9" s="1"/>
      <c r="K9" s="1">
        <v>32</v>
      </c>
      <c r="L9" s="1">
        <f t="shared" si="2"/>
        <v>0</v>
      </c>
      <c r="M9" s="1"/>
      <c r="N9" s="1"/>
      <c r="O9" s="1">
        <v>0</v>
      </c>
      <c r="P9" s="1">
        <f t="shared" si="3"/>
        <v>6.4</v>
      </c>
      <c r="Q9" s="9">
        <f t="shared" si="7"/>
        <v>32</v>
      </c>
      <c r="R9" s="9"/>
      <c r="S9" s="1"/>
      <c r="T9" s="1">
        <f t="shared" si="4"/>
        <v>20</v>
      </c>
      <c r="U9" s="1">
        <f t="shared" si="5"/>
        <v>15</v>
      </c>
      <c r="V9" s="1">
        <v>6.2</v>
      </c>
      <c r="W9" s="1">
        <v>1.8</v>
      </c>
      <c r="X9" s="1">
        <v>10.6</v>
      </c>
      <c r="Y9" s="1">
        <v>3.4</v>
      </c>
      <c r="Z9" s="1">
        <v>5</v>
      </c>
      <c r="AA9" s="1">
        <v>4.4000000000000004</v>
      </c>
      <c r="AB9" s="1">
        <v>6.2</v>
      </c>
      <c r="AC9" s="1">
        <v>2.6</v>
      </c>
      <c r="AD9" s="1" t="s">
        <v>43</v>
      </c>
      <c r="AE9" s="1">
        <f t="shared" si="6"/>
        <v>12.8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44</v>
      </c>
      <c r="B10" s="1" t="s">
        <v>34</v>
      </c>
      <c r="C10" s="1">
        <v>93</v>
      </c>
      <c r="D10" s="1"/>
      <c r="E10" s="1">
        <v>13</v>
      </c>
      <c r="F10" s="1">
        <v>80</v>
      </c>
      <c r="G10" s="7">
        <v>0.4</v>
      </c>
      <c r="H10" s="1">
        <v>270</v>
      </c>
      <c r="I10" s="1">
        <v>9988476</v>
      </c>
      <c r="J10" s="1"/>
      <c r="K10" s="1">
        <v>13</v>
      </c>
      <c r="L10" s="1">
        <f t="shared" si="2"/>
        <v>0</v>
      </c>
      <c r="M10" s="1"/>
      <c r="N10" s="1"/>
      <c r="O10" s="1">
        <v>28</v>
      </c>
      <c r="P10" s="1">
        <f t="shared" si="3"/>
        <v>2.6</v>
      </c>
      <c r="Q10" s="9"/>
      <c r="R10" s="9"/>
      <c r="S10" s="1"/>
      <c r="T10" s="1">
        <f t="shared" si="4"/>
        <v>41.53846153846154</v>
      </c>
      <c r="U10" s="1">
        <f t="shared" si="5"/>
        <v>41.53846153846154</v>
      </c>
      <c r="V10" s="1">
        <v>5</v>
      </c>
      <c r="W10" s="1">
        <v>2.2000000000000002</v>
      </c>
      <c r="X10" s="1">
        <v>5.8</v>
      </c>
      <c r="Y10" s="1">
        <v>2.6</v>
      </c>
      <c r="Z10" s="1">
        <v>3.2</v>
      </c>
      <c r="AA10" s="1">
        <v>2.4</v>
      </c>
      <c r="AB10" s="1">
        <v>4.2</v>
      </c>
      <c r="AC10" s="1">
        <v>5.8</v>
      </c>
      <c r="AD10" s="31" t="s">
        <v>48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45</v>
      </c>
      <c r="B11" s="1" t="s">
        <v>34</v>
      </c>
      <c r="C11" s="1">
        <v>339</v>
      </c>
      <c r="D11" s="1">
        <v>150</v>
      </c>
      <c r="E11" s="1">
        <v>106</v>
      </c>
      <c r="F11" s="1">
        <v>372</v>
      </c>
      <c r="G11" s="7">
        <v>0.18</v>
      </c>
      <c r="H11" s="1">
        <v>150</v>
      </c>
      <c r="I11" s="1">
        <v>5034819</v>
      </c>
      <c r="J11" s="1"/>
      <c r="K11" s="1">
        <v>119</v>
      </c>
      <c r="L11" s="1">
        <f t="shared" si="2"/>
        <v>-13</v>
      </c>
      <c r="M11" s="1"/>
      <c r="N11" s="1"/>
      <c r="O11" s="1">
        <v>198</v>
      </c>
      <c r="P11" s="1">
        <f t="shared" si="3"/>
        <v>21.2</v>
      </c>
      <c r="Q11" s="9"/>
      <c r="R11" s="9"/>
      <c r="S11" s="1"/>
      <c r="T11" s="1">
        <f t="shared" si="4"/>
        <v>26.886792452830189</v>
      </c>
      <c r="U11" s="1">
        <f t="shared" si="5"/>
        <v>26.886792452830189</v>
      </c>
      <c r="V11" s="1">
        <v>32.799999999999997</v>
      </c>
      <c r="W11" s="1">
        <v>32</v>
      </c>
      <c r="X11" s="1">
        <v>31.6</v>
      </c>
      <c r="Y11" s="1">
        <v>34.799999999999997</v>
      </c>
      <c r="Z11" s="1">
        <v>29.6</v>
      </c>
      <c r="AA11" s="1">
        <v>31.2</v>
      </c>
      <c r="AB11" s="1">
        <v>26.2</v>
      </c>
      <c r="AC11" s="1">
        <v>38.6</v>
      </c>
      <c r="AD11" s="1" t="s">
        <v>46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s="19" customFormat="1" x14ac:dyDescent="0.25">
      <c r="A12" s="15" t="s">
        <v>85</v>
      </c>
      <c r="B12" s="16" t="s">
        <v>34</v>
      </c>
      <c r="C12" s="16"/>
      <c r="D12" s="16"/>
      <c r="E12" s="16"/>
      <c r="F12" s="16"/>
      <c r="G12" s="17">
        <v>0.14000000000000001</v>
      </c>
      <c r="H12" s="15">
        <v>180</v>
      </c>
      <c r="I12" s="16">
        <v>9988377</v>
      </c>
      <c r="J12" s="16"/>
      <c r="K12" s="16"/>
      <c r="L12" s="16"/>
      <c r="M12" s="16"/>
      <c r="N12" s="16"/>
      <c r="O12" s="16"/>
      <c r="P12" s="16">
        <f t="shared" si="3"/>
        <v>0</v>
      </c>
      <c r="Q12" s="18"/>
      <c r="R12" s="18"/>
      <c r="S12" s="16"/>
      <c r="T12" s="16" t="e">
        <f t="shared" si="4"/>
        <v>#DIV/0!</v>
      </c>
      <c r="U12" s="16" t="e">
        <f t="shared" si="5"/>
        <v>#DIV/0!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5" t="s">
        <v>86</v>
      </c>
      <c r="AE12" s="16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34</v>
      </c>
      <c r="C13" s="1">
        <v>45</v>
      </c>
      <c r="D13" s="1">
        <v>120</v>
      </c>
      <c r="E13" s="1">
        <v>14</v>
      </c>
      <c r="F13" s="1">
        <v>151</v>
      </c>
      <c r="G13" s="7">
        <v>0.1</v>
      </c>
      <c r="H13" s="1">
        <v>90</v>
      </c>
      <c r="I13" s="1">
        <v>8444163</v>
      </c>
      <c r="J13" s="1"/>
      <c r="K13" s="1">
        <v>14</v>
      </c>
      <c r="L13" s="1">
        <f t="shared" si="2"/>
        <v>0</v>
      </c>
      <c r="M13" s="1"/>
      <c r="N13" s="1"/>
      <c r="O13" s="1">
        <v>0</v>
      </c>
      <c r="P13" s="1">
        <f t="shared" si="3"/>
        <v>2.8</v>
      </c>
      <c r="Q13" s="9"/>
      <c r="R13" s="9"/>
      <c r="S13" s="1"/>
      <c r="T13" s="1">
        <f t="shared" si="4"/>
        <v>53.928571428571431</v>
      </c>
      <c r="U13" s="1">
        <f t="shared" si="5"/>
        <v>53.928571428571431</v>
      </c>
      <c r="V13" s="1">
        <v>4.4000000000000004</v>
      </c>
      <c r="W13" s="1">
        <v>11</v>
      </c>
      <c r="X13" s="1">
        <v>2.4</v>
      </c>
      <c r="Y13" s="1">
        <v>8.4</v>
      </c>
      <c r="Z13" s="1">
        <v>7.2</v>
      </c>
      <c r="AA13" s="1">
        <v>5.4</v>
      </c>
      <c r="AB13" s="1">
        <v>4</v>
      </c>
      <c r="AC13" s="1">
        <v>12.6</v>
      </c>
      <c r="AD13" s="31" t="s">
        <v>48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34</v>
      </c>
      <c r="C14" s="1">
        <v>656</v>
      </c>
      <c r="D14" s="1">
        <v>120</v>
      </c>
      <c r="E14" s="1">
        <v>254</v>
      </c>
      <c r="F14" s="1">
        <v>516</v>
      </c>
      <c r="G14" s="7">
        <v>0.18</v>
      </c>
      <c r="H14" s="1">
        <v>150</v>
      </c>
      <c r="I14" s="1">
        <v>5038411</v>
      </c>
      <c r="J14" s="1"/>
      <c r="K14" s="1">
        <v>269</v>
      </c>
      <c r="L14" s="1">
        <f t="shared" si="2"/>
        <v>-15</v>
      </c>
      <c r="M14" s="1"/>
      <c r="N14" s="1"/>
      <c r="O14" s="1">
        <v>200</v>
      </c>
      <c r="P14" s="1">
        <f t="shared" si="3"/>
        <v>50.8</v>
      </c>
      <c r="Q14" s="9">
        <f t="shared" ref="Q14:Q18" si="8">20*P14-O14-F14</f>
        <v>300</v>
      </c>
      <c r="R14" s="9"/>
      <c r="S14" s="1"/>
      <c r="T14" s="1">
        <f t="shared" si="4"/>
        <v>20</v>
      </c>
      <c r="U14" s="1">
        <f t="shared" si="5"/>
        <v>14.09448818897638</v>
      </c>
      <c r="V14" s="1">
        <v>48.6</v>
      </c>
      <c r="W14" s="1">
        <v>50.8</v>
      </c>
      <c r="X14" s="1">
        <v>48</v>
      </c>
      <c r="Y14" s="1">
        <v>68.8</v>
      </c>
      <c r="Z14" s="1">
        <v>63</v>
      </c>
      <c r="AA14" s="1">
        <v>56.6</v>
      </c>
      <c r="AB14" s="1">
        <v>44.8</v>
      </c>
      <c r="AC14" s="1">
        <v>66.8</v>
      </c>
      <c r="AD14" s="1"/>
      <c r="AE14" s="1">
        <f t="shared" si="6"/>
        <v>54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34</v>
      </c>
      <c r="C15" s="1">
        <v>1015</v>
      </c>
      <c r="D15" s="1">
        <v>250</v>
      </c>
      <c r="E15" s="1">
        <v>319</v>
      </c>
      <c r="F15" s="1">
        <v>945</v>
      </c>
      <c r="G15" s="7">
        <v>0.18</v>
      </c>
      <c r="H15" s="1">
        <v>150</v>
      </c>
      <c r="I15" s="1">
        <v>5038459</v>
      </c>
      <c r="J15" s="1"/>
      <c r="K15" s="1">
        <v>326</v>
      </c>
      <c r="L15" s="1">
        <f t="shared" si="2"/>
        <v>-7</v>
      </c>
      <c r="M15" s="1"/>
      <c r="N15" s="1"/>
      <c r="O15" s="1">
        <v>0</v>
      </c>
      <c r="P15" s="1">
        <f t="shared" si="3"/>
        <v>63.8</v>
      </c>
      <c r="Q15" s="9">
        <f t="shared" si="8"/>
        <v>331</v>
      </c>
      <c r="R15" s="9"/>
      <c r="S15" s="1"/>
      <c r="T15" s="1">
        <f t="shared" si="4"/>
        <v>20</v>
      </c>
      <c r="U15" s="1">
        <f t="shared" si="5"/>
        <v>14.81191222570533</v>
      </c>
      <c r="V15" s="1">
        <v>51.6</v>
      </c>
      <c r="W15" s="1">
        <v>76.8</v>
      </c>
      <c r="X15" s="1">
        <v>55.6</v>
      </c>
      <c r="Y15" s="1">
        <v>93.8</v>
      </c>
      <c r="Z15" s="1">
        <v>60.6</v>
      </c>
      <c r="AA15" s="1">
        <v>68.2</v>
      </c>
      <c r="AB15" s="1">
        <v>81.8</v>
      </c>
      <c r="AC15" s="1">
        <v>81.400000000000006</v>
      </c>
      <c r="AD15" s="1"/>
      <c r="AE15" s="1">
        <f t="shared" si="6"/>
        <v>59.58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34</v>
      </c>
      <c r="C16" s="1">
        <v>558</v>
      </c>
      <c r="D16" s="1"/>
      <c r="E16" s="1">
        <v>132</v>
      </c>
      <c r="F16" s="1">
        <v>417</v>
      </c>
      <c r="G16" s="7">
        <v>0.18</v>
      </c>
      <c r="H16" s="1">
        <v>150</v>
      </c>
      <c r="I16" s="1">
        <v>5038831</v>
      </c>
      <c r="J16" s="1"/>
      <c r="K16" s="1">
        <v>146</v>
      </c>
      <c r="L16" s="1">
        <f t="shared" si="2"/>
        <v>-14</v>
      </c>
      <c r="M16" s="1"/>
      <c r="N16" s="1"/>
      <c r="O16" s="1">
        <v>150</v>
      </c>
      <c r="P16" s="1">
        <f t="shared" si="3"/>
        <v>26.4</v>
      </c>
      <c r="Q16" s="9"/>
      <c r="R16" s="9"/>
      <c r="S16" s="1"/>
      <c r="T16" s="1">
        <f t="shared" si="4"/>
        <v>21.47727272727273</v>
      </c>
      <c r="U16" s="1">
        <f t="shared" si="5"/>
        <v>21.47727272727273</v>
      </c>
      <c r="V16" s="1">
        <v>33.6</v>
      </c>
      <c r="W16" s="1">
        <v>36.4</v>
      </c>
      <c r="X16" s="1">
        <v>30.8</v>
      </c>
      <c r="Y16" s="1">
        <v>54.6</v>
      </c>
      <c r="Z16" s="1">
        <v>36</v>
      </c>
      <c r="AA16" s="1">
        <v>28.8</v>
      </c>
      <c r="AB16" s="1">
        <v>44</v>
      </c>
      <c r="AC16" s="1">
        <v>40.200000000000003</v>
      </c>
      <c r="AD16" s="1"/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34</v>
      </c>
      <c r="C17" s="1"/>
      <c r="D17" s="1"/>
      <c r="E17" s="1">
        <v>-4</v>
      </c>
      <c r="F17" s="1"/>
      <c r="G17" s="7">
        <v>0.18</v>
      </c>
      <c r="H17" s="1">
        <v>120</v>
      </c>
      <c r="I17" s="1">
        <v>5038855</v>
      </c>
      <c r="J17" s="1"/>
      <c r="K17" s="1"/>
      <c r="L17" s="1">
        <f t="shared" si="2"/>
        <v>-4</v>
      </c>
      <c r="M17" s="1"/>
      <c r="N17" s="1"/>
      <c r="O17" s="1">
        <v>200</v>
      </c>
      <c r="P17" s="1">
        <f t="shared" si="3"/>
        <v>-0.8</v>
      </c>
      <c r="Q17" s="9"/>
      <c r="R17" s="9"/>
      <c r="S17" s="1"/>
      <c r="T17" s="1">
        <f t="shared" si="4"/>
        <v>-250</v>
      </c>
      <c r="U17" s="1">
        <f t="shared" si="5"/>
        <v>-250</v>
      </c>
      <c r="V17" s="1">
        <v>-0.2</v>
      </c>
      <c r="W17" s="1">
        <v>0</v>
      </c>
      <c r="X17" s="1">
        <v>-1.2</v>
      </c>
      <c r="Y17" s="1">
        <v>-2</v>
      </c>
      <c r="Z17" s="1">
        <v>-6.2</v>
      </c>
      <c r="AA17" s="1">
        <v>25.6</v>
      </c>
      <c r="AB17" s="1">
        <v>43.6</v>
      </c>
      <c r="AC17" s="1">
        <v>53.6</v>
      </c>
      <c r="AD17" s="1" t="s">
        <v>53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54</v>
      </c>
      <c r="B18" s="1" t="s">
        <v>34</v>
      </c>
      <c r="C18" s="1">
        <v>1327</v>
      </c>
      <c r="D18" s="1"/>
      <c r="E18" s="1">
        <v>473</v>
      </c>
      <c r="F18" s="1">
        <v>853</v>
      </c>
      <c r="G18" s="7">
        <v>0.18</v>
      </c>
      <c r="H18" s="1">
        <v>150</v>
      </c>
      <c r="I18" s="1">
        <v>5038435</v>
      </c>
      <c r="J18" s="1"/>
      <c r="K18" s="1">
        <v>476</v>
      </c>
      <c r="L18" s="1">
        <f t="shared" si="2"/>
        <v>-3</v>
      </c>
      <c r="M18" s="1"/>
      <c r="N18" s="1"/>
      <c r="O18" s="1">
        <v>800</v>
      </c>
      <c r="P18" s="1">
        <f t="shared" si="3"/>
        <v>94.6</v>
      </c>
      <c r="Q18" s="9">
        <f t="shared" si="8"/>
        <v>239</v>
      </c>
      <c r="R18" s="9"/>
      <c r="S18" s="1"/>
      <c r="T18" s="1">
        <f t="shared" si="4"/>
        <v>20</v>
      </c>
      <c r="U18" s="1">
        <f t="shared" si="5"/>
        <v>17.47357293868922</v>
      </c>
      <c r="V18" s="1">
        <v>112.4</v>
      </c>
      <c r="W18" s="1">
        <v>95.2</v>
      </c>
      <c r="X18" s="1">
        <v>89.4</v>
      </c>
      <c r="Y18" s="1">
        <v>121</v>
      </c>
      <c r="Z18" s="1">
        <v>118.2</v>
      </c>
      <c r="AA18" s="1">
        <v>91.4</v>
      </c>
      <c r="AB18" s="1">
        <v>102</v>
      </c>
      <c r="AC18" s="1">
        <v>110.8</v>
      </c>
      <c r="AD18" s="1"/>
      <c r="AE18" s="1">
        <f t="shared" si="6"/>
        <v>43.019999999999996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" t="s">
        <v>55</v>
      </c>
      <c r="B19" s="1" t="s">
        <v>34</v>
      </c>
      <c r="C19" s="1">
        <v>922</v>
      </c>
      <c r="D19" s="1"/>
      <c r="E19" s="1">
        <v>155</v>
      </c>
      <c r="F19" s="1">
        <v>757</v>
      </c>
      <c r="G19" s="7">
        <v>0.18</v>
      </c>
      <c r="H19" s="1">
        <v>120</v>
      </c>
      <c r="I19" s="1">
        <v>5038398</v>
      </c>
      <c r="J19" s="1"/>
      <c r="K19" s="1">
        <v>166</v>
      </c>
      <c r="L19" s="1">
        <f t="shared" si="2"/>
        <v>-11</v>
      </c>
      <c r="M19" s="1"/>
      <c r="N19" s="1"/>
      <c r="O19" s="1">
        <v>0</v>
      </c>
      <c r="P19" s="1">
        <f t="shared" si="3"/>
        <v>31</v>
      </c>
      <c r="Q19" s="9"/>
      <c r="R19" s="9"/>
      <c r="S19" s="1"/>
      <c r="T19" s="1">
        <f t="shared" si="4"/>
        <v>24.419354838709676</v>
      </c>
      <c r="U19" s="1">
        <f t="shared" si="5"/>
        <v>24.419354838709676</v>
      </c>
      <c r="V19" s="1">
        <v>37</v>
      </c>
      <c r="W19" s="1">
        <v>51.8</v>
      </c>
      <c r="X19" s="1">
        <v>58.2</v>
      </c>
      <c r="Y19" s="1">
        <v>65.400000000000006</v>
      </c>
      <c r="Z19" s="1">
        <v>48</v>
      </c>
      <c r="AA19" s="1">
        <v>45.2</v>
      </c>
      <c r="AB19" s="1">
        <v>41.8</v>
      </c>
      <c r="AC19" s="1">
        <v>55.6</v>
      </c>
      <c r="AD19" s="30" t="s">
        <v>36</v>
      </c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56</v>
      </c>
      <c r="B20" s="13" t="s">
        <v>57</v>
      </c>
      <c r="C20" s="13"/>
      <c r="D20" s="13"/>
      <c r="E20" s="13"/>
      <c r="F20" s="14"/>
      <c r="G20" s="7">
        <v>1</v>
      </c>
      <c r="H20" s="1">
        <v>150</v>
      </c>
      <c r="I20" s="1">
        <v>8785242</v>
      </c>
      <c r="J20" s="1"/>
      <c r="K20" s="1"/>
      <c r="L20" s="1">
        <f t="shared" si="2"/>
        <v>0</v>
      </c>
      <c r="M20" s="1"/>
      <c r="N20" s="1"/>
      <c r="O20" s="1">
        <v>33</v>
      </c>
      <c r="P20" s="1">
        <f t="shared" si="3"/>
        <v>0</v>
      </c>
      <c r="Q20" s="9"/>
      <c r="R20" s="9"/>
      <c r="S20" s="1"/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20" t="s">
        <v>58</v>
      </c>
      <c r="B21" s="21" t="s">
        <v>57</v>
      </c>
      <c r="C21" s="21">
        <v>185.57400000000001</v>
      </c>
      <c r="D21" s="21"/>
      <c r="E21" s="21">
        <v>44.710999999999999</v>
      </c>
      <c r="F21" s="22">
        <v>140.863</v>
      </c>
      <c r="G21" s="23">
        <v>0</v>
      </c>
      <c r="H21" s="24" t="e">
        <v>#N/A</v>
      </c>
      <c r="I21" s="24" t="s">
        <v>59</v>
      </c>
      <c r="J21" s="24" t="s">
        <v>56</v>
      </c>
      <c r="K21" s="24">
        <v>41.4</v>
      </c>
      <c r="L21" s="24">
        <f t="shared" si="2"/>
        <v>3.3109999999999999</v>
      </c>
      <c r="M21" s="24"/>
      <c r="N21" s="24"/>
      <c r="O21" s="24">
        <v>0</v>
      </c>
      <c r="P21" s="24">
        <f t="shared" si="3"/>
        <v>8.9421999999999997</v>
      </c>
      <c r="Q21" s="25"/>
      <c r="R21" s="25"/>
      <c r="S21" s="24"/>
      <c r="T21" s="24">
        <f t="shared" si="4"/>
        <v>15.752611214242581</v>
      </c>
      <c r="U21" s="24">
        <f t="shared" si="5"/>
        <v>15.752611214242581</v>
      </c>
      <c r="V21" s="24">
        <v>10.83</v>
      </c>
      <c r="W21" s="24">
        <v>9.6608000000000001</v>
      </c>
      <c r="X21" s="24">
        <v>11.423400000000001</v>
      </c>
      <c r="Y21" s="24">
        <v>14.6516</v>
      </c>
      <c r="Z21" s="24">
        <v>10.0144</v>
      </c>
      <c r="AA21" s="24">
        <v>15.403600000000001</v>
      </c>
      <c r="AB21" s="24">
        <v>9.3498000000000001</v>
      </c>
      <c r="AC21" s="24">
        <v>11.5876</v>
      </c>
      <c r="AD21" s="24"/>
      <c r="AE21" s="24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2" t="s">
        <v>60</v>
      </c>
      <c r="B22" s="13" t="s">
        <v>57</v>
      </c>
      <c r="C22" s="13"/>
      <c r="D22" s="13"/>
      <c r="E22" s="13"/>
      <c r="F22" s="14"/>
      <c r="G22" s="7">
        <v>1</v>
      </c>
      <c r="H22" s="1">
        <v>150</v>
      </c>
      <c r="I22" s="1">
        <v>8785235</v>
      </c>
      <c r="J22" s="1"/>
      <c r="K22" s="1"/>
      <c r="L22" s="1">
        <f t="shared" si="2"/>
        <v>0</v>
      </c>
      <c r="M22" s="1"/>
      <c r="N22" s="1"/>
      <c r="O22" s="1">
        <v>33</v>
      </c>
      <c r="P22" s="1">
        <f t="shared" si="3"/>
        <v>0</v>
      </c>
      <c r="Q22" s="9"/>
      <c r="R22" s="9"/>
      <c r="S22" s="1"/>
      <c r="T22" s="1" t="e">
        <f t="shared" si="4"/>
        <v>#DIV/0!</v>
      </c>
      <c r="U22" s="1" t="e">
        <f t="shared" si="5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20" t="s">
        <v>61</v>
      </c>
      <c r="B23" s="21" t="s">
        <v>57</v>
      </c>
      <c r="C23" s="21">
        <v>183.29300000000001</v>
      </c>
      <c r="D23" s="21"/>
      <c r="E23" s="21">
        <v>30.954999999999998</v>
      </c>
      <c r="F23" s="22">
        <v>152.33799999999999</v>
      </c>
      <c r="G23" s="23">
        <v>0</v>
      </c>
      <c r="H23" s="24" t="e">
        <v>#N/A</v>
      </c>
      <c r="I23" s="24" t="s">
        <v>59</v>
      </c>
      <c r="J23" s="24" t="s">
        <v>60</v>
      </c>
      <c r="K23" s="24">
        <v>26.4</v>
      </c>
      <c r="L23" s="24">
        <f t="shared" si="2"/>
        <v>4.5549999999999997</v>
      </c>
      <c r="M23" s="24"/>
      <c r="N23" s="24"/>
      <c r="O23" s="24">
        <v>0</v>
      </c>
      <c r="P23" s="24">
        <f t="shared" si="3"/>
        <v>6.1909999999999998</v>
      </c>
      <c r="Q23" s="25"/>
      <c r="R23" s="25"/>
      <c r="S23" s="24"/>
      <c r="T23" s="24">
        <f t="shared" si="4"/>
        <v>24.6063640768858</v>
      </c>
      <c r="U23" s="24">
        <f t="shared" si="5"/>
        <v>24.6063640768858</v>
      </c>
      <c r="V23" s="24">
        <v>10.3796</v>
      </c>
      <c r="W23" s="24">
        <v>4.7618</v>
      </c>
      <c r="X23" s="24">
        <v>7.4278000000000004</v>
      </c>
      <c r="Y23" s="24">
        <v>4.8238000000000003</v>
      </c>
      <c r="Z23" s="24">
        <v>8.9802</v>
      </c>
      <c r="AA23" s="24">
        <v>17.089200000000002</v>
      </c>
      <c r="AB23" s="24">
        <v>6.2629999999999999</v>
      </c>
      <c r="AC23" s="24">
        <v>8.9186000000000014</v>
      </c>
      <c r="AD23" s="30" t="s">
        <v>36</v>
      </c>
      <c r="AE23" s="24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2" t="s">
        <v>62</v>
      </c>
      <c r="B24" s="13" t="s">
        <v>57</v>
      </c>
      <c r="C24" s="13"/>
      <c r="D24" s="13"/>
      <c r="E24" s="13"/>
      <c r="F24" s="14"/>
      <c r="G24" s="7">
        <v>1</v>
      </c>
      <c r="H24" s="1">
        <v>120</v>
      </c>
      <c r="I24" s="1">
        <v>8785204</v>
      </c>
      <c r="J24" s="1"/>
      <c r="K24" s="1"/>
      <c r="L24" s="1">
        <f t="shared" si="2"/>
        <v>0</v>
      </c>
      <c r="M24" s="1"/>
      <c r="N24" s="1"/>
      <c r="O24" s="1">
        <v>0</v>
      </c>
      <c r="P24" s="1">
        <f t="shared" si="3"/>
        <v>0</v>
      </c>
      <c r="Q24" s="9">
        <f>20*(P24+P25)-O24-O25-F24-F25</f>
        <v>95.29000000000002</v>
      </c>
      <c r="R24" s="9"/>
      <c r="S24" s="1"/>
      <c r="T24" s="1" t="e">
        <f t="shared" si="4"/>
        <v>#DIV/0!</v>
      </c>
      <c r="U24" s="1" t="e">
        <f t="shared" si="5"/>
        <v>#DIV/0!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/>
      <c r="AE24" s="1">
        <f>G24*Q24</f>
        <v>95.29000000000002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20" t="s">
        <v>63</v>
      </c>
      <c r="B25" s="21" t="s">
        <v>57</v>
      </c>
      <c r="C25" s="21">
        <v>165.083</v>
      </c>
      <c r="D25" s="21">
        <v>294.12799999999999</v>
      </c>
      <c r="E25" s="21">
        <v>110.77500000000001</v>
      </c>
      <c r="F25" s="22">
        <v>347.81</v>
      </c>
      <c r="G25" s="23">
        <v>0</v>
      </c>
      <c r="H25" s="24" t="e">
        <v>#N/A</v>
      </c>
      <c r="I25" s="24" t="s">
        <v>59</v>
      </c>
      <c r="J25" s="24" t="s">
        <v>62</v>
      </c>
      <c r="K25" s="24">
        <v>105.4</v>
      </c>
      <c r="L25" s="24">
        <f t="shared" si="2"/>
        <v>5.375</v>
      </c>
      <c r="M25" s="24"/>
      <c r="N25" s="24"/>
      <c r="O25" s="24">
        <v>0</v>
      </c>
      <c r="P25" s="24">
        <f t="shared" si="3"/>
        <v>22.155000000000001</v>
      </c>
      <c r="Q25" s="25"/>
      <c r="R25" s="25"/>
      <c r="S25" s="24"/>
      <c r="T25" s="24">
        <f t="shared" si="4"/>
        <v>15.698939291356352</v>
      </c>
      <c r="U25" s="24">
        <f t="shared" si="5"/>
        <v>15.698939291356352</v>
      </c>
      <c r="V25" s="24">
        <v>21.588200000000001</v>
      </c>
      <c r="W25" s="24">
        <v>28.439599999999999</v>
      </c>
      <c r="X25" s="24">
        <v>17.607399999999998</v>
      </c>
      <c r="Y25" s="24">
        <v>28.289200000000001</v>
      </c>
      <c r="Z25" s="24">
        <v>19.231000000000002</v>
      </c>
      <c r="AA25" s="24">
        <v>11.413600000000001</v>
      </c>
      <c r="AB25" s="24">
        <v>21.7</v>
      </c>
      <c r="AC25" s="24">
        <v>17.798999999999999</v>
      </c>
      <c r="AD25" s="24"/>
      <c r="AE25" s="24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26" t="s">
        <v>64</v>
      </c>
      <c r="B26" s="26" t="s">
        <v>34</v>
      </c>
      <c r="C26" s="26"/>
      <c r="D26" s="26"/>
      <c r="E26" s="26">
        <v>-1</v>
      </c>
      <c r="F26" s="26"/>
      <c r="G26" s="27">
        <v>0</v>
      </c>
      <c r="H26" s="26">
        <v>60</v>
      </c>
      <c r="I26" s="26">
        <v>8444170</v>
      </c>
      <c r="J26" s="26"/>
      <c r="K26" s="26"/>
      <c r="L26" s="26">
        <f t="shared" si="2"/>
        <v>-1</v>
      </c>
      <c r="M26" s="26"/>
      <c r="N26" s="26"/>
      <c r="O26" s="26">
        <v>0</v>
      </c>
      <c r="P26" s="26">
        <f t="shared" si="3"/>
        <v>-0.2</v>
      </c>
      <c r="Q26" s="28"/>
      <c r="R26" s="28"/>
      <c r="S26" s="26"/>
      <c r="T26" s="26">
        <f t="shared" si="4"/>
        <v>0</v>
      </c>
      <c r="U26" s="26">
        <f t="shared" si="5"/>
        <v>0</v>
      </c>
      <c r="V26" s="26">
        <v>0</v>
      </c>
      <c r="W26" s="26">
        <v>-0.2</v>
      </c>
      <c r="X26" s="26">
        <v>0</v>
      </c>
      <c r="Y26" s="26">
        <v>0</v>
      </c>
      <c r="Z26" s="26">
        <v>-0.4</v>
      </c>
      <c r="AA26" s="26">
        <v>-0.2</v>
      </c>
      <c r="AB26" s="26">
        <v>0</v>
      </c>
      <c r="AC26" s="26">
        <v>-0.4</v>
      </c>
      <c r="AD26" s="26" t="s">
        <v>65</v>
      </c>
      <c r="AE26" s="26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66</v>
      </c>
      <c r="B27" s="1" t="s">
        <v>34</v>
      </c>
      <c r="C27" s="1">
        <v>204</v>
      </c>
      <c r="D27" s="1"/>
      <c r="E27" s="1">
        <v>20</v>
      </c>
      <c r="F27" s="1">
        <v>182</v>
      </c>
      <c r="G27" s="7">
        <v>0.14000000000000001</v>
      </c>
      <c r="H27" s="1">
        <v>180</v>
      </c>
      <c r="I27" s="1">
        <v>9988391</v>
      </c>
      <c r="J27" s="1"/>
      <c r="K27" s="1">
        <v>22</v>
      </c>
      <c r="L27" s="1">
        <f t="shared" si="2"/>
        <v>-2</v>
      </c>
      <c r="M27" s="1"/>
      <c r="N27" s="1"/>
      <c r="O27" s="1">
        <v>0</v>
      </c>
      <c r="P27" s="1">
        <f t="shared" si="3"/>
        <v>4</v>
      </c>
      <c r="Q27" s="9"/>
      <c r="R27" s="9"/>
      <c r="S27" s="1"/>
      <c r="T27" s="1">
        <f t="shared" si="4"/>
        <v>45.5</v>
      </c>
      <c r="U27" s="1">
        <f t="shared" si="5"/>
        <v>45.5</v>
      </c>
      <c r="V27" s="1">
        <v>4.5999999999999996</v>
      </c>
      <c r="W27" s="1">
        <v>5.6</v>
      </c>
      <c r="X27" s="1">
        <v>6.8</v>
      </c>
      <c r="Y27" s="1">
        <v>7.2</v>
      </c>
      <c r="Z27" s="1">
        <v>9</v>
      </c>
      <c r="AA27" s="1">
        <v>7.8</v>
      </c>
      <c r="AB27" s="1">
        <v>10.6</v>
      </c>
      <c r="AC27" s="1">
        <v>12.6</v>
      </c>
      <c r="AD27" s="31" t="s">
        <v>48</v>
      </c>
      <c r="AE27" s="1">
        <f>G27*Q27</f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34</v>
      </c>
      <c r="C28" s="1">
        <v>675</v>
      </c>
      <c r="D28" s="1"/>
      <c r="E28" s="1">
        <v>141</v>
      </c>
      <c r="F28" s="1">
        <v>534</v>
      </c>
      <c r="G28" s="7">
        <v>0.18</v>
      </c>
      <c r="H28" s="1">
        <v>270</v>
      </c>
      <c r="I28" s="1">
        <v>9988681</v>
      </c>
      <c r="J28" s="1"/>
      <c r="K28" s="1">
        <v>141</v>
      </c>
      <c r="L28" s="1">
        <f t="shared" si="2"/>
        <v>0</v>
      </c>
      <c r="M28" s="1"/>
      <c r="N28" s="1"/>
      <c r="O28" s="1">
        <v>0</v>
      </c>
      <c r="P28" s="1">
        <f t="shared" si="3"/>
        <v>28.2</v>
      </c>
      <c r="Q28" s="9"/>
      <c r="R28" s="9"/>
      <c r="S28" s="1"/>
      <c r="T28" s="1">
        <f t="shared" si="4"/>
        <v>18.936170212765958</v>
      </c>
      <c r="U28" s="1">
        <f t="shared" si="5"/>
        <v>18.936170212765958</v>
      </c>
      <c r="V28" s="1">
        <v>26.4</v>
      </c>
      <c r="W28" s="1">
        <v>35.200000000000003</v>
      </c>
      <c r="X28" s="1">
        <v>22.4</v>
      </c>
      <c r="Y28" s="1">
        <v>46</v>
      </c>
      <c r="Z28" s="1">
        <v>43.2</v>
      </c>
      <c r="AA28" s="1">
        <v>50.8</v>
      </c>
      <c r="AB28" s="1">
        <v>24.2</v>
      </c>
      <c r="AC28" s="1">
        <v>41.8</v>
      </c>
      <c r="AD28" s="1"/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57</v>
      </c>
      <c r="C29" s="1">
        <v>206.459</v>
      </c>
      <c r="D29" s="1">
        <v>211.69800000000001</v>
      </c>
      <c r="E29" s="1">
        <v>165.59800000000001</v>
      </c>
      <c r="F29" s="1">
        <v>252.065</v>
      </c>
      <c r="G29" s="7">
        <v>1</v>
      </c>
      <c r="H29" s="1">
        <v>120</v>
      </c>
      <c r="I29" s="1">
        <v>8785198</v>
      </c>
      <c r="J29" s="1"/>
      <c r="K29" s="1">
        <v>152.9</v>
      </c>
      <c r="L29" s="1">
        <f t="shared" si="2"/>
        <v>12.698000000000008</v>
      </c>
      <c r="M29" s="1"/>
      <c r="N29" s="1"/>
      <c r="O29" s="1">
        <v>248</v>
      </c>
      <c r="P29" s="1">
        <f t="shared" si="3"/>
        <v>33.119600000000005</v>
      </c>
      <c r="Q29" s="9">
        <f t="shared" ref="Q29" si="9">20*P29-O29-F29</f>
        <v>162.32700000000006</v>
      </c>
      <c r="R29" s="9"/>
      <c r="S29" s="1"/>
      <c r="T29" s="1">
        <f t="shared" si="4"/>
        <v>20</v>
      </c>
      <c r="U29" s="1">
        <f t="shared" si="5"/>
        <v>15.098763270087801</v>
      </c>
      <c r="V29" s="1">
        <v>32.2744</v>
      </c>
      <c r="W29" s="1">
        <v>28.939599999999999</v>
      </c>
      <c r="X29" s="1">
        <v>23.622800000000002</v>
      </c>
      <c r="Y29" s="1">
        <v>21.1998</v>
      </c>
      <c r="Z29" s="1">
        <v>29.945399999999999</v>
      </c>
      <c r="AA29" s="1">
        <v>31.167000000000002</v>
      </c>
      <c r="AB29" s="1">
        <v>28.240600000000001</v>
      </c>
      <c r="AC29" s="1">
        <v>27.547000000000001</v>
      </c>
      <c r="AD29" s="1"/>
      <c r="AE29" s="1">
        <f>G29*Q29</f>
        <v>162.32700000000006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34</v>
      </c>
      <c r="C30" s="1">
        <v>214</v>
      </c>
      <c r="D30" s="1"/>
      <c r="E30" s="1">
        <v>87</v>
      </c>
      <c r="F30" s="1">
        <v>116</v>
      </c>
      <c r="G30" s="7">
        <v>0.1</v>
      </c>
      <c r="H30" s="1">
        <v>60</v>
      </c>
      <c r="I30" s="1">
        <v>8444187</v>
      </c>
      <c r="J30" s="1"/>
      <c r="K30" s="1">
        <v>94</v>
      </c>
      <c r="L30" s="1">
        <f t="shared" si="2"/>
        <v>-7</v>
      </c>
      <c r="M30" s="1"/>
      <c r="N30" s="1"/>
      <c r="O30" s="1">
        <v>0</v>
      </c>
      <c r="P30" s="1">
        <f t="shared" si="3"/>
        <v>17.399999999999999</v>
      </c>
      <c r="Q30" s="9">
        <f>16*P30-O30-F30</f>
        <v>162.39999999999998</v>
      </c>
      <c r="R30" s="9"/>
      <c r="S30" s="1"/>
      <c r="T30" s="1">
        <f t="shared" si="4"/>
        <v>16</v>
      </c>
      <c r="U30" s="1">
        <f t="shared" si="5"/>
        <v>6.666666666666667</v>
      </c>
      <c r="V30" s="1">
        <v>7.2</v>
      </c>
      <c r="W30" s="1">
        <v>10.199999999999999</v>
      </c>
      <c r="X30" s="1">
        <v>6</v>
      </c>
      <c r="Y30" s="1">
        <v>15</v>
      </c>
      <c r="Z30" s="1">
        <v>8</v>
      </c>
      <c r="AA30" s="1">
        <v>1.8</v>
      </c>
      <c r="AB30" s="1">
        <v>13</v>
      </c>
      <c r="AC30" s="1">
        <v>30.2</v>
      </c>
      <c r="AD30" s="1"/>
      <c r="AE30" s="1">
        <f>G30*Q30</f>
        <v>16.239999999999998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34</v>
      </c>
      <c r="C31" s="1">
        <v>22</v>
      </c>
      <c r="D31" s="1">
        <v>180</v>
      </c>
      <c r="E31" s="1">
        <v>22</v>
      </c>
      <c r="F31" s="1">
        <v>180</v>
      </c>
      <c r="G31" s="7">
        <v>0.1</v>
      </c>
      <c r="H31" s="1">
        <v>90</v>
      </c>
      <c r="I31" s="1">
        <v>8444194</v>
      </c>
      <c r="J31" s="1"/>
      <c r="K31" s="1">
        <v>33</v>
      </c>
      <c r="L31" s="1">
        <f t="shared" si="2"/>
        <v>-11</v>
      </c>
      <c r="M31" s="1"/>
      <c r="N31" s="1"/>
      <c r="O31" s="1">
        <v>0</v>
      </c>
      <c r="P31" s="1">
        <f t="shared" si="3"/>
        <v>4.4000000000000004</v>
      </c>
      <c r="Q31" s="9"/>
      <c r="R31" s="9"/>
      <c r="S31" s="1"/>
      <c r="T31" s="1">
        <f t="shared" si="4"/>
        <v>40.909090909090907</v>
      </c>
      <c r="U31" s="1">
        <f t="shared" si="5"/>
        <v>40.909090909090907</v>
      </c>
      <c r="V31" s="1">
        <v>4</v>
      </c>
      <c r="W31" s="1">
        <v>16.600000000000001</v>
      </c>
      <c r="X31" s="1">
        <v>7</v>
      </c>
      <c r="Y31" s="1">
        <v>8.6</v>
      </c>
      <c r="Z31" s="1">
        <v>7</v>
      </c>
      <c r="AA31" s="1">
        <v>0.4</v>
      </c>
      <c r="AB31" s="1">
        <v>12.2</v>
      </c>
      <c r="AC31" s="1">
        <v>30.8</v>
      </c>
      <c r="AD31" s="1"/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26" t="s">
        <v>71</v>
      </c>
      <c r="B32" s="26" t="s">
        <v>57</v>
      </c>
      <c r="C32" s="26"/>
      <c r="D32" s="26"/>
      <c r="E32" s="26"/>
      <c r="F32" s="26"/>
      <c r="G32" s="27">
        <v>0</v>
      </c>
      <c r="H32" s="26">
        <v>150</v>
      </c>
      <c r="I32" s="26">
        <v>8786928</v>
      </c>
      <c r="J32" s="26"/>
      <c r="K32" s="26"/>
      <c r="L32" s="26">
        <f t="shared" si="2"/>
        <v>0</v>
      </c>
      <c r="M32" s="26"/>
      <c r="N32" s="26"/>
      <c r="O32" s="26">
        <v>0</v>
      </c>
      <c r="P32" s="26">
        <f t="shared" si="3"/>
        <v>0</v>
      </c>
      <c r="Q32" s="28"/>
      <c r="R32" s="28"/>
      <c r="S32" s="26"/>
      <c r="T32" s="26" t="e">
        <f t="shared" si="4"/>
        <v>#DIV/0!</v>
      </c>
      <c r="U32" s="26" t="e">
        <f t="shared" si="5"/>
        <v>#DIV/0!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 t="s">
        <v>72</v>
      </c>
      <c r="AE32" s="26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2" t="s">
        <v>73</v>
      </c>
      <c r="B33" s="13" t="s">
        <v>34</v>
      </c>
      <c r="C33" s="13"/>
      <c r="D33" s="13"/>
      <c r="E33" s="13"/>
      <c r="F33" s="14"/>
      <c r="G33" s="7">
        <v>0.2</v>
      </c>
      <c r="H33" s="1">
        <v>120</v>
      </c>
      <c r="I33" s="1" t="s">
        <v>74</v>
      </c>
      <c r="J33" s="1"/>
      <c r="K33" s="1"/>
      <c r="L33" s="1">
        <f t="shared" si="2"/>
        <v>0</v>
      </c>
      <c r="M33" s="1"/>
      <c r="N33" s="1"/>
      <c r="O33" s="1">
        <v>250</v>
      </c>
      <c r="P33" s="1">
        <f t="shared" si="3"/>
        <v>0</v>
      </c>
      <c r="Q33" s="9">
        <f>20*(P33+P34)-O33-O34-F33-F34</f>
        <v>128</v>
      </c>
      <c r="R33" s="9"/>
      <c r="S33" s="1"/>
      <c r="T33" s="1" t="e">
        <f t="shared" si="4"/>
        <v>#DIV/0!</v>
      </c>
      <c r="U33" s="1" t="e">
        <f t="shared" si="5"/>
        <v>#DIV/0!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 t="s">
        <v>75</v>
      </c>
      <c r="AE33" s="1">
        <f>G33*Q33</f>
        <v>25.6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20" t="s">
        <v>76</v>
      </c>
      <c r="B34" s="21" t="s">
        <v>34</v>
      </c>
      <c r="C34" s="21">
        <v>503</v>
      </c>
      <c r="D34" s="21"/>
      <c r="E34" s="21">
        <v>176</v>
      </c>
      <c r="F34" s="22">
        <v>326</v>
      </c>
      <c r="G34" s="23">
        <v>0</v>
      </c>
      <c r="H34" s="24" t="e">
        <v>#N/A</v>
      </c>
      <c r="I34" s="24" t="s">
        <v>59</v>
      </c>
      <c r="J34" s="24" t="s">
        <v>73</v>
      </c>
      <c r="K34" s="24">
        <v>179</v>
      </c>
      <c r="L34" s="24">
        <f t="shared" si="2"/>
        <v>-3</v>
      </c>
      <c r="M34" s="24"/>
      <c r="N34" s="24"/>
      <c r="O34" s="24">
        <v>0</v>
      </c>
      <c r="P34" s="24">
        <f t="shared" si="3"/>
        <v>35.200000000000003</v>
      </c>
      <c r="Q34" s="25"/>
      <c r="R34" s="25"/>
      <c r="S34" s="24"/>
      <c r="T34" s="24">
        <f t="shared" si="4"/>
        <v>9.2613636363636349</v>
      </c>
      <c r="U34" s="24">
        <f t="shared" si="5"/>
        <v>9.2613636363636349</v>
      </c>
      <c r="V34" s="24">
        <v>39.4</v>
      </c>
      <c r="W34" s="24">
        <v>37.200000000000003</v>
      </c>
      <c r="X34" s="24">
        <v>42.8</v>
      </c>
      <c r="Y34" s="24">
        <v>28.4</v>
      </c>
      <c r="Z34" s="24">
        <v>30.8</v>
      </c>
      <c r="AA34" s="24">
        <v>29.8</v>
      </c>
      <c r="AB34" s="24">
        <v>41</v>
      </c>
      <c r="AC34" s="24">
        <v>21</v>
      </c>
      <c r="AD34" s="24"/>
      <c r="AE34" s="24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15.75" thickBot="1" x14ac:dyDescent="0.3">
      <c r="A35" s="1" t="s">
        <v>77</v>
      </c>
      <c r="B35" s="1" t="s">
        <v>57</v>
      </c>
      <c r="C35" s="1">
        <v>338.32499999999999</v>
      </c>
      <c r="D35" s="1"/>
      <c r="E35" s="1">
        <v>39.378</v>
      </c>
      <c r="F35" s="1">
        <v>298.947</v>
      </c>
      <c r="G35" s="7">
        <v>1</v>
      </c>
      <c r="H35" s="1">
        <v>120</v>
      </c>
      <c r="I35" s="1" t="s">
        <v>78</v>
      </c>
      <c r="J35" s="1"/>
      <c r="K35" s="1">
        <v>41</v>
      </c>
      <c r="L35" s="1">
        <f t="shared" si="2"/>
        <v>-1.6219999999999999</v>
      </c>
      <c r="M35" s="1"/>
      <c r="N35" s="1"/>
      <c r="O35" s="1">
        <v>105</v>
      </c>
      <c r="P35" s="1">
        <f t="shared" si="3"/>
        <v>7.8756000000000004</v>
      </c>
      <c r="Q35" s="9"/>
      <c r="R35" s="9"/>
      <c r="S35" s="1"/>
      <c r="T35" s="1">
        <f t="shared" si="4"/>
        <v>51.290949261008684</v>
      </c>
      <c r="U35" s="1">
        <f t="shared" si="5"/>
        <v>51.290949261008684</v>
      </c>
      <c r="V35" s="1">
        <v>20.768000000000001</v>
      </c>
      <c r="W35" s="1">
        <v>20.1858</v>
      </c>
      <c r="X35" s="1">
        <v>16.988199999999999</v>
      </c>
      <c r="Y35" s="1">
        <v>9.0053999999999998</v>
      </c>
      <c r="Z35" s="1">
        <v>31.803999999999998</v>
      </c>
      <c r="AA35" s="1">
        <v>22.195599999999999</v>
      </c>
      <c r="AB35" s="1">
        <v>12.733000000000001</v>
      </c>
      <c r="AC35" s="1">
        <v>12.2806</v>
      </c>
      <c r="AD35" s="31" t="s">
        <v>48</v>
      </c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2" t="s">
        <v>79</v>
      </c>
      <c r="B36" s="13" t="s">
        <v>34</v>
      </c>
      <c r="C36" s="13"/>
      <c r="D36" s="13"/>
      <c r="E36" s="13"/>
      <c r="F36" s="14"/>
      <c r="G36" s="7">
        <v>0.2</v>
      </c>
      <c r="H36" s="1">
        <v>120</v>
      </c>
      <c r="I36" s="1" t="s">
        <v>80</v>
      </c>
      <c r="J36" s="1"/>
      <c r="K36" s="1"/>
      <c r="L36" s="1">
        <f t="shared" si="2"/>
        <v>0</v>
      </c>
      <c r="M36" s="1"/>
      <c r="N36" s="1"/>
      <c r="O36" s="1">
        <v>150</v>
      </c>
      <c r="P36" s="1">
        <f t="shared" si="3"/>
        <v>0</v>
      </c>
      <c r="Q36" s="9"/>
      <c r="R36" s="9"/>
      <c r="S36" s="1"/>
      <c r="T36" s="1" t="e">
        <f t="shared" si="4"/>
        <v>#DIV/0!</v>
      </c>
      <c r="U36" s="1" t="e">
        <f t="shared" si="5"/>
        <v>#DIV/0!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15.75" thickBot="1" x14ac:dyDescent="0.3">
      <c r="A37" s="20" t="s">
        <v>81</v>
      </c>
      <c r="B37" s="21" t="s">
        <v>34</v>
      </c>
      <c r="C37" s="21">
        <v>466</v>
      </c>
      <c r="D37" s="21"/>
      <c r="E37" s="21">
        <v>97</v>
      </c>
      <c r="F37" s="22">
        <v>369</v>
      </c>
      <c r="G37" s="23">
        <v>0</v>
      </c>
      <c r="H37" s="24" t="e">
        <v>#N/A</v>
      </c>
      <c r="I37" s="24" t="s">
        <v>59</v>
      </c>
      <c r="J37" s="24" t="s">
        <v>79</v>
      </c>
      <c r="K37" s="24">
        <v>94</v>
      </c>
      <c r="L37" s="24">
        <f t="shared" si="2"/>
        <v>3</v>
      </c>
      <c r="M37" s="24"/>
      <c r="N37" s="24"/>
      <c r="O37" s="24">
        <v>0</v>
      </c>
      <c r="P37" s="24">
        <f t="shared" si="3"/>
        <v>19.399999999999999</v>
      </c>
      <c r="Q37" s="25"/>
      <c r="R37" s="25"/>
      <c r="S37" s="24"/>
      <c r="T37" s="24">
        <f t="shared" si="4"/>
        <v>19.020618556701031</v>
      </c>
      <c r="U37" s="24">
        <f t="shared" si="5"/>
        <v>19.020618556701031</v>
      </c>
      <c r="V37" s="24">
        <v>31</v>
      </c>
      <c r="W37" s="24">
        <v>28.4</v>
      </c>
      <c r="X37" s="24">
        <v>37</v>
      </c>
      <c r="Y37" s="24">
        <v>25</v>
      </c>
      <c r="Z37" s="24">
        <v>31.6</v>
      </c>
      <c r="AA37" s="24">
        <v>31.2</v>
      </c>
      <c r="AB37" s="24">
        <v>29.8</v>
      </c>
      <c r="AC37" s="24">
        <v>29.6</v>
      </c>
      <c r="AD37" s="24"/>
      <c r="AE37" s="24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82</v>
      </c>
      <c r="B38" s="1" t="s">
        <v>57</v>
      </c>
      <c r="C38" s="1">
        <v>841.90599999999995</v>
      </c>
      <c r="D38" s="1"/>
      <c r="E38" s="1">
        <v>251.435</v>
      </c>
      <c r="F38" s="1">
        <v>590.471</v>
      </c>
      <c r="G38" s="7">
        <v>1</v>
      </c>
      <c r="H38" s="1">
        <v>120</v>
      </c>
      <c r="I38" s="1" t="s">
        <v>83</v>
      </c>
      <c r="J38" s="1"/>
      <c r="K38" s="1">
        <v>249.5</v>
      </c>
      <c r="L38" s="1">
        <f t="shared" si="2"/>
        <v>1.9350000000000023</v>
      </c>
      <c r="M38" s="1"/>
      <c r="N38" s="1"/>
      <c r="O38" s="1">
        <v>345</v>
      </c>
      <c r="P38" s="1">
        <f t="shared" si="3"/>
        <v>50.286999999999999</v>
      </c>
      <c r="Q38" s="9">
        <f>20*P38-O38-F38</f>
        <v>70.269000000000005</v>
      </c>
      <c r="R38" s="9"/>
      <c r="S38" s="1"/>
      <c r="T38" s="1">
        <f t="shared" si="4"/>
        <v>20</v>
      </c>
      <c r="U38" s="1">
        <f t="shared" si="5"/>
        <v>18.602640841569393</v>
      </c>
      <c r="V38" s="1">
        <v>61.196800000000003</v>
      </c>
      <c r="W38" s="1">
        <v>49.648400000000002</v>
      </c>
      <c r="X38" s="1">
        <v>67.227000000000004</v>
      </c>
      <c r="Y38" s="1">
        <v>70.315599999999989</v>
      </c>
      <c r="Z38" s="1">
        <v>50.261600000000001</v>
      </c>
      <c r="AA38" s="1">
        <v>31.071999999999999</v>
      </c>
      <c r="AB38" s="1">
        <v>6.5902000000000003</v>
      </c>
      <c r="AC38" s="1">
        <v>37.362400000000001</v>
      </c>
      <c r="AD38" s="1" t="s">
        <v>84</v>
      </c>
      <c r="AE38" s="1">
        <f>G38*Q38</f>
        <v>70.269000000000005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40</v>
      </c>
      <c r="B40" s="1" t="s">
        <v>34</v>
      </c>
      <c r="C40" s="1">
        <v>1060</v>
      </c>
      <c r="D40" s="1">
        <v>1660</v>
      </c>
      <c r="E40" s="1">
        <v>675</v>
      </c>
      <c r="F40" s="1">
        <v>1185</v>
      </c>
      <c r="G40" s="7">
        <v>0.18</v>
      </c>
      <c r="H40" s="1">
        <v>120</v>
      </c>
      <c r="I40" s="1"/>
      <c r="J40" s="1"/>
      <c r="K40" s="1">
        <v>690</v>
      </c>
      <c r="L40" s="1">
        <f>E40-K40</f>
        <v>-15</v>
      </c>
      <c r="M40" s="1"/>
      <c r="N40" s="1"/>
      <c r="O40" s="1">
        <v>500</v>
      </c>
      <c r="P40" s="1">
        <f>E40/5</f>
        <v>135</v>
      </c>
      <c r="Q40" s="9">
        <f t="shared" ref="Q40:Q43" si="10">20*P40-O40-F40</f>
        <v>1015</v>
      </c>
      <c r="R40" s="9"/>
      <c r="S40" s="1"/>
      <c r="T40" s="1">
        <f>(F40+O40+Q40)/P40</f>
        <v>20</v>
      </c>
      <c r="U40" s="1">
        <f>(F40+O40)/P40</f>
        <v>12.481481481481481</v>
      </c>
      <c r="V40" s="1">
        <v>109.2</v>
      </c>
      <c r="W40" s="1">
        <v>110.4</v>
      </c>
      <c r="X40" s="1">
        <v>85.4</v>
      </c>
      <c r="Y40" s="1">
        <v>115.6</v>
      </c>
      <c r="Z40" s="1">
        <v>115.8</v>
      </c>
      <c r="AA40" s="1">
        <v>171</v>
      </c>
      <c r="AB40" s="1">
        <v>124.8</v>
      </c>
      <c r="AC40" s="1">
        <v>154.80000000000001</v>
      </c>
      <c r="AD40" s="1"/>
      <c r="AE40" s="1">
        <f>G40*Q40</f>
        <v>182.7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41</v>
      </c>
      <c r="B41" s="1" t="s">
        <v>34</v>
      </c>
      <c r="C41" s="1">
        <v>4822</v>
      </c>
      <c r="D41" s="1">
        <v>2000</v>
      </c>
      <c r="E41" s="1">
        <v>586</v>
      </c>
      <c r="F41" s="1">
        <v>5074</v>
      </c>
      <c r="G41" s="7">
        <v>0.18</v>
      </c>
      <c r="H41" s="1">
        <v>120</v>
      </c>
      <c r="I41" s="1"/>
      <c r="J41" s="1"/>
      <c r="K41" s="1">
        <v>756</v>
      </c>
      <c r="L41" s="1">
        <f>E41-K41</f>
        <v>-170</v>
      </c>
      <c r="M41" s="1"/>
      <c r="N41" s="1"/>
      <c r="O41" s="1">
        <v>1000</v>
      </c>
      <c r="P41" s="1">
        <f>E41/5</f>
        <v>117.2</v>
      </c>
      <c r="Q41" s="9"/>
      <c r="R41" s="9"/>
      <c r="S41" s="1"/>
      <c r="T41" s="1">
        <f>(F41+O41+Q41)/P41</f>
        <v>51.8259385665529</v>
      </c>
      <c r="U41" s="1">
        <f>(F41+O41)/P41</f>
        <v>51.8259385665529</v>
      </c>
      <c r="V41" s="1">
        <v>217.8</v>
      </c>
      <c r="W41" s="1">
        <v>245.4</v>
      </c>
      <c r="X41" s="1">
        <v>228</v>
      </c>
      <c r="Y41" s="1">
        <v>275</v>
      </c>
      <c r="Z41" s="1">
        <v>262.60000000000002</v>
      </c>
      <c r="AA41" s="1">
        <v>113.8</v>
      </c>
      <c r="AB41" s="1">
        <v>254</v>
      </c>
      <c r="AC41" s="1">
        <v>304.39999999999998</v>
      </c>
      <c r="AD41" s="29" t="s">
        <v>88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33</v>
      </c>
      <c r="B42" s="1" t="s">
        <v>34</v>
      </c>
      <c r="C42" s="1">
        <v>153</v>
      </c>
      <c r="D42" s="1"/>
      <c r="E42" s="1">
        <v>52</v>
      </c>
      <c r="F42" s="1">
        <v>101</v>
      </c>
      <c r="G42" s="7">
        <v>0.18</v>
      </c>
      <c r="H42" s="1"/>
      <c r="I42" s="1">
        <v>4421577</v>
      </c>
      <c r="J42" s="1"/>
      <c r="K42" s="1">
        <v>46</v>
      </c>
      <c r="L42" s="1">
        <f>E42-K42</f>
        <v>6</v>
      </c>
      <c r="M42" s="1"/>
      <c r="N42" s="1"/>
      <c r="O42" s="1"/>
      <c r="P42" s="1">
        <f>E42/5</f>
        <v>10.4</v>
      </c>
      <c r="Q42" s="9">
        <f t="shared" si="10"/>
        <v>107</v>
      </c>
      <c r="R42" s="9"/>
      <c r="S42" s="1"/>
      <c r="T42" s="1">
        <f>(F42+O42+Q42)/P42</f>
        <v>20</v>
      </c>
      <c r="U42" s="1">
        <f>(F42+O42)/P42</f>
        <v>9.7115384615384617</v>
      </c>
      <c r="V42" s="1">
        <v>9.6</v>
      </c>
      <c r="W42" s="1">
        <v>6.8</v>
      </c>
      <c r="X42" s="1">
        <v>11.6</v>
      </c>
      <c r="Y42" s="1">
        <v>6.4</v>
      </c>
      <c r="Z42" s="1">
        <v>9.1999999999999993</v>
      </c>
      <c r="AA42" s="1">
        <v>8.1999999999999993</v>
      </c>
      <c r="AB42" s="1">
        <v>5.8</v>
      </c>
      <c r="AC42" s="1">
        <v>5.2</v>
      </c>
      <c r="AD42" s="1"/>
      <c r="AE42" s="1">
        <f>G42*Q42</f>
        <v>19.259999999999998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35</v>
      </c>
      <c r="B43" s="1" t="s">
        <v>34</v>
      </c>
      <c r="C43" s="1">
        <v>258</v>
      </c>
      <c r="D43" s="1"/>
      <c r="E43" s="1">
        <v>88</v>
      </c>
      <c r="F43" s="1">
        <v>170</v>
      </c>
      <c r="G43" s="7">
        <v>0.18</v>
      </c>
      <c r="H43" s="1"/>
      <c r="I43" s="1">
        <v>4421584</v>
      </c>
      <c r="J43" s="1"/>
      <c r="K43" s="1">
        <v>82</v>
      </c>
      <c r="L43" s="1">
        <f>E43-K43</f>
        <v>6</v>
      </c>
      <c r="M43" s="1"/>
      <c r="N43" s="1"/>
      <c r="O43" s="1"/>
      <c r="P43" s="1">
        <f>E43/5</f>
        <v>17.600000000000001</v>
      </c>
      <c r="Q43" s="9">
        <f t="shared" si="10"/>
        <v>182</v>
      </c>
      <c r="R43" s="9"/>
      <c r="S43" s="1"/>
      <c r="T43" s="1">
        <f>(F43+O43+Q43)/P43</f>
        <v>20</v>
      </c>
      <c r="U43" s="1">
        <f>(F43+O43)/P43</f>
        <v>9.6590909090909083</v>
      </c>
      <c r="V43" s="1">
        <v>11.2</v>
      </c>
      <c r="W43" s="1">
        <v>2.8</v>
      </c>
      <c r="X43" s="1">
        <v>17.2</v>
      </c>
      <c r="Y43" s="1">
        <v>11</v>
      </c>
      <c r="Z43" s="1">
        <v>12.4</v>
      </c>
      <c r="AA43" s="1">
        <v>13.8</v>
      </c>
      <c r="AB43" s="1">
        <v>7.8</v>
      </c>
      <c r="AC43" s="1">
        <v>12.4</v>
      </c>
      <c r="AD43" s="1"/>
      <c r="AE43" s="1">
        <f>G43*Q43</f>
        <v>32.76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</sheetData>
  <autoFilter ref="A3:AE38" xr:uid="{5C80FBA0-C308-4E8F-93F7-88160D044F1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2025-11-24T12:18:40Z</dcterms:created>
  <dcterms:modified xsi:type="dcterms:W3CDTF">2025-11-24T12:31:25Z</dcterms:modified>
</cp:coreProperties>
</file>