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"/>
    </mc:Choice>
  </mc:AlternateContent>
  <xr:revisionPtr revIDLastSave="0" documentId="13_ncr:1_{1267C625-2473-43A0-8DA2-163BD51281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1" i="1" l="1"/>
  <c r="AE31" i="1" s="1"/>
  <c r="Q33" i="1"/>
  <c r="AE39" i="1"/>
  <c r="AE42" i="1"/>
  <c r="Q17" i="1"/>
  <c r="Q13" i="1"/>
  <c r="Q9" i="1"/>
  <c r="AE9" i="1" s="1"/>
  <c r="Q7" i="1"/>
  <c r="AE7" i="1" s="1"/>
  <c r="Q6" i="1"/>
  <c r="P45" i="1"/>
  <c r="T45" i="1" s="1"/>
  <c r="P6" i="1"/>
  <c r="T6" i="1" s="1"/>
  <c r="P7" i="1"/>
  <c r="T7" i="1" s="1"/>
  <c r="P42" i="1"/>
  <c r="T42" i="1" s="1"/>
  <c r="P43" i="1"/>
  <c r="T43" i="1" s="1"/>
  <c r="P8" i="1"/>
  <c r="T8" i="1" s="1"/>
  <c r="P9" i="1"/>
  <c r="T9" i="1" s="1"/>
  <c r="P10" i="1"/>
  <c r="T10" i="1" s="1"/>
  <c r="P11" i="1"/>
  <c r="T11" i="1" s="1"/>
  <c r="P12" i="1"/>
  <c r="P13" i="1"/>
  <c r="T13" i="1" s="1"/>
  <c r="P14" i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P30" i="1"/>
  <c r="T30" i="1" s="1"/>
  <c r="P31" i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P40" i="1"/>
  <c r="T40" i="1" s="1"/>
  <c r="P44" i="1"/>
  <c r="U44" i="1" s="1"/>
  <c r="L40" i="1"/>
  <c r="L39" i="1"/>
  <c r="L38" i="1"/>
  <c r="AE37" i="1"/>
  <c r="L37" i="1"/>
  <c r="L36" i="1"/>
  <c r="AE35" i="1"/>
  <c r="L35" i="1"/>
  <c r="L34" i="1"/>
  <c r="AE33" i="1"/>
  <c r="L33" i="1"/>
  <c r="AE32" i="1"/>
  <c r="L32" i="1"/>
  <c r="L31" i="1"/>
  <c r="AE30" i="1"/>
  <c r="L30" i="1"/>
  <c r="AE29" i="1"/>
  <c r="L29" i="1"/>
  <c r="AE28" i="1"/>
  <c r="L28" i="1"/>
  <c r="L27" i="1"/>
  <c r="AE26" i="1"/>
  <c r="L26" i="1"/>
  <c r="L25" i="1"/>
  <c r="L24" i="1"/>
  <c r="AE23" i="1"/>
  <c r="L23" i="1"/>
  <c r="L22" i="1"/>
  <c r="AE21" i="1"/>
  <c r="L21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12" i="1"/>
  <c r="L12" i="1"/>
  <c r="L11" i="1"/>
  <c r="AE10" i="1"/>
  <c r="L10" i="1"/>
  <c r="L9" i="1"/>
  <c r="AE8" i="1"/>
  <c r="L8" i="1"/>
  <c r="AE43" i="1"/>
  <c r="L43" i="1"/>
  <c r="L42" i="1"/>
  <c r="L7" i="1"/>
  <c r="AE6" i="1"/>
  <c r="L6" i="1"/>
  <c r="AE45" i="1"/>
  <c r="L45" i="1"/>
  <c r="AE44" i="1"/>
  <c r="L44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9" i="1" l="1"/>
  <c r="T31" i="1"/>
  <c r="T29" i="1"/>
  <c r="T14" i="1"/>
  <c r="T12" i="1"/>
  <c r="Q5" i="1"/>
  <c r="U33" i="1"/>
  <c r="U17" i="1"/>
  <c r="T44" i="1"/>
  <c r="U25" i="1"/>
  <c r="U9" i="1"/>
  <c r="U37" i="1"/>
  <c r="U29" i="1"/>
  <c r="U21" i="1"/>
  <c r="U13" i="1"/>
  <c r="U7" i="1"/>
  <c r="U39" i="1"/>
  <c r="U35" i="1"/>
  <c r="U31" i="1"/>
  <c r="U27" i="1"/>
  <c r="U23" i="1"/>
  <c r="U19" i="1"/>
  <c r="U15" i="1"/>
  <c r="U11" i="1"/>
  <c r="U43" i="1"/>
  <c r="U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2" i="1"/>
  <c r="U6" i="1"/>
  <c r="P5" i="1"/>
  <c r="L5" i="1"/>
  <c r="AE5" i="1"/>
</calcChain>
</file>

<file path=xl/sharedStrings.xml><?xml version="1.0" encoding="utf-8"?>
<sst xmlns="http://schemas.openxmlformats.org/spreadsheetml/2006/main" count="157" uniqueCount="91">
  <si>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</si>
  <si>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</si>
  <si>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</si>
  <si>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</si>
  <si>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</si>
  <si>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</si>
  <si>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</si>
  <si>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</si>
  <si>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</si>
  <si>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</si>
  <si>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</si>
  <si>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</si>
  <si>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</si>
  <si>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</si>
  <si>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</si>
  <si>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</si>
  <si>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</si>
  <si>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</si>
  <si>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</si>
  <si>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</si>
  <si>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</si>
  <si>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</si>
  <si>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</si>
  <si>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</si>
  <si>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27,10,</t>
  </si>
  <si>
    <t>03,11,</t>
  </si>
  <si>
    <t>20,10,</t>
  </si>
  <si>
    <t>13,10,</t>
  </si>
  <si>
    <t>06,10,</t>
  </si>
  <si>
    <t>29,09,</t>
  </si>
  <si>
    <t>22,09,</t>
  </si>
  <si>
    <t>15,09,</t>
  </si>
  <si>
    <t>08,09,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</si>
  <si>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</si>
  <si>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</si>
  <si>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</si>
  <si>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нужно увеличить продажи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</si>
  <si>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</si>
  <si>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</si>
  <si>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</si>
  <si>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</si>
  <si>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</si>
  <si>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нужно увеличить продажи!!!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</si>
  <si>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</si>
  <si>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</si>
  <si>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"Пармезан" с массовой долей жира в сухом веществе 40%  Останкино</t>
  </si>
  <si>
    <t>кг</t>
  </si>
  <si>
    <t>нет потребности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</si>
  <si>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</si>
  <si>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</si>
  <si>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</si>
  <si>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</si>
  <si>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</si>
  <si>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</si>
  <si>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</si>
  <si>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</si>
  <si>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</si>
  <si>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</si>
  <si>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</si>
  <si>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</si>
  <si>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</si>
  <si>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</si>
  <si>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</si>
  <si>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</si>
  <si>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</si>
  <si>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</si>
  <si>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</si>
  <si>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</si>
  <si>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</si>
  <si>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</si>
  <si>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</si>
  <si>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</si>
  <si>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</si>
  <si>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</si>
  <si>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</si>
  <si>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</si>
  <si>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</si>
  <si>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</si>
  <si>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</si>
  <si>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</si>
  <si>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</si>
  <si>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</si>
  <si>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</si>
  <si>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</si>
  <si>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</si>
  <si>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</si>
  <si>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</si>
  <si>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</si>
  <si>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03,11,25 завод не отгрузит / на заводе брак, следующие отгрузки не раньше ноября</t>
  </si>
  <si>
    <t>19,08,25 списание 47 шт. (сроки)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</si>
  <si>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перемещение из Мелитополя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</si>
</sst>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1" fillId="9" borderId="1" xfId="1" applyNumberFormat="1" applyFill="1"/>
    <xf numFmtId="164" fontId="4" fillId="9" borderId="1" xfId="1" applyNumberFormat="1" applyFont="1" applyFill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30" sqref="S3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46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2514.4650000000001</v>
      </c>
      <c r="F5" s="4">
        <f>SUM(F6:F496)</f>
        <v>8302.0960000000014</v>
      </c>
      <c r="G5" s="7"/>
      <c r="H5" s="1"/>
      <c r="I5" s="1"/>
      <c r="J5" s="1"/>
      <c r="K5" s="4">
        <f t="shared" ref="K5:R5" si="0">SUM(K6:K496)</f>
        <v>2637.1</v>
      </c>
      <c r="L5" s="4">
        <f t="shared" si="0"/>
        <v>-122.63499999999999</v>
      </c>
      <c r="M5" s="4">
        <f t="shared" si="0"/>
        <v>0</v>
      </c>
      <c r="N5" s="4">
        <f t="shared" si="0"/>
        <v>0</v>
      </c>
      <c r="O5" s="4">
        <f t="shared" si="0"/>
        <v>4645</v>
      </c>
      <c r="P5" s="4">
        <f t="shared" si="0"/>
        <v>502.89299999999997</v>
      </c>
      <c r="Q5" s="4">
        <f t="shared" si="0"/>
        <v>716.4</v>
      </c>
      <c r="R5" s="4">
        <f t="shared" si="0"/>
        <v>0</v>
      </c>
      <c r="S5" s="1"/>
      <c r="T5" s="1"/>
      <c r="U5" s="1"/>
      <c r="V5" s="4">
        <f t="shared" ref="V5:AC5" si="1">SUM(V6:V496)</f>
        <v>774.06619999999987</v>
      </c>
      <c r="W5" s="4">
        <f t="shared" si="1"/>
        <v>627.9316</v>
      </c>
      <c r="X5" s="4">
        <f t="shared" si="1"/>
        <v>578.43240000000003</v>
      </c>
      <c r="Y5" s="4">
        <f t="shared" si="1"/>
        <v>651.18820000000017</v>
      </c>
      <c r="Z5" s="4">
        <f t="shared" si="1"/>
        <v>606.32500000000005</v>
      </c>
      <c r="AA5" s="4">
        <f t="shared" si="1"/>
        <v>586.85520000000008</v>
      </c>
      <c r="AB5" s="4">
        <f t="shared" si="1"/>
        <v>693.72400000000005</v>
      </c>
      <c r="AC5" s="4">
        <f t="shared" si="1"/>
        <v>674.12019999999995</v>
      </c>
      <c r="AD5" s="1"/>
      <c r="AE5" s="4">
        <f>SUM(AE6:AE496)</f>
        <v>120.77999999999999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100</v>
      </c>
      <c r="D6" s="1">
        <v>63</v>
      </c>
      <c r="E6" s="1">
        <v>37</v>
      </c>
      <c r="F6" s="1">
        <v>62</v>
      </c>
      <c r="G6" s="7">
        <v>0.18</v>
      </c>
      <c r="H6" s="1">
        <v>270</v>
      </c>
      <c r="I6" s="1">
        <v>9988438</v>
      </c>
      <c r="J6" s="1"/>
      <c r="K6" s="1">
        <v>37</v>
      </c>
      <c r="L6" s="1">
        <f t="shared" ref="L6:L40" si="2">E6-K6</f>
        <v>0</v>
      </c>
      <c r="M6" s="1"/>
      <c r="N6" s="1"/>
      <c r="O6" s="1">
        <v>16</v>
      </c>
      <c r="P6" s="1">
        <f t="shared" ref="P6:P40" si="3">E6/5</f>
        <v>7.4</v>
      </c>
      <c r="Q6" s="9">
        <f>20*P6-O6-F6</f>
        <v>70</v>
      </c>
      <c r="R6" s="9"/>
      <c r="S6" s="1"/>
      <c r="T6" s="1">
        <f t="shared" ref="T6:T40" si="4">(F6+O6+Q6)/P6</f>
        <v>20</v>
      </c>
      <c r="U6" s="1">
        <f t="shared" ref="U6:U40" si="5">(F6+O6)/P6</f>
        <v>10.54054054054054</v>
      </c>
      <c r="V6" s="1">
        <v>5.2</v>
      </c>
      <c r="W6" s="1">
        <v>4.2</v>
      </c>
      <c r="X6" s="1">
        <v>7</v>
      </c>
      <c r="Y6" s="1">
        <v>7.4</v>
      </c>
      <c r="Z6" s="1">
        <v>8.6</v>
      </c>
      <c r="AA6" s="1">
        <v>7.6</v>
      </c>
      <c r="AB6" s="1">
        <v>2.8</v>
      </c>
      <c r="AC6" s="1">
        <v>7.2</v>
      </c>
      <c r="AD6" s="1"/>
      <c r="AE6" s="1">
        <f>G6*Q6</f>
        <v>12.6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34</v>
      </c>
      <c r="C7" s="1">
        <v>110</v>
      </c>
      <c r="D7" s="1"/>
      <c r="E7" s="1">
        <v>33</v>
      </c>
      <c r="F7" s="1">
        <v>77</v>
      </c>
      <c r="G7" s="7">
        <v>0.18</v>
      </c>
      <c r="H7" s="1">
        <v>270</v>
      </c>
      <c r="I7" s="1">
        <v>9988445</v>
      </c>
      <c r="J7" s="1"/>
      <c r="K7" s="1">
        <v>33</v>
      </c>
      <c r="L7" s="1">
        <f t="shared" si="2"/>
        <v>0</v>
      </c>
      <c r="M7" s="1"/>
      <c r="N7" s="1"/>
      <c r="O7" s="1">
        <v>0</v>
      </c>
      <c r="P7" s="1">
        <f t="shared" si="3"/>
        <v>6.6</v>
      </c>
      <c r="Q7" s="9">
        <f t="shared" ref="Q7:Q9" si="6">20*P7-O7-F7</f>
        <v>55</v>
      </c>
      <c r="R7" s="9"/>
      <c r="S7" s="1"/>
      <c r="T7" s="1">
        <f t="shared" si="4"/>
        <v>20</v>
      </c>
      <c r="U7" s="1">
        <f t="shared" si="5"/>
        <v>11.666666666666668</v>
      </c>
      <c r="V7" s="1">
        <v>4.2</v>
      </c>
      <c r="W7" s="1">
        <v>5</v>
      </c>
      <c r="X7" s="1">
        <v>7.6</v>
      </c>
      <c r="Y7" s="1">
        <v>6.4</v>
      </c>
      <c r="Z7" s="1">
        <v>9.4</v>
      </c>
      <c r="AA7" s="1">
        <v>3.4</v>
      </c>
      <c r="AB7" s="1">
        <v>7.2</v>
      </c>
      <c r="AC7" s="1">
        <v>6.6</v>
      </c>
      <c r="AD7" s="1"/>
      <c r="AE7" s="1">
        <f>G7*Q7</f>
        <v>9.9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34</v>
      </c>
      <c r="C8" s="1">
        <v>45</v>
      </c>
      <c r="D8" s="1">
        <v>2</v>
      </c>
      <c r="E8" s="1">
        <v>10</v>
      </c>
      <c r="F8" s="1">
        <v>35</v>
      </c>
      <c r="G8" s="7">
        <v>0.4</v>
      </c>
      <c r="H8" s="1">
        <v>270</v>
      </c>
      <c r="I8" s="1">
        <v>9988452</v>
      </c>
      <c r="J8" s="1"/>
      <c r="K8" s="1">
        <v>10</v>
      </c>
      <c r="L8" s="1">
        <f t="shared" si="2"/>
        <v>0</v>
      </c>
      <c r="M8" s="1"/>
      <c r="N8" s="1"/>
      <c r="O8" s="1">
        <v>0</v>
      </c>
      <c r="P8" s="1">
        <f t="shared" si="3"/>
        <v>2</v>
      </c>
      <c r="Q8" s="9"/>
      <c r="R8" s="9"/>
      <c r="S8" s="1"/>
      <c r="T8" s="1">
        <f t="shared" si="4"/>
        <v>17.5</v>
      </c>
      <c r="U8" s="1">
        <f t="shared" si="5"/>
        <v>17.5</v>
      </c>
      <c r="V8" s="1">
        <v>0.2</v>
      </c>
      <c r="W8" s="1">
        <v>0.8</v>
      </c>
      <c r="X8" s="1">
        <v>1.8</v>
      </c>
      <c r="Y8" s="1">
        <v>1</v>
      </c>
      <c r="Z8" s="1">
        <v>1.8</v>
      </c>
      <c r="AA8" s="1">
        <v>1.8</v>
      </c>
      <c r="AB8" s="1">
        <v>4</v>
      </c>
      <c r="AC8" s="1">
        <v>2</v>
      </c>
      <c r="AD8" s="1"/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34</v>
      </c>
      <c r="C9" s="1">
        <v>26</v>
      </c>
      <c r="D9" s="1"/>
      <c r="E9" s="1">
        <v>7</v>
      </c>
      <c r="F9" s="1">
        <v>19</v>
      </c>
      <c r="G9" s="7">
        <v>0.4</v>
      </c>
      <c r="H9" s="1">
        <v>270</v>
      </c>
      <c r="I9" s="1">
        <v>9988476</v>
      </c>
      <c r="J9" s="1"/>
      <c r="K9" s="1">
        <v>7</v>
      </c>
      <c r="L9" s="1">
        <f t="shared" si="2"/>
        <v>0</v>
      </c>
      <c r="M9" s="1"/>
      <c r="N9" s="1"/>
      <c r="O9" s="1">
        <v>0</v>
      </c>
      <c r="P9" s="1">
        <f t="shared" si="3"/>
        <v>1.4</v>
      </c>
      <c r="Q9" s="9">
        <f t="shared" si="6"/>
        <v>9</v>
      </c>
      <c r="R9" s="9"/>
      <c r="S9" s="1"/>
      <c r="T9" s="1">
        <f t="shared" si="4"/>
        <v>20</v>
      </c>
      <c r="U9" s="1">
        <f t="shared" si="5"/>
        <v>13.571428571428573</v>
      </c>
      <c r="V9" s="1">
        <v>0</v>
      </c>
      <c r="W9" s="1">
        <v>0</v>
      </c>
      <c r="X9" s="1">
        <v>0</v>
      </c>
      <c r="Y9" s="1">
        <v>0</v>
      </c>
      <c r="Z9" s="1">
        <v>0.4</v>
      </c>
      <c r="AA9" s="1">
        <v>0</v>
      </c>
      <c r="AB9" s="1">
        <v>0</v>
      </c>
      <c r="AC9" s="1">
        <v>-0.2</v>
      </c>
      <c r="AD9" s="1" t="s">
        <v>89</v>
      </c>
      <c r="AE9" s="1">
        <f>G9*Q9</f>
        <v>3.6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34</v>
      </c>
      <c r="C10" s="1">
        <v>195</v>
      </c>
      <c r="D10" s="1">
        <v>205</v>
      </c>
      <c r="E10" s="1">
        <v>47</v>
      </c>
      <c r="F10" s="1">
        <v>344</v>
      </c>
      <c r="G10" s="7">
        <v>0.18</v>
      </c>
      <c r="H10" s="1">
        <v>150</v>
      </c>
      <c r="I10" s="1">
        <v>5034819</v>
      </c>
      <c r="J10" s="1"/>
      <c r="K10" s="1">
        <v>50</v>
      </c>
      <c r="L10" s="1">
        <f t="shared" si="2"/>
        <v>-3</v>
      </c>
      <c r="M10" s="1"/>
      <c r="N10" s="1"/>
      <c r="O10" s="1">
        <v>0</v>
      </c>
      <c r="P10" s="1">
        <f t="shared" si="3"/>
        <v>9.4</v>
      </c>
      <c r="Q10" s="9"/>
      <c r="R10" s="9"/>
      <c r="S10" s="1"/>
      <c r="T10" s="1">
        <f t="shared" si="4"/>
        <v>36.595744680851062</v>
      </c>
      <c r="U10" s="1">
        <f t="shared" si="5"/>
        <v>36.595744680851062</v>
      </c>
      <c r="V10" s="1">
        <v>4.4000000000000004</v>
      </c>
      <c r="W10" s="1">
        <v>13.2</v>
      </c>
      <c r="X10" s="1">
        <v>12.6</v>
      </c>
      <c r="Y10" s="1">
        <v>19</v>
      </c>
      <c r="Z10" s="1">
        <v>13.4</v>
      </c>
      <c r="AA10" s="1">
        <v>15.6</v>
      </c>
      <c r="AB10" s="1">
        <v>18.8</v>
      </c>
      <c r="AC10" s="1">
        <v>7.8</v>
      </c>
      <c r="AD10" s="1"/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21" t="s">
        <v>45</v>
      </c>
      <c r="B11" s="21" t="s">
        <v>46</v>
      </c>
      <c r="C11" s="21"/>
      <c r="D11" s="21"/>
      <c r="E11" s="21"/>
      <c r="F11" s="21"/>
      <c r="G11" s="22">
        <v>0</v>
      </c>
      <c r="H11" s="21">
        <v>150</v>
      </c>
      <c r="I11" s="21">
        <v>5041251</v>
      </c>
      <c r="J11" s="21"/>
      <c r="K11" s="21"/>
      <c r="L11" s="21">
        <f t="shared" si="2"/>
        <v>0</v>
      </c>
      <c r="M11" s="21"/>
      <c r="N11" s="21"/>
      <c r="O11" s="21">
        <v>0</v>
      </c>
      <c r="P11" s="21">
        <f t="shared" si="3"/>
        <v>0</v>
      </c>
      <c r="Q11" s="23"/>
      <c r="R11" s="23"/>
      <c r="S11" s="21"/>
      <c r="T11" s="21" t="e">
        <f t="shared" si="4"/>
        <v>#DIV/0!</v>
      </c>
      <c r="U11" s="21" t="e">
        <f t="shared" si="5"/>
        <v>#DIV/0!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 t="s">
        <v>47</v>
      </c>
      <c r="AE11" s="2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34</v>
      </c>
      <c r="C12" s="1">
        <v>64</v>
      </c>
      <c r="D12" s="1">
        <v>16</v>
      </c>
      <c r="E12" s="1">
        <v>54</v>
      </c>
      <c r="F12" s="1">
        <v>25</v>
      </c>
      <c r="G12" s="7">
        <v>0.1</v>
      </c>
      <c r="H12" s="1">
        <v>90</v>
      </c>
      <c r="I12" s="1">
        <v>8444163</v>
      </c>
      <c r="J12" s="1"/>
      <c r="K12" s="1">
        <v>53</v>
      </c>
      <c r="L12" s="1">
        <f t="shared" si="2"/>
        <v>1</v>
      </c>
      <c r="M12" s="1"/>
      <c r="N12" s="1"/>
      <c r="O12" s="1">
        <v>288</v>
      </c>
      <c r="P12" s="1">
        <f t="shared" si="3"/>
        <v>10.8</v>
      </c>
      <c r="Q12" s="9"/>
      <c r="R12" s="9"/>
      <c r="S12" s="1"/>
      <c r="T12" s="1">
        <f t="shared" si="4"/>
        <v>28.981481481481481</v>
      </c>
      <c r="U12" s="1">
        <f t="shared" si="5"/>
        <v>28.981481481481481</v>
      </c>
      <c r="V12" s="1">
        <v>22.8</v>
      </c>
      <c r="W12" s="1">
        <v>9.8000000000000007</v>
      </c>
      <c r="X12" s="1">
        <v>11.4</v>
      </c>
      <c r="Y12" s="1">
        <v>14.6</v>
      </c>
      <c r="Z12" s="1">
        <v>13.2</v>
      </c>
      <c r="AA12" s="1">
        <v>13.8</v>
      </c>
      <c r="AB12" s="1">
        <v>14.4</v>
      </c>
      <c r="AC12" s="1">
        <v>17.399999999999999</v>
      </c>
      <c r="AD12" s="1"/>
      <c r="AE12" s="1">
        <f t="shared" ref="AE12:AE19" si="7"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34</v>
      </c>
      <c r="C13" s="1">
        <v>227</v>
      </c>
      <c r="D13" s="1">
        <v>235</v>
      </c>
      <c r="E13" s="1">
        <v>116</v>
      </c>
      <c r="F13" s="1">
        <v>289</v>
      </c>
      <c r="G13" s="7">
        <v>0.18</v>
      </c>
      <c r="H13" s="1">
        <v>150</v>
      </c>
      <c r="I13" s="1">
        <v>5038411</v>
      </c>
      <c r="J13" s="1"/>
      <c r="K13" s="1">
        <v>118</v>
      </c>
      <c r="L13" s="1">
        <f t="shared" si="2"/>
        <v>-2</v>
      </c>
      <c r="M13" s="1"/>
      <c r="N13" s="1"/>
      <c r="O13" s="1">
        <v>90</v>
      </c>
      <c r="P13" s="1">
        <f t="shared" si="3"/>
        <v>23.2</v>
      </c>
      <c r="Q13" s="9">
        <f t="shared" ref="Q13" si="8">20*P13-O13-F13</f>
        <v>85</v>
      </c>
      <c r="R13" s="9"/>
      <c r="S13" s="1"/>
      <c r="T13" s="1">
        <f t="shared" si="4"/>
        <v>20</v>
      </c>
      <c r="U13" s="1">
        <f t="shared" si="5"/>
        <v>16.336206896551726</v>
      </c>
      <c r="V13" s="1">
        <v>26.4</v>
      </c>
      <c r="W13" s="1">
        <v>29</v>
      </c>
      <c r="X13" s="1">
        <v>24.8</v>
      </c>
      <c r="Y13" s="1">
        <v>22</v>
      </c>
      <c r="Z13" s="1">
        <v>30</v>
      </c>
      <c r="AA13" s="1">
        <v>24.8</v>
      </c>
      <c r="AB13" s="1">
        <v>28.8</v>
      </c>
      <c r="AC13" s="1">
        <v>37</v>
      </c>
      <c r="AD13" s="1"/>
      <c r="AE13" s="1">
        <f t="shared" si="7"/>
        <v>15.299999999999999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34</v>
      </c>
      <c r="C14" s="1">
        <v>229</v>
      </c>
      <c r="D14" s="1">
        <v>120</v>
      </c>
      <c r="E14" s="1">
        <v>189</v>
      </c>
      <c r="F14" s="1">
        <v>123</v>
      </c>
      <c r="G14" s="7">
        <v>0.18</v>
      </c>
      <c r="H14" s="1">
        <v>150</v>
      </c>
      <c r="I14" s="1">
        <v>5038459</v>
      </c>
      <c r="J14" s="1"/>
      <c r="K14" s="1">
        <v>230</v>
      </c>
      <c r="L14" s="1">
        <f t="shared" si="2"/>
        <v>-41</v>
      </c>
      <c r="M14" s="1"/>
      <c r="N14" s="1"/>
      <c r="O14" s="1">
        <v>750</v>
      </c>
      <c r="P14" s="1">
        <f t="shared" si="3"/>
        <v>37.799999999999997</v>
      </c>
      <c r="Q14" s="9"/>
      <c r="R14" s="9"/>
      <c r="S14" s="1"/>
      <c r="T14" s="1">
        <f t="shared" si="4"/>
        <v>23.095238095238098</v>
      </c>
      <c r="U14" s="1">
        <f t="shared" si="5"/>
        <v>23.095238095238098</v>
      </c>
      <c r="V14" s="1">
        <v>44</v>
      </c>
      <c r="W14" s="1">
        <v>27.4</v>
      </c>
      <c r="X14" s="1">
        <v>27.6</v>
      </c>
      <c r="Y14" s="1">
        <v>35</v>
      </c>
      <c r="Z14" s="1">
        <v>46</v>
      </c>
      <c r="AA14" s="1">
        <v>42.4</v>
      </c>
      <c r="AB14" s="1">
        <v>43.8</v>
      </c>
      <c r="AC14" s="1">
        <v>55.4</v>
      </c>
      <c r="AD14" s="1"/>
      <c r="AE14" s="1">
        <f t="shared" si="7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34</v>
      </c>
      <c r="C15" s="1">
        <v>37</v>
      </c>
      <c r="D15" s="1">
        <v>150</v>
      </c>
      <c r="E15" s="1">
        <v>20</v>
      </c>
      <c r="F15" s="1">
        <v>158</v>
      </c>
      <c r="G15" s="7">
        <v>0.18</v>
      </c>
      <c r="H15" s="1">
        <v>150</v>
      </c>
      <c r="I15" s="1">
        <v>5038831</v>
      </c>
      <c r="J15" s="1"/>
      <c r="K15" s="1">
        <v>43</v>
      </c>
      <c r="L15" s="1">
        <f t="shared" si="2"/>
        <v>-23</v>
      </c>
      <c r="M15" s="1"/>
      <c r="N15" s="1"/>
      <c r="O15" s="1">
        <v>300</v>
      </c>
      <c r="P15" s="1">
        <f t="shared" si="3"/>
        <v>4</v>
      </c>
      <c r="Q15" s="9"/>
      <c r="R15" s="9"/>
      <c r="S15" s="1"/>
      <c r="T15" s="1">
        <f t="shared" si="4"/>
        <v>114.5</v>
      </c>
      <c r="U15" s="1">
        <f t="shared" si="5"/>
        <v>114.5</v>
      </c>
      <c r="V15" s="1">
        <v>18.2</v>
      </c>
      <c r="W15" s="1">
        <v>13.8</v>
      </c>
      <c r="X15" s="1">
        <v>10.199999999999999</v>
      </c>
      <c r="Y15" s="1">
        <v>14</v>
      </c>
      <c r="Z15" s="1">
        <v>15.2</v>
      </c>
      <c r="AA15" s="1">
        <v>8</v>
      </c>
      <c r="AB15" s="1">
        <v>20.399999999999999</v>
      </c>
      <c r="AC15" s="1">
        <v>16.8</v>
      </c>
      <c r="AD15" s="25" t="s">
        <v>36</v>
      </c>
      <c r="AE15" s="1">
        <f t="shared" si="7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34</v>
      </c>
      <c r="C16" s="1"/>
      <c r="D16" s="1"/>
      <c r="E16" s="1">
        <v>-1</v>
      </c>
      <c r="F16" s="1"/>
      <c r="G16" s="7">
        <v>0.18</v>
      </c>
      <c r="H16" s="1">
        <v>120</v>
      </c>
      <c r="I16" s="1">
        <v>5038855</v>
      </c>
      <c r="J16" s="1"/>
      <c r="K16" s="1">
        <v>20</v>
      </c>
      <c r="L16" s="1">
        <f t="shared" si="2"/>
        <v>-21</v>
      </c>
      <c r="M16" s="1"/>
      <c r="N16" s="1"/>
      <c r="O16" s="24"/>
      <c r="P16" s="1">
        <f t="shared" si="3"/>
        <v>-0.2</v>
      </c>
      <c r="Q16" s="9">
        <v>60</v>
      </c>
      <c r="R16" s="9"/>
      <c r="S16" s="1"/>
      <c r="T16" s="1">
        <f t="shared" si="4"/>
        <v>-300</v>
      </c>
      <c r="U16" s="1">
        <f t="shared" si="5"/>
        <v>0</v>
      </c>
      <c r="V16" s="1">
        <v>-0.4</v>
      </c>
      <c r="W16" s="1">
        <v>-0.8</v>
      </c>
      <c r="X16" s="1">
        <v>-0.4</v>
      </c>
      <c r="Y16" s="1">
        <v>10.4</v>
      </c>
      <c r="Z16" s="1">
        <v>-4</v>
      </c>
      <c r="AA16" s="1">
        <v>11</v>
      </c>
      <c r="AB16" s="1">
        <v>14.6</v>
      </c>
      <c r="AC16" s="1">
        <v>10.4</v>
      </c>
      <c r="AD16" s="24" t="s">
        <v>88</v>
      </c>
      <c r="AE16" s="1">
        <f t="shared" si="7"/>
        <v>10.799999999999999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34</v>
      </c>
      <c r="C17" s="1">
        <v>716</v>
      </c>
      <c r="D17" s="1">
        <v>71</v>
      </c>
      <c r="E17" s="1">
        <v>350</v>
      </c>
      <c r="F17" s="1">
        <v>367</v>
      </c>
      <c r="G17" s="7">
        <v>0.18</v>
      </c>
      <c r="H17" s="1">
        <v>150</v>
      </c>
      <c r="I17" s="1">
        <v>5038435</v>
      </c>
      <c r="J17" s="1"/>
      <c r="K17" s="1">
        <v>351</v>
      </c>
      <c r="L17" s="1">
        <f t="shared" si="2"/>
        <v>-1</v>
      </c>
      <c r="M17" s="1"/>
      <c r="N17" s="1"/>
      <c r="O17" s="1">
        <v>800</v>
      </c>
      <c r="P17" s="1">
        <f t="shared" si="3"/>
        <v>70</v>
      </c>
      <c r="Q17" s="9">
        <f t="shared" ref="Q17" si="9">20*P17-O17-F17</f>
        <v>233</v>
      </c>
      <c r="R17" s="9"/>
      <c r="S17" s="1"/>
      <c r="T17" s="1">
        <f t="shared" si="4"/>
        <v>20</v>
      </c>
      <c r="U17" s="1">
        <f t="shared" si="5"/>
        <v>16.671428571428571</v>
      </c>
      <c r="V17" s="1">
        <v>66</v>
      </c>
      <c r="W17" s="1">
        <v>51.6</v>
      </c>
      <c r="X17" s="1">
        <v>64.2</v>
      </c>
      <c r="Y17" s="1">
        <v>49.6</v>
      </c>
      <c r="Z17" s="1">
        <v>42.6</v>
      </c>
      <c r="AA17" s="1">
        <v>44.8</v>
      </c>
      <c r="AB17" s="1">
        <v>63</v>
      </c>
      <c r="AC17" s="1">
        <v>55.8</v>
      </c>
      <c r="AD17" s="1"/>
      <c r="AE17" s="1">
        <f t="shared" si="7"/>
        <v>41.94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.75" thickBot="1" x14ac:dyDescent="0.3">
      <c r="A18" s="1" t="s">
        <v>54</v>
      </c>
      <c r="B18" s="1" t="s">
        <v>34</v>
      </c>
      <c r="C18" s="1">
        <v>170</v>
      </c>
      <c r="D18" s="1">
        <v>13</v>
      </c>
      <c r="E18" s="1">
        <v>124</v>
      </c>
      <c r="F18" s="1">
        <v>44</v>
      </c>
      <c r="G18" s="7">
        <v>0.18</v>
      </c>
      <c r="H18" s="1">
        <v>120</v>
      </c>
      <c r="I18" s="1">
        <v>5038398</v>
      </c>
      <c r="J18" s="1"/>
      <c r="K18" s="1">
        <v>138</v>
      </c>
      <c r="L18" s="1">
        <f t="shared" si="2"/>
        <v>-14</v>
      </c>
      <c r="M18" s="1"/>
      <c r="N18" s="1"/>
      <c r="O18" s="1">
        <v>700</v>
      </c>
      <c r="P18" s="1">
        <f t="shared" si="3"/>
        <v>24.8</v>
      </c>
      <c r="Q18" s="9"/>
      <c r="R18" s="9"/>
      <c r="S18" s="1"/>
      <c r="T18" s="1">
        <f t="shared" si="4"/>
        <v>30</v>
      </c>
      <c r="U18" s="1">
        <f t="shared" si="5"/>
        <v>30</v>
      </c>
      <c r="V18" s="1">
        <v>38</v>
      </c>
      <c r="W18" s="1">
        <v>21</v>
      </c>
      <c r="X18" s="1">
        <v>23</v>
      </c>
      <c r="Y18" s="1">
        <v>28.2</v>
      </c>
      <c r="Z18" s="1">
        <v>20.2</v>
      </c>
      <c r="AA18" s="1">
        <v>17.2</v>
      </c>
      <c r="AB18" s="1">
        <v>26.4</v>
      </c>
      <c r="AC18" s="1">
        <v>17.600000000000001</v>
      </c>
      <c r="AD18" s="1"/>
      <c r="AE18" s="1">
        <f t="shared" si="7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55</v>
      </c>
      <c r="B19" s="11" t="s">
        <v>46</v>
      </c>
      <c r="C19" s="11"/>
      <c r="D19" s="11"/>
      <c r="E19" s="11"/>
      <c r="F19" s="12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3"/>
        <v>0</v>
      </c>
      <c r="Q19" s="9"/>
      <c r="R19" s="9"/>
      <c r="S19" s="1"/>
      <c r="T19" s="1" t="e">
        <f t="shared" si="4"/>
        <v>#DIV/0!</v>
      </c>
      <c r="U19" s="1" t="e">
        <f t="shared" si="5"/>
        <v>#DIV/0!</v>
      </c>
      <c r="V19" s="1">
        <v>0</v>
      </c>
      <c r="W19" s="1">
        <v>-0.65639999999999998</v>
      </c>
      <c r="X19" s="1">
        <v>0</v>
      </c>
      <c r="Y19" s="1">
        <v>0</v>
      </c>
      <c r="Z19" s="1">
        <v>0</v>
      </c>
      <c r="AA19" s="1">
        <v>0</v>
      </c>
      <c r="AB19" s="1">
        <v>-0.21679999999999999</v>
      </c>
      <c r="AC19" s="1">
        <v>0</v>
      </c>
      <c r="AD19" s="1"/>
      <c r="AE19" s="1">
        <f t="shared" si="7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.75" thickBot="1" x14ac:dyDescent="0.3">
      <c r="A20" s="15" t="s">
        <v>56</v>
      </c>
      <c r="B20" s="16" t="s">
        <v>46</v>
      </c>
      <c r="C20" s="16">
        <v>90.823999999999998</v>
      </c>
      <c r="D20" s="16">
        <v>88.51</v>
      </c>
      <c r="E20" s="16">
        <v>13.316000000000001</v>
      </c>
      <c r="F20" s="17">
        <v>159.56299999999999</v>
      </c>
      <c r="G20" s="18">
        <v>0</v>
      </c>
      <c r="H20" s="19" t="e">
        <v>#N/A</v>
      </c>
      <c r="I20" s="19" t="s">
        <v>57</v>
      </c>
      <c r="J20" s="19" t="s">
        <v>55</v>
      </c>
      <c r="K20" s="19">
        <v>12.5</v>
      </c>
      <c r="L20" s="19">
        <f t="shared" si="2"/>
        <v>0.81600000000000072</v>
      </c>
      <c r="M20" s="19"/>
      <c r="N20" s="19"/>
      <c r="O20" s="19">
        <v>0</v>
      </c>
      <c r="P20" s="19">
        <f t="shared" si="3"/>
        <v>2.6632000000000002</v>
      </c>
      <c r="Q20" s="20"/>
      <c r="R20" s="20"/>
      <c r="S20" s="19"/>
      <c r="T20" s="19">
        <f t="shared" si="4"/>
        <v>59.91401321718233</v>
      </c>
      <c r="U20" s="19">
        <f t="shared" si="5"/>
        <v>59.91401321718233</v>
      </c>
      <c r="V20" s="19">
        <v>3.4367999999999999</v>
      </c>
      <c r="W20" s="19">
        <v>10.3148</v>
      </c>
      <c r="X20" s="19">
        <v>5.8356000000000003</v>
      </c>
      <c r="Y20" s="19">
        <v>4.1292</v>
      </c>
      <c r="Z20" s="19">
        <v>4.0923999999999996</v>
      </c>
      <c r="AA20" s="19">
        <v>4.0232000000000001</v>
      </c>
      <c r="AB20" s="19">
        <v>2.6052</v>
      </c>
      <c r="AC20" s="19">
        <v>0.62</v>
      </c>
      <c r="AD20" s="26" t="s">
        <v>42</v>
      </c>
      <c r="AE20" s="1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0" t="s">
        <v>58</v>
      </c>
      <c r="B21" s="11" t="s">
        <v>46</v>
      </c>
      <c r="C21" s="11"/>
      <c r="D21" s="11"/>
      <c r="E21" s="11"/>
      <c r="F21" s="12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82</v>
      </c>
      <c r="P21" s="1">
        <f t="shared" si="3"/>
        <v>0</v>
      </c>
      <c r="Q21" s="9"/>
      <c r="R21" s="9"/>
      <c r="S21" s="1"/>
      <c r="T21" s="1" t="e">
        <f t="shared" si="4"/>
        <v>#DIV/0!</v>
      </c>
      <c r="U21" s="1" t="e">
        <f t="shared" si="5"/>
        <v>#DIV/0!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/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5" t="s">
        <v>59</v>
      </c>
      <c r="B22" s="16" t="s">
        <v>46</v>
      </c>
      <c r="C22" s="16">
        <v>102.36499999999999</v>
      </c>
      <c r="D22" s="16"/>
      <c r="E22" s="16">
        <v>23.605</v>
      </c>
      <c r="F22" s="17">
        <v>78.760000000000005</v>
      </c>
      <c r="G22" s="18">
        <v>0</v>
      </c>
      <c r="H22" s="19" t="e">
        <v>#N/A</v>
      </c>
      <c r="I22" s="19" t="s">
        <v>57</v>
      </c>
      <c r="J22" s="19" t="s">
        <v>58</v>
      </c>
      <c r="K22" s="19">
        <v>21.3</v>
      </c>
      <c r="L22" s="19">
        <f t="shared" si="2"/>
        <v>2.3049999999999997</v>
      </c>
      <c r="M22" s="19"/>
      <c r="N22" s="19"/>
      <c r="O22" s="19">
        <v>0</v>
      </c>
      <c r="P22" s="19">
        <f t="shared" si="3"/>
        <v>4.7210000000000001</v>
      </c>
      <c r="Q22" s="20"/>
      <c r="R22" s="20"/>
      <c r="S22" s="19"/>
      <c r="T22" s="19">
        <f t="shared" si="4"/>
        <v>16.682906163948317</v>
      </c>
      <c r="U22" s="19">
        <f t="shared" si="5"/>
        <v>16.682906163948317</v>
      </c>
      <c r="V22" s="19">
        <v>9.0640000000000001</v>
      </c>
      <c r="W22" s="19">
        <v>6.1281999999999996</v>
      </c>
      <c r="X22" s="19">
        <v>4.1307999999999998</v>
      </c>
      <c r="Y22" s="19">
        <v>9.4179999999999993</v>
      </c>
      <c r="Z22" s="19">
        <v>2.6440000000000001</v>
      </c>
      <c r="AA22" s="19">
        <v>3.9531999999999998</v>
      </c>
      <c r="AB22" s="19">
        <v>1.998</v>
      </c>
      <c r="AC22" s="19">
        <v>6.3319999999999999</v>
      </c>
      <c r="AD22" s="19"/>
      <c r="AE22" s="1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60</v>
      </c>
      <c r="B23" s="11" t="s">
        <v>46</v>
      </c>
      <c r="C23" s="11"/>
      <c r="D23" s="11"/>
      <c r="E23" s="11"/>
      <c r="F23" s="12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0</v>
      </c>
      <c r="P23" s="1">
        <f t="shared" si="3"/>
        <v>0</v>
      </c>
      <c r="Q23" s="9"/>
      <c r="R23" s="9"/>
      <c r="S23" s="1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 t="s">
        <v>61</v>
      </c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5" t="s">
        <v>62</v>
      </c>
      <c r="B24" s="16" t="s">
        <v>46</v>
      </c>
      <c r="C24" s="16">
        <v>123.67</v>
      </c>
      <c r="D24" s="16">
        <v>103.254</v>
      </c>
      <c r="E24" s="16">
        <v>44.531999999999996</v>
      </c>
      <c r="F24" s="17">
        <v>182.392</v>
      </c>
      <c r="G24" s="18">
        <v>0</v>
      </c>
      <c r="H24" s="19" t="e">
        <v>#N/A</v>
      </c>
      <c r="I24" s="19" t="s">
        <v>57</v>
      </c>
      <c r="J24" s="19" t="s">
        <v>60</v>
      </c>
      <c r="K24" s="19">
        <v>45</v>
      </c>
      <c r="L24" s="19">
        <f t="shared" si="2"/>
        <v>-0.46800000000000352</v>
      </c>
      <c r="M24" s="19"/>
      <c r="N24" s="19"/>
      <c r="O24" s="19">
        <v>0</v>
      </c>
      <c r="P24" s="19">
        <f t="shared" si="3"/>
        <v>8.9063999999999997</v>
      </c>
      <c r="Q24" s="20"/>
      <c r="R24" s="20"/>
      <c r="S24" s="19"/>
      <c r="T24" s="19">
        <f t="shared" si="4"/>
        <v>20.478756849007457</v>
      </c>
      <c r="U24" s="19">
        <f t="shared" si="5"/>
        <v>20.478756849007457</v>
      </c>
      <c r="V24" s="19">
        <v>96.225200000000001</v>
      </c>
      <c r="W24" s="19">
        <v>30.4954</v>
      </c>
      <c r="X24" s="19">
        <v>9.7260000000000009</v>
      </c>
      <c r="Y24" s="19">
        <v>10.944000000000001</v>
      </c>
      <c r="Z24" s="19">
        <v>12.151999999999999</v>
      </c>
      <c r="AA24" s="19">
        <v>7.7149999999999999</v>
      </c>
      <c r="AB24" s="19">
        <v>7.4189999999999996</v>
      </c>
      <c r="AC24" s="19">
        <v>20.773</v>
      </c>
      <c r="AD24" s="19"/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thickBot="1" x14ac:dyDescent="0.3">
      <c r="A25" s="21" t="s">
        <v>63</v>
      </c>
      <c r="B25" s="21" t="s">
        <v>34</v>
      </c>
      <c r="C25" s="21"/>
      <c r="D25" s="21"/>
      <c r="E25" s="21"/>
      <c r="F25" s="21"/>
      <c r="G25" s="22">
        <v>0</v>
      </c>
      <c r="H25" s="21">
        <v>60</v>
      </c>
      <c r="I25" s="21">
        <v>8444170</v>
      </c>
      <c r="J25" s="21"/>
      <c r="K25" s="21"/>
      <c r="L25" s="21">
        <f t="shared" si="2"/>
        <v>0</v>
      </c>
      <c r="M25" s="21"/>
      <c r="N25" s="21"/>
      <c r="O25" s="21">
        <v>0</v>
      </c>
      <c r="P25" s="21">
        <f t="shared" si="3"/>
        <v>0</v>
      </c>
      <c r="Q25" s="23"/>
      <c r="R25" s="23"/>
      <c r="S25" s="21"/>
      <c r="T25" s="21" t="e">
        <f t="shared" si="4"/>
        <v>#DIV/0!</v>
      </c>
      <c r="U25" s="21" t="e">
        <f t="shared" si="5"/>
        <v>#DIV/0!</v>
      </c>
      <c r="V25" s="21">
        <v>-0.8</v>
      </c>
      <c r="W25" s="21">
        <v>0</v>
      </c>
      <c r="X25" s="21">
        <v>0</v>
      </c>
      <c r="Y25" s="21">
        <v>0</v>
      </c>
      <c r="Z25" s="21">
        <v>0</v>
      </c>
      <c r="AA25" s="21">
        <v>8.4</v>
      </c>
      <c r="AB25" s="21">
        <v>19.8</v>
      </c>
      <c r="AC25" s="21">
        <v>18.8</v>
      </c>
      <c r="AD25" s="21" t="s">
        <v>64</v>
      </c>
      <c r="AE25" s="2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0" t="s">
        <v>65</v>
      </c>
      <c r="B26" s="11" t="s">
        <v>46</v>
      </c>
      <c r="C26" s="11">
        <v>400.56</v>
      </c>
      <c r="D26" s="11">
        <v>66.042000000000002</v>
      </c>
      <c r="E26" s="11">
        <v>30.11</v>
      </c>
      <c r="F26" s="12">
        <v>367.483</v>
      </c>
      <c r="G26" s="7">
        <v>1</v>
      </c>
      <c r="H26" s="1">
        <v>120</v>
      </c>
      <c r="I26" s="1">
        <v>5522704</v>
      </c>
      <c r="J26" s="1"/>
      <c r="K26" s="1">
        <v>33.5</v>
      </c>
      <c r="L26" s="1">
        <f t="shared" si="2"/>
        <v>-3.3900000000000006</v>
      </c>
      <c r="M26" s="1"/>
      <c r="N26" s="1"/>
      <c r="O26" s="1">
        <v>0</v>
      </c>
      <c r="P26" s="1">
        <f t="shared" si="3"/>
        <v>6.0220000000000002</v>
      </c>
      <c r="Q26" s="9"/>
      <c r="R26" s="9"/>
      <c r="S26" s="1"/>
      <c r="T26" s="1">
        <f t="shared" si="4"/>
        <v>61.023414148123543</v>
      </c>
      <c r="U26" s="1">
        <f t="shared" si="5"/>
        <v>61.023414148123543</v>
      </c>
      <c r="V26" s="1">
        <v>15.742599999999999</v>
      </c>
      <c r="W26" s="1">
        <v>7.4812000000000003</v>
      </c>
      <c r="X26" s="1">
        <v>9.7886000000000006</v>
      </c>
      <c r="Y26" s="1">
        <v>33.805999999999997</v>
      </c>
      <c r="Z26" s="1">
        <v>10.5472</v>
      </c>
      <c r="AA26" s="1">
        <v>8.0017999999999994</v>
      </c>
      <c r="AB26" s="1">
        <v>12.8666</v>
      </c>
      <c r="AC26" s="1">
        <v>7.3601999999999999</v>
      </c>
      <c r="AD26" s="26" t="s">
        <v>42</v>
      </c>
      <c r="AE26" s="1">
        <f>G26*Q26</f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5.75" thickBot="1" x14ac:dyDescent="0.3">
      <c r="A27" s="15" t="s">
        <v>66</v>
      </c>
      <c r="B27" s="16" t="s">
        <v>46</v>
      </c>
      <c r="C27" s="16">
        <v>102.73399999999999</v>
      </c>
      <c r="D27" s="16">
        <v>259.35199999999998</v>
      </c>
      <c r="E27" s="16">
        <v>6.8280000000000003</v>
      </c>
      <c r="F27" s="17">
        <v>348.846</v>
      </c>
      <c r="G27" s="18">
        <v>0</v>
      </c>
      <c r="H27" s="19" t="e">
        <v>#N/A</v>
      </c>
      <c r="I27" s="19" t="s">
        <v>57</v>
      </c>
      <c r="J27" s="19" t="s">
        <v>65</v>
      </c>
      <c r="K27" s="19">
        <v>10</v>
      </c>
      <c r="L27" s="19">
        <f t="shared" si="2"/>
        <v>-3.1719999999999997</v>
      </c>
      <c r="M27" s="19"/>
      <c r="N27" s="19"/>
      <c r="O27" s="19">
        <v>0</v>
      </c>
      <c r="P27" s="19">
        <f t="shared" si="3"/>
        <v>1.3656000000000001</v>
      </c>
      <c r="Q27" s="20"/>
      <c r="R27" s="20"/>
      <c r="S27" s="19"/>
      <c r="T27" s="19">
        <f t="shared" si="4"/>
        <v>255.4525483304042</v>
      </c>
      <c r="U27" s="19">
        <f t="shared" si="5"/>
        <v>255.4525483304042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27" t="s">
        <v>90</v>
      </c>
      <c r="AE27" s="1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34</v>
      </c>
      <c r="C28" s="1">
        <v>21</v>
      </c>
      <c r="D28" s="1"/>
      <c r="E28" s="1">
        <v>10</v>
      </c>
      <c r="F28" s="1">
        <v>11</v>
      </c>
      <c r="G28" s="7">
        <v>0.14000000000000001</v>
      </c>
      <c r="H28" s="1">
        <v>180</v>
      </c>
      <c r="I28" s="1">
        <v>9988391</v>
      </c>
      <c r="J28" s="1"/>
      <c r="K28" s="1">
        <v>10</v>
      </c>
      <c r="L28" s="1">
        <f t="shared" si="2"/>
        <v>0</v>
      </c>
      <c r="M28" s="1"/>
      <c r="N28" s="1"/>
      <c r="O28" s="1">
        <v>96</v>
      </c>
      <c r="P28" s="1">
        <f t="shared" si="3"/>
        <v>2</v>
      </c>
      <c r="Q28" s="9"/>
      <c r="R28" s="9"/>
      <c r="S28" s="1"/>
      <c r="T28" s="1">
        <f t="shared" si="4"/>
        <v>53.5</v>
      </c>
      <c r="U28" s="1">
        <f t="shared" si="5"/>
        <v>53.5</v>
      </c>
      <c r="V28" s="1">
        <v>3.2</v>
      </c>
      <c r="W28" s="1">
        <v>1.8</v>
      </c>
      <c r="X28" s="1">
        <v>2.4</v>
      </c>
      <c r="Y28" s="1">
        <v>2.6</v>
      </c>
      <c r="Z28" s="1">
        <v>3.6</v>
      </c>
      <c r="AA28" s="1">
        <v>3.4</v>
      </c>
      <c r="AB28" s="1">
        <v>3.6</v>
      </c>
      <c r="AC28" s="1">
        <v>0.8</v>
      </c>
      <c r="AD28" s="25" t="s">
        <v>36</v>
      </c>
      <c r="AE28" s="1">
        <f t="shared" ref="AE28:AE33" si="10"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34</v>
      </c>
      <c r="C29" s="1">
        <v>254</v>
      </c>
      <c r="D29" s="1">
        <v>46</v>
      </c>
      <c r="E29" s="1">
        <v>59</v>
      </c>
      <c r="F29" s="1">
        <v>196</v>
      </c>
      <c r="G29" s="7">
        <v>0.18</v>
      </c>
      <c r="H29" s="1">
        <v>270</v>
      </c>
      <c r="I29" s="1">
        <v>9988681</v>
      </c>
      <c r="J29" s="1"/>
      <c r="K29" s="1">
        <v>60</v>
      </c>
      <c r="L29" s="1">
        <f t="shared" si="2"/>
        <v>-1</v>
      </c>
      <c r="M29" s="1"/>
      <c r="N29" s="1"/>
      <c r="O29" s="1">
        <v>96</v>
      </c>
      <c r="P29" s="1">
        <f t="shared" si="3"/>
        <v>11.8</v>
      </c>
      <c r="Q29" s="9"/>
      <c r="R29" s="9"/>
      <c r="S29" s="1"/>
      <c r="T29" s="1">
        <f t="shared" si="4"/>
        <v>24.745762711864405</v>
      </c>
      <c r="U29" s="1">
        <f t="shared" si="5"/>
        <v>24.745762711864405</v>
      </c>
      <c r="V29" s="1">
        <v>13</v>
      </c>
      <c r="W29" s="1">
        <v>11</v>
      </c>
      <c r="X29" s="1">
        <v>18.8</v>
      </c>
      <c r="Y29" s="1">
        <v>14.2</v>
      </c>
      <c r="Z29" s="1">
        <v>18.2</v>
      </c>
      <c r="AA29" s="1">
        <v>13.4</v>
      </c>
      <c r="AB29" s="1">
        <v>9.1999999999999993</v>
      </c>
      <c r="AC29" s="1">
        <v>31.2</v>
      </c>
      <c r="AD29" s="1"/>
      <c r="AE29" s="1">
        <f t="shared" si="10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46</v>
      </c>
      <c r="C30" s="1">
        <v>-0.1</v>
      </c>
      <c r="D30" s="1">
        <v>641.35799999999995</v>
      </c>
      <c r="E30" s="1"/>
      <c r="F30" s="1">
        <v>637.97199999999998</v>
      </c>
      <c r="G30" s="7">
        <v>1</v>
      </c>
      <c r="H30" s="1">
        <v>120</v>
      </c>
      <c r="I30" s="1">
        <v>8785198</v>
      </c>
      <c r="J30" s="1"/>
      <c r="K30" s="1"/>
      <c r="L30" s="1">
        <f t="shared" si="2"/>
        <v>0</v>
      </c>
      <c r="M30" s="1"/>
      <c r="N30" s="1"/>
      <c r="O30" s="1">
        <v>0</v>
      </c>
      <c r="P30" s="1">
        <f t="shared" si="3"/>
        <v>0</v>
      </c>
      <c r="Q30" s="9"/>
      <c r="R30" s="9"/>
      <c r="S30" s="1"/>
      <c r="T30" s="1" t="e">
        <f t="shared" si="4"/>
        <v>#DIV/0!</v>
      </c>
      <c r="U30" s="1" t="e">
        <f t="shared" si="5"/>
        <v>#DIV/0!</v>
      </c>
      <c r="V30" s="1">
        <v>5.2176</v>
      </c>
      <c r="W30" s="1">
        <v>40.844000000000001</v>
      </c>
      <c r="X30" s="1">
        <v>3.3115999999999999</v>
      </c>
      <c r="Y30" s="1">
        <v>6.8860000000000001</v>
      </c>
      <c r="Z30" s="1">
        <v>14.3264</v>
      </c>
      <c r="AA30" s="1">
        <v>16.986799999999999</v>
      </c>
      <c r="AB30" s="1">
        <v>16.252199999999998</v>
      </c>
      <c r="AC30" s="1">
        <v>11.69</v>
      </c>
      <c r="AD30" s="1"/>
      <c r="AE30" s="1">
        <f t="shared" si="10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34</v>
      </c>
      <c r="C31" s="1">
        <v>317</v>
      </c>
      <c r="D31" s="1">
        <v>541</v>
      </c>
      <c r="E31" s="1">
        <v>277</v>
      </c>
      <c r="F31" s="1">
        <v>546</v>
      </c>
      <c r="G31" s="7">
        <v>0.1</v>
      </c>
      <c r="H31" s="1">
        <v>60</v>
      </c>
      <c r="I31" s="1">
        <v>8444187</v>
      </c>
      <c r="J31" s="1"/>
      <c r="K31" s="1">
        <v>276</v>
      </c>
      <c r="L31" s="1">
        <f t="shared" si="2"/>
        <v>1</v>
      </c>
      <c r="M31" s="1"/>
      <c r="N31" s="1"/>
      <c r="O31" s="1">
        <v>198</v>
      </c>
      <c r="P31" s="1">
        <f t="shared" si="3"/>
        <v>55.4</v>
      </c>
      <c r="Q31" s="9">
        <f>16*P31-O31-F31</f>
        <v>142.39999999999998</v>
      </c>
      <c r="R31" s="9"/>
      <c r="S31" s="1"/>
      <c r="T31" s="1">
        <f t="shared" si="4"/>
        <v>16</v>
      </c>
      <c r="U31" s="1">
        <f t="shared" si="5"/>
        <v>13.429602888086643</v>
      </c>
      <c r="V31" s="1">
        <v>36</v>
      </c>
      <c r="W31" s="1">
        <v>62.4</v>
      </c>
      <c r="X31" s="1">
        <v>52</v>
      </c>
      <c r="Y31" s="1">
        <v>43.8</v>
      </c>
      <c r="Z31" s="1">
        <v>51.6</v>
      </c>
      <c r="AA31" s="1">
        <v>-0.2</v>
      </c>
      <c r="AB31" s="1">
        <v>45.2</v>
      </c>
      <c r="AC31" s="1">
        <v>72</v>
      </c>
      <c r="AD31" s="1" t="s">
        <v>71</v>
      </c>
      <c r="AE31" s="1">
        <f t="shared" si="10"/>
        <v>14.239999999999998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.75" thickBot="1" x14ac:dyDescent="0.3">
      <c r="A32" s="1" t="s">
        <v>72</v>
      </c>
      <c r="B32" s="1" t="s">
        <v>34</v>
      </c>
      <c r="C32" s="1">
        <v>283</v>
      </c>
      <c r="D32" s="1">
        <v>229</v>
      </c>
      <c r="E32" s="1">
        <v>135</v>
      </c>
      <c r="F32" s="1">
        <v>352</v>
      </c>
      <c r="G32" s="7">
        <v>0.1</v>
      </c>
      <c r="H32" s="1">
        <v>90</v>
      </c>
      <c r="I32" s="1">
        <v>8444194</v>
      </c>
      <c r="J32" s="1"/>
      <c r="K32" s="1">
        <v>136</v>
      </c>
      <c r="L32" s="1">
        <f t="shared" si="2"/>
        <v>-1</v>
      </c>
      <c r="M32" s="1"/>
      <c r="N32" s="1"/>
      <c r="O32" s="1">
        <v>444</v>
      </c>
      <c r="P32" s="1">
        <f t="shared" si="3"/>
        <v>27</v>
      </c>
      <c r="Q32" s="9"/>
      <c r="R32" s="9"/>
      <c r="S32" s="1"/>
      <c r="T32" s="1">
        <f t="shared" si="4"/>
        <v>29.481481481481481</v>
      </c>
      <c r="U32" s="1">
        <f t="shared" si="5"/>
        <v>29.481481481481481</v>
      </c>
      <c r="V32" s="1">
        <v>46.4</v>
      </c>
      <c r="W32" s="1">
        <v>40.200000000000003</v>
      </c>
      <c r="X32" s="1">
        <v>39</v>
      </c>
      <c r="Y32" s="1">
        <v>39</v>
      </c>
      <c r="Z32" s="1">
        <v>36.200000000000003</v>
      </c>
      <c r="AA32" s="1">
        <v>41.6</v>
      </c>
      <c r="AB32" s="1">
        <v>41.2</v>
      </c>
      <c r="AC32" s="1">
        <v>51.6</v>
      </c>
      <c r="AD32" s="25" t="s">
        <v>36</v>
      </c>
      <c r="AE32" s="1">
        <f t="shared" si="10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0" t="s">
        <v>73</v>
      </c>
      <c r="B33" s="11" t="s">
        <v>34</v>
      </c>
      <c r="C33" s="11">
        <v>-2</v>
      </c>
      <c r="D33" s="11">
        <v>2</v>
      </c>
      <c r="E33" s="11"/>
      <c r="F33" s="12"/>
      <c r="G33" s="7">
        <v>0.2</v>
      </c>
      <c r="H33" s="1">
        <v>120</v>
      </c>
      <c r="I33" s="1" t="s">
        <v>74</v>
      </c>
      <c r="J33" s="1"/>
      <c r="K33" s="1"/>
      <c r="L33" s="1">
        <f t="shared" si="2"/>
        <v>0</v>
      </c>
      <c r="M33" s="1"/>
      <c r="N33" s="1"/>
      <c r="O33" s="1">
        <v>10</v>
      </c>
      <c r="P33" s="1">
        <f t="shared" si="3"/>
        <v>0</v>
      </c>
      <c r="Q33" s="9">
        <f>20*(P33+P34)-O33-O34-F33-F34</f>
        <v>62</v>
      </c>
      <c r="R33" s="9"/>
      <c r="S33" s="1"/>
      <c r="T33" s="1" t="e">
        <f t="shared" si="4"/>
        <v>#DIV/0!</v>
      </c>
      <c r="U33" s="1" t="e">
        <f t="shared" si="5"/>
        <v>#DIV/0!</v>
      </c>
      <c r="V33" s="1">
        <v>1.2</v>
      </c>
      <c r="W33" s="1">
        <v>4.8</v>
      </c>
      <c r="X33" s="1">
        <v>4.5999999999999996</v>
      </c>
      <c r="Y33" s="1">
        <v>3.6</v>
      </c>
      <c r="Z33" s="1">
        <v>5.8</v>
      </c>
      <c r="AA33" s="1">
        <v>8.8000000000000007</v>
      </c>
      <c r="AB33" s="1">
        <v>7</v>
      </c>
      <c r="AC33" s="1">
        <v>0</v>
      </c>
      <c r="AD33" s="1" t="s">
        <v>75</v>
      </c>
      <c r="AE33" s="1">
        <f t="shared" si="10"/>
        <v>12.4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15" t="s">
        <v>76</v>
      </c>
      <c r="B34" s="16" t="s">
        <v>34</v>
      </c>
      <c r="C34" s="16">
        <v>85</v>
      </c>
      <c r="D34" s="16"/>
      <c r="E34" s="16">
        <v>31</v>
      </c>
      <c r="F34" s="17">
        <v>52</v>
      </c>
      <c r="G34" s="18">
        <v>0</v>
      </c>
      <c r="H34" s="19" t="e">
        <v>#N/A</v>
      </c>
      <c r="I34" s="19" t="s">
        <v>57</v>
      </c>
      <c r="J34" s="19" t="s">
        <v>73</v>
      </c>
      <c r="K34" s="19">
        <v>31</v>
      </c>
      <c r="L34" s="19">
        <f t="shared" si="2"/>
        <v>0</v>
      </c>
      <c r="M34" s="19"/>
      <c r="N34" s="19"/>
      <c r="O34" s="19">
        <v>0</v>
      </c>
      <c r="P34" s="19">
        <f t="shared" si="3"/>
        <v>6.2</v>
      </c>
      <c r="Q34" s="20"/>
      <c r="R34" s="20"/>
      <c r="S34" s="19"/>
      <c r="T34" s="19">
        <f t="shared" si="4"/>
        <v>8.387096774193548</v>
      </c>
      <c r="U34" s="19">
        <f t="shared" si="5"/>
        <v>8.387096774193548</v>
      </c>
      <c r="V34" s="19">
        <v>3.2</v>
      </c>
      <c r="W34" s="19">
        <v>0</v>
      </c>
      <c r="X34" s="19">
        <v>0</v>
      </c>
      <c r="Y34" s="19">
        <v>3.8</v>
      </c>
      <c r="Z34" s="19">
        <v>0</v>
      </c>
      <c r="AA34" s="19">
        <v>0</v>
      </c>
      <c r="AB34" s="19">
        <v>0</v>
      </c>
      <c r="AC34" s="19">
        <v>0</v>
      </c>
      <c r="AD34" s="19"/>
      <c r="AE34" s="1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0" t="s">
        <v>77</v>
      </c>
      <c r="B35" s="11" t="s">
        <v>46</v>
      </c>
      <c r="C35" s="11"/>
      <c r="D35" s="11"/>
      <c r="E35" s="11"/>
      <c r="F35" s="12"/>
      <c r="G35" s="7">
        <v>1</v>
      </c>
      <c r="H35" s="1">
        <v>120</v>
      </c>
      <c r="I35" s="1" t="s">
        <v>78</v>
      </c>
      <c r="J35" s="1"/>
      <c r="K35" s="1"/>
      <c r="L35" s="1">
        <f t="shared" si="2"/>
        <v>0</v>
      </c>
      <c r="M35" s="1"/>
      <c r="N35" s="1"/>
      <c r="O35" s="1">
        <v>0</v>
      </c>
      <c r="P35" s="1">
        <f t="shared" si="3"/>
        <v>0</v>
      </c>
      <c r="Q35" s="9"/>
      <c r="R35" s="9"/>
      <c r="S35" s="1"/>
      <c r="T35" s="1" t="e">
        <f t="shared" si="4"/>
        <v>#DIV/0!</v>
      </c>
      <c r="U35" s="1" t="e">
        <f t="shared" si="5"/>
        <v>#DIV/0!</v>
      </c>
      <c r="V35" s="1">
        <v>0</v>
      </c>
      <c r="W35" s="1">
        <v>-0.17399999999999999</v>
      </c>
      <c r="X35" s="1">
        <v>0</v>
      </c>
      <c r="Y35" s="1">
        <v>0</v>
      </c>
      <c r="Z35" s="1">
        <v>0</v>
      </c>
      <c r="AA35" s="1">
        <v>-0.128</v>
      </c>
      <c r="AB35" s="1">
        <v>1.341</v>
      </c>
      <c r="AC35" s="1">
        <v>0</v>
      </c>
      <c r="AD35" s="1" t="s">
        <v>79</v>
      </c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5" t="s">
        <v>80</v>
      </c>
      <c r="B36" s="16" t="s">
        <v>46</v>
      </c>
      <c r="C36" s="16">
        <v>153.678</v>
      </c>
      <c r="D36" s="16">
        <v>73.808999999999997</v>
      </c>
      <c r="E36" s="16">
        <v>26.794</v>
      </c>
      <c r="F36" s="17">
        <v>123.619</v>
      </c>
      <c r="G36" s="18">
        <v>0</v>
      </c>
      <c r="H36" s="19" t="e">
        <v>#N/A</v>
      </c>
      <c r="I36" s="19" t="s">
        <v>57</v>
      </c>
      <c r="J36" s="19" t="s">
        <v>77</v>
      </c>
      <c r="K36" s="19">
        <v>27.6</v>
      </c>
      <c r="L36" s="19">
        <f t="shared" si="2"/>
        <v>-0.80600000000000094</v>
      </c>
      <c r="M36" s="19"/>
      <c r="N36" s="19"/>
      <c r="O36" s="19">
        <v>0</v>
      </c>
      <c r="P36" s="19">
        <f t="shared" si="3"/>
        <v>5.3588000000000005</v>
      </c>
      <c r="Q36" s="20"/>
      <c r="R36" s="20"/>
      <c r="S36" s="19"/>
      <c r="T36" s="19">
        <f t="shared" si="4"/>
        <v>23.068410838247367</v>
      </c>
      <c r="U36" s="19">
        <f t="shared" si="5"/>
        <v>23.068410838247367</v>
      </c>
      <c r="V36" s="19">
        <v>96.150800000000004</v>
      </c>
      <c r="W36" s="19">
        <v>2.3620000000000001</v>
      </c>
      <c r="X36" s="19">
        <v>11.4948</v>
      </c>
      <c r="Y36" s="19">
        <v>5.7145999999999999</v>
      </c>
      <c r="Z36" s="19">
        <v>2.4870000000000001</v>
      </c>
      <c r="AA36" s="19">
        <v>6.4</v>
      </c>
      <c r="AB36" s="19">
        <v>10.334199999999999</v>
      </c>
      <c r="AC36" s="19">
        <v>6.3449999999999998</v>
      </c>
      <c r="AD36" s="19"/>
      <c r="AE36" s="1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0" t="s">
        <v>81</v>
      </c>
      <c r="B37" s="11" t="s">
        <v>34</v>
      </c>
      <c r="C37" s="11"/>
      <c r="D37" s="11"/>
      <c r="E37" s="11"/>
      <c r="F37" s="12"/>
      <c r="G37" s="7">
        <v>0.2</v>
      </c>
      <c r="H37" s="1">
        <v>120</v>
      </c>
      <c r="I37" s="1" t="s">
        <v>82</v>
      </c>
      <c r="J37" s="1"/>
      <c r="K37" s="1"/>
      <c r="L37" s="1">
        <f t="shared" si="2"/>
        <v>0</v>
      </c>
      <c r="M37" s="1"/>
      <c r="N37" s="1"/>
      <c r="O37" s="1">
        <v>30</v>
      </c>
      <c r="P37" s="1">
        <f t="shared" si="3"/>
        <v>0</v>
      </c>
      <c r="Q37" s="9"/>
      <c r="R37" s="9"/>
      <c r="S37" s="1"/>
      <c r="T37" s="1" t="e">
        <f t="shared" si="4"/>
        <v>#DIV/0!</v>
      </c>
      <c r="U37" s="1" t="e">
        <f t="shared" si="5"/>
        <v>#DIV/0!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/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5" t="s">
        <v>83</v>
      </c>
      <c r="B38" s="16" t="s">
        <v>34</v>
      </c>
      <c r="C38" s="16">
        <v>129</v>
      </c>
      <c r="D38" s="16">
        <v>2</v>
      </c>
      <c r="E38" s="16">
        <v>32</v>
      </c>
      <c r="F38" s="17">
        <v>97</v>
      </c>
      <c r="G38" s="18">
        <v>0</v>
      </c>
      <c r="H38" s="19" t="e">
        <v>#N/A</v>
      </c>
      <c r="I38" s="19" t="s">
        <v>57</v>
      </c>
      <c r="J38" s="19" t="s">
        <v>81</v>
      </c>
      <c r="K38" s="19">
        <v>32</v>
      </c>
      <c r="L38" s="19">
        <f t="shared" si="2"/>
        <v>0</v>
      </c>
      <c r="M38" s="19"/>
      <c r="N38" s="19"/>
      <c r="O38" s="19">
        <v>0</v>
      </c>
      <c r="P38" s="19">
        <f t="shared" si="3"/>
        <v>6.4</v>
      </c>
      <c r="Q38" s="20"/>
      <c r="R38" s="20"/>
      <c r="S38" s="19"/>
      <c r="T38" s="19">
        <f t="shared" si="4"/>
        <v>15.15625</v>
      </c>
      <c r="U38" s="19">
        <f t="shared" si="5"/>
        <v>15.15625</v>
      </c>
      <c r="V38" s="19">
        <v>7.8</v>
      </c>
      <c r="W38" s="19">
        <v>5.8</v>
      </c>
      <c r="X38" s="19">
        <v>7</v>
      </c>
      <c r="Y38" s="19">
        <v>11.2</v>
      </c>
      <c r="Z38" s="19">
        <v>6.8</v>
      </c>
      <c r="AA38" s="19">
        <v>7.8</v>
      </c>
      <c r="AB38" s="19">
        <v>12.6</v>
      </c>
      <c r="AC38" s="19">
        <v>12.4</v>
      </c>
      <c r="AD38" s="19"/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0" t="s">
        <v>84</v>
      </c>
      <c r="B39" s="11" t="s">
        <v>46</v>
      </c>
      <c r="C39" s="11"/>
      <c r="D39" s="11"/>
      <c r="E39" s="11"/>
      <c r="F39" s="12"/>
      <c r="G39" s="7">
        <v>1</v>
      </c>
      <c r="H39" s="1">
        <v>120</v>
      </c>
      <c r="I39" s="1" t="s">
        <v>85</v>
      </c>
      <c r="J39" s="1"/>
      <c r="K39" s="1"/>
      <c r="L39" s="1">
        <f t="shared" si="2"/>
        <v>0</v>
      </c>
      <c r="M39" s="1"/>
      <c r="N39" s="1"/>
      <c r="O39" s="1">
        <v>45</v>
      </c>
      <c r="P39" s="1">
        <f t="shared" si="3"/>
        <v>0</v>
      </c>
      <c r="Q39" s="9"/>
      <c r="R39" s="9"/>
      <c r="S39" s="1"/>
      <c r="T39" s="1" t="e">
        <f t="shared" si="4"/>
        <v>#DIV/0!</v>
      </c>
      <c r="U39" s="1" t="e">
        <f t="shared" si="5"/>
        <v>#DIV/0!</v>
      </c>
      <c r="V39" s="1">
        <v>0</v>
      </c>
      <c r="W39" s="1">
        <v>0</v>
      </c>
      <c r="X39" s="1">
        <v>5.0952000000000002</v>
      </c>
      <c r="Y39" s="1">
        <v>33.57</v>
      </c>
      <c r="Z39" s="1">
        <v>21.876000000000001</v>
      </c>
      <c r="AA39" s="1">
        <v>30.5032</v>
      </c>
      <c r="AB39" s="1">
        <v>-7.5399999999999995E-2</v>
      </c>
      <c r="AC39" s="1">
        <v>0</v>
      </c>
      <c r="AD39" s="1" t="s">
        <v>86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.75" thickBot="1" x14ac:dyDescent="0.3">
      <c r="A40" s="15" t="s">
        <v>87</v>
      </c>
      <c r="B40" s="16" t="s">
        <v>46</v>
      </c>
      <c r="C40" s="16">
        <v>374.30700000000002</v>
      </c>
      <c r="D40" s="16">
        <v>15.433999999999999</v>
      </c>
      <c r="E40" s="16">
        <v>74.28</v>
      </c>
      <c r="F40" s="17">
        <v>315.46100000000001</v>
      </c>
      <c r="G40" s="18">
        <v>0</v>
      </c>
      <c r="H40" s="19" t="e">
        <v>#N/A</v>
      </c>
      <c r="I40" s="19" t="s">
        <v>57</v>
      </c>
      <c r="J40" s="19" t="s">
        <v>84</v>
      </c>
      <c r="K40" s="19">
        <v>70.2</v>
      </c>
      <c r="L40" s="19">
        <f t="shared" si="2"/>
        <v>4.0799999999999983</v>
      </c>
      <c r="M40" s="19"/>
      <c r="N40" s="19"/>
      <c r="O40" s="19">
        <v>0</v>
      </c>
      <c r="P40" s="19">
        <f t="shared" si="3"/>
        <v>14.856</v>
      </c>
      <c r="Q40" s="20"/>
      <c r="R40" s="20"/>
      <c r="S40" s="19"/>
      <c r="T40" s="19">
        <f t="shared" si="4"/>
        <v>21.234585352719442</v>
      </c>
      <c r="U40" s="19">
        <f t="shared" si="5"/>
        <v>21.234585352719442</v>
      </c>
      <c r="V40" s="19">
        <v>21.029199999999999</v>
      </c>
      <c r="W40" s="19">
        <v>21.336400000000001</v>
      </c>
      <c r="X40" s="19">
        <v>15.8498</v>
      </c>
      <c r="Y40" s="19">
        <v>0.72040000000000004</v>
      </c>
      <c r="Z40" s="19">
        <v>0</v>
      </c>
      <c r="AA40" s="19">
        <v>0</v>
      </c>
      <c r="AB40" s="19">
        <v>0</v>
      </c>
      <c r="AC40" s="19">
        <v>0</v>
      </c>
      <c r="AD40" s="19"/>
      <c r="AE40" s="1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39</v>
      </c>
      <c r="B42" s="1" t="s">
        <v>34</v>
      </c>
      <c r="C42" s="1">
        <v>670</v>
      </c>
      <c r="D42" s="1">
        <v>1035</v>
      </c>
      <c r="E42" s="1">
        <v>210</v>
      </c>
      <c r="F42" s="1">
        <v>1393</v>
      </c>
      <c r="G42" s="7">
        <v>0.18</v>
      </c>
      <c r="H42" s="1">
        <v>120</v>
      </c>
      <c r="I42" s="1"/>
      <c r="J42" s="1"/>
      <c r="K42" s="1">
        <v>212</v>
      </c>
      <c r="L42" s="1">
        <f>E42-K42</f>
        <v>-2</v>
      </c>
      <c r="M42" s="1"/>
      <c r="N42" s="1"/>
      <c r="O42" s="1"/>
      <c r="P42" s="1">
        <f>E42/5</f>
        <v>42</v>
      </c>
      <c r="Q42" s="9"/>
      <c r="R42" s="9"/>
      <c r="S42" s="1"/>
      <c r="T42" s="1">
        <f>(F42+O42+Q42)/P42</f>
        <v>33.166666666666664</v>
      </c>
      <c r="U42" s="1">
        <f>(F42+O42)/P42</f>
        <v>33.166666666666664</v>
      </c>
      <c r="V42" s="1">
        <v>39.200000000000003</v>
      </c>
      <c r="W42" s="1">
        <v>64.2</v>
      </c>
      <c r="X42" s="1">
        <v>51.4</v>
      </c>
      <c r="Y42" s="1">
        <v>62.6</v>
      </c>
      <c r="Z42" s="1">
        <v>50.8</v>
      </c>
      <c r="AA42" s="1">
        <v>65.400000000000006</v>
      </c>
      <c r="AB42" s="1">
        <v>64.8</v>
      </c>
      <c r="AC42" s="1">
        <v>42.8</v>
      </c>
      <c r="AD42" s="26" t="s">
        <v>42</v>
      </c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40</v>
      </c>
      <c r="B43" s="1" t="s">
        <v>34</v>
      </c>
      <c r="C43" s="1">
        <v>1268</v>
      </c>
      <c r="D43" s="1">
        <v>1453</v>
      </c>
      <c r="E43" s="1">
        <v>529</v>
      </c>
      <c r="F43" s="1">
        <v>1679</v>
      </c>
      <c r="G43" s="7">
        <v>0.18</v>
      </c>
      <c r="H43" s="1">
        <v>120</v>
      </c>
      <c r="I43" s="1"/>
      <c r="J43" s="1"/>
      <c r="K43" s="1">
        <v>544</v>
      </c>
      <c r="L43" s="1">
        <f>E43-K43</f>
        <v>-15</v>
      </c>
      <c r="M43" s="1"/>
      <c r="N43" s="1"/>
      <c r="O43" s="1">
        <v>650</v>
      </c>
      <c r="P43" s="1">
        <f>E43/5</f>
        <v>105.8</v>
      </c>
      <c r="Q43" s="9"/>
      <c r="R43" s="9"/>
      <c r="S43" s="1"/>
      <c r="T43" s="1">
        <f>(F43+O43+Q43)/P43</f>
        <v>22.013232514177695</v>
      </c>
      <c r="U43" s="1">
        <f>(F43+O43)/P43</f>
        <v>22.013232514177695</v>
      </c>
      <c r="V43" s="1">
        <v>135.6</v>
      </c>
      <c r="W43" s="1">
        <v>138.4</v>
      </c>
      <c r="X43" s="1">
        <v>136.80000000000001</v>
      </c>
      <c r="Y43" s="1">
        <v>141.4</v>
      </c>
      <c r="Z43" s="1">
        <v>156.4</v>
      </c>
      <c r="AA43" s="1">
        <v>159.4</v>
      </c>
      <c r="AB43" s="1">
        <v>165.8</v>
      </c>
      <c r="AC43" s="1">
        <v>151.19999999999999</v>
      </c>
      <c r="AD43" s="1">
        <v>2860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33</v>
      </c>
      <c r="B44" s="1" t="s">
        <v>34</v>
      </c>
      <c r="C44" s="1">
        <v>128</v>
      </c>
      <c r="D44" s="1"/>
      <c r="E44" s="1">
        <v>13</v>
      </c>
      <c r="F44" s="1">
        <v>115</v>
      </c>
      <c r="G44" s="7">
        <v>0.18</v>
      </c>
      <c r="H44" s="1"/>
      <c r="I44" s="1">
        <v>4421577</v>
      </c>
      <c r="J44" s="1"/>
      <c r="K44" s="1">
        <v>13</v>
      </c>
      <c r="L44" s="1">
        <f>E44-K44</f>
        <v>0</v>
      </c>
      <c r="M44" s="1"/>
      <c r="N44" s="1"/>
      <c r="O44" s="1">
        <v>50</v>
      </c>
      <c r="P44" s="1">
        <f>E44/5</f>
        <v>2.6</v>
      </c>
      <c r="Q44" s="9"/>
      <c r="R44" s="9"/>
      <c r="S44" s="1"/>
      <c r="T44" s="1">
        <f>(F44+O44+Q44)/P44</f>
        <v>63.46153846153846</v>
      </c>
      <c r="U44" s="1">
        <f>(F44+O44)/P44</f>
        <v>63.46153846153846</v>
      </c>
      <c r="V44" s="1">
        <v>7.4</v>
      </c>
      <c r="W44" s="1">
        <v>2.4</v>
      </c>
      <c r="X44" s="1">
        <v>9.4</v>
      </c>
      <c r="Y44" s="1">
        <v>7.6</v>
      </c>
      <c r="Z44" s="1">
        <v>6</v>
      </c>
      <c r="AA44" s="1">
        <v>4.2</v>
      </c>
      <c r="AB44" s="1">
        <v>16.600000000000001</v>
      </c>
      <c r="AC44" s="1">
        <v>1.6</v>
      </c>
      <c r="AD44" s="26" t="s">
        <v>42</v>
      </c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35</v>
      </c>
      <c r="B45" s="1" t="s">
        <v>34</v>
      </c>
      <c r="C45" s="1">
        <v>131</v>
      </c>
      <c r="D45" s="1"/>
      <c r="E45" s="1">
        <v>13</v>
      </c>
      <c r="F45" s="1">
        <v>104</v>
      </c>
      <c r="G45" s="7">
        <v>0.18</v>
      </c>
      <c r="H45" s="1"/>
      <c r="I45" s="1">
        <v>4421584</v>
      </c>
      <c r="J45" s="1"/>
      <c r="K45" s="1">
        <v>13</v>
      </c>
      <c r="L45" s="1">
        <f>E45-K45</f>
        <v>0</v>
      </c>
      <c r="M45" s="1"/>
      <c r="N45" s="1"/>
      <c r="O45" s="1"/>
      <c r="P45" s="1">
        <f>E45/5</f>
        <v>2.6</v>
      </c>
      <c r="Q45" s="9"/>
      <c r="R45" s="9"/>
      <c r="S45" s="1"/>
      <c r="T45" s="1">
        <f>(F45+O45+Q45)/P45</f>
        <v>40</v>
      </c>
      <c r="U45" s="1">
        <f>(F45+O45)/P45</f>
        <v>40</v>
      </c>
      <c r="V45" s="1">
        <v>6</v>
      </c>
      <c r="W45" s="1">
        <v>3.8</v>
      </c>
      <c r="X45" s="1">
        <v>2</v>
      </c>
      <c r="Y45" s="1">
        <v>8.6</v>
      </c>
      <c r="Z45" s="1">
        <v>6</v>
      </c>
      <c r="AA45" s="1">
        <v>6.8</v>
      </c>
      <c r="AB45" s="1">
        <v>11.2</v>
      </c>
      <c r="AC45" s="1">
        <v>4.8</v>
      </c>
      <c r="AD45" s="26" t="s">
        <v>42</v>
      </c>
      <c r="AE45" s="1">
        <f>G45*Q45</f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</sheetData>
  <autoFilter ref="A3:AE40" xr:uid="{ADAAAF30-83EC-4CF5-B635-F0E262E2D7A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2025-11-03T08:30:13Z</dcterms:created>
  <dcterms:modified xsi:type="dcterms:W3CDTF">2025-11-03T09:30:03Z</dcterms:modified>
</cp:coreProperties>
</file>