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1 машина на 23,11 Табота_ПРС(ЛП)_Бердянск_Донецк_Луганск_Мелитополь\"/>
    </mc:Choice>
  </mc:AlternateContent>
  <xr:revisionPtr revIDLastSave="0" documentId="13_ncr:1_{BFC4CEB3-B112-4349-B6A7-3B19632F9C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<sst xmlns="http://schemas.openxmlformats.org/spreadsheetml/2006/main" count="255" uniqueCount="145">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</sst>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45984</v>
      </c>
      <c r="E3" s="7" t="s">
        <v>3</v>
      </c>
      <c r="F3" s="84">
        <f>D3+3</f>
        <v>45987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704</v>
      </c>
      <c r="F12" s="23">
        <v>1.3340000000000001</v>
      </c>
      <c r="G12" s="23">
        <f>E12</f>
        <v>704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174</v>
      </c>
      <c r="F13" s="23">
        <v>0.4</v>
      </c>
      <c r="G13" s="23">
        <f>E13*F13</f>
        <v>69.600000000000009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130</v>
      </c>
      <c r="F15" s="23">
        <v>1.35</v>
      </c>
      <c r="G15" s="23">
        <f>E15</f>
        <v>130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269</v>
      </c>
      <c r="F22" s="23">
        <v>1.35</v>
      </c>
      <c r="G22" s="23">
        <f>E22</f>
        <v>269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700</v>
      </c>
      <c r="F23" s="23">
        <v>0.4</v>
      </c>
      <c r="G23" s="23">
        <f>E23*F23</f>
        <v>280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100</v>
      </c>
      <c r="F24" s="23">
        <v>1.3540000000000001</v>
      </c>
      <c r="G24" s="23">
        <f>E24</f>
        <v>100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117</v>
      </c>
      <c r="F25" s="23">
        <v>0.4</v>
      </c>
      <c r="G25" s="23">
        <f>E25*F25</f>
        <v>46.800000000000004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12</v>
      </c>
      <c r="F26" s="23">
        <v>0.4</v>
      </c>
      <c r="G26" s="23">
        <f>E26*F26</f>
        <v>4.8000000000000007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65</v>
      </c>
      <c r="F27" s="23">
        <v>0.4</v>
      </c>
      <c r="G27" s="23">
        <f>E27*F27</f>
        <v>26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84</v>
      </c>
      <c r="F30" s="23">
        <v>1</v>
      </c>
      <c r="G30" s="23">
        <f>E30</f>
        <v>84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89</v>
      </c>
      <c r="F32" s="23">
        <v>1</v>
      </c>
      <c r="G32" s="23">
        <f>E32</f>
        <v>89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55</v>
      </c>
      <c r="F34" s="23">
        <v>0.4</v>
      </c>
      <c r="G34" s="23">
        <f>E34*F34</f>
        <v>22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81</v>
      </c>
      <c r="F36" s="67">
        <v>0.4</v>
      </c>
      <c r="G36" s="23">
        <f>E36*F36</f>
        <v>32.4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128</v>
      </c>
      <c r="F38" s="23">
        <v>1.05</v>
      </c>
      <c r="G38" s="23">
        <f>E38</f>
        <v>128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112</v>
      </c>
      <c r="F41" s="23">
        <v>0.36</v>
      </c>
      <c r="G41" s="23">
        <f>E41*F41</f>
        <v>40.32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142</v>
      </c>
      <c r="F44" s="23">
        <v>2.125</v>
      </c>
      <c r="G44" s="23">
        <f>E44</f>
        <v>142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204</v>
      </c>
      <c r="F46" s="23"/>
      <c r="G46" s="23">
        <f>E46</f>
        <v>204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11</v>
      </c>
      <c r="F47" s="23">
        <v>1</v>
      </c>
      <c r="G47" s="23">
        <f>E47</f>
        <v>11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107</v>
      </c>
      <c r="F48" s="23">
        <v>0.4</v>
      </c>
      <c r="G48" s="23">
        <f>E48*F48</f>
        <v>42.800000000000004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98</v>
      </c>
      <c r="F49" s="23">
        <v>0.41</v>
      </c>
      <c r="G49" s="23">
        <f>E49*F49</f>
        <v>40.18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62</v>
      </c>
      <c r="F50" s="23">
        <v>0.4</v>
      </c>
      <c r="G50" s="23">
        <f>E50*F50</f>
        <v>24.8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17</v>
      </c>
      <c r="F51" s="23">
        <v>0.33</v>
      </c>
      <c r="G51" s="23">
        <f>E51*F51</f>
        <v>5.61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241</v>
      </c>
      <c r="F53" s="23">
        <v>1.0249999999999999</v>
      </c>
      <c r="G53" s="23">
        <f>E53</f>
        <v>241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51</v>
      </c>
      <c r="F55" s="23">
        <v>0.35</v>
      </c>
      <c r="G55" s="23">
        <f>E55*F55</f>
        <v>17.849999999999998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54</v>
      </c>
      <c r="F56" s="23">
        <v>0.41</v>
      </c>
      <c r="G56" s="23">
        <f>F56*E56</f>
        <v>22.139999999999997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201</v>
      </c>
      <c r="F58" s="23">
        <v>0.41</v>
      </c>
      <c r="G58" s="23">
        <f>E58*F58</f>
        <v>82.41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1000</v>
      </c>
      <c r="F60" s="23">
        <v>0.41</v>
      </c>
      <c r="G60" s="23">
        <f>E60*F60</f>
        <v>410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13</v>
      </c>
      <c r="F62" s="75">
        <v>0.98699999999999999</v>
      </c>
      <c r="G62" s="23">
        <f>E62</f>
        <v>13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60</v>
      </c>
      <c r="F64" s="23">
        <v>1</v>
      </c>
      <c r="G64" s="23">
        <f>E64</f>
        <v>60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172</v>
      </c>
      <c r="F65" s="23">
        <v>0.99</v>
      </c>
      <c r="G65" s="23">
        <f>E65</f>
        <v>172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97</v>
      </c>
      <c r="F68" s="23">
        <v>0.1</v>
      </c>
      <c r="G68" s="23">
        <f t="shared" si="4"/>
        <v>9.7000000000000011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50</v>
      </c>
      <c r="F69" s="23">
        <v>0.28000000000000003</v>
      </c>
      <c r="G69" s="23">
        <f t="shared" si="4"/>
        <v>14.000000000000002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30</v>
      </c>
      <c r="F70" s="23">
        <v>0.28000000000000003</v>
      </c>
      <c r="G70" s="23">
        <f t="shared" si="4"/>
        <v>8.4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67</v>
      </c>
      <c r="F71" s="23">
        <v>0.28000000000000003</v>
      </c>
      <c r="G71" s="23">
        <f t="shared" si="4"/>
        <v>18.760000000000002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75</v>
      </c>
      <c r="F72" s="23">
        <v>0.35</v>
      </c>
      <c r="G72" s="23">
        <f t="shared" si="4"/>
        <v>26.25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53</v>
      </c>
      <c r="F73" s="75">
        <v>0.33</v>
      </c>
      <c r="G73" s="23">
        <f t="shared" si="4"/>
        <v>17.490000000000002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400</v>
      </c>
      <c r="F74" s="23">
        <v>0.35</v>
      </c>
      <c r="G74" s="23">
        <f t="shared" si="4"/>
        <v>140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62</v>
      </c>
      <c r="F75" s="23">
        <v>0.28000000000000003</v>
      </c>
      <c r="G75" s="23">
        <f t="shared" si="4"/>
        <v>17.360000000000003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84</v>
      </c>
      <c r="F76" s="23">
        <v>0.28000000000000003</v>
      </c>
      <c r="G76" s="23">
        <f t="shared" si="4"/>
        <v>23.520000000000003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185</v>
      </c>
      <c r="F78" s="23">
        <v>0.35</v>
      </c>
      <c r="G78" s="23">
        <f t="shared" si="4"/>
        <v>64.75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108</v>
      </c>
      <c r="F79" s="23">
        <v>1</v>
      </c>
      <c r="G79" s="23">
        <f>E79</f>
        <v>108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129</v>
      </c>
      <c r="F80" s="23">
        <v>0.83399999999999996</v>
      </c>
      <c r="G80" s="23">
        <f>E80</f>
        <v>129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39</v>
      </c>
      <c r="F82" s="23">
        <v>0.33</v>
      </c>
      <c r="G82" s="23">
        <f>E82*F82</f>
        <v>12.870000000000001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14</v>
      </c>
      <c r="F86" s="23">
        <v>1</v>
      </c>
      <c r="G86" s="23">
        <f>E86</f>
        <v>14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72</v>
      </c>
      <c r="F93" s="67">
        <v>0.22</v>
      </c>
      <c r="G93" s="23">
        <f>E93*F93</f>
        <v>15.84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>
        <v>70</v>
      </c>
      <c r="F95" s="23">
        <v>0.14000000000000001</v>
      </c>
      <c r="G95" s="23">
        <f>E95*F95</f>
        <v>9.8000000000000007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76</v>
      </c>
      <c r="F96" s="23">
        <v>0.1</v>
      </c>
      <c r="G96" s="23">
        <f>E96*F96</f>
        <v>7.6000000000000005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30</v>
      </c>
      <c r="F97" s="23">
        <v>0.25</v>
      </c>
      <c r="G97" s="23">
        <f>E97*F97</f>
        <v>7.5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>
        <v>4</v>
      </c>
      <c r="F100" s="23"/>
      <c r="G100" s="23">
        <f>E100</f>
        <v>4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45</v>
      </c>
      <c r="F101" s="23">
        <v>0.25</v>
      </c>
      <c r="G101" s="23">
        <f t="shared" ref="G101:G110" si="6">E101*F101</f>
        <v>11.25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59</v>
      </c>
      <c r="F103" s="23">
        <v>0.12</v>
      </c>
      <c r="G103" s="23">
        <f t="shared" si="6"/>
        <v>7.08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18</v>
      </c>
      <c r="F104" s="23">
        <v>0.22</v>
      </c>
      <c r="G104" s="23">
        <f t="shared" si="6"/>
        <v>3.96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200</v>
      </c>
      <c r="F110" s="23">
        <v>0.09</v>
      </c>
      <c r="G110" s="23">
        <f t="shared" si="6"/>
        <v>18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42</v>
      </c>
      <c r="F113" s="23">
        <v>0.1</v>
      </c>
      <c r="G113" s="23">
        <f>E113*F113</f>
        <v>4.2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73</v>
      </c>
      <c r="F114" s="23">
        <v>0.09</v>
      </c>
      <c r="G114" s="23">
        <f>E114*F114</f>
        <v>6.5699999999999994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>
        <v>11</v>
      </c>
      <c r="F117" s="23"/>
      <c r="G117" s="23">
        <f>E117</f>
        <v>11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25</v>
      </c>
      <c r="F119" s="23">
        <v>1.367</v>
      </c>
      <c r="G119" s="23">
        <f>E119</f>
        <v>25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45</v>
      </c>
      <c r="F120" s="23">
        <v>0.4</v>
      </c>
      <c r="G120" s="23">
        <f>E120*F120</f>
        <v>18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74</v>
      </c>
      <c r="F125" s="23">
        <v>0.15</v>
      </c>
      <c r="G125" s="23">
        <f>F125*E125</f>
        <v>11.1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78</v>
      </c>
      <c r="F129" s="75">
        <v>0.18</v>
      </c>
      <c r="G129" s="23">
        <f>E129*F129</f>
        <v>14.04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7568</v>
      </c>
      <c r="F131" s="17"/>
      <c r="G131" s="17">
        <f>SUM(G11:G130)</f>
        <v>4293.7500000000009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2025-11-19T09:43:50Z</dcterms:modified>
</cp:coreProperties>
</file>