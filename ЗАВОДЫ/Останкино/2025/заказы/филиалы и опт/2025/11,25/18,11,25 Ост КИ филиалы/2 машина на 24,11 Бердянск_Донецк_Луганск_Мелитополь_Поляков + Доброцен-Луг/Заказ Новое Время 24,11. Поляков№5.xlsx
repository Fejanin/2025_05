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FA5751CC-AB40-49BC-92A5-C84DC73ED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<sst xmlns="http://schemas.openxmlformats.org/spreadsheetml/2006/main" count="281" uniqueCount="158">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</sst>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45985</v>
      </c>
      <c r="E3" s="7" t="s">
        <v>3</v>
      </c>
      <c r="F3" s="82">
        <f>D3+3</f>
        <v>45988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>
        <v>200</v>
      </c>
      <c r="F12" s="23">
        <v>1.3340000000000001</v>
      </c>
      <c r="G12" s="23">
        <f>E12</f>
        <v>200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140</v>
      </c>
      <c r="F26" s="23">
        <v>0.4</v>
      </c>
      <c r="G26" s="23">
        <f>E26*F26</f>
        <v>56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170</v>
      </c>
      <c r="F33" s="66">
        <v>0.4</v>
      </c>
      <c r="G33" s="23">
        <f>E33*F33</f>
        <v>68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380</v>
      </c>
      <c r="F36" s="23">
        <v>1.05</v>
      </c>
      <c r="G36" s="23">
        <f>E36</f>
        <v>380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>
        <v>180</v>
      </c>
      <c r="F45" s="23">
        <v>0.4</v>
      </c>
      <c r="G45" s="23">
        <f t="shared" ref="G45:G51" si="3">E45*F45</f>
        <v>72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>
        <v>200</v>
      </c>
      <c r="F46" s="23">
        <v>0.41</v>
      </c>
      <c r="G46" s="23">
        <f t="shared" si="3"/>
        <v>82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>
        <v>60</v>
      </c>
      <c r="F49" s="23">
        <v>0.33</v>
      </c>
      <c r="G49" s="23">
        <f t="shared" si="3"/>
        <v>19.8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>
        <v>120</v>
      </c>
      <c r="F50" s="23">
        <v>0.33</v>
      </c>
      <c r="G50" s="23">
        <f t="shared" si="3"/>
        <v>39.6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500</v>
      </c>
      <c r="F53" s="23">
        <v>1.0249999999999999</v>
      </c>
      <c r="G53" s="23">
        <f>E53</f>
        <v>500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60</v>
      </c>
      <c r="F63" s="23">
        <v>0.99</v>
      </c>
      <c r="G63" s="23">
        <f>E63</f>
        <v>60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60</v>
      </c>
      <c r="F68" s="23"/>
      <c r="G68" s="23">
        <f>E68</f>
        <v>60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100</v>
      </c>
      <c r="F70" s="23">
        <v>0.31</v>
      </c>
      <c r="G70" s="23">
        <f>F70*E70</f>
        <v>31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256</v>
      </c>
      <c r="F73" s="23">
        <v>0.28000000000000003</v>
      </c>
      <c r="G73" s="23">
        <f t="shared" si="5"/>
        <v>71.680000000000007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240</v>
      </c>
      <c r="F75" s="23">
        <v>0.28000000000000003</v>
      </c>
      <c r="G75" s="23">
        <f t="shared" si="5"/>
        <v>67.2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100</v>
      </c>
      <c r="F79" s="23">
        <v>0.35</v>
      </c>
      <c r="G79" s="23">
        <f t="shared" si="6"/>
        <v>35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6"/>
        <v>0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>
        <v>220</v>
      </c>
      <c r="F86" s="23">
        <v>0.35</v>
      </c>
      <c r="G86" s="23">
        <f>E86*F86</f>
        <v>77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>
        <v>620</v>
      </c>
      <c r="F89" s="23">
        <v>0.83399999999999996</v>
      </c>
      <c r="G89" s="23">
        <f>E89</f>
        <v>620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>
        <v>80</v>
      </c>
      <c r="F91" s="23"/>
      <c r="G91" s="23">
        <f>E91</f>
        <v>80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40</v>
      </c>
      <c r="F95" s="23">
        <v>0.31</v>
      </c>
      <c r="G95" s="23">
        <f t="shared" si="8"/>
        <v>12.4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100</v>
      </c>
      <c r="F111" s="23">
        <v>0.1</v>
      </c>
      <c r="G111" s="23">
        <f>E111*F111</f>
        <v>10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5708</v>
      </c>
      <c r="B112" s="79" t="s">
        <v>125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7"/>
        <v>0614</v>
      </c>
      <c r="B113" s="79" t="s">
        <v>126</v>
      </c>
      <c r="C113" s="72" t="s">
        <v>23</v>
      </c>
      <c r="D113" s="73">
        <v>1001060720614</v>
      </c>
      <c r="E113" s="24">
        <v>10</v>
      </c>
      <c r="F113" s="23"/>
      <c r="G113" s="23">
        <f>E113</f>
        <v>10</v>
      </c>
      <c r="H113" s="14"/>
      <c r="I113" s="14"/>
      <c r="J113" s="29"/>
    </row>
    <row r="114" spans="1:10" ht="16.5" customHeight="1" x14ac:dyDescent="0.25">
      <c r="A114" s="59" t="str">
        <f t="shared" ref="A114:A143" si="9">RIGHT(D114,4)</f>
        <v>1146</v>
      </c>
      <c r="B114" s="79" t="s">
        <v>127</v>
      </c>
      <c r="C114" s="72" t="s">
        <v>23</v>
      </c>
      <c r="D114" s="73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4154</v>
      </c>
      <c r="B115" s="79" t="s">
        <v>128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6967</v>
      </c>
      <c r="B116" s="79" t="s">
        <v>129</v>
      </c>
      <c r="C116" s="72" t="s">
        <v>21</v>
      </c>
      <c r="D116" s="73">
        <v>1001063656967</v>
      </c>
      <c r="E116" s="24">
        <v>72</v>
      </c>
      <c r="F116" s="23">
        <v>0.25</v>
      </c>
      <c r="G116" s="23">
        <f>F116*E116</f>
        <v>18</v>
      </c>
      <c r="H116" s="14"/>
      <c r="I116" s="14"/>
      <c r="J116" s="29"/>
    </row>
    <row r="117" spans="1:10" ht="16.5" customHeight="1" x14ac:dyDescent="0.25">
      <c r="A117" s="59" t="str">
        <f t="shared" si="9"/>
        <v>4993</v>
      </c>
      <c r="B117" s="79" t="s">
        <v>130</v>
      </c>
      <c r="C117" s="72" t="s">
        <v>33</v>
      </c>
      <c r="D117" s="73">
        <v>1001060764993</v>
      </c>
      <c r="E117" s="24">
        <v>220</v>
      </c>
      <c r="F117" s="23">
        <v>0.25</v>
      </c>
      <c r="G117" s="23">
        <f>E117*F117</f>
        <v>55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9"/>
        <v>6937</v>
      </c>
      <c r="B118" s="79" t="s">
        <v>131</v>
      </c>
      <c r="C118" s="72" t="s">
        <v>33</v>
      </c>
      <c r="D118" s="73">
        <v>1001063106937</v>
      </c>
      <c r="E118" s="24">
        <v>140</v>
      </c>
      <c r="F118" s="23">
        <v>0.25</v>
      </c>
      <c r="G118" s="23">
        <f>E118*F118</f>
        <v>35</v>
      </c>
      <c r="H118" s="14"/>
      <c r="I118" s="14"/>
      <c r="J118" s="29"/>
    </row>
    <row r="119" spans="1:10" ht="16.5" customHeight="1" x14ac:dyDescent="0.25">
      <c r="A119" s="59" t="str">
        <f t="shared" si="9"/>
        <v>5682</v>
      </c>
      <c r="B119" s="79" t="s">
        <v>132</v>
      </c>
      <c r="C119" s="72" t="s">
        <v>21</v>
      </c>
      <c r="D119" s="73">
        <v>1001193115682</v>
      </c>
      <c r="E119" s="24">
        <v>120</v>
      </c>
      <c r="F119" s="23">
        <v>0.12</v>
      </c>
      <c r="G119" s="23">
        <f>E119*F119</f>
        <v>14.399999999999999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9"/>
        <v>5679</v>
      </c>
      <c r="B120" s="79" t="s">
        <v>133</v>
      </c>
      <c r="C120" s="72" t="s">
        <v>21</v>
      </c>
      <c r="D120" s="73">
        <v>1001190765679</v>
      </c>
      <c r="E120" s="24">
        <v>100</v>
      </c>
      <c r="F120" s="23">
        <v>0.15</v>
      </c>
      <c r="G120" s="23">
        <f>F120*E120</f>
        <v>15</v>
      </c>
      <c r="H120" s="14"/>
      <c r="I120" s="14"/>
      <c r="J120" s="29"/>
    </row>
    <row r="121" spans="1:10" ht="16.5" customHeight="1" x14ac:dyDescent="0.25">
      <c r="A121" s="59" t="str">
        <f t="shared" si="9"/>
        <v>4117</v>
      </c>
      <c r="B121" s="79" t="s">
        <v>134</v>
      </c>
      <c r="C121" s="72" t="s">
        <v>23</v>
      </c>
      <c r="D121" s="73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9"/>
        <v>5483</v>
      </c>
      <c r="B122" s="79" t="s">
        <v>135</v>
      </c>
      <c r="C122" s="72" t="s">
        <v>21</v>
      </c>
      <c r="D122" s="73">
        <v>1001062505483</v>
      </c>
      <c r="E122" s="24">
        <v>160</v>
      </c>
      <c r="F122" s="23">
        <v>0.25</v>
      </c>
      <c r="G122" s="23">
        <f>E122*F122</f>
        <v>40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9"/>
        <v>6453</v>
      </c>
      <c r="B123" s="79" t="s">
        <v>136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9"/>
        <v>6557</v>
      </c>
      <c r="B124" s="79" t="s">
        <v>137</v>
      </c>
      <c r="C124" s="72" t="s">
        <v>33</v>
      </c>
      <c r="D124" s="73">
        <v>1001200756557</v>
      </c>
      <c r="E124" s="24">
        <v>40</v>
      </c>
      <c r="F124" s="23">
        <v>0.1</v>
      </c>
      <c r="G124" s="23">
        <f>E124*F124</f>
        <v>4</v>
      </c>
      <c r="H124" s="14"/>
      <c r="I124" s="14"/>
      <c r="J124" s="29"/>
    </row>
    <row r="125" spans="1:10" ht="16.5" customHeight="1" x14ac:dyDescent="0.25">
      <c r="A125" s="59" t="str">
        <f t="shared" si="9"/>
        <v>6228</v>
      </c>
      <c r="B125" s="79" t="s">
        <v>138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6221</v>
      </c>
      <c r="B126" s="79" t="s">
        <v>139</v>
      </c>
      <c r="C126" s="72" t="s">
        <v>33</v>
      </c>
      <c r="D126" s="73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9"/>
        <v>3287</v>
      </c>
      <c r="B127" s="79" t="s">
        <v>140</v>
      </c>
      <c r="C127" s="72" t="s">
        <v>23</v>
      </c>
      <c r="D127" s="73">
        <v>1001060763287</v>
      </c>
      <c r="E127" s="24">
        <v>40</v>
      </c>
      <c r="F127" s="23">
        <v>0.51300000000000001</v>
      </c>
      <c r="G127" s="23">
        <f>E127</f>
        <v>40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9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9"/>
        <v>6866</v>
      </c>
      <c r="B129" s="76" t="s">
        <v>142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9"/>
        <v>3215</v>
      </c>
      <c r="B130" s="79" t="s">
        <v>143</v>
      </c>
      <c r="C130" s="72" t="s">
        <v>33</v>
      </c>
      <c r="D130" s="42">
        <v>1001094053215</v>
      </c>
      <c r="E130" s="24">
        <v>110</v>
      </c>
      <c r="F130" s="23">
        <v>0.4</v>
      </c>
      <c r="G130" s="23">
        <f>E130*F130</f>
        <v>44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9"/>
        <v>6025</v>
      </c>
      <c r="B131" s="79" t="s">
        <v>144</v>
      </c>
      <c r="C131" s="72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9"/>
        <v>6470</v>
      </c>
      <c r="B132" s="79" t="s">
        <v>145</v>
      </c>
      <c r="C132" s="72" t="s">
        <v>23</v>
      </c>
      <c r="D132" s="42">
        <v>1001092436470</v>
      </c>
      <c r="E132" s="24">
        <v>100</v>
      </c>
      <c r="F132" s="23"/>
      <c r="G132" s="23">
        <f>E132</f>
        <v>100</v>
      </c>
      <c r="H132" s="14"/>
      <c r="I132" s="14"/>
      <c r="J132" s="29"/>
    </row>
    <row r="133" spans="1:11" ht="16.5" customHeight="1" x14ac:dyDescent="0.25">
      <c r="A133" s="59" t="str">
        <f t="shared" si="9"/>
        <v>4584</v>
      </c>
      <c r="B133" s="79" t="s">
        <v>146</v>
      </c>
      <c r="C133" s="72" t="s">
        <v>23</v>
      </c>
      <c r="D133" s="42">
        <v>1001092674584</v>
      </c>
      <c r="E133" s="24">
        <v>20</v>
      </c>
      <c r="F133" s="23"/>
      <c r="G133" s="23">
        <f>E133</f>
        <v>20</v>
      </c>
      <c r="H133" s="14"/>
      <c r="I133" s="14"/>
      <c r="J133" s="29"/>
    </row>
    <row r="134" spans="1:11" ht="16.5" customHeight="1" x14ac:dyDescent="0.25">
      <c r="A134" s="59" t="str">
        <f t="shared" si="9"/>
        <v>6472</v>
      </c>
      <c r="B134" s="79" t="s">
        <v>147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9"/>
        <v>5452</v>
      </c>
      <c r="B135" s="50" t="s">
        <v>148</v>
      </c>
      <c r="C135" s="72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9"/>
        <v>5495</v>
      </c>
      <c r="B136" s="50" t="s">
        <v>149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150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152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153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154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155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156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5158</v>
      </c>
      <c r="F144" s="17"/>
      <c r="G144" s="17">
        <f>SUM(G11:G143)</f>
        <v>3019.0800000000004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2025-11-19T08:41:00Z</dcterms:modified>
</cp:coreProperties>
</file>