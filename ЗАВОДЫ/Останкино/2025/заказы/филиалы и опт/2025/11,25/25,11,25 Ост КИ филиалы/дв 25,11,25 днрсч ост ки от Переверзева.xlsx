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"/>
    </mc:Choice>
  </mc:AlternateContent>
  <xr:revisionPtr revIDLastSave="0" documentId="13_ncr:1_{92D8B357-BE90-45A7-9621-CF6498B1F9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" i="1" l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6" i="1"/>
  <c r="AK7" i="1"/>
  <c r="AK8" i="1"/>
  <c r="AK10" i="1"/>
  <c r="AK11" i="1"/>
  <c r="AK13" i="1"/>
  <c r="AK14" i="1"/>
  <c r="AK15" i="1"/>
  <c r="AK19" i="1"/>
  <c r="AK20" i="1"/>
  <c r="AK21" i="1"/>
  <c r="AK23" i="1"/>
  <c r="AK24" i="1"/>
  <c r="AK25" i="1"/>
  <c r="AK26" i="1"/>
  <c r="AK27" i="1"/>
  <c r="AK28" i="1"/>
  <c r="AK29" i="1"/>
  <c r="AK30" i="1"/>
  <c r="AK33" i="1"/>
  <c r="AK36" i="1"/>
  <c r="AK37" i="1"/>
  <c r="AK40" i="1"/>
  <c r="AK41" i="1"/>
  <c r="AK42" i="1"/>
  <c r="AK43" i="1"/>
  <c r="AK44" i="1"/>
  <c r="AK45" i="1"/>
  <c r="AK46" i="1"/>
  <c r="AK48" i="1"/>
  <c r="AK51" i="1"/>
  <c r="AK53" i="1"/>
  <c r="AK54" i="1"/>
  <c r="AK56" i="1"/>
  <c r="AK58" i="1"/>
  <c r="AK59" i="1"/>
  <c r="AK60" i="1"/>
  <c r="AK61" i="1"/>
  <c r="AK62" i="1"/>
  <c r="AK63" i="1"/>
  <c r="AK64" i="1"/>
  <c r="AK67" i="1"/>
  <c r="AK68" i="1"/>
  <c r="AK72" i="1"/>
  <c r="AK74" i="1"/>
  <c r="AK75" i="1"/>
  <c r="AK76" i="1"/>
  <c r="AK78" i="1"/>
  <c r="AK79" i="1"/>
  <c r="AK82" i="1"/>
  <c r="AK83" i="1"/>
  <c r="AK84" i="1"/>
  <c r="AK86" i="1"/>
  <c r="AK87" i="1"/>
  <c r="AK89" i="1"/>
  <c r="AK90" i="1"/>
  <c r="AK91" i="1"/>
  <c r="AK92" i="1"/>
  <c r="AK93" i="1"/>
  <c r="AK94" i="1"/>
  <c r="AK95" i="1"/>
  <c r="AK9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6" i="1"/>
  <c r="U5" i="1" l="1"/>
  <c r="R62" i="1"/>
  <c r="R25" i="1"/>
  <c r="T25" i="1" s="1"/>
  <c r="R20" i="1"/>
  <c r="T20" i="1" s="1"/>
  <c r="R7" i="1"/>
  <c r="T7" i="1" s="1"/>
  <c r="R10" i="1"/>
  <c r="T10" i="1" s="1"/>
  <c r="R11" i="1"/>
  <c r="T11" i="1" s="1"/>
  <c r="R19" i="1"/>
  <c r="T19" i="1" s="1"/>
  <c r="R21" i="1"/>
  <c r="T21" i="1" s="1"/>
  <c r="R24" i="1"/>
  <c r="T24" i="1" s="1"/>
  <c r="R26" i="1"/>
  <c r="T26" i="1" s="1"/>
  <c r="R27" i="1"/>
  <c r="T27" i="1" s="1"/>
  <c r="R29" i="1"/>
  <c r="T29" i="1" s="1"/>
  <c r="R33" i="1"/>
  <c r="T33" i="1" s="1"/>
  <c r="R36" i="1"/>
  <c r="T36" i="1" s="1"/>
  <c r="R42" i="1"/>
  <c r="T42" i="1" s="1"/>
  <c r="R46" i="1"/>
  <c r="T46" i="1" s="1"/>
  <c r="R48" i="1"/>
  <c r="T48" i="1" s="1"/>
  <c r="R51" i="1"/>
  <c r="T51" i="1" s="1"/>
  <c r="R54" i="1"/>
  <c r="T54" i="1" s="1"/>
  <c r="R59" i="1"/>
  <c r="T59" i="1" s="1"/>
  <c r="R64" i="1"/>
  <c r="T64" i="1" s="1"/>
  <c r="R68" i="1"/>
  <c r="T68" i="1" s="1"/>
  <c r="R74" i="1"/>
  <c r="T74" i="1" s="1"/>
  <c r="R75" i="1"/>
  <c r="T75" i="1" s="1"/>
  <c r="R76" i="1"/>
  <c r="T76" i="1" s="1"/>
  <c r="R78" i="1"/>
  <c r="T78" i="1" s="1"/>
  <c r="R79" i="1"/>
  <c r="T79" i="1" s="1"/>
  <c r="R91" i="1"/>
  <c r="T91" i="1" s="1"/>
  <c r="R92" i="1"/>
  <c r="T92" i="1" s="1"/>
  <c r="R93" i="1"/>
  <c r="T93" i="1" s="1"/>
  <c r="R95" i="1"/>
  <c r="T95" i="1" s="1"/>
  <c r="R96" i="1"/>
  <c r="T96" i="1" s="1"/>
  <c r="S5" i="1"/>
  <c r="P96" i="1" l="1"/>
  <c r="Z96" i="1" s="1"/>
  <c r="L96" i="1"/>
  <c r="P95" i="1"/>
  <c r="Z95" i="1" s="1"/>
  <c r="L95" i="1"/>
  <c r="P94" i="1"/>
  <c r="Q94" i="1" s="1"/>
  <c r="R94" i="1" s="1"/>
  <c r="T94" i="1" s="1"/>
  <c r="L94" i="1"/>
  <c r="P93" i="1"/>
  <c r="Y93" i="1" s="1"/>
  <c r="L93" i="1"/>
  <c r="P92" i="1"/>
  <c r="Y92" i="1" s="1"/>
  <c r="L92" i="1"/>
  <c r="P91" i="1"/>
  <c r="Y91" i="1" s="1"/>
  <c r="L91" i="1"/>
  <c r="P90" i="1"/>
  <c r="Q90" i="1" s="1"/>
  <c r="R90" i="1" s="1"/>
  <c r="T90" i="1" s="1"/>
  <c r="L90" i="1"/>
  <c r="P89" i="1"/>
  <c r="Z89" i="1" s="1"/>
  <c r="L89" i="1"/>
  <c r="P88" i="1"/>
  <c r="L88" i="1"/>
  <c r="P87" i="1"/>
  <c r="L87" i="1"/>
  <c r="P86" i="1"/>
  <c r="Q86" i="1" s="1"/>
  <c r="R86" i="1" s="1"/>
  <c r="T86" i="1" s="1"/>
  <c r="Y86" i="1" s="1"/>
  <c r="L86" i="1"/>
  <c r="P85" i="1"/>
  <c r="Z85" i="1" s="1"/>
  <c r="L85" i="1"/>
  <c r="P84" i="1"/>
  <c r="Q84" i="1" s="1"/>
  <c r="R84" i="1" s="1"/>
  <c r="T84" i="1" s="1"/>
  <c r="Y84" i="1" s="1"/>
  <c r="L84" i="1"/>
  <c r="P83" i="1"/>
  <c r="Z83" i="1" s="1"/>
  <c r="L83" i="1"/>
  <c r="P82" i="1"/>
  <c r="L82" i="1"/>
  <c r="P81" i="1"/>
  <c r="Z81" i="1" s="1"/>
  <c r="L81" i="1"/>
  <c r="P80" i="1"/>
  <c r="Q80" i="1" s="1"/>
  <c r="R80" i="1" s="1"/>
  <c r="T80" i="1" s="1"/>
  <c r="L80" i="1"/>
  <c r="P79" i="1"/>
  <c r="Y79" i="1" s="1"/>
  <c r="L79" i="1"/>
  <c r="P78" i="1"/>
  <c r="Z78" i="1" s="1"/>
  <c r="L78" i="1"/>
  <c r="P77" i="1"/>
  <c r="L77" i="1"/>
  <c r="P76" i="1"/>
  <c r="Y76" i="1" s="1"/>
  <c r="L76" i="1"/>
  <c r="P75" i="1"/>
  <c r="Z75" i="1" s="1"/>
  <c r="L75" i="1"/>
  <c r="P74" i="1"/>
  <c r="Y74" i="1" s="1"/>
  <c r="L74" i="1"/>
  <c r="P73" i="1"/>
  <c r="Z73" i="1" s="1"/>
  <c r="L73" i="1"/>
  <c r="P72" i="1"/>
  <c r="L72" i="1"/>
  <c r="P71" i="1"/>
  <c r="Z71" i="1" s="1"/>
  <c r="L71" i="1"/>
  <c r="P70" i="1"/>
  <c r="Q70" i="1" s="1"/>
  <c r="R70" i="1" s="1"/>
  <c r="T70" i="1" s="1"/>
  <c r="L70" i="1"/>
  <c r="P69" i="1"/>
  <c r="Z69" i="1" s="1"/>
  <c r="L69" i="1"/>
  <c r="P68" i="1"/>
  <c r="Z68" i="1" s="1"/>
  <c r="L68" i="1"/>
  <c r="P67" i="1"/>
  <c r="L67" i="1"/>
  <c r="P66" i="1"/>
  <c r="L66" i="1"/>
  <c r="F65" i="1"/>
  <c r="E65" i="1"/>
  <c r="L65" i="1" s="1"/>
  <c r="F64" i="1"/>
  <c r="E64" i="1"/>
  <c r="P64" i="1" s="1"/>
  <c r="P63" i="1"/>
  <c r="Z63" i="1" s="1"/>
  <c r="L63" i="1"/>
  <c r="P62" i="1"/>
  <c r="L62" i="1"/>
  <c r="P61" i="1"/>
  <c r="L61" i="1"/>
  <c r="P60" i="1"/>
  <c r="Z60" i="1" s="1"/>
  <c r="L60" i="1"/>
  <c r="P59" i="1"/>
  <c r="Z59" i="1" s="1"/>
  <c r="L59" i="1"/>
  <c r="P58" i="1"/>
  <c r="L58" i="1"/>
  <c r="P57" i="1"/>
  <c r="L57" i="1"/>
  <c r="P56" i="1"/>
  <c r="Z56" i="1" s="1"/>
  <c r="L56" i="1"/>
  <c r="P55" i="1"/>
  <c r="Q55" i="1" s="1"/>
  <c r="R55" i="1" s="1"/>
  <c r="T55" i="1" s="1"/>
  <c r="V55" i="1" s="1"/>
  <c r="AK55" i="1" s="1"/>
  <c r="L55" i="1"/>
  <c r="P54" i="1"/>
  <c r="Y54" i="1" s="1"/>
  <c r="L54" i="1"/>
  <c r="P53" i="1"/>
  <c r="Q53" i="1" s="1"/>
  <c r="R53" i="1" s="1"/>
  <c r="T53" i="1" s="1"/>
  <c r="Y53" i="1" s="1"/>
  <c r="L53" i="1"/>
  <c r="P52" i="1"/>
  <c r="Z52" i="1" s="1"/>
  <c r="L52" i="1"/>
  <c r="P51" i="1"/>
  <c r="Z51" i="1" s="1"/>
  <c r="L51" i="1"/>
  <c r="P50" i="1"/>
  <c r="L50" i="1"/>
  <c r="P49" i="1"/>
  <c r="L49" i="1"/>
  <c r="P48" i="1"/>
  <c r="Z48" i="1" s="1"/>
  <c r="L48" i="1"/>
  <c r="P47" i="1"/>
  <c r="Z47" i="1" s="1"/>
  <c r="L47" i="1"/>
  <c r="P46" i="1"/>
  <c r="Y46" i="1" s="1"/>
  <c r="L46" i="1"/>
  <c r="P45" i="1"/>
  <c r="Q45" i="1" s="1"/>
  <c r="R45" i="1" s="1"/>
  <c r="T45" i="1" s="1"/>
  <c r="Y45" i="1" s="1"/>
  <c r="L45" i="1"/>
  <c r="P44" i="1"/>
  <c r="Z44" i="1" s="1"/>
  <c r="L44" i="1"/>
  <c r="P43" i="1"/>
  <c r="Z43" i="1" s="1"/>
  <c r="L43" i="1"/>
  <c r="P42" i="1"/>
  <c r="Y42" i="1" s="1"/>
  <c r="L42" i="1"/>
  <c r="P41" i="1"/>
  <c r="L41" i="1"/>
  <c r="P40" i="1"/>
  <c r="Z40" i="1" s="1"/>
  <c r="L40" i="1"/>
  <c r="P39" i="1"/>
  <c r="Q39" i="1" s="1"/>
  <c r="R39" i="1" s="1"/>
  <c r="T39" i="1" s="1"/>
  <c r="V39" i="1" s="1"/>
  <c r="AK39" i="1" s="1"/>
  <c r="L39" i="1"/>
  <c r="P38" i="1"/>
  <c r="L38" i="1"/>
  <c r="P37" i="1"/>
  <c r="L37" i="1"/>
  <c r="P36" i="1"/>
  <c r="Y36" i="1" s="1"/>
  <c r="L36" i="1"/>
  <c r="P35" i="1"/>
  <c r="Z35" i="1" s="1"/>
  <c r="L35" i="1"/>
  <c r="P34" i="1"/>
  <c r="L34" i="1"/>
  <c r="P33" i="1"/>
  <c r="Y33" i="1" s="1"/>
  <c r="L33" i="1"/>
  <c r="P32" i="1"/>
  <c r="L32" i="1"/>
  <c r="P31" i="1"/>
  <c r="Z31" i="1" s="1"/>
  <c r="L31" i="1"/>
  <c r="P30" i="1"/>
  <c r="L30" i="1"/>
  <c r="P29" i="1"/>
  <c r="Y29" i="1" s="1"/>
  <c r="L29" i="1"/>
  <c r="P28" i="1"/>
  <c r="L28" i="1"/>
  <c r="P27" i="1"/>
  <c r="Z27" i="1" s="1"/>
  <c r="L27" i="1"/>
  <c r="P26" i="1"/>
  <c r="Y26" i="1" s="1"/>
  <c r="L26" i="1"/>
  <c r="P25" i="1"/>
  <c r="Y25" i="1" s="1"/>
  <c r="L25" i="1"/>
  <c r="P24" i="1"/>
  <c r="Y24" i="1" s="1"/>
  <c r="L24" i="1"/>
  <c r="P23" i="1"/>
  <c r="L23" i="1"/>
  <c r="P22" i="1"/>
  <c r="L22" i="1"/>
  <c r="P21" i="1"/>
  <c r="Y21" i="1" s="1"/>
  <c r="L21" i="1"/>
  <c r="P20" i="1"/>
  <c r="Y20" i="1" s="1"/>
  <c r="L20" i="1"/>
  <c r="P19" i="1"/>
  <c r="Y19" i="1" s="1"/>
  <c r="L19" i="1"/>
  <c r="P18" i="1"/>
  <c r="Q18" i="1" s="1"/>
  <c r="R18" i="1" s="1"/>
  <c r="T18" i="1" s="1"/>
  <c r="L18" i="1"/>
  <c r="P17" i="1"/>
  <c r="L17" i="1"/>
  <c r="P16" i="1"/>
  <c r="L16" i="1"/>
  <c r="P15" i="1"/>
  <c r="Q15" i="1" s="1"/>
  <c r="R15" i="1" s="1"/>
  <c r="T15" i="1" s="1"/>
  <c r="L15" i="1"/>
  <c r="P14" i="1"/>
  <c r="L14" i="1"/>
  <c r="P13" i="1"/>
  <c r="Q13" i="1" s="1"/>
  <c r="R13" i="1" s="1"/>
  <c r="T13" i="1" s="1"/>
  <c r="Y13" i="1" s="1"/>
  <c r="L13" i="1"/>
  <c r="P12" i="1"/>
  <c r="L12" i="1"/>
  <c r="P11" i="1"/>
  <c r="Y11" i="1" s="1"/>
  <c r="L11" i="1"/>
  <c r="P10" i="1"/>
  <c r="Y10" i="1" s="1"/>
  <c r="L10" i="1"/>
  <c r="P9" i="1"/>
  <c r="L9" i="1"/>
  <c r="P8" i="1"/>
  <c r="L8" i="1"/>
  <c r="F8" i="1"/>
  <c r="P7" i="1"/>
  <c r="Z7" i="1" s="1"/>
  <c r="L7" i="1"/>
  <c r="P6" i="1"/>
  <c r="L6" i="1"/>
  <c r="AH5" i="1"/>
  <c r="AG5" i="1"/>
  <c r="AF5" i="1"/>
  <c r="AE5" i="1"/>
  <c r="AD5" i="1"/>
  <c r="AC5" i="1"/>
  <c r="AB5" i="1"/>
  <c r="AA5" i="1"/>
  <c r="W5" i="1"/>
  <c r="O5" i="1"/>
  <c r="N5" i="1"/>
  <c r="M5" i="1"/>
  <c r="K5" i="1"/>
  <c r="Y18" i="1" l="1"/>
  <c r="V18" i="1"/>
  <c r="AK18" i="1" s="1"/>
  <c r="Y70" i="1"/>
  <c r="V70" i="1"/>
  <c r="AK70" i="1" s="1"/>
  <c r="Y80" i="1"/>
  <c r="V80" i="1"/>
  <c r="AK80" i="1" s="1"/>
  <c r="Y64" i="1"/>
  <c r="Y96" i="1"/>
  <c r="Y27" i="1"/>
  <c r="Y75" i="1"/>
  <c r="Y95" i="1"/>
  <c r="Y59" i="1"/>
  <c r="Y7" i="1"/>
  <c r="Y15" i="1"/>
  <c r="Y39" i="1"/>
  <c r="Y55" i="1"/>
  <c r="Y90" i="1"/>
  <c r="Y94" i="1"/>
  <c r="Y48" i="1"/>
  <c r="Y68" i="1"/>
  <c r="Y78" i="1"/>
  <c r="Y51" i="1"/>
  <c r="Z8" i="1"/>
  <c r="Q56" i="1"/>
  <c r="R56" i="1" s="1"/>
  <c r="T56" i="1" s="1"/>
  <c r="Q61" i="1"/>
  <c r="R61" i="1" s="1"/>
  <c r="T61" i="1" s="1"/>
  <c r="Q71" i="1"/>
  <c r="R71" i="1" s="1"/>
  <c r="T71" i="1" s="1"/>
  <c r="V71" i="1" s="1"/>
  <c r="AK71" i="1" s="1"/>
  <c r="E5" i="1"/>
  <c r="Z39" i="1"/>
  <c r="Z55" i="1"/>
  <c r="Q43" i="1"/>
  <c r="R43" i="1" s="1"/>
  <c r="T43" i="1" s="1"/>
  <c r="Q47" i="1"/>
  <c r="R47" i="1" s="1"/>
  <c r="T47" i="1" s="1"/>
  <c r="V47" i="1" s="1"/>
  <c r="AK47" i="1" s="1"/>
  <c r="Q63" i="1"/>
  <c r="R63" i="1" s="1"/>
  <c r="T63" i="1" s="1"/>
  <c r="Z12" i="1"/>
  <c r="Q12" i="1"/>
  <c r="R12" i="1" s="1"/>
  <c r="T12" i="1" s="1"/>
  <c r="V12" i="1" s="1"/>
  <c r="Z16" i="1"/>
  <c r="Q16" i="1"/>
  <c r="R16" i="1" s="1"/>
  <c r="T16" i="1" s="1"/>
  <c r="V16" i="1" s="1"/>
  <c r="AK16" i="1" s="1"/>
  <c r="Z21" i="1"/>
  <c r="Z26" i="1"/>
  <c r="Z30" i="1"/>
  <c r="Q30" i="1"/>
  <c r="R30" i="1" s="1"/>
  <c r="T30" i="1" s="1"/>
  <c r="Z34" i="1"/>
  <c r="Q34" i="1"/>
  <c r="R34" i="1" s="1"/>
  <c r="T34" i="1" s="1"/>
  <c r="V34" i="1" s="1"/>
  <c r="AK34" i="1" s="1"/>
  <c r="Z38" i="1"/>
  <c r="Q38" i="1"/>
  <c r="R38" i="1" s="1"/>
  <c r="T38" i="1" s="1"/>
  <c r="V38" i="1" s="1"/>
  <c r="AK38" i="1" s="1"/>
  <c r="Z41" i="1"/>
  <c r="Z46" i="1"/>
  <c r="Z49" i="1"/>
  <c r="Z54" i="1"/>
  <c r="Z57" i="1"/>
  <c r="Z62" i="1"/>
  <c r="Q62" i="1"/>
  <c r="T62" i="1" s="1"/>
  <c r="Z66" i="1"/>
  <c r="Q66" i="1"/>
  <c r="R66" i="1" s="1"/>
  <c r="T66" i="1" s="1"/>
  <c r="V66" i="1" s="1"/>
  <c r="AK66" i="1" s="1"/>
  <c r="Z87" i="1"/>
  <c r="Q87" i="1"/>
  <c r="R87" i="1" s="1"/>
  <c r="T87" i="1" s="1"/>
  <c r="Z93" i="1"/>
  <c r="Q37" i="1"/>
  <c r="R37" i="1" s="1"/>
  <c r="T37" i="1" s="1"/>
  <c r="Q41" i="1"/>
  <c r="R41" i="1" s="1"/>
  <c r="T41" i="1" s="1"/>
  <c r="Q49" i="1"/>
  <c r="R49" i="1" s="1"/>
  <c r="T49" i="1" s="1"/>
  <c r="V49" i="1" s="1"/>
  <c r="AK49" i="1" s="1"/>
  <c r="Q57" i="1"/>
  <c r="R57" i="1" s="1"/>
  <c r="T57" i="1" s="1"/>
  <c r="V57" i="1" s="1"/>
  <c r="AK57" i="1" s="1"/>
  <c r="Q88" i="1"/>
  <c r="R88" i="1" s="1"/>
  <c r="T88" i="1" s="1"/>
  <c r="V88" i="1" s="1"/>
  <c r="AK88" i="1" s="1"/>
  <c r="Q6" i="1"/>
  <c r="R6" i="1" s="1"/>
  <c r="Q8" i="1"/>
  <c r="R8" i="1" s="1"/>
  <c r="T8" i="1" s="1"/>
  <c r="Z10" i="1"/>
  <c r="Z14" i="1"/>
  <c r="Q14" i="1"/>
  <c r="R14" i="1" s="1"/>
  <c r="T14" i="1" s="1"/>
  <c r="Z18" i="1"/>
  <c r="Z23" i="1"/>
  <c r="Q23" i="1"/>
  <c r="R23" i="1" s="1"/>
  <c r="T23" i="1" s="1"/>
  <c r="Z25" i="1"/>
  <c r="Z28" i="1"/>
  <c r="Q28" i="1"/>
  <c r="R28" i="1" s="1"/>
  <c r="T28" i="1" s="1"/>
  <c r="Z29" i="1"/>
  <c r="Z32" i="1"/>
  <c r="Q32" i="1"/>
  <c r="R32" i="1" s="1"/>
  <c r="T32" i="1" s="1"/>
  <c r="V32" i="1" s="1"/>
  <c r="AK32" i="1" s="1"/>
  <c r="Z33" i="1"/>
  <c r="Z36" i="1"/>
  <c r="Z37" i="1"/>
  <c r="Z42" i="1"/>
  <c r="Z45" i="1"/>
  <c r="Z50" i="1"/>
  <c r="Q50" i="1"/>
  <c r="R50" i="1" s="1"/>
  <c r="T50" i="1" s="1"/>
  <c r="V50" i="1" s="1"/>
  <c r="AK50" i="1" s="1"/>
  <c r="Z53" i="1"/>
  <c r="Z58" i="1"/>
  <c r="Q58" i="1"/>
  <c r="R58" i="1" s="1"/>
  <c r="T58" i="1" s="1"/>
  <c r="Z61" i="1"/>
  <c r="Z91" i="1"/>
  <c r="Q9" i="1"/>
  <c r="R9" i="1" s="1"/>
  <c r="T9" i="1" s="1"/>
  <c r="V9" i="1" s="1"/>
  <c r="AK9" i="1" s="1"/>
  <c r="Q17" i="1"/>
  <c r="R17" i="1" s="1"/>
  <c r="T17" i="1" s="1"/>
  <c r="V17" i="1" s="1"/>
  <c r="AK17" i="1" s="1"/>
  <c r="Q22" i="1"/>
  <c r="R22" i="1" s="1"/>
  <c r="T22" i="1" s="1"/>
  <c r="V22" i="1" s="1"/>
  <c r="AK22" i="1" s="1"/>
  <c r="Q31" i="1"/>
  <c r="R31" i="1" s="1"/>
  <c r="T31" i="1" s="1"/>
  <c r="V31" i="1" s="1"/>
  <c r="AK31" i="1" s="1"/>
  <c r="Q35" i="1"/>
  <c r="R35" i="1" s="1"/>
  <c r="T35" i="1" s="1"/>
  <c r="V35" i="1" s="1"/>
  <c r="AK35" i="1" s="1"/>
  <c r="Q67" i="1"/>
  <c r="R67" i="1" s="1"/>
  <c r="T67" i="1" s="1"/>
  <c r="Q72" i="1"/>
  <c r="R72" i="1" s="1"/>
  <c r="T72" i="1" s="1"/>
  <c r="Q77" i="1"/>
  <c r="R77" i="1" s="1"/>
  <c r="T77" i="1" s="1"/>
  <c r="V77" i="1" s="1"/>
  <c r="AK77" i="1" s="1"/>
  <c r="Q82" i="1"/>
  <c r="R82" i="1" s="1"/>
  <c r="T82" i="1" s="1"/>
  <c r="Q40" i="1"/>
  <c r="R40" i="1" s="1"/>
  <c r="T40" i="1" s="1"/>
  <c r="Q44" i="1"/>
  <c r="R44" i="1" s="1"/>
  <c r="T44" i="1" s="1"/>
  <c r="Q52" i="1"/>
  <c r="R52" i="1" s="1"/>
  <c r="T52" i="1" s="1"/>
  <c r="V52" i="1" s="1"/>
  <c r="AK52" i="1" s="1"/>
  <c r="Q60" i="1"/>
  <c r="R60" i="1" s="1"/>
  <c r="T60" i="1" s="1"/>
  <c r="Q69" i="1"/>
  <c r="R69" i="1" s="1"/>
  <c r="T69" i="1" s="1"/>
  <c r="V69" i="1" s="1"/>
  <c r="AK69" i="1" s="1"/>
  <c r="Q73" i="1"/>
  <c r="R73" i="1" s="1"/>
  <c r="T73" i="1" s="1"/>
  <c r="V73" i="1" s="1"/>
  <c r="AK73" i="1" s="1"/>
  <c r="Q81" i="1"/>
  <c r="R81" i="1" s="1"/>
  <c r="T81" i="1" s="1"/>
  <c r="V81" i="1" s="1"/>
  <c r="AK81" i="1" s="1"/>
  <c r="Q83" i="1"/>
  <c r="R83" i="1" s="1"/>
  <c r="T83" i="1" s="1"/>
  <c r="Q85" i="1"/>
  <c r="R85" i="1" s="1"/>
  <c r="T85" i="1" s="1"/>
  <c r="V85" i="1" s="1"/>
  <c r="AK85" i="1" s="1"/>
  <c r="Q89" i="1"/>
  <c r="R89" i="1" s="1"/>
  <c r="T89" i="1" s="1"/>
  <c r="Z15" i="1"/>
  <c r="Z17" i="1"/>
  <c r="Z19" i="1"/>
  <c r="P65" i="1"/>
  <c r="Z67" i="1"/>
  <c r="Z77" i="1"/>
  <c r="Z79" i="1"/>
  <c r="Z6" i="1"/>
  <c r="Z9" i="1"/>
  <c r="Z11" i="1"/>
  <c r="Z13" i="1"/>
  <c r="L64" i="1"/>
  <c r="L5" i="1" s="1"/>
  <c r="F5" i="1"/>
  <c r="Z20" i="1"/>
  <c r="Z22" i="1"/>
  <c r="Z24" i="1"/>
  <c r="Z64" i="1"/>
  <c r="Z70" i="1"/>
  <c r="Z72" i="1"/>
  <c r="Z74" i="1"/>
  <c r="Z76" i="1"/>
  <c r="Z80" i="1"/>
  <c r="Z82" i="1"/>
  <c r="Z84" i="1"/>
  <c r="Z86" i="1"/>
  <c r="Z88" i="1"/>
  <c r="Z90" i="1"/>
  <c r="Z92" i="1"/>
  <c r="Z94" i="1"/>
  <c r="AK12" i="1" l="1"/>
  <c r="Y85" i="1"/>
  <c r="Y81" i="1"/>
  <c r="Y69" i="1"/>
  <c r="Y52" i="1"/>
  <c r="Y40" i="1"/>
  <c r="Y77" i="1"/>
  <c r="Y67" i="1"/>
  <c r="Y31" i="1"/>
  <c r="Y17" i="1"/>
  <c r="Y58" i="1"/>
  <c r="Y32" i="1"/>
  <c r="Y23" i="1"/>
  <c r="Y88" i="1"/>
  <c r="Y49" i="1"/>
  <c r="Y37" i="1"/>
  <c r="Y87" i="1"/>
  <c r="Y66" i="1"/>
  <c r="Y62" i="1"/>
  <c r="Y47" i="1"/>
  <c r="Y61" i="1"/>
  <c r="Y89" i="1"/>
  <c r="Y83" i="1"/>
  <c r="Y73" i="1"/>
  <c r="Y60" i="1"/>
  <c r="Y44" i="1"/>
  <c r="Y82" i="1"/>
  <c r="Y72" i="1"/>
  <c r="Y35" i="1"/>
  <c r="Y22" i="1"/>
  <c r="Y9" i="1"/>
  <c r="Y50" i="1"/>
  <c r="Y28" i="1"/>
  <c r="Y14" i="1"/>
  <c r="T6" i="1"/>
  <c r="V6" i="1" s="1"/>
  <c r="AK6" i="1" s="1"/>
  <c r="Y57" i="1"/>
  <c r="Y41" i="1"/>
  <c r="Y38" i="1"/>
  <c r="Y34" i="1"/>
  <c r="Y30" i="1"/>
  <c r="Y16" i="1"/>
  <c r="Y12" i="1"/>
  <c r="Y63" i="1"/>
  <c r="Y43" i="1"/>
  <c r="Y71" i="1"/>
  <c r="Y56" i="1"/>
  <c r="Y8" i="1"/>
  <c r="Q65" i="1"/>
  <c r="R65" i="1" s="1"/>
  <c r="T65" i="1" s="1"/>
  <c r="V65" i="1" s="1"/>
  <c r="AK65" i="1" s="1"/>
  <c r="P5" i="1"/>
  <c r="Z65" i="1"/>
  <c r="AK5" i="1" l="1"/>
  <c r="V5" i="1"/>
  <c r="Y65" i="1"/>
  <c r="R5" i="1"/>
  <c r="Y6" i="1"/>
  <c r="T5" i="1"/>
  <c r="Q5" i="1"/>
  <c r="AJ5" i="1" l="1"/>
</calcChain>
</file>

<file path=xl/sharedStrings.xml><?xml version="1.0" encoding="utf-8"?>
<sst xmlns="http://schemas.openxmlformats.org/spreadsheetml/2006/main" count="382" uniqueCount="156">
  <si>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</si>
  <si>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</si>
  <si>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</si>
  <si>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</si>
  <si>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</si>
  <si>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</si>
  <si>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</si>
  <si>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</si>
  <si>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</si>
  <si>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</si>
  <si>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</si>
  <si>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</si>
  <si>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</si>
  <si>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</si>
  <si>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</si>
  <si>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</si>
  <si>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</si>
  <si>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</si>
  <si>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</si>
  <si>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</si>
  <si>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</si>
  <si>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</si>
  <si>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</si>
  <si>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</si>
  <si>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</si>
  <si>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</si>
  <si>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</si>
  <si>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</si>
  <si>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</si>
  <si>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</si>
  <si>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</si>
  <si>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</si>
  <si>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</si>
  <si>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</si>
  <si>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</si>
  <si>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</si>
  <si>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</si>
  <si>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</si>
  <si>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</si>
  <si>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</si>
  <si>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</si>
  <si>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</si>
  <si>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</si>
  <si>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</si>
  <si>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нужно увеличить продажи!!!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</si>
  <si>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</si>
  <si>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</si>
  <si>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</si>
  <si>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</si>
  <si>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</si>
  <si>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</si>
  <si>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</si>
  <si>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</si>
  <si>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</si>
  <si>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</si>
  <si>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</si>
  <si>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</si>
  <si>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</si>
  <si>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</si>
  <si>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</si>
  <si>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</si>
  <si>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</si>
  <si>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на - 1001016747343 СЕЙЧАС СЕЗОН ПМ вар п/о 0.4кг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</si>
  <si>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</si>
  <si>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</si>
  <si>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</si>
  <si>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</si>
  <si>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ВНИМАНИЕ / в матрице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</si>
  <si>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</si>
  <si>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</si>
  <si>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</si>
  <si>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</si>
  <si>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</si>
  <si>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</si>
  <si>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</si>
  <si>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</si>
  <si>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</si>
  <si>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</si>
  <si>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</si>
  <si>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</si>
  <si>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</si>
  <si>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</si>
  <si>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</si>
  <si>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</si>
  <si>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</si>
  <si>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</si>
  <si>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</si>
  <si>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</si>
  <si>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</si>
  <si>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</si>
  <si>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</si>
  <si>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</si>
  <si>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</si>
  <si>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</si>
  <si>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</si>
  <si>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</si>
  <si>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</si>
  <si>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</si>
  <si>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</si>
  <si>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</si>
  <si>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</si>
  <si>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</si>
  <si>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</si>
  <si>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</si>
  <si>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</si>
  <si>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</si>
  <si>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</si>
  <si>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</si>
  <si>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</si>
  <si>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</si>
  <si>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</si>
  <si>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</si>
  <si>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</si>
  <si>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</si>
  <si>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</si>
  <si>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</si>
  <si>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</si>
  <si>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</si>
  <si>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</si>
  <si>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</si>
  <si>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</si>
  <si>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</si>
  <si>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</si>
  <si>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</si>
  <si>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</si>
  <si>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</si>
  <si>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</si>
  <si>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</si>
  <si>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</si>
  <si>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</si>
  <si>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</si>
  <si>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</si>
  <si>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</si>
  <si>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</si>
  <si>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</si>
  <si>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</si>
  <si>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</si>
  <si>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</si>
  <si>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</si>
  <si>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</si>
  <si>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</si>
  <si>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</si>
  <si>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</si>
  <si>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</si>
  <si>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</si>
  <si>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</si>
  <si>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</si>
  <si>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29,04,25 в уценку 441шт. / ТС Обжора</t>
  </si>
  <si>
    <t>14,06,25 в уценку 55кг</t>
  </si>
  <si>
    <t>под сеть Намесник</t>
  </si>
  <si>
    <t>с учетом ТК</t>
  </si>
  <si>
    <t>до машины</t>
  </si>
  <si>
    <t>итого</t>
  </si>
  <si>
    <t>заказ</t>
  </si>
  <si>
    <t>30,11,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</si>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</sst>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4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  <xf numFmtId="164" fontId="1" fillId="5" borderId="3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8" sqref="X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22" width="7" style="22" customWidth="1"/>
    <col min="23" max="23" width="7" customWidth="1"/>
    <col min="24" max="24" width="16.28515625" customWidth="1"/>
    <col min="25" max="26" width="5" customWidth="1"/>
    <col min="27" max="34" width="6" customWidth="1"/>
    <col min="35" max="35" width="23" customWidth="1"/>
    <col min="36" max="37" width="7" customWidth="1"/>
    <col min="38" max="53" width="3" customWidth="1"/>
  </cols>
  <sheetData>
    <row r="1" spans="1:53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pans="1:53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150</v>
      </c>
      <c r="S3" s="2" t="s">
        <v>151</v>
      </c>
      <c r="T3" s="2" t="s">
        <v>152</v>
      </c>
      <c r="U3" s="2" t="s">
        <v>153</v>
      </c>
      <c r="V3" s="2" t="s">
        <v>153</v>
      </c>
      <c r="W3" s="7" t="s">
        <v>17</v>
      </c>
      <c r="X3" s="7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22</v>
      </c>
      <c r="AJ3" s="1" t="s">
        <v>23</v>
      </c>
      <c r="AK3" s="1" t="s">
        <v>23</v>
      </c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spans="1:53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/>
      <c r="R4" s="5"/>
      <c r="S4" s="5"/>
      <c r="T4" s="5"/>
      <c r="U4" s="5" t="s">
        <v>154</v>
      </c>
      <c r="V4" s="5" t="s">
        <v>155</v>
      </c>
      <c r="W4" s="5"/>
      <c r="X4" s="5"/>
      <c r="Y4" s="5"/>
      <c r="Z4" s="5"/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/>
      <c r="AJ4" s="5" t="s">
        <v>154</v>
      </c>
      <c r="AK4" s="5" t="s">
        <v>155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spans="1:53" x14ac:dyDescent="0.25">
      <c r="A5" s="5"/>
      <c r="B5" s="5"/>
      <c r="C5" s="5"/>
      <c r="D5" s="5"/>
      <c r="E5" s="3">
        <f>SUM(E6:E498)</f>
        <v>15076.557999999999</v>
      </c>
      <c r="F5" s="3">
        <f>SUM(F6:F498)</f>
        <v>24951.059999999998</v>
      </c>
      <c r="G5" s="8"/>
      <c r="H5" s="5"/>
      <c r="I5" s="5"/>
      <c r="J5" s="5"/>
      <c r="K5" s="3">
        <f t="shared" ref="K5:Q5" si="0">SUM(K6:K498)</f>
        <v>15152.019999999999</v>
      </c>
      <c r="L5" s="3">
        <f t="shared" si="0"/>
        <v>-75.462000000000046</v>
      </c>
      <c r="M5" s="3">
        <f t="shared" si="0"/>
        <v>0</v>
      </c>
      <c r="N5" s="3">
        <f t="shared" si="0"/>
        <v>0</v>
      </c>
      <c r="O5" s="3">
        <f t="shared" si="0"/>
        <v>6049</v>
      </c>
      <c r="P5" s="3">
        <f t="shared" si="0"/>
        <v>3015.3116</v>
      </c>
      <c r="Q5" s="3">
        <f t="shared" si="0"/>
        <v>13337.581799999996</v>
      </c>
      <c r="R5" s="3">
        <f t="shared" ref="R5:U5" si="1">SUM(R6:R498)</f>
        <v>13394.781799999997</v>
      </c>
      <c r="S5" s="3">
        <f t="shared" si="1"/>
        <v>0</v>
      </c>
      <c r="T5" s="3">
        <f t="shared" si="1"/>
        <v>13394</v>
      </c>
      <c r="U5" s="3">
        <f t="shared" si="1"/>
        <v>7711.0186335403723</v>
      </c>
      <c r="V5" s="3">
        <f t="shared" ref="V5" si="2">SUM(V6:V498)</f>
        <v>5682.9813664596277</v>
      </c>
      <c r="W5" s="3">
        <f>SUM(W6:W498)</f>
        <v>120</v>
      </c>
      <c r="X5" s="5"/>
      <c r="Y5" s="5"/>
      <c r="Z5" s="5"/>
      <c r="AA5" s="3">
        <f t="shared" ref="AA5:AH5" si="3">SUM(AA6:AA498)</f>
        <v>2911.3127999999997</v>
      </c>
      <c r="AB5" s="3">
        <f t="shared" si="3"/>
        <v>3005.652</v>
      </c>
      <c r="AC5" s="3">
        <f t="shared" si="3"/>
        <v>3116.166999999999</v>
      </c>
      <c r="AD5" s="3">
        <f t="shared" si="3"/>
        <v>3127.9496000000004</v>
      </c>
      <c r="AE5" s="3">
        <f t="shared" si="3"/>
        <v>3101.7834000000007</v>
      </c>
      <c r="AF5" s="3">
        <f t="shared" si="3"/>
        <v>2778.3575999999998</v>
      </c>
      <c r="AG5" s="3">
        <f t="shared" si="3"/>
        <v>3281.2993999999994</v>
      </c>
      <c r="AH5" s="3">
        <f t="shared" si="3"/>
        <v>2959.5509999999995</v>
      </c>
      <c r="AI5" s="5"/>
      <c r="AJ5" s="3">
        <f>SUM(AJ6:AJ498)</f>
        <v>3875.0131262939972</v>
      </c>
      <c r="AK5" s="3">
        <f>SUM(AK6:AK498)</f>
        <v>3220.7668737060044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3" x14ac:dyDescent="0.25">
      <c r="A6" s="5" t="s">
        <v>34</v>
      </c>
      <c r="B6" s="5" t="s">
        <v>35</v>
      </c>
      <c r="C6" s="5">
        <v>305</v>
      </c>
      <c r="D6" s="5">
        <v>206</v>
      </c>
      <c r="E6" s="5">
        <v>252</v>
      </c>
      <c r="F6" s="5">
        <v>177</v>
      </c>
      <c r="G6" s="8">
        <v>0.4</v>
      </c>
      <c r="H6" s="5">
        <v>60</v>
      </c>
      <c r="I6" s="5" t="s">
        <v>36</v>
      </c>
      <c r="J6" s="5"/>
      <c r="K6" s="5">
        <v>254</v>
      </c>
      <c r="L6" s="5">
        <f t="shared" ref="L6:L37" si="4">E6-K6</f>
        <v>-2</v>
      </c>
      <c r="M6" s="5"/>
      <c r="N6" s="5"/>
      <c r="O6" s="5">
        <v>39</v>
      </c>
      <c r="P6" s="5">
        <f t="shared" ref="P6:P37" si="5">E6/5</f>
        <v>50.4</v>
      </c>
      <c r="Q6" s="4">
        <f>13*P6-O6-F6</f>
        <v>439.19999999999993</v>
      </c>
      <c r="R6" s="4">
        <f>Q6</f>
        <v>439.19999999999993</v>
      </c>
      <c r="S6" s="4"/>
      <c r="T6" s="4">
        <f>ROUND(S6+R6,0)</f>
        <v>439</v>
      </c>
      <c r="U6" s="4">
        <f>T6-V6</f>
        <v>248.13043478260869</v>
      </c>
      <c r="V6" s="4">
        <f>T6/2.3</f>
        <v>190.86956521739131</v>
      </c>
      <c r="W6" s="4"/>
      <c r="X6" s="5"/>
      <c r="Y6" s="5">
        <f>(F6+O6+T6)/P6</f>
        <v>12.996031746031747</v>
      </c>
      <c r="Z6" s="5">
        <f t="shared" ref="Z6:Z37" si="6">(F6+O6)/P6</f>
        <v>4.2857142857142856</v>
      </c>
      <c r="AA6" s="5">
        <v>32.6</v>
      </c>
      <c r="AB6" s="5">
        <v>42.6</v>
      </c>
      <c r="AC6" s="5">
        <v>41.6</v>
      </c>
      <c r="AD6" s="5">
        <v>48.4</v>
      </c>
      <c r="AE6" s="5">
        <v>50.4</v>
      </c>
      <c r="AF6" s="5">
        <v>44.4</v>
      </c>
      <c r="AG6" s="5">
        <v>42.2</v>
      </c>
      <c r="AH6" s="5">
        <v>30</v>
      </c>
      <c r="AI6" s="5" t="s">
        <v>37</v>
      </c>
      <c r="AJ6" s="5">
        <f>G6*U6</f>
        <v>99.252173913043478</v>
      </c>
      <c r="AK6" s="5">
        <f>G6*V6</f>
        <v>76.34782608695653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</row>
    <row r="7" spans="1:53" x14ac:dyDescent="0.25">
      <c r="A7" s="5" t="s">
        <v>38</v>
      </c>
      <c r="B7" s="5" t="s">
        <v>39</v>
      </c>
      <c r="C7" s="5">
        <v>24.707000000000001</v>
      </c>
      <c r="D7" s="5">
        <v>7.9560000000000004</v>
      </c>
      <c r="E7" s="5">
        <v>7.9409999999999998</v>
      </c>
      <c r="F7" s="5">
        <v>23.724</v>
      </c>
      <c r="G7" s="8">
        <v>1</v>
      </c>
      <c r="H7" s="5">
        <v>120</v>
      </c>
      <c r="I7" s="5" t="s">
        <v>36</v>
      </c>
      <c r="J7" s="5"/>
      <c r="K7" s="5">
        <v>7.9</v>
      </c>
      <c r="L7" s="5">
        <f t="shared" si="4"/>
        <v>4.0999999999999481E-2</v>
      </c>
      <c r="M7" s="5"/>
      <c r="N7" s="5"/>
      <c r="O7" s="5"/>
      <c r="P7" s="5">
        <f t="shared" si="5"/>
        <v>1.5882000000000001</v>
      </c>
      <c r="Q7" s="4"/>
      <c r="R7" s="4">
        <f t="shared" ref="R7:R70" si="7">Q7</f>
        <v>0</v>
      </c>
      <c r="S7" s="4"/>
      <c r="T7" s="4">
        <f t="shared" ref="T7:T70" si="8">ROUND(S7+R7,0)</f>
        <v>0</v>
      </c>
      <c r="U7" s="4">
        <f t="shared" ref="U7:U70" si="9">T7-V7</f>
        <v>0</v>
      </c>
      <c r="V7" s="4"/>
      <c r="W7" s="4"/>
      <c r="X7" s="5"/>
      <c r="Y7" s="5">
        <f t="shared" ref="Y7:Y70" si="10">(F7+O7+T7)/P7</f>
        <v>14.937665281450698</v>
      </c>
      <c r="Z7" s="5">
        <f t="shared" si="6"/>
        <v>14.937665281450698</v>
      </c>
      <c r="AA7" s="5">
        <v>0.90180000000000005</v>
      </c>
      <c r="AB7" s="5">
        <v>2.8984000000000001</v>
      </c>
      <c r="AC7" s="5">
        <v>3.0806</v>
      </c>
      <c r="AD7" s="5">
        <v>0.20080000000000001</v>
      </c>
      <c r="AE7" s="5">
        <v>2.3755999999999999</v>
      </c>
      <c r="AF7" s="5">
        <v>0.78959999999999997</v>
      </c>
      <c r="AG7" s="5">
        <v>2.4376000000000002</v>
      </c>
      <c r="AH7" s="5">
        <v>2.5175999999999998</v>
      </c>
      <c r="AI7" s="5"/>
      <c r="AJ7" s="5">
        <f t="shared" ref="AJ7:AK70" si="11">G7*U7</f>
        <v>0</v>
      </c>
      <c r="AK7" s="5">
        <f t="shared" ref="AK7:AK70" si="12">G7*V7</f>
        <v>0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</row>
    <row r="8" spans="1:53" x14ac:dyDescent="0.25">
      <c r="A8" s="5" t="s">
        <v>40</v>
      </c>
      <c r="B8" s="5" t="s">
        <v>35</v>
      </c>
      <c r="C8" s="5">
        <v>21</v>
      </c>
      <c r="D8" s="5">
        <v>107</v>
      </c>
      <c r="E8" s="5">
        <v>55</v>
      </c>
      <c r="F8" s="18">
        <f>64+F19</f>
        <v>63</v>
      </c>
      <c r="G8" s="8">
        <v>0.25</v>
      </c>
      <c r="H8" s="5">
        <v>120</v>
      </c>
      <c r="I8" s="5" t="s">
        <v>36</v>
      </c>
      <c r="J8" s="5"/>
      <c r="K8" s="5">
        <v>49</v>
      </c>
      <c r="L8" s="5">
        <f t="shared" si="4"/>
        <v>6</v>
      </c>
      <c r="M8" s="5"/>
      <c r="N8" s="5"/>
      <c r="O8" s="5">
        <v>30</v>
      </c>
      <c r="P8" s="5">
        <f t="shared" si="5"/>
        <v>11</v>
      </c>
      <c r="Q8" s="4">
        <f t="shared" ref="Q8:Q17" si="13">14*P8-O8-F8</f>
        <v>61</v>
      </c>
      <c r="R8" s="4">
        <f t="shared" si="7"/>
        <v>61</v>
      </c>
      <c r="S8" s="4"/>
      <c r="T8" s="4">
        <f t="shared" si="8"/>
        <v>61</v>
      </c>
      <c r="U8" s="4">
        <f t="shared" si="9"/>
        <v>61</v>
      </c>
      <c r="V8" s="4"/>
      <c r="W8" s="4"/>
      <c r="X8" s="5"/>
      <c r="Y8" s="5">
        <f t="shared" si="10"/>
        <v>14</v>
      </c>
      <c r="Z8" s="5">
        <f t="shared" si="6"/>
        <v>8.454545454545455</v>
      </c>
      <c r="AA8" s="5">
        <v>5.2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 t="s">
        <v>41</v>
      </c>
      <c r="AJ8" s="5">
        <f t="shared" si="11"/>
        <v>15.25</v>
      </c>
      <c r="AK8" s="5">
        <f t="shared" si="12"/>
        <v>0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</row>
    <row r="9" spans="1:53" x14ac:dyDescent="0.25">
      <c r="A9" s="5" t="s">
        <v>42</v>
      </c>
      <c r="B9" s="5" t="s">
        <v>39</v>
      </c>
      <c r="C9" s="5">
        <v>644.98699999999997</v>
      </c>
      <c r="D9" s="5">
        <v>1990.1949999999999</v>
      </c>
      <c r="E9" s="5">
        <v>1186.4939999999999</v>
      </c>
      <c r="F9" s="5">
        <v>1407.924</v>
      </c>
      <c r="G9" s="8">
        <v>1</v>
      </c>
      <c r="H9" s="5">
        <v>60</v>
      </c>
      <c r="I9" s="5" t="s">
        <v>36</v>
      </c>
      <c r="J9" s="5"/>
      <c r="K9" s="5">
        <v>1176.8</v>
      </c>
      <c r="L9" s="5">
        <f t="shared" si="4"/>
        <v>9.69399999999996</v>
      </c>
      <c r="M9" s="5"/>
      <c r="N9" s="5"/>
      <c r="O9" s="5">
        <v>880</v>
      </c>
      <c r="P9" s="5">
        <f t="shared" si="5"/>
        <v>237.29879999999997</v>
      </c>
      <c r="Q9" s="4">
        <f t="shared" si="13"/>
        <v>1034.2591999999995</v>
      </c>
      <c r="R9" s="4">
        <f t="shared" si="7"/>
        <v>1034.2591999999995</v>
      </c>
      <c r="S9" s="4"/>
      <c r="T9" s="4">
        <f t="shared" si="8"/>
        <v>1034</v>
      </c>
      <c r="U9" s="4">
        <f t="shared" si="9"/>
        <v>584.43478260869563</v>
      </c>
      <c r="V9" s="4">
        <f>T9/2.3</f>
        <v>449.56521739130437</v>
      </c>
      <c r="W9" s="4"/>
      <c r="X9" s="5"/>
      <c r="Y9" s="5">
        <f t="shared" si="10"/>
        <v>13.998907706233661</v>
      </c>
      <c r="Z9" s="5">
        <f t="shared" si="6"/>
        <v>9.6415321105711467</v>
      </c>
      <c r="AA9" s="5">
        <v>246.49440000000001</v>
      </c>
      <c r="AB9" s="5">
        <v>222.0692</v>
      </c>
      <c r="AC9" s="5">
        <v>184.41</v>
      </c>
      <c r="AD9" s="5">
        <v>200.88759999999999</v>
      </c>
      <c r="AE9" s="5">
        <v>208.45400000000001</v>
      </c>
      <c r="AF9" s="5">
        <v>223.8758</v>
      </c>
      <c r="AG9" s="5">
        <v>183.1018</v>
      </c>
      <c r="AH9" s="5">
        <v>188.8904</v>
      </c>
      <c r="AI9" s="5"/>
      <c r="AJ9" s="5">
        <f t="shared" si="11"/>
        <v>584.43478260869563</v>
      </c>
      <c r="AK9" s="5">
        <f t="shared" si="12"/>
        <v>449.56521739130437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 x14ac:dyDescent="0.25">
      <c r="A10" s="5" t="s">
        <v>43</v>
      </c>
      <c r="B10" s="5" t="s">
        <v>39</v>
      </c>
      <c r="C10" s="5">
        <v>151.46899999999999</v>
      </c>
      <c r="D10" s="5"/>
      <c r="E10" s="5">
        <v>24.564</v>
      </c>
      <c r="F10" s="5">
        <v>126.913</v>
      </c>
      <c r="G10" s="8">
        <v>1</v>
      </c>
      <c r="H10" s="5">
        <v>120</v>
      </c>
      <c r="I10" s="5" t="s">
        <v>36</v>
      </c>
      <c r="J10" s="5"/>
      <c r="K10" s="5">
        <v>24.2</v>
      </c>
      <c r="L10" s="5">
        <f t="shared" si="4"/>
        <v>0.36400000000000077</v>
      </c>
      <c r="M10" s="5"/>
      <c r="N10" s="5"/>
      <c r="O10" s="5"/>
      <c r="P10" s="5">
        <f t="shared" si="5"/>
        <v>4.9127999999999998</v>
      </c>
      <c r="Q10" s="4"/>
      <c r="R10" s="4">
        <f t="shared" si="7"/>
        <v>0</v>
      </c>
      <c r="S10" s="4"/>
      <c r="T10" s="4">
        <f t="shared" si="8"/>
        <v>0</v>
      </c>
      <c r="U10" s="4">
        <f t="shared" si="9"/>
        <v>0</v>
      </c>
      <c r="V10" s="4"/>
      <c r="W10" s="4"/>
      <c r="X10" s="5"/>
      <c r="Y10" s="5">
        <f t="shared" si="10"/>
        <v>25.833129783422894</v>
      </c>
      <c r="Z10" s="5">
        <f t="shared" si="6"/>
        <v>25.833129783422894</v>
      </c>
      <c r="AA10" s="5">
        <v>6.6876000000000007</v>
      </c>
      <c r="AB10" s="5">
        <v>2.3088000000000002</v>
      </c>
      <c r="AC10" s="5">
        <v>4.5965999999999996</v>
      </c>
      <c r="AD10" s="5">
        <v>5.2732000000000001</v>
      </c>
      <c r="AE10" s="5">
        <v>8.4841999999999995</v>
      </c>
      <c r="AF10" s="5">
        <v>4.9276</v>
      </c>
      <c r="AG10" s="5">
        <v>0</v>
      </c>
      <c r="AH10" s="5">
        <v>2.8696000000000002</v>
      </c>
      <c r="AI10" s="19" t="s">
        <v>44</v>
      </c>
      <c r="AJ10" s="5">
        <f t="shared" si="11"/>
        <v>0</v>
      </c>
      <c r="AK10" s="5">
        <f t="shared" si="12"/>
        <v>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</row>
    <row r="11" spans="1:53" x14ac:dyDescent="0.25">
      <c r="A11" s="5" t="s">
        <v>45</v>
      </c>
      <c r="B11" s="5" t="s">
        <v>39</v>
      </c>
      <c r="C11" s="5">
        <v>46.860999999999997</v>
      </c>
      <c r="D11" s="5">
        <v>233.70599999999999</v>
      </c>
      <c r="E11" s="5">
        <v>103.21899999999999</v>
      </c>
      <c r="F11" s="5">
        <v>170.06800000000001</v>
      </c>
      <c r="G11" s="8">
        <v>1</v>
      </c>
      <c r="H11" s="5">
        <v>60</v>
      </c>
      <c r="I11" s="5" t="s">
        <v>36</v>
      </c>
      <c r="J11" s="5"/>
      <c r="K11" s="5">
        <v>107.1</v>
      </c>
      <c r="L11" s="5">
        <f t="shared" si="4"/>
        <v>-3.8810000000000002</v>
      </c>
      <c r="M11" s="5"/>
      <c r="N11" s="5"/>
      <c r="O11" s="5">
        <v>162</v>
      </c>
      <c r="P11" s="5">
        <f t="shared" si="5"/>
        <v>20.643799999999999</v>
      </c>
      <c r="Q11" s="4"/>
      <c r="R11" s="4">
        <f t="shared" si="7"/>
        <v>0</v>
      </c>
      <c r="S11" s="4"/>
      <c r="T11" s="4">
        <f t="shared" si="8"/>
        <v>0</v>
      </c>
      <c r="U11" s="4">
        <f t="shared" si="9"/>
        <v>0</v>
      </c>
      <c r="V11" s="4"/>
      <c r="W11" s="4"/>
      <c r="X11" s="5"/>
      <c r="Y11" s="5">
        <f t="shared" si="10"/>
        <v>16.085604394539764</v>
      </c>
      <c r="Z11" s="5">
        <f t="shared" si="6"/>
        <v>16.085604394539764</v>
      </c>
      <c r="AA11" s="5">
        <v>31.21</v>
      </c>
      <c r="AB11" s="5">
        <v>19.559799999999999</v>
      </c>
      <c r="AC11" s="5">
        <v>21.316800000000001</v>
      </c>
      <c r="AD11" s="5">
        <v>28.0518</v>
      </c>
      <c r="AE11" s="5">
        <v>28.050599999999999</v>
      </c>
      <c r="AF11" s="5">
        <v>20.848800000000001</v>
      </c>
      <c r="AG11" s="5">
        <v>22.370999999999999</v>
      </c>
      <c r="AH11" s="5">
        <v>23.904199999999999</v>
      </c>
      <c r="AI11" s="5"/>
      <c r="AJ11" s="5">
        <f t="shared" si="11"/>
        <v>0</v>
      </c>
      <c r="AK11" s="5">
        <f t="shared" si="12"/>
        <v>0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</row>
    <row r="12" spans="1:53" x14ac:dyDescent="0.25">
      <c r="A12" s="5" t="s">
        <v>46</v>
      </c>
      <c r="B12" s="5" t="s">
        <v>39</v>
      </c>
      <c r="C12" s="5">
        <v>847.98699999999997</v>
      </c>
      <c r="D12" s="5">
        <v>608.20100000000002</v>
      </c>
      <c r="E12" s="5">
        <v>555.33100000000002</v>
      </c>
      <c r="F12" s="5">
        <v>881.93499999999995</v>
      </c>
      <c r="G12" s="8">
        <v>1</v>
      </c>
      <c r="H12" s="5">
        <v>60</v>
      </c>
      <c r="I12" s="5" t="s">
        <v>36</v>
      </c>
      <c r="J12" s="5"/>
      <c r="K12" s="5">
        <v>550.20000000000005</v>
      </c>
      <c r="L12" s="5">
        <f t="shared" si="4"/>
        <v>5.1309999999999718</v>
      </c>
      <c r="M12" s="5"/>
      <c r="N12" s="5"/>
      <c r="O12" s="5">
        <v>336</v>
      </c>
      <c r="P12" s="5">
        <f t="shared" si="5"/>
        <v>111.06620000000001</v>
      </c>
      <c r="Q12" s="4">
        <f t="shared" si="13"/>
        <v>336.99180000000024</v>
      </c>
      <c r="R12" s="4">
        <f t="shared" si="7"/>
        <v>336.99180000000024</v>
      </c>
      <c r="S12" s="4"/>
      <c r="T12" s="4">
        <f t="shared" si="8"/>
        <v>337</v>
      </c>
      <c r="U12" s="4">
        <f t="shared" si="9"/>
        <v>0</v>
      </c>
      <c r="V12" s="4">
        <f>T12</f>
        <v>337</v>
      </c>
      <c r="W12" s="4"/>
      <c r="X12" s="5"/>
      <c r="Y12" s="5">
        <f t="shared" si="10"/>
        <v>14.000073829842021</v>
      </c>
      <c r="Z12" s="5">
        <f t="shared" si="6"/>
        <v>10.965847395517267</v>
      </c>
      <c r="AA12" s="5">
        <v>123.4286</v>
      </c>
      <c r="AB12" s="5">
        <v>124.7042</v>
      </c>
      <c r="AC12" s="5">
        <v>129.3168</v>
      </c>
      <c r="AD12" s="5">
        <v>126.3434</v>
      </c>
      <c r="AE12" s="5">
        <v>124.4068</v>
      </c>
      <c r="AF12" s="5">
        <v>113.90260000000001</v>
      </c>
      <c r="AG12" s="5">
        <v>102.12820000000001</v>
      </c>
      <c r="AH12" s="5">
        <v>118.7176</v>
      </c>
      <c r="AI12" s="5"/>
      <c r="AJ12" s="5">
        <f t="shared" si="11"/>
        <v>0</v>
      </c>
      <c r="AK12" s="5">
        <f t="shared" si="12"/>
        <v>337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</row>
    <row r="13" spans="1:53" x14ac:dyDescent="0.25">
      <c r="A13" s="5" t="s">
        <v>47</v>
      </c>
      <c r="B13" s="5" t="s">
        <v>35</v>
      </c>
      <c r="C13" s="5">
        <v>134</v>
      </c>
      <c r="D13" s="5">
        <v>73</v>
      </c>
      <c r="E13" s="5">
        <v>126</v>
      </c>
      <c r="F13" s="5">
        <v>60</v>
      </c>
      <c r="G13" s="8">
        <v>0.25</v>
      </c>
      <c r="H13" s="5">
        <v>120</v>
      </c>
      <c r="I13" s="5" t="s">
        <v>36</v>
      </c>
      <c r="J13" s="5"/>
      <c r="K13" s="5">
        <v>126</v>
      </c>
      <c r="L13" s="5">
        <f t="shared" si="4"/>
        <v>0</v>
      </c>
      <c r="M13" s="5"/>
      <c r="N13" s="5"/>
      <c r="O13" s="5">
        <v>40</v>
      </c>
      <c r="P13" s="5">
        <f t="shared" si="5"/>
        <v>25.2</v>
      </c>
      <c r="Q13" s="4">
        <f>13*P13-O13-F13</f>
        <v>227.59999999999997</v>
      </c>
      <c r="R13" s="4">
        <f t="shared" si="7"/>
        <v>227.59999999999997</v>
      </c>
      <c r="S13" s="4"/>
      <c r="T13" s="4">
        <f t="shared" si="8"/>
        <v>228</v>
      </c>
      <c r="U13" s="4">
        <f t="shared" si="9"/>
        <v>228</v>
      </c>
      <c r="V13" s="4"/>
      <c r="W13" s="4"/>
      <c r="X13" s="5"/>
      <c r="Y13" s="5">
        <f t="shared" si="10"/>
        <v>13.015873015873016</v>
      </c>
      <c r="Z13" s="5">
        <f t="shared" si="6"/>
        <v>3.9682539682539684</v>
      </c>
      <c r="AA13" s="5">
        <v>16.2</v>
      </c>
      <c r="AB13" s="5">
        <v>16.2</v>
      </c>
      <c r="AC13" s="5">
        <v>21.4</v>
      </c>
      <c r="AD13" s="5">
        <v>18.600000000000001</v>
      </c>
      <c r="AE13" s="5">
        <v>12.8</v>
      </c>
      <c r="AF13" s="5">
        <v>10</v>
      </c>
      <c r="AG13" s="5">
        <v>26.2</v>
      </c>
      <c r="AH13" s="5">
        <v>21.4</v>
      </c>
      <c r="AI13" s="5" t="s">
        <v>48</v>
      </c>
      <c r="AJ13" s="5">
        <f t="shared" si="11"/>
        <v>57</v>
      </c>
      <c r="AK13" s="5">
        <f t="shared" si="12"/>
        <v>0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</row>
    <row r="14" spans="1:53" x14ac:dyDescent="0.25">
      <c r="A14" s="5" t="s">
        <v>49</v>
      </c>
      <c r="B14" s="5" t="s">
        <v>39</v>
      </c>
      <c r="C14" s="5">
        <v>2.7930000000000001</v>
      </c>
      <c r="D14" s="5">
        <v>154.35499999999999</v>
      </c>
      <c r="E14" s="5">
        <v>59.572000000000003</v>
      </c>
      <c r="F14" s="5">
        <v>97.575999999999993</v>
      </c>
      <c r="G14" s="8">
        <v>1</v>
      </c>
      <c r="H14" s="5">
        <v>60</v>
      </c>
      <c r="I14" s="5" t="s">
        <v>36</v>
      </c>
      <c r="J14" s="5"/>
      <c r="K14" s="5">
        <v>89.8</v>
      </c>
      <c r="L14" s="5">
        <f t="shared" si="4"/>
        <v>-30.227999999999994</v>
      </c>
      <c r="M14" s="5"/>
      <c r="N14" s="5"/>
      <c r="O14" s="5">
        <v>50</v>
      </c>
      <c r="P14" s="5">
        <f t="shared" si="5"/>
        <v>11.914400000000001</v>
      </c>
      <c r="Q14" s="4">
        <f t="shared" si="13"/>
        <v>19.225600000000014</v>
      </c>
      <c r="R14" s="4">
        <f t="shared" si="7"/>
        <v>19.225600000000014</v>
      </c>
      <c r="S14" s="4"/>
      <c r="T14" s="4">
        <f t="shared" si="8"/>
        <v>19</v>
      </c>
      <c r="U14" s="4">
        <f t="shared" si="9"/>
        <v>19</v>
      </c>
      <c r="V14" s="4"/>
      <c r="W14" s="4"/>
      <c r="X14" s="5"/>
      <c r="Y14" s="5">
        <f t="shared" si="10"/>
        <v>13.981064929832806</v>
      </c>
      <c r="Z14" s="5">
        <f t="shared" si="6"/>
        <v>12.386356006177397</v>
      </c>
      <c r="AA14" s="5">
        <v>14.9946</v>
      </c>
      <c r="AB14" s="5">
        <v>15.0844</v>
      </c>
      <c r="AC14" s="5">
        <v>10.336600000000001</v>
      </c>
      <c r="AD14" s="5">
        <v>13.6394</v>
      </c>
      <c r="AE14" s="5">
        <v>14.057399999999999</v>
      </c>
      <c r="AF14" s="5">
        <v>9.9841999999999995</v>
      </c>
      <c r="AG14" s="5">
        <v>7.0822000000000003</v>
      </c>
      <c r="AH14" s="5">
        <v>14.0268</v>
      </c>
      <c r="AI14" s="5"/>
      <c r="AJ14" s="5">
        <f t="shared" si="11"/>
        <v>19</v>
      </c>
      <c r="AK14" s="5">
        <f t="shared" si="12"/>
        <v>0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</row>
    <row r="15" spans="1:53" x14ac:dyDescent="0.25">
      <c r="A15" s="5" t="s">
        <v>50</v>
      </c>
      <c r="B15" s="5" t="s">
        <v>35</v>
      </c>
      <c r="C15" s="5">
        <v>71</v>
      </c>
      <c r="D15" s="5">
        <v>107</v>
      </c>
      <c r="E15" s="5">
        <v>97</v>
      </c>
      <c r="F15" s="5">
        <v>52</v>
      </c>
      <c r="G15" s="8">
        <v>0.25</v>
      </c>
      <c r="H15" s="5">
        <v>120</v>
      </c>
      <c r="I15" s="5" t="s">
        <v>36</v>
      </c>
      <c r="J15" s="5"/>
      <c r="K15" s="5">
        <v>97</v>
      </c>
      <c r="L15" s="5">
        <f t="shared" si="4"/>
        <v>0</v>
      </c>
      <c r="M15" s="5"/>
      <c r="N15" s="5"/>
      <c r="O15" s="5">
        <v>37</v>
      </c>
      <c r="P15" s="5">
        <f t="shared" si="5"/>
        <v>19.399999999999999</v>
      </c>
      <c r="Q15" s="4">
        <f t="shared" si="13"/>
        <v>182.59999999999997</v>
      </c>
      <c r="R15" s="4">
        <f t="shared" si="7"/>
        <v>182.59999999999997</v>
      </c>
      <c r="S15" s="4"/>
      <c r="T15" s="4">
        <f t="shared" si="8"/>
        <v>183</v>
      </c>
      <c r="U15" s="4">
        <f t="shared" si="9"/>
        <v>183</v>
      </c>
      <c r="V15" s="4"/>
      <c r="W15" s="4"/>
      <c r="X15" s="5"/>
      <c r="Y15" s="5">
        <f t="shared" si="10"/>
        <v>14.020618556701033</v>
      </c>
      <c r="Z15" s="5">
        <f t="shared" si="6"/>
        <v>4.587628865979382</v>
      </c>
      <c r="AA15" s="5">
        <v>13.2</v>
      </c>
      <c r="AB15" s="5">
        <v>16</v>
      </c>
      <c r="AC15" s="5">
        <v>15.8</v>
      </c>
      <c r="AD15" s="5">
        <v>13.4</v>
      </c>
      <c r="AE15" s="5">
        <v>12.2</v>
      </c>
      <c r="AF15" s="5">
        <v>12.6</v>
      </c>
      <c r="AG15" s="5">
        <v>13.8</v>
      </c>
      <c r="AH15" s="5">
        <v>15.8</v>
      </c>
      <c r="AI15" s="5" t="s">
        <v>48</v>
      </c>
      <c r="AJ15" s="5">
        <f t="shared" si="11"/>
        <v>45.75</v>
      </c>
      <c r="AK15" s="5">
        <f t="shared" si="12"/>
        <v>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</row>
    <row r="16" spans="1:53" x14ac:dyDescent="0.25">
      <c r="A16" s="5" t="s">
        <v>51</v>
      </c>
      <c r="B16" s="5" t="s">
        <v>35</v>
      </c>
      <c r="C16" s="5">
        <v>387</v>
      </c>
      <c r="D16" s="5">
        <v>239</v>
      </c>
      <c r="E16" s="5">
        <v>220</v>
      </c>
      <c r="F16" s="5">
        <v>199</v>
      </c>
      <c r="G16" s="8">
        <v>0.4</v>
      </c>
      <c r="H16" s="5">
        <v>60</v>
      </c>
      <c r="I16" s="5" t="s">
        <v>36</v>
      </c>
      <c r="J16" s="5"/>
      <c r="K16" s="5">
        <v>220</v>
      </c>
      <c r="L16" s="5">
        <f t="shared" si="4"/>
        <v>0</v>
      </c>
      <c r="M16" s="5"/>
      <c r="N16" s="5"/>
      <c r="O16" s="5">
        <v>57</v>
      </c>
      <c r="P16" s="5">
        <f t="shared" si="5"/>
        <v>44</v>
      </c>
      <c r="Q16" s="4">
        <f t="shared" si="13"/>
        <v>360</v>
      </c>
      <c r="R16" s="4">
        <f t="shared" si="7"/>
        <v>360</v>
      </c>
      <c r="S16" s="4"/>
      <c r="T16" s="4">
        <f t="shared" si="8"/>
        <v>360</v>
      </c>
      <c r="U16" s="4">
        <f t="shared" si="9"/>
        <v>203.47826086956522</v>
      </c>
      <c r="V16" s="4">
        <f t="shared" ref="V16:V18" si="14">T16/2.3</f>
        <v>156.52173913043478</v>
      </c>
      <c r="W16" s="4"/>
      <c r="X16" s="5"/>
      <c r="Y16" s="5">
        <f t="shared" si="10"/>
        <v>14</v>
      </c>
      <c r="Z16" s="5">
        <f t="shared" si="6"/>
        <v>5.8181818181818183</v>
      </c>
      <c r="AA16" s="5">
        <v>34.6</v>
      </c>
      <c r="AB16" s="5">
        <v>40.4</v>
      </c>
      <c r="AC16" s="5">
        <v>47.2</v>
      </c>
      <c r="AD16" s="5">
        <v>44.8</v>
      </c>
      <c r="AE16" s="5">
        <v>36.799999999999997</v>
      </c>
      <c r="AF16" s="5">
        <v>40.799999999999997</v>
      </c>
      <c r="AG16" s="5">
        <v>44.8</v>
      </c>
      <c r="AH16" s="5">
        <v>45.2</v>
      </c>
      <c r="AI16" s="5" t="s">
        <v>48</v>
      </c>
      <c r="AJ16" s="5">
        <f t="shared" si="11"/>
        <v>81.391304347826093</v>
      </c>
      <c r="AK16" s="5">
        <f t="shared" si="12"/>
        <v>62.608695652173914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5" t="s">
        <v>52</v>
      </c>
      <c r="B17" s="5" t="s">
        <v>39</v>
      </c>
      <c r="C17" s="5">
        <v>389.97699999999998</v>
      </c>
      <c r="D17" s="5">
        <v>396.13</v>
      </c>
      <c r="E17" s="5">
        <v>395.74400000000003</v>
      </c>
      <c r="F17" s="5">
        <v>367.04500000000002</v>
      </c>
      <c r="G17" s="8">
        <v>1</v>
      </c>
      <c r="H17" s="5">
        <v>45</v>
      </c>
      <c r="I17" s="5" t="s">
        <v>36</v>
      </c>
      <c r="J17" s="5"/>
      <c r="K17" s="5">
        <v>393</v>
      </c>
      <c r="L17" s="5">
        <f t="shared" si="4"/>
        <v>2.7440000000000282</v>
      </c>
      <c r="M17" s="5"/>
      <c r="N17" s="5"/>
      <c r="O17" s="5">
        <v>162</v>
      </c>
      <c r="P17" s="5">
        <f t="shared" si="5"/>
        <v>79.148800000000008</v>
      </c>
      <c r="Q17" s="4">
        <f t="shared" si="13"/>
        <v>579.03819999999996</v>
      </c>
      <c r="R17" s="4">
        <f t="shared" si="7"/>
        <v>579.03819999999996</v>
      </c>
      <c r="S17" s="4"/>
      <c r="T17" s="4">
        <f t="shared" si="8"/>
        <v>579</v>
      </c>
      <c r="U17" s="4">
        <f t="shared" si="9"/>
        <v>327.26086956521738</v>
      </c>
      <c r="V17" s="4">
        <f t="shared" si="14"/>
        <v>251.73913043478262</v>
      </c>
      <c r="W17" s="4"/>
      <c r="X17" s="5"/>
      <c r="Y17" s="5">
        <f t="shared" si="10"/>
        <v>13.999517364761058</v>
      </c>
      <c r="Z17" s="5">
        <f t="shared" si="6"/>
        <v>6.6841821985930299</v>
      </c>
      <c r="AA17" s="5">
        <v>65.013199999999998</v>
      </c>
      <c r="AB17" s="5">
        <v>67.158199999999994</v>
      </c>
      <c r="AC17" s="5">
        <v>63.398400000000002</v>
      </c>
      <c r="AD17" s="5">
        <v>68.315599999999989</v>
      </c>
      <c r="AE17" s="5">
        <v>66.098399999999998</v>
      </c>
      <c r="AF17" s="5">
        <v>62.4514</v>
      </c>
      <c r="AG17" s="5">
        <v>60.507199999999997</v>
      </c>
      <c r="AH17" s="5">
        <v>59.513399999999997</v>
      </c>
      <c r="AI17" s="5"/>
      <c r="AJ17" s="5">
        <f t="shared" si="11"/>
        <v>327.26086956521738</v>
      </c>
      <c r="AK17" s="5">
        <f t="shared" si="12"/>
        <v>251.73913043478262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5" t="s">
        <v>53</v>
      </c>
      <c r="B18" s="5" t="s">
        <v>35</v>
      </c>
      <c r="C18" s="5">
        <v>165</v>
      </c>
      <c r="D18" s="5">
        <v>174</v>
      </c>
      <c r="E18" s="5">
        <v>191</v>
      </c>
      <c r="F18" s="5">
        <v>86</v>
      </c>
      <c r="G18" s="8">
        <v>0.12</v>
      </c>
      <c r="H18" s="5">
        <v>60</v>
      </c>
      <c r="I18" s="5" t="s">
        <v>36</v>
      </c>
      <c r="J18" s="5"/>
      <c r="K18" s="5">
        <v>191</v>
      </c>
      <c r="L18" s="5">
        <f t="shared" si="4"/>
        <v>0</v>
      </c>
      <c r="M18" s="5"/>
      <c r="N18" s="5"/>
      <c r="O18" s="5">
        <v>74</v>
      </c>
      <c r="P18" s="5">
        <f t="shared" si="5"/>
        <v>38.200000000000003</v>
      </c>
      <c r="Q18" s="4">
        <f>13*P18-O18-F18</f>
        <v>336.6</v>
      </c>
      <c r="R18" s="4">
        <f t="shared" si="7"/>
        <v>336.6</v>
      </c>
      <c r="S18" s="4"/>
      <c r="T18" s="4">
        <f t="shared" si="8"/>
        <v>337</v>
      </c>
      <c r="U18" s="4">
        <f t="shared" si="9"/>
        <v>190.47826086956522</v>
      </c>
      <c r="V18" s="4">
        <f t="shared" si="14"/>
        <v>146.52173913043478</v>
      </c>
      <c r="W18" s="4"/>
      <c r="X18" s="5"/>
      <c r="Y18" s="5">
        <f t="shared" si="10"/>
        <v>13.01047120418848</v>
      </c>
      <c r="Z18" s="5">
        <f t="shared" si="6"/>
        <v>4.1884816753926701</v>
      </c>
      <c r="AA18" s="5">
        <v>29.8</v>
      </c>
      <c r="AB18" s="5">
        <v>31</v>
      </c>
      <c r="AC18" s="5">
        <v>32.6</v>
      </c>
      <c r="AD18" s="5">
        <v>35.4</v>
      </c>
      <c r="AE18" s="5">
        <v>31.6</v>
      </c>
      <c r="AF18" s="5">
        <v>33.799999999999997</v>
      </c>
      <c r="AG18" s="5">
        <v>39.6</v>
      </c>
      <c r="AH18" s="5">
        <v>40.4</v>
      </c>
      <c r="AI18" s="5" t="s">
        <v>48</v>
      </c>
      <c r="AJ18" s="5">
        <f t="shared" si="11"/>
        <v>22.857391304347825</v>
      </c>
      <c r="AK18" s="5">
        <f t="shared" si="12"/>
        <v>17.582608695652173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13" t="s">
        <v>54</v>
      </c>
      <c r="B19" s="13" t="s">
        <v>35</v>
      </c>
      <c r="C19" s="13"/>
      <c r="D19" s="13"/>
      <c r="E19" s="13"/>
      <c r="F19" s="18">
        <v>-1</v>
      </c>
      <c r="G19" s="14">
        <v>0</v>
      </c>
      <c r="H19" s="13" t="e">
        <v>#N/A</v>
      </c>
      <c r="I19" s="13" t="s">
        <v>55</v>
      </c>
      <c r="J19" s="13" t="s">
        <v>40</v>
      </c>
      <c r="K19" s="13">
        <v>9</v>
      </c>
      <c r="L19" s="13">
        <f t="shared" si="4"/>
        <v>-9</v>
      </c>
      <c r="M19" s="13"/>
      <c r="N19" s="13"/>
      <c r="O19" s="13"/>
      <c r="P19" s="13">
        <f t="shared" si="5"/>
        <v>0</v>
      </c>
      <c r="Q19" s="15"/>
      <c r="R19" s="4">
        <f t="shared" si="7"/>
        <v>0</v>
      </c>
      <c r="S19" s="15"/>
      <c r="T19" s="4">
        <f t="shared" si="8"/>
        <v>0</v>
      </c>
      <c r="U19" s="4">
        <f t="shared" si="9"/>
        <v>0</v>
      </c>
      <c r="V19" s="4"/>
      <c r="W19" s="15"/>
      <c r="X19" s="13"/>
      <c r="Y19" s="5" t="e">
        <f t="shared" si="10"/>
        <v>#DIV/0!</v>
      </c>
      <c r="Z19" s="13" t="e">
        <f t="shared" si="6"/>
        <v>#DIV/0!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/>
      <c r="AJ19" s="5">
        <f t="shared" si="11"/>
        <v>0</v>
      </c>
      <c r="AK19" s="5">
        <f t="shared" si="12"/>
        <v>0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</row>
    <row r="20" spans="1:53" x14ac:dyDescent="0.25">
      <c r="A20" s="5" t="s">
        <v>56</v>
      </c>
      <c r="B20" s="5" t="s">
        <v>39</v>
      </c>
      <c r="C20" s="5">
        <v>70.825999999999993</v>
      </c>
      <c r="D20" s="5">
        <v>27.48</v>
      </c>
      <c r="E20" s="5">
        <v>25.065000000000001</v>
      </c>
      <c r="F20" s="5">
        <v>73.236999999999995</v>
      </c>
      <c r="G20" s="8">
        <v>1</v>
      </c>
      <c r="H20" s="5">
        <v>120</v>
      </c>
      <c r="I20" s="5" t="s">
        <v>36</v>
      </c>
      <c r="J20" s="5"/>
      <c r="K20" s="5">
        <v>24.9</v>
      </c>
      <c r="L20" s="5">
        <f t="shared" si="4"/>
        <v>0.1650000000000027</v>
      </c>
      <c r="M20" s="5"/>
      <c r="N20" s="5"/>
      <c r="O20" s="5"/>
      <c r="P20" s="5">
        <f t="shared" si="5"/>
        <v>5.0129999999999999</v>
      </c>
      <c r="Q20" s="4"/>
      <c r="R20" s="4">
        <f>W20</f>
        <v>15</v>
      </c>
      <c r="S20" s="4"/>
      <c r="T20" s="4">
        <f t="shared" si="8"/>
        <v>15</v>
      </c>
      <c r="U20" s="4">
        <f t="shared" si="9"/>
        <v>15</v>
      </c>
      <c r="V20" s="4"/>
      <c r="W20" s="4">
        <v>15</v>
      </c>
      <c r="X20" s="5" t="s">
        <v>149</v>
      </c>
      <c r="Y20" s="5">
        <f t="shared" si="10"/>
        <v>17.601635747057649</v>
      </c>
      <c r="Z20" s="5">
        <f t="shared" si="6"/>
        <v>14.609415519648913</v>
      </c>
      <c r="AA20" s="5">
        <v>5.8650000000000002</v>
      </c>
      <c r="AB20" s="5">
        <v>4.0956000000000001</v>
      </c>
      <c r="AC20" s="5">
        <v>3.5998000000000001</v>
      </c>
      <c r="AD20" s="5">
        <v>4.1834000000000007</v>
      </c>
      <c r="AE20" s="5">
        <v>5.5721999999999996</v>
      </c>
      <c r="AF20" s="5">
        <v>1.2942</v>
      </c>
      <c r="AG20" s="5">
        <v>4.3330000000000002</v>
      </c>
      <c r="AH20" s="5">
        <v>2.7464</v>
      </c>
      <c r="AI20" s="5"/>
      <c r="AJ20" s="5">
        <f t="shared" si="11"/>
        <v>15</v>
      </c>
      <c r="AK20" s="5">
        <f t="shared" si="12"/>
        <v>0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x14ac:dyDescent="0.25">
      <c r="A21" s="5" t="s">
        <v>57</v>
      </c>
      <c r="B21" s="5" t="s">
        <v>35</v>
      </c>
      <c r="C21" s="5">
        <v>137</v>
      </c>
      <c r="D21" s="5">
        <v>595</v>
      </c>
      <c r="E21" s="5">
        <v>120</v>
      </c>
      <c r="F21" s="5">
        <v>396</v>
      </c>
      <c r="G21" s="8">
        <v>0.4</v>
      </c>
      <c r="H21" s="5">
        <v>45</v>
      </c>
      <c r="I21" s="5" t="s">
        <v>36</v>
      </c>
      <c r="J21" s="5"/>
      <c r="K21" s="5">
        <v>136</v>
      </c>
      <c r="L21" s="5">
        <f t="shared" si="4"/>
        <v>-16</v>
      </c>
      <c r="M21" s="5"/>
      <c r="N21" s="5"/>
      <c r="O21" s="5"/>
      <c r="P21" s="5">
        <f t="shared" si="5"/>
        <v>24</v>
      </c>
      <c r="Q21" s="4"/>
      <c r="R21" s="4">
        <f t="shared" si="7"/>
        <v>0</v>
      </c>
      <c r="S21" s="4"/>
      <c r="T21" s="4">
        <f t="shared" si="8"/>
        <v>0</v>
      </c>
      <c r="U21" s="4">
        <f t="shared" si="9"/>
        <v>0</v>
      </c>
      <c r="V21" s="4"/>
      <c r="W21" s="4"/>
      <c r="X21" s="5"/>
      <c r="Y21" s="5">
        <f t="shared" si="10"/>
        <v>16.5</v>
      </c>
      <c r="Z21" s="5">
        <f t="shared" si="6"/>
        <v>16.5</v>
      </c>
      <c r="AA21" s="5">
        <v>26.2</v>
      </c>
      <c r="AB21" s="5">
        <v>44</v>
      </c>
      <c r="AC21" s="5">
        <v>35.200000000000003</v>
      </c>
      <c r="AD21" s="5">
        <v>34.799999999999997</v>
      </c>
      <c r="AE21" s="5">
        <v>32</v>
      </c>
      <c r="AF21" s="5">
        <v>27.2</v>
      </c>
      <c r="AG21" s="5">
        <v>32.6</v>
      </c>
      <c r="AH21" s="5">
        <v>42.6</v>
      </c>
      <c r="AI21" s="5" t="s">
        <v>48</v>
      </c>
      <c r="AJ21" s="5">
        <f t="shared" si="11"/>
        <v>0</v>
      </c>
      <c r="AK21" s="5">
        <f t="shared" si="12"/>
        <v>0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 spans="1:53" x14ac:dyDescent="0.25">
      <c r="A22" s="5" t="s">
        <v>58</v>
      </c>
      <c r="B22" s="5" t="s">
        <v>39</v>
      </c>
      <c r="C22" s="5">
        <v>173.95099999999999</v>
      </c>
      <c r="D22" s="5">
        <v>394.67700000000002</v>
      </c>
      <c r="E22" s="5">
        <v>202.37700000000001</v>
      </c>
      <c r="F22" s="5">
        <v>355.05900000000003</v>
      </c>
      <c r="G22" s="8">
        <v>1</v>
      </c>
      <c r="H22" s="5">
        <v>60</v>
      </c>
      <c r="I22" s="5" t="s">
        <v>36</v>
      </c>
      <c r="J22" s="5"/>
      <c r="K22" s="5">
        <v>196.4</v>
      </c>
      <c r="L22" s="5">
        <f t="shared" si="4"/>
        <v>5.9770000000000039</v>
      </c>
      <c r="M22" s="5"/>
      <c r="N22" s="5"/>
      <c r="O22" s="5">
        <v>126</v>
      </c>
      <c r="P22" s="5">
        <f t="shared" si="5"/>
        <v>40.4754</v>
      </c>
      <c r="Q22" s="4">
        <f t="shared" ref="Q22:Q23" si="15">14*P22-O22-F22</f>
        <v>85.596600000000024</v>
      </c>
      <c r="R22" s="4">
        <f t="shared" si="7"/>
        <v>85.596600000000024</v>
      </c>
      <c r="S22" s="4"/>
      <c r="T22" s="4">
        <f t="shared" si="8"/>
        <v>86</v>
      </c>
      <c r="U22" s="4">
        <f t="shared" si="9"/>
        <v>0</v>
      </c>
      <c r="V22" s="4">
        <f>T22</f>
        <v>86</v>
      </c>
      <c r="W22" s="4"/>
      <c r="X22" s="5"/>
      <c r="Y22" s="5">
        <f t="shared" si="10"/>
        <v>14.009966547581987</v>
      </c>
      <c r="Z22" s="5">
        <f t="shared" si="6"/>
        <v>11.885219170162618</v>
      </c>
      <c r="AA22" s="5">
        <v>49.236600000000003</v>
      </c>
      <c r="AB22" s="5">
        <v>49.830199999999998</v>
      </c>
      <c r="AC22" s="5">
        <v>43.411799999999999</v>
      </c>
      <c r="AD22" s="5">
        <v>45.0916</v>
      </c>
      <c r="AE22" s="5">
        <v>42.107399999999998</v>
      </c>
      <c r="AF22" s="5">
        <v>51.632199999999997</v>
      </c>
      <c r="AG22" s="5">
        <v>37.295999999999999</v>
      </c>
      <c r="AH22" s="5">
        <v>44.628599999999999</v>
      </c>
      <c r="AI22" s="5"/>
      <c r="AJ22" s="5">
        <f t="shared" si="11"/>
        <v>0</v>
      </c>
      <c r="AK22" s="5">
        <f t="shared" si="12"/>
        <v>86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</row>
    <row r="23" spans="1:53" x14ac:dyDescent="0.25">
      <c r="A23" s="5" t="s">
        <v>59</v>
      </c>
      <c r="B23" s="5" t="s">
        <v>35</v>
      </c>
      <c r="C23" s="5">
        <v>17</v>
      </c>
      <c r="D23" s="5">
        <v>153</v>
      </c>
      <c r="E23" s="5">
        <v>45</v>
      </c>
      <c r="F23" s="5">
        <v>94</v>
      </c>
      <c r="G23" s="8">
        <v>0.22</v>
      </c>
      <c r="H23" s="5">
        <v>120</v>
      </c>
      <c r="I23" s="5" t="s">
        <v>36</v>
      </c>
      <c r="J23" s="5"/>
      <c r="K23" s="5">
        <v>75</v>
      </c>
      <c r="L23" s="5">
        <f t="shared" si="4"/>
        <v>-30</v>
      </c>
      <c r="M23" s="5"/>
      <c r="N23" s="5"/>
      <c r="O23" s="5"/>
      <c r="P23" s="5">
        <f t="shared" si="5"/>
        <v>9</v>
      </c>
      <c r="Q23" s="4">
        <f t="shared" si="15"/>
        <v>32</v>
      </c>
      <c r="R23" s="4">
        <f t="shared" si="7"/>
        <v>32</v>
      </c>
      <c r="S23" s="4"/>
      <c r="T23" s="4">
        <f t="shared" si="8"/>
        <v>32</v>
      </c>
      <c r="U23" s="4">
        <f t="shared" si="9"/>
        <v>32</v>
      </c>
      <c r="V23" s="4"/>
      <c r="W23" s="4"/>
      <c r="X23" s="5"/>
      <c r="Y23" s="5">
        <f t="shared" si="10"/>
        <v>14</v>
      </c>
      <c r="Z23" s="5">
        <f t="shared" si="6"/>
        <v>10.444444444444445</v>
      </c>
      <c r="AA23" s="5">
        <v>13</v>
      </c>
      <c r="AB23" s="5">
        <v>13</v>
      </c>
      <c r="AC23" s="5">
        <v>10.4</v>
      </c>
      <c r="AD23" s="5">
        <v>9.6</v>
      </c>
      <c r="AE23" s="5">
        <v>9.1999999999999993</v>
      </c>
      <c r="AF23" s="5">
        <v>11.2</v>
      </c>
      <c r="AG23" s="5">
        <v>13.6</v>
      </c>
      <c r="AH23" s="5">
        <v>10.6</v>
      </c>
      <c r="AI23" s="5"/>
      <c r="AJ23" s="5">
        <f t="shared" si="11"/>
        <v>7.04</v>
      </c>
      <c r="AK23" s="5">
        <f t="shared" si="12"/>
        <v>0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</row>
    <row r="24" spans="1:53" x14ac:dyDescent="0.25">
      <c r="A24" s="13" t="s">
        <v>60</v>
      </c>
      <c r="B24" s="13" t="s">
        <v>35</v>
      </c>
      <c r="C24" s="13">
        <v>-2</v>
      </c>
      <c r="D24" s="13">
        <v>2</v>
      </c>
      <c r="E24" s="13"/>
      <c r="F24" s="13"/>
      <c r="G24" s="14">
        <v>0</v>
      </c>
      <c r="H24" s="13">
        <v>60</v>
      </c>
      <c r="I24" s="13" t="s">
        <v>61</v>
      </c>
      <c r="J24" s="13"/>
      <c r="K24" s="13"/>
      <c r="L24" s="13">
        <f t="shared" si="4"/>
        <v>0</v>
      </c>
      <c r="M24" s="13"/>
      <c r="N24" s="13"/>
      <c r="O24" s="13"/>
      <c r="P24" s="13">
        <f t="shared" si="5"/>
        <v>0</v>
      </c>
      <c r="Q24" s="15"/>
      <c r="R24" s="4">
        <f t="shared" si="7"/>
        <v>0</v>
      </c>
      <c r="S24" s="15"/>
      <c r="T24" s="4">
        <f t="shared" si="8"/>
        <v>0</v>
      </c>
      <c r="U24" s="4">
        <f t="shared" si="9"/>
        <v>0</v>
      </c>
      <c r="V24" s="4"/>
      <c r="W24" s="15"/>
      <c r="X24" s="13"/>
      <c r="Y24" s="5" t="e">
        <f t="shared" si="10"/>
        <v>#DIV/0!</v>
      </c>
      <c r="Z24" s="13" t="e">
        <f t="shared" si="6"/>
        <v>#DIV/0!</v>
      </c>
      <c r="AA24" s="13">
        <v>-0.6</v>
      </c>
      <c r="AB24" s="13">
        <v>-0.2</v>
      </c>
      <c r="AC24" s="13">
        <v>-0.2</v>
      </c>
      <c r="AD24" s="13">
        <v>2</v>
      </c>
      <c r="AE24" s="13">
        <v>2.2000000000000002</v>
      </c>
      <c r="AF24" s="13">
        <v>2.2000000000000002</v>
      </c>
      <c r="AG24" s="13">
        <v>2.4</v>
      </c>
      <c r="AH24" s="13">
        <v>3.2</v>
      </c>
      <c r="AI24" s="13" t="s">
        <v>62</v>
      </c>
      <c r="AJ24" s="5">
        <f t="shared" si="11"/>
        <v>0</v>
      </c>
      <c r="AK24" s="5">
        <f t="shared" si="12"/>
        <v>0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</row>
    <row r="25" spans="1:53" x14ac:dyDescent="0.25">
      <c r="A25" s="5" t="s">
        <v>63</v>
      </c>
      <c r="B25" s="5" t="s">
        <v>35</v>
      </c>
      <c r="C25" s="5">
        <v>77</v>
      </c>
      <c r="D25" s="5"/>
      <c r="E25" s="5">
        <v>20</v>
      </c>
      <c r="F25" s="5">
        <v>54</v>
      </c>
      <c r="G25" s="8">
        <v>0.15</v>
      </c>
      <c r="H25" s="5">
        <v>45</v>
      </c>
      <c r="I25" s="5" t="s">
        <v>36</v>
      </c>
      <c r="J25" s="5"/>
      <c r="K25" s="5">
        <v>21</v>
      </c>
      <c r="L25" s="5">
        <f t="shared" si="4"/>
        <v>-1</v>
      </c>
      <c r="M25" s="5"/>
      <c r="N25" s="5"/>
      <c r="O25" s="5">
        <v>19</v>
      </c>
      <c r="P25" s="5">
        <f t="shared" si="5"/>
        <v>4</v>
      </c>
      <c r="Q25" s="4"/>
      <c r="R25" s="4">
        <f>W25</f>
        <v>15</v>
      </c>
      <c r="S25" s="4"/>
      <c r="T25" s="4">
        <f t="shared" si="8"/>
        <v>15</v>
      </c>
      <c r="U25" s="4">
        <f t="shared" si="9"/>
        <v>15</v>
      </c>
      <c r="V25" s="4"/>
      <c r="W25" s="4">
        <v>15</v>
      </c>
      <c r="X25" s="5" t="s">
        <v>149</v>
      </c>
      <c r="Y25" s="5">
        <f t="shared" si="10"/>
        <v>22</v>
      </c>
      <c r="Z25" s="5">
        <f t="shared" si="6"/>
        <v>18.25</v>
      </c>
      <c r="AA25" s="5">
        <v>6.2</v>
      </c>
      <c r="AB25" s="5">
        <v>5.2</v>
      </c>
      <c r="AC25" s="5">
        <v>8.6</v>
      </c>
      <c r="AD25" s="5">
        <v>8</v>
      </c>
      <c r="AE25" s="5">
        <v>4.5999999999999996</v>
      </c>
      <c r="AF25" s="5">
        <v>0.4</v>
      </c>
      <c r="AG25" s="5">
        <v>2.4</v>
      </c>
      <c r="AH25" s="5">
        <v>0</v>
      </c>
      <c r="AI25" s="5" t="s">
        <v>64</v>
      </c>
      <c r="AJ25" s="5">
        <f t="shared" si="11"/>
        <v>2.25</v>
      </c>
      <c r="AK25" s="5">
        <f t="shared" si="12"/>
        <v>0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</row>
    <row r="26" spans="1:53" x14ac:dyDescent="0.25">
      <c r="A26" s="5" t="s">
        <v>65</v>
      </c>
      <c r="B26" s="5" t="s">
        <v>39</v>
      </c>
      <c r="C26" s="5">
        <v>1.0999999999999999E-2</v>
      </c>
      <c r="D26" s="5">
        <v>338.32</v>
      </c>
      <c r="E26" s="5">
        <v>65.105000000000004</v>
      </c>
      <c r="F26" s="5">
        <v>271.89400000000001</v>
      </c>
      <c r="G26" s="8">
        <v>1</v>
      </c>
      <c r="H26" s="5">
        <v>60</v>
      </c>
      <c r="I26" s="5" t="s">
        <v>36</v>
      </c>
      <c r="J26" s="5"/>
      <c r="K26" s="5">
        <v>75.2</v>
      </c>
      <c r="L26" s="5">
        <f t="shared" si="4"/>
        <v>-10.094999999999999</v>
      </c>
      <c r="M26" s="5"/>
      <c r="N26" s="5"/>
      <c r="O26" s="5">
        <v>111</v>
      </c>
      <c r="P26" s="5">
        <f t="shared" si="5"/>
        <v>13.021000000000001</v>
      </c>
      <c r="Q26" s="4"/>
      <c r="R26" s="4">
        <f t="shared" si="7"/>
        <v>0</v>
      </c>
      <c r="S26" s="4"/>
      <c r="T26" s="4">
        <f t="shared" si="8"/>
        <v>0</v>
      </c>
      <c r="U26" s="4">
        <f t="shared" si="9"/>
        <v>0</v>
      </c>
      <c r="V26" s="4"/>
      <c r="W26" s="4"/>
      <c r="X26" s="5"/>
      <c r="Y26" s="5">
        <f t="shared" si="10"/>
        <v>29.405882804700099</v>
      </c>
      <c r="Z26" s="5">
        <f t="shared" si="6"/>
        <v>29.405882804700099</v>
      </c>
      <c r="AA26" s="5">
        <v>20.262599999999999</v>
      </c>
      <c r="AB26" s="5">
        <v>29.521599999999999</v>
      </c>
      <c r="AC26" s="5">
        <v>0</v>
      </c>
      <c r="AD26" s="5">
        <v>0</v>
      </c>
      <c r="AE26" s="5">
        <v>0.27260000000000001</v>
      </c>
      <c r="AF26" s="5">
        <v>9.3792000000000009</v>
      </c>
      <c r="AG26" s="5">
        <v>0</v>
      </c>
      <c r="AH26" s="5">
        <v>0</v>
      </c>
      <c r="AI26" s="5" t="s">
        <v>64</v>
      </c>
      <c r="AJ26" s="5">
        <f t="shared" si="11"/>
        <v>0</v>
      </c>
      <c r="AK26" s="5">
        <f t="shared" si="12"/>
        <v>0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3" x14ac:dyDescent="0.25">
      <c r="A27" s="5" t="s">
        <v>66</v>
      </c>
      <c r="B27" s="5" t="s">
        <v>35</v>
      </c>
      <c r="C27" s="5">
        <v>10</v>
      </c>
      <c r="D27" s="5">
        <v>1432</v>
      </c>
      <c r="E27" s="5">
        <v>96</v>
      </c>
      <c r="F27" s="5">
        <v>1299</v>
      </c>
      <c r="G27" s="8">
        <v>0.09</v>
      </c>
      <c r="H27" s="5">
        <v>60</v>
      </c>
      <c r="I27" s="11" t="s">
        <v>67</v>
      </c>
      <c r="J27" s="5"/>
      <c r="K27" s="5">
        <v>127</v>
      </c>
      <c r="L27" s="5">
        <f t="shared" si="4"/>
        <v>-31</v>
      </c>
      <c r="M27" s="5"/>
      <c r="N27" s="5"/>
      <c r="O27" s="5"/>
      <c r="P27" s="5">
        <f t="shared" si="5"/>
        <v>19.2</v>
      </c>
      <c r="Q27" s="4"/>
      <c r="R27" s="4">
        <f t="shared" si="7"/>
        <v>0</v>
      </c>
      <c r="S27" s="4"/>
      <c r="T27" s="4">
        <f t="shared" si="8"/>
        <v>0</v>
      </c>
      <c r="U27" s="4">
        <f t="shared" si="9"/>
        <v>0</v>
      </c>
      <c r="V27" s="4"/>
      <c r="W27" s="4"/>
      <c r="X27" s="5"/>
      <c r="Y27" s="5">
        <f t="shared" si="10"/>
        <v>67.65625</v>
      </c>
      <c r="Z27" s="5">
        <f t="shared" si="6"/>
        <v>67.65625</v>
      </c>
      <c r="AA27" s="5">
        <v>9.1999999999999993</v>
      </c>
      <c r="AB27" s="5">
        <v>25.4</v>
      </c>
      <c r="AC27" s="5">
        <v>0</v>
      </c>
      <c r="AD27" s="5">
        <v>18</v>
      </c>
      <c r="AE27" s="5">
        <v>2</v>
      </c>
      <c r="AF27" s="5">
        <v>11.8</v>
      </c>
      <c r="AG27" s="5">
        <v>3</v>
      </c>
      <c r="AH27" s="5">
        <v>6.4</v>
      </c>
      <c r="AI27" s="5"/>
      <c r="AJ27" s="5">
        <f t="shared" si="11"/>
        <v>0</v>
      </c>
      <c r="AK27" s="5">
        <f t="shared" si="12"/>
        <v>0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3" x14ac:dyDescent="0.25">
      <c r="A28" s="5" t="s">
        <v>68</v>
      </c>
      <c r="B28" s="5" t="s">
        <v>35</v>
      </c>
      <c r="C28" s="5">
        <v>109</v>
      </c>
      <c r="D28" s="5">
        <v>259</v>
      </c>
      <c r="E28" s="5">
        <v>103</v>
      </c>
      <c r="F28" s="5">
        <v>188</v>
      </c>
      <c r="G28" s="8">
        <v>0.09</v>
      </c>
      <c r="H28" s="5">
        <v>45</v>
      </c>
      <c r="I28" s="5" t="s">
        <v>36</v>
      </c>
      <c r="J28" s="5"/>
      <c r="K28" s="5">
        <v>105</v>
      </c>
      <c r="L28" s="5">
        <f t="shared" si="4"/>
        <v>-2</v>
      </c>
      <c r="M28" s="5"/>
      <c r="N28" s="5"/>
      <c r="O28" s="5">
        <v>92</v>
      </c>
      <c r="P28" s="5">
        <f t="shared" si="5"/>
        <v>20.6</v>
      </c>
      <c r="Q28" s="4">
        <f t="shared" ref="Q28:Q67" si="16">14*P28-O28-F28</f>
        <v>8.4000000000000341</v>
      </c>
      <c r="R28" s="4">
        <f t="shared" si="7"/>
        <v>8.4000000000000341</v>
      </c>
      <c r="S28" s="4"/>
      <c r="T28" s="4">
        <f t="shared" si="8"/>
        <v>8</v>
      </c>
      <c r="U28" s="4">
        <f t="shared" si="9"/>
        <v>8</v>
      </c>
      <c r="V28" s="4"/>
      <c r="W28" s="4"/>
      <c r="X28" s="5"/>
      <c r="Y28" s="5">
        <f t="shared" si="10"/>
        <v>13.980582524271844</v>
      </c>
      <c r="Z28" s="5">
        <f t="shared" si="6"/>
        <v>13.592233009708737</v>
      </c>
      <c r="AA28" s="5">
        <v>26.2</v>
      </c>
      <c r="AB28" s="5">
        <v>24.2</v>
      </c>
      <c r="AC28" s="5">
        <v>26.2</v>
      </c>
      <c r="AD28" s="5">
        <v>28.8</v>
      </c>
      <c r="AE28" s="5">
        <v>26</v>
      </c>
      <c r="AF28" s="5">
        <v>21</v>
      </c>
      <c r="AG28" s="5">
        <v>22.8</v>
      </c>
      <c r="AH28" s="5">
        <v>37</v>
      </c>
      <c r="AI28" s="5" t="s">
        <v>48</v>
      </c>
      <c r="AJ28" s="5">
        <f t="shared" si="11"/>
        <v>0.72</v>
      </c>
      <c r="AK28" s="5">
        <f t="shared" si="12"/>
        <v>0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3" x14ac:dyDescent="0.25">
      <c r="A29" s="5" t="s">
        <v>69</v>
      </c>
      <c r="B29" s="5" t="s">
        <v>35</v>
      </c>
      <c r="C29" s="5">
        <v>39</v>
      </c>
      <c r="D29" s="5">
        <v>477</v>
      </c>
      <c r="E29" s="5">
        <v>117</v>
      </c>
      <c r="F29" s="5">
        <v>300</v>
      </c>
      <c r="G29" s="8">
        <v>0.4</v>
      </c>
      <c r="H29" s="5">
        <v>60</v>
      </c>
      <c r="I29" s="5" t="s">
        <v>36</v>
      </c>
      <c r="J29" s="5"/>
      <c r="K29" s="5">
        <v>119.3</v>
      </c>
      <c r="L29" s="5">
        <f t="shared" si="4"/>
        <v>-2.2999999999999972</v>
      </c>
      <c r="M29" s="5"/>
      <c r="N29" s="5"/>
      <c r="O29" s="5">
        <v>68</v>
      </c>
      <c r="P29" s="5">
        <f t="shared" si="5"/>
        <v>23.4</v>
      </c>
      <c r="Q29" s="4"/>
      <c r="R29" s="4">
        <f t="shared" si="7"/>
        <v>0</v>
      </c>
      <c r="S29" s="4"/>
      <c r="T29" s="4">
        <f t="shared" si="8"/>
        <v>0</v>
      </c>
      <c r="U29" s="4">
        <f t="shared" si="9"/>
        <v>0</v>
      </c>
      <c r="V29" s="4"/>
      <c r="W29" s="4"/>
      <c r="X29" s="5"/>
      <c r="Y29" s="5">
        <f t="shared" si="10"/>
        <v>15.726495726495727</v>
      </c>
      <c r="Z29" s="5">
        <f t="shared" si="6"/>
        <v>15.726495726495727</v>
      </c>
      <c r="AA29" s="5">
        <v>30.4</v>
      </c>
      <c r="AB29" s="5">
        <v>33.4</v>
      </c>
      <c r="AC29" s="5">
        <v>23.2</v>
      </c>
      <c r="AD29" s="5">
        <v>32</v>
      </c>
      <c r="AE29" s="5">
        <v>33</v>
      </c>
      <c r="AF29" s="5">
        <v>34.200000000000003</v>
      </c>
      <c r="AG29" s="5">
        <v>31.6</v>
      </c>
      <c r="AH29" s="5">
        <v>29.6</v>
      </c>
      <c r="AI29" s="5"/>
      <c r="AJ29" s="5">
        <f t="shared" si="11"/>
        <v>0</v>
      </c>
      <c r="AK29" s="5">
        <f t="shared" si="12"/>
        <v>0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3" x14ac:dyDescent="0.25">
      <c r="A30" s="5" t="s">
        <v>70</v>
      </c>
      <c r="B30" s="5" t="s">
        <v>35</v>
      </c>
      <c r="C30" s="5">
        <v>2</v>
      </c>
      <c r="D30" s="5">
        <v>134</v>
      </c>
      <c r="E30" s="5">
        <v>48</v>
      </c>
      <c r="F30" s="5">
        <v>86</v>
      </c>
      <c r="G30" s="8">
        <v>0.15</v>
      </c>
      <c r="H30" s="5">
        <v>45</v>
      </c>
      <c r="I30" s="12" t="s">
        <v>36</v>
      </c>
      <c r="J30" s="5"/>
      <c r="K30" s="5">
        <v>51</v>
      </c>
      <c r="L30" s="5">
        <f t="shared" si="4"/>
        <v>-3</v>
      </c>
      <c r="M30" s="5"/>
      <c r="N30" s="5"/>
      <c r="O30" s="5"/>
      <c r="P30" s="5">
        <f t="shared" si="5"/>
        <v>9.6</v>
      </c>
      <c r="Q30" s="4">
        <f t="shared" si="16"/>
        <v>48.400000000000006</v>
      </c>
      <c r="R30" s="4">
        <f t="shared" si="7"/>
        <v>48.400000000000006</v>
      </c>
      <c r="S30" s="4"/>
      <c r="T30" s="4">
        <f t="shared" si="8"/>
        <v>48</v>
      </c>
      <c r="U30" s="4">
        <f t="shared" si="9"/>
        <v>48</v>
      </c>
      <c r="V30" s="4"/>
      <c r="W30" s="4"/>
      <c r="X30" s="5"/>
      <c r="Y30" s="5">
        <f t="shared" si="10"/>
        <v>13.958333333333334</v>
      </c>
      <c r="Z30" s="5">
        <f t="shared" si="6"/>
        <v>8.9583333333333339</v>
      </c>
      <c r="AA30" s="5">
        <v>9</v>
      </c>
      <c r="AB30" s="5">
        <v>0</v>
      </c>
      <c r="AC30" s="5">
        <v>8</v>
      </c>
      <c r="AD30" s="5">
        <v>0.4</v>
      </c>
      <c r="AE30" s="5">
        <v>7.6</v>
      </c>
      <c r="AF30" s="5">
        <v>2.8</v>
      </c>
      <c r="AG30" s="5">
        <v>29.4</v>
      </c>
      <c r="AH30" s="5">
        <v>0.8</v>
      </c>
      <c r="AI30" s="5" t="s">
        <v>71</v>
      </c>
      <c r="AJ30" s="5">
        <f t="shared" si="11"/>
        <v>7.1999999999999993</v>
      </c>
      <c r="AK30" s="5">
        <f t="shared" si="12"/>
        <v>0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</row>
    <row r="31" spans="1:53" x14ac:dyDescent="0.25">
      <c r="A31" s="5" t="s">
        <v>72</v>
      </c>
      <c r="B31" s="5" t="s">
        <v>39</v>
      </c>
      <c r="C31" s="5">
        <v>556.45100000000002</v>
      </c>
      <c r="D31" s="5">
        <v>246.923</v>
      </c>
      <c r="E31" s="5">
        <v>291.25099999999998</v>
      </c>
      <c r="F31" s="5">
        <v>503.06200000000001</v>
      </c>
      <c r="G31" s="8">
        <v>1</v>
      </c>
      <c r="H31" s="5">
        <v>45</v>
      </c>
      <c r="I31" s="5" t="s">
        <v>36</v>
      </c>
      <c r="J31" s="5"/>
      <c r="K31" s="5">
        <v>288.5</v>
      </c>
      <c r="L31" s="5">
        <f t="shared" si="4"/>
        <v>2.7509999999999764</v>
      </c>
      <c r="M31" s="5"/>
      <c r="N31" s="5"/>
      <c r="O31" s="5">
        <v>159</v>
      </c>
      <c r="P31" s="5">
        <f t="shared" si="5"/>
        <v>58.250199999999992</v>
      </c>
      <c r="Q31" s="4">
        <f t="shared" si="16"/>
        <v>153.44079999999985</v>
      </c>
      <c r="R31" s="4">
        <f t="shared" si="7"/>
        <v>153.44079999999985</v>
      </c>
      <c r="S31" s="4"/>
      <c r="T31" s="4">
        <f t="shared" si="8"/>
        <v>153</v>
      </c>
      <c r="U31" s="4">
        <f t="shared" si="9"/>
        <v>0</v>
      </c>
      <c r="V31" s="4">
        <f>T31</f>
        <v>153</v>
      </c>
      <c r="W31" s="4"/>
      <c r="X31" s="5"/>
      <c r="Y31" s="5">
        <f t="shared" si="10"/>
        <v>13.99243264400809</v>
      </c>
      <c r="Z31" s="5">
        <f t="shared" si="6"/>
        <v>11.365832220318559</v>
      </c>
      <c r="AA31" s="5">
        <v>59.423400000000001</v>
      </c>
      <c r="AB31" s="5">
        <v>44.594200000000001</v>
      </c>
      <c r="AC31" s="5">
        <v>63.741600000000012</v>
      </c>
      <c r="AD31" s="5">
        <v>50.565399999999997</v>
      </c>
      <c r="AE31" s="5">
        <v>77.327399999999997</v>
      </c>
      <c r="AF31" s="5">
        <v>60.5246</v>
      </c>
      <c r="AG31" s="5">
        <v>46.876399999999997</v>
      </c>
      <c r="AH31" s="5">
        <v>49.421399999999998</v>
      </c>
      <c r="AI31" s="5"/>
      <c r="AJ31" s="5">
        <f t="shared" si="11"/>
        <v>0</v>
      </c>
      <c r="AK31" s="5">
        <f t="shared" si="12"/>
        <v>153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</row>
    <row r="32" spans="1:53" x14ac:dyDescent="0.25">
      <c r="A32" s="5" t="s">
        <v>73</v>
      </c>
      <c r="B32" s="5" t="s">
        <v>35</v>
      </c>
      <c r="C32" s="5">
        <v>139</v>
      </c>
      <c r="D32" s="5">
        <v>205</v>
      </c>
      <c r="E32" s="5">
        <v>155</v>
      </c>
      <c r="F32" s="5">
        <v>119</v>
      </c>
      <c r="G32" s="8">
        <v>0.4</v>
      </c>
      <c r="H32" s="5">
        <v>60</v>
      </c>
      <c r="I32" s="5" t="s">
        <v>36</v>
      </c>
      <c r="J32" s="5"/>
      <c r="K32" s="5">
        <v>155</v>
      </c>
      <c r="L32" s="5">
        <f t="shared" si="4"/>
        <v>0</v>
      </c>
      <c r="M32" s="5"/>
      <c r="N32" s="5"/>
      <c r="O32" s="5">
        <v>28</v>
      </c>
      <c r="P32" s="5">
        <f t="shared" si="5"/>
        <v>31</v>
      </c>
      <c r="Q32" s="4">
        <f t="shared" si="16"/>
        <v>287</v>
      </c>
      <c r="R32" s="4">
        <f t="shared" si="7"/>
        <v>287</v>
      </c>
      <c r="S32" s="4"/>
      <c r="T32" s="4">
        <f t="shared" si="8"/>
        <v>287</v>
      </c>
      <c r="U32" s="4">
        <f t="shared" si="9"/>
        <v>162.21739130434781</v>
      </c>
      <c r="V32" s="4">
        <f>T32/2.3</f>
        <v>124.78260869565219</v>
      </c>
      <c r="W32" s="4"/>
      <c r="X32" s="5"/>
      <c r="Y32" s="5">
        <f t="shared" si="10"/>
        <v>14</v>
      </c>
      <c r="Z32" s="5">
        <f t="shared" si="6"/>
        <v>4.741935483870968</v>
      </c>
      <c r="AA32" s="5">
        <v>20.6</v>
      </c>
      <c r="AB32" s="5">
        <v>26.4</v>
      </c>
      <c r="AC32" s="5">
        <v>25.6</v>
      </c>
      <c r="AD32" s="5">
        <v>24.2</v>
      </c>
      <c r="AE32" s="5">
        <v>18.600000000000001</v>
      </c>
      <c r="AF32" s="5">
        <v>35.4</v>
      </c>
      <c r="AG32" s="5">
        <v>1.8</v>
      </c>
      <c r="AH32" s="5">
        <v>36.200000000000003</v>
      </c>
      <c r="AI32" s="5" t="s">
        <v>48</v>
      </c>
      <c r="AJ32" s="5">
        <f t="shared" si="11"/>
        <v>64.886956521739123</v>
      </c>
      <c r="AK32" s="5">
        <f t="shared" si="12"/>
        <v>49.913043478260875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</row>
    <row r="33" spans="1:53" x14ac:dyDescent="0.25">
      <c r="A33" s="5" t="s">
        <v>74</v>
      </c>
      <c r="B33" s="5" t="s">
        <v>35</v>
      </c>
      <c r="C33" s="5">
        <v>17</v>
      </c>
      <c r="D33" s="5">
        <v>81</v>
      </c>
      <c r="E33" s="5">
        <v>22</v>
      </c>
      <c r="F33" s="5">
        <v>63</v>
      </c>
      <c r="G33" s="8">
        <v>0.4</v>
      </c>
      <c r="H33" s="5">
        <v>60</v>
      </c>
      <c r="I33" s="5" t="s">
        <v>36</v>
      </c>
      <c r="J33" s="5"/>
      <c r="K33" s="5">
        <v>30</v>
      </c>
      <c r="L33" s="5">
        <f t="shared" si="4"/>
        <v>-8</v>
      </c>
      <c r="M33" s="5"/>
      <c r="N33" s="5"/>
      <c r="O33" s="5"/>
      <c r="P33" s="5">
        <f t="shared" si="5"/>
        <v>4.4000000000000004</v>
      </c>
      <c r="Q33" s="4"/>
      <c r="R33" s="4">
        <f t="shared" si="7"/>
        <v>0</v>
      </c>
      <c r="S33" s="4"/>
      <c r="T33" s="4">
        <f t="shared" si="8"/>
        <v>0</v>
      </c>
      <c r="U33" s="4">
        <f t="shared" si="9"/>
        <v>0</v>
      </c>
      <c r="V33" s="4"/>
      <c r="W33" s="4"/>
      <c r="X33" s="5"/>
      <c r="Y33" s="5">
        <f t="shared" si="10"/>
        <v>14.318181818181817</v>
      </c>
      <c r="Z33" s="5">
        <f t="shared" si="6"/>
        <v>14.318181818181817</v>
      </c>
      <c r="AA33" s="5">
        <v>7</v>
      </c>
      <c r="AB33" s="5">
        <v>4.8</v>
      </c>
      <c r="AC33" s="5">
        <v>4.8</v>
      </c>
      <c r="AD33" s="5">
        <v>7.2</v>
      </c>
      <c r="AE33" s="5">
        <v>4.8</v>
      </c>
      <c r="AF33" s="5">
        <v>4.4000000000000004</v>
      </c>
      <c r="AG33" s="5">
        <v>4</v>
      </c>
      <c r="AH33" s="5">
        <v>0.8</v>
      </c>
      <c r="AI33" s="5"/>
      <c r="AJ33" s="5">
        <f t="shared" si="11"/>
        <v>0</v>
      </c>
      <c r="AK33" s="5">
        <f t="shared" si="12"/>
        <v>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3" x14ac:dyDescent="0.25">
      <c r="A34" s="5" t="s">
        <v>75</v>
      </c>
      <c r="B34" s="5" t="s">
        <v>35</v>
      </c>
      <c r="C34" s="5">
        <v>96</v>
      </c>
      <c r="D34" s="5">
        <v>1051</v>
      </c>
      <c r="E34" s="5">
        <v>318</v>
      </c>
      <c r="F34" s="5">
        <v>590</v>
      </c>
      <c r="G34" s="8">
        <v>0.4</v>
      </c>
      <c r="H34" s="5">
        <v>60</v>
      </c>
      <c r="I34" s="5" t="s">
        <v>36</v>
      </c>
      <c r="J34" s="5"/>
      <c r="K34" s="5">
        <v>341</v>
      </c>
      <c r="L34" s="5">
        <f t="shared" si="4"/>
        <v>-23</v>
      </c>
      <c r="M34" s="5"/>
      <c r="N34" s="5"/>
      <c r="O34" s="5">
        <v>218</v>
      </c>
      <c r="P34" s="5">
        <f t="shared" si="5"/>
        <v>63.6</v>
      </c>
      <c r="Q34" s="4">
        <f t="shared" si="16"/>
        <v>82.399999999999977</v>
      </c>
      <c r="R34" s="4">
        <f t="shared" si="7"/>
        <v>82.399999999999977</v>
      </c>
      <c r="S34" s="4"/>
      <c r="T34" s="4">
        <f t="shared" si="8"/>
        <v>82</v>
      </c>
      <c r="U34" s="4">
        <f t="shared" si="9"/>
        <v>0</v>
      </c>
      <c r="V34" s="4">
        <f>T34</f>
        <v>82</v>
      </c>
      <c r="W34" s="4"/>
      <c r="X34" s="5"/>
      <c r="Y34" s="5">
        <f t="shared" si="10"/>
        <v>13.9937106918239</v>
      </c>
      <c r="Z34" s="5">
        <f t="shared" si="6"/>
        <v>12.70440251572327</v>
      </c>
      <c r="AA34" s="5">
        <v>73.8</v>
      </c>
      <c r="AB34" s="5">
        <v>74.400000000000006</v>
      </c>
      <c r="AC34" s="5">
        <v>52.6</v>
      </c>
      <c r="AD34" s="5">
        <v>60</v>
      </c>
      <c r="AE34" s="5">
        <v>75.2</v>
      </c>
      <c r="AF34" s="5">
        <v>71.8</v>
      </c>
      <c r="AG34" s="5">
        <v>71.400000000000006</v>
      </c>
      <c r="AH34" s="5">
        <v>63.2</v>
      </c>
      <c r="AI34" s="5" t="s">
        <v>48</v>
      </c>
      <c r="AJ34" s="5">
        <f t="shared" si="11"/>
        <v>0</v>
      </c>
      <c r="AK34" s="5">
        <f t="shared" si="12"/>
        <v>32.800000000000004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</row>
    <row r="35" spans="1:53" x14ac:dyDescent="0.25">
      <c r="A35" s="5" t="s">
        <v>76</v>
      </c>
      <c r="B35" s="5" t="s">
        <v>35</v>
      </c>
      <c r="C35" s="5">
        <v>234</v>
      </c>
      <c r="D35" s="5">
        <v>396</v>
      </c>
      <c r="E35" s="5">
        <v>289</v>
      </c>
      <c r="F35" s="5">
        <v>215</v>
      </c>
      <c r="G35" s="8">
        <v>0.4</v>
      </c>
      <c r="H35" s="5">
        <v>60</v>
      </c>
      <c r="I35" s="5" t="s">
        <v>36</v>
      </c>
      <c r="J35" s="5"/>
      <c r="K35" s="5">
        <v>289</v>
      </c>
      <c r="L35" s="5">
        <f t="shared" si="4"/>
        <v>0</v>
      </c>
      <c r="M35" s="5"/>
      <c r="N35" s="5"/>
      <c r="O35" s="5">
        <v>147</v>
      </c>
      <c r="P35" s="5">
        <f t="shared" si="5"/>
        <v>57.8</v>
      </c>
      <c r="Q35" s="4">
        <f t="shared" si="16"/>
        <v>447.19999999999993</v>
      </c>
      <c r="R35" s="4">
        <f t="shared" si="7"/>
        <v>447.19999999999993</v>
      </c>
      <c r="S35" s="4"/>
      <c r="T35" s="4">
        <f t="shared" si="8"/>
        <v>447</v>
      </c>
      <c r="U35" s="4">
        <f t="shared" si="9"/>
        <v>252.65217391304347</v>
      </c>
      <c r="V35" s="4">
        <f>T35/2.3</f>
        <v>194.34782608695653</v>
      </c>
      <c r="W35" s="4"/>
      <c r="X35" s="5"/>
      <c r="Y35" s="5">
        <f t="shared" si="10"/>
        <v>13.996539792387544</v>
      </c>
      <c r="Z35" s="5">
        <f t="shared" si="6"/>
        <v>6.2629757785467133</v>
      </c>
      <c r="AA35" s="5">
        <v>45.8</v>
      </c>
      <c r="AB35" s="5">
        <v>43.4</v>
      </c>
      <c r="AC35" s="5">
        <v>48.8</v>
      </c>
      <c r="AD35" s="5">
        <v>43.2</v>
      </c>
      <c r="AE35" s="5">
        <v>46.4</v>
      </c>
      <c r="AF35" s="5">
        <v>27.6</v>
      </c>
      <c r="AG35" s="5">
        <v>47.6</v>
      </c>
      <c r="AH35" s="5">
        <v>37.4</v>
      </c>
      <c r="AI35" s="5" t="s">
        <v>48</v>
      </c>
      <c r="AJ35" s="5">
        <f t="shared" si="11"/>
        <v>101.06086956521739</v>
      </c>
      <c r="AK35" s="5">
        <f t="shared" si="12"/>
        <v>77.739130434782624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3" x14ac:dyDescent="0.25">
      <c r="A36" s="5" t="s">
        <v>77</v>
      </c>
      <c r="B36" s="5" t="s">
        <v>35</v>
      </c>
      <c r="C36" s="5">
        <v>1262</v>
      </c>
      <c r="D36" s="5">
        <v>2030</v>
      </c>
      <c r="E36" s="5">
        <v>656</v>
      </c>
      <c r="F36" s="5">
        <v>1975</v>
      </c>
      <c r="G36" s="8">
        <v>0.4</v>
      </c>
      <c r="H36" s="5">
        <v>60</v>
      </c>
      <c r="I36" s="11" t="s">
        <v>67</v>
      </c>
      <c r="J36" s="5"/>
      <c r="K36" s="5">
        <v>673</v>
      </c>
      <c r="L36" s="5">
        <f t="shared" si="4"/>
        <v>-17</v>
      </c>
      <c r="M36" s="5"/>
      <c r="N36" s="5"/>
      <c r="O36" s="5"/>
      <c r="P36" s="5">
        <f t="shared" si="5"/>
        <v>131.19999999999999</v>
      </c>
      <c r="Q36" s="4"/>
      <c r="R36" s="4">
        <f t="shared" si="7"/>
        <v>0</v>
      </c>
      <c r="S36" s="4"/>
      <c r="T36" s="4">
        <f t="shared" si="8"/>
        <v>0</v>
      </c>
      <c r="U36" s="4">
        <f t="shared" si="9"/>
        <v>0</v>
      </c>
      <c r="V36" s="4"/>
      <c r="W36" s="4"/>
      <c r="X36" s="5"/>
      <c r="Y36" s="5">
        <f t="shared" si="10"/>
        <v>15.053353658536587</v>
      </c>
      <c r="Z36" s="5">
        <f t="shared" si="6"/>
        <v>15.053353658536587</v>
      </c>
      <c r="AA36" s="5">
        <v>86.2</v>
      </c>
      <c r="AB36" s="5">
        <v>100.2</v>
      </c>
      <c r="AC36" s="5">
        <v>155.19999999999999</v>
      </c>
      <c r="AD36" s="5">
        <v>151.4</v>
      </c>
      <c r="AE36" s="5">
        <v>192.4</v>
      </c>
      <c r="AF36" s="5">
        <v>105</v>
      </c>
      <c r="AG36" s="5">
        <v>119.6</v>
      </c>
      <c r="AH36" s="5">
        <v>117.4</v>
      </c>
      <c r="AI36" s="5" t="s">
        <v>48</v>
      </c>
      <c r="AJ36" s="5">
        <f t="shared" si="11"/>
        <v>0</v>
      </c>
      <c r="AK36" s="5">
        <f t="shared" si="12"/>
        <v>0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3" x14ac:dyDescent="0.25">
      <c r="A37" s="5" t="s">
        <v>78</v>
      </c>
      <c r="B37" s="5" t="s">
        <v>35</v>
      </c>
      <c r="C37" s="5">
        <v>60</v>
      </c>
      <c r="D37" s="5">
        <v>74</v>
      </c>
      <c r="E37" s="5">
        <v>30</v>
      </c>
      <c r="F37" s="5">
        <v>54</v>
      </c>
      <c r="G37" s="8">
        <v>0.1</v>
      </c>
      <c r="H37" s="5">
        <v>45</v>
      </c>
      <c r="I37" s="5" t="s">
        <v>36</v>
      </c>
      <c r="J37" s="5"/>
      <c r="K37" s="5">
        <v>31</v>
      </c>
      <c r="L37" s="5">
        <f t="shared" si="4"/>
        <v>-1</v>
      </c>
      <c r="M37" s="5"/>
      <c r="N37" s="5"/>
      <c r="O37" s="5"/>
      <c r="P37" s="5">
        <f t="shared" si="5"/>
        <v>6</v>
      </c>
      <c r="Q37" s="4">
        <f t="shared" si="16"/>
        <v>30</v>
      </c>
      <c r="R37" s="4">
        <f t="shared" si="7"/>
        <v>30</v>
      </c>
      <c r="S37" s="4"/>
      <c r="T37" s="4">
        <f t="shared" si="8"/>
        <v>30</v>
      </c>
      <c r="U37" s="4">
        <f t="shared" si="9"/>
        <v>30</v>
      </c>
      <c r="V37" s="4"/>
      <c r="W37" s="4"/>
      <c r="X37" s="5"/>
      <c r="Y37" s="5">
        <f t="shared" si="10"/>
        <v>14</v>
      </c>
      <c r="Z37" s="5">
        <f t="shared" si="6"/>
        <v>9</v>
      </c>
      <c r="AA37" s="5">
        <v>1.8</v>
      </c>
      <c r="AB37" s="5">
        <v>7</v>
      </c>
      <c r="AC37" s="5">
        <v>5.8</v>
      </c>
      <c r="AD37" s="5">
        <v>6</v>
      </c>
      <c r="AE37" s="5">
        <v>2.2000000000000002</v>
      </c>
      <c r="AF37" s="5">
        <v>1.4</v>
      </c>
      <c r="AG37" s="5">
        <v>1.8</v>
      </c>
      <c r="AH37" s="5">
        <v>1.8</v>
      </c>
      <c r="AI37" s="12" t="s">
        <v>147</v>
      </c>
      <c r="AJ37" s="5">
        <f t="shared" si="11"/>
        <v>3</v>
      </c>
      <c r="AK37" s="5">
        <f t="shared" si="12"/>
        <v>0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3" x14ac:dyDescent="0.25">
      <c r="A38" s="5" t="s">
        <v>79</v>
      </c>
      <c r="B38" s="5" t="s">
        <v>35</v>
      </c>
      <c r="C38" s="5">
        <v>153</v>
      </c>
      <c r="D38" s="5">
        <v>400</v>
      </c>
      <c r="E38" s="5">
        <v>194</v>
      </c>
      <c r="F38" s="5">
        <v>306</v>
      </c>
      <c r="G38" s="8">
        <v>0.1</v>
      </c>
      <c r="H38" s="5">
        <v>60</v>
      </c>
      <c r="I38" s="5" t="s">
        <v>36</v>
      </c>
      <c r="J38" s="5"/>
      <c r="K38" s="5">
        <v>204</v>
      </c>
      <c r="L38" s="5">
        <f t="shared" ref="L38:L69" si="17">E38-K38</f>
        <v>-10</v>
      </c>
      <c r="M38" s="5"/>
      <c r="N38" s="5"/>
      <c r="O38" s="5"/>
      <c r="P38" s="5">
        <f t="shared" ref="P38:P69" si="18">E38/5</f>
        <v>38.799999999999997</v>
      </c>
      <c r="Q38" s="4">
        <f t="shared" si="16"/>
        <v>237.19999999999993</v>
      </c>
      <c r="R38" s="4">
        <f t="shared" si="7"/>
        <v>237.19999999999993</v>
      </c>
      <c r="S38" s="4"/>
      <c r="T38" s="4">
        <f t="shared" si="8"/>
        <v>237</v>
      </c>
      <c r="U38" s="4">
        <f t="shared" si="9"/>
        <v>133.95652173913044</v>
      </c>
      <c r="V38" s="4">
        <f t="shared" ref="V38:V39" si="19">T38/2.3</f>
        <v>103.04347826086958</v>
      </c>
      <c r="W38" s="4"/>
      <c r="X38" s="5"/>
      <c r="Y38" s="5">
        <f t="shared" si="10"/>
        <v>13.994845360824744</v>
      </c>
      <c r="Z38" s="5">
        <f t="shared" ref="Z38:Z69" si="20">(F38+O38)/P38</f>
        <v>7.8865979381443303</v>
      </c>
      <c r="AA38" s="5">
        <v>34.6</v>
      </c>
      <c r="AB38" s="5">
        <v>44.8</v>
      </c>
      <c r="AC38" s="5">
        <v>40</v>
      </c>
      <c r="AD38" s="5">
        <v>39.799999999999997</v>
      </c>
      <c r="AE38" s="5">
        <v>32.200000000000003</v>
      </c>
      <c r="AF38" s="5">
        <v>43.6</v>
      </c>
      <c r="AG38" s="5">
        <v>40.6</v>
      </c>
      <c r="AH38" s="5">
        <v>33.6</v>
      </c>
      <c r="AI38" s="5" t="s">
        <v>48</v>
      </c>
      <c r="AJ38" s="5">
        <f t="shared" si="11"/>
        <v>13.395652173913044</v>
      </c>
      <c r="AK38" s="5">
        <f t="shared" si="12"/>
        <v>10.304347826086959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3" x14ac:dyDescent="0.25">
      <c r="A39" s="5" t="s">
        <v>80</v>
      </c>
      <c r="B39" s="5" t="s">
        <v>35</v>
      </c>
      <c r="C39" s="5">
        <v>351</v>
      </c>
      <c r="D39" s="5">
        <v>95</v>
      </c>
      <c r="E39" s="5">
        <v>255</v>
      </c>
      <c r="F39" s="5">
        <v>174</v>
      </c>
      <c r="G39" s="8">
        <v>0.1</v>
      </c>
      <c r="H39" s="5">
        <v>60</v>
      </c>
      <c r="I39" s="5" t="s">
        <v>36</v>
      </c>
      <c r="J39" s="5"/>
      <c r="K39" s="5">
        <v>260</v>
      </c>
      <c r="L39" s="5">
        <f t="shared" si="17"/>
        <v>-5</v>
      </c>
      <c r="M39" s="5"/>
      <c r="N39" s="5"/>
      <c r="O39" s="5"/>
      <c r="P39" s="5">
        <f t="shared" si="18"/>
        <v>51</v>
      </c>
      <c r="Q39" s="4">
        <f>12*P39-O39-F39</f>
        <v>438</v>
      </c>
      <c r="R39" s="4">
        <f t="shared" si="7"/>
        <v>438</v>
      </c>
      <c r="S39" s="4"/>
      <c r="T39" s="4">
        <f t="shared" si="8"/>
        <v>438</v>
      </c>
      <c r="U39" s="4">
        <f t="shared" si="9"/>
        <v>247.56521739130434</v>
      </c>
      <c r="V39" s="4">
        <f t="shared" si="19"/>
        <v>190.43478260869566</v>
      </c>
      <c r="W39" s="4"/>
      <c r="X39" s="5"/>
      <c r="Y39" s="5">
        <f t="shared" si="10"/>
        <v>12</v>
      </c>
      <c r="Z39" s="5">
        <f t="shared" si="20"/>
        <v>3.4117647058823528</v>
      </c>
      <c r="AA39" s="5">
        <v>31</v>
      </c>
      <c r="AB39" s="5">
        <v>37.4</v>
      </c>
      <c r="AC39" s="5">
        <v>49.6</v>
      </c>
      <c r="AD39" s="5">
        <v>44.4</v>
      </c>
      <c r="AE39" s="5">
        <v>62.8</v>
      </c>
      <c r="AF39" s="5">
        <v>76.599999999999994</v>
      </c>
      <c r="AG39" s="5">
        <v>156.80000000000001</v>
      </c>
      <c r="AH39" s="5">
        <v>45.2</v>
      </c>
      <c r="AI39" s="5" t="s">
        <v>48</v>
      </c>
      <c r="AJ39" s="5">
        <f t="shared" si="11"/>
        <v>24.756521739130434</v>
      </c>
      <c r="AK39" s="5">
        <f t="shared" si="12"/>
        <v>19.043478260869566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</row>
    <row r="40" spans="1:53" x14ac:dyDescent="0.25">
      <c r="A40" s="5" t="s">
        <v>81</v>
      </c>
      <c r="B40" s="5" t="s">
        <v>35</v>
      </c>
      <c r="C40" s="5">
        <v>38</v>
      </c>
      <c r="D40" s="5">
        <v>160</v>
      </c>
      <c r="E40" s="5">
        <v>81</v>
      </c>
      <c r="F40" s="5">
        <v>113</v>
      </c>
      <c r="G40" s="8">
        <v>0.1</v>
      </c>
      <c r="H40" s="5">
        <v>45</v>
      </c>
      <c r="I40" s="5" t="s">
        <v>36</v>
      </c>
      <c r="J40" s="5"/>
      <c r="K40" s="5">
        <v>92</v>
      </c>
      <c r="L40" s="5">
        <f t="shared" si="17"/>
        <v>-11</v>
      </c>
      <c r="M40" s="5"/>
      <c r="N40" s="5"/>
      <c r="O40" s="5"/>
      <c r="P40" s="5">
        <f t="shared" si="18"/>
        <v>16.2</v>
      </c>
      <c r="Q40" s="4">
        <f t="shared" si="16"/>
        <v>113.79999999999998</v>
      </c>
      <c r="R40" s="4">
        <f t="shared" si="7"/>
        <v>113.79999999999998</v>
      </c>
      <c r="S40" s="4"/>
      <c r="T40" s="4">
        <f t="shared" si="8"/>
        <v>114</v>
      </c>
      <c r="U40" s="4">
        <f t="shared" si="9"/>
        <v>114</v>
      </c>
      <c r="V40" s="4"/>
      <c r="W40" s="4"/>
      <c r="X40" s="5"/>
      <c r="Y40" s="5">
        <f t="shared" si="10"/>
        <v>14.012345679012347</v>
      </c>
      <c r="Z40" s="5">
        <f t="shared" si="20"/>
        <v>6.9753086419753085</v>
      </c>
      <c r="AA40" s="5">
        <v>14.6</v>
      </c>
      <c r="AB40" s="5">
        <v>13</v>
      </c>
      <c r="AC40" s="5">
        <v>12.6</v>
      </c>
      <c r="AD40" s="5">
        <v>5.2</v>
      </c>
      <c r="AE40" s="5">
        <v>16</v>
      </c>
      <c r="AF40" s="5">
        <v>7.6</v>
      </c>
      <c r="AG40" s="5">
        <v>6.8</v>
      </c>
      <c r="AH40" s="5">
        <v>4.8</v>
      </c>
      <c r="AI40" s="5"/>
      <c r="AJ40" s="5">
        <f t="shared" si="11"/>
        <v>11.4</v>
      </c>
      <c r="AK40" s="5">
        <f t="shared" si="12"/>
        <v>0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</row>
    <row r="41" spans="1:53" x14ac:dyDescent="0.25">
      <c r="A41" s="5" t="s">
        <v>82</v>
      </c>
      <c r="B41" s="5" t="s">
        <v>35</v>
      </c>
      <c r="C41" s="5">
        <v>127</v>
      </c>
      <c r="D41" s="5">
        <v>213</v>
      </c>
      <c r="E41" s="5">
        <v>133</v>
      </c>
      <c r="F41" s="5">
        <v>195</v>
      </c>
      <c r="G41" s="8">
        <v>0.4</v>
      </c>
      <c r="H41" s="5">
        <v>45</v>
      </c>
      <c r="I41" s="5" t="s">
        <v>36</v>
      </c>
      <c r="J41" s="5"/>
      <c r="K41" s="5">
        <v>137</v>
      </c>
      <c r="L41" s="5">
        <f t="shared" si="17"/>
        <v>-4</v>
      </c>
      <c r="M41" s="5"/>
      <c r="N41" s="5"/>
      <c r="O41" s="5">
        <v>133</v>
      </c>
      <c r="P41" s="5">
        <f t="shared" si="18"/>
        <v>26.6</v>
      </c>
      <c r="Q41" s="4">
        <f t="shared" si="16"/>
        <v>44.400000000000034</v>
      </c>
      <c r="R41" s="4">
        <f t="shared" si="7"/>
        <v>44.400000000000034</v>
      </c>
      <c r="S41" s="4"/>
      <c r="T41" s="4">
        <f t="shared" si="8"/>
        <v>44</v>
      </c>
      <c r="U41" s="4">
        <f t="shared" si="9"/>
        <v>44</v>
      </c>
      <c r="V41" s="4"/>
      <c r="W41" s="4"/>
      <c r="X41" s="5"/>
      <c r="Y41" s="5">
        <f t="shared" si="10"/>
        <v>13.984962406015036</v>
      </c>
      <c r="Z41" s="5">
        <f t="shared" si="20"/>
        <v>12.330827067669173</v>
      </c>
      <c r="AA41" s="5">
        <v>33.4</v>
      </c>
      <c r="AB41" s="5">
        <v>29.2</v>
      </c>
      <c r="AC41" s="5">
        <v>30.8</v>
      </c>
      <c r="AD41" s="5">
        <v>36.6</v>
      </c>
      <c r="AE41" s="5">
        <v>23.4</v>
      </c>
      <c r="AF41" s="5">
        <v>32</v>
      </c>
      <c r="AG41" s="5">
        <v>29</v>
      </c>
      <c r="AH41" s="5">
        <v>48.6</v>
      </c>
      <c r="AI41" s="5" t="s">
        <v>48</v>
      </c>
      <c r="AJ41" s="5">
        <f t="shared" si="11"/>
        <v>17.600000000000001</v>
      </c>
      <c r="AK41" s="5">
        <f t="shared" si="12"/>
        <v>0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3" x14ac:dyDescent="0.25">
      <c r="A42" s="5" t="s">
        <v>83</v>
      </c>
      <c r="B42" s="5" t="s">
        <v>39</v>
      </c>
      <c r="C42" s="5">
        <v>271.85899999999998</v>
      </c>
      <c r="D42" s="5">
        <v>127.54300000000001</v>
      </c>
      <c r="E42" s="5">
        <v>112.794</v>
      </c>
      <c r="F42" s="5">
        <v>280.40100000000001</v>
      </c>
      <c r="G42" s="8">
        <v>1</v>
      </c>
      <c r="H42" s="5">
        <v>60</v>
      </c>
      <c r="I42" s="5" t="s">
        <v>36</v>
      </c>
      <c r="J42" s="5"/>
      <c r="K42" s="5">
        <v>115.8</v>
      </c>
      <c r="L42" s="5">
        <f t="shared" si="17"/>
        <v>-3.0060000000000002</v>
      </c>
      <c r="M42" s="5"/>
      <c r="N42" s="5"/>
      <c r="O42" s="5">
        <v>106</v>
      </c>
      <c r="P42" s="5">
        <f t="shared" si="18"/>
        <v>22.558799999999998</v>
      </c>
      <c r="Q42" s="4"/>
      <c r="R42" s="4">
        <f t="shared" si="7"/>
        <v>0</v>
      </c>
      <c r="S42" s="4"/>
      <c r="T42" s="4">
        <f t="shared" si="8"/>
        <v>0</v>
      </c>
      <c r="U42" s="4">
        <f t="shared" si="9"/>
        <v>0</v>
      </c>
      <c r="V42" s="4"/>
      <c r="W42" s="4"/>
      <c r="X42" s="5"/>
      <c r="Y42" s="5">
        <f t="shared" si="10"/>
        <v>17.128614997251628</v>
      </c>
      <c r="Z42" s="5">
        <f t="shared" si="20"/>
        <v>17.128614997251628</v>
      </c>
      <c r="AA42" s="5">
        <v>35.664200000000001</v>
      </c>
      <c r="AB42" s="5">
        <v>36.482399999999998</v>
      </c>
      <c r="AC42" s="5">
        <v>40.063000000000002</v>
      </c>
      <c r="AD42" s="5">
        <v>33.830599999999997</v>
      </c>
      <c r="AE42" s="5">
        <v>27.791399999999999</v>
      </c>
      <c r="AF42" s="5">
        <v>36.779800000000002</v>
      </c>
      <c r="AG42" s="5">
        <v>23.744800000000001</v>
      </c>
      <c r="AH42" s="5">
        <v>43.896599999999999</v>
      </c>
      <c r="AI42" s="5"/>
      <c r="AJ42" s="5">
        <f t="shared" si="11"/>
        <v>0</v>
      </c>
      <c r="AK42" s="5">
        <f t="shared" si="12"/>
        <v>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3" x14ac:dyDescent="0.25">
      <c r="A43" s="5" t="s">
        <v>84</v>
      </c>
      <c r="B43" s="5" t="s">
        <v>39</v>
      </c>
      <c r="C43" s="5">
        <v>157.13</v>
      </c>
      <c r="D43" s="5">
        <v>8.26</v>
      </c>
      <c r="E43" s="5">
        <v>75.37</v>
      </c>
      <c r="F43" s="5">
        <v>78.319000000000003</v>
      </c>
      <c r="G43" s="8">
        <v>1</v>
      </c>
      <c r="H43" s="5">
        <v>45</v>
      </c>
      <c r="I43" s="5" t="s">
        <v>36</v>
      </c>
      <c r="J43" s="5"/>
      <c r="K43" s="5">
        <v>83</v>
      </c>
      <c r="L43" s="5">
        <f t="shared" si="17"/>
        <v>-7.6299999999999955</v>
      </c>
      <c r="M43" s="5"/>
      <c r="N43" s="5"/>
      <c r="O43" s="5"/>
      <c r="P43" s="5">
        <f t="shared" si="18"/>
        <v>15.074000000000002</v>
      </c>
      <c r="Q43" s="4">
        <f t="shared" si="16"/>
        <v>132.71700000000004</v>
      </c>
      <c r="R43" s="4">
        <f t="shared" si="7"/>
        <v>132.71700000000004</v>
      </c>
      <c r="S43" s="4"/>
      <c r="T43" s="4">
        <f t="shared" si="8"/>
        <v>133</v>
      </c>
      <c r="U43" s="4">
        <f t="shared" si="9"/>
        <v>133</v>
      </c>
      <c r="V43" s="4"/>
      <c r="W43" s="4"/>
      <c r="X43" s="5"/>
      <c r="Y43" s="5">
        <f t="shared" si="10"/>
        <v>14.018774048029719</v>
      </c>
      <c r="Z43" s="5">
        <f t="shared" si="20"/>
        <v>5.1956348679846087</v>
      </c>
      <c r="AA43" s="5">
        <v>10.4932</v>
      </c>
      <c r="AB43" s="5">
        <v>13.145799999999999</v>
      </c>
      <c r="AC43" s="5">
        <v>19.4406</v>
      </c>
      <c r="AD43" s="5">
        <v>18.122800000000002</v>
      </c>
      <c r="AE43" s="5">
        <v>16.919599999999999</v>
      </c>
      <c r="AF43" s="5">
        <v>14.626799999999999</v>
      </c>
      <c r="AG43" s="5">
        <v>14.6898</v>
      </c>
      <c r="AH43" s="5">
        <v>14.7652</v>
      </c>
      <c r="AI43" s="5"/>
      <c r="AJ43" s="5">
        <f t="shared" si="11"/>
        <v>133</v>
      </c>
      <c r="AK43" s="5">
        <f t="shared" si="12"/>
        <v>0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3" x14ac:dyDescent="0.25">
      <c r="A44" s="5" t="s">
        <v>85</v>
      </c>
      <c r="B44" s="5" t="s">
        <v>39</v>
      </c>
      <c r="C44" s="5">
        <v>133.46</v>
      </c>
      <c r="D44" s="5">
        <v>73.981999999999999</v>
      </c>
      <c r="E44" s="5">
        <v>71.472999999999999</v>
      </c>
      <c r="F44" s="5">
        <v>117.4</v>
      </c>
      <c r="G44" s="8">
        <v>1</v>
      </c>
      <c r="H44" s="5">
        <v>45</v>
      </c>
      <c r="I44" s="5" t="s">
        <v>36</v>
      </c>
      <c r="J44" s="5"/>
      <c r="K44" s="5">
        <v>83</v>
      </c>
      <c r="L44" s="5">
        <f t="shared" si="17"/>
        <v>-11.527000000000001</v>
      </c>
      <c r="M44" s="5"/>
      <c r="N44" s="5"/>
      <c r="O44" s="5">
        <v>75</v>
      </c>
      <c r="P44" s="5">
        <f t="shared" si="18"/>
        <v>14.294599999999999</v>
      </c>
      <c r="Q44" s="4">
        <f t="shared" si="16"/>
        <v>7.7243999999999744</v>
      </c>
      <c r="R44" s="4">
        <f t="shared" si="7"/>
        <v>7.7243999999999744</v>
      </c>
      <c r="S44" s="4"/>
      <c r="T44" s="4">
        <f t="shared" si="8"/>
        <v>8</v>
      </c>
      <c r="U44" s="4">
        <f t="shared" si="9"/>
        <v>8</v>
      </c>
      <c r="V44" s="4"/>
      <c r="W44" s="4"/>
      <c r="X44" s="5"/>
      <c r="Y44" s="5">
        <f t="shared" si="10"/>
        <v>14.019280007835128</v>
      </c>
      <c r="Z44" s="5">
        <f t="shared" si="20"/>
        <v>13.459628111314764</v>
      </c>
      <c r="AA44" s="5">
        <v>18.706199999999999</v>
      </c>
      <c r="AB44" s="5">
        <v>14.135199999999999</v>
      </c>
      <c r="AC44" s="5">
        <v>20.660599999999999</v>
      </c>
      <c r="AD44" s="5">
        <v>14.7712</v>
      </c>
      <c r="AE44" s="5">
        <v>20.195599999999999</v>
      </c>
      <c r="AF44" s="5">
        <v>18.757999999999999</v>
      </c>
      <c r="AG44" s="5">
        <v>18.067399999999999</v>
      </c>
      <c r="AH44" s="5">
        <v>30.466200000000001</v>
      </c>
      <c r="AI44" s="5"/>
      <c r="AJ44" s="5">
        <f t="shared" si="11"/>
        <v>8</v>
      </c>
      <c r="AK44" s="5">
        <f t="shared" si="12"/>
        <v>0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</row>
    <row r="45" spans="1:53" x14ac:dyDescent="0.25">
      <c r="A45" s="5" t="s">
        <v>86</v>
      </c>
      <c r="B45" s="5" t="s">
        <v>35</v>
      </c>
      <c r="C45" s="5">
        <v>124</v>
      </c>
      <c r="D45" s="5"/>
      <c r="E45" s="5">
        <v>63</v>
      </c>
      <c r="F45" s="5">
        <v>62</v>
      </c>
      <c r="G45" s="8">
        <v>0.35</v>
      </c>
      <c r="H45" s="5">
        <v>45</v>
      </c>
      <c r="I45" s="5" t="s">
        <v>36</v>
      </c>
      <c r="J45" s="5"/>
      <c r="K45" s="5">
        <v>63</v>
      </c>
      <c r="L45" s="5">
        <f t="shared" si="17"/>
        <v>0</v>
      </c>
      <c r="M45" s="5"/>
      <c r="N45" s="5"/>
      <c r="O45" s="5"/>
      <c r="P45" s="5">
        <f t="shared" si="18"/>
        <v>12.6</v>
      </c>
      <c r="Q45" s="4">
        <f t="shared" si="16"/>
        <v>114.4</v>
      </c>
      <c r="R45" s="4">
        <f t="shared" si="7"/>
        <v>114.4</v>
      </c>
      <c r="S45" s="4"/>
      <c r="T45" s="4">
        <f t="shared" si="8"/>
        <v>114</v>
      </c>
      <c r="U45" s="4">
        <f t="shared" si="9"/>
        <v>114</v>
      </c>
      <c r="V45" s="4"/>
      <c r="W45" s="4"/>
      <c r="X45" s="5"/>
      <c r="Y45" s="5">
        <f t="shared" si="10"/>
        <v>13.968253968253968</v>
      </c>
      <c r="Z45" s="5">
        <f t="shared" si="20"/>
        <v>4.9206349206349209</v>
      </c>
      <c r="AA45" s="5">
        <v>7.8</v>
      </c>
      <c r="AB45" s="5">
        <v>6.2</v>
      </c>
      <c r="AC45" s="5">
        <v>5.6</v>
      </c>
      <c r="AD45" s="5">
        <v>21.4</v>
      </c>
      <c r="AE45" s="5">
        <v>9.6</v>
      </c>
      <c r="AF45" s="5">
        <v>10.8</v>
      </c>
      <c r="AG45" s="5">
        <v>10.6</v>
      </c>
      <c r="AH45" s="5">
        <v>16.600000000000001</v>
      </c>
      <c r="AI45" s="5" t="s">
        <v>48</v>
      </c>
      <c r="AJ45" s="5">
        <f t="shared" si="11"/>
        <v>39.9</v>
      </c>
      <c r="AK45" s="5">
        <f t="shared" si="12"/>
        <v>0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1:53" x14ac:dyDescent="0.25">
      <c r="A46" s="5" t="s">
        <v>87</v>
      </c>
      <c r="B46" s="5" t="s">
        <v>39</v>
      </c>
      <c r="C46" s="5">
        <v>171.37</v>
      </c>
      <c r="D46" s="5">
        <v>218.59100000000001</v>
      </c>
      <c r="E46" s="5">
        <v>110.699</v>
      </c>
      <c r="F46" s="5">
        <v>268.00700000000001</v>
      </c>
      <c r="G46" s="8">
        <v>1</v>
      </c>
      <c r="H46" s="5">
        <v>45</v>
      </c>
      <c r="I46" s="5" t="s">
        <v>36</v>
      </c>
      <c r="J46" s="5"/>
      <c r="K46" s="5">
        <v>111</v>
      </c>
      <c r="L46" s="5">
        <f t="shared" si="17"/>
        <v>-0.30100000000000193</v>
      </c>
      <c r="M46" s="5"/>
      <c r="N46" s="5"/>
      <c r="O46" s="5">
        <v>214</v>
      </c>
      <c r="P46" s="5">
        <f t="shared" si="18"/>
        <v>22.139800000000001</v>
      </c>
      <c r="Q46" s="4"/>
      <c r="R46" s="4">
        <f t="shared" si="7"/>
        <v>0</v>
      </c>
      <c r="S46" s="4"/>
      <c r="T46" s="4">
        <f t="shared" si="8"/>
        <v>0</v>
      </c>
      <c r="U46" s="4">
        <f t="shared" si="9"/>
        <v>0</v>
      </c>
      <c r="V46" s="4"/>
      <c r="W46" s="4"/>
      <c r="X46" s="5"/>
      <c r="Y46" s="5">
        <f t="shared" si="10"/>
        <v>21.771063875915772</v>
      </c>
      <c r="Z46" s="5">
        <f t="shared" si="20"/>
        <v>21.771063875915772</v>
      </c>
      <c r="AA46" s="5">
        <v>41.870800000000003</v>
      </c>
      <c r="AB46" s="5">
        <v>26.984400000000001</v>
      </c>
      <c r="AC46" s="5">
        <v>35.395200000000003</v>
      </c>
      <c r="AD46" s="5">
        <v>39.139400000000002</v>
      </c>
      <c r="AE46" s="5">
        <v>34.659399999999998</v>
      </c>
      <c r="AF46" s="5">
        <v>32.191400000000002</v>
      </c>
      <c r="AG46" s="5">
        <v>29.7394</v>
      </c>
      <c r="AH46" s="5">
        <v>40.180399999999999</v>
      </c>
      <c r="AI46" s="19" t="s">
        <v>44</v>
      </c>
      <c r="AJ46" s="5">
        <f t="shared" si="11"/>
        <v>0</v>
      </c>
      <c r="AK46" s="5">
        <f t="shared" si="12"/>
        <v>0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3" x14ac:dyDescent="0.25">
      <c r="A47" s="5" t="s">
        <v>88</v>
      </c>
      <c r="B47" s="5" t="s">
        <v>35</v>
      </c>
      <c r="C47" s="5">
        <v>114</v>
      </c>
      <c r="D47" s="5">
        <v>812</v>
      </c>
      <c r="E47" s="5">
        <v>333</v>
      </c>
      <c r="F47" s="5">
        <v>583</v>
      </c>
      <c r="G47" s="8">
        <v>0.3</v>
      </c>
      <c r="H47" s="5">
        <v>45</v>
      </c>
      <c r="I47" s="5" t="s">
        <v>36</v>
      </c>
      <c r="J47" s="5"/>
      <c r="K47" s="5">
        <v>359</v>
      </c>
      <c r="L47" s="5">
        <f t="shared" si="17"/>
        <v>-26</v>
      </c>
      <c r="M47" s="5"/>
      <c r="N47" s="5"/>
      <c r="O47" s="5">
        <v>17</v>
      </c>
      <c r="P47" s="5">
        <f t="shared" si="18"/>
        <v>66.599999999999994</v>
      </c>
      <c r="Q47" s="4">
        <f t="shared" si="16"/>
        <v>332.39999999999986</v>
      </c>
      <c r="R47" s="4">
        <f t="shared" si="7"/>
        <v>332.39999999999986</v>
      </c>
      <c r="S47" s="4"/>
      <c r="T47" s="4">
        <f t="shared" si="8"/>
        <v>332</v>
      </c>
      <c r="U47" s="4">
        <f t="shared" si="9"/>
        <v>187.65217391304347</v>
      </c>
      <c r="V47" s="4">
        <f>T47/2.3</f>
        <v>144.34782608695653</v>
      </c>
      <c r="W47" s="4"/>
      <c r="X47" s="5"/>
      <c r="Y47" s="5">
        <f t="shared" si="10"/>
        <v>13.993993993993994</v>
      </c>
      <c r="Z47" s="5">
        <f t="shared" si="20"/>
        <v>9.0090090090090094</v>
      </c>
      <c r="AA47" s="5">
        <v>65.599999999999994</v>
      </c>
      <c r="AB47" s="5">
        <v>89</v>
      </c>
      <c r="AC47" s="5">
        <v>64.400000000000006</v>
      </c>
      <c r="AD47" s="5">
        <v>78.8</v>
      </c>
      <c r="AE47" s="5">
        <v>70</v>
      </c>
      <c r="AF47" s="5">
        <v>64.8</v>
      </c>
      <c r="AG47" s="5">
        <v>98</v>
      </c>
      <c r="AH47" s="5">
        <v>72.8</v>
      </c>
      <c r="AI47" s="5"/>
      <c r="AJ47" s="5">
        <f t="shared" si="11"/>
        <v>56.295652173913041</v>
      </c>
      <c r="AK47" s="5">
        <f t="shared" si="12"/>
        <v>43.304347826086961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3" x14ac:dyDescent="0.25">
      <c r="A48" s="5" t="s">
        <v>89</v>
      </c>
      <c r="B48" s="5" t="s">
        <v>39</v>
      </c>
      <c r="C48" s="5">
        <v>6.2619999999999996</v>
      </c>
      <c r="D48" s="5">
        <v>21.709</v>
      </c>
      <c r="E48" s="5">
        <v>7.7990000000000004</v>
      </c>
      <c r="F48" s="5">
        <v>17.071000000000002</v>
      </c>
      <c r="G48" s="8">
        <v>1</v>
      </c>
      <c r="H48" s="5">
        <v>45</v>
      </c>
      <c r="I48" s="5" t="s">
        <v>36</v>
      </c>
      <c r="J48" s="5"/>
      <c r="K48" s="5">
        <v>10.5</v>
      </c>
      <c r="L48" s="5">
        <f t="shared" si="17"/>
        <v>-2.7009999999999996</v>
      </c>
      <c r="M48" s="5"/>
      <c r="N48" s="5"/>
      <c r="O48" s="5">
        <v>10</v>
      </c>
      <c r="P48" s="5">
        <f t="shared" si="18"/>
        <v>1.5598000000000001</v>
      </c>
      <c r="Q48" s="4"/>
      <c r="R48" s="4">
        <f t="shared" si="7"/>
        <v>0</v>
      </c>
      <c r="S48" s="4"/>
      <c r="T48" s="4">
        <f t="shared" si="8"/>
        <v>0</v>
      </c>
      <c r="U48" s="4">
        <f t="shared" si="9"/>
        <v>0</v>
      </c>
      <c r="V48" s="4"/>
      <c r="W48" s="4"/>
      <c r="X48" s="5"/>
      <c r="Y48" s="5">
        <f t="shared" si="10"/>
        <v>17.355430183356841</v>
      </c>
      <c r="Z48" s="5">
        <f t="shared" si="20"/>
        <v>17.355430183356841</v>
      </c>
      <c r="AA48" s="5">
        <v>2.7850000000000001</v>
      </c>
      <c r="AB48" s="5">
        <v>2.1678000000000002</v>
      </c>
      <c r="AC48" s="5">
        <v>2.4847999999999999</v>
      </c>
      <c r="AD48" s="5">
        <v>2.4853999999999998</v>
      </c>
      <c r="AE48" s="5">
        <v>1.2472000000000001</v>
      </c>
      <c r="AF48" s="5">
        <v>1.2196</v>
      </c>
      <c r="AG48" s="5">
        <v>0</v>
      </c>
      <c r="AH48" s="5">
        <v>0.92040000000000011</v>
      </c>
      <c r="AI48" s="5" t="s">
        <v>90</v>
      </c>
      <c r="AJ48" s="5">
        <f t="shared" si="11"/>
        <v>0</v>
      </c>
      <c r="AK48" s="5">
        <f t="shared" si="12"/>
        <v>0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</row>
    <row r="49" spans="1:53" x14ac:dyDescent="0.25">
      <c r="A49" s="5" t="s">
        <v>91</v>
      </c>
      <c r="B49" s="5" t="s">
        <v>35</v>
      </c>
      <c r="C49" s="5">
        <v>1053</v>
      </c>
      <c r="D49" s="5">
        <v>875</v>
      </c>
      <c r="E49" s="5">
        <v>745</v>
      </c>
      <c r="F49" s="5">
        <v>1124</v>
      </c>
      <c r="G49" s="8">
        <v>0.35</v>
      </c>
      <c r="H49" s="5">
        <v>45</v>
      </c>
      <c r="I49" s="11" t="s">
        <v>67</v>
      </c>
      <c r="J49" s="5"/>
      <c r="K49" s="5">
        <v>760</v>
      </c>
      <c r="L49" s="5">
        <f t="shared" si="17"/>
        <v>-15</v>
      </c>
      <c r="M49" s="5"/>
      <c r="N49" s="5"/>
      <c r="O49" s="5">
        <v>500</v>
      </c>
      <c r="P49" s="5">
        <f t="shared" si="18"/>
        <v>149</v>
      </c>
      <c r="Q49" s="4">
        <f t="shared" si="16"/>
        <v>462</v>
      </c>
      <c r="R49" s="4">
        <f t="shared" si="7"/>
        <v>462</v>
      </c>
      <c r="S49" s="4"/>
      <c r="T49" s="4">
        <f t="shared" si="8"/>
        <v>462</v>
      </c>
      <c r="U49" s="4">
        <f t="shared" si="9"/>
        <v>0</v>
      </c>
      <c r="V49" s="4">
        <f>T49</f>
        <v>462</v>
      </c>
      <c r="W49" s="4"/>
      <c r="X49" s="5"/>
      <c r="Y49" s="5">
        <f t="shared" si="10"/>
        <v>14</v>
      </c>
      <c r="Z49" s="5">
        <f t="shared" si="20"/>
        <v>10.899328859060402</v>
      </c>
      <c r="AA49" s="5">
        <v>205.8</v>
      </c>
      <c r="AB49" s="5">
        <v>227</v>
      </c>
      <c r="AC49" s="5">
        <v>214.6</v>
      </c>
      <c r="AD49" s="5">
        <v>154.19999999999999</v>
      </c>
      <c r="AE49" s="5">
        <v>122</v>
      </c>
      <c r="AF49" s="5">
        <v>136.80000000000001</v>
      </c>
      <c r="AG49" s="5">
        <v>162.6</v>
      </c>
      <c r="AH49" s="5">
        <v>136</v>
      </c>
      <c r="AI49" s="5" t="s">
        <v>37</v>
      </c>
      <c r="AJ49" s="5">
        <f t="shared" si="11"/>
        <v>0</v>
      </c>
      <c r="AK49" s="5">
        <f t="shared" si="12"/>
        <v>161.69999999999999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</row>
    <row r="50" spans="1:53" x14ac:dyDescent="0.25">
      <c r="A50" s="5" t="s">
        <v>92</v>
      </c>
      <c r="B50" s="5" t="s">
        <v>35</v>
      </c>
      <c r="C50" s="5">
        <v>433</v>
      </c>
      <c r="D50" s="5">
        <v>222</v>
      </c>
      <c r="E50" s="5">
        <v>254</v>
      </c>
      <c r="F50" s="5">
        <v>390</v>
      </c>
      <c r="G50" s="8">
        <v>0.41</v>
      </c>
      <c r="H50" s="5">
        <v>45</v>
      </c>
      <c r="I50" s="5" t="s">
        <v>36</v>
      </c>
      <c r="J50" s="5"/>
      <c r="K50" s="5">
        <v>262</v>
      </c>
      <c r="L50" s="5">
        <f t="shared" si="17"/>
        <v>-8</v>
      </c>
      <c r="M50" s="5"/>
      <c r="N50" s="5"/>
      <c r="O50" s="5">
        <v>122</v>
      </c>
      <c r="P50" s="5">
        <f t="shared" si="18"/>
        <v>50.8</v>
      </c>
      <c r="Q50" s="4">
        <f t="shared" si="16"/>
        <v>199.19999999999993</v>
      </c>
      <c r="R50" s="4">
        <f t="shared" si="7"/>
        <v>199.19999999999993</v>
      </c>
      <c r="S50" s="4"/>
      <c r="T50" s="4">
        <f t="shared" si="8"/>
        <v>199</v>
      </c>
      <c r="U50" s="4">
        <f t="shared" si="9"/>
        <v>112.4782608695652</v>
      </c>
      <c r="V50" s="4">
        <f>T50/2.3</f>
        <v>86.521739130434796</v>
      </c>
      <c r="W50" s="4"/>
      <c r="X50" s="5"/>
      <c r="Y50" s="5">
        <f t="shared" si="10"/>
        <v>13.996062992125985</v>
      </c>
      <c r="Z50" s="5">
        <f t="shared" si="20"/>
        <v>10.078740157480315</v>
      </c>
      <c r="AA50" s="5">
        <v>54.6</v>
      </c>
      <c r="AB50" s="5">
        <v>58.4</v>
      </c>
      <c r="AC50" s="5">
        <v>57.2</v>
      </c>
      <c r="AD50" s="5">
        <v>92</v>
      </c>
      <c r="AE50" s="5">
        <v>72.2</v>
      </c>
      <c r="AF50" s="5">
        <v>55</v>
      </c>
      <c r="AG50" s="5">
        <v>77.8</v>
      </c>
      <c r="AH50" s="5">
        <v>70.599999999999994</v>
      </c>
      <c r="AI50" s="5" t="s">
        <v>48</v>
      </c>
      <c r="AJ50" s="5">
        <f t="shared" si="11"/>
        <v>46.116086956521734</v>
      </c>
      <c r="AK50" s="5">
        <f t="shared" si="12"/>
        <v>35.473913043478262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</row>
    <row r="51" spans="1:53" x14ac:dyDescent="0.25">
      <c r="A51" s="5" t="s">
        <v>93</v>
      </c>
      <c r="B51" s="5" t="s">
        <v>35</v>
      </c>
      <c r="C51" s="5">
        <v>-5</v>
      </c>
      <c r="D51" s="5">
        <v>120</v>
      </c>
      <c r="E51" s="5">
        <v>22</v>
      </c>
      <c r="F51" s="5">
        <v>93</v>
      </c>
      <c r="G51" s="8">
        <v>0.41</v>
      </c>
      <c r="H51" s="5">
        <v>45</v>
      </c>
      <c r="I51" s="5" t="s">
        <v>36</v>
      </c>
      <c r="J51" s="5"/>
      <c r="K51" s="5">
        <v>25</v>
      </c>
      <c r="L51" s="5">
        <f t="shared" si="17"/>
        <v>-3</v>
      </c>
      <c r="M51" s="5"/>
      <c r="N51" s="5"/>
      <c r="O51" s="5"/>
      <c r="P51" s="5">
        <f t="shared" si="18"/>
        <v>4.4000000000000004</v>
      </c>
      <c r="Q51" s="4"/>
      <c r="R51" s="4">
        <f t="shared" si="7"/>
        <v>0</v>
      </c>
      <c r="S51" s="4"/>
      <c r="T51" s="4">
        <f t="shared" si="8"/>
        <v>0</v>
      </c>
      <c r="U51" s="4">
        <f t="shared" si="9"/>
        <v>0</v>
      </c>
      <c r="V51" s="4"/>
      <c r="W51" s="4"/>
      <c r="X51" s="5"/>
      <c r="Y51" s="5">
        <f t="shared" si="10"/>
        <v>21.136363636363633</v>
      </c>
      <c r="Z51" s="5">
        <f t="shared" si="20"/>
        <v>21.136363636363633</v>
      </c>
      <c r="AA51" s="5">
        <v>8.4</v>
      </c>
      <c r="AB51" s="5">
        <v>7.6</v>
      </c>
      <c r="AC51" s="5">
        <v>5.4</v>
      </c>
      <c r="AD51" s="5">
        <v>5.2</v>
      </c>
      <c r="AE51" s="5">
        <v>0.4</v>
      </c>
      <c r="AF51" s="5">
        <v>6.2</v>
      </c>
      <c r="AG51" s="5">
        <v>2.2000000000000002</v>
      </c>
      <c r="AH51" s="5">
        <v>3.4</v>
      </c>
      <c r="AI51" s="5"/>
      <c r="AJ51" s="5">
        <f t="shared" si="11"/>
        <v>0</v>
      </c>
      <c r="AK51" s="5">
        <f t="shared" si="12"/>
        <v>0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3" x14ac:dyDescent="0.25">
      <c r="A52" s="5" t="s">
        <v>94</v>
      </c>
      <c r="B52" s="5" t="s">
        <v>35</v>
      </c>
      <c r="C52" s="5">
        <v>271</v>
      </c>
      <c r="D52" s="5">
        <v>382</v>
      </c>
      <c r="E52" s="5">
        <v>327</v>
      </c>
      <c r="F52" s="5">
        <v>320</v>
      </c>
      <c r="G52" s="8">
        <v>0.36</v>
      </c>
      <c r="H52" s="5">
        <v>45</v>
      </c>
      <c r="I52" s="5" t="s">
        <v>36</v>
      </c>
      <c r="J52" s="5"/>
      <c r="K52" s="5">
        <v>329</v>
      </c>
      <c r="L52" s="5">
        <f t="shared" si="17"/>
        <v>-2</v>
      </c>
      <c r="M52" s="5"/>
      <c r="N52" s="5"/>
      <c r="O52" s="5">
        <v>141</v>
      </c>
      <c r="P52" s="5">
        <f t="shared" si="18"/>
        <v>65.400000000000006</v>
      </c>
      <c r="Q52" s="4">
        <f t="shared" si="16"/>
        <v>454.60000000000014</v>
      </c>
      <c r="R52" s="4">
        <f t="shared" si="7"/>
        <v>454.60000000000014</v>
      </c>
      <c r="S52" s="4"/>
      <c r="T52" s="4">
        <f t="shared" si="8"/>
        <v>455</v>
      </c>
      <c r="U52" s="4">
        <f t="shared" si="9"/>
        <v>257.17391304347825</v>
      </c>
      <c r="V52" s="4">
        <f>T52/2.3</f>
        <v>197.82608695652175</v>
      </c>
      <c r="W52" s="4"/>
      <c r="X52" s="5"/>
      <c r="Y52" s="5">
        <f t="shared" si="10"/>
        <v>14.006116207951068</v>
      </c>
      <c r="Z52" s="5">
        <f t="shared" si="20"/>
        <v>7.0489296636085621</v>
      </c>
      <c r="AA52" s="5">
        <v>55.2</v>
      </c>
      <c r="AB52" s="5">
        <v>57.2</v>
      </c>
      <c r="AC52" s="5">
        <v>51.8</v>
      </c>
      <c r="AD52" s="5">
        <v>43</v>
      </c>
      <c r="AE52" s="5">
        <v>60</v>
      </c>
      <c r="AF52" s="5">
        <v>49.8</v>
      </c>
      <c r="AG52" s="5">
        <v>61</v>
      </c>
      <c r="AH52" s="5">
        <v>74.400000000000006</v>
      </c>
      <c r="AI52" s="5" t="s">
        <v>48</v>
      </c>
      <c r="AJ52" s="5">
        <f t="shared" si="11"/>
        <v>92.582608695652169</v>
      </c>
      <c r="AK52" s="5">
        <f t="shared" si="12"/>
        <v>71.217391304347828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</row>
    <row r="53" spans="1:53" x14ac:dyDescent="0.25">
      <c r="A53" s="5" t="s">
        <v>95</v>
      </c>
      <c r="B53" s="5" t="s">
        <v>35</v>
      </c>
      <c r="C53" s="5">
        <v>49</v>
      </c>
      <c r="D53" s="5">
        <v>48</v>
      </c>
      <c r="E53" s="5">
        <v>44</v>
      </c>
      <c r="F53" s="5">
        <v>53</v>
      </c>
      <c r="G53" s="8">
        <v>0.33</v>
      </c>
      <c r="H53" s="5">
        <v>45</v>
      </c>
      <c r="I53" s="5" t="s">
        <v>36</v>
      </c>
      <c r="J53" s="5"/>
      <c r="K53" s="5">
        <v>44</v>
      </c>
      <c r="L53" s="5">
        <f t="shared" si="17"/>
        <v>0</v>
      </c>
      <c r="M53" s="5"/>
      <c r="N53" s="5"/>
      <c r="O53" s="5"/>
      <c r="P53" s="5">
        <f t="shared" si="18"/>
        <v>8.8000000000000007</v>
      </c>
      <c r="Q53" s="4">
        <f t="shared" si="16"/>
        <v>70.200000000000017</v>
      </c>
      <c r="R53" s="4">
        <f t="shared" si="7"/>
        <v>70.200000000000017</v>
      </c>
      <c r="S53" s="4"/>
      <c r="T53" s="4">
        <f t="shared" si="8"/>
        <v>70</v>
      </c>
      <c r="U53" s="4">
        <f t="shared" si="9"/>
        <v>70</v>
      </c>
      <c r="V53" s="4"/>
      <c r="W53" s="4"/>
      <c r="X53" s="5"/>
      <c r="Y53" s="5">
        <f t="shared" si="10"/>
        <v>13.977272727272727</v>
      </c>
      <c r="Z53" s="5">
        <f t="shared" si="20"/>
        <v>6.0227272727272725</v>
      </c>
      <c r="AA53" s="5">
        <v>7</v>
      </c>
      <c r="AB53" s="5">
        <v>5.6</v>
      </c>
      <c r="AC53" s="5">
        <v>8.6</v>
      </c>
      <c r="AD53" s="5">
        <v>6.6</v>
      </c>
      <c r="AE53" s="5">
        <v>9.4</v>
      </c>
      <c r="AF53" s="5">
        <v>3</v>
      </c>
      <c r="AG53" s="5">
        <v>11.6</v>
      </c>
      <c r="AH53" s="5">
        <v>7.2</v>
      </c>
      <c r="AI53" s="5" t="s">
        <v>48</v>
      </c>
      <c r="AJ53" s="5">
        <f t="shared" si="11"/>
        <v>23.1</v>
      </c>
      <c r="AK53" s="5">
        <f t="shared" si="12"/>
        <v>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3" x14ac:dyDescent="0.25">
      <c r="A54" s="5" t="s">
        <v>96</v>
      </c>
      <c r="B54" s="5" t="s">
        <v>35</v>
      </c>
      <c r="C54" s="5">
        <v>2</v>
      </c>
      <c r="D54" s="5">
        <v>40</v>
      </c>
      <c r="E54" s="5">
        <v>10</v>
      </c>
      <c r="F54" s="5">
        <v>32</v>
      </c>
      <c r="G54" s="8">
        <v>0.33</v>
      </c>
      <c r="H54" s="5">
        <v>45</v>
      </c>
      <c r="I54" s="5" t="s">
        <v>36</v>
      </c>
      <c r="J54" s="5"/>
      <c r="K54" s="5">
        <v>30</v>
      </c>
      <c r="L54" s="5">
        <f t="shared" si="17"/>
        <v>-20</v>
      </c>
      <c r="M54" s="5"/>
      <c r="N54" s="5"/>
      <c r="O54" s="5"/>
      <c r="P54" s="5">
        <f t="shared" si="18"/>
        <v>2</v>
      </c>
      <c r="Q54" s="4"/>
      <c r="R54" s="4">
        <f t="shared" si="7"/>
        <v>0</v>
      </c>
      <c r="S54" s="4"/>
      <c r="T54" s="4">
        <f t="shared" si="8"/>
        <v>0</v>
      </c>
      <c r="U54" s="4">
        <f t="shared" si="9"/>
        <v>0</v>
      </c>
      <c r="V54" s="4"/>
      <c r="W54" s="4"/>
      <c r="X54" s="5"/>
      <c r="Y54" s="5">
        <f t="shared" si="10"/>
        <v>16</v>
      </c>
      <c r="Z54" s="5">
        <f t="shared" si="20"/>
        <v>16</v>
      </c>
      <c r="AA54" s="5">
        <v>4.4000000000000004</v>
      </c>
      <c r="AB54" s="5">
        <v>2.8</v>
      </c>
      <c r="AC54" s="5">
        <v>0</v>
      </c>
      <c r="AD54" s="5">
        <v>3.4</v>
      </c>
      <c r="AE54" s="5">
        <v>0.2</v>
      </c>
      <c r="AF54" s="5">
        <v>1.2</v>
      </c>
      <c r="AG54" s="5">
        <v>6.6</v>
      </c>
      <c r="AH54" s="5">
        <v>0.2</v>
      </c>
      <c r="AI54" s="5" t="s">
        <v>48</v>
      </c>
      <c r="AJ54" s="5">
        <f t="shared" si="11"/>
        <v>0</v>
      </c>
      <c r="AK54" s="5">
        <f t="shared" si="12"/>
        <v>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3" x14ac:dyDescent="0.25">
      <c r="A55" s="5" t="s">
        <v>97</v>
      </c>
      <c r="B55" s="5" t="s">
        <v>35</v>
      </c>
      <c r="C55" s="5">
        <v>405</v>
      </c>
      <c r="D55" s="5"/>
      <c r="E55" s="5">
        <v>155</v>
      </c>
      <c r="F55" s="5">
        <v>249</v>
      </c>
      <c r="G55" s="8">
        <v>0.33</v>
      </c>
      <c r="H55" s="5">
        <v>45</v>
      </c>
      <c r="I55" s="5" t="s">
        <v>36</v>
      </c>
      <c r="J55" s="5"/>
      <c r="K55" s="5">
        <v>156</v>
      </c>
      <c r="L55" s="5">
        <f t="shared" si="17"/>
        <v>-1</v>
      </c>
      <c r="M55" s="5"/>
      <c r="N55" s="5"/>
      <c r="O55" s="5"/>
      <c r="P55" s="5">
        <f t="shared" si="18"/>
        <v>31</v>
      </c>
      <c r="Q55" s="4">
        <f t="shared" si="16"/>
        <v>185</v>
      </c>
      <c r="R55" s="4">
        <f t="shared" si="7"/>
        <v>185</v>
      </c>
      <c r="S55" s="4"/>
      <c r="T55" s="4">
        <f t="shared" si="8"/>
        <v>185</v>
      </c>
      <c r="U55" s="4">
        <f t="shared" si="9"/>
        <v>104.56521739130434</v>
      </c>
      <c r="V55" s="4">
        <f>T55/2.3</f>
        <v>80.434782608695656</v>
      </c>
      <c r="W55" s="4"/>
      <c r="X55" s="5"/>
      <c r="Y55" s="5">
        <f t="shared" si="10"/>
        <v>14</v>
      </c>
      <c r="Z55" s="5">
        <f t="shared" si="20"/>
        <v>8.0322580645161299</v>
      </c>
      <c r="AA55" s="5">
        <v>28.2</v>
      </c>
      <c r="AB55" s="5">
        <v>25.8</v>
      </c>
      <c r="AC55" s="5">
        <v>41.2</v>
      </c>
      <c r="AD55" s="5">
        <v>36</v>
      </c>
      <c r="AE55" s="5">
        <v>28</v>
      </c>
      <c r="AF55" s="5">
        <v>19.8</v>
      </c>
      <c r="AG55" s="5">
        <v>50.2</v>
      </c>
      <c r="AH55" s="5">
        <v>46.6</v>
      </c>
      <c r="AI55" s="5" t="s">
        <v>37</v>
      </c>
      <c r="AJ55" s="5">
        <f t="shared" si="11"/>
        <v>34.506521739130434</v>
      </c>
      <c r="AK55" s="5">
        <f t="shared" si="12"/>
        <v>26.543478260869566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</row>
    <row r="56" spans="1:53" x14ac:dyDescent="0.25">
      <c r="A56" s="5" t="s">
        <v>98</v>
      </c>
      <c r="B56" s="5" t="s">
        <v>35</v>
      </c>
      <c r="C56" s="5">
        <v>35</v>
      </c>
      <c r="D56" s="5">
        <v>16</v>
      </c>
      <c r="E56" s="5">
        <v>31</v>
      </c>
      <c r="F56" s="5">
        <v>18</v>
      </c>
      <c r="G56" s="8">
        <v>0.33</v>
      </c>
      <c r="H56" s="5">
        <v>45</v>
      </c>
      <c r="I56" s="5" t="s">
        <v>36</v>
      </c>
      <c r="J56" s="5"/>
      <c r="K56" s="5">
        <v>33</v>
      </c>
      <c r="L56" s="5">
        <f t="shared" si="17"/>
        <v>-2</v>
      </c>
      <c r="M56" s="5"/>
      <c r="N56" s="5"/>
      <c r="O56" s="5">
        <v>8</v>
      </c>
      <c r="P56" s="5">
        <f t="shared" si="18"/>
        <v>6.2</v>
      </c>
      <c r="Q56" s="4">
        <f>13*P56-O56-F56</f>
        <v>54.600000000000009</v>
      </c>
      <c r="R56" s="4">
        <f t="shared" si="7"/>
        <v>54.600000000000009</v>
      </c>
      <c r="S56" s="4"/>
      <c r="T56" s="4">
        <f t="shared" si="8"/>
        <v>55</v>
      </c>
      <c r="U56" s="4">
        <f t="shared" si="9"/>
        <v>55</v>
      </c>
      <c r="V56" s="4"/>
      <c r="W56" s="4"/>
      <c r="X56" s="5"/>
      <c r="Y56" s="5">
        <f t="shared" si="10"/>
        <v>13.064516129032258</v>
      </c>
      <c r="Z56" s="5">
        <f t="shared" si="20"/>
        <v>4.193548387096774</v>
      </c>
      <c r="AA56" s="5">
        <v>3.8</v>
      </c>
      <c r="AB56" s="5">
        <v>5</v>
      </c>
      <c r="AC56" s="5">
        <v>5.8</v>
      </c>
      <c r="AD56" s="5">
        <v>8.4</v>
      </c>
      <c r="AE56" s="5">
        <v>4.5999999999999996</v>
      </c>
      <c r="AF56" s="5">
        <v>4.8</v>
      </c>
      <c r="AG56" s="5">
        <v>8.8000000000000007</v>
      </c>
      <c r="AH56" s="5">
        <v>4</v>
      </c>
      <c r="AI56" s="5" t="s">
        <v>48</v>
      </c>
      <c r="AJ56" s="5">
        <f t="shared" si="11"/>
        <v>18.150000000000002</v>
      </c>
      <c r="AK56" s="5">
        <f t="shared" si="12"/>
        <v>0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3" x14ac:dyDescent="0.25">
      <c r="A57" s="5" t="s">
        <v>99</v>
      </c>
      <c r="B57" s="5" t="s">
        <v>39</v>
      </c>
      <c r="C57" s="5">
        <v>621.52700000000004</v>
      </c>
      <c r="D57" s="5">
        <v>971.923</v>
      </c>
      <c r="E57" s="5">
        <v>513.43499999999995</v>
      </c>
      <c r="F57" s="5">
        <v>670.39800000000002</v>
      </c>
      <c r="G57" s="8">
        <v>1</v>
      </c>
      <c r="H57" s="5">
        <v>45</v>
      </c>
      <c r="I57" s="5" t="s">
        <v>36</v>
      </c>
      <c r="J57" s="5"/>
      <c r="K57" s="5">
        <v>493</v>
      </c>
      <c r="L57" s="5">
        <f t="shared" si="17"/>
        <v>20.434999999999945</v>
      </c>
      <c r="M57" s="5"/>
      <c r="N57" s="5"/>
      <c r="O57" s="5">
        <v>301</v>
      </c>
      <c r="P57" s="5">
        <f t="shared" si="18"/>
        <v>102.68699999999998</v>
      </c>
      <c r="Q57" s="4">
        <f t="shared" si="16"/>
        <v>466.21999999999969</v>
      </c>
      <c r="R57" s="4">
        <f t="shared" si="7"/>
        <v>466.21999999999969</v>
      </c>
      <c r="S57" s="4"/>
      <c r="T57" s="4">
        <f t="shared" si="8"/>
        <v>466</v>
      </c>
      <c r="U57" s="4">
        <f t="shared" si="9"/>
        <v>263.39130434782606</v>
      </c>
      <c r="V57" s="4">
        <f>T57/2.3</f>
        <v>202.60869565217394</v>
      </c>
      <c r="W57" s="4"/>
      <c r="X57" s="5"/>
      <c r="Y57" s="5">
        <f t="shared" si="10"/>
        <v>13.997857567170142</v>
      </c>
      <c r="Z57" s="5">
        <f t="shared" si="20"/>
        <v>9.4597953002814403</v>
      </c>
      <c r="AA57" s="5">
        <v>104.6752</v>
      </c>
      <c r="AB57" s="5">
        <v>99.838999999999999</v>
      </c>
      <c r="AC57" s="5">
        <v>101.7906</v>
      </c>
      <c r="AD57" s="5">
        <v>89.182400000000001</v>
      </c>
      <c r="AE57" s="5">
        <v>105.916</v>
      </c>
      <c r="AF57" s="5">
        <v>121.712</v>
      </c>
      <c r="AG57" s="5">
        <v>101.203</v>
      </c>
      <c r="AH57" s="5">
        <v>109.4984</v>
      </c>
      <c r="AI57" s="5"/>
      <c r="AJ57" s="5">
        <f t="shared" si="11"/>
        <v>263.39130434782606</v>
      </c>
      <c r="AK57" s="5">
        <f t="shared" si="12"/>
        <v>202.60869565217394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3" x14ac:dyDescent="0.25">
      <c r="A58" s="5" t="s">
        <v>100</v>
      </c>
      <c r="B58" s="5" t="s">
        <v>39</v>
      </c>
      <c r="C58" s="5"/>
      <c r="D58" s="5">
        <v>61.634</v>
      </c>
      <c r="E58" s="5">
        <v>22.78</v>
      </c>
      <c r="F58" s="5">
        <v>38.853999999999999</v>
      </c>
      <c r="G58" s="8">
        <v>1</v>
      </c>
      <c r="H58" s="5">
        <v>30</v>
      </c>
      <c r="I58" s="5" t="s">
        <v>36</v>
      </c>
      <c r="J58" s="5"/>
      <c r="K58" s="5">
        <v>22.9</v>
      </c>
      <c r="L58" s="5">
        <f t="shared" si="17"/>
        <v>-0.11999999999999744</v>
      </c>
      <c r="M58" s="5"/>
      <c r="N58" s="5"/>
      <c r="O58" s="5"/>
      <c r="P58" s="5">
        <f t="shared" si="18"/>
        <v>4.556</v>
      </c>
      <c r="Q58" s="4">
        <f t="shared" si="16"/>
        <v>24.93</v>
      </c>
      <c r="R58" s="4">
        <f t="shared" si="7"/>
        <v>24.93</v>
      </c>
      <c r="S58" s="4"/>
      <c r="T58" s="4">
        <f t="shared" si="8"/>
        <v>25</v>
      </c>
      <c r="U58" s="4">
        <f t="shared" si="9"/>
        <v>25</v>
      </c>
      <c r="V58" s="4"/>
      <c r="W58" s="4"/>
      <c r="X58" s="5"/>
      <c r="Y58" s="5">
        <f t="shared" si="10"/>
        <v>14.015364354697102</v>
      </c>
      <c r="Z58" s="5">
        <f t="shared" si="20"/>
        <v>8.528094820017559</v>
      </c>
      <c r="AA58" s="5">
        <v>3.9491999999999998</v>
      </c>
      <c r="AB58" s="5">
        <v>6.4672000000000001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 t="s">
        <v>64</v>
      </c>
      <c r="AJ58" s="5">
        <f t="shared" si="11"/>
        <v>25</v>
      </c>
      <c r="AK58" s="5">
        <f t="shared" si="12"/>
        <v>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3" x14ac:dyDescent="0.25">
      <c r="A59" s="5" t="s">
        <v>101</v>
      </c>
      <c r="B59" s="5" t="s">
        <v>35</v>
      </c>
      <c r="C59" s="5">
        <v>65</v>
      </c>
      <c r="D59" s="5"/>
      <c r="E59" s="5">
        <v>10</v>
      </c>
      <c r="F59" s="5">
        <v>53</v>
      </c>
      <c r="G59" s="8">
        <v>0.1</v>
      </c>
      <c r="H59" s="5">
        <v>60</v>
      </c>
      <c r="I59" s="5" t="s">
        <v>36</v>
      </c>
      <c r="J59" s="5"/>
      <c r="K59" s="5">
        <v>10</v>
      </c>
      <c r="L59" s="5">
        <f t="shared" si="17"/>
        <v>0</v>
      </c>
      <c r="M59" s="5"/>
      <c r="N59" s="5"/>
      <c r="O59" s="5"/>
      <c r="P59" s="5">
        <f t="shared" si="18"/>
        <v>2</v>
      </c>
      <c r="Q59" s="4"/>
      <c r="R59" s="4">
        <f t="shared" si="7"/>
        <v>0</v>
      </c>
      <c r="S59" s="4"/>
      <c r="T59" s="4">
        <f t="shared" si="8"/>
        <v>0</v>
      </c>
      <c r="U59" s="4">
        <f t="shared" si="9"/>
        <v>0</v>
      </c>
      <c r="V59" s="4"/>
      <c r="W59" s="4"/>
      <c r="X59" s="5"/>
      <c r="Y59" s="5">
        <f t="shared" si="10"/>
        <v>26.5</v>
      </c>
      <c r="Z59" s="5">
        <f t="shared" si="20"/>
        <v>26.5</v>
      </c>
      <c r="AA59" s="5">
        <v>3.2</v>
      </c>
      <c r="AB59" s="5">
        <v>5.4</v>
      </c>
      <c r="AC59" s="5">
        <v>8.8000000000000007</v>
      </c>
      <c r="AD59" s="5">
        <v>2.4</v>
      </c>
      <c r="AE59" s="5">
        <v>3.4</v>
      </c>
      <c r="AF59" s="5">
        <v>10</v>
      </c>
      <c r="AG59" s="5">
        <v>5.2</v>
      </c>
      <c r="AH59" s="5">
        <v>6.4</v>
      </c>
      <c r="AI59" s="19" t="s">
        <v>44</v>
      </c>
      <c r="AJ59" s="5">
        <f t="shared" si="11"/>
        <v>0</v>
      </c>
      <c r="AK59" s="5">
        <f t="shared" si="12"/>
        <v>0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3" x14ac:dyDescent="0.25">
      <c r="A60" s="5" t="s">
        <v>102</v>
      </c>
      <c r="B60" s="5" t="s">
        <v>35</v>
      </c>
      <c r="C60" s="5">
        <v>54</v>
      </c>
      <c r="D60" s="5">
        <v>70</v>
      </c>
      <c r="E60" s="5">
        <v>54</v>
      </c>
      <c r="F60" s="5">
        <v>66</v>
      </c>
      <c r="G60" s="8">
        <v>0.4</v>
      </c>
      <c r="H60" s="5">
        <v>45</v>
      </c>
      <c r="I60" s="5" t="s">
        <v>36</v>
      </c>
      <c r="J60" s="5"/>
      <c r="K60" s="5">
        <v>54</v>
      </c>
      <c r="L60" s="5">
        <f t="shared" si="17"/>
        <v>0</v>
      </c>
      <c r="M60" s="5"/>
      <c r="N60" s="5"/>
      <c r="O60" s="5"/>
      <c r="P60" s="5">
        <f t="shared" si="18"/>
        <v>10.8</v>
      </c>
      <c r="Q60" s="4">
        <f t="shared" si="16"/>
        <v>85.200000000000017</v>
      </c>
      <c r="R60" s="4">
        <f t="shared" si="7"/>
        <v>85.200000000000017</v>
      </c>
      <c r="S60" s="4"/>
      <c r="T60" s="4">
        <f t="shared" si="8"/>
        <v>85</v>
      </c>
      <c r="U60" s="4">
        <f t="shared" si="9"/>
        <v>85</v>
      </c>
      <c r="V60" s="4"/>
      <c r="W60" s="4"/>
      <c r="X60" s="5"/>
      <c r="Y60" s="5">
        <f t="shared" si="10"/>
        <v>13.981481481481481</v>
      </c>
      <c r="Z60" s="5">
        <f t="shared" si="20"/>
        <v>6.1111111111111107</v>
      </c>
      <c r="AA60" s="5">
        <v>8.4</v>
      </c>
      <c r="AB60" s="5">
        <v>7.2</v>
      </c>
      <c r="AC60" s="5">
        <v>10</v>
      </c>
      <c r="AD60" s="5">
        <v>12.2</v>
      </c>
      <c r="AE60" s="5">
        <v>10</v>
      </c>
      <c r="AF60" s="5">
        <v>7.8</v>
      </c>
      <c r="AG60" s="5">
        <v>9.6</v>
      </c>
      <c r="AH60" s="5">
        <v>11.8</v>
      </c>
      <c r="AI60" s="5"/>
      <c r="AJ60" s="5">
        <f t="shared" si="11"/>
        <v>34</v>
      </c>
      <c r="AK60" s="5">
        <f t="shared" si="12"/>
        <v>0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3" x14ac:dyDescent="0.25">
      <c r="A61" s="5" t="s">
        <v>103</v>
      </c>
      <c r="B61" s="5" t="s">
        <v>39</v>
      </c>
      <c r="C61" s="5">
        <v>45.283999999999999</v>
      </c>
      <c r="D61" s="5">
        <v>6.0250000000000004</v>
      </c>
      <c r="E61" s="5">
        <v>34.685000000000002</v>
      </c>
      <c r="F61" s="5">
        <v>16.623999999999999</v>
      </c>
      <c r="G61" s="8">
        <v>1</v>
      </c>
      <c r="H61" s="5">
        <v>60</v>
      </c>
      <c r="I61" s="5" t="s">
        <v>36</v>
      </c>
      <c r="J61" s="5"/>
      <c r="K61" s="5">
        <v>34.5</v>
      </c>
      <c r="L61" s="5">
        <f t="shared" si="17"/>
        <v>0.18500000000000227</v>
      </c>
      <c r="M61" s="5"/>
      <c r="N61" s="5"/>
      <c r="O61" s="5">
        <v>10</v>
      </c>
      <c r="P61" s="5">
        <f t="shared" si="18"/>
        <v>6.9370000000000003</v>
      </c>
      <c r="Q61" s="4">
        <f>13*P61-O61-F61</f>
        <v>63.557000000000002</v>
      </c>
      <c r="R61" s="4">
        <f t="shared" si="7"/>
        <v>63.557000000000002</v>
      </c>
      <c r="S61" s="4"/>
      <c r="T61" s="4">
        <f t="shared" si="8"/>
        <v>64</v>
      </c>
      <c r="U61" s="4">
        <f t="shared" si="9"/>
        <v>64</v>
      </c>
      <c r="V61" s="4"/>
      <c r="W61" s="4"/>
      <c r="X61" s="5"/>
      <c r="Y61" s="5">
        <f t="shared" si="10"/>
        <v>13.063860458411416</v>
      </c>
      <c r="Z61" s="5">
        <f t="shared" si="20"/>
        <v>3.8379703041660655</v>
      </c>
      <c r="AA61" s="5">
        <v>4.5209999999999999</v>
      </c>
      <c r="AB61" s="5">
        <v>3.3410000000000002</v>
      </c>
      <c r="AC61" s="5">
        <v>2.927</v>
      </c>
      <c r="AD61" s="5">
        <v>6.4276</v>
      </c>
      <c r="AE61" s="5">
        <v>2.36</v>
      </c>
      <c r="AF61" s="5">
        <v>4.266</v>
      </c>
      <c r="AG61" s="5">
        <v>3.9529999999999998</v>
      </c>
      <c r="AH61" s="5">
        <v>2.6269999999999998</v>
      </c>
      <c r="AI61" s="5"/>
      <c r="AJ61" s="5">
        <f t="shared" si="11"/>
        <v>64</v>
      </c>
      <c r="AK61" s="5">
        <f t="shared" si="12"/>
        <v>0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</row>
    <row r="62" spans="1:53" x14ac:dyDescent="0.25">
      <c r="A62" s="5" t="s">
        <v>104</v>
      </c>
      <c r="B62" s="5" t="s">
        <v>35</v>
      </c>
      <c r="C62" s="5">
        <v>36</v>
      </c>
      <c r="D62" s="5">
        <v>40</v>
      </c>
      <c r="E62" s="5">
        <v>36</v>
      </c>
      <c r="F62" s="5">
        <v>38</v>
      </c>
      <c r="G62" s="8">
        <v>0.25</v>
      </c>
      <c r="H62" s="5">
        <v>120</v>
      </c>
      <c r="I62" s="12" t="s">
        <v>36</v>
      </c>
      <c r="J62" s="5"/>
      <c r="K62" s="5">
        <v>36</v>
      </c>
      <c r="L62" s="5">
        <f t="shared" si="17"/>
        <v>0</v>
      </c>
      <c r="M62" s="5"/>
      <c r="N62" s="5"/>
      <c r="O62" s="5"/>
      <c r="P62" s="5">
        <f t="shared" si="18"/>
        <v>7.2</v>
      </c>
      <c r="Q62" s="4">
        <f t="shared" si="16"/>
        <v>62.8</v>
      </c>
      <c r="R62" s="4">
        <f>W62</f>
        <v>90</v>
      </c>
      <c r="S62" s="4"/>
      <c r="T62" s="4">
        <f t="shared" si="8"/>
        <v>90</v>
      </c>
      <c r="U62" s="4">
        <f t="shared" si="9"/>
        <v>90</v>
      </c>
      <c r="V62" s="4"/>
      <c r="W62" s="4">
        <v>90</v>
      </c>
      <c r="X62" s="5" t="s">
        <v>149</v>
      </c>
      <c r="Y62" s="5">
        <f t="shared" si="10"/>
        <v>17.777777777777779</v>
      </c>
      <c r="Z62" s="5">
        <f t="shared" si="20"/>
        <v>5.2777777777777777</v>
      </c>
      <c r="AA62" s="5">
        <v>5.4</v>
      </c>
      <c r="AB62" s="5">
        <v>7.6</v>
      </c>
      <c r="AC62" s="5">
        <v>2</v>
      </c>
      <c r="AD62" s="5">
        <v>7.6</v>
      </c>
      <c r="AE62" s="5">
        <v>3.8</v>
      </c>
      <c r="AF62" s="5">
        <v>3.4</v>
      </c>
      <c r="AG62" s="5">
        <v>1</v>
      </c>
      <c r="AH62" s="5">
        <v>0</v>
      </c>
      <c r="AI62" s="5" t="s">
        <v>64</v>
      </c>
      <c r="AJ62" s="5">
        <f t="shared" si="11"/>
        <v>22.5</v>
      </c>
      <c r="AK62" s="5">
        <f t="shared" si="12"/>
        <v>0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3" x14ac:dyDescent="0.25">
      <c r="A63" s="5" t="s">
        <v>105</v>
      </c>
      <c r="B63" s="5" t="s">
        <v>39</v>
      </c>
      <c r="C63" s="5">
        <v>48.241999999999997</v>
      </c>
      <c r="D63" s="5">
        <v>31.456</v>
      </c>
      <c r="E63" s="5">
        <v>26.475000000000001</v>
      </c>
      <c r="F63" s="5">
        <v>25.373999999999999</v>
      </c>
      <c r="G63" s="8">
        <v>1</v>
      </c>
      <c r="H63" s="5">
        <v>45</v>
      </c>
      <c r="I63" s="5" t="s">
        <v>36</v>
      </c>
      <c r="J63" s="5"/>
      <c r="K63" s="5">
        <v>27</v>
      </c>
      <c r="L63" s="5">
        <f t="shared" si="17"/>
        <v>-0.52499999999999858</v>
      </c>
      <c r="M63" s="5"/>
      <c r="N63" s="5"/>
      <c r="O63" s="5"/>
      <c r="P63" s="5">
        <f t="shared" si="18"/>
        <v>5.2949999999999999</v>
      </c>
      <c r="Q63" s="4">
        <f t="shared" si="16"/>
        <v>48.756</v>
      </c>
      <c r="R63" s="4">
        <f t="shared" si="7"/>
        <v>48.756</v>
      </c>
      <c r="S63" s="4"/>
      <c r="T63" s="4">
        <f t="shared" si="8"/>
        <v>49</v>
      </c>
      <c r="U63" s="4">
        <f t="shared" si="9"/>
        <v>49</v>
      </c>
      <c r="V63" s="4"/>
      <c r="W63" s="4"/>
      <c r="X63" s="5"/>
      <c r="Y63" s="5">
        <f t="shared" si="10"/>
        <v>14.04608120868744</v>
      </c>
      <c r="Z63" s="5">
        <f t="shared" si="20"/>
        <v>4.7920679886685553</v>
      </c>
      <c r="AA63" s="5">
        <v>3.6503999999999999</v>
      </c>
      <c r="AB63" s="5">
        <v>4.4521999999999986</v>
      </c>
      <c r="AC63" s="5">
        <v>5.0945999999999998</v>
      </c>
      <c r="AD63" s="5">
        <v>5.9866000000000001</v>
      </c>
      <c r="AE63" s="5">
        <v>6.0286</v>
      </c>
      <c r="AF63" s="5">
        <v>3.1646000000000001</v>
      </c>
      <c r="AG63" s="5">
        <v>4.9981999999999998</v>
      </c>
      <c r="AH63" s="5">
        <v>4.6646000000000001</v>
      </c>
      <c r="AI63" s="5"/>
      <c r="AJ63" s="5">
        <f t="shared" si="11"/>
        <v>49</v>
      </c>
      <c r="AK63" s="5">
        <f t="shared" si="12"/>
        <v>0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3" x14ac:dyDescent="0.25">
      <c r="A64" s="5" t="s">
        <v>106</v>
      </c>
      <c r="B64" s="5" t="s">
        <v>35</v>
      </c>
      <c r="C64" s="5">
        <v>863</v>
      </c>
      <c r="D64" s="5">
        <v>3882</v>
      </c>
      <c r="E64" s="18">
        <f>788+E95</f>
        <v>919.54399999999998</v>
      </c>
      <c r="F64" s="18">
        <f>3511+F95</f>
        <v>3633.4560000000001</v>
      </c>
      <c r="G64" s="8">
        <v>0.41</v>
      </c>
      <c r="H64" s="5">
        <v>50</v>
      </c>
      <c r="I64" s="11" t="s">
        <v>67</v>
      </c>
      <c r="J64" s="5"/>
      <c r="K64" s="5">
        <v>798</v>
      </c>
      <c r="L64" s="5">
        <f t="shared" si="17"/>
        <v>121.54399999999998</v>
      </c>
      <c r="M64" s="5"/>
      <c r="N64" s="5"/>
      <c r="O64" s="5"/>
      <c r="P64" s="5">
        <f t="shared" si="18"/>
        <v>183.90879999999999</v>
      </c>
      <c r="Q64" s="4"/>
      <c r="R64" s="4">
        <f t="shared" si="7"/>
        <v>0</v>
      </c>
      <c r="S64" s="4"/>
      <c r="T64" s="4">
        <f t="shared" si="8"/>
        <v>0</v>
      </c>
      <c r="U64" s="4">
        <f t="shared" si="9"/>
        <v>0</v>
      </c>
      <c r="V64" s="4"/>
      <c r="W64" s="4"/>
      <c r="X64" s="5"/>
      <c r="Y64" s="5">
        <f t="shared" si="10"/>
        <v>19.756835996972416</v>
      </c>
      <c r="Z64" s="5">
        <f t="shared" si="20"/>
        <v>19.756835996972416</v>
      </c>
      <c r="AA64" s="5">
        <v>155.80000000000001</v>
      </c>
      <c r="AB64" s="5">
        <v>177.6</v>
      </c>
      <c r="AC64" s="5">
        <v>177.6</v>
      </c>
      <c r="AD64" s="5">
        <v>177.6</v>
      </c>
      <c r="AE64" s="5">
        <v>242.6</v>
      </c>
      <c r="AF64" s="5">
        <v>156</v>
      </c>
      <c r="AG64" s="5">
        <v>401.4</v>
      </c>
      <c r="AH64" s="5">
        <v>179.8</v>
      </c>
      <c r="AI64" s="5" t="s">
        <v>48</v>
      </c>
      <c r="AJ64" s="5">
        <f t="shared" si="11"/>
        <v>0</v>
      </c>
      <c r="AK64" s="5">
        <f t="shared" si="12"/>
        <v>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</row>
    <row r="65" spans="1:53" x14ac:dyDescent="0.25">
      <c r="A65" s="5" t="s">
        <v>107</v>
      </c>
      <c r="B65" s="5" t="s">
        <v>39</v>
      </c>
      <c r="C65" s="5">
        <v>491.46300000000002</v>
      </c>
      <c r="D65" s="5">
        <v>438.99299999999999</v>
      </c>
      <c r="E65" s="18">
        <f>195.112+E96</f>
        <v>377.29300000000001</v>
      </c>
      <c r="F65" s="18">
        <f>328.58+F96</f>
        <v>443.55499999999995</v>
      </c>
      <c r="G65" s="8">
        <v>1</v>
      </c>
      <c r="H65" s="5">
        <v>50</v>
      </c>
      <c r="I65" s="5" t="s">
        <v>36</v>
      </c>
      <c r="J65" s="5"/>
      <c r="K65" s="5">
        <v>191.5</v>
      </c>
      <c r="L65" s="5">
        <f t="shared" si="17"/>
        <v>185.79300000000001</v>
      </c>
      <c r="M65" s="5"/>
      <c r="N65" s="5"/>
      <c r="O65" s="5">
        <v>254</v>
      </c>
      <c r="P65" s="5">
        <f t="shared" si="18"/>
        <v>75.458600000000004</v>
      </c>
      <c r="Q65" s="4">
        <f t="shared" si="16"/>
        <v>358.86540000000002</v>
      </c>
      <c r="R65" s="4">
        <f t="shared" si="7"/>
        <v>358.86540000000002</v>
      </c>
      <c r="S65" s="4"/>
      <c r="T65" s="4">
        <f t="shared" si="8"/>
        <v>359</v>
      </c>
      <c r="U65" s="4">
        <f t="shared" si="9"/>
        <v>202.91304347826085</v>
      </c>
      <c r="V65" s="4">
        <f t="shared" ref="V65:V66" si="21">T65/2.3</f>
        <v>156.08695652173915</v>
      </c>
      <c r="W65" s="4"/>
      <c r="X65" s="5"/>
      <c r="Y65" s="5">
        <f t="shared" si="10"/>
        <v>14.00178375957147</v>
      </c>
      <c r="Z65" s="5">
        <f t="shared" si="20"/>
        <v>9.2442080823126833</v>
      </c>
      <c r="AA65" s="5">
        <v>74.871600000000001</v>
      </c>
      <c r="AB65" s="5">
        <v>71.828199999999995</v>
      </c>
      <c r="AC65" s="5">
        <v>71.905000000000001</v>
      </c>
      <c r="AD65" s="5">
        <v>63.412599999999998</v>
      </c>
      <c r="AE65" s="5">
        <v>62.621800000000007</v>
      </c>
      <c r="AF65" s="5">
        <v>57.442799999999998</v>
      </c>
      <c r="AG65" s="5">
        <v>48.929200000000002</v>
      </c>
      <c r="AH65" s="5">
        <v>73.275199999999998</v>
      </c>
      <c r="AI65" s="5"/>
      <c r="AJ65" s="5">
        <f t="shared" si="11"/>
        <v>202.91304347826085</v>
      </c>
      <c r="AK65" s="5">
        <f t="shared" si="12"/>
        <v>156.08695652173915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</row>
    <row r="66" spans="1:53" x14ac:dyDescent="0.25">
      <c r="A66" s="5" t="s">
        <v>108</v>
      </c>
      <c r="B66" s="5" t="s">
        <v>35</v>
      </c>
      <c r="C66" s="5">
        <v>272</v>
      </c>
      <c r="D66" s="5">
        <v>49</v>
      </c>
      <c r="E66" s="5">
        <v>164</v>
      </c>
      <c r="F66" s="5">
        <v>153</v>
      </c>
      <c r="G66" s="8">
        <v>0.35</v>
      </c>
      <c r="H66" s="5">
        <v>50</v>
      </c>
      <c r="I66" s="5" t="s">
        <v>36</v>
      </c>
      <c r="J66" s="5"/>
      <c r="K66" s="5">
        <v>170</v>
      </c>
      <c r="L66" s="5">
        <f t="shared" si="17"/>
        <v>-6</v>
      </c>
      <c r="M66" s="5"/>
      <c r="N66" s="5"/>
      <c r="O66" s="5">
        <v>64</v>
      </c>
      <c r="P66" s="5">
        <f t="shared" si="18"/>
        <v>32.799999999999997</v>
      </c>
      <c r="Q66" s="4">
        <f t="shared" si="16"/>
        <v>242.19999999999993</v>
      </c>
      <c r="R66" s="4">
        <f t="shared" si="7"/>
        <v>242.19999999999993</v>
      </c>
      <c r="S66" s="4"/>
      <c r="T66" s="4">
        <f t="shared" si="8"/>
        <v>242</v>
      </c>
      <c r="U66" s="4">
        <f t="shared" si="9"/>
        <v>136.78260869565219</v>
      </c>
      <c r="V66" s="4">
        <f t="shared" si="21"/>
        <v>105.21739130434783</v>
      </c>
      <c r="W66" s="4"/>
      <c r="X66" s="5"/>
      <c r="Y66" s="5">
        <f t="shared" si="10"/>
        <v>13.993902439024392</v>
      </c>
      <c r="Z66" s="5">
        <f t="shared" si="20"/>
        <v>6.6158536585365857</v>
      </c>
      <c r="AA66" s="5">
        <v>25</v>
      </c>
      <c r="AB66" s="5">
        <v>16.8</v>
      </c>
      <c r="AC66" s="5">
        <v>37.200000000000003</v>
      </c>
      <c r="AD66" s="5">
        <v>18.399999999999999</v>
      </c>
      <c r="AE66" s="5">
        <v>29.8</v>
      </c>
      <c r="AF66" s="5">
        <v>32.4</v>
      </c>
      <c r="AG66" s="5">
        <v>26.8</v>
      </c>
      <c r="AH66" s="5">
        <v>23.6</v>
      </c>
      <c r="AI66" s="5"/>
      <c r="AJ66" s="5">
        <f t="shared" si="11"/>
        <v>47.873913043478261</v>
      </c>
      <c r="AK66" s="5">
        <f t="shared" si="12"/>
        <v>36.826086956521735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 spans="1:53" x14ac:dyDescent="0.25">
      <c r="A67" s="5" t="s">
        <v>109</v>
      </c>
      <c r="B67" s="5" t="s">
        <v>39</v>
      </c>
      <c r="C67" s="5">
        <v>10.839</v>
      </c>
      <c r="D67" s="5">
        <v>18.5</v>
      </c>
      <c r="E67" s="5">
        <v>7.194</v>
      </c>
      <c r="F67" s="5">
        <v>12.323</v>
      </c>
      <c r="G67" s="8">
        <v>1</v>
      </c>
      <c r="H67" s="5">
        <v>50</v>
      </c>
      <c r="I67" s="5" t="s">
        <v>36</v>
      </c>
      <c r="J67" s="5"/>
      <c r="K67" s="5">
        <v>10.5</v>
      </c>
      <c r="L67" s="5">
        <f t="shared" si="17"/>
        <v>-3.306</v>
      </c>
      <c r="M67" s="5"/>
      <c r="N67" s="5"/>
      <c r="O67" s="5"/>
      <c r="P67" s="5">
        <f t="shared" si="18"/>
        <v>1.4388000000000001</v>
      </c>
      <c r="Q67" s="4">
        <f t="shared" si="16"/>
        <v>7.8201999999999998</v>
      </c>
      <c r="R67" s="4">
        <f t="shared" si="7"/>
        <v>7.8201999999999998</v>
      </c>
      <c r="S67" s="4"/>
      <c r="T67" s="4">
        <f t="shared" si="8"/>
        <v>8</v>
      </c>
      <c r="U67" s="4">
        <f t="shared" si="9"/>
        <v>8</v>
      </c>
      <c r="V67" s="4"/>
      <c r="W67" s="4"/>
      <c r="X67" s="5"/>
      <c r="Y67" s="5">
        <f t="shared" si="10"/>
        <v>14.124965248818459</v>
      </c>
      <c r="Z67" s="5">
        <f t="shared" si="20"/>
        <v>8.5647762023908811</v>
      </c>
      <c r="AA67" s="5">
        <v>-3.3000000000000002E-2</v>
      </c>
      <c r="AB67" s="5">
        <v>1.8566</v>
      </c>
      <c r="AC67" s="5">
        <v>0</v>
      </c>
      <c r="AD67" s="5">
        <v>1.8584000000000001</v>
      </c>
      <c r="AE67" s="5">
        <v>0.31240000000000001</v>
      </c>
      <c r="AF67" s="5">
        <v>0.61619999999999997</v>
      </c>
      <c r="AG67" s="5">
        <v>1.2307999999999999</v>
      </c>
      <c r="AH67" s="5">
        <v>1.2316</v>
      </c>
      <c r="AI67" s="12" t="s">
        <v>148</v>
      </c>
      <c r="AJ67" s="5">
        <f t="shared" si="11"/>
        <v>8</v>
      </c>
      <c r="AK67" s="5">
        <f t="shared" si="12"/>
        <v>0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3" x14ac:dyDescent="0.25">
      <c r="A68" s="13" t="s">
        <v>110</v>
      </c>
      <c r="B68" s="13" t="s">
        <v>35</v>
      </c>
      <c r="C68" s="13">
        <v>-25</v>
      </c>
      <c r="D68" s="13"/>
      <c r="E68" s="13">
        <v>7</v>
      </c>
      <c r="F68" s="13">
        <v>-35</v>
      </c>
      <c r="G68" s="14">
        <v>0</v>
      </c>
      <c r="H68" s="13">
        <v>50</v>
      </c>
      <c r="I68" s="13" t="s">
        <v>55</v>
      </c>
      <c r="J68" s="13"/>
      <c r="K68" s="13">
        <v>12</v>
      </c>
      <c r="L68" s="13">
        <f t="shared" si="17"/>
        <v>-5</v>
      </c>
      <c r="M68" s="13"/>
      <c r="N68" s="13"/>
      <c r="O68" s="13"/>
      <c r="P68" s="13">
        <f t="shared" si="18"/>
        <v>1.4</v>
      </c>
      <c r="Q68" s="15"/>
      <c r="R68" s="4">
        <f t="shared" si="7"/>
        <v>0</v>
      </c>
      <c r="S68" s="15"/>
      <c r="T68" s="4">
        <f t="shared" si="8"/>
        <v>0</v>
      </c>
      <c r="U68" s="4">
        <f t="shared" si="9"/>
        <v>0</v>
      </c>
      <c r="V68" s="4"/>
      <c r="W68" s="15"/>
      <c r="X68" s="13"/>
      <c r="Y68" s="5">
        <f t="shared" si="10"/>
        <v>-25</v>
      </c>
      <c r="Z68" s="13">
        <f t="shared" si="20"/>
        <v>-25</v>
      </c>
      <c r="AA68" s="13">
        <v>1.8</v>
      </c>
      <c r="AB68" s="13">
        <v>48.8</v>
      </c>
      <c r="AC68" s="13">
        <v>76.2</v>
      </c>
      <c r="AD68" s="13">
        <v>90.2</v>
      </c>
      <c r="AE68" s="13">
        <v>71.8</v>
      </c>
      <c r="AF68" s="13">
        <v>86.2</v>
      </c>
      <c r="AG68" s="13">
        <v>80.2</v>
      </c>
      <c r="AH68" s="13">
        <v>78</v>
      </c>
      <c r="AI68" s="13" t="s">
        <v>111</v>
      </c>
      <c r="AJ68" s="5">
        <f t="shared" si="11"/>
        <v>0</v>
      </c>
      <c r="AK68" s="5">
        <f t="shared" si="12"/>
        <v>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3" x14ac:dyDescent="0.25">
      <c r="A69" s="5" t="s">
        <v>112</v>
      </c>
      <c r="B69" s="5" t="s">
        <v>35</v>
      </c>
      <c r="C69" s="5">
        <v>1137</v>
      </c>
      <c r="D69" s="5">
        <v>211</v>
      </c>
      <c r="E69" s="5">
        <v>591</v>
      </c>
      <c r="F69" s="5">
        <v>734</v>
      </c>
      <c r="G69" s="8">
        <v>0.41</v>
      </c>
      <c r="H69" s="5">
        <v>50</v>
      </c>
      <c r="I69" s="5" t="s">
        <v>36</v>
      </c>
      <c r="J69" s="5"/>
      <c r="K69" s="5">
        <v>594</v>
      </c>
      <c r="L69" s="5">
        <f t="shared" si="17"/>
        <v>-3</v>
      </c>
      <c r="M69" s="5"/>
      <c r="N69" s="5"/>
      <c r="O69" s="5">
        <v>252</v>
      </c>
      <c r="P69" s="5">
        <f t="shared" si="18"/>
        <v>118.2</v>
      </c>
      <c r="Q69" s="4">
        <f t="shared" ref="Q69:Q73" si="22">14*P69-O69-F69</f>
        <v>668.8</v>
      </c>
      <c r="R69" s="4">
        <f t="shared" si="7"/>
        <v>668.8</v>
      </c>
      <c r="S69" s="4"/>
      <c r="T69" s="4">
        <f t="shared" si="8"/>
        <v>669</v>
      </c>
      <c r="U69" s="4">
        <f t="shared" si="9"/>
        <v>378.13043478260869</v>
      </c>
      <c r="V69" s="4">
        <f>T69/2.3</f>
        <v>290.86956521739131</v>
      </c>
      <c r="W69" s="4"/>
      <c r="X69" s="5"/>
      <c r="Y69" s="5">
        <f t="shared" si="10"/>
        <v>14.001692047377325</v>
      </c>
      <c r="Z69" s="5">
        <f t="shared" si="20"/>
        <v>8.3417935702199664</v>
      </c>
      <c r="AA69" s="5">
        <v>109.4</v>
      </c>
      <c r="AB69" s="5">
        <v>116.8</v>
      </c>
      <c r="AC69" s="5">
        <v>138</v>
      </c>
      <c r="AD69" s="5">
        <v>138.80000000000001</v>
      </c>
      <c r="AE69" s="5">
        <v>103</v>
      </c>
      <c r="AF69" s="5">
        <v>108.2</v>
      </c>
      <c r="AG69" s="5">
        <v>119.4</v>
      </c>
      <c r="AH69" s="5">
        <v>125.2</v>
      </c>
      <c r="AI69" s="5" t="s">
        <v>48</v>
      </c>
      <c r="AJ69" s="5">
        <f t="shared" si="11"/>
        <v>155.03347826086954</v>
      </c>
      <c r="AK69" s="5">
        <f t="shared" si="12"/>
        <v>119.25652173913043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3" x14ac:dyDescent="0.25">
      <c r="A70" s="5" t="s">
        <v>113</v>
      </c>
      <c r="B70" s="5" t="s">
        <v>39</v>
      </c>
      <c r="C70" s="5">
        <v>281.05</v>
      </c>
      <c r="D70" s="5">
        <v>266.82</v>
      </c>
      <c r="E70" s="5">
        <v>205.41399999999999</v>
      </c>
      <c r="F70" s="5">
        <v>209.71799999999999</v>
      </c>
      <c r="G70" s="8">
        <v>1</v>
      </c>
      <c r="H70" s="5">
        <v>50</v>
      </c>
      <c r="I70" s="5" t="s">
        <v>36</v>
      </c>
      <c r="J70" s="5"/>
      <c r="K70" s="5">
        <v>204.8</v>
      </c>
      <c r="L70" s="5">
        <f t="shared" ref="L70:L96" si="23">E70-K70</f>
        <v>0.6139999999999759</v>
      </c>
      <c r="M70" s="5"/>
      <c r="N70" s="5"/>
      <c r="O70" s="5">
        <v>178</v>
      </c>
      <c r="P70" s="5">
        <f t="shared" ref="P70:P96" si="24">E70/5</f>
        <v>41.082799999999999</v>
      </c>
      <c r="Q70" s="4">
        <f t="shared" si="22"/>
        <v>187.44119999999995</v>
      </c>
      <c r="R70" s="4">
        <f t="shared" si="7"/>
        <v>187.44119999999995</v>
      </c>
      <c r="S70" s="4"/>
      <c r="T70" s="4">
        <f t="shared" si="8"/>
        <v>187</v>
      </c>
      <c r="U70" s="4">
        <f t="shared" si="9"/>
        <v>105.69565217391303</v>
      </c>
      <c r="V70" s="4">
        <f t="shared" ref="V70:V71" si="25">T70/2.3</f>
        <v>81.304347826086968</v>
      </c>
      <c r="W70" s="4"/>
      <c r="X70" s="5"/>
      <c r="Y70" s="5">
        <f t="shared" si="10"/>
        <v>13.989260712512293</v>
      </c>
      <c r="Z70" s="5">
        <f t="shared" ref="Z70:Z96" si="26">(F70+O70)/P70</f>
        <v>9.4374774844947265</v>
      </c>
      <c r="AA70" s="5">
        <v>41.4758</v>
      </c>
      <c r="AB70" s="5">
        <v>34.020000000000003</v>
      </c>
      <c r="AC70" s="5">
        <v>40.653399999999998</v>
      </c>
      <c r="AD70" s="5">
        <v>36.0914</v>
      </c>
      <c r="AE70" s="5">
        <v>36.638599999999997</v>
      </c>
      <c r="AF70" s="5">
        <v>33.515000000000001</v>
      </c>
      <c r="AG70" s="5">
        <v>35.5854</v>
      </c>
      <c r="AH70" s="5">
        <v>46.800199999999997</v>
      </c>
      <c r="AI70" s="5"/>
      <c r="AJ70" s="5">
        <f t="shared" si="11"/>
        <v>105.69565217391303</v>
      </c>
      <c r="AK70" s="5">
        <f t="shared" si="12"/>
        <v>81.304347826086968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 x14ac:dyDescent="0.25">
      <c r="A71" s="5" t="s">
        <v>114</v>
      </c>
      <c r="B71" s="5" t="s">
        <v>35</v>
      </c>
      <c r="C71" s="5">
        <v>240</v>
      </c>
      <c r="D71" s="5">
        <v>11</v>
      </c>
      <c r="E71" s="5">
        <v>155</v>
      </c>
      <c r="F71" s="5">
        <v>81</v>
      </c>
      <c r="G71" s="8">
        <v>0.3</v>
      </c>
      <c r="H71" s="5">
        <v>50</v>
      </c>
      <c r="I71" s="5" t="s">
        <v>36</v>
      </c>
      <c r="J71" s="5"/>
      <c r="K71" s="5">
        <v>161</v>
      </c>
      <c r="L71" s="5">
        <f t="shared" si="23"/>
        <v>-6</v>
      </c>
      <c r="M71" s="5"/>
      <c r="N71" s="5"/>
      <c r="O71" s="5"/>
      <c r="P71" s="5">
        <f t="shared" si="24"/>
        <v>31</v>
      </c>
      <c r="Q71" s="4">
        <f>12*P71-O71-F71</f>
        <v>291</v>
      </c>
      <c r="R71" s="4">
        <f t="shared" ref="R71:R96" si="27">Q71</f>
        <v>291</v>
      </c>
      <c r="S71" s="4"/>
      <c r="T71" s="4">
        <f t="shared" ref="T71:T96" si="28">ROUND(S71+R71,0)</f>
        <v>291</v>
      </c>
      <c r="U71" s="4">
        <f t="shared" ref="U71:U96" si="29">T71-V71</f>
        <v>164.47826086956519</v>
      </c>
      <c r="V71" s="4">
        <f t="shared" si="25"/>
        <v>126.5217391304348</v>
      </c>
      <c r="W71" s="4"/>
      <c r="X71" s="5"/>
      <c r="Y71" s="5">
        <f t="shared" ref="Y71:Y96" si="30">(F71+O71+T71)/P71</f>
        <v>12</v>
      </c>
      <c r="Z71" s="5">
        <f t="shared" si="26"/>
        <v>2.6129032258064515</v>
      </c>
      <c r="AA71" s="5">
        <v>14.6</v>
      </c>
      <c r="AB71" s="5">
        <v>15.6</v>
      </c>
      <c r="AC71" s="5">
        <v>27.8</v>
      </c>
      <c r="AD71" s="5">
        <v>37.4</v>
      </c>
      <c r="AE71" s="5">
        <v>24.6</v>
      </c>
      <c r="AF71" s="5">
        <v>21.6</v>
      </c>
      <c r="AG71" s="5">
        <v>27.8</v>
      </c>
      <c r="AH71" s="5">
        <v>31.4</v>
      </c>
      <c r="AI71" s="5"/>
      <c r="AJ71" s="5">
        <f t="shared" ref="AJ71:AK96" si="31">G71*U71</f>
        <v>49.343478260869553</v>
      </c>
      <c r="AK71" s="5">
        <f t="shared" ref="AK71:AK96" si="32">G71*V71</f>
        <v>37.956521739130437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3" x14ac:dyDescent="0.25">
      <c r="A72" s="5" t="s">
        <v>115</v>
      </c>
      <c r="B72" s="5" t="s">
        <v>35</v>
      </c>
      <c r="C72" s="5">
        <v>17</v>
      </c>
      <c r="D72" s="5">
        <v>81</v>
      </c>
      <c r="E72" s="5">
        <v>34</v>
      </c>
      <c r="F72" s="5">
        <v>64</v>
      </c>
      <c r="G72" s="8">
        <v>0.14000000000000001</v>
      </c>
      <c r="H72" s="5">
        <v>50</v>
      </c>
      <c r="I72" s="5" t="s">
        <v>36</v>
      </c>
      <c r="J72" s="5"/>
      <c r="K72" s="5">
        <v>35</v>
      </c>
      <c r="L72" s="5">
        <f t="shared" si="23"/>
        <v>-1</v>
      </c>
      <c r="M72" s="5"/>
      <c r="N72" s="5"/>
      <c r="O72" s="5"/>
      <c r="P72" s="5">
        <f t="shared" si="24"/>
        <v>6.8</v>
      </c>
      <c r="Q72" s="4">
        <f t="shared" si="22"/>
        <v>31.200000000000003</v>
      </c>
      <c r="R72" s="4">
        <f t="shared" si="27"/>
        <v>31.200000000000003</v>
      </c>
      <c r="S72" s="4"/>
      <c r="T72" s="4">
        <f t="shared" si="28"/>
        <v>31</v>
      </c>
      <c r="U72" s="4">
        <f t="shared" si="29"/>
        <v>31</v>
      </c>
      <c r="V72" s="4"/>
      <c r="W72" s="4"/>
      <c r="X72" s="5"/>
      <c r="Y72" s="5">
        <f t="shared" si="30"/>
        <v>13.970588235294118</v>
      </c>
      <c r="Z72" s="5">
        <f t="shared" si="26"/>
        <v>9.4117647058823533</v>
      </c>
      <c r="AA72" s="5">
        <v>8.1999999999999993</v>
      </c>
      <c r="AB72" s="5">
        <v>5.2</v>
      </c>
      <c r="AC72" s="5">
        <v>6.2</v>
      </c>
      <c r="AD72" s="5">
        <v>8.8000000000000007</v>
      </c>
      <c r="AE72" s="5">
        <v>5.8</v>
      </c>
      <c r="AF72" s="5">
        <v>9.8000000000000007</v>
      </c>
      <c r="AG72" s="5">
        <v>6</v>
      </c>
      <c r="AH72" s="5">
        <v>6.4</v>
      </c>
      <c r="AI72" s="5"/>
      <c r="AJ72" s="5">
        <f t="shared" si="31"/>
        <v>4.3400000000000007</v>
      </c>
      <c r="AK72" s="5">
        <f t="shared" si="32"/>
        <v>0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</row>
    <row r="73" spans="1:53" x14ac:dyDescent="0.25">
      <c r="A73" s="5" t="s">
        <v>116</v>
      </c>
      <c r="B73" s="5" t="s">
        <v>35</v>
      </c>
      <c r="C73" s="5">
        <v>352</v>
      </c>
      <c r="D73" s="5">
        <v>72</v>
      </c>
      <c r="E73" s="5">
        <v>174</v>
      </c>
      <c r="F73" s="5">
        <v>235</v>
      </c>
      <c r="G73" s="8">
        <v>0.18</v>
      </c>
      <c r="H73" s="5">
        <v>50</v>
      </c>
      <c r="I73" s="5" t="s">
        <v>36</v>
      </c>
      <c r="J73" s="5"/>
      <c r="K73" s="5">
        <v>185</v>
      </c>
      <c r="L73" s="5">
        <f t="shared" si="23"/>
        <v>-11</v>
      </c>
      <c r="M73" s="5"/>
      <c r="N73" s="5"/>
      <c r="O73" s="5">
        <v>98</v>
      </c>
      <c r="P73" s="5">
        <f t="shared" si="24"/>
        <v>34.799999999999997</v>
      </c>
      <c r="Q73" s="4">
        <f t="shared" si="22"/>
        <v>154.19999999999993</v>
      </c>
      <c r="R73" s="4">
        <f t="shared" si="27"/>
        <v>154.19999999999993</v>
      </c>
      <c r="S73" s="4"/>
      <c r="T73" s="4">
        <f t="shared" si="28"/>
        <v>154</v>
      </c>
      <c r="U73" s="4">
        <f t="shared" si="29"/>
        <v>87.043478260869563</v>
      </c>
      <c r="V73" s="4">
        <f>T73/2.3</f>
        <v>66.956521739130437</v>
      </c>
      <c r="W73" s="4"/>
      <c r="X73" s="5"/>
      <c r="Y73" s="5">
        <f t="shared" si="30"/>
        <v>13.994252873563219</v>
      </c>
      <c r="Z73" s="5">
        <f t="shared" si="26"/>
        <v>9.5689655172413808</v>
      </c>
      <c r="AA73" s="5">
        <v>37.200000000000003</v>
      </c>
      <c r="AB73" s="5">
        <v>33</v>
      </c>
      <c r="AC73" s="5">
        <v>43.2</v>
      </c>
      <c r="AD73" s="5">
        <v>49.4</v>
      </c>
      <c r="AE73" s="5">
        <v>47</v>
      </c>
      <c r="AF73" s="5">
        <v>32</v>
      </c>
      <c r="AG73" s="5">
        <v>55.4</v>
      </c>
      <c r="AH73" s="5">
        <v>37.4</v>
      </c>
      <c r="AI73" s="5" t="s">
        <v>48</v>
      </c>
      <c r="AJ73" s="5">
        <f t="shared" si="31"/>
        <v>15.66782608695652</v>
      </c>
      <c r="AK73" s="5">
        <f t="shared" si="32"/>
        <v>12.052173913043479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5" t="s">
        <v>117</v>
      </c>
      <c r="B74" s="5" t="s">
        <v>39</v>
      </c>
      <c r="C74" s="5">
        <v>7.7690000000000001</v>
      </c>
      <c r="D74" s="5">
        <v>10.202999999999999</v>
      </c>
      <c r="E74" s="5">
        <v>7.76</v>
      </c>
      <c r="F74" s="5">
        <v>10.212</v>
      </c>
      <c r="G74" s="8">
        <v>1</v>
      </c>
      <c r="H74" s="5">
        <v>45</v>
      </c>
      <c r="I74" s="5" t="s">
        <v>36</v>
      </c>
      <c r="J74" s="5"/>
      <c r="K74" s="5">
        <v>12.72</v>
      </c>
      <c r="L74" s="5">
        <f t="shared" si="23"/>
        <v>-4.9600000000000009</v>
      </c>
      <c r="M74" s="5"/>
      <c r="N74" s="5"/>
      <c r="O74" s="5">
        <v>10</v>
      </c>
      <c r="P74" s="5">
        <f t="shared" si="24"/>
        <v>1.552</v>
      </c>
      <c r="Q74" s="4">
        <v>4</v>
      </c>
      <c r="R74" s="4">
        <f t="shared" si="27"/>
        <v>4</v>
      </c>
      <c r="S74" s="4"/>
      <c r="T74" s="4">
        <f t="shared" si="28"/>
        <v>4</v>
      </c>
      <c r="U74" s="4">
        <f t="shared" si="29"/>
        <v>4</v>
      </c>
      <c r="V74" s="4"/>
      <c r="W74" s="4"/>
      <c r="X74" s="5"/>
      <c r="Y74" s="5">
        <f t="shared" si="30"/>
        <v>15.600515463917525</v>
      </c>
      <c r="Z74" s="5">
        <f t="shared" si="26"/>
        <v>13.023195876288659</v>
      </c>
      <c r="AA74" s="5">
        <v>2.5649999999999999</v>
      </c>
      <c r="AB74" s="5">
        <v>0</v>
      </c>
      <c r="AC74" s="5">
        <v>2.0424000000000002</v>
      </c>
      <c r="AD74" s="5">
        <v>0</v>
      </c>
      <c r="AE74" s="5">
        <v>0.68280000000000007</v>
      </c>
      <c r="AF74" s="5">
        <v>0.3422</v>
      </c>
      <c r="AG74" s="5">
        <v>0.67800000000000005</v>
      </c>
      <c r="AH74" s="5">
        <v>0.84499999999999997</v>
      </c>
      <c r="AI74" s="5"/>
      <c r="AJ74" s="5">
        <f t="shared" si="31"/>
        <v>4</v>
      </c>
      <c r="AK74" s="5">
        <f t="shared" si="32"/>
        <v>0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x14ac:dyDescent="0.25">
      <c r="A75" s="5" t="s">
        <v>118</v>
      </c>
      <c r="B75" s="5" t="s">
        <v>35</v>
      </c>
      <c r="C75" s="5">
        <v>5</v>
      </c>
      <c r="D75" s="5"/>
      <c r="E75" s="5">
        <v>6</v>
      </c>
      <c r="F75" s="5">
        <v>-1</v>
      </c>
      <c r="G75" s="8">
        <v>0.22</v>
      </c>
      <c r="H75" s="5">
        <v>120</v>
      </c>
      <c r="I75" s="5" t="s">
        <v>36</v>
      </c>
      <c r="J75" s="5"/>
      <c r="K75" s="5">
        <v>8</v>
      </c>
      <c r="L75" s="5">
        <f t="shared" si="23"/>
        <v>-2</v>
      </c>
      <c r="M75" s="5"/>
      <c r="N75" s="5"/>
      <c r="O75" s="5"/>
      <c r="P75" s="5">
        <f t="shared" si="24"/>
        <v>1.2</v>
      </c>
      <c r="Q75" s="4">
        <v>16</v>
      </c>
      <c r="R75" s="4">
        <f t="shared" si="27"/>
        <v>16</v>
      </c>
      <c r="S75" s="4"/>
      <c r="T75" s="4">
        <f t="shared" si="28"/>
        <v>16</v>
      </c>
      <c r="U75" s="4">
        <f t="shared" si="29"/>
        <v>16</v>
      </c>
      <c r="V75" s="4"/>
      <c r="W75" s="4"/>
      <c r="X75" s="5"/>
      <c r="Y75" s="5">
        <f t="shared" si="30"/>
        <v>12.5</v>
      </c>
      <c r="Z75" s="5">
        <f t="shared" si="26"/>
        <v>-0.83333333333333337</v>
      </c>
      <c r="AA75" s="5">
        <v>2</v>
      </c>
      <c r="AB75" s="5">
        <v>1</v>
      </c>
      <c r="AC75" s="5">
        <v>1.8</v>
      </c>
      <c r="AD75" s="5">
        <v>0</v>
      </c>
      <c r="AE75" s="5">
        <v>0</v>
      </c>
      <c r="AF75" s="5">
        <v>1.2</v>
      </c>
      <c r="AG75" s="5">
        <v>0.2</v>
      </c>
      <c r="AH75" s="5">
        <v>0</v>
      </c>
      <c r="AI75" s="5"/>
      <c r="AJ75" s="5">
        <f t="shared" si="31"/>
        <v>3.52</v>
      </c>
      <c r="AK75" s="5">
        <f t="shared" si="32"/>
        <v>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10" t="s">
        <v>119</v>
      </c>
      <c r="B76" s="10" t="s">
        <v>35</v>
      </c>
      <c r="C76" s="10"/>
      <c r="D76" s="10"/>
      <c r="E76" s="10"/>
      <c r="F76" s="10"/>
      <c r="G76" s="16">
        <v>0</v>
      </c>
      <c r="H76" s="10">
        <v>50</v>
      </c>
      <c r="I76" s="10" t="s">
        <v>36</v>
      </c>
      <c r="J76" s="10"/>
      <c r="K76" s="10"/>
      <c r="L76" s="10">
        <f t="shared" si="23"/>
        <v>0</v>
      </c>
      <c r="M76" s="10"/>
      <c r="N76" s="10"/>
      <c r="O76" s="10"/>
      <c r="P76" s="10">
        <f t="shared" si="24"/>
        <v>0</v>
      </c>
      <c r="Q76" s="17"/>
      <c r="R76" s="4">
        <f t="shared" si="27"/>
        <v>0</v>
      </c>
      <c r="S76" s="17"/>
      <c r="T76" s="4">
        <f t="shared" si="28"/>
        <v>0</v>
      </c>
      <c r="U76" s="4">
        <f t="shared" si="29"/>
        <v>0</v>
      </c>
      <c r="V76" s="4"/>
      <c r="W76" s="17"/>
      <c r="X76" s="10"/>
      <c r="Y76" s="5" t="e">
        <f t="shared" si="30"/>
        <v>#DIV/0!</v>
      </c>
      <c r="Z76" s="10" t="e">
        <f t="shared" si="26"/>
        <v>#DIV/0!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 t="s">
        <v>120</v>
      </c>
      <c r="AJ76" s="5">
        <f t="shared" si="31"/>
        <v>0</v>
      </c>
      <c r="AK76" s="5">
        <f t="shared" si="32"/>
        <v>0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x14ac:dyDescent="0.25">
      <c r="A77" s="5" t="s">
        <v>121</v>
      </c>
      <c r="B77" s="5" t="s">
        <v>35</v>
      </c>
      <c r="C77" s="5">
        <v>970</v>
      </c>
      <c r="D77" s="5">
        <v>94</v>
      </c>
      <c r="E77" s="5">
        <v>368</v>
      </c>
      <c r="F77" s="5">
        <v>659</v>
      </c>
      <c r="G77" s="8">
        <v>0.35</v>
      </c>
      <c r="H77" s="5">
        <v>50</v>
      </c>
      <c r="I77" s="11" t="s">
        <v>67</v>
      </c>
      <c r="J77" s="5"/>
      <c r="K77" s="5">
        <v>380</v>
      </c>
      <c r="L77" s="5">
        <f t="shared" si="23"/>
        <v>-12</v>
      </c>
      <c r="M77" s="5"/>
      <c r="N77" s="5"/>
      <c r="O77" s="5"/>
      <c r="P77" s="5">
        <f t="shared" si="24"/>
        <v>73.599999999999994</v>
      </c>
      <c r="Q77" s="4">
        <f t="shared" ref="Q77" si="33">14*P77-O77-F77</f>
        <v>371.39999999999986</v>
      </c>
      <c r="R77" s="4">
        <f t="shared" si="27"/>
        <v>371.39999999999986</v>
      </c>
      <c r="S77" s="4"/>
      <c r="T77" s="4">
        <f t="shared" si="28"/>
        <v>371</v>
      </c>
      <c r="U77" s="4">
        <f t="shared" si="29"/>
        <v>194.33333333333334</v>
      </c>
      <c r="V77" s="4">
        <f>T77/2.1</f>
        <v>176.66666666666666</v>
      </c>
      <c r="W77" s="4"/>
      <c r="X77" s="5"/>
      <c r="Y77" s="5">
        <f t="shared" si="30"/>
        <v>13.994565217391305</v>
      </c>
      <c r="Z77" s="5">
        <f t="shared" si="26"/>
        <v>8.9538043478260878</v>
      </c>
      <c r="AA77" s="5">
        <v>70.599999999999994</v>
      </c>
      <c r="AB77" s="5">
        <v>66.400000000000006</v>
      </c>
      <c r="AC77" s="5">
        <v>140.80000000000001</v>
      </c>
      <c r="AD77" s="5">
        <v>159.80000000000001</v>
      </c>
      <c r="AE77" s="5">
        <v>186.6</v>
      </c>
      <c r="AF77" s="5">
        <v>96.4</v>
      </c>
      <c r="AG77" s="5">
        <v>82.8</v>
      </c>
      <c r="AH77" s="5">
        <v>74</v>
      </c>
      <c r="AI77" s="5" t="s">
        <v>37</v>
      </c>
      <c r="AJ77" s="5">
        <f t="shared" si="31"/>
        <v>68.016666666666666</v>
      </c>
      <c r="AK77" s="5">
        <f t="shared" si="32"/>
        <v>61.833333333333329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x14ac:dyDescent="0.25">
      <c r="A78" s="5" t="s">
        <v>122</v>
      </c>
      <c r="B78" s="5" t="s">
        <v>39</v>
      </c>
      <c r="C78" s="5">
        <v>0.71499999999999997</v>
      </c>
      <c r="D78" s="5">
        <v>56.323</v>
      </c>
      <c r="E78" s="5">
        <v>8.4819999999999993</v>
      </c>
      <c r="F78" s="5">
        <v>47.841000000000001</v>
      </c>
      <c r="G78" s="8">
        <v>1</v>
      </c>
      <c r="H78" s="5">
        <v>50</v>
      </c>
      <c r="I78" s="5" t="s">
        <v>36</v>
      </c>
      <c r="J78" s="5"/>
      <c r="K78" s="5">
        <v>12.4</v>
      </c>
      <c r="L78" s="5">
        <f t="shared" si="23"/>
        <v>-3.918000000000001</v>
      </c>
      <c r="M78" s="5"/>
      <c r="N78" s="5"/>
      <c r="O78" s="5">
        <v>30</v>
      </c>
      <c r="P78" s="5">
        <f t="shared" si="24"/>
        <v>1.6963999999999999</v>
      </c>
      <c r="Q78" s="4"/>
      <c r="R78" s="4">
        <f t="shared" si="27"/>
        <v>0</v>
      </c>
      <c r="S78" s="4"/>
      <c r="T78" s="4">
        <f t="shared" si="28"/>
        <v>0</v>
      </c>
      <c r="U78" s="4">
        <f t="shared" si="29"/>
        <v>0</v>
      </c>
      <c r="V78" s="4"/>
      <c r="W78" s="4"/>
      <c r="X78" s="5"/>
      <c r="Y78" s="5">
        <f t="shared" si="30"/>
        <v>45.885993869370438</v>
      </c>
      <c r="Z78" s="5">
        <f t="shared" si="26"/>
        <v>45.885993869370438</v>
      </c>
      <c r="AA78" s="5">
        <v>2.6665999999999999</v>
      </c>
      <c r="AB78" s="5">
        <v>5.9481999999999999</v>
      </c>
      <c r="AC78" s="5">
        <v>0</v>
      </c>
      <c r="AD78" s="5">
        <v>3.3163999999999998</v>
      </c>
      <c r="AE78" s="5">
        <v>0.69779999999999998</v>
      </c>
      <c r="AF78" s="5">
        <v>1.5680000000000001</v>
      </c>
      <c r="AG78" s="5">
        <v>0</v>
      </c>
      <c r="AH78" s="5">
        <v>0</v>
      </c>
      <c r="AI78" s="5" t="s">
        <v>64</v>
      </c>
      <c r="AJ78" s="5">
        <f t="shared" si="31"/>
        <v>0</v>
      </c>
      <c r="AK78" s="5">
        <f t="shared" si="32"/>
        <v>0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13" t="s">
        <v>123</v>
      </c>
      <c r="B79" s="13" t="s">
        <v>35</v>
      </c>
      <c r="C79" s="13">
        <v>14</v>
      </c>
      <c r="D79" s="13"/>
      <c r="E79" s="13"/>
      <c r="F79" s="13">
        <v>14</v>
      </c>
      <c r="G79" s="14">
        <v>0</v>
      </c>
      <c r="H79" s="13" t="e">
        <v>#N/A</v>
      </c>
      <c r="I79" s="13" t="s">
        <v>55</v>
      </c>
      <c r="J79" s="13"/>
      <c r="K79" s="13">
        <v>12</v>
      </c>
      <c r="L79" s="13">
        <f t="shared" si="23"/>
        <v>-12</v>
      </c>
      <c r="M79" s="13"/>
      <c r="N79" s="13"/>
      <c r="O79" s="13"/>
      <c r="P79" s="13">
        <f t="shared" si="24"/>
        <v>0</v>
      </c>
      <c r="Q79" s="15"/>
      <c r="R79" s="4">
        <f t="shared" si="27"/>
        <v>0</v>
      </c>
      <c r="S79" s="15"/>
      <c r="T79" s="4">
        <f t="shared" si="28"/>
        <v>0</v>
      </c>
      <c r="U79" s="4">
        <f t="shared" si="29"/>
        <v>0</v>
      </c>
      <c r="V79" s="4"/>
      <c r="W79" s="15"/>
      <c r="X79" s="13"/>
      <c r="Y79" s="5" t="e">
        <f t="shared" si="30"/>
        <v>#DIV/0!</v>
      </c>
      <c r="Z79" s="13" t="e">
        <f t="shared" si="26"/>
        <v>#DIV/0!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 t="s">
        <v>124</v>
      </c>
      <c r="AJ79" s="5">
        <f t="shared" si="31"/>
        <v>0</v>
      </c>
      <c r="AK79" s="5">
        <f t="shared" si="32"/>
        <v>0</v>
      </c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x14ac:dyDescent="0.25">
      <c r="A80" s="5" t="s">
        <v>125</v>
      </c>
      <c r="B80" s="5" t="s">
        <v>39</v>
      </c>
      <c r="C80" s="5">
        <v>232.749</v>
      </c>
      <c r="D80" s="5">
        <v>694.89700000000005</v>
      </c>
      <c r="E80" s="5">
        <v>393.44799999999998</v>
      </c>
      <c r="F80" s="5">
        <v>340.45600000000002</v>
      </c>
      <c r="G80" s="8">
        <v>1</v>
      </c>
      <c r="H80" s="5">
        <v>50</v>
      </c>
      <c r="I80" s="5" t="s">
        <v>36</v>
      </c>
      <c r="J80" s="5"/>
      <c r="K80" s="5">
        <v>391.4</v>
      </c>
      <c r="L80" s="5">
        <f t="shared" si="23"/>
        <v>2.0480000000000018</v>
      </c>
      <c r="M80" s="5"/>
      <c r="N80" s="5"/>
      <c r="O80" s="5">
        <v>135</v>
      </c>
      <c r="P80" s="5">
        <f t="shared" si="24"/>
        <v>78.689599999999999</v>
      </c>
      <c r="Q80" s="4">
        <f t="shared" ref="Q80:Q94" si="34">14*P80-O80-F80</f>
        <v>626.19839999999988</v>
      </c>
      <c r="R80" s="4">
        <f t="shared" si="27"/>
        <v>626.19839999999988</v>
      </c>
      <c r="S80" s="4"/>
      <c r="T80" s="4">
        <f t="shared" si="28"/>
        <v>626</v>
      </c>
      <c r="U80" s="4">
        <f t="shared" si="29"/>
        <v>353.82608695652169</v>
      </c>
      <c r="V80" s="4">
        <f>T80/2.3</f>
        <v>272.17391304347831</v>
      </c>
      <c r="W80" s="4"/>
      <c r="X80" s="5"/>
      <c r="Y80" s="5">
        <f t="shared" si="30"/>
        <v>13.99747870112442</v>
      </c>
      <c r="Z80" s="5">
        <f t="shared" si="26"/>
        <v>6.0421707569996546</v>
      </c>
      <c r="AA80" s="5">
        <v>61.767200000000003</v>
      </c>
      <c r="AB80" s="5">
        <v>67.259</v>
      </c>
      <c r="AC80" s="5">
        <v>53.638399999999997</v>
      </c>
      <c r="AD80" s="5">
        <v>65.921000000000006</v>
      </c>
      <c r="AE80" s="5">
        <v>59.848599999999998</v>
      </c>
      <c r="AF80" s="5">
        <v>57.800600000000003</v>
      </c>
      <c r="AG80" s="5">
        <v>52.632599999999996</v>
      </c>
      <c r="AH80" s="5">
        <v>66.871000000000009</v>
      </c>
      <c r="AI80" s="5"/>
      <c r="AJ80" s="5">
        <f t="shared" si="31"/>
        <v>353.82608695652169</v>
      </c>
      <c r="AK80" s="5">
        <f t="shared" si="32"/>
        <v>272.17391304347831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5" t="s">
        <v>126</v>
      </c>
      <c r="B81" s="5" t="s">
        <v>35</v>
      </c>
      <c r="C81" s="5">
        <v>857</v>
      </c>
      <c r="D81" s="5">
        <v>891</v>
      </c>
      <c r="E81" s="5">
        <v>687</v>
      </c>
      <c r="F81" s="5">
        <v>1009</v>
      </c>
      <c r="G81" s="8">
        <v>0.35</v>
      </c>
      <c r="H81" s="5">
        <v>50</v>
      </c>
      <c r="I81" s="5" t="s">
        <v>36</v>
      </c>
      <c r="J81" s="5"/>
      <c r="K81" s="5">
        <v>697</v>
      </c>
      <c r="L81" s="5">
        <f t="shared" si="23"/>
        <v>-10</v>
      </c>
      <c r="M81" s="5"/>
      <c r="N81" s="5"/>
      <c r="O81" s="5">
        <v>232</v>
      </c>
      <c r="P81" s="5">
        <f t="shared" si="24"/>
        <v>137.4</v>
      </c>
      <c r="Q81" s="4">
        <f t="shared" si="34"/>
        <v>682.60000000000014</v>
      </c>
      <c r="R81" s="4">
        <f t="shared" si="27"/>
        <v>682.60000000000014</v>
      </c>
      <c r="S81" s="4"/>
      <c r="T81" s="4">
        <f t="shared" si="28"/>
        <v>683</v>
      </c>
      <c r="U81" s="4">
        <f t="shared" si="29"/>
        <v>357.76190476190476</v>
      </c>
      <c r="V81" s="4">
        <f t="shared" ref="V80:V81" si="35">T81/2.1</f>
        <v>325.23809523809524</v>
      </c>
      <c r="W81" s="4"/>
      <c r="X81" s="5"/>
      <c r="Y81" s="5">
        <f t="shared" si="30"/>
        <v>14.002911208151382</v>
      </c>
      <c r="Z81" s="5">
        <f t="shared" si="26"/>
        <v>9.0320232896652115</v>
      </c>
      <c r="AA81" s="5">
        <v>136.80000000000001</v>
      </c>
      <c r="AB81" s="5">
        <v>158</v>
      </c>
      <c r="AC81" s="5">
        <v>144.19999999999999</v>
      </c>
      <c r="AD81" s="5">
        <v>141.4</v>
      </c>
      <c r="AE81" s="5">
        <v>127.4</v>
      </c>
      <c r="AF81" s="5">
        <v>112.6</v>
      </c>
      <c r="AG81" s="5">
        <v>178.6</v>
      </c>
      <c r="AH81" s="5">
        <v>139.6</v>
      </c>
      <c r="AI81" s="5"/>
      <c r="AJ81" s="5">
        <f t="shared" si="31"/>
        <v>125.21666666666665</v>
      </c>
      <c r="AK81" s="5">
        <f t="shared" si="32"/>
        <v>113.83333333333333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x14ac:dyDescent="0.25">
      <c r="A82" s="5" t="s">
        <v>127</v>
      </c>
      <c r="B82" s="5" t="s">
        <v>35</v>
      </c>
      <c r="C82" s="5">
        <v>6</v>
      </c>
      <c r="D82" s="5">
        <v>18</v>
      </c>
      <c r="E82" s="5">
        <v>9</v>
      </c>
      <c r="F82" s="5">
        <v>15</v>
      </c>
      <c r="G82" s="8">
        <v>0.3</v>
      </c>
      <c r="H82" s="5">
        <v>50</v>
      </c>
      <c r="I82" s="5" t="s">
        <v>36</v>
      </c>
      <c r="J82" s="5"/>
      <c r="K82" s="5">
        <v>9</v>
      </c>
      <c r="L82" s="5">
        <f t="shared" si="23"/>
        <v>0</v>
      </c>
      <c r="M82" s="5"/>
      <c r="N82" s="5"/>
      <c r="O82" s="5"/>
      <c r="P82" s="5">
        <f t="shared" si="24"/>
        <v>1.8</v>
      </c>
      <c r="Q82" s="4">
        <f t="shared" si="34"/>
        <v>10.199999999999999</v>
      </c>
      <c r="R82" s="4">
        <f t="shared" si="27"/>
        <v>10.199999999999999</v>
      </c>
      <c r="S82" s="4"/>
      <c r="T82" s="4">
        <f t="shared" si="28"/>
        <v>10</v>
      </c>
      <c r="U82" s="4">
        <f t="shared" si="29"/>
        <v>10</v>
      </c>
      <c r="V82" s="4"/>
      <c r="W82" s="4"/>
      <c r="X82" s="5"/>
      <c r="Y82" s="5">
        <f t="shared" si="30"/>
        <v>13.888888888888889</v>
      </c>
      <c r="Z82" s="5">
        <f t="shared" si="26"/>
        <v>8.3333333333333339</v>
      </c>
      <c r="AA82" s="5">
        <v>0.6</v>
      </c>
      <c r="AB82" s="5">
        <v>2</v>
      </c>
      <c r="AC82" s="5">
        <v>1</v>
      </c>
      <c r="AD82" s="5">
        <v>1.8</v>
      </c>
      <c r="AE82" s="5">
        <v>2</v>
      </c>
      <c r="AF82" s="5">
        <v>0</v>
      </c>
      <c r="AG82" s="5">
        <v>1.2</v>
      </c>
      <c r="AH82" s="5">
        <v>0.6</v>
      </c>
      <c r="AI82" s="5"/>
      <c r="AJ82" s="5">
        <f t="shared" si="31"/>
        <v>3</v>
      </c>
      <c r="AK82" s="5">
        <f t="shared" si="32"/>
        <v>0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x14ac:dyDescent="0.25">
      <c r="A83" s="5" t="s">
        <v>128</v>
      </c>
      <c r="B83" s="5" t="s">
        <v>35</v>
      </c>
      <c r="C83" s="5">
        <v>9</v>
      </c>
      <c r="D83" s="5">
        <v>69</v>
      </c>
      <c r="E83" s="5">
        <v>27</v>
      </c>
      <c r="F83" s="5">
        <v>46</v>
      </c>
      <c r="G83" s="8">
        <v>0.3</v>
      </c>
      <c r="H83" s="5">
        <v>60</v>
      </c>
      <c r="I83" s="5" t="s">
        <v>36</v>
      </c>
      <c r="J83" s="5"/>
      <c r="K83" s="5">
        <v>27</v>
      </c>
      <c r="L83" s="5">
        <f t="shared" si="23"/>
        <v>0</v>
      </c>
      <c r="M83" s="5"/>
      <c r="N83" s="5"/>
      <c r="O83" s="5"/>
      <c r="P83" s="5">
        <f t="shared" si="24"/>
        <v>5.4</v>
      </c>
      <c r="Q83" s="4">
        <f t="shared" si="34"/>
        <v>29.600000000000009</v>
      </c>
      <c r="R83" s="4">
        <f t="shared" si="27"/>
        <v>29.600000000000009</v>
      </c>
      <c r="S83" s="4"/>
      <c r="T83" s="4">
        <f t="shared" si="28"/>
        <v>30</v>
      </c>
      <c r="U83" s="4">
        <f t="shared" si="29"/>
        <v>30</v>
      </c>
      <c r="V83" s="4"/>
      <c r="W83" s="4"/>
      <c r="X83" s="5"/>
      <c r="Y83" s="5">
        <f t="shared" si="30"/>
        <v>14.074074074074073</v>
      </c>
      <c r="Z83" s="5">
        <f t="shared" si="26"/>
        <v>8.5185185185185173</v>
      </c>
      <c r="AA83" s="5">
        <v>3.4</v>
      </c>
      <c r="AB83" s="5">
        <v>7.6</v>
      </c>
      <c r="AC83" s="5">
        <v>4.2</v>
      </c>
      <c r="AD83" s="5">
        <v>2.2000000000000002</v>
      </c>
      <c r="AE83" s="5">
        <v>3.4</v>
      </c>
      <c r="AF83" s="5">
        <v>4.2</v>
      </c>
      <c r="AG83" s="5">
        <v>3.6</v>
      </c>
      <c r="AH83" s="5">
        <v>2.4</v>
      </c>
      <c r="AI83" s="5"/>
      <c r="AJ83" s="5">
        <f t="shared" si="31"/>
        <v>9</v>
      </c>
      <c r="AK83" s="5">
        <f t="shared" si="32"/>
        <v>0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x14ac:dyDescent="0.25">
      <c r="A84" s="5" t="s">
        <v>129</v>
      </c>
      <c r="B84" s="5" t="s">
        <v>35</v>
      </c>
      <c r="C84" s="5">
        <v>163</v>
      </c>
      <c r="D84" s="5">
        <v>48</v>
      </c>
      <c r="E84" s="5">
        <v>111</v>
      </c>
      <c r="F84" s="5">
        <v>92</v>
      </c>
      <c r="G84" s="8">
        <v>0.28000000000000003</v>
      </c>
      <c r="H84" s="5">
        <v>50</v>
      </c>
      <c r="I84" s="5" t="s">
        <v>36</v>
      </c>
      <c r="J84" s="5"/>
      <c r="K84" s="5">
        <v>114</v>
      </c>
      <c r="L84" s="5">
        <f t="shared" si="23"/>
        <v>-3</v>
      </c>
      <c r="M84" s="5"/>
      <c r="N84" s="5"/>
      <c r="O84" s="5">
        <v>62</v>
      </c>
      <c r="P84" s="5">
        <f t="shared" si="24"/>
        <v>22.2</v>
      </c>
      <c r="Q84" s="4">
        <f t="shared" si="34"/>
        <v>156.80000000000001</v>
      </c>
      <c r="R84" s="4">
        <f t="shared" si="27"/>
        <v>156.80000000000001</v>
      </c>
      <c r="S84" s="4"/>
      <c r="T84" s="4">
        <f t="shared" si="28"/>
        <v>157</v>
      </c>
      <c r="U84" s="4">
        <f t="shared" si="29"/>
        <v>157</v>
      </c>
      <c r="V84" s="4"/>
      <c r="W84" s="4"/>
      <c r="X84" s="5"/>
      <c r="Y84" s="5">
        <f t="shared" si="30"/>
        <v>14.009009009009009</v>
      </c>
      <c r="Z84" s="5">
        <f t="shared" si="26"/>
        <v>6.9369369369369371</v>
      </c>
      <c r="AA84" s="5">
        <v>18.8</v>
      </c>
      <c r="AB84" s="5">
        <v>15.2</v>
      </c>
      <c r="AC84" s="5">
        <v>24.6</v>
      </c>
      <c r="AD84" s="5">
        <v>31</v>
      </c>
      <c r="AE84" s="5">
        <v>19.2</v>
      </c>
      <c r="AF84" s="5">
        <v>22</v>
      </c>
      <c r="AG84" s="5">
        <v>33</v>
      </c>
      <c r="AH84" s="5">
        <v>31</v>
      </c>
      <c r="AI84" s="5" t="s">
        <v>48</v>
      </c>
      <c r="AJ84" s="5">
        <f t="shared" si="31"/>
        <v>43.96</v>
      </c>
      <c r="AK84" s="5">
        <f t="shared" si="32"/>
        <v>0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x14ac:dyDescent="0.25">
      <c r="A85" s="5" t="s">
        <v>130</v>
      </c>
      <c r="B85" s="5" t="s">
        <v>35</v>
      </c>
      <c r="C85" s="5">
        <v>624</v>
      </c>
      <c r="D85" s="5">
        <v>81</v>
      </c>
      <c r="E85" s="5">
        <v>236</v>
      </c>
      <c r="F85" s="5">
        <v>451</v>
      </c>
      <c r="G85" s="8">
        <v>0.28000000000000003</v>
      </c>
      <c r="H85" s="5">
        <v>45</v>
      </c>
      <c r="I85" s="5" t="s">
        <v>36</v>
      </c>
      <c r="J85" s="5"/>
      <c r="K85" s="5">
        <v>242</v>
      </c>
      <c r="L85" s="5">
        <f t="shared" si="23"/>
        <v>-6</v>
      </c>
      <c r="M85" s="5"/>
      <c r="N85" s="5"/>
      <c r="O85" s="5"/>
      <c r="P85" s="5">
        <f t="shared" si="24"/>
        <v>47.2</v>
      </c>
      <c r="Q85" s="4">
        <f t="shared" si="34"/>
        <v>209.80000000000007</v>
      </c>
      <c r="R85" s="4">
        <f t="shared" si="27"/>
        <v>209.80000000000007</v>
      </c>
      <c r="S85" s="4"/>
      <c r="T85" s="4">
        <f t="shared" si="28"/>
        <v>210</v>
      </c>
      <c r="U85" s="4">
        <f t="shared" si="29"/>
        <v>110</v>
      </c>
      <c r="V85" s="4">
        <f>T85/2.1</f>
        <v>100</v>
      </c>
      <c r="W85" s="4"/>
      <c r="X85" s="5"/>
      <c r="Y85" s="5">
        <f t="shared" si="30"/>
        <v>14.004237288135592</v>
      </c>
      <c r="Z85" s="5">
        <f t="shared" si="26"/>
        <v>9.5550847457627111</v>
      </c>
      <c r="AA85" s="5">
        <v>49</v>
      </c>
      <c r="AB85" s="5">
        <v>46.8</v>
      </c>
      <c r="AC85" s="5">
        <v>67.599999999999994</v>
      </c>
      <c r="AD85" s="5">
        <v>39.6</v>
      </c>
      <c r="AE85" s="5">
        <v>51.8</v>
      </c>
      <c r="AF85" s="5">
        <v>37.200000000000003</v>
      </c>
      <c r="AG85" s="5">
        <v>47.4</v>
      </c>
      <c r="AH85" s="5">
        <v>46.2</v>
      </c>
      <c r="AI85" s="5" t="s">
        <v>48</v>
      </c>
      <c r="AJ85" s="5">
        <f t="shared" si="31"/>
        <v>30.800000000000004</v>
      </c>
      <c r="AK85" s="5">
        <f t="shared" si="32"/>
        <v>28.000000000000004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x14ac:dyDescent="0.25">
      <c r="A86" s="5" t="s">
        <v>131</v>
      </c>
      <c r="B86" s="5" t="s">
        <v>35</v>
      </c>
      <c r="C86" s="5">
        <v>221</v>
      </c>
      <c r="D86" s="5">
        <v>56</v>
      </c>
      <c r="E86" s="5">
        <v>115</v>
      </c>
      <c r="F86" s="5">
        <v>159</v>
      </c>
      <c r="G86" s="8">
        <v>0.28000000000000003</v>
      </c>
      <c r="H86" s="5">
        <v>45</v>
      </c>
      <c r="I86" s="5" t="s">
        <v>36</v>
      </c>
      <c r="J86" s="5"/>
      <c r="K86" s="5">
        <v>117</v>
      </c>
      <c r="L86" s="5">
        <f t="shared" si="23"/>
        <v>-2</v>
      </c>
      <c r="M86" s="5"/>
      <c r="N86" s="5"/>
      <c r="O86" s="5">
        <v>77</v>
      </c>
      <c r="P86" s="5">
        <f t="shared" si="24"/>
        <v>23</v>
      </c>
      <c r="Q86" s="4">
        <f t="shared" si="34"/>
        <v>86</v>
      </c>
      <c r="R86" s="4">
        <f t="shared" si="27"/>
        <v>86</v>
      </c>
      <c r="S86" s="4"/>
      <c r="T86" s="4">
        <f t="shared" si="28"/>
        <v>86</v>
      </c>
      <c r="U86" s="4">
        <f t="shared" si="29"/>
        <v>86</v>
      </c>
      <c r="V86" s="4"/>
      <c r="W86" s="4"/>
      <c r="X86" s="5"/>
      <c r="Y86" s="5">
        <f t="shared" si="30"/>
        <v>14</v>
      </c>
      <c r="Z86" s="5">
        <f t="shared" si="26"/>
        <v>10.260869565217391</v>
      </c>
      <c r="AA86" s="5">
        <v>25.2</v>
      </c>
      <c r="AB86" s="5">
        <v>21.4</v>
      </c>
      <c r="AC86" s="5">
        <v>31.8</v>
      </c>
      <c r="AD86" s="5">
        <v>28</v>
      </c>
      <c r="AE86" s="5">
        <v>20.6</v>
      </c>
      <c r="AF86" s="5">
        <v>11.8</v>
      </c>
      <c r="AG86" s="5">
        <v>41.4</v>
      </c>
      <c r="AH86" s="5">
        <v>21.2</v>
      </c>
      <c r="AI86" s="5"/>
      <c r="AJ86" s="5">
        <f t="shared" si="31"/>
        <v>24.080000000000002</v>
      </c>
      <c r="AK86" s="5">
        <f t="shared" si="32"/>
        <v>0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5" t="s">
        <v>132</v>
      </c>
      <c r="B87" s="5" t="s">
        <v>35</v>
      </c>
      <c r="C87" s="5">
        <v>152</v>
      </c>
      <c r="D87" s="5">
        <v>70</v>
      </c>
      <c r="E87" s="5">
        <v>104</v>
      </c>
      <c r="F87" s="5">
        <v>107</v>
      </c>
      <c r="G87" s="8">
        <v>0.28000000000000003</v>
      </c>
      <c r="H87" s="5">
        <v>45</v>
      </c>
      <c r="I87" s="5" t="s">
        <v>36</v>
      </c>
      <c r="J87" s="5"/>
      <c r="K87" s="5">
        <v>113</v>
      </c>
      <c r="L87" s="5">
        <f t="shared" si="23"/>
        <v>-9</v>
      </c>
      <c r="M87" s="5"/>
      <c r="N87" s="5"/>
      <c r="O87" s="5">
        <v>83</v>
      </c>
      <c r="P87" s="5">
        <f t="shared" si="24"/>
        <v>20.8</v>
      </c>
      <c r="Q87" s="4">
        <f t="shared" si="34"/>
        <v>101.19999999999999</v>
      </c>
      <c r="R87" s="4">
        <f t="shared" si="27"/>
        <v>101.19999999999999</v>
      </c>
      <c r="S87" s="4"/>
      <c r="T87" s="4">
        <f t="shared" si="28"/>
        <v>101</v>
      </c>
      <c r="U87" s="4">
        <f t="shared" si="29"/>
        <v>101</v>
      </c>
      <c r="V87" s="4"/>
      <c r="W87" s="4"/>
      <c r="X87" s="5"/>
      <c r="Y87" s="5">
        <f t="shared" si="30"/>
        <v>13.990384615384615</v>
      </c>
      <c r="Z87" s="5">
        <f t="shared" si="26"/>
        <v>9.134615384615385</v>
      </c>
      <c r="AA87" s="5">
        <v>20.399999999999999</v>
      </c>
      <c r="AB87" s="5">
        <v>15.8</v>
      </c>
      <c r="AC87" s="5">
        <v>25.4</v>
      </c>
      <c r="AD87" s="5">
        <v>19.2</v>
      </c>
      <c r="AE87" s="5">
        <v>14.8</v>
      </c>
      <c r="AF87" s="5">
        <v>18</v>
      </c>
      <c r="AG87" s="5">
        <v>20.8</v>
      </c>
      <c r="AH87" s="5">
        <v>11.4</v>
      </c>
      <c r="AI87" s="5" t="s">
        <v>48</v>
      </c>
      <c r="AJ87" s="5">
        <f t="shared" si="31"/>
        <v>28.28</v>
      </c>
      <c r="AK87" s="5">
        <f t="shared" si="32"/>
        <v>0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x14ac:dyDescent="0.25">
      <c r="A88" s="5" t="s">
        <v>133</v>
      </c>
      <c r="B88" s="5" t="s">
        <v>35</v>
      </c>
      <c r="C88" s="5">
        <v>628</v>
      </c>
      <c r="D88" s="5">
        <v>98</v>
      </c>
      <c r="E88" s="5">
        <v>401</v>
      </c>
      <c r="F88" s="5">
        <v>302</v>
      </c>
      <c r="G88" s="8">
        <v>0.4</v>
      </c>
      <c r="H88" s="5">
        <v>50</v>
      </c>
      <c r="I88" s="5" t="s">
        <v>36</v>
      </c>
      <c r="J88" s="5"/>
      <c r="K88" s="5">
        <v>408</v>
      </c>
      <c r="L88" s="5">
        <f t="shared" si="23"/>
        <v>-7</v>
      </c>
      <c r="M88" s="5"/>
      <c r="N88" s="5"/>
      <c r="O88" s="5">
        <v>102</v>
      </c>
      <c r="P88" s="5">
        <f t="shared" si="24"/>
        <v>80.2</v>
      </c>
      <c r="Q88" s="4">
        <f t="shared" si="34"/>
        <v>718.8</v>
      </c>
      <c r="R88" s="4">
        <f t="shared" si="27"/>
        <v>718.8</v>
      </c>
      <c r="S88" s="4"/>
      <c r="T88" s="4">
        <f t="shared" si="28"/>
        <v>719</v>
      </c>
      <c r="U88" s="4">
        <f t="shared" si="29"/>
        <v>376.61904761904765</v>
      </c>
      <c r="V88" s="4">
        <f>T88/2.1</f>
        <v>342.38095238095235</v>
      </c>
      <c r="W88" s="4"/>
      <c r="X88" s="5"/>
      <c r="Y88" s="5">
        <f t="shared" si="30"/>
        <v>14.002493765586035</v>
      </c>
      <c r="Z88" s="5">
        <f t="shared" si="26"/>
        <v>5.0374064837905239</v>
      </c>
      <c r="AA88" s="5">
        <v>55.6</v>
      </c>
      <c r="AB88" s="5">
        <v>22.2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 t="s">
        <v>134</v>
      </c>
      <c r="AJ88" s="5">
        <f t="shared" si="31"/>
        <v>150.64761904761906</v>
      </c>
      <c r="AK88" s="5">
        <f t="shared" si="32"/>
        <v>136.95238095238093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x14ac:dyDescent="0.25">
      <c r="A89" s="5" t="s">
        <v>135</v>
      </c>
      <c r="B89" s="5" t="s">
        <v>35</v>
      </c>
      <c r="C89" s="5">
        <v>18</v>
      </c>
      <c r="D89" s="5">
        <v>58</v>
      </c>
      <c r="E89" s="5">
        <v>23</v>
      </c>
      <c r="F89" s="5">
        <v>52</v>
      </c>
      <c r="G89" s="8">
        <v>0.3</v>
      </c>
      <c r="H89" s="5">
        <v>50</v>
      </c>
      <c r="I89" s="5" t="s">
        <v>36</v>
      </c>
      <c r="J89" s="5"/>
      <c r="K89" s="5">
        <v>23</v>
      </c>
      <c r="L89" s="5">
        <f t="shared" si="23"/>
        <v>0</v>
      </c>
      <c r="M89" s="5"/>
      <c r="N89" s="5"/>
      <c r="O89" s="5"/>
      <c r="P89" s="5">
        <f t="shared" si="24"/>
        <v>4.5999999999999996</v>
      </c>
      <c r="Q89" s="4">
        <f t="shared" si="34"/>
        <v>12.399999999999991</v>
      </c>
      <c r="R89" s="4">
        <f t="shared" si="27"/>
        <v>12.399999999999991</v>
      </c>
      <c r="S89" s="4"/>
      <c r="T89" s="4">
        <f t="shared" si="28"/>
        <v>12</v>
      </c>
      <c r="U89" s="4">
        <f t="shared" si="29"/>
        <v>12</v>
      </c>
      <c r="V89" s="4"/>
      <c r="W89" s="4"/>
      <c r="X89" s="5"/>
      <c r="Y89" s="5">
        <f t="shared" si="30"/>
        <v>13.913043478260871</v>
      </c>
      <c r="Z89" s="5">
        <f t="shared" si="26"/>
        <v>11.304347826086957</v>
      </c>
      <c r="AA89" s="5">
        <v>5</v>
      </c>
      <c r="AB89" s="5">
        <v>7.6</v>
      </c>
      <c r="AC89" s="5">
        <v>5.8</v>
      </c>
      <c r="AD89" s="5">
        <v>5</v>
      </c>
      <c r="AE89" s="5">
        <v>5.4</v>
      </c>
      <c r="AF89" s="5">
        <v>4.8</v>
      </c>
      <c r="AG89" s="5">
        <v>6.6</v>
      </c>
      <c r="AH89" s="5">
        <v>6.6</v>
      </c>
      <c r="AI89" s="5" t="s">
        <v>136</v>
      </c>
      <c r="AJ89" s="5">
        <f t="shared" si="31"/>
        <v>3.5999999999999996</v>
      </c>
      <c r="AK89" s="5">
        <f t="shared" si="32"/>
        <v>0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x14ac:dyDescent="0.25">
      <c r="A90" s="5" t="s">
        <v>137</v>
      </c>
      <c r="B90" s="5" t="s">
        <v>35</v>
      </c>
      <c r="C90" s="5"/>
      <c r="D90" s="5">
        <v>48</v>
      </c>
      <c r="E90" s="5">
        <v>16</v>
      </c>
      <c r="F90" s="5">
        <v>30</v>
      </c>
      <c r="G90" s="8">
        <v>0.33</v>
      </c>
      <c r="H90" s="5">
        <v>30</v>
      </c>
      <c r="I90" s="5" t="s">
        <v>36</v>
      </c>
      <c r="J90" s="5"/>
      <c r="K90" s="5">
        <v>28</v>
      </c>
      <c r="L90" s="5">
        <f t="shared" si="23"/>
        <v>-12</v>
      </c>
      <c r="M90" s="5"/>
      <c r="N90" s="5"/>
      <c r="O90" s="5"/>
      <c r="P90" s="5">
        <f t="shared" si="24"/>
        <v>3.2</v>
      </c>
      <c r="Q90" s="4">
        <f t="shared" si="34"/>
        <v>14.800000000000004</v>
      </c>
      <c r="R90" s="4">
        <f t="shared" si="27"/>
        <v>14.800000000000004</v>
      </c>
      <c r="S90" s="4"/>
      <c r="T90" s="4">
        <f t="shared" si="28"/>
        <v>15</v>
      </c>
      <c r="U90" s="4">
        <f t="shared" si="29"/>
        <v>15</v>
      </c>
      <c r="V90" s="4"/>
      <c r="W90" s="4"/>
      <c r="X90" s="5"/>
      <c r="Y90" s="5">
        <f t="shared" si="30"/>
        <v>14.0625</v>
      </c>
      <c r="Z90" s="5">
        <f t="shared" si="26"/>
        <v>9.375</v>
      </c>
      <c r="AA90" s="5">
        <v>4</v>
      </c>
      <c r="AB90" s="5">
        <v>4.4000000000000004</v>
      </c>
      <c r="AC90" s="5">
        <v>1.6</v>
      </c>
      <c r="AD90" s="5">
        <v>5</v>
      </c>
      <c r="AE90" s="5">
        <v>-0.2</v>
      </c>
      <c r="AF90" s="5">
        <v>3.4</v>
      </c>
      <c r="AG90" s="5">
        <v>-1.2</v>
      </c>
      <c r="AH90" s="5">
        <v>2</v>
      </c>
      <c r="AI90" s="5"/>
      <c r="AJ90" s="5">
        <f t="shared" si="31"/>
        <v>4.95</v>
      </c>
      <c r="AK90" s="5">
        <f t="shared" si="32"/>
        <v>0</v>
      </c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x14ac:dyDescent="0.25">
      <c r="A91" s="5" t="s">
        <v>138</v>
      </c>
      <c r="B91" s="5" t="s">
        <v>39</v>
      </c>
      <c r="C91" s="5"/>
      <c r="D91" s="5">
        <v>64.707999999999998</v>
      </c>
      <c r="E91" s="5">
        <v>2.5249999999999999</v>
      </c>
      <c r="F91" s="5">
        <v>62.183</v>
      </c>
      <c r="G91" s="8">
        <v>1</v>
      </c>
      <c r="H91" s="5">
        <v>30</v>
      </c>
      <c r="I91" s="5" t="s">
        <v>36</v>
      </c>
      <c r="J91" s="5"/>
      <c r="K91" s="5">
        <v>2.4</v>
      </c>
      <c r="L91" s="5">
        <f t="shared" si="23"/>
        <v>0.125</v>
      </c>
      <c r="M91" s="5"/>
      <c r="N91" s="5"/>
      <c r="O91" s="5"/>
      <c r="P91" s="5">
        <f t="shared" si="24"/>
        <v>0.505</v>
      </c>
      <c r="Q91" s="4"/>
      <c r="R91" s="4">
        <f t="shared" si="27"/>
        <v>0</v>
      </c>
      <c r="S91" s="4"/>
      <c r="T91" s="4">
        <f t="shared" si="28"/>
        <v>0</v>
      </c>
      <c r="U91" s="4">
        <f t="shared" si="29"/>
        <v>0</v>
      </c>
      <c r="V91" s="4"/>
      <c r="W91" s="4"/>
      <c r="X91" s="5"/>
      <c r="Y91" s="5">
        <f t="shared" si="30"/>
        <v>123.13465346534653</v>
      </c>
      <c r="Z91" s="5">
        <f t="shared" si="26"/>
        <v>123.13465346534653</v>
      </c>
      <c r="AA91" s="5">
        <v>4.5098000000000003</v>
      </c>
      <c r="AB91" s="5">
        <v>5.5426000000000002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 t="s">
        <v>64</v>
      </c>
      <c r="AJ91" s="5">
        <f t="shared" si="31"/>
        <v>0</v>
      </c>
      <c r="AK91" s="5">
        <f t="shared" si="32"/>
        <v>0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x14ac:dyDescent="0.25">
      <c r="A92" s="5" t="s">
        <v>139</v>
      </c>
      <c r="B92" s="5" t="s">
        <v>35</v>
      </c>
      <c r="C92" s="5">
        <v>1</v>
      </c>
      <c r="D92" s="5">
        <v>32</v>
      </c>
      <c r="E92" s="5">
        <v>4</v>
      </c>
      <c r="F92" s="5">
        <v>28</v>
      </c>
      <c r="G92" s="8">
        <v>0.28000000000000003</v>
      </c>
      <c r="H92" s="5">
        <v>50</v>
      </c>
      <c r="I92" s="5" t="s">
        <v>36</v>
      </c>
      <c r="J92" s="5"/>
      <c r="K92" s="5">
        <v>5</v>
      </c>
      <c r="L92" s="5">
        <f t="shared" si="23"/>
        <v>-1</v>
      </c>
      <c r="M92" s="5"/>
      <c r="N92" s="5"/>
      <c r="O92" s="5"/>
      <c r="P92" s="5">
        <f t="shared" si="24"/>
        <v>0.8</v>
      </c>
      <c r="Q92" s="4"/>
      <c r="R92" s="4">
        <f t="shared" si="27"/>
        <v>0</v>
      </c>
      <c r="S92" s="4"/>
      <c r="T92" s="4">
        <f t="shared" si="28"/>
        <v>0</v>
      </c>
      <c r="U92" s="4">
        <f t="shared" si="29"/>
        <v>0</v>
      </c>
      <c r="V92" s="4"/>
      <c r="W92" s="4"/>
      <c r="X92" s="5"/>
      <c r="Y92" s="5">
        <f t="shared" si="30"/>
        <v>35</v>
      </c>
      <c r="Z92" s="5">
        <f t="shared" si="26"/>
        <v>35</v>
      </c>
      <c r="AA92" s="5">
        <v>1.6</v>
      </c>
      <c r="AB92" s="5">
        <v>1.4</v>
      </c>
      <c r="AC92" s="5">
        <v>0</v>
      </c>
      <c r="AD92" s="5">
        <v>0.4</v>
      </c>
      <c r="AE92" s="5">
        <v>1</v>
      </c>
      <c r="AF92" s="5">
        <v>0.8</v>
      </c>
      <c r="AG92" s="5">
        <v>0</v>
      </c>
      <c r="AH92" s="5">
        <v>0</v>
      </c>
      <c r="AI92" s="5" t="s">
        <v>64</v>
      </c>
      <c r="AJ92" s="5">
        <f t="shared" si="31"/>
        <v>0</v>
      </c>
      <c r="AK92" s="5">
        <f t="shared" si="32"/>
        <v>0</v>
      </c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x14ac:dyDescent="0.25">
      <c r="A93" s="5" t="s">
        <v>140</v>
      </c>
      <c r="B93" s="5" t="s">
        <v>35</v>
      </c>
      <c r="C93" s="5">
        <v>21</v>
      </c>
      <c r="D93" s="5"/>
      <c r="E93" s="5">
        <v>3</v>
      </c>
      <c r="F93" s="5">
        <v>18</v>
      </c>
      <c r="G93" s="8">
        <v>0.28000000000000003</v>
      </c>
      <c r="H93" s="5">
        <v>50</v>
      </c>
      <c r="I93" s="5" t="s">
        <v>36</v>
      </c>
      <c r="J93" s="5"/>
      <c r="K93" s="5">
        <v>3.6</v>
      </c>
      <c r="L93" s="5">
        <f t="shared" si="23"/>
        <v>-0.60000000000000009</v>
      </c>
      <c r="M93" s="5"/>
      <c r="N93" s="5"/>
      <c r="O93" s="5"/>
      <c r="P93" s="5">
        <f t="shared" si="24"/>
        <v>0.6</v>
      </c>
      <c r="Q93" s="4"/>
      <c r="R93" s="4">
        <f t="shared" si="27"/>
        <v>0</v>
      </c>
      <c r="S93" s="4"/>
      <c r="T93" s="4">
        <f t="shared" si="28"/>
        <v>0</v>
      </c>
      <c r="U93" s="4">
        <f t="shared" si="29"/>
        <v>0</v>
      </c>
      <c r="V93" s="4"/>
      <c r="W93" s="4"/>
      <c r="X93" s="5"/>
      <c r="Y93" s="5">
        <f t="shared" si="30"/>
        <v>30</v>
      </c>
      <c r="Z93" s="5">
        <f t="shared" si="26"/>
        <v>30</v>
      </c>
      <c r="AA93" s="5">
        <v>0</v>
      </c>
      <c r="AB93" s="5">
        <v>0.6</v>
      </c>
      <c r="AC93" s="5">
        <v>1.4</v>
      </c>
      <c r="AD93" s="5">
        <v>0.4</v>
      </c>
      <c r="AE93" s="5">
        <v>1.8</v>
      </c>
      <c r="AF93" s="5">
        <v>0</v>
      </c>
      <c r="AG93" s="5">
        <v>0</v>
      </c>
      <c r="AH93" s="5">
        <v>0</v>
      </c>
      <c r="AI93" s="20" t="s">
        <v>146</v>
      </c>
      <c r="AJ93" s="5">
        <f t="shared" si="31"/>
        <v>0</v>
      </c>
      <c r="AK93" s="5">
        <f t="shared" si="32"/>
        <v>0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x14ac:dyDescent="0.25">
      <c r="A94" s="5" t="s">
        <v>141</v>
      </c>
      <c r="B94" s="5" t="s">
        <v>35</v>
      </c>
      <c r="C94" s="5">
        <v>19</v>
      </c>
      <c r="D94" s="5"/>
      <c r="E94" s="5">
        <v>7</v>
      </c>
      <c r="F94" s="5">
        <v>12</v>
      </c>
      <c r="G94" s="8">
        <v>0.4</v>
      </c>
      <c r="H94" s="5">
        <v>60</v>
      </c>
      <c r="I94" s="5" t="s">
        <v>36</v>
      </c>
      <c r="J94" s="5"/>
      <c r="K94" s="5">
        <v>7</v>
      </c>
      <c r="L94" s="5">
        <f t="shared" si="23"/>
        <v>0</v>
      </c>
      <c r="M94" s="5"/>
      <c r="N94" s="5"/>
      <c r="O94" s="5"/>
      <c r="P94" s="5">
        <f t="shared" si="24"/>
        <v>1.4</v>
      </c>
      <c r="Q94" s="4">
        <f t="shared" si="34"/>
        <v>7.5999999999999979</v>
      </c>
      <c r="R94" s="4">
        <f t="shared" si="27"/>
        <v>7.5999999999999979</v>
      </c>
      <c r="S94" s="4"/>
      <c r="T94" s="4">
        <f t="shared" si="28"/>
        <v>8</v>
      </c>
      <c r="U94" s="4">
        <f t="shared" si="29"/>
        <v>8</v>
      </c>
      <c r="V94" s="4"/>
      <c r="W94" s="4"/>
      <c r="X94" s="5"/>
      <c r="Y94" s="5">
        <f t="shared" si="30"/>
        <v>14.285714285714286</v>
      </c>
      <c r="Z94" s="5">
        <f t="shared" si="26"/>
        <v>8.5714285714285712</v>
      </c>
      <c r="AA94" s="5">
        <v>2</v>
      </c>
      <c r="AB94" s="5">
        <v>1.4</v>
      </c>
      <c r="AC94" s="5">
        <v>1</v>
      </c>
      <c r="AD94" s="5">
        <v>1.4</v>
      </c>
      <c r="AE94" s="5">
        <v>0</v>
      </c>
      <c r="AF94" s="5">
        <v>0</v>
      </c>
      <c r="AG94" s="5">
        <v>0</v>
      </c>
      <c r="AH94" s="5">
        <v>0</v>
      </c>
      <c r="AI94" s="5" t="s">
        <v>142</v>
      </c>
      <c r="AJ94" s="5">
        <f t="shared" si="31"/>
        <v>3.2</v>
      </c>
      <c r="AK94" s="5">
        <f t="shared" si="32"/>
        <v>0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x14ac:dyDescent="0.25">
      <c r="A95" s="10" t="s">
        <v>143</v>
      </c>
      <c r="B95" s="10" t="s">
        <v>35</v>
      </c>
      <c r="C95" s="10"/>
      <c r="D95" s="10">
        <v>255</v>
      </c>
      <c r="E95" s="18">
        <v>131.54400000000001</v>
      </c>
      <c r="F95" s="18">
        <v>122.456</v>
      </c>
      <c r="G95" s="16">
        <v>0</v>
      </c>
      <c r="H95" s="10" t="e">
        <v>#N/A</v>
      </c>
      <c r="I95" s="10" t="s">
        <v>144</v>
      </c>
      <c r="J95" s="10" t="s">
        <v>106</v>
      </c>
      <c r="K95" s="10">
        <v>132</v>
      </c>
      <c r="L95" s="10">
        <f t="shared" si="23"/>
        <v>-0.45599999999998886</v>
      </c>
      <c r="M95" s="10"/>
      <c r="N95" s="10"/>
      <c r="O95" s="10"/>
      <c r="P95" s="10">
        <f t="shared" si="24"/>
        <v>26.308800000000002</v>
      </c>
      <c r="Q95" s="17"/>
      <c r="R95" s="4">
        <f t="shared" si="27"/>
        <v>0</v>
      </c>
      <c r="S95" s="17"/>
      <c r="T95" s="4">
        <f t="shared" si="28"/>
        <v>0</v>
      </c>
      <c r="U95" s="4">
        <f t="shared" si="29"/>
        <v>0</v>
      </c>
      <c r="V95" s="4"/>
      <c r="W95" s="17"/>
      <c r="X95" s="10"/>
      <c r="Y95" s="5">
        <f t="shared" si="30"/>
        <v>4.6545642522654012</v>
      </c>
      <c r="Z95" s="10">
        <f t="shared" si="26"/>
        <v>4.6545642522654012</v>
      </c>
      <c r="AA95" s="10">
        <v>32.200000000000003</v>
      </c>
      <c r="AB95" s="10">
        <v>37.6</v>
      </c>
      <c r="AC95" s="10">
        <v>35.799999999999997</v>
      </c>
      <c r="AD95" s="10">
        <v>35.200000000000003</v>
      </c>
      <c r="AE95" s="10">
        <v>36.4</v>
      </c>
      <c r="AF95" s="10">
        <v>18.8</v>
      </c>
      <c r="AG95" s="10">
        <v>36</v>
      </c>
      <c r="AH95" s="10">
        <v>44.6</v>
      </c>
      <c r="AI95" s="10"/>
      <c r="AJ95" s="5">
        <f t="shared" si="31"/>
        <v>0</v>
      </c>
      <c r="AK95" s="5">
        <f t="shared" si="32"/>
        <v>0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x14ac:dyDescent="0.25">
      <c r="A96" s="10" t="s">
        <v>145</v>
      </c>
      <c r="B96" s="10" t="s">
        <v>39</v>
      </c>
      <c r="C96" s="10">
        <v>-52.844000000000001</v>
      </c>
      <c r="D96" s="10">
        <v>354.62799999999999</v>
      </c>
      <c r="E96" s="18">
        <v>182.18100000000001</v>
      </c>
      <c r="F96" s="18">
        <v>114.97499999999999</v>
      </c>
      <c r="G96" s="16">
        <v>0</v>
      </c>
      <c r="H96" s="10" t="e">
        <v>#N/A</v>
      </c>
      <c r="I96" s="10" t="s">
        <v>144</v>
      </c>
      <c r="J96" s="10" t="s">
        <v>107</v>
      </c>
      <c r="K96" s="10">
        <v>177.7</v>
      </c>
      <c r="L96" s="10">
        <f t="shared" si="23"/>
        <v>4.481000000000023</v>
      </c>
      <c r="M96" s="10"/>
      <c r="N96" s="10"/>
      <c r="O96" s="10"/>
      <c r="P96" s="10">
        <f t="shared" si="24"/>
        <v>36.436199999999999</v>
      </c>
      <c r="Q96" s="21"/>
      <c r="R96" s="4">
        <f t="shared" si="27"/>
        <v>0</v>
      </c>
      <c r="S96" s="21"/>
      <c r="T96" s="4">
        <f t="shared" si="28"/>
        <v>0</v>
      </c>
      <c r="U96" s="4">
        <f t="shared" si="29"/>
        <v>0</v>
      </c>
      <c r="V96" s="4"/>
      <c r="W96" s="17"/>
      <c r="X96" s="10"/>
      <c r="Y96" s="5">
        <f t="shared" si="30"/>
        <v>3.1555156684835408</v>
      </c>
      <c r="Z96" s="10">
        <f t="shared" si="26"/>
        <v>3.1555156684835408</v>
      </c>
      <c r="AA96" s="10">
        <v>36.656799999999997</v>
      </c>
      <c r="AB96" s="10">
        <v>30.5578</v>
      </c>
      <c r="AC96" s="10">
        <v>28.462399999999999</v>
      </c>
      <c r="AD96" s="10">
        <v>30.451599999999999</v>
      </c>
      <c r="AE96" s="10">
        <v>25.856999999999999</v>
      </c>
      <c r="AF96" s="10">
        <v>26.144400000000001</v>
      </c>
      <c r="AG96" s="10">
        <v>23.314399999999999</v>
      </c>
      <c r="AH96" s="10">
        <v>32.873199999999997</v>
      </c>
      <c r="AI96" s="10"/>
      <c r="AJ96" s="5">
        <f t="shared" si="31"/>
        <v>0</v>
      </c>
      <c r="AK96" s="5">
        <f t="shared" si="32"/>
        <v>0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3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3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</row>
    <row r="108" spans="1:53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</row>
    <row r="109" spans="1:53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</row>
    <row r="110" spans="1:53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</row>
    <row r="111" spans="1:53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</row>
    <row r="112" spans="1:53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</row>
    <row r="113" spans="1:53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</row>
    <row r="114" spans="1:53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3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</row>
    <row r="116" spans="1:53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1:53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</row>
    <row r="118" spans="1:53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1:53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1:53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</row>
    <row r="121" spans="1:53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3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53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1:53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53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3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3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3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3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3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3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3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</row>
    <row r="133" spans="1:53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</row>
    <row r="134" spans="1:53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</row>
    <row r="135" spans="1:53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</row>
    <row r="136" spans="1:53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</row>
    <row r="137" spans="1:53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</row>
    <row r="138" spans="1:53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</row>
    <row r="139" spans="1:53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</row>
    <row r="140" spans="1:53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</row>
    <row r="141" spans="1:53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</row>
    <row r="142" spans="1:53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spans="1:53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</row>
    <row r="144" spans="1:53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</row>
    <row r="145" spans="1:53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</row>
    <row r="146" spans="1:53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</row>
    <row r="147" spans="1:53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</row>
    <row r="148" spans="1:53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</row>
    <row r="149" spans="1:53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</row>
    <row r="150" spans="1:53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</row>
    <row r="151" spans="1:53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</row>
    <row r="152" spans="1:53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</row>
    <row r="153" spans="1:53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</row>
    <row r="154" spans="1:53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</row>
    <row r="155" spans="1:53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</row>
    <row r="156" spans="1:53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</row>
    <row r="157" spans="1:53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</row>
    <row r="158" spans="1:53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</row>
    <row r="159" spans="1:53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</row>
    <row r="160" spans="1:53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</row>
    <row r="161" spans="1:53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</row>
    <row r="162" spans="1:53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</row>
    <row r="163" spans="1:53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</row>
    <row r="164" spans="1:53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</row>
    <row r="165" spans="1:53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</row>
    <row r="166" spans="1:53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</row>
    <row r="167" spans="1:53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</row>
    <row r="168" spans="1:53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</row>
    <row r="169" spans="1:53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3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3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spans="1:53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spans="1:53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3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spans="1:53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spans="1:53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spans="1:53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spans="1:53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spans="1:53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spans="1:53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spans="1:53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spans="1:53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spans="1:53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spans="1:53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3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spans="1:53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spans="1:53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spans="1:53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spans="1:53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spans="1:53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</row>
    <row r="196" spans="1:53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</row>
    <row r="197" spans="1:53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</row>
    <row r="198" spans="1:53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spans="1:53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spans="1:53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spans="1:53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spans="1:53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spans="1:53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spans="1:53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spans="1:53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spans="1:53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spans="1:53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spans="1:53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spans="1:53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spans="1:53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spans="1:53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</row>
    <row r="215" spans="1:53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</row>
    <row r="216" spans="1:53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spans="1:53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spans="1:53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</row>
    <row r="219" spans="1:53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</row>
    <row r="220" spans="1:53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</row>
    <row r="221" spans="1:53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</row>
    <row r="222" spans="1:53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</row>
    <row r="223" spans="1:53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</row>
    <row r="224" spans="1:53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</row>
    <row r="225" spans="1:53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</row>
    <row r="226" spans="1:53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</row>
    <row r="227" spans="1:53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</row>
    <row r="228" spans="1:53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</row>
    <row r="229" spans="1:53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</row>
    <row r="230" spans="1:53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</row>
    <row r="231" spans="1:53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</row>
    <row r="232" spans="1:53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</row>
    <row r="233" spans="1:53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</row>
    <row r="234" spans="1:53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</row>
    <row r="235" spans="1:53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</row>
    <row r="236" spans="1:53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</row>
    <row r="237" spans="1:53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spans="1:53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</row>
    <row r="239" spans="1:53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</row>
    <row r="240" spans="1:53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</row>
    <row r="241" spans="1:53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</row>
    <row r="242" spans="1:53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</row>
    <row r="243" spans="1:53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</row>
    <row r="244" spans="1:53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</row>
    <row r="245" spans="1:53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</row>
    <row r="246" spans="1:53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</row>
    <row r="247" spans="1:53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</row>
    <row r="248" spans="1:53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</row>
    <row r="249" spans="1:53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</row>
    <row r="250" spans="1:53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</row>
    <row r="251" spans="1:53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</row>
    <row r="252" spans="1:53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</row>
    <row r="253" spans="1:53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</row>
    <row r="254" spans="1:53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</row>
    <row r="255" spans="1:53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</row>
    <row r="256" spans="1:53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</row>
    <row r="257" spans="1:53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</row>
    <row r="258" spans="1:53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</row>
    <row r="259" spans="1:53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</row>
    <row r="260" spans="1:53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</row>
    <row r="261" spans="1:53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</row>
    <row r="262" spans="1:53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spans="1:53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</row>
    <row r="264" spans="1:53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</row>
    <row r="265" spans="1:53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</row>
    <row r="266" spans="1:53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</row>
    <row r="267" spans="1:53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</row>
    <row r="268" spans="1:53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</row>
    <row r="269" spans="1:53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</row>
    <row r="270" spans="1:53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</row>
    <row r="271" spans="1:53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</row>
    <row r="272" spans="1:53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</row>
    <row r="273" spans="1:53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</row>
    <row r="274" spans="1:53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</row>
    <row r="275" spans="1:53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</row>
    <row r="276" spans="1:53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</row>
    <row r="277" spans="1:53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</row>
    <row r="278" spans="1:53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</row>
    <row r="279" spans="1:53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</row>
    <row r="280" spans="1:53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</row>
    <row r="281" spans="1:53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</row>
    <row r="282" spans="1:53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</row>
    <row r="283" spans="1:53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</row>
    <row r="284" spans="1:53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</row>
    <row r="285" spans="1:53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</row>
    <row r="286" spans="1:53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</row>
    <row r="287" spans="1:53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</row>
    <row r="288" spans="1:53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</row>
    <row r="289" spans="1:53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</row>
    <row r="290" spans="1:53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</row>
    <row r="291" spans="1:53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</row>
    <row r="292" spans="1:53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</row>
    <row r="293" spans="1:53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</row>
    <row r="294" spans="1:53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</row>
    <row r="295" spans="1:53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</row>
    <row r="296" spans="1:53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</row>
    <row r="297" spans="1:53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</row>
    <row r="298" spans="1:53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</row>
    <row r="299" spans="1:53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</row>
    <row r="300" spans="1:53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</row>
    <row r="301" spans="1:53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</row>
    <row r="302" spans="1:53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</row>
    <row r="303" spans="1:53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</row>
    <row r="304" spans="1:53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</row>
    <row r="305" spans="1:53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</row>
    <row r="306" spans="1:53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</row>
    <row r="307" spans="1:53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</row>
    <row r="308" spans="1:53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</row>
    <row r="309" spans="1:53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</row>
    <row r="310" spans="1:53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</row>
    <row r="311" spans="1:53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</row>
    <row r="312" spans="1:53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</row>
    <row r="313" spans="1:53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 spans="1:53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</row>
    <row r="315" spans="1:53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</row>
    <row r="316" spans="1:53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</row>
    <row r="317" spans="1:53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</row>
    <row r="318" spans="1:53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</row>
    <row r="319" spans="1:53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</row>
    <row r="320" spans="1:53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</row>
    <row r="321" spans="1:53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</row>
    <row r="322" spans="1:53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</row>
    <row r="323" spans="1:53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</row>
    <row r="324" spans="1:53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</row>
    <row r="325" spans="1:53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</row>
    <row r="326" spans="1:53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</row>
    <row r="327" spans="1:53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</row>
    <row r="328" spans="1:53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</row>
    <row r="329" spans="1:53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</row>
    <row r="330" spans="1:53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</row>
    <row r="331" spans="1:53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</row>
    <row r="332" spans="1:53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</row>
    <row r="333" spans="1:53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</row>
    <row r="334" spans="1:53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</row>
    <row r="335" spans="1:53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</row>
    <row r="336" spans="1:53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</row>
    <row r="337" spans="1:53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</row>
    <row r="338" spans="1:53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</row>
    <row r="339" spans="1:53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</row>
    <row r="340" spans="1:53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</row>
    <row r="341" spans="1:53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</row>
    <row r="342" spans="1:53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</row>
    <row r="343" spans="1:53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</row>
    <row r="344" spans="1:53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</row>
    <row r="345" spans="1:53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</row>
    <row r="346" spans="1:53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</row>
    <row r="347" spans="1:53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 spans="1:53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</row>
    <row r="349" spans="1:53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</row>
    <row r="350" spans="1:53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</row>
    <row r="351" spans="1:53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 spans="1:53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</row>
    <row r="353" spans="1:53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</row>
    <row r="354" spans="1:53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</row>
    <row r="355" spans="1:53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</row>
    <row r="356" spans="1:53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</row>
    <row r="357" spans="1:53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</row>
    <row r="358" spans="1:53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</row>
    <row r="359" spans="1:53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</row>
    <row r="360" spans="1:53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</row>
    <row r="361" spans="1:53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</row>
    <row r="362" spans="1:53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</row>
    <row r="363" spans="1:53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</row>
    <row r="364" spans="1:53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</row>
    <row r="365" spans="1:53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</row>
    <row r="366" spans="1:53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</row>
    <row r="367" spans="1:53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</row>
    <row r="368" spans="1:53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</row>
    <row r="369" spans="1:53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</row>
    <row r="370" spans="1:53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</row>
    <row r="371" spans="1:53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</row>
    <row r="372" spans="1:53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</row>
    <row r="373" spans="1:53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</row>
    <row r="374" spans="1:53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</row>
    <row r="375" spans="1:53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</row>
    <row r="376" spans="1:53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</row>
    <row r="377" spans="1:53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</row>
    <row r="378" spans="1:53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</row>
    <row r="379" spans="1:53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</row>
    <row r="380" spans="1:53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</row>
    <row r="381" spans="1:53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</row>
    <row r="382" spans="1:53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</row>
    <row r="383" spans="1:53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</row>
    <row r="384" spans="1:53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</row>
    <row r="385" spans="1:53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</row>
    <row r="386" spans="1:53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</row>
    <row r="387" spans="1:53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</row>
    <row r="388" spans="1:53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</row>
    <row r="389" spans="1:53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</row>
    <row r="390" spans="1:53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</row>
    <row r="391" spans="1:53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</row>
    <row r="392" spans="1:53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</row>
    <row r="393" spans="1:53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</row>
    <row r="394" spans="1:53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</row>
    <row r="395" spans="1:53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</row>
    <row r="396" spans="1:53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</row>
    <row r="397" spans="1:53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</row>
    <row r="398" spans="1:53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</row>
    <row r="399" spans="1:53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</row>
    <row r="400" spans="1:53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</row>
    <row r="401" spans="1:53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</row>
    <row r="402" spans="1:53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</row>
    <row r="403" spans="1:53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</row>
    <row r="404" spans="1:53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</row>
    <row r="405" spans="1:53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</row>
    <row r="406" spans="1:53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</row>
    <row r="407" spans="1:53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</row>
    <row r="408" spans="1:53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</row>
    <row r="409" spans="1:53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</row>
    <row r="410" spans="1:53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</row>
    <row r="411" spans="1:53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</row>
    <row r="412" spans="1:53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</row>
    <row r="413" spans="1:53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</row>
    <row r="414" spans="1:53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</row>
    <row r="415" spans="1:53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</row>
    <row r="416" spans="1:53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</row>
    <row r="417" spans="1:53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</row>
    <row r="418" spans="1:53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</row>
    <row r="419" spans="1:53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</row>
    <row r="420" spans="1:53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</row>
    <row r="421" spans="1:53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</row>
    <row r="422" spans="1:53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</row>
    <row r="423" spans="1:53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</row>
    <row r="424" spans="1:53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</row>
    <row r="425" spans="1:53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</row>
    <row r="426" spans="1:53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</row>
    <row r="427" spans="1:53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</row>
    <row r="428" spans="1:53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</row>
    <row r="429" spans="1:53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</row>
    <row r="430" spans="1:53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</row>
    <row r="431" spans="1:53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</row>
    <row r="432" spans="1:53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</row>
    <row r="433" spans="1:53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</row>
    <row r="434" spans="1:53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</row>
    <row r="435" spans="1:53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</row>
    <row r="436" spans="1:53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</row>
    <row r="437" spans="1:53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</row>
    <row r="438" spans="1:53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</row>
    <row r="439" spans="1:53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</row>
    <row r="440" spans="1:53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</row>
    <row r="441" spans="1:53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</row>
    <row r="442" spans="1:53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</row>
    <row r="443" spans="1:53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</row>
    <row r="444" spans="1:53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</row>
    <row r="445" spans="1:53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</row>
    <row r="446" spans="1:53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</row>
    <row r="447" spans="1:53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</row>
    <row r="448" spans="1:53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</row>
    <row r="449" spans="1:53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</row>
    <row r="450" spans="1:53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</row>
    <row r="451" spans="1:53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</row>
    <row r="452" spans="1:53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</row>
    <row r="453" spans="1:53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</row>
    <row r="454" spans="1:53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</row>
    <row r="455" spans="1:53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</row>
    <row r="456" spans="1:53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</row>
    <row r="457" spans="1:53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</row>
    <row r="458" spans="1:53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</row>
    <row r="459" spans="1:53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</row>
    <row r="460" spans="1:53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</row>
    <row r="461" spans="1:53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</row>
    <row r="462" spans="1:53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</row>
    <row r="463" spans="1:53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</row>
    <row r="464" spans="1:53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</row>
    <row r="465" spans="1:53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</row>
    <row r="466" spans="1:53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</row>
    <row r="467" spans="1:53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</row>
    <row r="468" spans="1:53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</row>
    <row r="469" spans="1:53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</row>
    <row r="470" spans="1:53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</row>
    <row r="471" spans="1:53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</row>
    <row r="472" spans="1:53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</row>
    <row r="473" spans="1:53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</row>
    <row r="474" spans="1:53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</row>
    <row r="475" spans="1:53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</row>
    <row r="476" spans="1:53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</row>
    <row r="477" spans="1:53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</row>
    <row r="478" spans="1:53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</row>
    <row r="479" spans="1:53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</row>
    <row r="480" spans="1:53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</row>
    <row r="481" spans="1:53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</row>
    <row r="482" spans="1:53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 spans="1:53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</row>
    <row r="484" spans="1:53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</row>
    <row r="485" spans="1:53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</row>
    <row r="486" spans="1:53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</row>
    <row r="487" spans="1:53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</row>
    <row r="488" spans="1:53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</row>
    <row r="489" spans="1:53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</row>
    <row r="490" spans="1:53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</row>
    <row r="491" spans="1:53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</row>
    <row r="492" spans="1:53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 spans="1:53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</row>
    <row r="494" spans="1:53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</row>
    <row r="495" spans="1:53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</row>
    <row r="496" spans="1:53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</row>
    <row r="497" spans="1:53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</row>
    <row r="498" spans="1:53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</row>
  </sheetData>
  <autoFilter ref="A3:AJ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2025-11-25T11:04:38Z</dcterms:created>
  <dcterms:modified xsi:type="dcterms:W3CDTF">2025-11-26T08:12:56Z</dcterms:modified>
</cp:coreProperties>
</file>