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EEE47B26-526C-4121-B4EE-7D759E5D06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<sst xmlns="http://schemas.openxmlformats.org/spreadsheetml/2006/main" count="257" uniqueCount="146">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</sst>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7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45992</v>
      </c>
      <c r="E3" s="7" t="s">
        <v>3</v>
      </c>
      <c r="F3" s="83">
        <f>D3+3</f>
        <v>45995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100</v>
      </c>
      <c r="F12" s="23">
        <v>1.3340000000000001</v>
      </c>
      <c r="G12" s="23">
        <f>E12</f>
        <v>100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196</v>
      </c>
      <c r="F13" s="23">
        <v>0.4</v>
      </c>
      <c r="G13" s="23">
        <f>E13*F13</f>
        <v>78.400000000000006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150</v>
      </c>
      <c r="F22" s="23">
        <v>1.35</v>
      </c>
      <c r="G22" s="23">
        <f>E22</f>
        <v>150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217</v>
      </c>
      <c r="F23" s="23">
        <v>0.4</v>
      </c>
      <c r="G23" s="23">
        <f>E23*F23</f>
        <v>86.800000000000011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261</v>
      </c>
      <c r="F25" s="23">
        <v>0.4</v>
      </c>
      <c r="G25" s="23">
        <f>E25*F25</f>
        <v>104.4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1"/>
        <v>7255</v>
      </c>
      <c r="B36" s="64" t="s">
        <v>49</v>
      </c>
      <c r="C36" s="65" t="s">
        <v>32</v>
      </c>
      <c r="D36" s="66">
        <v>1001025507255</v>
      </c>
      <c r="E36" s="24">
        <v>227</v>
      </c>
      <c r="F36" s="67">
        <v>0.4</v>
      </c>
      <c r="G36" s="23">
        <f>E36*F36</f>
        <v>90.800000000000011</v>
      </c>
      <c r="H36" s="68">
        <v>4</v>
      </c>
      <c r="I36" s="68">
        <v>45</v>
      </c>
      <c r="J36" s="29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51</v>
      </c>
      <c r="C38" s="54" t="s">
        <v>23</v>
      </c>
      <c r="D38" s="55">
        <v>1001022726303</v>
      </c>
      <c r="E38" s="24">
        <v>100</v>
      </c>
      <c r="F38" s="23">
        <v>1.05</v>
      </c>
      <c r="G38" s="23">
        <f>E38</f>
        <v>100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52</v>
      </c>
      <c r="C39" s="73" t="s">
        <v>21</v>
      </c>
      <c r="D39" s="74">
        <v>1001022725819</v>
      </c>
      <c r="E39" s="24">
        <v>152</v>
      </c>
      <c r="F39" s="23">
        <v>0.4</v>
      </c>
      <c r="G39" s="23">
        <f t="shared" ref="G39:G44" si="2">E39*F39</f>
        <v>60.800000000000004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6837</v>
      </c>
      <c r="B40" s="36" t="s">
        <v>53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6765</v>
      </c>
      <c r="B42" s="36" t="s">
        <v>55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1"/>
        <v>6616</v>
      </c>
      <c r="B44" s="36" t="s">
        <v>57</v>
      </c>
      <c r="C44" s="73" t="s">
        <v>21</v>
      </c>
      <c r="D44" s="74">
        <v>1001024976616</v>
      </c>
      <c r="E44" s="24">
        <v>91</v>
      </c>
      <c r="F44" s="23">
        <v>0.3</v>
      </c>
      <c r="G44" s="23">
        <f t="shared" si="2"/>
        <v>27.3</v>
      </c>
      <c r="H44" s="14"/>
      <c r="I44" s="14"/>
      <c r="J44" s="29"/>
      <c r="K44" s="27"/>
    </row>
    <row r="45" spans="1:11" ht="16.5" customHeight="1" x14ac:dyDescent="0.25">
      <c r="A45" s="60" t="str">
        <f t="shared" si="1"/>
        <v>7082</v>
      </c>
      <c r="B45" s="35" t="s">
        <v>58</v>
      </c>
      <c r="C45" s="73" t="s">
        <v>23</v>
      </c>
      <c r="D45" s="74">
        <v>1001022467082</v>
      </c>
      <c r="E45" s="24">
        <v>114</v>
      </c>
      <c r="F45" s="23">
        <v>2.125</v>
      </c>
      <c r="G45" s="23">
        <f>E45</f>
        <v>114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1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1"/>
        <v>7070</v>
      </c>
      <c r="B47" s="35" t="s">
        <v>60</v>
      </c>
      <c r="C47" s="73" t="s">
        <v>23</v>
      </c>
      <c r="D47" s="74">
        <v>1001022377070</v>
      </c>
      <c r="E47" s="24">
        <v>250</v>
      </c>
      <c r="F47" s="23"/>
      <c r="G47" s="23">
        <f>E47</f>
        <v>250</v>
      </c>
      <c r="H47" s="14"/>
      <c r="I47" s="14"/>
      <c r="J47" s="29"/>
    </row>
    <row r="48" spans="1:11" s="15" customFormat="1" ht="16.5" customHeight="1" x14ac:dyDescent="0.25">
      <c r="A48" s="60" t="str">
        <f t="shared" si="1"/>
        <v>6661</v>
      </c>
      <c r="B48" s="53" t="s">
        <v>61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1"/>
        <v>6475</v>
      </c>
      <c r="B49" s="80" t="s">
        <v>62</v>
      </c>
      <c r="C49" s="73" t="s">
        <v>21</v>
      </c>
      <c r="D49" s="74">
        <v>1001025176475</v>
      </c>
      <c r="E49" s="24">
        <v>182</v>
      </c>
      <c r="F49" s="23">
        <v>0.4</v>
      </c>
      <c r="G49" s="23">
        <f>E49*F49</f>
        <v>72.8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1"/>
        <v>6713</v>
      </c>
      <c r="B50" s="57" t="s">
        <v>63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1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1"/>
        <v>7284</v>
      </c>
      <c r="B52" s="82" t="s">
        <v>65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1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1"/>
        <v>6829</v>
      </c>
      <c r="B54" s="57" t="s">
        <v>67</v>
      </c>
      <c r="C54" s="54" t="s">
        <v>23</v>
      </c>
      <c r="D54" s="55">
        <v>1001024976829</v>
      </c>
      <c r="E54" s="24">
        <v>200</v>
      </c>
      <c r="F54" s="23">
        <v>1.0249999999999999</v>
      </c>
      <c r="G54" s="23">
        <f>E54</f>
        <v>200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1"/>
        <v>7075</v>
      </c>
      <c r="B55" s="82" t="s">
        <v>68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1"/>
        <v>7073</v>
      </c>
      <c r="B56" s="82" t="s">
        <v>69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1"/>
        <v>6724</v>
      </c>
      <c r="B57" s="82" t="s">
        <v>70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1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ref="A59:A90" si="3">RIGHT(D59,4)</f>
        <v>7080</v>
      </c>
      <c r="B59" s="57" t="s">
        <v>72</v>
      </c>
      <c r="C59" s="54" t="s">
        <v>21</v>
      </c>
      <c r="D59" s="55">
        <v>1001022467080</v>
      </c>
      <c r="E59" s="24">
        <v>300</v>
      </c>
      <c r="F59" s="23">
        <v>0.41</v>
      </c>
      <c r="G59" s="23">
        <f>E59*F59</f>
        <v>122.99999999999999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73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74</v>
      </c>
      <c r="C61" s="54" t="s">
        <v>21</v>
      </c>
      <c r="D61" s="55">
        <v>1001022377066</v>
      </c>
      <c r="E61" s="24">
        <v>227</v>
      </c>
      <c r="F61" s="23">
        <v>0.41</v>
      </c>
      <c r="G61" s="23">
        <f>E61*F61</f>
        <v>93.07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76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77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78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79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82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si="3"/>
        <v>7232</v>
      </c>
      <c r="B70" s="51" t="s">
        <v>83</v>
      </c>
      <c r="C70" s="73" t="s">
        <v>21</v>
      </c>
      <c r="D70" s="74">
        <v>1001302277232</v>
      </c>
      <c r="E70" s="24">
        <v>250</v>
      </c>
      <c r="F70" s="23">
        <v>0.28000000000000003</v>
      </c>
      <c r="G70" s="23">
        <f t="shared" si="4"/>
        <v>70</v>
      </c>
      <c r="H70" s="14"/>
      <c r="I70" s="14">
        <v>50</v>
      </c>
      <c r="J70" s="29"/>
    </row>
    <row r="71" spans="1:10" ht="16.5" customHeight="1" x14ac:dyDescent="0.25">
      <c r="A71" s="60" t="str">
        <f t="shared" si="3"/>
        <v>7332</v>
      </c>
      <c r="B71" s="51" t="s">
        <v>84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3"/>
        <v>7241</v>
      </c>
      <c r="B72" s="51" t="s">
        <v>85</v>
      </c>
      <c r="C72" s="73" t="s">
        <v>21</v>
      </c>
      <c r="D72" s="74">
        <v>1001303107241</v>
      </c>
      <c r="E72" s="24">
        <v>182</v>
      </c>
      <c r="F72" s="23">
        <v>0.28000000000000003</v>
      </c>
      <c r="G72" s="23">
        <f t="shared" si="4"/>
        <v>50.960000000000008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3"/>
        <v>7154</v>
      </c>
      <c r="B73" s="51" t="s">
        <v>86</v>
      </c>
      <c r="C73" s="73" t="s">
        <v>21</v>
      </c>
      <c r="D73" s="74">
        <v>1001300387154</v>
      </c>
      <c r="E73" s="24">
        <v>205</v>
      </c>
      <c r="F73" s="23">
        <v>0.35</v>
      </c>
      <c r="G73" s="23">
        <f t="shared" si="4"/>
        <v>71.75</v>
      </c>
      <c r="H73" s="14"/>
      <c r="I73" s="14">
        <v>50</v>
      </c>
      <c r="J73" s="29"/>
    </row>
    <row r="74" spans="1:10" ht="16.5" customHeight="1" x14ac:dyDescent="0.25">
      <c r="A74" s="60" t="str">
        <f t="shared" si="3"/>
        <v>6787</v>
      </c>
      <c r="B74" s="53" t="s">
        <v>87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3"/>
        <v>6697</v>
      </c>
      <c r="B75" s="51" t="s">
        <v>88</v>
      </c>
      <c r="C75" s="73" t="s">
        <v>21</v>
      </c>
      <c r="D75" s="74">
        <v>1001301876697</v>
      </c>
      <c r="E75" s="24">
        <v>205</v>
      </c>
      <c r="F75" s="23">
        <v>0.35</v>
      </c>
      <c r="G75" s="23">
        <f t="shared" si="4"/>
        <v>71.75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3"/>
        <v>7237</v>
      </c>
      <c r="B76" s="51" t="s">
        <v>89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7236</v>
      </c>
      <c r="B77" s="53" t="s">
        <v>90</v>
      </c>
      <c r="C77" s="54" t="s">
        <v>21</v>
      </c>
      <c r="D77" s="55">
        <v>1001304507236</v>
      </c>
      <c r="E77" s="24">
        <v>350</v>
      </c>
      <c r="F77" s="23">
        <v>0.28000000000000003</v>
      </c>
      <c r="G77" s="23">
        <f t="shared" si="4"/>
        <v>98.000000000000014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3"/>
        <v>7333</v>
      </c>
      <c r="B78" s="53" t="s">
        <v>91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3"/>
        <v>7169</v>
      </c>
      <c r="B79" s="58" t="s">
        <v>92</v>
      </c>
      <c r="C79" s="54" t="s">
        <v>32</v>
      </c>
      <c r="D79" s="55">
        <v>1001303987169</v>
      </c>
      <c r="E79" s="24">
        <v>250</v>
      </c>
      <c r="F79" s="23">
        <v>0.35</v>
      </c>
      <c r="G79" s="23">
        <f t="shared" si="4"/>
        <v>87.5</v>
      </c>
      <c r="H79" s="14"/>
      <c r="I79" s="14">
        <v>50</v>
      </c>
      <c r="J79" s="29"/>
    </row>
    <row r="80" spans="1:10" ht="16.5" customHeight="1" x14ac:dyDescent="0.25">
      <c r="A80" s="60" t="str">
        <f t="shared" si="3"/>
        <v>7166</v>
      </c>
      <c r="B80" s="45" t="s">
        <v>93</v>
      </c>
      <c r="C80" s="73" t="s">
        <v>23</v>
      </c>
      <c r="D80" s="74">
        <v>1001303987166</v>
      </c>
      <c r="E80" s="24">
        <v>159</v>
      </c>
      <c r="F80" s="23">
        <v>1</v>
      </c>
      <c r="G80" s="23">
        <f>E80</f>
        <v>159</v>
      </c>
      <c r="H80" s="14"/>
      <c r="I80" s="14">
        <v>50</v>
      </c>
      <c r="J80" s="29"/>
    </row>
    <row r="81" spans="1:11" ht="15.75" customHeight="1" x14ac:dyDescent="0.25">
      <c r="A81" s="60" t="str">
        <f t="shared" si="3"/>
        <v>5544</v>
      </c>
      <c r="B81" s="80" t="s">
        <v>94</v>
      </c>
      <c r="C81" s="73" t="s">
        <v>23</v>
      </c>
      <c r="D81" s="74">
        <v>1001051875544</v>
      </c>
      <c r="E81" s="24">
        <v>239</v>
      </c>
      <c r="F81" s="23">
        <v>0.83399999999999996</v>
      </c>
      <c r="G81" s="23">
        <f>E81</f>
        <v>239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3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3"/>
        <v>6791</v>
      </c>
      <c r="B83" s="80" t="s">
        <v>96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3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3"/>
        <v>7157</v>
      </c>
      <c r="B85" s="80" t="s">
        <v>98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3"/>
        <v>6793</v>
      </c>
      <c r="B86" s="80" t="s">
        <v>99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3"/>
        <v>7131</v>
      </c>
      <c r="B87" s="80" t="s">
        <v>100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3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3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3"/>
        <v>7135</v>
      </c>
      <c r="B90" s="80" t="s">
        <v>103</v>
      </c>
      <c r="C90" s="73" t="s">
        <v>21</v>
      </c>
      <c r="D90" s="74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ref="A91:A122" si="5">RIGHT(D91,4)</f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>
        <v>150</v>
      </c>
      <c r="F94" s="67">
        <v>0.22</v>
      </c>
      <c r="G94" s="23">
        <f>E94*F94</f>
        <v>33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>
        <v>136</v>
      </c>
      <c r="F97" s="23">
        <v>0.1</v>
      </c>
      <c r="G97" s="23">
        <f>E97*F97</f>
        <v>13.600000000000001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114</v>
      </c>
      <c r="C101" s="73" t="s">
        <v>23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115</v>
      </c>
      <c r="C102" s="73" t="s">
        <v>32</v>
      </c>
      <c r="D102" s="74">
        <v>1001060764993</v>
      </c>
      <c r="E102" s="24">
        <v>109</v>
      </c>
      <c r="F102" s="23">
        <v>0.25</v>
      </c>
      <c r="G102" s="23">
        <f t="shared" ref="G102:G111" si="6">E102*F102</f>
        <v>27.25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116</v>
      </c>
      <c r="C103" s="73" t="s">
        <v>32</v>
      </c>
      <c r="D103" s="74">
        <v>1001063656967</v>
      </c>
      <c r="E103" s="24"/>
      <c r="F103" s="23">
        <v>0.25</v>
      </c>
      <c r="G103" s="23">
        <f t="shared" si="6"/>
        <v>0</v>
      </c>
      <c r="H103" s="14"/>
      <c r="I103" s="14"/>
      <c r="J103" s="29"/>
    </row>
    <row r="104" spans="1:10" ht="16.5" customHeight="1" x14ac:dyDescent="0.25">
      <c r="A104" s="60" t="str">
        <f t="shared" si="5"/>
        <v>5682</v>
      </c>
      <c r="B104" s="80" t="s">
        <v>117</v>
      </c>
      <c r="C104" s="73" t="s">
        <v>21</v>
      </c>
      <c r="D104" s="74">
        <v>1001193115682</v>
      </c>
      <c r="E104" s="24">
        <v>50</v>
      </c>
      <c r="F104" s="23">
        <v>0.12</v>
      </c>
      <c r="G104" s="23">
        <f t="shared" si="6"/>
        <v>6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5"/>
        <v>7147</v>
      </c>
      <c r="B105" s="80" t="s">
        <v>118</v>
      </c>
      <c r="C105" s="73" t="s">
        <v>21</v>
      </c>
      <c r="D105" s="74">
        <v>1001063237147</v>
      </c>
      <c r="E105" s="24"/>
      <c r="F105" s="23">
        <v>0.22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6"/>
        <v>0</v>
      </c>
      <c r="H110" s="14"/>
      <c r="I110" s="14"/>
      <c r="J110" s="29"/>
    </row>
    <row r="111" spans="1:10" ht="16.5" customHeight="1" x14ac:dyDescent="0.25">
      <c r="A111" s="60" t="str">
        <f t="shared" si="5"/>
        <v>6221</v>
      </c>
      <c r="B111" s="80" t="s">
        <v>124</v>
      </c>
      <c r="C111" s="73" t="s">
        <v>21</v>
      </c>
      <c r="D111" s="74">
        <v>1001205376221</v>
      </c>
      <c r="E111" s="24"/>
      <c r="F111" s="23">
        <v>0.09</v>
      </c>
      <c r="G111" s="23">
        <f t="shared" si="6"/>
        <v>0</v>
      </c>
      <c r="H111" s="14"/>
      <c r="I111" s="14"/>
      <c r="J111" s="29"/>
    </row>
    <row r="112" spans="1:10" ht="16.5" customHeight="1" x14ac:dyDescent="0.25">
      <c r="A112" s="60" t="str">
        <f t="shared" si="5"/>
        <v>4117</v>
      </c>
      <c r="B112" s="80" t="s">
        <v>125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5"/>
        <v>5483</v>
      </c>
      <c r="B113" s="80" t="s">
        <v>126</v>
      </c>
      <c r="C113" s="73" t="s">
        <v>21</v>
      </c>
      <c r="D113" s="74">
        <v>1001062505483</v>
      </c>
      <c r="E113" s="24">
        <v>174</v>
      </c>
      <c r="F113" s="23">
        <v>0.25</v>
      </c>
      <c r="G113" s="23">
        <f>E113*F113</f>
        <v>43.5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5"/>
        <v>6453</v>
      </c>
      <c r="B114" s="80" t="s">
        <v>127</v>
      </c>
      <c r="C114" s="73" t="s">
        <v>32</v>
      </c>
      <c r="D114" s="74">
        <v>1001202506453</v>
      </c>
      <c r="E114" s="24">
        <v>200</v>
      </c>
      <c r="F114" s="23">
        <v>0.1</v>
      </c>
      <c r="G114" s="23">
        <f>E114*F114</f>
        <v>20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5"/>
        <v>6228</v>
      </c>
      <c r="B115" s="80" t="s">
        <v>128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5"/>
        <v>3287</v>
      </c>
      <c r="B116" s="80" t="s">
        <v>129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5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5"/>
        <v>6866</v>
      </c>
      <c r="B118" s="77" t="s">
        <v>131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5"/>
        <v>3215</v>
      </c>
      <c r="B119" s="80" t="s">
        <v>132</v>
      </c>
      <c r="C119" s="73" t="s">
        <v>32</v>
      </c>
      <c r="D119" s="42">
        <v>1001094053215</v>
      </c>
      <c r="E119" s="24">
        <v>152</v>
      </c>
      <c r="F119" s="23">
        <v>0.4</v>
      </c>
      <c r="G119" s="23">
        <f>E119*F119</f>
        <v>60.800000000000004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5"/>
        <v>5452</v>
      </c>
      <c r="B120" s="51" t="s">
        <v>133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5"/>
        <v>5495</v>
      </c>
      <c r="B121" s="51" t="s">
        <v>134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5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ref="A123:A131" si="7">RIGHT(D123,4)</f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7"/>
        <v>6448</v>
      </c>
      <c r="B124" s="37" t="s">
        <v>137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7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7"/>
        <v>6279</v>
      </c>
      <c r="B126" s="37" t="s">
        <v>139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7"/>
        <v>6208</v>
      </c>
      <c r="B127" s="37" t="s">
        <v>140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7"/>
        <v>7090</v>
      </c>
      <c r="B128" s="37" t="s">
        <v>141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7"/>
        <v>7187</v>
      </c>
      <c r="B129" s="37" t="s">
        <v>142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7"/>
        <v>7103</v>
      </c>
      <c r="B130" s="59" t="s">
        <v>143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7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5578</v>
      </c>
      <c r="F132" s="17"/>
      <c r="G132" s="17">
        <f>SUM(G11:G131)</f>
        <v>2703.48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2025-11-26T08:57:59Z</dcterms:modified>
</cp:coreProperties>
</file>