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1 машина на 08,11 Табота_ПРС_Бердянск_Донецк_Луганск_Мелитополь\"/>
    </mc:Choice>
  </mc:AlternateContent>
  <xr:revisionPtr revIDLastSave="0" documentId="13_ncr:1_{1A1B1106-2BF7-4627-BEF8-2FDE00CA73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Бланк!$A$9:$J$130</definedName>
    <definedName name="кол_во_инд.__упак_к">Бланк!$AC$3:$AC$566</definedName>
    <definedName name="номин.вес_нетто__кг">Бланк!$W$3:$W$566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0" i="1" l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A121" i="1"/>
  <c r="G120" i="1"/>
  <c r="A120" i="1"/>
  <c r="G119" i="1"/>
  <c r="A119" i="1"/>
  <c r="G118" i="1"/>
  <c r="A118" i="1"/>
  <c r="G117" i="1"/>
  <c r="A117" i="1"/>
  <c r="G116" i="1"/>
  <c r="A116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0" i="1" l="1"/>
</calcChain>
</file>

<file path=xl/sharedStrings.xml><?xml version="1.0" encoding="utf-8"?>
<sst xmlns="http://schemas.openxmlformats.org/spreadsheetml/2006/main" count="254" uniqueCount="145">
  <si>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</si>
  <si>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</si>
  <si>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</si>
  <si>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</si>
  <si>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</si>
  <si>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</si>
  <si>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</si>
  <si>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</si>
  <si>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</si>
  <si>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</si>
  <si>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</si>
  <si>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</si>
  <si>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</si>
  <si>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</si>
  <si>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</si>
  <si>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</si>
  <si>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</si>
  <si>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</si>
  <si>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</si>
  <si>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</si>
  <si>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</si>
  <si>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</si>
  <si>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</si>
  <si>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</si>
  <si>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</si>
  <si>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</si>
  <si>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</si>
  <si>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</si>
  <si>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</si>
  <si>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</si>
  <si>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</si>
  <si>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</si>
  <si>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</si>
  <si>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</si>
  <si>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</si>
  <si>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</si>
  <si>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</si>
  <si>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</si>
  <si>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</si>
  <si>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</si>
  <si>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 xml:space="preserve">1001016747343                 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</si>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</sst>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4"/>
  <sheetViews>
    <sheetView tabSelected="1" zoomScale="87" zoomScaleNormal="87" workbookViewId="0">
      <pane ySplit="9" topLeftCell="A124" activePane="bottomLeft" state="frozen"/>
      <selection pane="bottomLeft" activeCell="F135" sqref="F13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45969</v>
      </c>
      <c r="E3" s="7" t="s">
        <v>3</v>
      </c>
      <c r="F3" s="84">
        <f>D3+3</f>
        <v>45972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22</v>
      </c>
      <c r="F15" s="23">
        <v>1.35</v>
      </c>
      <c r="G15" s="23">
        <f>E15</f>
        <v>22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89</v>
      </c>
      <c r="F22" s="23">
        <v>1.35</v>
      </c>
      <c r="G22" s="23">
        <f>E22</f>
        <v>89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157</v>
      </c>
      <c r="F23" s="23">
        <v>0.4</v>
      </c>
      <c r="G23" s="23">
        <f>E23*F23</f>
        <v>62.800000000000004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51</v>
      </c>
      <c r="F24" s="23">
        <v>1.3540000000000001</v>
      </c>
      <c r="G24" s="23">
        <f>E24</f>
        <v>51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 t="s">
        <v>40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41</v>
      </c>
      <c r="C27" s="73" t="s">
        <v>21</v>
      </c>
      <c r="D27" s="74">
        <v>1001010106325</v>
      </c>
      <c r="E27" s="24">
        <v>16</v>
      </c>
      <c r="F27" s="23">
        <v>0.4</v>
      </c>
      <c r="G27" s="23">
        <f>E27*F27</f>
        <v>6.4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21</v>
      </c>
      <c r="D29" s="74">
        <v>1001010016324</v>
      </c>
      <c r="E29" s="24">
        <v>65</v>
      </c>
      <c r="F29" s="23">
        <v>0.4</v>
      </c>
      <c r="G29" s="23">
        <f>E29*F29</f>
        <v>26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50</v>
      </c>
      <c r="C36" s="65" t="s">
        <v>32</v>
      </c>
      <c r="D36" s="66">
        <v>1001025507255</v>
      </c>
      <c r="E36" s="24">
        <v>80</v>
      </c>
      <c r="F36" s="67">
        <v>0.4</v>
      </c>
      <c r="G36" s="23">
        <f>E36*F36</f>
        <v>32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51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52</v>
      </c>
      <c r="C38" s="54" t="s">
        <v>23</v>
      </c>
      <c r="D38" s="55">
        <v>1001022726303</v>
      </c>
      <c r="E38" s="24">
        <v>70</v>
      </c>
      <c r="F38" s="23">
        <v>1.05</v>
      </c>
      <c r="G38" s="23">
        <f>E38</f>
        <v>70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53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3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54</v>
      </c>
      <c r="C40" s="73" t="s">
        <v>21</v>
      </c>
      <c r="D40" s="74">
        <v>1001022556837</v>
      </c>
      <c r="E40" s="24">
        <v>93</v>
      </c>
      <c r="F40" s="23">
        <v>0.4</v>
      </c>
      <c r="G40" s="23">
        <f t="shared" si="3"/>
        <v>37.200000000000003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55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56</v>
      </c>
      <c r="C42" s="73" t="s">
        <v>21</v>
      </c>
      <c r="D42" s="74">
        <v>1001023696765</v>
      </c>
      <c r="E42" s="24"/>
      <c r="F42" s="23">
        <v>0.36</v>
      </c>
      <c r="G42" s="23">
        <f t="shared" si="3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57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58</v>
      </c>
      <c r="C44" s="73" t="s">
        <v>21</v>
      </c>
      <c r="D44" s="74">
        <v>1001024976616</v>
      </c>
      <c r="E44" s="24"/>
      <c r="F44" s="23">
        <v>0.3</v>
      </c>
      <c r="G44" s="23">
        <f t="shared" si="3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59</v>
      </c>
      <c r="C45" s="73" t="s">
        <v>23</v>
      </c>
      <c r="D45" s="74">
        <v>1001022467082</v>
      </c>
      <c r="E45" s="24">
        <v>6</v>
      </c>
      <c r="F45" s="23">
        <v>2.125</v>
      </c>
      <c r="G45" s="23">
        <f>E45</f>
        <v>6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60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61</v>
      </c>
      <c r="C47" s="73" t="s">
        <v>23</v>
      </c>
      <c r="D47" s="74">
        <v>1001022377070</v>
      </c>
      <c r="E47" s="24">
        <v>19</v>
      </c>
      <c r="F47" s="23"/>
      <c r="G47" s="23">
        <f>E47</f>
        <v>19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62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63</v>
      </c>
      <c r="C49" s="73" t="s">
        <v>21</v>
      </c>
      <c r="D49" s="74">
        <v>1001025176475</v>
      </c>
      <c r="E49" s="24">
        <v>162</v>
      </c>
      <c r="F49" s="23">
        <v>0.4</v>
      </c>
      <c r="G49" s="23">
        <f>E49*F49</f>
        <v>64.8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64</v>
      </c>
      <c r="C50" s="54" t="s">
        <v>21</v>
      </c>
      <c r="D50" s="55">
        <v>1001022246713</v>
      </c>
      <c r="E50" s="24">
        <v>314</v>
      </c>
      <c r="F50" s="23">
        <v>0.41</v>
      </c>
      <c r="G50" s="23">
        <f>E50*F50</f>
        <v>128.73999999999998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65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66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67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68</v>
      </c>
      <c r="C54" s="54" t="s">
        <v>23</v>
      </c>
      <c r="D54" s="55">
        <v>1001024976829</v>
      </c>
      <c r="E54" s="24">
        <v>60</v>
      </c>
      <c r="F54" s="23">
        <v>1.0249999999999999</v>
      </c>
      <c r="G54" s="23">
        <f>E54</f>
        <v>60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69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70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71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72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73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74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75</v>
      </c>
      <c r="C61" s="54" t="s">
        <v>21</v>
      </c>
      <c r="D61" s="55">
        <v>1001022377066</v>
      </c>
      <c r="E61" s="24">
        <v>168</v>
      </c>
      <c r="F61" s="23">
        <v>0.41</v>
      </c>
      <c r="G61" s="23">
        <f>E61*F61</f>
        <v>68.88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76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77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78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79</v>
      </c>
      <c r="C65" s="73" t="s">
        <v>23</v>
      </c>
      <c r="D65" s="74">
        <v>1001032736550</v>
      </c>
      <c r="E65" s="24">
        <v>33</v>
      </c>
      <c r="F65" s="23">
        <v>1</v>
      </c>
      <c r="G65" s="23">
        <f>E65</f>
        <v>33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80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81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82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83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84</v>
      </c>
      <c r="C70" s="73" t="s">
        <v>21</v>
      </c>
      <c r="D70" s="74">
        <v>1001302277232</v>
      </c>
      <c r="E70" s="24">
        <v>195</v>
      </c>
      <c r="F70" s="23">
        <v>0.28000000000000003</v>
      </c>
      <c r="G70" s="23">
        <f t="shared" si="4"/>
        <v>54.600000000000009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85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86</v>
      </c>
      <c r="C72" s="73" t="s">
        <v>21</v>
      </c>
      <c r="D72" s="74">
        <v>1001303107241</v>
      </c>
      <c r="E72" s="24">
        <v>174</v>
      </c>
      <c r="F72" s="23">
        <v>0.28000000000000003</v>
      </c>
      <c r="G72" s="23">
        <f t="shared" si="4"/>
        <v>48.720000000000006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87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88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89</v>
      </c>
      <c r="C75" s="73" t="s">
        <v>21</v>
      </c>
      <c r="D75" s="74">
        <v>1001301876697</v>
      </c>
      <c r="E75" s="24">
        <v>179</v>
      </c>
      <c r="F75" s="23">
        <v>0.35</v>
      </c>
      <c r="G75" s="23">
        <f t="shared" si="4"/>
        <v>62.65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90</v>
      </c>
      <c r="C76" s="73" t="s">
        <v>21</v>
      </c>
      <c r="D76" s="74">
        <v>1001304497237</v>
      </c>
      <c r="E76" s="24">
        <v>60</v>
      </c>
      <c r="F76" s="23">
        <v>0.28000000000000003</v>
      </c>
      <c r="G76" s="23">
        <f t="shared" si="4"/>
        <v>16.8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91</v>
      </c>
      <c r="C77" s="54" t="s">
        <v>21</v>
      </c>
      <c r="D77" s="55">
        <v>1001304507236</v>
      </c>
      <c r="E77" s="24">
        <v>135</v>
      </c>
      <c r="F77" s="23">
        <v>0.28000000000000003</v>
      </c>
      <c r="G77" s="23">
        <f t="shared" si="4"/>
        <v>37.800000000000004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92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93</v>
      </c>
      <c r="C79" s="54" t="s">
        <v>32</v>
      </c>
      <c r="D79" s="55">
        <v>1001303987169</v>
      </c>
      <c r="E79" s="24">
        <v>221</v>
      </c>
      <c r="F79" s="23">
        <v>0.35</v>
      </c>
      <c r="G79" s="23">
        <f t="shared" si="4"/>
        <v>77.349999999999994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94</v>
      </c>
      <c r="C80" s="73" t="s">
        <v>23</v>
      </c>
      <c r="D80" s="74">
        <v>1001303987166</v>
      </c>
      <c r="E80" s="24">
        <v>145</v>
      </c>
      <c r="F80" s="23">
        <v>1</v>
      </c>
      <c r="G80" s="23">
        <f>E80</f>
        <v>145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95</v>
      </c>
      <c r="C81" s="73" t="s">
        <v>23</v>
      </c>
      <c r="D81" s="74">
        <v>1001051875544</v>
      </c>
      <c r="E81" s="24">
        <v>140</v>
      </c>
      <c r="F81" s="23">
        <v>0.83399999999999996</v>
      </c>
      <c r="G81" s="23">
        <f>E81</f>
        <v>140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96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97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98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99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100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101</v>
      </c>
      <c r="C87" s="73" t="s">
        <v>23</v>
      </c>
      <c r="D87" s="74">
        <v>1001303637131</v>
      </c>
      <c r="E87" s="24">
        <v>25</v>
      </c>
      <c r="F87" s="23">
        <v>1</v>
      </c>
      <c r="G87" s="23">
        <f>E87</f>
        <v>25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102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103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104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105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106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107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108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109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110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111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112</v>
      </c>
      <c r="C98" s="73" t="s">
        <v>32</v>
      </c>
      <c r="D98" s="74">
        <v>1001061973986</v>
      </c>
      <c r="E98" s="24">
        <v>52</v>
      </c>
      <c r="F98" s="23">
        <v>0.25</v>
      </c>
      <c r="G98" s="23">
        <f>E98*F98</f>
        <v>13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113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4993</v>
      </c>
      <c r="B100" s="80" t="s">
        <v>114</v>
      </c>
      <c r="C100" s="73" t="s">
        <v>32</v>
      </c>
      <c r="D100" s="74">
        <v>1001060764993</v>
      </c>
      <c r="E100" s="24">
        <v>48</v>
      </c>
      <c r="F100" s="23">
        <v>0.25</v>
      </c>
      <c r="G100" s="23">
        <f t="shared" ref="G100:G109" si="6">E100*F100</f>
        <v>12</v>
      </c>
      <c r="H100" s="14">
        <v>2</v>
      </c>
      <c r="I100" s="14">
        <v>120</v>
      </c>
      <c r="J100" s="29"/>
    </row>
    <row r="101" spans="1:10" ht="16.5" customHeight="1" x14ac:dyDescent="0.25">
      <c r="A101" s="60" t="str">
        <f t="shared" ref="A101:A129" si="7">RIGHT(D101,4)</f>
        <v>6967</v>
      </c>
      <c r="B101" s="80" t="s">
        <v>115</v>
      </c>
      <c r="C101" s="73" t="s">
        <v>32</v>
      </c>
      <c r="D101" s="74">
        <v>1001063656967</v>
      </c>
      <c r="E101" s="24">
        <v>42</v>
      </c>
      <c r="F101" s="23">
        <v>0.25</v>
      </c>
      <c r="G101" s="23">
        <f t="shared" si="6"/>
        <v>10.5</v>
      </c>
      <c r="H101" s="14"/>
      <c r="I101" s="14"/>
      <c r="J101" s="29"/>
    </row>
    <row r="102" spans="1:10" ht="16.5" customHeight="1" x14ac:dyDescent="0.25">
      <c r="A102" s="60" t="str">
        <f t="shared" si="7"/>
        <v>5682</v>
      </c>
      <c r="B102" s="80" t="s">
        <v>116</v>
      </c>
      <c r="C102" s="73" t="s">
        <v>21</v>
      </c>
      <c r="D102" s="74">
        <v>1001193115682</v>
      </c>
      <c r="E102" s="24"/>
      <c r="F102" s="23">
        <v>0.12</v>
      </c>
      <c r="G102" s="23">
        <f t="shared" si="6"/>
        <v>0</v>
      </c>
      <c r="H102" s="14">
        <v>0.96</v>
      </c>
      <c r="I102" s="14">
        <v>60</v>
      </c>
      <c r="J102" s="29"/>
    </row>
    <row r="103" spans="1:10" ht="16.5" customHeight="1" x14ac:dyDescent="0.25">
      <c r="A103" s="60" t="str">
        <f t="shared" si="7"/>
        <v>7147</v>
      </c>
      <c r="B103" s="80" t="s">
        <v>117</v>
      </c>
      <c r="C103" s="73" t="s">
        <v>21</v>
      </c>
      <c r="D103" s="74">
        <v>1001063237147</v>
      </c>
      <c r="E103" s="24"/>
      <c r="F103" s="23">
        <v>0.22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7"/>
        <v>7229</v>
      </c>
      <c r="B104" s="80" t="s">
        <v>118</v>
      </c>
      <c r="C104" s="73" t="s">
        <v>21</v>
      </c>
      <c r="D104" s="74">
        <v>1001063237229</v>
      </c>
      <c r="E104" s="24"/>
      <c r="F104" s="23">
        <v>0.18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7"/>
        <v>7150</v>
      </c>
      <c r="B105" s="80" t="s">
        <v>119</v>
      </c>
      <c r="C105" s="73" t="s">
        <v>23</v>
      </c>
      <c r="D105" s="74">
        <v>1001063237150</v>
      </c>
      <c r="E105" s="24"/>
      <c r="F105" s="23">
        <v>1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7"/>
        <v>7227</v>
      </c>
      <c r="B106" s="80" t="s">
        <v>120</v>
      </c>
      <c r="C106" s="73" t="s">
        <v>21</v>
      </c>
      <c r="D106" s="74">
        <v>1001063097227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7225</v>
      </c>
      <c r="B107" s="80" t="s">
        <v>121</v>
      </c>
      <c r="C107" s="73" t="s">
        <v>21</v>
      </c>
      <c r="D107" s="74">
        <v>1001066537225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7228</v>
      </c>
      <c r="B108" s="80" t="s">
        <v>122</v>
      </c>
      <c r="C108" s="73" t="s">
        <v>21</v>
      </c>
      <c r="D108" s="74">
        <v>1001066547228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6221</v>
      </c>
      <c r="B109" s="80" t="s">
        <v>123</v>
      </c>
      <c r="C109" s="73" t="s">
        <v>21</v>
      </c>
      <c r="D109" s="74">
        <v>1001205376221</v>
      </c>
      <c r="E109" s="24">
        <v>20</v>
      </c>
      <c r="F109" s="23">
        <v>0.09</v>
      </c>
      <c r="G109" s="23">
        <f t="shared" si="6"/>
        <v>1.7999999999999998</v>
      </c>
      <c r="H109" s="14"/>
      <c r="I109" s="14"/>
      <c r="J109" s="29"/>
    </row>
    <row r="110" spans="1:10" ht="16.5" customHeight="1" x14ac:dyDescent="0.25">
      <c r="A110" s="60" t="str">
        <f t="shared" si="7"/>
        <v>4117</v>
      </c>
      <c r="B110" s="80" t="s">
        <v>124</v>
      </c>
      <c r="C110" s="73" t="s">
        <v>23</v>
      </c>
      <c r="D110" s="74">
        <v>1001062504117</v>
      </c>
      <c r="E110" s="24"/>
      <c r="F110" s="23">
        <v>0.50700000000000001</v>
      </c>
      <c r="G110" s="23">
        <f>E110</f>
        <v>0</v>
      </c>
      <c r="H110" s="14">
        <v>4.05</v>
      </c>
      <c r="I110" s="14">
        <v>120</v>
      </c>
      <c r="J110" s="29"/>
    </row>
    <row r="111" spans="1:10" ht="16.5" customHeight="1" x14ac:dyDescent="0.25">
      <c r="A111" s="60" t="str">
        <f t="shared" si="7"/>
        <v>5483</v>
      </c>
      <c r="B111" s="80" t="s">
        <v>125</v>
      </c>
      <c r="C111" s="73" t="s">
        <v>21</v>
      </c>
      <c r="D111" s="74">
        <v>1001062505483</v>
      </c>
      <c r="E111" s="24"/>
      <c r="F111" s="23">
        <v>0.25</v>
      </c>
      <c r="G111" s="23">
        <f>E111*F111</f>
        <v>0</v>
      </c>
      <c r="H111" s="14">
        <v>2</v>
      </c>
      <c r="I111" s="14">
        <v>120</v>
      </c>
      <c r="J111" s="29"/>
    </row>
    <row r="112" spans="1:10" ht="16.5" customHeight="1" x14ac:dyDescent="0.25">
      <c r="A112" s="60" t="str">
        <f t="shared" si="7"/>
        <v>6453</v>
      </c>
      <c r="B112" s="80" t="s">
        <v>126</v>
      </c>
      <c r="C112" s="73" t="s">
        <v>32</v>
      </c>
      <c r="D112" s="74">
        <v>1001202506453</v>
      </c>
      <c r="E112" s="24"/>
      <c r="F112" s="23">
        <v>0.1</v>
      </c>
      <c r="G112" s="23">
        <f>E112*F112</f>
        <v>0</v>
      </c>
      <c r="H112" s="14">
        <v>1.4</v>
      </c>
      <c r="I112" s="14">
        <v>60</v>
      </c>
      <c r="J112" s="29"/>
    </row>
    <row r="113" spans="1:11" ht="16.5" customHeight="1" x14ac:dyDescent="0.25">
      <c r="A113" s="60" t="str">
        <f t="shared" si="7"/>
        <v>6228</v>
      </c>
      <c r="B113" s="80" t="s">
        <v>127</v>
      </c>
      <c r="C113" s="73" t="s">
        <v>32</v>
      </c>
      <c r="D113" s="74">
        <v>1001225416228</v>
      </c>
      <c r="E113" s="24"/>
      <c r="F113" s="23">
        <v>0.09</v>
      </c>
      <c r="G113" s="23">
        <f>E113*F113</f>
        <v>0</v>
      </c>
      <c r="H113" s="14"/>
      <c r="I113" s="14"/>
      <c r="J113" s="29"/>
    </row>
    <row r="114" spans="1:11" ht="16.5" customHeight="1" thickBot="1" x14ac:dyDescent="0.3">
      <c r="A114" s="60" t="str">
        <f t="shared" si="7"/>
        <v>3287</v>
      </c>
      <c r="B114" s="80" t="s">
        <v>128</v>
      </c>
      <c r="C114" s="73" t="s">
        <v>23</v>
      </c>
      <c r="D114" s="74">
        <v>1001060763287</v>
      </c>
      <c r="E114" s="24"/>
      <c r="F114" s="23">
        <v>0.51300000000000001</v>
      </c>
      <c r="G114" s="23">
        <f>E114</f>
        <v>0</v>
      </c>
      <c r="H114" s="14">
        <v>4.0999999999999996</v>
      </c>
      <c r="I114" s="14">
        <v>120</v>
      </c>
      <c r="J114" s="29"/>
    </row>
    <row r="115" spans="1:11" ht="16.5" customHeight="1" thickTop="1" thickBot="1" x14ac:dyDescent="0.3">
      <c r="A115" s="60" t="str">
        <f t="shared" si="7"/>
        <v/>
      </c>
      <c r="B115" s="47" t="s">
        <v>129</v>
      </c>
      <c r="C115" s="47"/>
      <c r="D115" s="47"/>
      <c r="E115" s="47"/>
      <c r="F115" s="47"/>
      <c r="G115" s="23"/>
      <c r="H115" s="47"/>
      <c r="I115" s="47"/>
      <c r="J115" s="48"/>
    </row>
    <row r="116" spans="1:11" ht="16.5" customHeight="1" thickTop="1" x14ac:dyDescent="0.25">
      <c r="A116" s="60" t="str">
        <f t="shared" si="7"/>
        <v>6866</v>
      </c>
      <c r="B116" s="77" t="s">
        <v>130</v>
      </c>
      <c r="C116" s="73" t="s">
        <v>37</v>
      </c>
      <c r="D116" s="79">
        <v>1001095716866</v>
      </c>
      <c r="E116" s="24"/>
      <c r="F116" s="23"/>
      <c r="G116" s="23">
        <f>E116</f>
        <v>0</v>
      </c>
      <c r="H116" s="14"/>
      <c r="I116" s="14"/>
      <c r="J116" s="29"/>
    </row>
    <row r="117" spans="1:11" ht="16.5" customHeight="1" x14ac:dyDescent="0.25">
      <c r="A117" s="60" t="str">
        <f t="shared" si="7"/>
        <v>3215</v>
      </c>
      <c r="B117" s="80" t="s">
        <v>131</v>
      </c>
      <c r="C117" s="73" t="s">
        <v>32</v>
      </c>
      <c r="D117" s="42">
        <v>1001094053215</v>
      </c>
      <c r="E117" s="24">
        <v>112</v>
      </c>
      <c r="F117" s="23">
        <v>0.4</v>
      </c>
      <c r="G117" s="23">
        <f>E117*F117</f>
        <v>44.800000000000004</v>
      </c>
      <c r="H117" s="14">
        <v>3.2</v>
      </c>
      <c r="I117" s="14">
        <v>60</v>
      </c>
      <c r="J117" s="29"/>
    </row>
    <row r="118" spans="1:11" ht="16.5" customHeight="1" x14ac:dyDescent="0.25">
      <c r="A118" s="60" t="str">
        <f t="shared" si="7"/>
        <v>5452</v>
      </c>
      <c r="B118" s="51" t="s">
        <v>132</v>
      </c>
      <c r="C118" s="73" t="s">
        <v>23</v>
      </c>
      <c r="D118" s="42">
        <v>1001092485452</v>
      </c>
      <c r="E118" s="24"/>
      <c r="F118" s="23">
        <v>1.367</v>
      </c>
      <c r="G118" s="23">
        <f>E118</f>
        <v>0</v>
      </c>
      <c r="H118" s="14">
        <v>4.0999999999999996</v>
      </c>
      <c r="I118" s="14">
        <v>60</v>
      </c>
      <c r="J118" s="29"/>
    </row>
    <row r="119" spans="1:11" ht="16.5" customHeight="1" x14ac:dyDescent="0.25">
      <c r="A119" s="60" t="str">
        <f t="shared" si="7"/>
        <v>5495</v>
      </c>
      <c r="B119" s="51" t="s">
        <v>133</v>
      </c>
      <c r="C119" s="73" t="s">
        <v>21</v>
      </c>
      <c r="D119" s="42">
        <v>1001093345495</v>
      </c>
      <c r="E119" s="24"/>
      <c r="F119" s="23">
        <v>0.4</v>
      </c>
      <c r="G119" s="23">
        <f>E119*F119</f>
        <v>0</v>
      </c>
      <c r="H119" s="14">
        <v>2.4</v>
      </c>
      <c r="I119" s="14">
        <v>60</v>
      </c>
      <c r="J119" s="29"/>
    </row>
    <row r="120" spans="1:11" ht="15.75" customHeight="1" thickBot="1" x14ac:dyDescent="0.3">
      <c r="A120" s="60" t="str">
        <f t="shared" si="7"/>
        <v>6495</v>
      </c>
      <c r="B120" s="51" t="s">
        <v>134</v>
      </c>
      <c r="C120" s="73" t="s">
        <v>21</v>
      </c>
      <c r="D120" s="42">
        <v>1001092436495</v>
      </c>
      <c r="E120" s="24"/>
      <c r="F120" s="23">
        <v>0.3</v>
      </c>
      <c r="G120" s="23">
        <f>E120*F120</f>
        <v>0</v>
      </c>
      <c r="H120" s="14">
        <v>1.8</v>
      </c>
      <c r="I120" s="14">
        <v>45</v>
      </c>
      <c r="J120" s="29"/>
    </row>
    <row r="121" spans="1:11" ht="16.5" customHeight="1" thickTop="1" thickBot="1" x14ac:dyDescent="0.3">
      <c r="A121" s="60" t="str">
        <f t="shared" si="7"/>
        <v/>
      </c>
      <c r="B121" s="47" t="s">
        <v>135</v>
      </c>
      <c r="C121" s="47"/>
      <c r="D121" s="47"/>
      <c r="E121" s="47"/>
      <c r="F121" s="47"/>
      <c r="G121" s="23"/>
      <c r="H121" s="47"/>
      <c r="I121" s="47"/>
      <c r="J121" s="48"/>
    </row>
    <row r="122" spans="1:11" ht="16.5" customHeight="1" thickTop="1" x14ac:dyDescent="0.25">
      <c r="A122" s="60" t="str">
        <f t="shared" si="7"/>
        <v>6448</v>
      </c>
      <c r="B122" s="37" t="s">
        <v>136</v>
      </c>
      <c r="C122" s="73" t="s">
        <v>32</v>
      </c>
      <c r="D122" s="74">
        <v>1001234146448</v>
      </c>
      <c r="E122" s="24">
        <v>47</v>
      </c>
      <c r="F122" s="23">
        <v>0.1</v>
      </c>
      <c r="G122" s="23">
        <f>E122*F122</f>
        <v>4.7</v>
      </c>
      <c r="H122" s="14">
        <v>1</v>
      </c>
      <c r="I122" s="14">
        <v>45</v>
      </c>
      <c r="J122" s="29"/>
    </row>
    <row r="123" spans="1:11" ht="16.5" customHeight="1" x14ac:dyDescent="0.25">
      <c r="A123" s="60" t="str">
        <f t="shared" si="7"/>
        <v>6620</v>
      </c>
      <c r="B123" s="37" t="s">
        <v>137</v>
      </c>
      <c r="C123" s="73" t="s">
        <v>23</v>
      </c>
      <c r="D123" s="74">
        <v>1001081596620</v>
      </c>
      <c r="E123" s="24"/>
      <c r="F123" s="23"/>
      <c r="G123" s="23">
        <f>E123</f>
        <v>0</v>
      </c>
      <c r="H123" s="14"/>
      <c r="I123" s="14"/>
      <c r="J123" s="29"/>
    </row>
    <row r="124" spans="1:11" ht="16.5" customHeight="1" x14ac:dyDescent="0.25">
      <c r="A124" s="60" t="str">
        <f t="shared" si="7"/>
        <v>6279</v>
      </c>
      <c r="B124" s="37" t="s">
        <v>138</v>
      </c>
      <c r="C124" s="73" t="s">
        <v>21</v>
      </c>
      <c r="D124" s="74">
        <v>1001220286279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6208</v>
      </c>
      <c r="B125" s="37" t="s">
        <v>139</v>
      </c>
      <c r="C125" s="73" t="s">
        <v>21</v>
      </c>
      <c r="D125" s="74">
        <v>1001220226208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1" ht="16.5" customHeight="1" x14ac:dyDescent="0.25">
      <c r="A126" s="60" t="str">
        <f t="shared" si="7"/>
        <v>7090</v>
      </c>
      <c r="B126" s="37" t="s">
        <v>140</v>
      </c>
      <c r="C126" s="73" t="s">
        <v>32</v>
      </c>
      <c r="D126" s="74">
        <v>1001084217090</v>
      </c>
      <c r="E126" s="24">
        <v>97</v>
      </c>
      <c r="F126" s="23">
        <v>0.3</v>
      </c>
      <c r="G126" s="23">
        <f>E126*F126</f>
        <v>29.099999999999998</v>
      </c>
      <c r="H126" s="14">
        <v>1.8</v>
      </c>
      <c r="I126" s="14">
        <v>45</v>
      </c>
      <c r="J126" s="29"/>
    </row>
    <row r="127" spans="1:11" ht="16.5" customHeight="1" x14ac:dyDescent="0.25">
      <c r="A127" s="60" t="str">
        <f t="shared" si="7"/>
        <v>7187</v>
      </c>
      <c r="B127" s="37" t="s">
        <v>141</v>
      </c>
      <c r="C127" s="73" t="s">
        <v>32</v>
      </c>
      <c r="D127" s="74">
        <v>1001085637187</v>
      </c>
      <c r="E127" s="24">
        <v>9</v>
      </c>
      <c r="F127" s="23">
        <v>0.3</v>
      </c>
      <c r="G127" s="23">
        <f>E127*F127</f>
        <v>2.6999999999999997</v>
      </c>
      <c r="H127" s="14"/>
      <c r="I127" s="14"/>
      <c r="J127" s="29"/>
    </row>
    <row r="128" spans="1:11" s="71" customFormat="1" ht="16.5" customHeight="1" x14ac:dyDescent="0.25">
      <c r="A128" s="60" t="str">
        <f t="shared" si="7"/>
        <v>7103</v>
      </c>
      <c r="B128" s="59" t="s">
        <v>142</v>
      </c>
      <c r="C128" s="54" t="s">
        <v>32</v>
      </c>
      <c r="D128" s="55">
        <v>1001223297103</v>
      </c>
      <c r="E128" s="24">
        <v>39</v>
      </c>
      <c r="F128" s="75">
        <v>0.18</v>
      </c>
      <c r="G128" s="23">
        <f>E128*F128</f>
        <v>7.02</v>
      </c>
      <c r="H128" s="76">
        <v>1.8</v>
      </c>
      <c r="I128" s="76">
        <v>45</v>
      </c>
      <c r="J128" s="76"/>
      <c r="K128" s="27"/>
    </row>
    <row r="129" spans="1:10" ht="16.5" customHeight="1" thickBot="1" x14ac:dyDescent="0.3">
      <c r="A129" s="60" t="str">
        <f t="shared" si="7"/>
        <v>6872</v>
      </c>
      <c r="B129" s="37" t="s">
        <v>143</v>
      </c>
      <c r="C129" s="73" t="s">
        <v>23</v>
      </c>
      <c r="D129" s="74">
        <v>1002162216872</v>
      </c>
      <c r="E129" s="24"/>
      <c r="F129" s="23"/>
      <c r="G129" s="23">
        <f>E129</f>
        <v>0</v>
      </c>
      <c r="H129" s="14"/>
      <c r="I129" s="14">
        <v>90</v>
      </c>
      <c r="J129" s="29"/>
    </row>
    <row r="130" spans="1:10" ht="16.5" customHeight="1" thickTop="1" thickBot="1" x14ac:dyDescent="0.3">
      <c r="A130" s="63"/>
      <c r="B130" s="50" t="s">
        <v>144</v>
      </c>
      <c r="C130" s="16"/>
      <c r="D130" s="38"/>
      <c r="E130" s="17">
        <f>SUM(E10:E129)</f>
        <v>3145</v>
      </c>
      <c r="F130" s="17"/>
      <c r="G130" s="17">
        <f>SUM(G11:G129)</f>
        <v>1510.36</v>
      </c>
      <c r="H130" s="17"/>
      <c r="I130" s="17"/>
      <c r="J130" s="17"/>
    </row>
    <row r="131" spans="1:10" ht="15.75" customHeight="1" thickTop="1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</sheetData>
  <autoFilter ref="A9:J13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2025-11-05T12:27:31Z</dcterms:modified>
</cp:coreProperties>
</file>