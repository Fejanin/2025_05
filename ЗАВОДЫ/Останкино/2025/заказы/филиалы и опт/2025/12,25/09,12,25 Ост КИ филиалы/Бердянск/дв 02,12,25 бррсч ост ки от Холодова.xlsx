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Ост КИ филиалы\"/>
    </mc:Choice>
  </mc:AlternateContent>
  <xr:revisionPtr revIDLastSave="0" documentId="13_ncr:1_{254BFC1F-AB8A-4DC9-BCB9-10B1459BF9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84" i="1" l="1"/>
  <c r="U77" i="1"/>
  <c r="U26" i="1"/>
  <c r="U7" i="1"/>
  <c r="AJ7" i="1" l="1"/>
  <c r="AJ8" i="1"/>
  <c r="AJ10" i="1"/>
  <c r="AJ11" i="1"/>
  <c r="AJ19" i="1"/>
  <c r="AJ20" i="1"/>
  <c r="AJ24" i="1"/>
  <c r="AJ25" i="1"/>
  <c r="AJ26" i="1"/>
  <c r="AJ27" i="1"/>
  <c r="AJ28" i="1"/>
  <c r="AJ30" i="1"/>
  <c r="AJ31" i="1"/>
  <c r="AJ32" i="1"/>
  <c r="AJ33" i="1"/>
  <c r="AJ36" i="1"/>
  <c r="AJ38" i="1"/>
  <c r="AJ41" i="1"/>
  <c r="AJ44" i="1"/>
  <c r="AJ45" i="1"/>
  <c r="AJ46" i="1"/>
  <c r="AJ47" i="1"/>
  <c r="AJ49" i="1"/>
  <c r="AJ51" i="1"/>
  <c r="AJ52" i="1"/>
  <c r="AJ54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3" i="1"/>
  <c r="AJ74" i="1"/>
  <c r="AJ76" i="1"/>
  <c r="AJ77" i="1"/>
  <c r="AJ78" i="1"/>
  <c r="AJ79" i="1"/>
  <c r="AJ80" i="1"/>
  <c r="AJ81" i="1"/>
  <c r="AJ82" i="1"/>
  <c r="AJ84" i="1"/>
  <c r="AJ87" i="1"/>
  <c r="AJ88" i="1"/>
  <c r="AJ91" i="1"/>
  <c r="AJ92" i="1"/>
  <c r="AJ93" i="1"/>
  <c r="AJ94" i="1"/>
  <c r="AJ95" i="1"/>
  <c r="AJ96" i="1"/>
  <c r="AJ97" i="1"/>
  <c r="AJ98" i="1"/>
  <c r="AJ6" i="1"/>
  <c r="S6" i="1" l="1"/>
  <c r="T6" i="1" s="1"/>
  <c r="AI6" i="1" l="1"/>
  <c r="S90" i="1"/>
  <c r="U90" i="1" s="1"/>
  <c r="S84" i="1"/>
  <c r="T84" i="1" s="1"/>
  <c r="AI84" i="1" s="1"/>
  <c r="S77" i="1"/>
  <c r="T77" i="1" s="1"/>
  <c r="AI77" i="1" s="1"/>
  <c r="S75" i="1"/>
  <c r="U75" i="1" s="1"/>
  <c r="S72" i="1"/>
  <c r="U72" i="1" s="1"/>
  <c r="S68" i="1"/>
  <c r="T68" i="1" s="1"/>
  <c r="AI68" i="1" s="1"/>
  <c r="S64" i="1"/>
  <c r="T64" i="1" s="1"/>
  <c r="AI64" i="1" s="1"/>
  <c r="S63" i="1"/>
  <c r="T63" i="1" s="1"/>
  <c r="AI63" i="1" s="1"/>
  <c r="S53" i="1"/>
  <c r="U53" i="1" s="1"/>
  <c r="S50" i="1"/>
  <c r="U50" i="1" s="1"/>
  <c r="S48" i="1"/>
  <c r="U48" i="1" s="1"/>
  <c r="S41" i="1"/>
  <c r="T41" i="1" s="1"/>
  <c r="AI41" i="1" s="1"/>
  <c r="S38" i="1"/>
  <c r="T38" i="1" s="1"/>
  <c r="AI38" i="1" s="1"/>
  <c r="S34" i="1"/>
  <c r="U34" i="1" s="1"/>
  <c r="S33" i="1"/>
  <c r="T33" i="1" s="1"/>
  <c r="AI33" i="1" s="1"/>
  <c r="S27" i="1"/>
  <c r="T27" i="1" s="1"/>
  <c r="AI27" i="1" s="1"/>
  <c r="S26" i="1"/>
  <c r="T26" i="1" s="1"/>
  <c r="AI26" i="1" s="1"/>
  <c r="S23" i="1"/>
  <c r="U23" i="1" s="1"/>
  <c r="S22" i="1"/>
  <c r="U22" i="1" s="1"/>
  <c r="S18" i="1"/>
  <c r="U18" i="1" s="1"/>
  <c r="S15" i="1"/>
  <c r="U15" i="1" s="1"/>
  <c r="S13" i="1"/>
  <c r="U13" i="1" s="1"/>
  <c r="S12" i="1"/>
  <c r="U12" i="1" s="1"/>
  <c r="S8" i="1"/>
  <c r="T8" i="1" s="1"/>
  <c r="AI8" i="1" s="1"/>
  <c r="S7" i="1"/>
  <c r="T7" i="1" s="1"/>
  <c r="AI7" i="1" s="1"/>
  <c r="S10" i="1"/>
  <c r="T10" i="1" s="1"/>
  <c r="AI10" i="1" s="1"/>
  <c r="S19" i="1"/>
  <c r="T19" i="1" s="1"/>
  <c r="AI19" i="1" s="1"/>
  <c r="S20" i="1"/>
  <c r="T20" i="1" s="1"/>
  <c r="AI20" i="1" s="1"/>
  <c r="S24" i="1"/>
  <c r="T24" i="1" s="1"/>
  <c r="AI24" i="1" s="1"/>
  <c r="S25" i="1"/>
  <c r="T25" i="1" s="1"/>
  <c r="AI25" i="1" s="1"/>
  <c r="S36" i="1"/>
  <c r="T36" i="1" s="1"/>
  <c r="AI36" i="1" s="1"/>
  <c r="S46" i="1"/>
  <c r="T46" i="1" s="1"/>
  <c r="AI46" i="1" s="1"/>
  <c r="S49" i="1"/>
  <c r="T49" i="1" s="1"/>
  <c r="AI49" i="1" s="1"/>
  <c r="S51" i="1"/>
  <c r="T51" i="1" s="1"/>
  <c r="AI51" i="1" s="1"/>
  <c r="S52" i="1"/>
  <c r="T52" i="1" s="1"/>
  <c r="AI52" i="1" s="1"/>
  <c r="S54" i="1"/>
  <c r="T54" i="1" s="1"/>
  <c r="AI54" i="1" s="1"/>
  <c r="S56" i="1"/>
  <c r="T56" i="1" s="1"/>
  <c r="AI56" i="1" s="1"/>
  <c r="S57" i="1"/>
  <c r="T57" i="1" s="1"/>
  <c r="AI57" i="1" s="1"/>
  <c r="S58" i="1"/>
  <c r="T58" i="1" s="1"/>
  <c r="AI58" i="1" s="1"/>
  <c r="S59" i="1"/>
  <c r="T59" i="1" s="1"/>
  <c r="AI59" i="1" s="1"/>
  <c r="S62" i="1"/>
  <c r="T62" i="1" s="1"/>
  <c r="AI62" i="1" s="1"/>
  <c r="S66" i="1"/>
  <c r="T66" i="1" s="1"/>
  <c r="AI66" i="1" s="1"/>
  <c r="S67" i="1"/>
  <c r="T67" i="1" s="1"/>
  <c r="AI67" i="1" s="1"/>
  <c r="S73" i="1"/>
  <c r="T73" i="1" s="1"/>
  <c r="AI73" i="1" s="1"/>
  <c r="S74" i="1"/>
  <c r="T74" i="1" s="1"/>
  <c r="AI74" i="1" s="1"/>
  <c r="S76" i="1"/>
  <c r="T76" i="1" s="1"/>
  <c r="AI76" i="1" s="1"/>
  <c r="S80" i="1"/>
  <c r="T80" i="1" s="1"/>
  <c r="AI80" i="1" s="1"/>
  <c r="S82" i="1"/>
  <c r="T82" i="1" s="1"/>
  <c r="AI82" i="1" s="1"/>
  <c r="S83" i="1"/>
  <c r="U83" i="1" s="1"/>
  <c r="S92" i="1"/>
  <c r="T92" i="1" s="1"/>
  <c r="AI92" i="1" s="1"/>
  <c r="S93" i="1"/>
  <c r="T93" i="1" s="1"/>
  <c r="AI93" i="1" s="1"/>
  <c r="S94" i="1"/>
  <c r="T94" i="1" s="1"/>
  <c r="AI94" i="1" s="1"/>
  <c r="S96" i="1"/>
  <c r="T96" i="1" s="1"/>
  <c r="AI96" i="1" s="1"/>
  <c r="S98" i="1"/>
  <c r="T98" i="1" s="1"/>
  <c r="AI98" i="1" s="1"/>
  <c r="AJ83" i="1" l="1"/>
  <c r="AJ12" i="1"/>
  <c r="AJ15" i="1"/>
  <c r="AJ22" i="1"/>
  <c r="AJ48" i="1"/>
  <c r="AJ53" i="1"/>
  <c r="AJ72" i="1"/>
  <c r="AJ90" i="1"/>
  <c r="AJ13" i="1"/>
  <c r="AJ18" i="1"/>
  <c r="AJ23" i="1"/>
  <c r="AJ34" i="1"/>
  <c r="AJ50" i="1"/>
  <c r="AJ75" i="1"/>
  <c r="Q98" i="1"/>
  <c r="L98" i="1"/>
  <c r="Q97" i="1"/>
  <c r="Y97" i="1" s="1"/>
  <c r="L97" i="1"/>
  <c r="Q96" i="1"/>
  <c r="X96" i="1" s="1"/>
  <c r="L96" i="1"/>
  <c r="Q95" i="1"/>
  <c r="L95" i="1"/>
  <c r="Q94" i="1"/>
  <c r="L94" i="1"/>
  <c r="Q93" i="1"/>
  <c r="X93" i="1" s="1"/>
  <c r="L93" i="1"/>
  <c r="Q92" i="1"/>
  <c r="L92" i="1"/>
  <c r="F91" i="1"/>
  <c r="E91" i="1"/>
  <c r="Q91" i="1" s="1"/>
  <c r="Q90" i="1"/>
  <c r="L90" i="1"/>
  <c r="Q89" i="1"/>
  <c r="R89" i="1" s="1"/>
  <c r="L89" i="1"/>
  <c r="Q88" i="1"/>
  <c r="R88" i="1" s="1"/>
  <c r="L88" i="1"/>
  <c r="Q87" i="1"/>
  <c r="R87" i="1" s="1"/>
  <c r="L87" i="1"/>
  <c r="Q86" i="1"/>
  <c r="R86" i="1" s="1"/>
  <c r="L86" i="1"/>
  <c r="Q85" i="1"/>
  <c r="R85" i="1" s="1"/>
  <c r="L85" i="1"/>
  <c r="Q84" i="1"/>
  <c r="X84" i="1" s="1"/>
  <c r="L84" i="1"/>
  <c r="F83" i="1"/>
  <c r="E83" i="1"/>
  <c r="Q83" i="1" s="1"/>
  <c r="Q82" i="1"/>
  <c r="X82" i="1" s="1"/>
  <c r="L82" i="1"/>
  <c r="Q81" i="1"/>
  <c r="L81" i="1"/>
  <c r="E80" i="1"/>
  <c r="Q80" i="1" s="1"/>
  <c r="F79" i="1"/>
  <c r="E79" i="1"/>
  <c r="L79" i="1" s="1"/>
  <c r="Q78" i="1"/>
  <c r="L78" i="1"/>
  <c r="Q77" i="1"/>
  <c r="L77" i="1"/>
  <c r="Q76" i="1"/>
  <c r="X76" i="1" s="1"/>
  <c r="L76" i="1"/>
  <c r="Q75" i="1"/>
  <c r="X75" i="1" s="1"/>
  <c r="L75" i="1"/>
  <c r="Q74" i="1"/>
  <c r="X74" i="1" s="1"/>
  <c r="L74" i="1"/>
  <c r="Q73" i="1"/>
  <c r="L73" i="1"/>
  <c r="Q72" i="1"/>
  <c r="L72" i="1"/>
  <c r="Q71" i="1"/>
  <c r="R71" i="1" s="1"/>
  <c r="L71" i="1"/>
  <c r="Q70" i="1"/>
  <c r="R70" i="1" s="1"/>
  <c r="L70" i="1"/>
  <c r="Q69" i="1"/>
  <c r="R69" i="1" s="1"/>
  <c r="L69" i="1"/>
  <c r="Q68" i="1"/>
  <c r="L68" i="1"/>
  <c r="Q67" i="1"/>
  <c r="L67" i="1"/>
  <c r="Q66" i="1"/>
  <c r="L66" i="1"/>
  <c r="Q65" i="1"/>
  <c r="R65" i="1" s="1"/>
  <c r="L65" i="1"/>
  <c r="Q64" i="1"/>
  <c r="L64" i="1"/>
  <c r="Q63" i="1"/>
  <c r="L63" i="1"/>
  <c r="Q62" i="1"/>
  <c r="X62" i="1" s="1"/>
  <c r="L62" i="1"/>
  <c r="Q61" i="1"/>
  <c r="L61" i="1"/>
  <c r="Q60" i="1"/>
  <c r="L60" i="1"/>
  <c r="Q59" i="1"/>
  <c r="X59" i="1" s="1"/>
  <c r="L59" i="1"/>
  <c r="Q58" i="1"/>
  <c r="L58" i="1"/>
  <c r="Q57" i="1"/>
  <c r="X57" i="1" s="1"/>
  <c r="L57" i="1"/>
  <c r="Q56" i="1"/>
  <c r="L56" i="1"/>
  <c r="Q55" i="1"/>
  <c r="Y55" i="1" s="1"/>
  <c r="L55" i="1"/>
  <c r="Q54" i="1"/>
  <c r="L54" i="1"/>
  <c r="Q53" i="1"/>
  <c r="L53" i="1"/>
  <c r="Q52" i="1"/>
  <c r="X52" i="1" s="1"/>
  <c r="L52" i="1"/>
  <c r="Q51" i="1"/>
  <c r="X51" i="1" s="1"/>
  <c r="L51" i="1"/>
  <c r="Q50" i="1"/>
  <c r="X50" i="1" s="1"/>
  <c r="L50" i="1"/>
  <c r="Q49" i="1"/>
  <c r="L49" i="1"/>
  <c r="Q48" i="1"/>
  <c r="L48" i="1"/>
  <c r="Q47" i="1"/>
  <c r="R47" i="1" s="1"/>
  <c r="L47" i="1"/>
  <c r="Q46" i="1"/>
  <c r="X46" i="1" s="1"/>
  <c r="L46" i="1"/>
  <c r="Q45" i="1"/>
  <c r="L45" i="1"/>
  <c r="Q44" i="1"/>
  <c r="L44" i="1"/>
  <c r="Q43" i="1"/>
  <c r="L43" i="1"/>
  <c r="Q42" i="1"/>
  <c r="L42" i="1"/>
  <c r="Q41" i="1"/>
  <c r="X41" i="1" s="1"/>
  <c r="L41" i="1"/>
  <c r="Q40" i="1"/>
  <c r="L40" i="1"/>
  <c r="Q39" i="1"/>
  <c r="L39" i="1"/>
  <c r="Q38" i="1"/>
  <c r="X38" i="1" s="1"/>
  <c r="L38" i="1"/>
  <c r="Q37" i="1"/>
  <c r="L37" i="1"/>
  <c r="Q36" i="1"/>
  <c r="X36" i="1" s="1"/>
  <c r="L36" i="1"/>
  <c r="Q35" i="1"/>
  <c r="L35" i="1"/>
  <c r="Q34" i="1"/>
  <c r="X34" i="1" s="1"/>
  <c r="L34" i="1"/>
  <c r="Q33" i="1"/>
  <c r="X33" i="1" s="1"/>
  <c r="L33" i="1"/>
  <c r="Q32" i="1"/>
  <c r="L32" i="1"/>
  <c r="Q31" i="1"/>
  <c r="L31" i="1"/>
  <c r="Q30" i="1"/>
  <c r="L30" i="1"/>
  <c r="Q29" i="1"/>
  <c r="L29" i="1"/>
  <c r="Q28" i="1"/>
  <c r="L28" i="1"/>
  <c r="Q27" i="1"/>
  <c r="X27" i="1" s="1"/>
  <c r="L27" i="1"/>
  <c r="Q26" i="1"/>
  <c r="L26" i="1"/>
  <c r="Q25" i="1"/>
  <c r="X25" i="1" s="1"/>
  <c r="L25" i="1"/>
  <c r="Q24" i="1"/>
  <c r="L24" i="1"/>
  <c r="Q23" i="1"/>
  <c r="L23" i="1"/>
  <c r="Q22" i="1"/>
  <c r="L22" i="1"/>
  <c r="Q21" i="1"/>
  <c r="R21" i="1" s="1"/>
  <c r="L21" i="1"/>
  <c r="Q20" i="1"/>
  <c r="X20" i="1" s="1"/>
  <c r="L20" i="1"/>
  <c r="Q19" i="1"/>
  <c r="X19" i="1" s="1"/>
  <c r="L19" i="1"/>
  <c r="Q18" i="1"/>
  <c r="X18" i="1" s="1"/>
  <c r="L18" i="1"/>
  <c r="Q17" i="1"/>
  <c r="L17" i="1"/>
  <c r="Q16" i="1"/>
  <c r="L16" i="1"/>
  <c r="Q15" i="1"/>
  <c r="X15" i="1" s="1"/>
  <c r="L15" i="1"/>
  <c r="Q14" i="1"/>
  <c r="L14" i="1"/>
  <c r="Q13" i="1"/>
  <c r="X13" i="1" s="1"/>
  <c r="L13" i="1"/>
  <c r="Q12" i="1"/>
  <c r="X12" i="1" s="1"/>
  <c r="L12" i="1"/>
  <c r="Q11" i="1"/>
  <c r="Y11" i="1" s="1"/>
  <c r="L11" i="1"/>
  <c r="Q10" i="1"/>
  <c r="L10" i="1"/>
  <c r="Q9" i="1"/>
  <c r="R9" i="1" s="1"/>
  <c r="S9" i="1" s="1"/>
  <c r="U9" i="1" s="1"/>
  <c r="L9" i="1"/>
  <c r="Q8" i="1"/>
  <c r="L8" i="1"/>
  <c r="Q7" i="1"/>
  <c r="X7" i="1" s="1"/>
  <c r="L7" i="1"/>
  <c r="Q6" i="1"/>
  <c r="R6" i="1" s="1"/>
  <c r="X6" i="1" s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T75" i="1" l="1"/>
  <c r="AI75" i="1" s="1"/>
  <c r="T50" i="1"/>
  <c r="AI50" i="1" s="1"/>
  <c r="T34" i="1"/>
  <c r="AI34" i="1" s="1"/>
  <c r="T23" i="1"/>
  <c r="AI23" i="1" s="1"/>
  <c r="T18" i="1"/>
  <c r="AI18" i="1" s="1"/>
  <c r="T13" i="1"/>
  <c r="AI13" i="1" s="1"/>
  <c r="T90" i="1"/>
  <c r="AI90" i="1" s="1"/>
  <c r="T72" i="1"/>
  <c r="AI72" i="1" s="1"/>
  <c r="T53" i="1"/>
  <c r="AI53" i="1" s="1"/>
  <c r="T48" i="1"/>
  <c r="AI48" i="1" s="1"/>
  <c r="T22" i="1"/>
  <c r="AI22" i="1" s="1"/>
  <c r="T15" i="1"/>
  <c r="AI15" i="1" s="1"/>
  <c r="T12" i="1"/>
  <c r="AI12" i="1" s="1"/>
  <c r="T83" i="1"/>
  <c r="AI83" i="1" s="1"/>
  <c r="AJ9" i="1"/>
  <c r="X9" i="1"/>
  <c r="T9" i="1"/>
  <c r="E5" i="1"/>
  <c r="R55" i="1"/>
  <c r="X83" i="1"/>
  <c r="Y93" i="1"/>
  <c r="Y56" i="1"/>
  <c r="X56" i="1"/>
  <c r="Y58" i="1"/>
  <c r="X58" i="1"/>
  <c r="R63" i="1"/>
  <c r="X63" i="1"/>
  <c r="R64" i="1"/>
  <c r="X64" i="1"/>
  <c r="Y66" i="1"/>
  <c r="X66" i="1"/>
  <c r="Y67" i="1"/>
  <c r="X67" i="1"/>
  <c r="R68" i="1"/>
  <c r="X68" i="1"/>
  <c r="R72" i="1"/>
  <c r="X72" i="1"/>
  <c r="Y73" i="1"/>
  <c r="X73" i="1"/>
  <c r="Y77" i="1"/>
  <c r="X77" i="1"/>
  <c r="Y80" i="1"/>
  <c r="X80" i="1"/>
  <c r="R90" i="1"/>
  <c r="X90" i="1"/>
  <c r="Y92" i="1"/>
  <c r="X92" i="1"/>
  <c r="R8" i="1"/>
  <c r="X8" i="1"/>
  <c r="Y10" i="1"/>
  <c r="X10" i="1"/>
  <c r="R22" i="1"/>
  <c r="X22" i="1"/>
  <c r="R23" i="1"/>
  <c r="X23" i="1"/>
  <c r="Y24" i="1"/>
  <c r="X24" i="1"/>
  <c r="Y26" i="1"/>
  <c r="X26" i="1"/>
  <c r="R48" i="1"/>
  <c r="X48" i="1"/>
  <c r="Y49" i="1"/>
  <c r="X49" i="1"/>
  <c r="R53" i="1"/>
  <c r="X53" i="1"/>
  <c r="Y54" i="1"/>
  <c r="X54" i="1"/>
  <c r="Y94" i="1"/>
  <c r="X94" i="1"/>
  <c r="Y96" i="1"/>
  <c r="R97" i="1"/>
  <c r="S97" i="1" s="1"/>
  <c r="Y98" i="1"/>
  <c r="X98" i="1"/>
  <c r="Y8" i="1"/>
  <c r="Y9" i="1"/>
  <c r="Y21" i="1"/>
  <c r="Y22" i="1"/>
  <c r="Y23" i="1"/>
  <c r="Y47" i="1"/>
  <c r="Y48" i="1"/>
  <c r="Y53" i="1"/>
  <c r="Y63" i="1"/>
  <c r="Y64" i="1"/>
  <c r="Y65" i="1"/>
  <c r="Y68" i="1"/>
  <c r="Y69" i="1"/>
  <c r="Y70" i="1"/>
  <c r="Y71" i="1"/>
  <c r="Y72" i="1"/>
  <c r="Y85" i="1"/>
  <c r="Y86" i="1"/>
  <c r="Y87" i="1"/>
  <c r="Y88" i="1"/>
  <c r="Y89" i="1"/>
  <c r="Y90" i="1"/>
  <c r="Y20" i="1"/>
  <c r="Y25" i="1"/>
  <c r="Y36" i="1"/>
  <c r="Y52" i="1"/>
  <c r="Y62" i="1"/>
  <c r="Y74" i="1"/>
  <c r="Q79" i="1"/>
  <c r="Q5" i="1" s="1"/>
  <c r="L80" i="1"/>
  <c r="Y82" i="1"/>
  <c r="Y91" i="1"/>
  <c r="R91" i="1"/>
  <c r="S91" i="1" s="1"/>
  <c r="Y7" i="1"/>
  <c r="Y12" i="1"/>
  <c r="R12" i="1"/>
  <c r="Y13" i="1"/>
  <c r="R13" i="1"/>
  <c r="Y14" i="1"/>
  <c r="R14" i="1"/>
  <c r="Y15" i="1"/>
  <c r="R15" i="1"/>
  <c r="Y16" i="1"/>
  <c r="R16" i="1"/>
  <c r="Y17" i="1"/>
  <c r="R17" i="1"/>
  <c r="Y18" i="1"/>
  <c r="R18" i="1"/>
  <c r="S21" i="1"/>
  <c r="Y37" i="1"/>
  <c r="R37" i="1"/>
  <c r="Y38" i="1"/>
  <c r="R38" i="1"/>
  <c r="Y39" i="1"/>
  <c r="R39" i="1"/>
  <c r="Y40" i="1"/>
  <c r="R40" i="1"/>
  <c r="Y41" i="1"/>
  <c r="R41" i="1"/>
  <c r="Y42" i="1"/>
  <c r="R42" i="1"/>
  <c r="Y43" i="1"/>
  <c r="R43" i="1"/>
  <c r="Y44" i="1"/>
  <c r="R44" i="1"/>
  <c r="Y45" i="1"/>
  <c r="R45" i="1"/>
  <c r="Y46" i="1"/>
  <c r="Y51" i="1"/>
  <c r="Y59" i="1"/>
  <c r="Y76" i="1"/>
  <c r="L83" i="1"/>
  <c r="F5" i="1"/>
  <c r="Y6" i="1"/>
  <c r="R11" i="1"/>
  <c r="Y19" i="1"/>
  <c r="Y27" i="1"/>
  <c r="R27" i="1"/>
  <c r="Y28" i="1"/>
  <c r="R28" i="1"/>
  <c r="Y29" i="1"/>
  <c r="R29" i="1"/>
  <c r="Y30" i="1"/>
  <c r="R30" i="1"/>
  <c r="Y31" i="1"/>
  <c r="R31" i="1"/>
  <c r="Y32" i="1"/>
  <c r="R32" i="1"/>
  <c r="Y33" i="1"/>
  <c r="R33" i="1"/>
  <c r="Y34" i="1"/>
  <c r="R34" i="1"/>
  <c r="Y35" i="1"/>
  <c r="R35" i="1"/>
  <c r="Y50" i="1"/>
  <c r="R50" i="1"/>
  <c r="Y57" i="1"/>
  <c r="S65" i="1"/>
  <c r="S69" i="1"/>
  <c r="S70" i="1"/>
  <c r="S71" i="1"/>
  <c r="Y75" i="1"/>
  <c r="R75" i="1"/>
  <c r="Y78" i="1"/>
  <c r="R78" i="1"/>
  <c r="Y84" i="1"/>
  <c r="S47" i="1"/>
  <c r="S55" i="1"/>
  <c r="Y60" i="1"/>
  <c r="R60" i="1"/>
  <c r="Y61" i="1"/>
  <c r="R61" i="1"/>
  <c r="R79" i="1"/>
  <c r="Y81" i="1"/>
  <c r="R81" i="1"/>
  <c r="Y83" i="1"/>
  <c r="S85" i="1"/>
  <c r="S86" i="1"/>
  <c r="S87" i="1"/>
  <c r="S88" i="1"/>
  <c r="S89" i="1"/>
  <c r="L91" i="1"/>
  <c r="Y95" i="1"/>
  <c r="R95" i="1"/>
  <c r="AJ89" i="1" l="1"/>
  <c r="U89" i="1"/>
  <c r="AJ85" i="1"/>
  <c r="U85" i="1"/>
  <c r="AJ71" i="1"/>
  <c r="U71" i="1"/>
  <c r="AJ21" i="1"/>
  <c r="U21" i="1"/>
  <c r="AJ86" i="1"/>
  <c r="U86" i="1"/>
  <c r="AJ55" i="1"/>
  <c r="U55" i="1"/>
  <c r="AJ70" i="1"/>
  <c r="U70" i="1"/>
  <c r="X88" i="1"/>
  <c r="T88" i="1"/>
  <c r="AI88" i="1" s="1"/>
  <c r="X86" i="1"/>
  <c r="T86" i="1"/>
  <c r="AI86" i="1" s="1"/>
  <c r="X55" i="1"/>
  <c r="T55" i="1"/>
  <c r="AI55" i="1" s="1"/>
  <c r="X70" i="1"/>
  <c r="T70" i="1"/>
  <c r="AI70" i="1" s="1"/>
  <c r="X65" i="1"/>
  <c r="T65" i="1"/>
  <c r="AI65" i="1" s="1"/>
  <c r="X97" i="1"/>
  <c r="T97" i="1"/>
  <c r="AI97" i="1" s="1"/>
  <c r="AI9" i="1"/>
  <c r="X89" i="1"/>
  <c r="T89" i="1"/>
  <c r="AI89" i="1" s="1"/>
  <c r="X87" i="1"/>
  <c r="T87" i="1"/>
  <c r="AI87" i="1" s="1"/>
  <c r="X85" i="1"/>
  <c r="T85" i="1"/>
  <c r="AI85" i="1" s="1"/>
  <c r="X47" i="1"/>
  <c r="T47" i="1"/>
  <c r="AI47" i="1" s="1"/>
  <c r="X71" i="1"/>
  <c r="T71" i="1"/>
  <c r="AI71" i="1" s="1"/>
  <c r="X69" i="1"/>
  <c r="T69" i="1"/>
  <c r="AI69" i="1" s="1"/>
  <c r="X21" i="1"/>
  <c r="T21" i="1"/>
  <c r="AI21" i="1" s="1"/>
  <c r="X91" i="1"/>
  <c r="T91" i="1"/>
  <c r="AI91" i="1" s="1"/>
  <c r="L5" i="1"/>
  <c r="Y79" i="1"/>
  <c r="S95" i="1"/>
  <c r="S81" i="1"/>
  <c r="S79" i="1"/>
  <c r="S78" i="1"/>
  <c r="S11" i="1"/>
  <c r="R5" i="1"/>
  <c r="S45" i="1"/>
  <c r="S44" i="1"/>
  <c r="S43" i="1"/>
  <c r="S42" i="1"/>
  <c r="S40" i="1"/>
  <c r="S39" i="1"/>
  <c r="S37" i="1"/>
  <c r="S61" i="1"/>
  <c r="S60" i="1"/>
  <c r="S35" i="1"/>
  <c r="S32" i="1"/>
  <c r="S31" i="1"/>
  <c r="S30" i="1"/>
  <c r="S29" i="1"/>
  <c r="S28" i="1"/>
  <c r="S17" i="1"/>
  <c r="S16" i="1"/>
  <c r="S14" i="1"/>
  <c r="U14" i="1" s="1"/>
  <c r="U17" i="1" l="1"/>
  <c r="AJ17" i="1" s="1"/>
  <c r="U29" i="1"/>
  <c r="AJ29" i="1" s="1"/>
  <c r="U35" i="1"/>
  <c r="AJ35" i="1" s="1"/>
  <c r="U39" i="1"/>
  <c r="AJ39" i="1" s="1"/>
  <c r="U42" i="1"/>
  <c r="AJ42" i="1" s="1"/>
  <c r="U16" i="1"/>
  <c r="AJ16" i="1" s="1"/>
  <c r="U37" i="1"/>
  <c r="AJ37" i="1" s="1"/>
  <c r="U40" i="1"/>
  <c r="AJ40" i="1" s="1"/>
  <c r="U43" i="1"/>
  <c r="AJ43" i="1" s="1"/>
  <c r="AJ14" i="1"/>
  <c r="X16" i="1"/>
  <c r="X28" i="1"/>
  <c r="T28" i="1"/>
  <c r="AI28" i="1" s="1"/>
  <c r="X30" i="1"/>
  <c r="T30" i="1"/>
  <c r="AI30" i="1" s="1"/>
  <c r="X32" i="1"/>
  <c r="T32" i="1"/>
  <c r="AI32" i="1" s="1"/>
  <c r="X60" i="1"/>
  <c r="T60" i="1"/>
  <c r="AI60" i="1" s="1"/>
  <c r="X37" i="1"/>
  <c r="T37" i="1"/>
  <c r="AI37" i="1" s="1"/>
  <c r="X40" i="1"/>
  <c r="X43" i="1"/>
  <c r="T43" i="1"/>
  <c r="AI43" i="1" s="1"/>
  <c r="X45" i="1"/>
  <c r="T45" i="1"/>
  <c r="AI45" i="1" s="1"/>
  <c r="X11" i="1"/>
  <c r="T11" i="1"/>
  <c r="X79" i="1"/>
  <c r="T79" i="1"/>
  <c r="AI79" i="1" s="1"/>
  <c r="X95" i="1"/>
  <c r="T95" i="1"/>
  <c r="AI95" i="1" s="1"/>
  <c r="X14" i="1"/>
  <c r="T14" i="1"/>
  <c r="AI14" i="1" s="1"/>
  <c r="X17" i="1"/>
  <c r="T17" i="1"/>
  <c r="AI17" i="1" s="1"/>
  <c r="X29" i="1"/>
  <c r="X31" i="1"/>
  <c r="T31" i="1"/>
  <c r="AI31" i="1" s="1"/>
  <c r="X35" i="1"/>
  <c r="T35" i="1"/>
  <c r="AI35" i="1" s="1"/>
  <c r="X61" i="1"/>
  <c r="T61" i="1"/>
  <c r="AI61" i="1" s="1"/>
  <c r="X39" i="1"/>
  <c r="X42" i="1"/>
  <c r="T42" i="1"/>
  <c r="AI42" i="1" s="1"/>
  <c r="X44" i="1"/>
  <c r="T44" i="1"/>
  <c r="AI44" i="1" s="1"/>
  <c r="X78" i="1"/>
  <c r="T78" i="1"/>
  <c r="AI78" i="1" s="1"/>
  <c r="X81" i="1"/>
  <c r="T81" i="1"/>
  <c r="AI81" i="1" s="1"/>
  <c r="S5" i="1"/>
  <c r="T39" i="1" l="1"/>
  <c r="AI39" i="1" s="1"/>
  <c r="T29" i="1"/>
  <c r="AI29" i="1" s="1"/>
  <c r="T40" i="1"/>
  <c r="AI40" i="1" s="1"/>
  <c r="T16" i="1"/>
  <c r="AI16" i="1" s="1"/>
  <c r="U5" i="1"/>
  <c r="AJ5" i="1"/>
  <c r="AI11" i="1"/>
  <c r="AI5" i="1" s="1"/>
  <c r="T5" i="1" l="1"/>
</calcChain>
</file>

<file path=xl/sharedStrings.xml><?xml version="1.0" encoding="utf-8"?>
<sst xmlns="http://schemas.openxmlformats.org/spreadsheetml/2006/main" count="372" uniqueCount="162">
  <si>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</si>
  <si>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</si>
  <si>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</si>
  <si>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</si>
  <si>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</si>
  <si>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</si>
  <si>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</si>
  <si>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</si>
  <si>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</si>
  <si>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</si>
  <si>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</si>
  <si>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</si>
  <si>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</si>
  <si>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</si>
  <si>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</si>
  <si>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</si>
  <si>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</si>
  <si>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</si>
  <si>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</si>
  <si>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</si>
  <si>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</si>
  <si>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</si>
  <si>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</si>
  <si>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</si>
  <si>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30,11,</t>
  </si>
  <si>
    <t>01,12,</t>
  </si>
  <si>
    <t>02,12,</t>
  </si>
  <si>
    <t>25,11,</t>
  </si>
  <si>
    <t>18,11,</t>
  </si>
  <si>
    <t>11,11,</t>
  </si>
  <si>
    <t>04,11,</t>
  </si>
  <si>
    <t>28,10,</t>
  </si>
  <si>
    <t>21,10,</t>
  </si>
  <si>
    <t>14,10,</t>
  </si>
  <si>
    <t>07,10,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</si>
  <si>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</si>
  <si>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</si>
  <si>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</si>
  <si>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</si>
  <si>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</si>
  <si>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</si>
  <si>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</si>
  <si>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</si>
  <si>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</si>
  <si>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</si>
  <si>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в матрице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</si>
  <si>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</si>
  <si>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</si>
  <si>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</si>
  <si>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</si>
  <si>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</si>
  <si>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</si>
  <si>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</si>
  <si>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5682 САЛЯМИ МЕЛКОЗЕРНЕНАЯ с/к в/у 1/120_60с   ОСТАНКИНО</t>
  </si>
  <si>
    <t>в матрице / на вывод</t>
  </si>
  <si>
    <t>ротация на 7382</t>
  </si>
  <si>
    <t>5706 АРОМАТНАЯ Папа может с/к в/у 1/250 8шт.  ОСТАНКИНО</t>
  </si>
  <si>
    <t>ротация</t>
  </si>
  <si>
    <t>ротация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</si>
  <si>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</si>
  <si>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</si>
  <si>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</si>
  <si>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</si>
  <si>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</si>
  <si>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ротация - 1001016747343 СЕЙЧАС СЕЗОН ПМ вар п/о 0.4кг</t>
  </si>
  <si>
    <t>6208 ДЫМОВИЦА ИЗ ЛОПАТКИ ПМ к/в с/н в/у 1/150  Останкино</t>
  </si>
  <si>
    <t>нужно увеличить продажи!!!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</si>
  <si>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</si>
  <si>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</si>
  <si>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</si>
  <si>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</si>
  <si>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</si>
  <si>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</si>
  <si>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</si>
  <si>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</si>
  <si>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 xml:space="preserve">акция для сети Деликатес 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</si>
  <si>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</si>
  <si>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</si>
  <si>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</si>
  <si>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не в матрице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</si>
  <si>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</si>
  <si>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</si>
  <si>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</si>
  <si>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нужно увеличить продажи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</si>
  <si>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</si>
  <si>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</si>
  <si>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</si>
  <si>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</si>
  <si>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</si>
  <si>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</si>
  <si>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</si>
  <si>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</si>
  <si>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04,11,25 списание 266шт (сроки) / Мкд Трейд / 05,11,25 инфа от ТК (данную позицию продадим.)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</si>
  <si>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</si>
  <si>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</si>
  <si>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</si>
  <si>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</si>
  <si>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Мкд Трейд / Обжора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</si>
  <si>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</si>
  <si>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</si>
  <si>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</si>
  <si>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</si>
  <si>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</si>
  <si>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нужно увеличить продажи!!! / вывод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</si>
  <si>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</si>
  <si>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</si>
  <si>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</si>
  <si>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204"/>
      </rPr>
      <t xml:space="preserve"> / 08,10,25 списание (26шт. / сроки)</t>
    </r>
  </si>
  <si>
    <t>6793 БАЛЫКОВАЯ в/к в/у 0,33кг 8шт  Останкино</t>
  </si>
  <si>
    <t>6794 БАЛЫКОВАЯ в/к в/у  Останкино</t>
  </si>
  <si>
    <t>7131 БАЛЫКОВАЯ в/к в/у 0,84кг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</si>
  <si>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</si>
  <si>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</si>
  <si>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</si>
  <si>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134"/>
      </rPr>
      <t xml:space="preserve"> / новинка</t>
    </r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</si>
  <si>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</si>
  <si>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</si>
  <si>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</si>
  <si>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26,11,25 филиал обнулил / ошибка при получении продукции / Мкд Трейд / Пекарня</t>
  </si>
  <si>
    <t>6872 ШАШЛЫК ИЗ СВИНИНЫ зам.  Останкино</t>
  </si>
  <si>
    <t>вывод</t>
  </si>
  <si>
    <t>6919 БЕКОН Останкино с/к с/н в/у 1/180 10шт  Останкино</t>
  </si>
  <si>
    <t>7103 БЕКОН Останкино с/к с/н в/у 1/180_50с  Останкино</t>
  </si>
  <si>
    <t>6967 БУРГУНДИЯ Папа может с/к в/у 1/250 8шт  Останкино</t>
  </si>
  <si>
    <t>новинка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</si>
  <si>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</si>
  <si>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</si>
  <si>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</si>
  <si>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</si>
  <si>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</si>
  <si>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</si>
  <si>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</si>
  <si>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</si>
  <si>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</si>
  <si>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</si>
  <si>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</si>
  <si>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7092 БЕКОН Папа может с/к с/н в/у 1/140_50с  Останкино</t>
  </si>
  <si>
    <t>7147 САЛЬЧИЧОН Останкино с/к в/у 1/220 8 шт  Останкино</t>
  </si>
  <si>
    <t>7149 БАЛЫКОВАЯ Коровино п/к в/у 0,84кг_50с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</si>
  <si>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204"/>
      </rPr>
      <t xml:space="preserve"> / 30,08,25 списание 41 шт. (пересчет)</t>
    </r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</si>
  <si>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</si>
  <si>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</si>
  <si>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</si>
  <si>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</si>
  <si>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</si>
  <si>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</si>
  <si>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</si>
  <si>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</si>
  <si>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</si>
  <si>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</si>
  <si>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</si>
  <si>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204"/>
      </rPr>
      <t xml:space="preserve"> / 17,09,25 списание (297 шт. / сроки)</t>
    </r>
  </si>
  <si>
    <t>7284 ДЛЯ ДЕТЕЙ сос п/о мгс 0,33кг 6шт  Останкино</t>
  </si>
  <si>
    <t>08,10,25 списание (34шт. / сроки)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</si>
  <si>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</si>
  <si>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</si>
  <si>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</si>
  <si>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с учетом ТК</t>
  </si>
  <si>
    <t>акция сети (WA Холодов)</t>
  </si>
  <si>
    <t>заказ</t>
  </si>
  <si>
    <t>08,12,</t>
  </si>
  <si>
    <t>07,12,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</si>
</sst>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sz val="10"/>
      <name val="Arial"/>
      <charset val="204"/>
    </font>
    <font>
      <b/>
      <sz val="11"/>
      <color rgb="FFFF0000"/>
      <name val="Calibri"/>
      <charset val="134"/>
    </font>
    <font>
      <b/>
      <sz val="10"/>
      <color rgb="FFFF0000"/>
      <name val="Arial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 applyBorder="1"/>
    <xf numFmtId="2" fontId="0" fillId="0" borderId="0" xfId="0" applyNumberFormat="1" applyBorder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1" fillId="4" borderId="0" xfId="1" applyNumberFormat="1" applyFill="1"/>
    <xf numFmtId="2" fontId="1" fillId="4" borderId="0" xfId="1" applyNumberFormat="1" applyFill="1"/>
    <xf numFmtId="164" fontId="3" fillId="5" borderId="0" xfId="1" applyNumberFormat="1" applyFont="1" applyFill="1"/>
    <xf numFmtId="164" fontId="4" fillId="4" borderId="0" xfId="1" applyNumberFormat="1" applyFont="1" applyFill="1"/>
    <xf numFmtId="164" fontId="1" fillId="6" borderId="0" xfId="1" applyNumberFormat="1" applyFill="1"/>
    <xf numFmtId="164" fontId="4" fillId="0" borderId="0" xfId="1" applyNumberFormat="1" applyFont="1"/>
    <xf numFmtId="164" fontId="5" fillId="2" borderId="0" xfId="1" applyNumberFormat="1" applyFont="1" applyFill="1"/>
    <xf numFmtId="164" fontId="2" fillId="7" borderId="0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164" fontId="6" fillId="8" borderId="0" xfId="1" applyNumberFormat="1" applyFont="1" applyFill="1"/>
    <xf numFmtId="164" fontId="1" fillId="8" borderId="0" xfId="1" applyNumberFormat="1" applyFill="1"/>
    <xf numFmtId="164" fontId="4" fillId="8" borderId="0" xfId="1" applyNumberFormat="1" applyFont="1" applyFill="1"/>
    <xf numFmtId="164" fontId="1" fillId="9" borderId="1" xfId="1" applyNumberFormat="1" applyFill="1" applyBorder="1"/>
    <xf numFmtId="165" fontId="1" fillId="0" borderId="0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6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W5" sqref="W5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2" width="7" customWidth="1"/>
    <col min="23" max="23" width="21" customWidth="1"/>
    <col min="24" max="25" width="5" customWidth="1"/>
    <col min="26" max="33" width="6" customWidth="1"/>
    <col min="34" max="34" width="35" customWidth="1"/>
    <col min="35" max="36" width="7" customWidth="1"/>
    <col min="37" max="52" width="3" customWidth="1"/>
  </cols>
  <sheetData>
    <row r="1" spans="1:52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1">
        <v>1.8069999999999999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14</v>
      </c>
      <c r="Q3" s="4" t="s">
        <v>15</v>
      </c>
      <c r="R3" s="13" t="s">
        <v>16</v>
      </c>
      <c r="S3" s="13" t="s">
        <v>157</v>
      </c>
      <c r="T3" s="13" t="s">
        <v>159</v>
      </c>
      <c r="U3" s="13" t="s">
        <v>159</v>
      </c>
      <c r="V3" s="14" t="s">
        <v>17</v>
      </c>
      <c r="W3" s="14" t="s">
        <v>18</v>
      </c>
      <c r="X3" s="4" t="s">
        <v>19</v>
      </c>
      <c r="Y3" s="4" t="s">
        <v>20</v>
      </c>
      <c r="Z3" s="4" t="s">
        <v>21</v>
      </c>
      <c r="AA3" s="4" t="s">
        <v>21</v>
      </c>
      <c r="AB3" s="4" t="s">
        <v>21</v>
      </c>
      <c r="AC3" s="4" t="s">
        <v>21</v>
      </c>
      <c r="AD3" s="4" t="s">
        <v>21</v>
      </c>
      <c r="AE3" s="4" t="s">
        <v>21</v>
      </c>
      <c r="AF3" s="4" t="s">
        <v>21</v>
      </c>
      <c r="AG3" s="4" t="s">
        <v>21</v>
      </c>
      <c r="AH3" s="4" t="s">
        <v>22</v>
      </c>
      <c r="AI3" s="4" t="s">
        <v>23</v>
      </c>
      <c r="AJ3" s="4" t="s">
        <v>23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24</v>
      </c>
      <c r="P4" s="2" t="s">
        <v>25</v>
      </c>
      <c r="Q4" s="2" t="s">
        <v>26</v>
      </c>
      <c r="R4" s="2"/>
      <c r="S4" s="2"/>
      <c r="T4" s="2" t="s">
        <v>161</v>
      </c>
      <c r="U4" s="2" t="s">
        <v>160</v>
      </c>
      <c r="V4" s="2"/>
      <c r="W4" s="2"/>
      <c r="X4" s="2"/>
      <c r="Y4" s="2"/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/>
      <c r="AI4" s="2" t="s">
        <v>161</v>
      </c>
      <c r="AJ4" s="2" t="s">
        <v>160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>
      <c r="A5" s="2"/>
      <c r="B5" s="2"/>
      <c r="C5" s="2"/>
      <c r="D5" s="2"/>
      <c r="E5" s="6">
        <f>SUM(E6:E496)</f>
        <v>10688.334000000003</v>
      </c>
      <c r="F5" s="6">
        <f>SUM(F6:F496)</f>
        <v>7768.7419999999984</v>
      </c>
      <c r="G5" s="3"/>
      <c r="H5" s="2"/>
      <c r="I5" s="2"/>
      <c r="J5" s="2"/>
      <c r="K5" s="6">
        <f t="shared" ref="K5:V5" si="0">SUM(K6:K496)</f>
        <v>11491.427000000001</v>
      </c>
      <c r="L5" s="6">
        <f t="shared" si="0"/>
        <v>-803.09299999999996</v>
      </c>
      <c r="M5" s="6">
        <f t="shared" si="0"/>
        <v>0</v>
      </c>
      <c r="N5" s="6">
        <f t="shared" si="0"/>
        <v>0</v>
      </c>
      <c r="O5" s="6">
        <f t="shared" si="0"/>
        <v>3701.590909090909</v>
      </c>
      <c r="P5" s="6">
        <f t="shared" si="0"/>
        <v>3132.409090909091</v>
      </c>
      <c r="Q5" s="6">
        <f t="shared" si="0"/>
        <v>2137.6668000000004</v>
      </c>
      <c r="R5" s="6">
        <f t="shared" si="0"/>
        <v>14298.7444</v>
      </c>
      <c r="S5" s="6">
        <f t="shared" si="0"/>
        <v>15943</v>
      </c>
      <c r="T5" s="6">
        <f t="shared" si="0"/>
        <v>8687</v>
      </c>
      <c r="U5" s="6">
        <f t="shared" ref="U5" si="1">SUM(U6:U496)</f>
        <v>7256</v>
      </c>
      <c r="V5" s="6">
        <f t="shared" si="0"/>
        <v>7712</v>
      </c>
      <c r="W5" s="2"/>
      <c r="X5" s="2"/>
      <c r="Y5" s="2"/>
      <c r="Z5" s="6">
        <f t="shared" ref="Z5:AG5" si="2">SUM(Z6:Z496)</f>
        <v>1748.0811999999994</v>
      </c>
      <c r="AA5" s="6">
        <f t="shared" si="2"/>
        <v>1947.201600000001</v>
      </c>
      <c r="AB5" s="6">
        <f t="shared" si="2"/>
        <v>1844.9844000000001</v>
      </c>
      <c r="AC5" s="6">
        <f t="shared" si="2"/>
        <v>1767.0598000000007</v>
      </c>
      <c r="AD5" s="6">
        <f t="shared" si="2"/>
        <v>2208.4368000000004</v>
      </c>
      <c r="AE5" s="6">
        <f t="shared" si="2"/>
        <v>2105.3669999999997</v>
      </c>
      <c r="AF5" s="6">
        <f t="shared" si="2"/>
        <v>1738.4793999999999</v>
      </c>
      <c r="AG5" s="6">
        <f t="shared" si="2"/>
        <v>2217.2184000000007</v>
      </c>
      <c r="AH5" s="2"/>
      <c r="AI5" s="6">
        <f>SUM(AI6:AI496)</f>
        <v>3850.1200000000022</v>
      </c>
      <c r="AJ5" s="6">
        <f>SUM(AJ6:AJ496)</f>
        <v>3353.889999999999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>
      <c r="A6" s="2" t="s">
        <v>35</v>
      </c>
      <c r="B6" s="2" t="s">
        <v>36</v>
      </c>
      <c r="C6" s="2">
        <v>246</v>
      </c>
      <c r="D6" s="2">
        <v>473</v>
      </c>
      <c r="E6" s="2">
        <v>296</v>
      </c>
      <c r="F6" s="2">
        <v>235</v>
      </c>
      <c r="G6" s="3">
        <v>0.4</v>
      </c>
      <c r="H6" s="2">
        <v>60</v>
      </c>
      <c r="I6" s="2" t="s">
        <v>45</v>
      </c>
      <c r="J6" s="2"/>
      <c r="K6" s="2">
        <v>292</v>
      </c>
      <c r="L6" s="2">
        <f t="shared" ref="L6:L37" si="3">E6-K6</f>
        <v>4</v>
      </c>
      <c r="M6" s="2"/>
      <c r="N6" s="2"/>
      <c r="O6" s="2">
        <v>0</v>
      </c>
      <c r="P6" s="2">
        <v>133</v>
      </c>
      <c r="Q6" s="2">
        <f t="shared" ref="Q6:Q37" si="4">E6/5</f>
        <v>59.2</v>
      </c>
      <c r="R6" s="15">
        <f>14*Q6-P6-O6-F6</f>
        <v>460.80000000000007</v>
      </c>
      <c r="S6" s="15">
        <f>V6</f>
        <v>700</v>
      </c>
      <c r="T6" s="15">
        <f>S6-U6</f>
        <v>700</v>
      </c>
      <c r="U6" s="15"/>
      <c r="V6" s="20">
        <v>700</v>
      </c>
      <c r="W6" s="2" t="s">
        <v>158</v>
      </c>
      <c r="X6" s="2">
        <f>(F6+O6+P6+S6)/Q6</f>
        <v>18.04054054054054</v>
      </c>
      <c r="Y6" s="2">
        <f t="shared" ref="Y6:Y37" si="5">(F6+O6+P6)/Q6</f>
        <v>6.2162162162162158</v>
      </c>
      <c r="Z6" s="2">
        <v>48.2</v>
      </c>
      <c r="AA6" s="2">
        <v>53.8</v>
      </c>
      <c r="AB6" s="2">
        <v>51.4</v>
      </c>
      <c r="AC6" s="2">
        <v>50.8</v>
      </c>
      <c r="AD6" s="2">
        <v>59</v>
      </c>
      <c r="AE6" s="2">
        <v>52.2</v>
      </c>
      <c r="AF6" s="2">
        <v>39.799999999999997</v>
      </c>
      <c r="AG6" s="2">
        <v>62</v>
      </c>
      <c r="AH6" s="2"/>
      <c r="AI6" s="2">
        <f>G6*T6</f>
        <v>280</v>
      </c>
      <c r="AJ6" s="2">
        <f>G6*U6</f>
        <v>0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>
      <c r="A7" s="2" t="s">
        <v>38</v>
      </c>
      <c r="B7" s="2" t="s">
        <v>39</v>
      </c>
      <c r="C7" s="2">
        <v>31.350999999999999</v>
      </c>
      <c r="D7" s="2"/>
      <c r="E7" s="2">
        <v>12.496</v>
      </c>
      <c r="F7" s="2">
        <v>18.855</v>
      </c>
      <c r="G7" s="3">
        <v>1</v>
      </c>
      <c r="H7" s="2">
        <v>120</v>
      </c>
      <c r="I7" s="2" t="s">
        <v>37</v>
      </c>
      <c r="J7" s="2"/>
      <c r="K7" s="2">
        <v>12.5</v>
      </c>
      <c r="L7" s="2">
        <f t="shared" si="3"/>
        <v>-3.9999999999995595E-3</v>
      </c>
      <c r="M7" s="2"/>
      <c r="N7" s="2"/>
      <c r="O7" s="2">
        <v>15</v>
      </c>
      <c r="P7" s="2"/>
      <c r="Q7" s="2">
        <f t="shared" si="4"/>
        <v>2.4992000000000001</v>
      </c>
      <c r="R7" s="15">
        <v>4</v>
      </c>
      <c r="S7" s="15">
        <f>V7</f>
        <v>7</v>
      </c>
      <c r="T7" s="15">
        <f t="shared" ref="T7:T70" si="6">S7-U7</f>
        <v>0</v>
      </c>
      <c r="U7" s="15">
        <f>V7</f>
        <v>7</v>
      </c>
      <c r="V7" s="15">
        <v>7</v>
      </c>
      <c r="W7" s="2"/>
      <c r="X7" s="2">
        <f t="shared" ref="X7:X70" si="7">(F7+O7+P7+S7)/Q7</f>
        <v>16.347231113956468</v>
      </c>
      <c r="Y7" s="2">
        <f t="shared" si="5"/>
        <v>13.546334827144687</v>
      </c>
      <c r="Z7" s="2">
        <v>3.1869999999999998</v>
      </c>
      <c r="AA7" s="2">
        <v>2.3664000000000001</v>
      </c>
      <c r="AB7" s="2">
        <v>2.1724000000000001</v>
      </c>
      <c r="AC7" s="2">
        <v>1.843</v>
      </c>
      <c r="AD7" s="2">
        <v>6.2092000000000001</v>
      </c>
      <c r="AE7" s="2">
        <v>3.1107999999999998</v>
      </c>
      <c r="AF7" s="2">
        <v>4.1124000000000001</v>
      </c>
      <c r="AG7" s="2">
        <v>3.3555999999999999</v>
      </c>
      <c r="AH7" s="2"/>
      <c r="AI7" s="2">
        <f t="shared" ref="AI7:AI70" si="8">G7*T7</f>
        <v>0</v>
      </c>
      <c r="AJ7" s="2">
        <f t="shared" ref="AJ7:AJ70" si="9">G7*U7</f>
        <v>7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>
      <c r="A8" s="2" t="s">
        <v>40</v>
      </c>
      <c r="B8" s="2" t="s">
        <v>36</v>
      </c>
      <c r="C8" s="2">
        <v>29</v>
      </c>
      <c r="D8" s="2">
        <v>119</v>
      </c>
      <c r="E8" s="2">
        <v>58</v>
      </c>
      <c r="F8" s="2">
        <v>35</v>
      </c>
      <c r="G8" s="3">
        <v>0.25</v>
      </c>
      <c r="H8" s="2">
        <v>120</v>
      </c>
      <c r="I8" s="2" t="s">
        <v>37</v>
      </c>
      <c r="J8" s="2"/>
      <c r="K8" s="2">
        <v>94</v>
      </c>
      <c r="L8" s="2">
        <f t="shared" si="3"/>
        <v>-36</v>
      </c>
      <c r="M8" s="2"/>
      <c r="N8" s="2"/>
      <c r="O8" s="2">
        <v>63</v>
      </c>
      <c r="P8" s="2"/>
      <c r="Q8" s="2">
        <f t="shared" si="4"/>
        <v>11.6</v>
      </c>
      <c r="R8" s="15">
        <f t="shared" ref="R8:R17" si="10">14*Q8-P8-O8-F8</f>
        <v>64.400000000000006</v>
      </c>
      <c r="S8" s="15">
        <f>V8</f>
        <v>80</v>
      </c>
      <c r="T8" s="15">
        <f t="shared" si="6"/>
        <v>80</v>
      </c>
      <c r="U8" s="15"/>
      <c r="V8" s="15">
        <v>80</v>
      </c>
      <c r="W8" s="2"/>
      <c r="X8" s="2">
        <f t="shared" si="7"/>
        <v>15.344827586206897</v>
      </c>
      <c r="Y8" s="2">
        <f t="shared" si="5"/>
        <v>8.4482758620689662</v>
      </c>
      <c r="Z8" s="2">
        <v>13.6</v>
      </c>
      <c r="AA8" s="2">
        <v>11.8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 t="s">
        <v>41</v>
      </c>
      <c r="AI8" s="2">
        <f t="shared" si="8"/>
        <v>20</v>
      </c>
      <c r="AJ8" s="2">
        <f t="shared" si="9"/>
        <v>0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>
      <c r="A9" s="2" t="s">
        <v>42</v>
      </c>
      <c r="B9" s="2" t="s">
        <v>39</v>
      </c>
      <c r="C9" s="2">
        <v>172.935</v>
      </c>
      <c r="D9" s="2">
        <v>242.65799999999999</v>
      </c>
      <c r="E9" s="2">
        <v>273.66699999999997</v>
      </c>
      <c r="F9" s="2">
        <v>131.4</v>
      </c>
      <c r="G9" s="3">
        <v>1</v>
      </c>
      <c r="H9" s="2">
        <v>60</v>
      </c>
      <c r="I9" s="2" t="s">
        <v>37</v>
      </c>
      <c r="J9" s="2"/>
      <c r="K9" s="2">
        <v>259.8</v>
      </c>
      <c r="L9" s="2">
        <f t="shared" si="3"/>
        <v>13.866999999999962</v>
      </c>
      <c r="M9" s="2"/>
      <c r="N9" s="2"/>
      <c r="O9" s="2">
        <v>0</v>
      </c>
      <c r="P9" s="2">
        <v>150</v>
      </c>
      <c r="Q9" s="2">
        <f t="shared" si="4"/>
        <v>54.733399999999996</v>
      </c>
      <c r="R9" s="15">
        <f t="shared" si="10"/>
        <v>484.86759999999992</v>
      </c>
      <c r="S9" s="15">
        <f t="shared" ref="S9:S70" si="11">ROUND(R9,0)</f>
        <v>485</v>
      </c>
      <c r="T9" s="15">
        <f t="shared" si="6"/>
        <v>217</v>
      </c>
      <c r="U9" s="15">
        <f>ROUND(S9/$U$1,0)</f>
        <v>268</v>
      </c>
      <c r="V9" s="15"/>
      <c r="W9" s="2"/>
      <c r="X9" s="2">
        <f t="shared" si="7"/>
        <v>14.002418998271622</v>
      </c>
      <c r="Y9" s="2">
        <f t="shared" si="5"/>
        <v>5.1412848461816729</v>
      </c>
      <c r="Z9" s="2">
        <v>37.9666</v>
      </c>
      <c r="AA9" s="2">
        <v>42.933199999999999</v>
      </c>
      <c r="AB9" s="2">
        <v>37.126800000000003</v>
      </c>
      <c r="AC9" s="2">
        <v>39.812199999999997</v>
      </c>
      <c r="AD9" s="2">
        <v>44.874400000000001</v>
      </c>
      <c r="AE9" s="2">
        <v>51.76</v>
      </c>
      <c r="AF9" s="2">
        <v>39.495800000000003</v>
      </c>
      <c r="AG9" s="2">
        <v>48.458199999999998</v>
      </c>
      <c r="AH9" s="2"/>
      <c r="AI9" s="2">
        <f t="shared" si="8"/>
        <v>217</v>
      </c>
      <c r="AJ9" s="2">
        <f t="shared" si="9"/>
        <v>268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 t="s">
        <v>43</v>
      </c>
      <c r="B10" s="2" t="s">
        <v>39</v>
      </c>
      <c r="C10" s="2">
        <v>9.2919999999999998</v>
      </c>
      <c r="D10" s="2">
        <v>19.872</v>
      </c>
      <c r="E10" s="2">
        <v>6.8630000000000004</v>
      </c>
      <c r="F10" s="2">
        <v>21.33</v>
      </c>
      <c r="G10" s="3">
        <v>1</v>
      </c>
      <c r="H10" s="2">
        <v>120</v>
      </c>
      <c r="I10" s="2" t="s">
        <v>37</v>
      </c>
      <c r="J10" s="2"/>
      <c r="K10" s="2">
        <v>8</v>
      </c>
      <c r="L10" s="2">
        <f t="shared" si="3"/>
        <v>-1.1369999999999996</v>
      </c>
      <c r="M10" s="2"/>
      <c r="N10" s="2"/>
      <c r="O10" s="2">
        <v>8</v>
      </c>
      <c r="P10" s="2"/>
      <c r="Q10" s="2">
        <f t="shared" si="4"/>
        <v>1.3726</v>
      </c>
      <c r="R10" s="15"/>
      <c r="S10" s="15">
        <f t="shared" si="11"/>
        <v>0</v>
      </c>
      <c r="T10" s="15">
        <f t="shared" si="6"/>
        <v>0</v>
      </c>
      <c r="U10" s="15"/>
      <c r="V10" s="15"/>
      <c r="W10" s="2"/>
      <c r="X10" s="2">
        <f t="shared" si="7"/>
        <v>21.368206323765115</v>
      </c>
      <c r="Y10" s="2">
        <f t="shared" si="5"/>
        <v>21.368206323765115</v>
      </c>
      <c r="Z10" s="2">
        <v>2.68</v>
      </c>
      <c r="AA10" s="2">
        <v>3.0956000000000001</v>
      </c>
      <c r="AB10" s="2">
        <v>2.4108000000000001</v>
      </c>
      <c r="AC10" s="2">
        <v>2.7</v>
      </c>
      <c r="AD10" s="2">
        <v>0.79400000000000004</v>
      </c>
      <c r="AE10" s="2">
        <v>4.6791999999999998</v>
      </c>
      <c r="AF10" s="2">
        <v>1.5808</v>
      </c>
      <c r="AG10" s="2">
        <v>1.9561999999999999</v>
      </c>
      <c r="AH10" s="2"/>
      <c r="AI10" s="2">
        <f t="shared" si="8"/>
        <v>0</v>
      </c>
      <c r="AJ10" s="2">
        <f t="shared" si="9"/>
        <v>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2" t="s">
        <v>44</v>
      </c>
      <c r="B11" s="2" t="s">
        <v>39</v>
      </c>
      <c r="C11" s="2">
        <v>107.035</v>
      </c>
      <c r="D11" s="2">
        <v>2.649</v>
      </c>
      <c r="E11" s="2">
        <v>55.505000000000003</v>
      </c>
      <c r="F11" s="2">
        <v>51.53</v>
      </c>
      <c r="G11" s="3">
        <v>1</v>
      </c>
      <c r="H11" s="2">
        <v>60</v>
      </c>
      <c r="I11" s="11" t="s">
        <v>45</v>
      </c>
      <c r="J11" s="2"/>
      <c r="K11" s="2">
        <v>51.5</v>
      </c>
      <c r="L11" s="2">
        <f t="shared" si="3"/>
        <v>4.0050000000000026</v>
      </c>
      <c r="M11" s="2"/>
      <c r="N11" s="2"/>
      <c r="O11" s="2">
        <v>46</v>
      </c>
      <c r="P11" s="2"/>
      <c r="Q11" s="2">
        <f t="shared" si="4"/>
        <v>11.101000000000001</v>
      </c>
      <c r="R11" s="15">
        <f t="shared" si="10"/>
        <v>57.884000000000015</v>
      </c>
      <c r="S11" s="15">
        <f t="shared" si="11"/>
        <v>58</v>
      </c>
      <c r="T11" s="15">
        <f t="shared" si="6"/>
        <v>58</v>
      </c>
      <c r="U11" s="15"/>
      <c r="V11" s="15"/>
      <c r="W11" s="2"/>
      <c r="X11" s="2">
        <f t="shared" si="7"/>
        <v>14.010449509053238</v>
      </c>
      <c r="Y11" s="2">
        <f t="shared" si="5"/>
        <v>8.7856949824340145</v>
      </c>
      <c r="Z11" s="2">
        <v>10.223000000000001</v>
      </c>
      <c r="AA11" s="2">
        <v>8.0182000000000002</v>
      </c>
      <c r="AB11" s="2">
        <v>10.991199999999999</v>
      </c>
      <c r="AC11" s="2">
        <v>10.7874</v>
      </c>
      <c r="AD11" s="2">
        <v>4.8311999999999999</v>
      </c>
      <c r="AE11" s="2">
        <v>8.6864000000000008</v>
      </c>
      <c r="AF11" s="2">
        <v>1.3555999999999999</v>
      </c>
      <c r="AG11" s="2">
        <v>3.9807999999999999</v>
      </c>
      <c r="AH11" s="2"/>
      <c r="AI11" s="2">
        <f t="shared" si="8"/>
        <v>58</v>
      </c>
      <c r="AJ11" s="2">
        <f t="shared" si="9"/>
        <v>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 t="s">
        <v>46</v>
      </c>
      <c r="B12" s="2" t="s">
        <v>39</v>
      </c>
      <c r="C12" s="2">
        <v>47.679000000000002</v>
      </c>
      <c r="D12" s="2">
        <v>519.37699999999995</v>
      </c>
      <c r="E12" s="2">
        <v>176.434</v>
      </c>
      <c r="F12" s="2">
        <v>383.87299999999999</v>
      </c>
      <c r="G12" s="3">
        <v>1</v>
      </c>
      <c r="H12" s="2">
        <v>60</v>
      </c>
      <c r="I12" s="2" t="s">
        <v>37</v>
      </c>
      <c r="J12" s="2"/>
      <c r="K12" s="2">
        <v>180.3</v>
      </c>
      <c r="L12" s="2">
        <f t="shared" si="3"/>
        <v>-3.8660000000000139</v>
      </c>
      <c r="M12" s="2"/>
      <c r="N12" s="2"/>
      <c r="O12" s="2">
        <v>0</v>
      </c>
      <c r="P12" s="2">
        <v>50</v>
      </c>
      <c r="Q12" s="2">
        <f t="shared" si="4"/>
        <v>35.286799999999999</v>
      </c>
      <c r="R12" s="15">
        <f t="shared" si="10"/>
        <v>60.142200000000003</v>
      </c>
      <c r="S12" s="15">
        <f t="shared" ref="S12:S13" si="12">V12</f>
        <v>75</v>
      </c>
      <c r="T12" s="15">
        <f t="shared" si="6"/>
        <v>33</v>
      </c>
      <c r="U12" s="15">
        <f t="shared" ref="U12:U18" si="13">ROUND(S12/$U$1,0)</f>
        <v>42</v>
      </c>
      <c r="V12" s="15">
        <v>75</v>
      </c>
      <c r="W12" s="2"/>
      <c r="X12" s="2">
        <f t="shared" si="7"/>
        <v>14.421058299420746</v>
      </c>
      <c r="Y12" s="2">
        <f t="shared" si="5"/>
        <v>12.295617624720858</v>
      </c>
      <c r="Z12" s="2">
        <v>38.5306</v>
      </c>
      <c r="AA12" s="2">
        <v>54.674999999999997</v>
      </c>
      <c r="AB12" s="2">
        <v>36.8538</v>
      </c>
      <c r="AC12" s="2">
        <v>40.513800000000003</v>
      </c>
      <c r="AD12" s="2">
        <v>52.1188</v>
      </c>
      <c r="AE12" s="2">
        <v>36.526600000000002</v>
      </c>
      <c r="AF12" s="2">
        <v>40.3538</v>
      </c>
      <c r="AG12" s="2">
        <v>57.832999999999998</v>
      </c>
      <c r="AH12" s="2"/>
      <c r="AI12" s="2">
        <f t="shared" si="8"/>
        <v>33</v>
      </c>
      <c r="AJ12" s="2">
        <f t="shared" si="9"/>
        <v>42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 t="s">
        <v>47</v>
      </c>
      <c r="B13" s="2" t="s">
        <v>36</v>
      </c>
      <c r="C13" s="2">
        <v>56</v>
      </c>
      <c r="D13" s="2">
        <v>246</v>
      </c>
      <c r="E13" s="2">
        <v>216</v>
      </c>
      <c r="F13" s="2">
        <v>-1</v>
      </c>
      <c r="G13" s="3">
        <v>0.25</v>
      </c>
      <c r="H13" s="2">
        <v>120</v>
      </c>
      <c r="I13" s="2" t="s">
        <v>37</v>
      </c>
      <c r="J13" s="2"/>
      <c r="K13" s="2">
        <v>345</v>
      </c>
      <c r="L13" s="2">
        <f t="shared" si="3"/>
        <v>-129</v>
      </c>
      <c r="M13" s="2"/>
      <c r="N13" s="2"/>
      <c r="O13" s="2">
        <v>102</v>
      </c>
      <c r="P13" s="2"/>
      <c r="Q13" s="2">
        <f t="shared" si="4"/>
        <v>43.2</v>
      </c>
      <c r="R13" s="15">
        <f>11*Q13-P13-O13-F13</f>
        <v>374.20000000000005</v>
      </c>
      <c r="S13" s="15">
        <f t="shared" si="12"/>
        <v>420</v>
      </c>
      <c r="T13" s="15">
        <f t="shared" si="6"/>
        <v>188</v>
      </c>
      <c r="U13" s="15">
        <f t="shared" si="13"/>
        <v>232</v>
      </c>
      <c r="V13" s="15">
        <v>420</v>
      </c>
      <c r="W13" s="2"/>
      <c r="X13" s="2">
        <f t="shared" si="7"/>
        <v>12.060185185185185</v>
      </c>
      <c r="Y13" s="2">
        <f t="shared" si="5"/>
        <v>2.3379629629629628</v>
      </c>
      <c r="Z13" s="2">
        <v>22.6</v>
      </c>
      <c r="AA13" s="2">
        <v>26.2</v>
      </c>
      <c r="AB13" s="2">
        <v>22.8</v>
      </c>
      <c r="AC13" s="2">
        <v>22</v>
      </c>
      <c r="AD13" s="2">
        <v>27.199000000000002</v>
      </c>
      <c r="AE13" s="2">
        <v>19</v>
      </c>
      <c r="AF13" s="2">
        <v>20</v>
      </c>
      <c r="AG13" s="2">
        <v>21.6</v>
      </c>
      <c r="AH13" s="2"/>
      <c r="AI13" s="2">
        <f t="shared" si="8"/>
        <v>47</v>
      </c>
      <c r="AJ13" s="2">
        <f t="shared" si="9"/>
        <v>58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 t="s">
        <v>48</v>
      </c>
      <c r="B14" s="2" t="s">
        <v>39</v>
      </c>
      <c r="C14" s="2">
        <v>107.111</v>
      </c>
      <c r="D14" s="2">
        <v>87.805000000000007</v>
      </c>
      <c r="E14" s="2">
        <v>118.73099999999999</v>
      </c>
      <c r="F14" s="2">
        <v>69.468999999999994</v>
      </c>
      <c r="G14" s="3">
        <v>1</v>
      </c>
      <c r="H14" s="2">
        <v>60</v>
      </c>
      <c r="I14" s="2" t="s">
        <v>37</v>
      </c>
      <c r="J14" s="2"/>
      <c r="K14" s="2">
        <v>114.8</v>
      </c>
      <c r="L14" s="2">
        <f t="shared" si="3"/>
        <v>3.9309999999999974</v>
      </c>
      <c r="M14" s="2"/>
      <c r="N14" s="2"/>
      <c r="O14" s="2">
        <v>50</v>
      </c>
      <c r="P14" s="2"/>
      <c r="Q14" s="2">
        <f t="shared" si="4"/>
        <v>23.746199999999998</v>
      </c>
      <c r="R14" s="15">
        <f t="shared" si="10"/>
        <v>212.9778</v>
      </c>
      <c r="S14" s="15">
        <f t="shared" si="11"/>
        <v>213</v>
      </c>
      <c r="T14" s="15">
        <f t="shared" si="6"/>
        <v>95</v>
      </c>
      <c r="U14" s="15">
        <f t="shared" si="13"/>
        <v>118</v>
      </c>
      <c r="V14" s="15"/>
      <c r="W14" s="2"/>
      <c r="X14" s="2">
        <f t="shared" si="7"/>
        <v>14.000934886423934</v>
      </c>
      <c r="Y14" s="2">
        <f t="shared" si="5"/>
        <v>5.0310786567956134</v>
      </c>
      <c r="Z14" s="2">
        <v>16.982600000000001</v>
      </c>
      <c r="AA14" s="2">
        <v>18.790800000000001</v>
      </c>
      <c r="AB14" s="2">
        <v>20.5336</v>
      </c>
      <c r="AC14" s="2">
        <v>13.9848</v>
      </c>
      <c r="AD14" s="2">
        <v>29.025600000000001</v>
      </c>
      <c r="AE14" s="2">
        <v>23.8262</v>
      </c>
      <c r="AF14" s="2">
        <v>16.108799999999999</v>
      </c>
      <c r="AG14" s="2">
        <v>23.488800000000001</v>
      </c>
      <c r="AH14" s="2"/>
      <c r="AI14" s="2">
        <f t="shared" si="8"/>
        <v>95</v>
      </c>
      <c r="AJ14" s="2">
        <f t="shared" si="9"/>
        <v>118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 t="s">
        <v>49</v>
      </c>
      <c r="B15" s="2" t="s">
        <v>36</v>
      </c>
      <c r="C15" s="2">
        <v>393</v>
      </c>
      <c r="D15" s="2">
        <v>7</v>
      </c>
      <c r="E15" s="2">
        <v>222</v>
      </c>
      <c r="F15" s="2">
        <v>170</v>
      </c>
      <c r="G15" s="3">
        <v>0.25</v>
      </c>
      <c r="H15" s="2">
        <v>120</v>
      </c>
      <c r="I15" s="2" t="s">
        <v>37</v>
      </c>
      <c r="J15" s="2"/>
      <c r="K15" s="2">
        <v>222</v>
      </c>
      <c r="L15" s="2">
        <f t="shared" si="3"/>
        <v>0</v>
      </c>
      <c r="M15" s="2"/>
      <c r="N15" s="2"/>
      <c r="O15" s="2">
        <v>0</v>
      </c>
      <c r="P15" s="2"/>
      <c r="Q15" s="2">
        <f t="shared" si="4"/>
        <v>44.4</v>
      </c>
      <c r="R15" s="15">
        <f>13*Q15-P15-O15-F15</f>
        <v>407.19999999999993</v>
      </c>
      <c r="S15" s="15">
        <f>V15</f>
        <v>500</v>
      </c>
      <c r="T15" s="15">
        <f t="shared" si="6"/>
        <v>223</v>
      </c>
      <c r="U15" s="15">
        <f t="shared" si="13"/>
        <v>277</v>
      </c>
      <c r="V15" s="15">
        <v>500</v>
      </c>
      <c r="W15" s="2"/>
      <c r="X15" s="2">
        <f t="shared" si="7"/>
        <v>15.09009009009009</v>
      </c>
      <c r="Y15" s="2">
        <f t="shared" si="5"/>
        <v>3.8288288288288288</v>
      </c>
      <c r="Z15" s="2">
        <v>23.6</v>
      </c>
      <c r="AA15" s="2">
        <v>29.4</v>
      </c>
      <c r="AB15" s="2">
        <v>42.8</v>
      </c>
      <c r="AC15" s="2">
        <v>25.8</v>
      </c>
      <c r="AD15" s="2">
        <v>38.200000000000003</v>
      </c>
      <c r="AE15" s="2">
        <v>30</v>
      </c>
      <c r="AF15" s="2">
        <v>22.2</v>
      </c>
      <c r="AG15" s="2">
        <v>33.799999999999997</v>
      </c>
      <c r="AH15" s="2"/>
      <c r="AI15" s="2">
        <f t="shared" si="8"/>
        <v>55.75</v>
      </c>
      <c r="AJ15" s="2">
        <f t="shared" si="9"/>
        <v>69.25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 t="s">
        <v>50</v>
      </c>
      <c r="B16" s="2" t="s">
        <v>36</v>
      </c>
      <c r="C16" s="2">
        <v>174</v>
      </c>
      <c r="D16" s="2">
        <v>91</v>
      </c>
      <c r="E16" s="2">
        <v>113</v>
      </c>
      <c r="F16" s="2">
        <v>69</v>
      </c>
      <c r="G16" s="3">
        <v>0.4</v>
      </c>
      <c r="H16" s="2">
        <v>60</v>
      </c>
      <c r="I16" s="2" t="s">
        <v>37</v>
      </c>
      <c r="J16" s="2"/>
      <c r="K16" s="2">
        <v>111</v>
      </c>
      <c r="L16" s="2">
        <f t="shared" si="3"/>
        <v>2</v>
      </c>
      <c r="M16" s="2"/>
      <c r="N16" s="2"/>
      <c r="O16" s="2">
        <v>0</v>
      </c>
      <c r="P16" s="2"/>
      <c r="Q16" s="2">
        <f t="shared" si="4"/>
        <v>22.6</v>
      </c>
      <c r="R16" s="15">
        <f>10*Q16-P16-O16-F16</f>
        <v>157</v>
      </c>
      <c r="S16" s="15">
        <f t="shared" si="11"/>
        <v>157</v>
      </c>
      <c r="T16" s="15">
        <f t="shared" si="6"/>
        <v>70</v>
      </c>
      <c r="U16" s="15">
        <f t="shared" si="13"/>
        <v>87</v>
      </c>
      <c r="V16" s="15"/>
      <c r="W16" s="2"/>
      <c r="X16" s="2">
        <f t="shared" si="7"/>
        <v>10</v>
      </c>
      <c r="Y16" s="2">
        <f t="shared" si="5"/>
        <v>3.053097345132743</v>
      </c>
      <c r="Z16" s="2">
        <v>8.1999999999999993</v>
      </c>
      <c r="AA16" s="2">
        <v>16</v>
      </c>
      <c r="AB16" s="2">
        <v>6.6</v>
      </c>
      <c r="AC16" s="2">
        <v>-0.4</v>
      </c>
      <c r="AD16" s="2">
        <v>34</v>
      </c>
      <c r="AE16" s="2">
        <v>15.4</v>
      </c>
      <c r="AF16" s="2">
        <v>7.8</v>
      </c>
      <c r="AG16" s="2">
        <v>20.399999999999999</v>
      </c>
      <c r="AH16" s="2"/>
      <c r="AI16" s="2">
        <f t="shared" si="8"/>
        <v>28</v>
      </c>
      <c r="AJ16" s="2">
        <f t="shared" si="9"/>
        <v>34.800000000000004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 t="s">
        <v>51</v>
      </c>
      <c r="B17" s="2" t="s">
        <v>39</v>
      </c>
      <c r="C17" s="2">
        <v>185.53200000000001</v>
      </c>
      <c r="D17" s="2">
        <v>179.51300000000001</v>
      </c>
      <c r="E17" s="2">
        <v>203.803</v>
      </c>
      <c r="F17" s="2">
        <v>147.78399999999999</v>
      </c>
      <c r="G17" s="3">
        <v>1</v>
      </c>
      <c r="H17" s="2">
        <v>45</v>
      </c>
      <c r="I17" s="2" t="s">
        <v>37</v>
      </c>
      <c r="J17" s="2"/>
      <c r="K17" s="2">
        <v>187.4</v>
      </c>
      <c r="L17" s="2">
        <f t="shared" si="3"/>
        <v>16.402999999999992</v>
      </c>
      <c r="M17" s="2"/>
      <c r="N17" s="2"/>
      <c r="O17" s="2">
        <v>0</v>
      </c>
      <c r="P17" s="2">
        <v>111</v>
      </c>
      <c r="Q17" s="2">
        <f t="shared" si="4"/>
        <v>40.760599999999997</v>
      </c>
      <c r="R17" s="15">
        <f t="shared" si="10"/>
        <v>311.86439999999993</v>
      </c>
      <c r="S17" s="15">
        <f t="shared" si="11"/>
        <v>312</v>
      </c>
      <c r="T17" s="15">
        <f t="shared" si="6"/>
        <v>139</v>
      </c>
      <c r="U17" s="15">
        <f t="shared" si="13"/>
        <v>173</v>
      </c>
      <c r="V17" s="15"/>
      <c r="W17" s="2"/>
      <c r="X17" s="2">
        <f t="shared" si="7"/>
        <v>14.003326742000855</v>
      </c>
      <c r="Y17" s="2">
        <f t="shared" si="5"/>
        <v>6.3488761205674109</v>
      </c>
      <c r="Z17" s="2">
        <v>32.8872</v>
      </c>
      <c r="AA17" s="2">
        <v>37.010800000000003</v>
      </c>
      <c r="AB17" s="2">
        <v>18.934000000000001</v>
      </c>
      <c r="AC17" s="2">
        <v>39.348999999999997</v>
      </c>
      <c r="AD17" s="2">
        <v>38.210999999999999</v>
      </c>
      <c r="AE17" s="2">
        <v>32.492400000000004</v>
      </c>
      <c r="AF17" s="2">
        <v>29.880199999999999</v>
      </c>
      <c r="AG17" s="2">
        <v>42.694200000000002</v>
      </c>
      <c r="AH17" s="2" t="s">
        <v>52</v>
      </c>
      <c r="AI17" s="2">
        <f t="shared" si="8"/>
        <v>139</v>
      </c>
      <c r="AJ17" s="2">
        <f t="shared" si="9"/>
        <v>173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2" t="s">
        <v>53</v>
      </c>
      <c r="B18" s="2" t="s">
        <v>36</v>
      </c>
      <c r="C18" s="2">
        <v>135</v>
      </c>
      <c r="D18" s="2">
        <v>4</v>
      </c>
      <c r="E18" s="2">
        <v>132</v>
      </c>
      <c r="F18" s="2">
        <v>-1</v>
      </c>
      <c r="G18" s="3">
        <v>0.12</v>
      </c>
      <c r="H18" s="2">
        <v>60</v>
      </c>
      <c r="I18" s="12" t="s">
        <v>54</v>
      </c>
      <c r="J18" s="2"/>
      <c r="K18" s="2">
        <v>132</v>
      </c>
      <c r="L18" s="2">
        <f t="shared" si="3"/>
        <v>0</v>
      </c>
      <c r="M18" s="2"/>
      <c r="N18" s="2"/>
      <c r="O18" s="2">
        <v>0</v>
      </c>
      <c r="P18" s="2"/>
      <c r="Q18" s="2">
        <f t="shared" si="4"/>
        <v>26.4</v>
      </c>
      <c r="R18" s="15">
        <f>9*Q18-P18-O18-F18</f>
        <v>238.6</v>
      </c>
      <c r="S18" s="15">
        <f>V18</f>
        <v>310</v>
      </c>
      <c r="T18" s="15">
        <f t="shared" si="6"/>
        <v>138</v>
      </c>
      <c r="U18" s="15">
        <f t="shared" si="13"/>
        <v>172</v>
      </c>
      <c r="V18" s="15">
        <v>310</v>
      </c>
      <c r="W18" s="2"/>
      <c r="X18" s="2">
        <f t="shared" si="7"/>
        <v>11.704545454545455</v>
      </c>
      <c r="Y18" s="2">
        <f t="shared" si="5"/>
        <v>-3.787878787878788E-2</v>
      </c>
      <c r="Z18" s="2">
        <v>16</v>
      </c>
      <c r="AA18" s="2">
        <v>29.6</v>
      </c>
      <c r="AB18" s="2">
        <v>24.8</v>
      </c>
      <c r="AC18" s="2">
        <v>31.8</v>
      </c>
      <c r="AD18" s="2">
        <v>41.2</v>
      </c>
      <c r="AE18" s="2">
        <v>31</v>
      </c>
      <c r="AF18" s="2">
        <v>29.8</v>
      </c>
      <c r="AG18" s="2">
        <v>32.4</v>
      </c>
      <c r="AH18" s="12" t="s">
        <v>55</v>
      </c>
      <c r="AI18" s="2">
        <f t="shared" si="8"/>
        <v>16.559999999999999</v>
      </c>
      <c r="AJ18" s="2">
        <f t="shared" si="9"/>
        <v>20.64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7" t="s">
        <v>56</v>
      </c>
      <c r="B19" s="7" t="s">
        <v>36</v>
      </c>
      <c r="C19" s="7">
        <v>5</v>
      </c>
      <c r="D19" s="7">
        <v>57</v>
      </c>
      <c r="E19" s="7">
        <v>12</v>
      </c>
      <c r="F19" s="7">
        <v>-1</v>
      </c>
      <c r="G19" s="8">
        <v>0</v>
      </c>
      <c r="H19" s="7">
        <v>120</v>
      </c>
      <c r="I19" s="7" t="s">
        <v>57</v>
      </c>
      <c r="J19" s="7"/>
      <c r="K19" s="7">
        <v>41</v>
      </c>
      <c r="L19" s="7">
        <f t="shared" si="3"/>
        <v>-29</v>
      </c>
      <c r="M19" s="7"/>
      <c r="N19" s="7"/>
      <c r="O19" s="7">
        <v>0</v>
      </c>
      <c r="P19" s="7"/>
      <c r="Q19" s="7">
        <f t="shared" si="4"/>
        <v>2.4</v>
      </c>
      <c r="R19" s="16"/>
      <c r="S19" s="15">
        <f t="shared" si="11"/>
        <v>0</v>
      </c>
      <c r="T19" s="15">
        <f t="shared" si="6"/>
        <v>0</v>
      </c>
      <c r="U19" s="15"/>
      <c r="V19" s="16"/>
      <c r="W19" s="7"/>
      <c r="X19" s="2">
        <f t="shared" si="7"/>
        <v>-0.41666666666666669</v>
      </c>
      <c r="Y19" s="7">
        <f t="shared" si="5"/>
        <v>-0.41666666666666669</v>
      </c>
      <c r="Z19" s="7">
        <v>1.8</v>
      </c>
      <c r="AA19" s="7">
        <v>0.4</v>
      </c>
      <c r="AB19" s="7">
        <v>-0.2</v>
      </c>
      <c r="AC19" s="7">
        <v>-0.4</v>
      </c>
      <c r="AD19" s="7">
        <v>29</v>
      </c>
      <c r="AE19" s="7">
        <v>37.200000000000003</v>
      </c>
      <c r="AF19" s="7">
        <v>32.200000000000003</v>
      </c>
      <c r="AG19" s="7">
        <v>48.4</v>
      </c>
      <c r="AH19" s="7" t="s">
        <v>58</v>
      </c>
      <c r="AI19" s="2">
        <f t="shared" si="8"/>
        <v>0</v>
      </c>
      <c r="AJ19" s="2">
        <f t="shared" si="9"/>
        <v>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2" t="s">
        <v>59</v>
      </c>
      <c r="B20" s="2" t="s">
        <v>39</v>
      </c>
      <c r="C20" s="2">
        <v>0.496</v>
      </c>
      <c r="D20" s="2">
        <v>27.812000000000001</v>
      </c>
      <c r="E20" s="2">
        <v>5.468</v>
      </c>
      <c r="F20" s="2">
        <v>22.84</v>
      </c>
      <c r="G20" s="3">
        <v>1</v>
      </c>
      <c r="H20" s="2">
        <v>120</v>
      </c>
      <c r="I20" s="2" t="s">
        <v>37</v>
      </c>
      <c r="J20" s="2"/>
      <c r="K20" s="2">
        <v>5.9</v>
      </c>
      <c r="L20" s="2">
        <f t="shared" si="3"/>
        <v>-0.43200000000000038</v>
      </c>
      <c r="M20" s="2"/>
      <c r="N20" s="2"/>
      <c r="O20" s="2">
        <v>0</v>
      </c>
      <c r="P20" s="2"/>
      <c r="Q20" s="2">
        <f t="shared" si="4"/>
        <v>1.0935999999999999</v>
      </c>
      <c r="R20" s="15"/>
      <c r="S20" s="15">
        <f t="shared" si="11"/>
        <v>0</v>
      </c>
      <c r="T20" s="15">
        <f t="shared" si="6"/>
        <v>0</v>
      </c>
      <c r="U20" s="15"/>
      <c r="V20" s="15"/>
      <c r="W20" s="2"/>
      <c r="X20" s="2">
        <f t="shared" si="7"/>
        <v>20.885149963423558</v>
      </c>
      <c r="Y20" s="2">
        <f t="shared" si="5"/>
        <v>20.885149963423558</v>
      </c>
      <c r="Z20" s="2">
        <v>9.7000000000000003E-2</v>
      </c>
      <c r="AA20" s="2">
        <v>2.7824</v>
      </c>
      <c r="AB20" s="2">
        <v>0.995</v>
      </c>
      <c r="AC20" s="2">
        <v>0</v>
      </c>
      <c r="AD20" s="2">
        <v>2.3534000000000002</v>
      </c>
      <c r="AE20" s="2">
        <v>1.1252</v>
      </c>
      <c r="AF20" s="2">
        <v>1.0216000000000001</v>
      </c>
      <c r="AG20" s="2">
        <v>1.1272</v>
      </c>
      <c r="AH20" s="2"/>
      <c r="AI20" s="2">
        <f t="shared" si="8"/>
        <v>0</v>
      </c>
      <c r="AJ20" s="2">
        <f t="shared" si="9"/>
        <v>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2" t="s">
        <v>60</v>
      </c>
      <c r="B21" s="2" t="s">
        <v>36</v>
      </c>
      <c r="C21" s="2">
        <v>314</v>
      </c>
      <c r="D21" s="2">
        <v>14</v>
      </c>
      <c r="E21" s="2">
        <v>103</v>
      </c>
      <c r="F21" s="2">
        <v>207</v>
      </c>
      <c r="G21" s="3">
        <v>0.4</v>
      </c>
      <c r="H21" s="2">
        <v>45</v>
      </c>
      <c r="I21" s="2" t="s">
        <v>37</v>
      </c>
      <c r="J21" s="2"/>
      <c r="K21" s="2">
        <v>104</v>
      </c>
      <c r="L21" s="2">
        <f t="shared" si="3"/>
        <v>-1</v>
      </c>
      <c r="M21" s="2"/>
      <c r="N21" s="2"/>
      <c r="O21" s="2">
        <v>0</v>
      </c>
      <c r="P21" s="2"/>
      <c r="Q21" s="2">
        <f t="shared" si="4"/>
        <v>20.6</v>
      </c>
      <c r="R21" s="15">
        <f t="shared" ref="R21:R35" si="14">14*Q21-P21-O21-F21</f>
        <v>81.400000000000034</v>
      </c>
      <c r="S21" s="15">
        <f t="shared" si="11"/>
        <v>81</v>
      </c>
      <c r="T21" s="15">
        <f t="shared" si="6"/>
        <v>36</v>
      </c>
      <c r="U21" s="15">
        <f t="shared" ref="U21:U23" si="15">ROUND(S21/$U$1,0)</f>
        <v>45</v>
      </c>
      <c r="V21" s="15"/>
      <c r="W21" s="2"/>
      <c r="X21" s="2">
        <f t="shared" si="7"/>
        <v>13.980582524271844</v>
      </c>
      <c r="Y21" s="2">
        <f t="shared" si="5"/>
        <v>10.048543689320388</v>
      </c>
      <c r="Z21" s="2">
        <v>10.8</v>
      </c>
      <c r="AA21" s="2">
        <v>14.6</v>
      </c>
      <c r="AB21" s="2">
        <v>38.200000000000003</v>
      </c>
      <c r="AC21" s="2">
        <v>18.8</v>
      </c>
      <c r="AD21" s="2">
        <v>26.6</v>
      </c>
      <c r="AE21" s="2">
        <v>26.8</v>
      </c>
      <c r="AF21" s="2">
        <v>16.2</v>
      </c>
      <c r="AG21" s="2">
        <v>20.8</v>
      </c>
      <c r="AH21" s="2" t="s">
        <v>52</v>
      </c>
      <c r="AI21" s="2">
        <f t="shared" si="8"/>
        <v>14.4</v>
      </c>
      <c r="AJ21" s="2">
        <f t="shared" si="9"/>
        <v>18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2" t="s">
        <v>61</v>
      </c>
      <c r="B22" s="2" t="s">
        <v>39</v>
      </c>
      <c r="C22" s="2">
        <v>163.739</v>
      </c>
      <c r="D22" s="2">
        <v>122.446</v>
      </c>
      <c r="E22" s="2">
        <v>211.99700000000001</v>
      </c>
      <c r="F22" s="2">
        <v>67.790999999999997</v>
      </c>
      <c r="G22" s="3">
        <v>1</v>
      </c>
      <c r="H22" s="2">
        <v>60</v>
      </c>
      <c r="I22" s="2" t="s">
        <v>37</v>
      </c>
      <c r="J22" s="2"/>
      <c r="K22" s="2">
        <v>197.6</v>
      </c>
      <c r="L22" s="2">
        <f t="shared" si="3"/>
        <v>14.39700000000002</v>
      </c>
      <c r="M22" s="2"/>
      <c r="N22" s="2"/>
      <c r="O22" s="2">
        <v>8</v>
      </c>
      <c r="P22" s="2"/>
      <c r="Q22" s="2">
        <f t="shared" si="4"/>
        <v>42.3994</v>
      </c>
      <c r="R22" s="15">
        <f>11*Q22-P22-O22-F22</f>
        <v>390.60239999999999</v>
      </c>
      <c r="S22" s="15">
        <f t="shared" ref="S22:S23" si="16">V22</f>
        <v>450</v>
      </c>
      <c r="T22" s="15">
        <f t="shared" si="6"/>
        <v>201</v>
      </c>
      <c r="U22" s="15">
        <f t="shared" si="15"/>
        <v>249</v>
      </c>
      <c r="V22" s="15">
        <v>450</v>
      </c>
      <c r="W22" s="2"/>
      <c r="X22" s="2">
        <f t="shared" si="7"/>
        <v>12.400906616603065</v>
      </c>
      <c r="Y22" s="2">
        <f t="shared" si="5"/>
        <v>1.787548880408685</v>
      </c>
      <c r="Z22" s="2">
        <v>20.283200000000001</v>
      </c>
      <c r="AA22" s="2">
        <v>25.443200000000001</v>
      </c>
      <c r="AB22" s="2">
        <v>28.674199999999999</v>
      </c>
      <c r="AC22" s="2">
        <v>23.243400000000001</v>
      </c>
      <c r="AD22" s="2">
        <v>28.889800000000001</v>
      </c>
      <c r="AE22" s="2">
        <v>28.033000000000001</v>
      </c>
      <c r="AF22" s="2">
        <v>24.1966</v>
      </c>
      <c r="AG22" s="2">
        <v>24.975000000000001</v>
      </c>
      <c r="AH22" s="2"/>
      <c r="AI22" s="2">
        <f t="shared" si="8"/>
        <v>201</v>
      </c>
      <c r="AJ22" s="2">
        <f t="shared" si="9"/>
        <v>249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2" t="s">
        <v>62</v>
      </c>
      <c r="B23" s="2" t="s">
        <v>36</v>
      </c>
      <c r="C23" s="2">
        <v>198</v>
      </c>
      <c r="D23" s="2">
        <v>124</v>
      </c>
      <c r="E23" s="2">
        <v>194</v>
      </c>
      <c r="F23" s="2">
        <v>27</v>
      </c>
      <c r="G23" s="3">
        <v>0.22</v>
      </c>
      <c r="H23" s="2">
        <v>120</v>
      </c>
      <c r="I23" s="2" t="s">
        <v>37</v>
      </c>
      <c r="J23" s="2"/>
      <c r="K23" s="2">
        <v>194</v>
      </c>
      <c r="L23" s="2">
        <f t="shared" si="3"/>
        <v>0</v>
      </c>
      <c r="M23" s="2"/>
      <c r="N23" s="2"/>
      <c r="O23" s="2">
        <v>150</v>
      </c>
      <c r="P23" s="2"/>
      <c r="Q23" s="2">
        <f t="shared" si="4"/>
        <v>38.799999999999997</v>
      </c>
      <c r="R23" s="15">
        <f t="shared" si="14"/>
        <v>366.19999999999993</v>
      </c>
      <c r="S23" s="15">
        <f t="shared" si="16"/>
        <v>450</v>
      </c>
      <c r="T23" s="15">
        <f t="shared" si="6"/>
        <v>201</v>
      </c>
      <c r="U23" s="15">
        <f t="shared" si="15"/>
        <v>249</v>
      </c>
      <c r="V23" s="15">
        <v>450</v>
      </c>
      <c r="W23" s="2"/>
      <c r="X23" s="2">
        <f t="shared" si="7"/>
        <v>16.159793814432991</v>
      </c>
      <c r="Y23" s="2">
        <f t="shared" si="5"/>
        <v>4.5618556701030935</v>
      </c>
      <c r="Z23" s="2">
        <v>24.4</v>
      </c>
      <c r="AA23" s="2">
        <v>24.2</v>
      </c>
      <c r="AB23" s="2">
        <v>28.6</v>
      </c>
      <c r="AC23" s="2">
        <v>17.600000000000001</v>
      </c>
      <c r="AD23" s="2">
        <v>27.8</v>
      </c>
      <c r="AE23" s="2">
        <v>25.8</v>
      </c>
      <c r="AF23" s="2">
        <v>10.8</v>
      </c>
      <c r="AG23" s="2">
        <v>26</v>
      </c>
      <c r="AH23" s="2"/>
      <c r="AI23" s="2">
        <f t="shared" si="8"/>
        <v>44.22</v>
      </c>
      <c r="AJ23" s="2">
        <f t="shared" si="9"/>
        <v>54.78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2" t="s">
        <v>63</v>
      </c>
      <c r="B24" s="2" t="s">
        <v>36</v>
      </c>
      <c r="C24" s="2">
        <v>19</v>
      </c>
      <c r="D24" s="2"/>
      <c r="E24" s="2">
        <v>-2</v>
      </c>
      <c r="F24" s="2"/>
      <c r="G24" s="3">
        <v>0.4</v>
      </c>
      <c r="H24" s="2">
        <v>60</v>
      </c>
      <c r="I24" s="12" t="s">
        <v>54</v>
      </c>
      <c r="J24" s="2"/>
      <c r="K24" s="2">
        <v>2</v>
      </c>
      <c r="L24" s="2">
        <f t="shared" si="3"/>
        <v>-4</v>
      </c>
      <c r="M24" s="2"/>
      <c r="N24" s="2"/>
      <c r="O24" s="2">
        <v>0</v>
      </c>
      <c r="P24" s="2"/>
      <c r="Q24" s="2">
        <f t="shared" si="4"/>
        <v>-0.4</v>
      </c>
      <c r="R24" s="15">
        <v>16</v>
      </c>
      <c r="S24" s="15">
        <f t="shared" si="11"/>
        <v>16</v>
      </c>
      <c r="T24" s="15">
        <f t="shared" si="6"/>
        <v>16</v>
      </c>
      <c r="U24" s="15"/>
      <c r="V24" s="15"/>
      <c r="W24" s="2"/>
      <c r="X24" s="2">
        <f t="shared" si="7"/>
        <v>-40</v>
      </c>
      <c r="Y24" s="2">
        <f t="shared" si="5"/>
        <v>0</v>
      </c>
      <c r="Z24" s="2">
        <v>0</v>
      </c>
      <c r="AA24" s="2">
        <v>1.2</v>
      </c>
      <c r="AB24" s="2">
        <v>0.2</v>
      </c>
      <c r="AC24" s="2">
        <v>0</v>
      </c>
      <c r="AD24" s="2">
        <v>0.2</v>
      </c>
      <c r="AE24" s="2">
        <v>0.2</v>
      </c>
      <c r="AF24" s="2">
        <v>0.6</v>
      </c>
      <c r="AG24" s="2">
        <v>0</v>
      </c>
      <c r="AH24" s="2" t="s">
        <v>64</v>
      </c>
      <c r="AI24" s="2">
        <f t="shared" si="8"/>
        <v>6.4</v>
      </c>
      <c r="AJ24" s="2">
        <f t="shared" si="9"/>
        <v>0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2" t="s">
        <v>65</v>
      </c>
      <c r="B25" s="2" t="s">
        <v>36</v>
      </c>
      <c r="C25" s="2">
        <v>70</v>
      </c>
      <c r="D25" s="2"/>
      <c r="E25" s="2">
        <v>11</v>
      </c>
      <c r="F25" s="2">
        <v>58</v>
      </c>
      <c r="G25" s="3">
        <v>0.15</v>
      </c>
      <c r="H25" s="2">
        <v>45</v>
      </c>
      <c r="I25" s="2" t="s">
        <v>37</v>
      </c>
      <c r="J25" s="2"/>
      <c r="K25" s="2">
        <v>12</v>
      </c>
      <c r="L25" s="2">
        <f t="shared" si="3"/>
        <v>-1</v>
      </c>
      <c r="M25" s="2"/>
      <c r="N25" s="2"/>
      <c r="O25" s="2">
        <v>0</v>
      </c>
      <c r="P25" s="2"/>
      <c r="Q25" s="2">
        <f t="shared" si="4"/>
        <v>2.2000000000000002</v>
      </c>
      <c r="R25" s="15"/>
      <c r="S25" s="15">
        <f t="shared" si="11"/>
        <v>0</v>
      </c>
      <c r="T25" s="15">
        <f t="shared" si="6"/>
        <v>0</v>
      </c>
      <c r="U25" s="15"/>
      <c r="V25" s="15"/>
      <c r="W25" s="2"/>
      <c r="X25" s="2">
        <f t="shared" si="7"/>
        <v>26.36363636363636</v>
      </c>
      <c r="Y25" s="2">
        <f t="shared" si="5"/>
        <v>26.36363636363636</v>
      </c>
      <c r="Z25" s="2">
        <v>1.6</v>
      </c>
      <c r="AA25" s="2">
        <v>0.6</v>
      </c>
      <c r="AB25" s="2">
        <v>1.6</v>
      </c>
      <c r="AC25" s="2">
        <v>2</v>
      </c>
      <c r="AD25" s="2">
        <v>1.4</v>
      </c>
      <c r="AE25" s="2">
        <v>12.2</v>
      </c>
      <c r="AF25" s="2">
        <v>0</v>
      </c>
      <c r="AG25" s="2">
        <v>0</v>
      </c>
      <c r="AH25" s="17" t="s">
        <v>66</v>
      </c>
      <c r="AI25" s="2">
        <f t="shared" si="8"/>
        <v>0</v>
      </c>
      <c r="AJ25" s="2">
        <f t="shared" si="9"/>
        <v>0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" t="s">
        <v>67</v>
      </c>
      <c r="B26" s="2" t="s">
        <v>39</v>
      </c>
      <c r="C26" s="2"/>
      <c r="D26" s="2">
        <v>32.767000000000003</v>
      </c>
      <c r="E26" s="2">
        <v>27.288</v>
      </c>
      <c r="F26" s="2">
        <v>5.4790000000000001</v>
      </c>
      <c r="G26" s="3">
        <v>1</v>
      </c>
      <c r="H26" s="2">
        <v>60</v>
      </c>
      <c r="I26" s="2" t="s">
        <v>37</v>
      </c>
      <c r="J26" s="2"/>
      <c r="K26" s="2">
        <v>25.2</v>
      </c>
      <c r="L26" s="2">
        <f t="shared" si="3"/>
        <v>2.088000000000001</v>
      </c>
      <c r="M26" s="2"/>
      <c r="N26" s="2"/>
      <c r="O26" s="2">
        <v>120</v>
      </c>
      <c r="P26" s="2"/>
      <c r="Q26" s="2">
        <f t="shared" si="4"/>
        <v>5.4576000000000002</v>
      </c>
      <c r="R26" s="15"/>
      <c r="S26" s="15">
        <f t="shared" ref="S26:S27" si="17">V26</f>
        <v>50</v>
      </c>
      <c r="T26" s="15">
        <f t="shared" si="6"/>
        <v>0</v>
      </c>
      <c r="U26" s="15">
        <f>V26</f>
        <v>50</v>
      </c>
      <c r="V26" s="15">
        <v>50</v>
      </c>
      <c r="W26" s="2"/>
      <c r="X26" s="2">
        <f t="shared" si="7"/>
        <v>32.15314423922603</v>
      </c>
      <c r="Y26" s="2">
        <f t="shared" si="5"/>
        <v>22.991608032834943</v>
      </c>
      <c r="Z26" s="2">
        <v>5.1277999999999997</v>
      </c>
      <c r="AA26" s="2">
        <v>4.0629999999999997</v>
      </c>
      <c r="AB26" s="2">
        <v>1.3675999999999999</v>
      </c>
      <c r="AC26" s="2">
        <v>0</v>
      </c>
      <c r="AD26" s="2">
        <v>0</v>
      </c>
      <c r="AE26" s="2">
        <v>10.441800000000001</v>
      </c>
      <c r="AF26" s="2">
        <v>0</v>
      </c>
      <c r="AG26" s="2">
        <v>0</v>
      </c>
      <c r="AH26" s="2"/>
      <c r="AI26" s="2">
        <f t="shared" si="8"/>
        <v>0</v>
      </c>
      <c r="AJ26" s="2">
        <f t="shared" si="9"/>
        <v>50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2" t="s">
        <v>68</v>
      </c>
      <c r="B27" s="2" t="s">
        <v>36</v>
      </c>
      <c r="C27" s="2">
        <v>37</v>
      </c>
      <c r="D27" s="2">
        <v>46</v>
      </c>
      <c r="E27" s="2">
        <v>63</v>
      </c>
      <c r="F27" s="2">
        <v>-1</v>
      </c>
      <c r="G27" s="3">
        <v>0.09</v>
      </c>
      <c r="H27" s="2">
        <v>60</v>
      </c>
      <c r="I27" s="2" t="s">
        <v>37</v>
      </c>
      <c r="J27" s="2"/>
      <c r="K27" s="2">
        <v>112</v>
      </c>
      <c r="L27" s="2">
        <f t="shared" si="3"/>
        <v>-49</v>
      </c>
      <c r="M27" s="2"/>
      <c r="N27" s="2"/>
      <c r="O27" s="2">
        <v>54</v>
      </c>
      <c r="P27" s="2"/>
      <c r="Q27" s="2">
        <f t="shared" si="4"/>
        <v>12.6</v>
      </c>
      <c r="R27" s="15">
        <f>13*Q27-P27-O27-F27</f>
        <v>110.79999999999998</v>
      </c>
      <c r="S27" s="15">
        <f t="shared" si="17"/>
        <v>150</v>
      </c>
      <c r="T27" s="15">
        <f t="shared" si="6"/>
        <v>150</v>
      </c>
      <c r="U27" s="15"/>
      <c r="V27" s="15">
        <v>150</v>
      </c>
      <c r="W27" s="2"/>
      <c r="X27" s="2">
        <f t="shared" si="7"/>
        <v>16.111111111111111</v>
      </c>
      <c r="Y27" s="2">
        <f t="shared" si="5"/>
        <v>4.2063492063492065</v>
      </c>
      <c r="Z27" s="2">
        <v>9.8000000000000007</v>
      </c>
      <c r="AA27" s="2">
        <v>9.4</v>
      </c>
      <c r="AB27" s="2">
        <v>9</v>
      </c>
      <c r="AC27" s="2">
        <v>12.2</v>
      </c>
      <c r="AD27" s="2">
        <v>16.8</v>
      </c>
      <c r="AE27" s="2">
        <v>12</v>
      </c>
      <c r="AF27" s="2">
        <v>14.6</v>
      </c>
      <c r="AG27" s="2">
        <v>5.2</v>
      </c>
      <c r="AH27" s="2"/>
      <c r="AI27" s="2">
        <f t="shared" si="8"/>
        <v>13.5</v>
      </c>
      <c r="AJ27" s="2">
        <f t="shared" si="9"/>
        <v>0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 t="s">
        <v>69</v>
      </c>
      <c r="B28" s="2" t="s">
        <v>36</v>
      </c>
      <c r="C28" s="2">
        <v>38</v>
      </c>
      <c r="D28" s="2">
        <v>86</v>
      </c>
      <c r="E28" s="2">
        <v>60</v>
      </c>
      <c r="F28" s="2">
        <v>33</v>
      </c>
      <c r="G28" s="3">
        <v>0.09</v>
      </c>
      <c r="H28" s="2">
        <v>45</v>
      </c>
      <c r="I28" s="2" t="s">
        <v>37</v>
      </c>
      <c r="J28" s="2"/>
      <c r="K28" s="2">
        <v>63</v>
      </c>
      <c r="L28" s="2">
        <f t="shared" si="3"/>
        <v>-3</v>
      </c>
      <c r="M28" s="2"/>
      <c r="N28" s="2"/>
      <c r="O28" s="2">
        <v>53</v>
      </c>
      <c r="P28" s="2"/>
      <c r="Q28" s="2">
        <f t="shared" si="4"/>
        <v>12</v>
      </c>
      <c r="R28" s="15">
        <f t="shared" si="14"/>
        <v>82</v>
      </c>
      <c r="S28" s="15">
        <f t="shared" si="11"/>
        <v>82</v>
      </c>
      <c r="T28" s="15">
        <f t="shared" si="6"/>
        <v>82</v>
      </c>
      <c r="U28" s="15"/>
      <c r="V28" s="15"/>
      <c r="W28" s="2"/>
      <c r="X28" s="2">
        <f t="shared" si="7"/>
        <v>14</v>
      </c>
      <c r="Y28" s="2">
        <f t="shared" si="5"/>
        <v>7.166666666666667</v>
      </c>
      <c r="Z28" s="2">
        <v>11</v>
      </c>
      <c r="AA28" s="2">
        <v>11.8</v>
      </c>
      <c r="AB28" s="2">
        <v>12.2</v>
      </c>
      <c r="AC28" s="2">
        <v>13.4</v>
      </c>
      <c r="AD28" s="2">
        <v>15.2</v>
      </c>
      <c r="AE28" s="2">
        <v>13.8</v>
      </c>
      <c r="AF28" s="2">
        <v>10.4</v>
      </c>
      <c r="AG28" s="2">
        <v>13.6</v>
      </c>
      <c r="AH28" s="2"/>
      <c r="AI28" s="2">
        <f t="shared" si="8"/>
        <v>7.38</v>
      </c>
      <c r="AJ28" s="2">
        <f t="shared" si="9"/>
        <v>0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 t="s">
        <v>70</v>
      </c>
      <c r="B29" s="2" t="s">
        <v>36</v>
      </c>
      <c r="C29" s="2">
        <v>269</v>
      </c>
      <c r="D29" s="2">
        <v>205</v>
      </c>
      <c r="E29" s="2">
        <v>166</v>
      </c>
      <c r="F29" s="2">
        <v>196</v>
      </c>
      <c r="G29" s="3">
        <v>0.4</v>
      </c>
      <c r="H29" s="2">
        <v>60</v>
      </c>
      <c r="I29" s="2" t="s">
        <v>37</v>
      </c>
      <c r="J29" s="2"/>
      <c r="K29" s="2">
        <v>170</v>
      </c>
      <c r="L29" s="2">
        <f t="shared" si="3"/>
        <v>-4</v>
      </c>
      <c r="M29" s="2"/>
      <c r="N29" s="2"/>
      <c r="O29" s="2">
        <v>0</v>
      </c>
      <c r="P29" s="2"/>
      <c r="Q29" s="2">
        <f t="shared" si="4"/>
        <v>33.200000000000003</v>
      </c>
      <c r="R29" s="15">
        <f t="shared" si="14"/>
        <v>268.80000000000007</v>
      </c>
      <c r="S29" s="15">
        <f t="shared" si="11"/>
        <v>269</v>
      </c>
      <c r="T29" s="15">
        <f t="shared" si="6"/>
        <v>120</v>
      </c>
      <c r="U29" s="15">
        <f>ROUND(S29/$U$1,0)</f>
        <v>149</v>
      </c>
      <c r="V29" s="15"/>
      <c r="W29" s="2"/>
      <c r="X29" s="2">
        <f t="shared" si="7"/>
        <v>14.006024096385541</v>
      </c>
      <c r="Y29" s="2">
        <f t="shared" si="5"/>
        <v>5.903614457831325</v>
      </c>
      <c r="Z29" s="2">
        <v>10.4</v>
      </c>
      <c r="AA29" s="2">
        <v>28.6</v>
      </c>
      <c r="AB29" s="2">
        <v>30.8</v>
      </c>
      <c r="AC29" s="2">
        <v>21.6</v>
      </c>
      <c r="AD29" s="2">
        <v>25</v>
      </c>
      <c r="AE29" s="2">
        <v>30.4</v>
      </c>
      <c r="AF29" s="2">
        <v>26.4</v>
      </c>
      <c r="AG29" s="2">
        <v>32.799999999999997</v>
      </c>
      <c r="AH29" s="2"/>
      <c r="AI29" s="2">
        <f t="shared" si="8"/>
        <v>48</v>
      </c>
      <c r="AJ29" s="2">
        <f t="shared" si="9"/>
        <v>59.6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 t="s">
        <v>71</v>
      </c>
      <c r="B30" s="2" t="s">
        <v>36</v>
      </c>
      <c r="C30" s="2">
        <v>50</v>
      </c>
      <c r="D30" s="2">
        <v>4</v>
      </c>
      <c r="E30" s="2">
        <v>44</v>
      </c>
      <c r="F30" s="2">
        <v>10</v>
      </c>
      <c r="G30" s="3">
        <v>0.15</v>
      </c>
      <c r="H30" s="2">
        <v>45</v>
      </c>
      <c r="I30" s="2" t="s">
        <v>37</v>
      </c>
      <c r="J30" s="2"/>
      <c r="K30" s="2">
        <v>44</v>
      </c>
      <c r="L30" s="2">
        <f t="shared" si="3"/>
        <v>0</v>
      </c>
      <c r="M30" s="2"/>
      <c r="N30" s="2"/>
      <c r="O30" s="2">
        <v>14</v>
      </c>
      <c r="P30" s="2"/>
      <c r="Q30" s="2">
        <f t="shared" si="4"/>
        <v>8.8000000000000007</v>
      </c>
      <c r="R30" s="15">
        <f>12*Q30-P30-O30-F30</f>
        <v>81.600000000000009</v>
      </c>
      <c r="S30" s="15">
        <f t="shared" si="11"/>
        <v>82</v>
      </c>
      <c r="T30" s="15">
        <f t="shared" si="6"/>
        <v>82</v>
      </c>
      <c r="U30" s="15"/>
      <c r="V30" s="15"/>
      <c r="W30" s="2"/>
      <c r="X30" s="2">
        <f t="shared" si="7"/>
        <v>12.045454545454545</v>
      </c>
      <c r="Y30" s="2">
        <f t="shared" si="5"/>
        <v>2.7272727272727271</v>
      </c>
      <c r="Z30" s="2">
        <v>4.4000000000000004</v>
      </c>
      <c r="AA30" s="2">
        <v>3.6</v>
      </c>
      <c r="AB30" s="2">
        <v>2</v>
      </c>
      <c r="AC30" s="2">
        <v>3.4</v>
      </c>
      <c r="AD30" s="2">
        <v>7</v>
      </c>
      <c r="AE30" s="2">
        <v>0.6</v>
      </c>
      <c r="AF30" s="2">
        <v>7</v>
      </c>
      <c r="AG30" s="2">
        <v>4.5999999999999996</v>
      </c>
      <c r="AH30" s="2"/>
      <c r="AI30" s="2">
        <f t="shared" si="8"/>
        <v>12.299999999999999</v>
      </c>
      <c r="AJ30" s="2">
        <f t="shared" si="9"/>
        <v>0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 t="s">
        <v>72</v>
      </c>
      <c r="B31" s="2" t="s">
        <v>39</v>
      </c>
      <c r="C31" s="2">
        <v>126.432</v>
      </c>
      <c r="D31" s="2">
        <v>82.444000000000003</v>
      </c>
      <c r="E31" s="2">
        <v>95.41</v>
      </c>
      <c r="F31" s="2">
        <v>110.327</v>
      </c>
      <c r="G31" s="3">
        <v>1</v>
      </c>
      <c r="H31" s="2">
        <v>45</v>
      </c>
      <c r="I31" s="2" t="s">
        <v>37</v>
      </c>
      <c r="J31" s="2"/>
      <c r="K31" s="2">
        <v>91.100999999999999</v>
      </c>
      <c r="L31" s="2">
        <f t="shared" si="3"/>
        <v>4.3089999999999975</v>
      </c>
      <c r="M31" s="2"/>
      <c r="N31" s="2"/>
      <c r="O31" s="2">
        <v>30</v>
      </c>
      <c r="P31" s="2"/>
      <c r="Q31" s="2">
        <f t="shared" si="4"/>
        <v>19.082000000000001</v>
      </c>
      <c r="R31" s="15">
        <f t="shared" si="14"/>
        <v>126.82100000000003</v>
      </c>
      <c r="S31" s="15">
        <f t="shared" si="11"/>
        <v>127</v>
      </c>
      <c r="T31" s="15">
        <f t="shared" si="6"/>
        <v>127</v>
      </c>
      <c r="U31" s="15"/>
      <c r="V31" s="15"/>
      <c r="W31" s="2"/>
      <c r="X31" s="2">
        <f t="shared" si="7"/>
        <v>14.009380568074624</v>
      </c>
      <c r="Y31" s="2">
        <f t="shared" si="5"/>
        <v>7.353893721832093</v>
      </c>
      <c r="Z31" s="2">
        <v>16.359400000000001</v>
      </c>
      <c r="AA31" s="2">
        <v>20.409199999999998</v>
      </c>
      <c r="AB31" s="2">
        <v>20.378799999999998</v>
      </c>
      <c r="AC31" s="2">
        <v>19.767800000000001</v>
      </c>
      <c r="AD31" s="2">
        <v>16.5824</v>
      </c>
      <c r="AE31" s="2">
        <v>17.223400000000002</v>
      </c>
      <c r="AF31" s="2">
        <v>4.9034000000000004</v>
      </c>
      <c r="AG31" s="2">
        <v>22.237200000000001</v>
      </c>
      <c r="AH31" s="2"/>
      <c r="AI31" s="2">
        <f t="shared" si="8"/>
        <v>127</v>
      </c>
      <c r="AJ31" s="2">
        <f t="shared" si="9"/>
        <v>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 t="s">
        <v>73</v>
      </c>
      <c r="B32" s="2" t="s">
        <v>36</v>
      </c>
      <c r="C32" s="2">
        <v>92</v>
      </c>
      <c r="D32" s="2"/>
      <c r="E32" s="2">
        <v>54</v>
      </c>
      <c r="F32" s="2">
        <v>38</v>
      </c>
      <c r="G32" s="3">
        <v>0.4</v>
      </c>
      <c r="H32" s="2">
        <v>60</v>
      </c>
      <c r="I32" s="2" t="s">
        <v>37</v>
      </c>
      <c r="J32" s="2"/>
      <c r="K32" s="2">
        <v>54</v>
      </c>
      <c r="L32" s="2">
        <f t="shared" si="3"/>
        <v>0</v>
      </c>
      <c r="M32" s="2"/>
      <c r="N32" s="2"/>
      <c r="O32" s="2">
        <v>37</v>
      </c>
      <c r="P32" s="2"/>
      <c r="Q32" s="2">
        <f t="shared" si="4"/>
        <v>10.8</v>
      </c>
      <c r="R32" s="15">
        <f t="shared" si="14"/>
        <v>76.200000000000017</v>
      </c>
      <c r="S32" s="15">
        <f t="shared" si="11"/>
        <v>76</v>
      </c>
      <c r="T32" s="15">
        <f t="shared" si="6"/>
        <v>76</v>
      </c>
      <c r="U32" s="15"/>
      <c r="V32" s="15"/>
      <c r="W32" s="2"/>
      <c r="X32" s="2">
        <f t="shared" si="7"/>
        <v>13.981481481481481</v>
      </c>
      <c r="Y32" s="2">
        <f t="shared" si="5"/>
        <v>6.9444444444444438</v>
      </c>
      <c r="Z32" s="2">
        <v>9.1999999999999993</v>
      </c>
      <c r="AA32" s="2">
        <v>10.4</v>
      </c>
      <c r="AB32" s="2">
        <v>4</v>
      </c>
      <c r="AC32" s="2">
        <v>15.2</v>
      </c>
      <c r="AD32" s="2">
        <v>4.8</v>
      </c>
      <c r="AE32" s="2">
        <v>10.199999999999999</v>
      </c>
      <c r="AF32" s="2">
        <v>14.4</v>
      </c>
      <c r="AG32" s="2">
        <v>10.199999999999999</v>
      </c>
      <c r="AH32" s="2" t="s">
        <v>52</v>
      </c>
      <c r="AI32" s="2">
        <f t="shared" si="8"/>
        <v>30.400000000000002</v>
      </c>
      <c r="AJ32" s="2">
        <f t="shared" si="9"/>
        <v>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 t="s">
        <v>74</v>
      </c>
      <c r="B33" s="2" t="s">
        <v>36</v>
      </c>
      <c r="C33" s="2">
        <v>65</v>
      </c>
      <c r="D33" s="2">
        <v>91</v>
      </c>
      <c r="E33" s="2">
        <v>57</v>
      </c>
      <c r="F33" s="2">
        <v>22</v>
      </c>
      <c r="G33" s="3">
        <v>0.4</v>
      </c>
      <c r="H33" s="2">
        <v>60</v>
      </c>
      <c r="I33" s="2" t="s">
        <v>45</v>
      </c>
      <c r="J33" s="2"/>
      <c r="K33" s="2">
        <v>55</v>
      </c>
      <c r="L33" s="2">
        <f t="shared" si="3"/>
        <v>2</v>
      </c>
      <c r="M33" s="2"/>
      <c r="N33" s="2"/>
      <c r="O33" s="2">
        <v>36</v>
      </c>
      <c r="P33" s="2"/>
      <c r="Q33" s="2">
        <f t="shared" si="4"/>
        <v>11.4</v>
      </c>
      <c r="R33" s="15">
        <f t="shared" si="14"/>
        <v>101.6</v>
      </c>
      <c r="S33" s="15">
        <f t="shared" ref="S33:S34" si="18">V33</f>
        <v>200</v>
      </c>
      <c r="T33" s="15">
        <f t="shared" si="6"/>
        <v>200</v>
      </c>
      <c r="U33" s="15"/>
      <c r="V33" s="15">
        <v>200</v>
      </c>
      <c r="W33" s="2" t="s">
        <v>75</v>
      </c>
      <c r="X33" s="2">
        <f t="shared" si="7"/>
        <v>22.631578947368421</v>
      </c>
      <c r="Y33" s="2">
        <f t="shared" si="5"/>
        <v>5.0877192982456139</v>
      </c>
      <c r="Z33" s="2">
        <v>8.6</v>
      </c>
      <c r="AA33" s="2">
        <v>9</v>
      </c>
      <c r="AB33" s="2">
        <v>11</v>
      </c>
      <c r="AC33" s="2">
        <v>8</v>
      </c>
      <c r="AD33" s="2">
        <v>9.8000000000000007</v>
      </c>
      <c r="AE33" s="2">
        <v>9.6</v>
      </c>
      <c r="AF33" s="2">
        <v>2.6</v>
      </c>
      <c r="AG33" s="2">
        <v>6.8</v>
      </c>
      <c r="AH33" s="2"/>
      <c r="AI33" s="2">
        <f t="shared" si="8"/>
        <v>80</v>
      </c>
      <c r="AJ33" s="2">
        <f t="shared" si="9"/>
        <v>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2" t="s">
        <v>76</v>
      </c>
      <c r="B34" s="2" t="s">
        <v>36</v>
      </c>
      <c r="C34" s="2">
        <v>284</v>
      </c>
      <c r="D34" s="2">
        <v>644</v>
      </c>
      <c r="E34" s="2">
        <v>284</v>
      </c>
      <c r="F34" s="2">
        <v>276</v>
      </c>
      <c r="G34" s="3">
        <v>0.4</v>
      </c>
      <c r="H34" s="2">
        <v>60</v>
      </c>
      <c r="I34" s="2" t="s">
        <v>37</v>
      </c>
      <c r="J34" s="2"/>
      <c r="K34" s="2">
        <v>280</v>
      </c>
      <c r="L34" s="2">
        <f t="shared" si="3"/>
        <v>4</v>
      </c>
      <c r="M34" s="2"/>
      <c r="N34" s="2"/>
      <c r="O34" s="2">
        <v>100</v>
      </c>
      <c r="P34" s="2">
        <v>100</v>
      </c>
      <c r="Q34" s="2">
        <f t="shared" si="4"/>
        <v>56.8</v>
      </c>
      <c r="R34" s="15">
        <f t="shared" si="14"/>
        <v>319.19999999999993</v>
      </c>
      <c r="S34" s="15">
        <f t="shared" si="18"/>
        <v>400</v>
      </c>
      <c r="T34" s="15">
        <f t="shared" si="6"/>
        <v>179</v>
      </c>
      <c r="U34" s="15">
        <f t="shared" ref="U34:U35" si="19">ROUND(S34/$U$1,0)</f>
        <v>221</v>
      </c>
      <c r="V34" s="15">
        <v>400</v>
      </c>
      <c r="W34" s="2"/>
      <c r="X34" s="2">
        <f t="shared" si="7"/>
        <v>15.422535211267606</v>
      </c>
      <c r="Y34" s="2">
        <f t="shared" si="5"/>
        <v>8.3802816901408459</v>
      </c>
      <c r="Z34" s="2">
        <v>55.2</v>
      </c>
      <c r="AA34" s="2">
        <v>60</v>
      </c>
      <c r="AB34" s="2">
        <v>58</v>
      </c>
      <c r="AC34" s="2">
        <v>50</v>
      </c>
      <c r="AD34" s="2">
        <v>58.2</v>
      </c>
      <c r="AE34" s="2">
        <v>70.599999999999994</v>
      </c>
      <c r="AF34" s="2">
        <v>60.6</v>
      </c>
      <c r="AG34" s="2">
        <v>57.2</v>
      </c>
      <c r="AH34" s="2"/>
      <c r="AI34" s="2">
        <f t="shared" si="8"/>
        <v>71.600000000000009</v>
      </c>
      <c r="AJ34" s="2">
        <f t="shared" si="9"/>
        <v>88.4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2" t="s">
        <v>77</v>
      </c>
      <c r="B35" s="2" t="s">
        <v>36</v>
      </c>
      <c r="C35" s="2">
        <v>178</v>
      </c>
      <c r="D35" s="2">
        <v>163</v>
      </c>
      <c r="E35" s="2">
        <v>256</v>
      </c>
      <c r="F35" s="2">
        <v>60</v>
      </c>
      <c r="G35" s="3">
        <v>0.4</v>
      </c>
      <c r="H35" s="2">
        <v>60</v>
      </c>
      <c r="I35" s="2" t="s">
        <v>37</v>
      </c>
      <c r="J35" s="2"/>
      <c r="K35" s="2">
        <v>250</v>
      </c>
      <c r="L35" s="2">
        <f t="shared" si="3"/>
        <v>6</v>
      </c>
      <c r="M35" s="2"/>
      <c r="N35" s="2"/>
      <c r="O35" s="2">
        <v>176</v>
      </c>
      <c r="P35" s="2">
        <v>176</v>
      </c>
      <c r="Q35" s="2">
        <f t="shared" si="4"/>
        <v>51.2</v>
      </c>
      <c r="R35" s="15">
        <f t="shared" si="14"/>
        <v>304.80000000000007</v>
      </c>
      <c r="S35" s="15">
        <f t="shared" si="11"/>
        <v>305</v>
      </c>
      <c r="T35" s="15">
        <f t="shared" si="6"/>
        <v>136</v>
      </c>
      <c r="U35" s="15">
        <f t="shared" si="19"/>
        <v>169</v>
      </c>
      <c r="V35" s="15"/>
      <c r="W35" s="2"/>
      <c r="X35" s="2">
        <f t="shared" si="7"/>
        <v>14.00390625</v>
      </c>
      <c r="Y35" s="2">
        <f t="shared" si="5"/>
        <v>8.046875</v>
      </c>
      <c r="Z35" s="2">
        <v>47.2</v>
      </c>
      <c r="AA35" s="2">
        <v>38.6</v>
      </c>
      <c r="AB35" s="2">
        <v>43.4</v>
      </c>
      <c r="AC35" s="2">
        <v>39.799999999999997</v>
      </c>
      <c r="AD35" s="2">
        <v>53</v>
      </c>
      <c r="AE35" s="2">
        <v>39.799999999999997</v>
      </c>
      <c r="AF35" s="2">
        <v>43.6</v>
      </c>
      <c r="AG35" s="2">
        <v>22</v>
      </c>
      <c r="AH35" s="2" t="s">
        <v>52</v>
      </c>
      <c r="AI35" s="2">
        <f t="shared" si="8"/>
        <v>54.400000000000006</v>
      </c>
      <c r="AJ35" s="2">
        <f t="shared" si="9"/>
        <v>67.600000000000009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7" t="s">
        <v>78</v>
      </c>
      <c r="B36" s="7" t="s">
        <v>36</v>
      </c>
      <c r="C36" s="7"/>
      <c r="D36" s="7"/>
      <c r="E36" s="9">
        <v>2</v>
      </c>
      <c r="F36" s="9">
        <v>-2</v>
      </c>
      <c r="G36" s="8">
        <v>0</v>
      </c>
      <c r="H36" s="7" t="e">
        <v>#N/A</v>
      </c>
      <c r="I36" s="7" t="s">
        <v>79</v>
      </c>
      <c r="J36" s="7" t="s">
        <v>80</v>
      </c>
      <c r="K36" s="7">
        <v>2</v>
      </c>
      <c r="L36" s="7">
        <f t="shared" si="3"/>
        <v>0</v>
      </c>
      <c r="M36" s="7"/>
      <c r="N36" s="7"/>
      <c r="O36" s="7">
        <v>0</v>
      </c>
      <c r="P36" s="7"/>
      <c r="Q36" s="7">
        <f t="shared" si="4"/>
        <v>0.4</v>
      </c>
      <c r="R36" s="16"/>
      <c r="S36" s="15">
        <f t="shared" si="11"/>
        <v>0</v>
      </c>
      <c r="T36" s="15">
        <f t="shared" si="6"/>
        <v>0</v>
      </c>
      <c r="U36" s="15"/>
      <c r="V36" s="16"/>
      <c r="W36" s="7"/>
      <c r="X36" s="2">
        <f t="shared" si="7"/>
        <v>-5</v>
      </c>
      <c r="Y36" s="7">
        <f t="shared" si="5"/>
        <v>-5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/>
      <c r="AI36" s="2">
        <f t="shared" si="8"/>
        <v>0</v>
      </c>
      <c r="AJ36" s="2">
        <f t="shared" si="9"/>
        <v>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2" t="s">
        <v>81</v>
      </c>
      <c r="B37" s="2" t="s">
        <v>36</v>
      </c>
      <c r="C37" s="2">
        <v>340</v>
      </c>
      <c r="D37" s="2">
        <v>539</v>
      </c>
      <c r="E37" s="2">
        <v>659</v>
      </c>
      <c r="F37" s="2">
        <v>116</v>
      </c>
      <c r="G37" s="3">
        <v>0.4</v>
      </c>
      <c r="H37" s="2">
        <v>60</v>
      </c>
      <c r="I37" s="2" t="s">
        <v>37</v>
      </c>
      <c r="J37" s="2"/>
      <c r="K37" s="2">
        <v>666</v>
      </c>
      <c r="L37" s="2">
        <f t="shared" si="3"/>
        <v>-7</v>
      </c>
      <c r="M37" s="2"/>
      <c r="N37" s="2"/>
      <c r="O37" s="2">
        <v>0</v>
      </c>
      <c r="P37" s="2">
        <v>13</v>
      </c>
      <c r="Q37" s="2">
        <f t="shared" si="4"/>
        <v>131.80000000000001</v>
      </c>
      <c r="R37" s="15">
        <f>10*Q37-P37-O37-F37</f>
        <v>1189</v>
      </c>
      <c r="S37" s="15">
        <f t="shared" si="11"/>
        <v>1189</v>
      </c>
      <c r="T37" s="15">
        <f t="shared" si="6"/>
        <v>531</v>
      </c>
      <c r="U37" s="15">
        <f>ROUND(S37/$U$1,0)</f>
        <v>658</v>
      </c>
      <c r="V37" s="15"/>
      <c r="W37" s="2"/>
      <c r="X37" s="2">
        <f t="shared" si="7"/>
        <v>10</v>
      </c>
      <c r="Y37" s="2">
        <f t="shared" si="5"/>
        <v>0.97875569044006061</v>
      </c>
      <c r="Z37" s="2">
        <v>57.2</v>
      </c>
      <c r="AA37" s="2">
        <v>72.8</v>
      </c>
      <c r="AB37" s="2">
        <v>71.8</v>
      </c>
      <c r="AC37" s="2">
        <v>66.2</v>
      </c>
      <c r="AD37" s="2">
        <v>81.2</v>
      </c>
      <c r="AE37" s="2">
        <v>78.599999999999994</v>
      </c>
      <c r="AF37" s="2">
        <v>62.2</v>
      </c>
      <c r="AG37" s="2">
        <v>80.2</v>
      </c>
      <c r="AH37" s="2" t="s">
        <v>52</v>
      </c>
      <c r="AI37" s="2">
        <f t="shared" si="8"/>
        <v>212.4</v>
      </c>
      <c r="AJ37" s="2">
        <f t="shared" si="9"/>
        <v>263.2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2" t="s">
        <v>82</v>
      </c>
      <c r="B38" s="2" t="s">
        <v>36</v>
      </c>
      <c r="C38" s="2">
        <v>133</v>
      </c>
      <c r="D38" s="2">
        <v>6</v>
      </c>
      <c r="E38" s="2">
        <v>55</v>
      </c>
      <c r="F38" s="2">
        <v>77</v>
      </c>
      <c r="G38" s="3">
        <v>0.1</v>
      </c>
      <c r="H38" s="2">
        <v>45</v>
      </c>
      <c r="I38" s="2" t="s">
        <v>37</v>
      </c>
      <c r="J38" s="2"/>
      <c r="K38" s="2">
        <v>60</v>
      </c>
      <c r="L38" s="2">
        <f t="shared" ref="L38:L69" si="20">E38-K38</f>
        <v>-5</v>
      </c>
      <c r="M38" s="2"/>
      <c r="N38" s="2"/>
      <c r="O38" s="2">
        <v>0</v>
      </c>
      <c r="P38" s="2"/>
      <c r="Q38" s="2">
        <f t="shared" ref="Q38:Q69" si="21">E38/5</f>
        <v>11</v>
      </c>
      <c r="R38" s="15">
        <f t="shared" ref="R38:R50" si="22">14*Q38-P38-O38-F38</f>
        <v>77</v>
      </c>
      <c r="S38" s="15">
        <f>V38</f>
        <v>100</v>
      </c>
      <c r="T38" s="15">
        <f t="shared" si="6"/>
        <v>100</v>
      </c>
      <c r="U38" s="15"/>
      <c r="V38" s="15">
        <v>100</v>
      </c>
      <c r="W38" s="2"/>
      <c r="X38" s="2">
        <f t="shared" si="7"/>
        <v>16.09090909090909</v>
      </c>
      <c r="Y38" s="2">
        <f t="shared" ref="Y38:Y69" si="23">(F38+O38+P38)/Q38</f>
        <v>7</v>
      </c>
      <c r="Z38" s="2">
        <v>8.4</v>
      </c>
      <c r="AA38" s="2">
        <v>5.2</v>
      </c>
      <c r="AB38" s="2">
        <v>15.8</v>
      </c>
      <c r="AC38" s="2">
        <v>15</v>
      </c>
      <c r="AD38" s="2">
        <v>5.4</v>
      </c>
      <c r="AE38" s="2">
        <v>16.8</v>
      </c>
      <c r="AF38" s="2">
        <v>8</v>
      </c>
      <c r="AG38" s="2">
        <v>9.6</v>
      </c>
      <c r="AH38" s="2" t="s">
        <v>83</v>
      </c>
      <c r="AI38" s="2">
        <f t="shared" si="8"/>
        <v>10</v>
      </c>
      <c r="AJ38" s="2">
        <f t="shared" si="9"/>
        <v>0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2" t="s">
        <v>84</v>
      </c>
      <c r="B39" s="2" t="s">
        <v>36</v>
      </c>
      <c r="C39" s="2">
        <v>115</v>
      </c>
      <c r="D39" s="2">
        <v>166</v>
      </c>
      <c r="E39" s="2">
        <v>123</v>
      </c>
      <c r="F39" s="2">
        <v>85</v>
      </c>
      <c r="G39" s="3">
        <v>0.1</v>
      </c>
      <c r="H39" s="2">
        <v>60</v>
      </c>
      <c r="I39" s="2" t="s">
        <v>37</v>
      </c>
      <c r="J39" s="2"/>
      <c r="K39" s="2">
        <v>111</v>
      </c>
      <c r="L39" s="2">
        <f t="shared" si="20"/>
        <v>12</v>
      </c>
      <c r="M39" s="2"/>
      <c r="N39" s="2"/>
      <c r="O39" s="2">
        <v>0</v>
      </c>
      <c r="P39" s="2"/>
      <c r="Q39" s="2">
        <f t="shared" si="21"/>
        <v>24.6</v>
      </c>
      <c r="R39" s="15">
        <f t="shared" ref="R39:R40" si="24">12*Q39-P39-O39-F39</f>
        <v>210.20000000000005</v>
      </c>
      <c r="S39" s="15">
        <f t="shared" si="11"/>
        <v>210</v>
      </c>
      <c r="T39" s="15">
        <f t="shared" si="6"/>
        <v>94</v>
      </c>
      <c r="U39" s="15">
        <f t="shared" ref="U39:U40" si="25">ROUND(S39/$U$1,0)</f>
        <v>116</v>
      </c>
      <c r="V39" s="15"/>
      <c r="W39" s="2"/>
      <c r="X39" s="2">
        <f t="shared" si="7"/>
        <v>11.991869918699186</v>
      </c>
      <c r="Y39" s="2">
        <f t="shared" si="23"/>
        <v>3.4552845528455283</v>
      </c>
      <c r="Z39" s="2">
        <v>13.2</v>
      </c>
      <c r="AA39" s="2">
        <v>21.4</v>
      </c>
      <c r="AB39" s="2">
        <v>19.399999999999999</v>
      </c>
      <c r="AC39" s="2">
        <v>13.6</v>
      </c>
      <c r="AD39" s="2">
        <v>16.399999999999999</v>
      </c>
      <c r="AE39" s="2">
        <v>23.2</v>
      </c>
      <c r="AF39" s="2">
        <v>3.4</v>
      </c>
      <c r="AG39" s="2">
        <v>9.1999999999999993</v>
      </c>
      <c r="AH39" s="2" t="s">
        <v>52</v>
      </c>
      <c r="AI39" s="2">
        <f t="shared" si="8"/>
        <v>9.4</v>
      </c>
      <c r="AJ39" s="2">
        <f t="shared" si="9"/>
        <v>11.600000000000001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 t="s">
        <v>85</v>
      </c>
      <c r="B40" s="2" t="s">
        <v>36</v>
      </c>
      <c r="C40" s="2">
        <v>164</v>
      </c>
      <c r="D40" s="2">
        <v>254</v>
      </c>
      <c r="E40" s="2">
        <v>220</v>
      </c>
      <c r="F40" s="2">
        <v>115</v>
      </c>
      <c r="G40" s="3">
        <v>0.1</v>
      </c>
      <c r="H40" s="2">
        <v>60</v>
      </c>
      <c r="I40" s="2" t="s">
        <v>37</v>
      </c>
      <c r="J40" s="2"/>
      <c r="K40" s="2">
        <v>214</v>
      </c>
      <c r="L40" s="2">
        <f t="shared" si="20"/>
        <v>6</v>
      </c>
      <c r="M40" s="2"/>
      <c r="N40" s="2"/>
      <c r="O40" s="2">
        <v>32</v>
      </c>
      <c r="P40" s="2"/>
      <c r="Q40" s="2">
        <f t="shared" si="21"/>
        <v>44</v>
      </c>
      <c r="R40" s="15">
        <f t="shared" si="24"/>
        <v>381</v>
      </c>
      <c r="S40" s="15">
        <f t="shared" si="11"/>
        <v>381</v>
      </c>
      <c r="T40" s="15">
        <f t="shared" si="6"/>
        <v>170</v>
      </c>
      <c r="U40" s="15">
        <f t="shared" si="25"/>
        <v>211</v>
      </c>
      <c r="V40" s="15"/>
      <c r="W40" s="2"/>
      <c r="X40" s="2">
        <f t="shared" si="7"/>
        <v>12</v>
      </c>
      <c r="Y40" s="2">
        <f t="shared" si="23"/>
        <v>3.3409090909090908</v>
      </c>
      <c r="Z40" s="2">
        <v>28.4</v>
      </c>
      <c r="AA40" s="2">
        <v>37.6</v>
      </c>
      <c r="AB40" s="2">
        <v>21.8</v>
      </c>
      <c r="AC40" s="2">
        <v>37.4</v>
      </c>
      <c r="AD40" s="2">
        <v>48</v>
      </c>
      <c r="AE40" s="2">
        <v>18.8</v>
      </c>
      <c r="AF40" s="2">
        <v>37.799999999999997</v>
      </c>
      <c r="AG40" s="2">
        <v>51.8</v>
      </c>
      <c r="AH40" s="2"/>
      <c r="AI40" s="2">
        <f t="shared" si="8"/>
        <v>17</v>
      </c>
      <c r="AJ40" s="2">
        <f t="shared" si="9"/>
        <v>21.1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 t="s">
        <v>86</v>
      </c>
      <c r="B41" s="2" t="s">
        <v>36</v>
      </c>
      <c r="C41" s="2">
        <v>84</v>
      </c>
      <c r="D41" s="2">
        <v>1</v>
      </c>
      <c r="E41" s="2">
        <v>74</v>
      </c>
      <c r="F41" s="2">
        <v>-3</v>
      </c>
      <c r="G41" s="3">
        <v>0.1</v>
      </c>
      <c r="H41" s="2">
        <v>45</v>
      </c>
      <c r="I41" s="2" t="s">
        <v>37</v>
      </c>
      <c r="J41" s="2"/>
      <c r="K41" s="2">
        <v>77</v>
      </c>
      <c r="L41" s="2">
        <f t="shared" si="20"/>
        <v>-3</v>
      </c>
      <c r="M41" s="2"/>
      <c r="N41" s="2"/>
      <c r="O41" s="2">
        <v>25</v>
      </c>
      <c r="P41" s="2"/>
      <c r="Q41" s="2">
        <f t="shared" si="21"/>
        <v>14.8</v>
      </c>
      <c r="R41" s="15">
        <f>10*Q41-P41-O41-F41</f>
        <v>126</v>
      </c>
      <c r="S41" s="15">
        <f>V41</f>
        <v>150</v>
      </c>
      <c r="T41" s="15">
        <f t="shared" si="6"/>
        <v>150</v>
      </c>
      <c r="U41" s="15"/>
      <c r="V41" s="15">
        <v>150</v>
      </c>
      <c r="W41" s="2"/>
      <c r="X41" s="2">
        <f t="shared" si="7"/>
        <v>11.621621621621621</v>
      </c>
      <c r="Y41" s="2">
        <f t="shared" si="23"/>
        <v>1.4864864864864864</v>
      </c>
      <c r="Z41" s="2">
        <v>7.2</v>
      </c>
      <c r="AA41" s="2">
        <v>8</v>
      </c>
      <c r="AB41" s="2">
        <v>8</v>
      </c>
      <c r="AC41" s="2">
        <v>1.6</v>
      </c>
      <c r="AD41" s="2">
        <v>12</v>
      </c>
      <c r="AE41" s="2">
        <v>9</v>
      </c>
      <c r="AF41" s="2">
        <v>4.2</v>
      </c>
      <c r="AG41" s="2">
        <v>10</v>
      </c>
      <c r="AH41" s="2"/>
      <c r="AI41" s="2">
        <f t="shared" si="8"/>
        <v>15</v>
      </c>
      <c r="AJ41" s="2">
        <f t="shared" si="9"/>
        <v>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 t="s">
        <v>87</v>
      </c>
      <c r="B42" s="2" t="s">
        <v>36</v>
      </c>
      <c r="C42" s="2">
        <v>109</v>
      </c>
      <c r="D42" s="2">
        <v>425</v>
      </c>
      <c r="E42" s="2">
        <v>171</v>
      </c>
      <c r="F42" s="2">
        <v>265</v>
      </c>
      <c r="G42" s="3">
        <v>0.4</v>
      </c>
      <c r="H42" s="2">
        <v>45</v>
      </c>
      <c r="I42" s="2" t="s">
        <v>37</v>
      </c>
      <c r="J42" s="2"/>
      <c r="K42" s="2">
        <v>192</v>
      </c>
      <c r="L42" s="2">
        <f t="shared" si="20"/>
        <v>-21</v>
      </c>
      <c r="M42" s="2"/>
      <c r="N42" s="2"/>
      <c r="O42" s="2">
        <v>0</v>
      </c>
      <c r="P42" s="2"/>
      <c r="Q42" s="2">
        <f t="shared" si="21"/>
        <v>34.200000000000003</v>
      </c>
      <c r="R42" s="15">
        <f t="shared" si="22"/>
        <v>213.80000000000007</v>
      </c>
      <c r="S42" s="15">
        <f t="shared" si="11"/>
        <v>214</v>
      </c>
      <c r="T42" s="15">
        <f t="shared" si="6"/>
        <v>96</v>
      </c>
      <c r="U42" s="15">
        <f t="shared" ref="U42:U43" si="26">ROUND(S42/$U$1,0)</f>
        <v>118</v>
      </c>
      <c r="V42" s="15"/>
      <c r="W42" s="2"/>
      <c r="X42" s="2">
        <f t="shared" si="7"/>
        <v>14.005847953216373</v>
      </c>
      <c r="Y42" s="2">
        <f t="shared" si="23"/>
        <v>7.7485380116959055</v>
      </c>
      <c r="Z42" s="2">
        <v>26.4</v>
      </c>
      <c r="AA42" s="2">
        <v>41.8</v>
      </c>
      <c r="AB42" s="2">
        <v>28.6</v>
      </c>
      <c r="AC42" s="2">
        <v>37.799999999999997</v>
      </c>
      <c r="AD42" s="2">
        <v>43.4</v>
      </c>
      <c r="AE42" s="2">
        <v>37.4</v>
      </c>
      <c r="AF42" s="2">
        <v>39.4</v>
      </c>
      <c r="AG42" s="2">
        <v>45.6</v>
      </c>
      <c r="AH42" s="2" t="s">
        <v>83</v>
      </c>
      <c r="AI42" s="2">
        <f t="shared" si="8"/>
        <v>38.400000000000006</v>
      </c>
      <c r="AJ42" s="2">
        <f t="shared" si="9"/>
        <v>47.2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 t="s">
        <v>88</v>
      </c>
      <c r="B43" s="2" t="s">
        <v>39</v>
      </c>
      <c r="C43" s="2">
        <v>122.46599999999999</v>
      </c>
      <c r="D43" s="2">
        <v>83.95</v>
      </c>
      <c r="E43" s="2">
        <v>128.53299999999999</v>
      </c>
      <c r="F43" s="2">
        <v>66.816000000000003</v>
      </c>
      <c r="G43" s="3">
        <v>1</v>
      </c>
      <c r="H43" s="2">
        <v>60</v>
      </c>
      <c r="I43" s="2" t="s">
        <v>37</v>
      </c>
      <c r="J43" s="2"/>
      <c r="K43" s="2">
        <v>127.1</v>
      </c>
      <c r="L43" s="2">
        <f t="shared" si="20"/>
        <v>1.4329999999999927</v>
      </c>
      <c r="M43" s="2"/>
      <c r="N43" s="2"/>
      <c r="O43" s="2">
        <v>120</v>
      </c>
      <c r="P43" s="2"/>
      <c r="Q43" s="2">
        <f t="shared" si="21"/>
        <v>25.706599999999998</v>
      </c>
      <c r="R43" s="15">
        <f t="shared" si="22"/>
        <v>173.07639999999995</v>
      </c>
      <c r="S43" s="15">
        <f t="shared" si="11"/>
        <v>173</v>
      </c>
      <c r="T43" s="15">
        <f t="shared" si="6"/>
        <v>77</v>
      </c>
      <c r="U43" s="15">
        <f t="shared" si="26"/>
        <v>96</v>
      </c>
      <c r="V43" s="15"/>
      <c r="W43" s="2"/>
      <c r="X43" s="2">
        <f t="shared" si="7"/>
        <v>13.997028000591291</v>
      </c>
      <c r="Y43" s="2">
        <f t="shared" si="23"/>
        <v>7.2672387635860058</v>
      </c>
      <c r="Z43" s="2">
        <v>23.224799999999998</v>
      </c>
      <c r="AA43" s="2">
        <v>22.786999999999999</v>
      </c>
      <c r="AB43" s="2">
        <v>25.272400000000001</v>
      </c>
      <c r="AC43" s="2">
        <v>15.946400000000001</v>
      </c>
      <c r="AD43" s="2">
        <v>25.775600000000001</v>
      </c>
      <c r="AE43" s="2">
        <v>26.381</v>
      </c>
      <c r="AF43" s="2">
        <v>23.5336</v>
      </c>
      <c r="AG43" s="2">
        <v>20.29</v>
      </c>
      <c r="AH43" s="2"/>
      <c r="AI43" s="2">
        <f t="shared" si="8"/>
        <v>77</v>
      </c>
      <c r="AJ43" s="2">
        <f t="shared" si="9"/>
        <v>96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 t="s">
        <v>89</v>
      </c>
      <c r="B44" s="2" t="s">
        <v>39</v>
      </c>
      <c r="C44" s="2">
        <v>110.61199999999999</v>
      </c>
      <c r="D44" s="2">
        <v>43.645000000000003</v>
      </c>
      <c r="E44" s="2">
        <v>69.631</v>
      </c>
      <c r="F44" s="2">
        <v>61.758000000000003</v>
      </c>
      <c r="G44" s="3">
        <v>1</v>
      </c>
      <c r="H44" s="2">
        <v>45</v>
      </c>
      <c r="I44" s="2" t="s">
        <v>37</v>
      </c>
      <c r="J44" s="2"/>
      <c r="K44" s="2">
        <v>78.900000000000006</v>
      </c>
      <c r="L44" s="2">
        <f t="shared" si="20"/>
        <v>-9.2690000000000055</v>
      </c>
      <c r="M44" s="2"/>
      <c r="N44" s="2"/>
      <c r="O44" s="2">
        <v>55</v>
      </c>
      <c r="P44" s="2"/>
      <c r="Q44" s="2">
        <f t="shared" si="21"/>
        <v>13.9262</v>
      </c>
      <c r="R44" s="15">
        <f t="shared" si="22"/>
        <v>78.208799999999997</v>
      </c>
      <c r="S44" s="15">
        <f t="shared" si="11"/>
        <v>78</v>
      </c>
      <c r="T44" s="15">
        <f t="shared" si="6"/>
        <v>78</v>
      </c>
      <c r="U44" s="15"/>
      <c r="V44" s="15"/>
      <c r="W44" s="2"/>
      <c r="X44" s="2">
        <f t="shared" si="7"/>
        <v>13.98500667806006</v>
      </c>
      <c r="Y44" s="2">
        <f t="shared" si="23"/>
        <v>8.3840530798064083</v>
      </c>
      <c r="Z44" s="2">
        <v>13.7804</v>
      </c>
      <c r="AA44" s="2">
        <v>13.893800000000001</v>
      </c>
      <c r="AB44" s="2">
        <v>17.712599999999998</v>
      </c>
      <c r="AC44" s="2">
        <v>13.060600000000001</v>
      </c>
      <c r="AD44" s="2">
        <v>22.100200000000001</v>
      </c>
      <c r="AE44" s="2">
        <v>13.937200000000001</v>
      </c>
      <c r="AF44" s="2">
        <v>16.47</v>
      </c>
      <c r="AG44" s="2">
        <v>17.4876</v>
      </c>
      <c r="AH44" s="2"/>
      <c r="AI44" s="2">
        <f t="shared" si="8"/>
        <v>78</v>
      </c>
      <c r="AJ44" s="2">
        <f t="shared" si="9"/>
        <v>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 t="s">
        <v>90</v>
      </c>
      <c r="B45" s="2" t="s">
        <v>39</v>
      </c>
      <c r="C45" s="2">
        <v>21.347000000000001</v>
      </c>
      <c r="D45" s="2">
        <v>20.818000000000001</v>
      </c>
      <c r="E45" s="2">
        <v>33.183</v>
      </c>
      <c r="F45" s="2">
        <v>6.2119999999999997</v>
      </c>
      <c r="G45" s="3">
        <v>1</v>
      </c>
      <c r="H45" s="2">
        <v>45</v>
      </c>
      <c r="I45" s="2" t="s">
        <v>37</v>
      </c>
      <c r="J45" s="2"/>
      <c r="K45" s="2">
        <v>32</v>
      </c>
      <c r="L45" s="2">
        <f t="shared" si="20"/>
        <v>1.1829999999999998</v>
      </c>
      <c r="M45" s="2"/>
      <c r="N45" s="2"/>
      <c r="O45" s="2">
        <v>47</v>
      </c>
      <c r="P45" s="2"/>
      <c r="Q45" s="2">
        <f t="shared" si="21"/>
        <v>6.6365999999999996</v>
      </c>
      <c r="R45" s="15">
        <f t="shared" si="22"/>
        <v>39.700399999999988</v>
      </c>
      <c r="S45" s="15">
        <f t="shared" si="11"/>
        <v>40</v>
      </c>
      <c r="T45" s="15">
        <f t="shared" si="6"/>
        <v>40</v>
      </c>
      <c r="U45" s="15"/>
      <c r="V45" s="15"/>
      <c r="W45" s="2"/>
      <c r="X45" s="2">
        <f t="shared" si="7"/>
        <v>14.045143597625291</v>
      </c>
      <c r="Y45" s="2">
        <f t="shared" si="23"/>
        <v>8.0179610041286207</v>
      </c>
      <c r="Z45" s="2">
        <v>6.2351999999999999</v>
      </c>
      <c r="AA45" s="2">
        <v>1.7210000000000001</v>
      </c>
      <c r="AB45" s="2">
        <v>2.6888000000000001</v>
      </c>
      <c r="AC45" s="2">
        <v>7.0826000000000002</v>
      </c>
      <c r="AD45" s="2">
        <v>1.7756000000000001</v>
      </c>
      <c r="AE45" s="2">
        <v>7.7679999999999998</v>
      </c>
      <c r="AF45" s="2">
        <v>6.891</v>
      </c>
      <c r="AG45" s="2">
        <v>6.8150000000000004</v>
      </c>
      <c r="AH45" s="2"/>
      <c r="AI45" s="2">
        <f t="shared" si="8"/>
        <v>40</v>
      </c>
      <c r="AJ45" s="2">
        <f t="shared" si="9"/>
        <v>0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 t="s">
        <v>91</v>
      </c>
      <c r="B46" s="2" t="s">
        <v>36</v>
      </c>
      <c r="C46" s="2">
        <v>16</v>
      </c>
      <c r="D46" s="2">
        <v>32</v>
      </c>
      <c r="E46" s="2">
        <v>7</v>
      </c>
      <c r="F46" s="2">
        <v>32</v>
      </c>
      <c r="G46" s="3">
        <v>0.35</v>
      </c>
      <c r="H46" s="2">
        <v>45</v>
      </c>
      <c r="I46" s="2" t="s">
        <v>37</v>
      </c>
      <c r="J46" s="2"/>
      <c r="K46" s="2">
        <v>8</v>
      </c>
      <c r="L46" s="2">
        <f t="shared" si="20"/>
        <v>-1</v>
      </c>
      <c r="M46" s="2"/>
      <c r="N46" s="2"/>
      <c r="O46" s="2">
        <v>0</v>
      </c>
      <c r="P46" s="2"/>
      <c r="Q46" s="2">
        <f t="shared" si="21"/>
        <v>1.4</v>
      </c>
      <c r="R46" s="15"/>
      <c r="S46" s="15">
        <f t="shared" si="11"/>
        <v>0</v>
      </c>
      <c r="T46" s="15">
        <f t="shared" si="6"/>
        <v>0</v>
      </c>
      <c r="U46" s="15"/>
      <c r="V46" s="15"/>
      <c r="W46" s="2"/>
      <c r="X46" s="2">
        <f t="shared" si="7"/>
        <v>22.857142857142858</v>
      </c>
      <c r="Y46" s="2">
        <f t="shared" si="23"/>
        <v>22.857142857142858</v>
      </c>
      <c r="Z46" s="2">
        <v>-0.2</v>
      </c>
      <c r="AA46" s="2">
        <v>-0.4</v>
      </c>
      <c r="AB46" s="2">
        <v>-2</v>
      </c>
      <c r="AC46" s="2">
        <v>-1.6</v>
      </c>
      <c r="AD46" s="2">
        <v>-3.6</v>
      </c>
      <c r="AE46" s="2">
        <v>2.2000000000000002</v>
      </c>
      <c r="AF46" s="2">
        <v>33</v>
      </c>
      <c r="AG46" s="2">
        <v>2.6</v>
      </c>
      <c r="AH46" s="2" t="s">
        <v>92</v>
      </c>
      <c r="AI46" s="2">
        <f t="shared" si="8"/>
        <v>0</v>
      </c>
      <c r="AJ46" s="2">
        <f t="shared" si="9"/>
        <v>0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 t="s">
        <v>93</v>
      </c>
      <c r="B47" s="2" t="s">
        <v>39</v>
      </c>
      <c r="C47" s="2">
        <v>72.930000000000007</v>
      </c>
      <c r="D47" s="2">
        <v>122.063</v>
      </c>
      <c r="E47" s="2">
        <v>95.278999999999996</v>
      </c>
      <c r="F47" s="2">
        <v>96.570999999999998</v>
      </c>
      <c r="G47" s="3">
        <v>1</v>
      </c>
      <c r="H47" s="2">
        <v>45</v>
      </c>
      <c r="I47" s="2" t="s">
        <v>37</v>
      </c>
      <c r="J47" s="2"/>
      <c r="K47" s="2">
        <v>91</v>
      </c>
      <c r="L47" s="2">
        <f t="shared" si="20"/>
        <v>4.2789999999999964</v>
      </c>
      <c r="M47" s="2"/>
      <c r="N47" s="2"/>
      <c r="O47" s="2">
        <v>0</v>
      </c>
      <c r="P47" s="2"/>
      <c r="Q47" s="2">
        <f t="shared" si="21"/>
        <v>19.055799999999998</v>
      </c>
      <c r="R47" s="15">
        <f t="shared" si="22"/>
        <v>170.21019999999996</v>
      </c>
      <c r="S47" s="15">
        <f t="shared" si="11"/>
        <v>170</v>
      </c>
      <c r="T47" s="15">
        <f t="shared" si="6"/>
        <v>170</v>
      </c>
      <c r="U47" s="15"/>
      <c r="V47" s="15"/>
      <c r="W47" s="2"/>
      <c r="X47" s="2">
        <f t="shared" si="7"/>
        <v>13.988969237712405</v>
      </c>
      <c r="Y47" s="2">
        <f t="shared" si="23"/>
        <v>5.0678008795222453</v>
      </c>
      <c r="Z47" s="2">
        <v>11.9184</v>
      </c>
      <c r="AA47" s="2">
        <v>17.409400000000002</v>
      </c>
      <c r="AB47" s="2">
        <v>15.7852</v>
      </c>
      <c r="AC47" s="2">
        <v>15.443</v>
      </c>
      <c r="AD47" s="2">
        <v>24.122599999999998</v>
      </c>
      <c r="AE47" s="2">
        <v>6.5064000000000002</v>
      </c>
      <c r="AF47" s="2">
        <v>4.9715999999999996</v>
      </c>
      <c r="AG47" s="2">
        <v>14.5192</v>
      </c>
      <c r="AH47" s="2" t="s">
        <v>52</v>
      </c>
      <c r="AI47" s="2">
        <f t="shared" si="8"/>
        <v>170</v>
      </c>
      <c r="AJ47" s="2">
        <f t="shared" si="9"/>
        <v>0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 t="s">
        <v>94</v>
      </c>
      <c r="B48" s="2" t="s">
        <v>36</v>
      </c>
      <c r="C48" s="2">
        <v>143</v>
      </c>
      <c r="D48" s="2">
        <v>293</v>
      </c>
      <c r="E48" s="2">
        <v>217</v>
      </c>
      <c r="F48" s="2">
        <v>198</v>
      </c>
      <c r="G48" s="3">
        <v>0.3</v>
      </c>
      <c r="H48" s="2">
        <v>45</v>
      </c>
      <c r="I48" s="2" t="s">
        <v>37</v>
      </c>
      <c r="J48" s="2"/>
      <c r="K48" s="2">
        <v>226</v>
      </c>
      <c r="L48" s="2">
        <f t="shared" si="20"/>
        <v>-9</v>
      </c>
      <c r="M48" s="2"/>
      <c r="N48" s="2"/>
      <c r="O48" s="2">
        <v>0</v>
      </c>
      <c r="P48" s="2">
        <v>5</v>
      </c>
      <c r="Q48" s="2">
        <f t="shared" si="21"/>
        <v>43.4</v>
      </c>
      <c r="R48" s="15">
        <f t="shared" si="22"/>
        <v>404.6</v>
      </c>
      <c r="S48" s="15">
        <f>V48</f>
        <v>500</v>
      </c>
      <c r="T48" s="15">
        <f t="shared" si="6"/>
        <v>223</v>
      </c>
      <c r="U48" s="15">
        <f>ROUND(S48/$U$1,0)</f>
        <v>277</v>
      </c>
      <c r="V48" s="15">
        <v>500</v>
      </c>
      <c r="W48" s="2"/>
      <c r="X48" s="2">
        <f t="shared" si="7"/>
        <v>16.198156682027651</v>
      </c>
      <c r="Y48" s="2">
        <f t="shared" si="23"/>
        <v>4.67741935483871</v>
      </c>
      <c r="Z48" s="2">
        <v>30.6</v>
      </c>
      <c r="AA48" s="2">
        <v>40.799999999999997</v>
      </c>
      <c r="AB48" s="2">
        <v>33.4</v>
      </c>
      <c r="AC48" s="2">
        <v>15.2</v>
      </c>
      <c r="AD48" s="2">
        <v>43.4</v>
      </c>
      <c r="AE48" s="2">
        <v>36</v>
      </c>
      <c r="AF48" s="2">
        <v>7.8</v>
      </c>
      <c r="AG48" s="2">
        <v>42.2</v>
      </c>
      <c r="AH48" s="2"/>
      <c r="AI48" s="2">
        <f t="shared" si="8"/>
        <v>66.899999999999991</v>
      </c>
      <c r="AJ48" s="2">
        <f t="shared" si="9"/>
        <v>83.1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 t="s">
        <v>95</v>
      </c>
      <c r="B49" s="2" t="s">
        <v>39</v>
      </c>
      <c r="C49" s="2">
        <v>7.7430000000000003</v>
      </c>
      <c r="D49" s="2">
        <v>37.159999999999997</v>
      </c>
      <c r="E49" s="2">
        <v>8.8870000000000005</v>
      </c>
      <c r="F49" s="2">
        <v>29.41</v>
      </c>
      <c r="G49" s="3">
        <v>1</v>
      </c>
      <c r="H49" s="2">
        <v>45</v>
      </c>
      <c r="I49" s="2" t="s">
        <v>37</v>
      </c>
      <c r="J49" s="2"/>
      <c r="K49" s="2">
        <v>10</v>
      </c>
      <c r="L49" s="2">
        <f t="shared" si="20"/>
        <v>-1.1129999999999995</v>
      </c>
      <c r="M49" s="2"/>
      <c r="N49" s="2"/>
      <c r="O49" s="2">
        <v>0</v>
      </c>
      <c r="P49" s="2"/>
      <c r="Q49" s="2">
        <f t="shared" si="21"/>
        <v>1.7774000000000001</v>
      </c>
      <c r="R49" s="15"/>
      <c r="S49" s="15">
        <f t="shared" si="11"/>
        <v>0</v>
      </c>
      <c r="T49" s="15">
        <f t="shared" si="6"/>
        <v>0</v>
      </c>
      <c r="U49" s="15"/>
      <c r="V49" s="15"/>
      <c r="W49" s="2"/>
      <c r="X49" s="2">
        <f t="shared" si="7"/>
        <v>16.546641161246765</v>
      </c>
      <c r="Y49" s="2">
        <f t="shared" si="23"/>
        <v>16.546641161246765</v>
      </c>
      <c r="Z49" s="2">
        <v>2.4969999999999999</v>
      </c>
      <c r="AA49" s="2">
        <v>3.5853999999999999</v>
      </c>
      <c r="AB49" s="2">
        <v>2.3755999999999999</v>
      </c>
      <c r="AC49" s="2">
        <v>2.8252000000000002</v>
      </c>
      <c r="AD49" s="2">
        <v>5.2755999999999998</v>
      </c>
      <c r="AE49" s="2">
        <v>1.2165999999999999</v>
      </c>
      <c r="AF49" s="2">
        <v>2.4748000000000001</v>
      </c>
      <c r="AG49" s="2">
        <v>4.5792000000000002</v>
      </c>
      <c r="AH49" s="2"/>
      <c r="AI49" s="2">
        <f t="shared" si="8"/>
        <v>0</v>
      </c>
      <c r="AJ49" s="2">
        <f t="shared" si="9"/>
        <v>0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 t="s">
        <v>96</v>
      </c>
      <c r="B50" s="2" t="s">
        <v>36</v>
      </c>
      <c r="C50" s="2">
        <v>513</v>
      </c>
      <c r="D50" s="2">
        <v>536</v>
      </c>
      <c r="E50" s="2">
        <v>397</v>
      </c>
      <c r="F50" s="2">
        <v>345</v>
      </c>
      <c r="G50" s="3">
        <v>0.35</v>
      </c>
      <c r="H50" s="2">
        <v>45</v>
      </c>
      <c r="I50" s="2" t="s">
        <v>37</v>
      </c>
      <c r="J50" s="2"/>
      <c r="K50" s="2">
        <v>404</v>
      </c>
      <c r="L50" s="2">
        <f t="shared" si="20"/>
        <v>-7</v>
      </c>
      <c r="M50" s="2"/>
      <c r="N50" s="2"/>
      <c r="O50" s="2">
        <v>167.5</v>
      </c>
      <c r="P50" s="2">
        <v>167.5</v>
      </c>
      <c r="Q50" s="2">
        <f t="shared" si="21"/>
        <v>79.400000000000006</v>
      </c>
      <c r="R50" s="15">
        <f t="shared" si="22"/>
        <v>431.60000000000014</v>
      </c>
      <c r="S50" s="15">
        <f>V50</f>
        <v>480</v>
      </c>
      <c r="T50" s="15">
        <f t="shared" si="6"/>
        <v>214</v>
      </c>
      <c r="U50" s="15">
        <f>ROUND(S50/$U$1,0)</f>
        <v>266</v>
      </c>
      <c r="V50" s="15">
        <v>480</v>
      </c>
      <c r="W50" s="2"/>
      <c r="X50" s="2">
        <f t="shared" si="7"/>
        <v>14.609571788413097</v>
      </c>
      <c r="Y50" s="2">
        <f t="shared" si="23"/>
        <v>8.5642317380352644</v>
      </c>
      <c r="Z50" s="2">
        <v>78</v>
      </c>
      <c r="AA50" s="2">
        <v>83.8</v>
      </c>
      <c r="AB50" s="2">
        <v>92</v>
      </c>
      <c r="AC50" s="2">
        <v>77.2</v>
      </c>
      <c r="AD50" s="2">
        <v>83.2</v>
      </c>
      <c r="AE50" s="2">
        <v>77.8</v>
      </c>
      <c r="AF50" s="2">
        <v>67.400000000000006</v>
      </c>
      <c r="AG50" s="2">
        <v>90</v>
      </c>
      <c r="AH50" s="2" t="s">
        <v>97</v>
      </c>
      <c r="AI50" s="2">
        <f t="shared" si="8"/>
        <v>74.899999999999991</v>
      </c>
      <c r="AJ50" s="2">
        <f t="shared" si="9"/>
        <v>93.1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7" t="s">
        <v>98</v>
      </c>
      <c r="B51" s="7" t="s">
        <v>36</v>
      </c>
      <c r="C51" s="7"/>
      <c r="D51" s="7">
        <v>20</v>
      </c>
      <c r="E51" s="9">
        <v>5</v>
      </c>
      <c r="F51" s="9">
        <v>15</v>
      </c>
      <c r="G51" s="8">
        <v>0</v>
      </c>
      <c r="H51" s="7" t="e">
        <v>#N/A</v>
      </c>
      <c r="I51" s="10" t="s">
        <v>79</v>
      </c>
      <c r="J51" s="10" t="s">
        <v>99</v>
      </c>
      <c r="K51" s="7">
        <v>5</v>
      </c>
      <c r="L51" s="7">
        <f t="shared" si="20"/>
        <v>0</v>
      </c>
      <c r="M51" s="7"/>
      <c r="N51" s="7"/>
      <c r="O51" s="7"/>
      <c r="P51" s="7"/>
      <c r="Q51" s="7">
        <f t="shared" si="21"/>
        <v>1</v>
      </c>
      <c r="R51" s="16"/>
      <c r="S51" s="15">
        <f t="shared" si="11"/>
        <v>0</v>
      </c>
      <c r="T51" s="15">
        <f t="shared" si="6"/>
        <v>0</v>
      </c>
      <c r="U51" s="15"/>
      <c r="V51" s="16"/>
      <c r="W51" s="7"/>
      <c r="X51" s="2">
        <f t="shared" si="7"/>
        <v>15</v>
      </c>
      <c r="Y51" s="7">
        <f t="shared" si="23"/>
        <v>15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/>
      <c r="AI51" s="2">
        <f t="shared" si="8"/>
        <v>0</v>
      </c>
      <c r="AJ51" s="2">
        <f t="shared" si="9"/>
        <v>0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2" t="s">
        <v>100</v>
      </c>
      <c r="B52" s="2" t="s">
        <v>36</v>
      </c>
      <c r="C52" s="2">
        <v>1</v>
      </c>
      <c r="D52" s="2">
        <v>319</v>
      </c>
      <c r="E52" s="2">
        <v>219</v>
      </c>
      <c r="F52" s="2">
        <v>67</v>
      </c>
      <c r="G52" s="3">
        <v>0.41</v>
      </c>
      <c r="H52" s="2">
        <v>45</v>
      </c>
      <c r="I52" s="2" t="s">
        <v>37</v>
      </c>
      <c r="J52" s="2"/>
      <c r="K52" s="2">
        <v>259</v>
      </c>
      <c r="L52" s="2">
        <f t="shared" si="20"/>
        <v>-40</v>
      </c>
      <c r="M52" s="2"/>
      <c r="N52" s="2"/>
      <c r="O52" s="2">
        <v>349.63636363636402</v>
      </c>
      <c r="P52" s="2">
        <v>291.36363636363598</v>
      </c>
      <c r="Q52" s="2">
        <f t="shared" si="21"/>
        <v>43.8</v>
      </c>
      <c r="R52" s="15"/>
      <c r="S52" s="15">
        <f t="shared" si="11"/>
        <v>0</v>
      </c>
      <c r="T52" s="15">
        <f t="shared" si="6"/>
        <v>0</v>
      </c>
      <c r="U52" s="15"/>
      <c r="V52" s="15"/>
      <c r="W52" s="2"/>
      <c r="X52" s="2">
        <f t="shared" si="7"/>
        <v>16.164383561643838</v>
      </c>
      <c r="Y52" s="2">
        <f t="shared" si="23"/>
        <v>16.164383561643838</v>
      </c>
      <c r="Z52" s="2">
        <v>67.8</v>
      </c>
      <c r="AA52" s="2">
        <v>46.8</v>
      </c>
      <c r="AB52" s="2">
        <v>41.8</v>
      </c>
      <c r="AC52" s="2">
        <v>69.599999999999994</v>
      </c>
      <c r="AD52" s="2">
        <v>36.4</v>
      </c>
      <c r="AE52" s="2">
        <v>49.6</v>
      </c>
      <c r="AF52" s="2">
        <v>46.6</v>
      </c>
      <c r="AG52" s="2">
        <v>90</v>
      </c>
      <c r="AH52" s="2"/>
      <c r="AI52" s="2">
        <f t="shared" si="8"/>
        <v>0</v>
      </c>
      <c r="AJ52" s="2">
        <f t="shared" si="9"/>
        <v>0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2" t="s">
        <v>101</v>
      </c>
      <c r="B53" s="2" t="s">
        <v>36</v>
      </c>
      <c r="C53" s="2">
        <v>192</v>
      </c>
      <c r="D53" s="2">
        <v>135</v>
      </c>
      <c r="E53" s="2">
        <v>156</v>
      </c>
      <c r="F53" s="2">
        <v>31</v>
      </c>
      <c r="G53" s="3">
        <v>0.41</v>
      </c>
      <c r="H53" s="2">
        <v>45</v>
      </c>
      <c r="I53" s="2" t="s">
        <v>37</v>
      </c>
      <c r="J53" s="2"/>
      <c r="K53" s="2">
        <v>163</v>
      </c>
      <c r="L53" s="2">
        <f t="shared" si="20"/>
        <v>-7</v>
      </c>
      <c r="M53" s="2"/>
      <c r="N53" s="2"/>
      <c r="O53" s="2">
        <v>0</v>
      </c>
      <c r="P53" s="2"/>
      <c r="Q53" s="2">
        <f t="shared" si="21"/>
        <v>31.2</v>
      </c>
      <c r="R53" s="15">
        <f>10*Q53-P53-O53-F53</f>
        <v>281</v>
      </c>
      <c r="S53" s="15">
        <f>V53</f>
        <v>320</v>
      </c>
      <c r="T53" s="15">
        <f t="shared" si="6"/>
        <v>143</v>
      </c>
      <c r="U53" s="15">
        <f>ROUND(S53/$U$1,0)</f>
        <v>177</v>
      </c>
      <c r="V53" s="15">
        <v>320</v>
      </c>
      <c r="W53" s="2"/>
      <c r="X53" s="2">
        <f t="shared" si="7"/>
        <v>11.25</v>
      </c>
      <c r="Y53" s="2">
        <f t="shared" si="23"/>
        <v>0.99358974358974361</v>
      </c>
      <c r="Z53" s="2">
        <v>13</v>
      </c>
      <c r="AA53" s="2">
        <v>19</v>
      </c>
      <c r="AB53" s="2">
        <v>25.4</v>
      </c>
      <c r="AC53" s="2">
        <v>4.4000000000000004</v>
      </c>
      <c r="AD53" s="2">
        <v>3</v>
      </c>
      <c r="AE53" s="2">
        <v>31.4</v>
      </c>
      <c r="AF53" s="2">
        <v>1.4</v>
      </c>
      <c r="AG53" s="2">
        <v>9.8000000000000007</v>
      </c>
      <c r="AH53" s="2"/>
      <c r="AI53" s="2">
        <f t="shared" si="8"/>
        <v>58.629999999999995</v>
      </c>
      <c r="AJ53" s="2">
        <f t="shared" si="9"/>
        <v>72.569999999999993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7" t="s">
        <v>102</v>
      </c>
      <c r="B54" s="7" t="s">
        <v>39</v>
      </c>
      <c r="C54" s="7">
        <v>16.449000000000002</v>
      </c>
      <c r="D54" s="7"/>
      <c r="E54" s="7"/>
      <c r="F54" s="7">
        <v>16.449000000000002</v>
      </c>
      <c r="G54" s="8">
        <v>0</v>
      </c>
      <c r="H54" s="7">
        <v>30</v>
      </c>
      <c r="I54" s="7" t="s">
        <v>79</v>
      </c>
      <c r="J54" s="7"/>
      <c r="K54" s="7"/>
      <c r="L54" s="7">
        <f t="shared" si="20"/>
        <v>0</v>
      </c>
      <c r="M54" s="7"/>
      <c r="N54" s="7"/>
      <c r="O54" s="7">
        <v>0</v>
      </c>
      <c r="P54" s="7"/>
      <c r="Q54" s="7">
        <f t="shared" si="21"/>
        <v>0</v>
      </c>
      <c r="R54" s="16"/>
      <c r="S54" s="15">
        <f t="shared" si="11"/>
        <v>0</v>
      </c>
      <c r="T54" s="15">
        <f t="shared" si="6"/>
        <v>0</v>
      </c>
      <c r="U54" s="15"/>
      <c r="V54" s="16"/>
      <c r="W54" s="7"/>
      <c r="X54" s="2" t="e">
        <f t="shared" si="7"/>
        <v>#DIV/0!</v>
      </c>
      <c r="Y54" s="7" t="e">
        <f t="shared" si="23"/>
        <v>#DIV/0!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18" t="s">
        <v>103</v>
      </c>
      <c r="AI54" s="2">
        <f t="shared" si="8"/>
        <v>0</v>
      </c>
      <c r="AJ54" s="2">
        <f t="shared" si="9"/>
        <v>0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 t="s">
        <v>104</v>
      </c>
      <c r="B55" s="2" t="s">
        <v>36</v>
      </c>
      <c r="C55" s="2">
        <v>49</v>
      </c>
      <c r="D55" s="2">
        <v>282</v>
      </c>
      <c r="E55" s="2">
        <v>133</v>
      </c>
      <c r="F55" s="2">
        <v>115</v>
      </c>
      <c r="G55" s="3">
        <v>0.36</v>
      </c>
      <c r="H55" s="2">
        <v>45</v>
      </c>
      <c r="I55" s="2" t="s">
        <v>37</v>
      </c>
      <c r="J55" s="2"/>
      <c r="K55" s="2">
        <v>143</v>
      </c>
      <c r="L55" s="2">
        <f t="shared" si="20"/>
        <v>-10</v>
      </c>
      <c r="M55" s="2"/>
      <c r="N55" s="2"/>
      <c r="O55" s="2">
        <v>39</v>
      </c>
      <c r="P55" s="2"/>
      <c r="Q55" s="2">
        <f t="shared" si="21"/>
        <v>26.6</v>
      </c>
      <c r="R55" s="15">
        <f t="shared" ref="R55" si="27">14*Q55-P55-O55-F55</f>
        <v>218.40000000000003</v>
      </c>
      <c r="S55" s="15">
        <f t="shared" si="11"/>
        <v>218</v>
      </c>
      <c r="T55" s="15">
        <f t="shared" si="6"/>
        <v>97</v>
      </c>
      <c r="U55" s="15">
        <f>ROUND(S55/$U$1,0)</f>
        <v>121</v>
      </c>
      <c r="V55" s="15"/>
      <c r="W55" s="2"/>
      <c r="X55" s="2">
        <f t="shared" si="7"/>
        <v>13.984962406015036</v>
      </c>
      <c r="Y55" s="2">
        <f t="shared" si="23"/>
        <v>5.7894736842105257</v>
      </c>
      <c r="Z55" s="2">
        <v>21</v>
      </c>
      <c r="AA55" s="2">
        <v>26.6</v>
      </c>
      <c r="AB55" s="2">
        <v>21.6</v>
      </c>
      <c r="AC55" s="2">
        <v>20</v>
      </c>
      <c r="AD55" s="2">
        <v>38.200000000000003</v>
      </c>
      <c r="AE55" s="2">
        <v>16</v>
      </c>
      <c r="AF55" s="2">
        <v>27.4</v>
      </c>
      <c r="AG55" s="2">
        <v>32.6</v>
      </c>
      <c r="AH55" s="2" t="s">
        <v>52</v>
      </c>
      <c r="AI55" s="2">
        <f t="shared" si="8"/>
        <v>34.92</v>
      </c>
      <c r="AJ55" s="2">
        <f t="shared" si="9"/>
        <v>43.559999999999995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2" t="s">
        <v>105</v>
      </c>
      <c r="B56" s="2" t="s">
        <v>36</v>
      </c>
      <c r="C56" s="2">
        <v>1</v>
      </c>
      <c r="D56" s="2">
        <v>9</v>
      </c>
      <c r="E56" s="2"/>
      <c r="F56" s="2">
        <v>7</v>
      </c>
      <c r="G56" s="3">
        <v>0.33</v>
      </c>
      <c r="H56" s="2">
        <v>45</v>
      </c>
      <c r="I56" s="2" t="s">
        <v>37</v>
      </c>
      <c r="J56" s="2"/>
      <c r="K56" s="2">
        <v>1</v>
      </c>
      <c r="L56" s="2">
        <f t="shared" si="20"/>
        <v>-1</v>
      </c>
      <c r="M56" s="2"/>
      <c r="N56" s="2"/>
      <c r="O56" s="2">
        <v>25</v>
      </c>
      <c r="P56" s="2"/>
      <c r="Q56" s="2">
        <f t="shared" si="21"/>
        <v>0</v>
      </c>
      <c r="R56" s="15"/>
      <c r="S56" s="15">
        <f t="shared" si="11"/>
        <v>0</v>
      </c>
      <c r="T56" s="15">
        <f t="shared" si="6"/>
        <v>0</v>
      </c>
      <c r="U56" s="15"/>
      <c r="V56" s="15"/>
      <c r="W56" s="2"/>
      <c r="X56" s="2" t="e">
        <f t="shared" si="7"/>
        <v>#DIV/0!</v>
      </c>
      <c r="Y56" s="2" t="e">
        <f t="shared" si="23"/>
        <v>#DIV/0!</v>
      </c>
      <c r="Z56" s="2">
        <v>2.8</v>
      </c>
      <c r="AA56" s="2">
        <v>1.8</v>
      </c>
      <c r="AB56" s="2">
        <v>0.4</v>
      </c>
      <c r="AC56" s="2">
        <v>0.8</v>
      </c>
      <c r="AD56" s="2">
        <v>3.6</v>
      </c>
      <c r="AE56" s="2">
        <v>1.2</v>
      </c>
      <c r="AF56" s="2">
        <v>2</v>
      </c>
      <c r="AG56" s="2">
        <v>3.4</v>
      </c>
      <c r="AH56" s="2"/>
      <c r="AI56" s="2">
        <f t="shared" si="8"/>
        <v>0</v>
      </c>
      <c r="AJ56" s="2">
        <f t="shared" si="9"/>
        <v>0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 t="s">
        <v>106</v>
      </c>
      <c r="B57" s="2" t="s">
        <v>36</v>
      </c>
      <c r="C57" s="2">
        <v>9</v>
      </c>
      <c r="D57" s="2"/>
      <c r="E57" s="2">
        <v>1</v>
      </c>
      <c r="F57" s="2">
        <v>8</v>
      </c>
      <c r="G57" s="3">
        <v>0.33</v>
      </c>
      <c r="H57" s="2">
        <v>45</v>
      </c>
      <c r="I57" s="2" t="s">
        <v>37</v>
      </c>
      <c r="J57" s="2"/>
      <c r="K57" s="2">
        <v>1</v>
      </c>
      <c r="L57" s="2">
        <f t="shared" si="20"/>
        <v>0</v>
      </c>
      <c r="M57" s="2"/>
      <c r="N57" s="2"/>
      <c r="O57" s="2">
        <v>8</v>
      </c>
      <c r="P57" s="2"/>
      <c r="Q57" s="2">
        <f t="shared" si="21"/>
        <v>0.2</v>
      </c>
      <c r="R57" s="15"/>
      <c r="S57" s="15">
        <f t="shared" si="11"/>
        <v>0</v>
      </c>
      <c r="T57" s="15">
        <f t="shared" si="6"/>
        <v>0</v>
      </c>
      <c r="U57" s="15"/>
      <c r="V57" s="15"/>
      <c r="W57" s="2"/>
      <c r="X57" s="2">
        <f t="shared" si="7"/>
        <v>80</v>
      </c>
      <c r="Y57" s="2">
        <f t="shared" si="23"/>
        <v>80</v>
      </c>
      <c r="Z57" s="2">
        <v>1.2</v>
      </c>
      <c r="AA57" s="2">
        <v>0.4</v>
      </c>
      <c r="AB57" s="2">
        <v>0.6</v>
      </c>
      <c r="AC57" s="2">
        <v>0.8</v>
      </c>
      <c r="AD57" s="2">
        <v>0</v>
      </c>
      <c r="AE57" s="2">
        <v>0</v>
      </c>
      <c r="AF57" s="2">
        <v>0</v>
      </c>
      <c r="AG57" s="2">
        <v>-0.2</v>
      </c>
      <c r="AH57" s="19" t="s">
        <v>107</v>
      </c>
      <c r="AI57" s="2">
        <f t="shared" si="8"/>
        <v>0</v>
      </c>
      <c r="AJ57" s="2">
        <f t="shared" si="9"/>
        <v>0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 t="s">
        <v>108</v>
      </c>
      <c r="B58" s="2" t="s">
        <v>36</v>
      </c>
      <c r="C58" s="2">
        <v>44</v>
      </c>
      <c r="D58" s="2">
        <v>160</v>
      </c>
      <c r="E58" s="2">
        <v>33</v>
      </c>
      <c r="F58" s="2">
        <v>98</v>
      </c>
      <c r="G58" s="3">
        <v>0.33</v>
      </c>
      <c r="H58" s="2">
        <v>45</v>
      </c>
      <c r="I58" s="2" t="s">
        <v>37</v>
      </c>
      <c r="J58" s="2"/>
      <c r="K58" s="2">
        <v>36</v>
      </c>
      <c r="L58" s="2">
        <f t="shared" si="20"/>
        <v>-3</v>
      </c>
      <c r="M58" s="2"/>
      <c r="N58" s="2"/>
      <c r="O58" s="2">
        <v>0</v>
      </c>
      <c r="P58" s="2"/>
      <c r="Q58" s="2">
        <f t="shared" si="21"/>
        <v>6.6</v>
      </c>
      <c r="R58" s="15"/>
      <c r="S58" s="15">
        <f t="shared" si="11"/>
        <v>0</v>
      </c>
      <c r="T58" s="15">
        <f t="shared" si="6"/>
        <v>0</v>
      </c>
      <c r="U58" s="15"/>
      <c r="V58" s="15"/>
      <c r="W58" s="2"/>
      <c r="X58" s="2">
        <f t="shared" si="7"/>
        <v>14.84848484848485</v>
      </c>
      <c r="Y58" s="2">
        <f t="shared" si="23"/>
        <v>14.84848484848485</v>
      </c>
      <c r="Z58" s="2">
        <v>4.4000000000000004</v>
      </c>
      <c r="AA58" s="2">
        <v>12.4</v>
      </c>
      <c r="AB58" s="2">
        <v>4.4000000000000004</v>
      </c>
      <c r="AC58" s="2">
        <v>1.6</v>
      </c>
      <c r="AD58" s="2">
        <v>19.600000000000001</v>
      </c>
      <c r="AE58" s="2">
        <v>13.4</v>
      </c>
      <c r="AF58" s="2">
        <v>14</v>
      </c>
      <c r="AG58" s="2">
        <v>27.4</v>
      </c>
      <c r="AH58" s="19" t="s">
        <v>83</v>
      </c>
      <c r="AI58" s="2">
        <f t="shared" si="8"/>
        <v>0</v>
      </c>
      <c r="AJ58" s="2">
        <f t="shared" si="9"/>
        <v>0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10" t="s">
        <v>109</v>
      </c>
      <c r="B59" s="7" t="s">
        <v>39</v>
      </c>
      <c r="C59" s="7"/>
      <c r="D59" s="7">
        <v>1.69</v>
      </c>
      <c r="E59" s="9">
        <v>1.69</v>
      </c>
      <c r="F59" s="7"/>
      <c r="G59" s="8">
        <v>0</v>
      </c>
      <c r="H59" s="7" t="e">
        <v>#N/A</v>
      </c>
      <c r="I59" s="10" t="s">
        <v>79</v>
      </c>
      <c r="J59" s="10" t="s">
        <v>110</v>
      </c>
      <c r="K59" s="7">
        <v>1.5</v>
      </c>
      <c r="L59" s="7">
        <f t="shared" si="20"/>
        <v>0.18999999999999995</v>
      </c>
      <c r="M59" s="7"/>
      <c r="N59" s="7"/>
      <c r="O59" s="7"/>
      <c r="P59" s="7"/>
      <c r="Q59" s="7">
        <f t="shared" si="21"/>
        <v>0.33799999999999997</v>
      </c>
      <c r="R59" s="16"/>
      <c r="S59" s="15">
        <f t="shared" si="11"/>
        <v>0</v>
      </c>
      <c r="T59" s="15">
        <f t="shared" si="6"/>
        <v>0</v>
      </c>
      <c r="U59" s="15"/>
      <c r="V59" s="16"/>
      <c r="W59" s="7"/>
      <c r="X59" s="2">
        <f t="shared" si="7"/>
        <v>0</v>
      </c>
      <c r="Y59" s="7">
        <f t="shared" si="23"/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/>
      <c r="AI59" s="2">
        <f t="shared" si="8"/>
        <v>0</v>
      </c>
      <c r="AJ59" s="2">
        <f t="shared" si="9"/>
        <v>0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2" t="s">
        <v>111</v>
      </c>
      <c r="B60" s="2" t="s">
        <v>36</v>
      </c>
      <c r="C60" s="2">
        <v>15</v>
      </c>
      <c r="D60" s="2">
        <v>1</v>
      </c>
      <c r="E60" s="2">
        <v>11</v>
      </c>
      <c r="F60" s="2">
        <v>4</v>
      </c>
      <c r="G60" s="3">
        <v>0.33</v>
      </c>
      <c r="H60" s="2">
        <v>45</v>
      </c>
      <c r="I60" s="2" t="s">
        <v>37</v>
      </c>
      <c r="J60" s="2"/>
      <c r="K60" s="2">
        <v>11</v>
      </c>
      <c r="L60" s="2">
        <f t="shared" si="20"/>
        <v>0</v>
      </c>
      <c r="M60" s="2"/>
      <c r="N60" s="2"/>
      <c r="O60" s="2">
        <v>16</v>
      </c>
      <c r="P60" s="2"/>
      <c r="Q60" s="2">
        <f t="shared" si="21"/>
        <v>2.2000000000000002</v>
      </c>
      <c r="R60" s="15">
        <f t="shared" ref="R60:R64" si="28">14*Q60-P60-O60-F60</f>
        <v>10.800000000000004</v>
      </c>
      <c r="S60" s="15">
        <f t="shared" si="11"/>
        <v>11</v>
      </c>
      <c r="T60" s="15">
        <f t="shared" si="6"/>
        <v>11</v>
      </c>
      <c r="U60" s="15"/>
      <c r="V60" s="15"/>
      <c r="W60" s="2"/>
      <c r="X60" s="2">
        <f t="shared" si="7"/>
        <v>14.09090909090909</v>
      </c>
      <c r="Y60" s="2">
        <f t="shared" si="23"/>
        <v>9.0909090909090899</v>
      </c>
      <c r="Z60" s="2">
        <v>2</v>
      </c>
      <c r="AA60" s="2">
        <v>0.4</v>
      </c>
      <c r="AB60" s="2">
        <v>2.6</v>
      </c>
      <c r="AC60" s="2">
        <v>1.4</v>
      </c>
      <c r="AD60" s="2">
        <v>2.8</v>
      </c>
      <c r="AE60" s="2">
        <v>1.4</v>
      </c>
      <c r="AF60" s="2">
        <v>2.8</v>
      </c>
      <c r="AG60" s="2">
        <v>2.6</v>
      </c>
      <c r="AH60" s="2" t="s">
        <v>52</v>
      </c>
      <c r="AI60" s="2">
        <f t="shared" si="8"/>
        <v>3.6300000000000003</v>
      </c>
      <c r="AJ60" s="2">
        <f t="shared" si="9"/>
        <v>0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 t="s">
        <v>112</v>
      </c>
      <c r="B61" s="2" t="s">
        <v>39</v>
      </c>
      <c r="C61" s="2">
        <v>226.06800000000001</v>
      </c>
      <c r="D61" s="2">
        <v>16.876999999999999</v>
      </c>
      <c r="E61" s="2">
        <v>140.185</v>
      </c>
      <c r="F61" s="2">
        <v>90.725999999999999</v>
      </c>
      <c r="G61" s="3">
        <v>1</v>
      </c>
      <c r="H61" s="2">
        <v>45</v>
      </c>
      <c r="I61" s="2" t="s">
        <v>37</v>
      </c>
      <c r="J61" s="2"/>
      <c r="K61" s="2">
        <v>139.9</v>
      </c>
      <c r="L61" s="2">
        <f t="shared" si="20"/>
        <v>0.28499999999999659</v>
      </c>
      <c r="M61" s="2"/>
      <c r="N61" s="2"/>
      <c r="O61" s="2">
        <v>143.45454545454501</v>
      </c>
      <c r="P61" s="2">
        <v>119.545454545455</v>
      </c>
      <c r="Q61" s="2">
        <f t="shared" si="21"/>
        <v>28.036999999999999</v>
      </c>
      <c r="R61" s="15">
        <f t="shared" si="28"/>
        <v>38.791999999999945</v>
      </c>
      <c r="S61" s="15">
        <f t="shared" si="11"/>
        <v>39</v>
      </c>
      <c r="T61" s="15">
        <f t="shared" si="6"/>
        <v>39</v>
      </c>
      <c r="U61" s="15"/>
      <c r="V61" s="15"/>
      <c r="W61" s="2"/>
      <c r="X61" s="2">
        <f t="shared" si="7"/>
        <v>14.007418768056498</v>
      </c>
      <c r="Y61" s="2">
        <f t="shared" si="23"/>
        <v>12.616399757463352</v>
      </c>
      <c r="Z61" s="2">
        <v>35.862200000000001</v>
      </c>
      <c r="AA61" s="2">
        <v>30.038399999999999</v>
      </c>
      <c r="AB61" s="2">
        <v>40.593800000000002</v>
      </c>
      <c r="AC61" s="2">
        <v>28.529599999999999</v>
      </c>
      <c r="AD61" s="2">
        <v>38.642800000000001</v>
      </c>
      <c r="AE61" s="2">
        <v>30.709800000000001</v>
      </c>
      <c r="AF61" s="2">
        <v>39.011000000000003</v>
      </c>
      <c r="AG61" s="2">
        <v>40.2378</v>
      </c>
      <c r="AH61" s="2"/>
      <c r="AI61" s="2">
        <f t="shared" si="8"/>
        <v>39</v>
      </c>
      <c r="AJ61" s="2">
        <f t="shared" si="9"/>
        <v>0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 t="s">
        <v>113</v>
      </c>
      <c r="B62" s="2" t="s">
        <v>39</v>
      </c>
      <c r="C62" s="2">
        <v>30.285</v>
      </c>
      <c r="D62" s="2"/>
      <c r="E62" s="2"/>
      <c r="F62" s="2">
        <v>30.285</v>
      </c>
      <c r="G62" s="3">
        <v>1</v>
      </c>
      <c r="H62" s="2">
        <v>30</v>
      </c>
      <c r="I62" s="2" t="s">
        <v>37</v>
      </c>
      <c r="J62" s="2"/>
      <c r="K62" s="2">
        <v>0.3</v>
      </c>
      <c r="L62" s="2">
        <f t="shared" si="20"/>
        <v>-0.3</v>
      </c>
      <c r="M62" s="2"/>
      <c r="N62" s="2"/>
      <c r="O62" s="2">
        <v>0</v>
      </c>
      <c r="P62" s="2"/>
      <c r="Q62" s="2">
        <f t="shared" si="21"/>
        <v>0</v>
      </c>
      <c r="R62" s="15"/>
      <c r="S62" s="15">
        <f t="shared" si="11"/>
        <v>0</v>
      </c>
      <c r="T62" s="15">
        <f t="shared" si="6"/>
        <v>0</v>
      </c>
      <c r="U62" s="15"/>
      <c r="V62" s="15"/>
      <c r="W62" s="2"/>
      <c r="X62" s="2" t="e">
        <f t="shared" si="7"/>
        <v>#DIV/0!</v>
      </c>
      <c r="Y62" s="2" t="e">
        <f t="shared" si="23"/>
        <v>#DIV/0!</v>
      </c>
      <c r="Z62" s="2">
        <v>6.5799999999999997E-2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19" t="s">
        <v>114</v>
      </c>
      <c r="AI62" s="2">
        <f t="shared" si="8"/>
        <v>0</v>
      </c>
      <c r="AJ62" s="2">
        <f t="shared" si="9"/>
        <v>0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2" t="s">
        <v>115</v>
      </c>
      <c r="B63" s="2" t="s">
        <v>36</v>
      </c>
      <c r="C63" s="2">
        <v>31</v>
      </c>
      <c r="D63" s="2">
        <v>10</v>
      </c>
      <c r="E63" s="2">
        <v>39</v>
      </c>
      <c r="F63" s="2"/>
      <c r="G63" s="3">
        <v>0.1</v>
      </c>
      <c r="H63" s="2">
        <v>60</v>
      </c>
      <c r="I63" s="2" t="s">
        <v>37</v>
      </c>
      <c r="J63" s="2"/>
      <c r="K63" s="2">
        <v>73</v>
      </c>
      <c r="L63" s="2">
        <f t="shared" si="20"/>
        <v>-34</v>
      </c>
      <c r="M63" s="2"/>
      <c r="N63" s="2"/>
      <c r="O63" s="2">
        <v>0</v>
      </c>
      <c r="P63" s="2"/>
      <c r="Q63" s="2">
        <f t="shared" si="21"/>
        <v>7.8</v>
      </c>
      <c r="R63" s="15">
        <f>9*Q63-P63-O63-F63</f>
        <v>70.2</v>
      </c>
      <c r="S63" s="15">
        <f t="shared" ref="S63:S64" si="29">V63</f>
        <v>100</v>
      </c>
      <c r="T63" s="15">
        <f t="shared" si="6"/>
        <v>100</v>
      </c>
      <c r="U63" s="15"/>
      <c r="V63" s="15">
        <v>100</v>
      </c>
      <c r="W63" s="2"/>
      <c r="X63" s="2">
        <f t="shared" si="7"/>
        <v>12.820512820512821</v>
      </c>
      <c r="Y63" s="2">
        <f t="shared" si="23"/>
        <v>0</v>
      </c>
      <c r="Z63" s="2">
        <v>0.2</v>
      </c>
      <c r="AA63" s="2">
        <v>3.6</v>
      </c>
      <c r="AB63" s="2">
        <v>0.4</v>
      </c>
      <c r="AC63" s="2">
        <v>2.8</v>
      </c>
      <c r="AD63" s="2">
        <v>1</v>
      </c>
      <c r="AE63" s="2">
        <v>6.8</v>
      </c>
      <c r="AF63" s="2">
        <v>3</v>
      </c>
      <c r="AG63" s="2">
        <v>1</v>
      </c>
      <c r="AH63" s="2"/>
      <c r="AI63" s="2">
        <f t="shared" si="8"/>
        <v>10</v>
      </c>
      <c r="AJ63" s="2">
        <f t="shared" si="9"/>
        <v>0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2" t="s">
        <v>116</v>
      </c>
      <c r="B64" s="2" t="s">
        <v>36</v>
      </c>
      <c r="C64" s="2">
        <v>57</v>
      </c>
      <c r="D64" s="2">
        <v>16</v>
      </c>
      <c r="E64" s="2">
        <v>42</v>
      </c>
      <c r="F64" s="2">
        <v>4</v>
      </c>
      <c r="G64" s="3">
        <v>0.4</v>
      </c>
      <c r="H64" s="2">
        <v>45</v>
      </c>
      <c r="I64" s="2" t="s">
        <v>37</v>
      </c>
      <c r="J64" s="2"/>
      <c r="K64" s="2">
        <v>78</v>
      </c>
      <c r="L64" s="2">
        <f t="shared" si="20"/>
        <v>-36</v>
      </c>
      <c r="M64" s="2"/>
      <c r="N64" s="2"/>
      <c r="O64" s="2">
        <v>63</v>
      </c>
      <c r="P64" s="2"/>
      <c r="Q64" s="2">
        <f t="shared" si="21"/>
        <v>8.4</v>
      </c>
      <c r="R64" s="15">
        <f t="shared" si="28"/>
        <v>50.600000000000009</v>
      </c>
      <c r="S64" s="15">
        <f t="shared" si="29"/>
        <v>100</v>
      </c>
      <c r="T64" s="15">
        <f t="shared" si="6"/>
        <v>100</v>
      </c>
      <c r="U64" s="15"/>
      <c r="V64" s="15">
        <v>100</v>
      </c>
      <c r="W64" s="2"/>
      <c r="X64" s="2">
        <f t="shared" si="7"/>
        <v>19.88095238095238</v>
      </c>
      <c r="Y64" s="2">
        <f t="shared" si="23"/>
        <v>7.9761904761904763</v>
      </c>
      <c r="Z64" s="2">
        <v>9.6</v>
      </c>
      <c r="AA64" s="2">
        <v>7.4</v>
      </c>
      <c r="AB64" s="2">
        <v>8.4</v>
      </c>
      <c r="AC64" s="2">
        <v>12.4</v>
      </c>
      <c r="AD64" s="2">
        <v>9.8000000000000007</v>
      </c>
      <c r="AE64" s="2">
        <v>5.6</v>
      </c>
      <c r="AF64" s="2">
        <v>13.4</v>
      </c>
      <c r="AG64" s="2">
        <v>4.8</v>
      </c>
      <c r="AH64" s="2"/>
      <c r="AI64" s="2">
        <f t="shared" si="8"/>
        <v>40</v>
      </c>
      <c r="AJ64" s="2">
        <f t="shared" si="9"/>
        <v>0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 t="s">
        <v>117</v>
      </c>
      <c r="B65" s="2" t="s">
        <v>39</v>
      </c>
      <c r="C65" s="2">
        <v>20.972000000000001</v>
      </c>
      <c r="D65" s="2">
        <v>3.01</v>
      </c>
      <c r="E65" s="2">
        <v>14.991</v>
      </c>
      <c r="F65" s="2">
        <v>5.9809999999999999</v>
      </c>
      <c r="G65" s="3">
        <v>1</v>
      </c>
      <c r="H65" s="2">
        <v>60</v>
      </c>
      <c r="I65" s="2" t="s">
        <v>37</v>
      </c>
      <c r="J65" s="2"/>
      <c r="K65" s="2">
        <v>14</v>
      </c>
      <c r="L65" s="2">
        <f t="shared" si="20"/>
        <v>0.99099999999999966</v>
      </c>
      <c r="M65" s="2"/>
      <c r="N65" s="2"/>
      <c r="O65" s="2">
        <v>0</v>
      </c>
      <c r="P65" s="2"/>
      <c r="Q65" s="2">
        <f t="shared" si="21"/>
        <v>2.9981999999999998</v>
      </c>
      <c r="R65" s="15">
        <f>11*Q65-P65-O65-F65</f>
        <v>26.999199999999995</v>
      </c>
      <c r="S65" s="15">
        <f t="shared" si="11"/>
        <v>27</v>
      </c>
      <c r="T65" s="15">
        <f t="shared" si="6"/>
        <v>27</v>
      </c>
      <c r="U65" s="15"/>
      <c r="V65" s="15"/>
      <c r="W65" s="2"/>
      <c r="X65" s="2">
        <f t="shared" si="7"/>
        <v>11.000266826762726</v>
      </c>
      <c r="Y65" s="2">
        <f t="shared" si="23"/>
        <v>1.9948635848175573</v>
      </c>
      <c r="Z65" s="2">
        <v>4.5065999999999997</v>
      </c>
      <c r="AA65" s="2">
        <v>2.5417999999999998</v>
      </c>
      <c r="AB65" s="2">
        <v>4.1840000000000002</v>
      </c>
      <c r="AC65" s="2">
        <v>2.6591999999999998</v>
      </c>
      <c r="AD65" s="2">
        <v>3.8010000000000002</v>
      </c>
      <c r="AE65" s="2">
        <v>6.5679999999999996</v>
      </c>
      <c r="AF65" s="2">
        <v>1.212</v>
      </c>
      <c r="AG65" s="2">
        <v>5.819</v>
      </c>
      <c r="AH65" s="2" t="s">
        <v>118</v>
      </c>
      <c r="AI65" s="2">
        <f t="shared" si="8"/>
        <v>27</v>
      </c>
      <c r="AJ65" s="2">
        <f t="shared" si="9"/>
        <v>0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7" t="s">
        <v>119</v>
      </c>
      <c r="B66" s="7" t="s">
        <v>39</v>
      </c>
      <c r="C66" s="7">
        <v>4.2409999999999997</v>
      </c>
      <c r="D66" s="7"/>
      <c r="E66" s="7"/>
      <c r="F66" s="7">
        <v>4.2409999999999997</v>
      </c>
      <c r="G66" s="8">
        <v>0</v>
      </c>
      <c r="H66" s="7">
        <v>90</v>
      </c>
      <c r="I66" s="7" t="s">
        <v>79</v>
      </c>
      <c r="J66" s="7"/>
      <c r="K66" s="7"/>
      <c r="L66" s="7">
        <f t="shared" si="20"/>
        <v>0</v>
      </c>
      <c r="M66" s="7"/>
      <c r="N66" s="7"/>
      <c r="O66" s="7">
        <v>0</v>
      </c>
      <c r="P66" s="7"/>
      <c r="Q66" s="7">
        <f t="shared" si="21"/>
        <v>0</v>
      </c>
      <c r="R66" s="16"/>
      <c r="S66" s="15">
        <f t="shared" si="11"/>
        <v>0</v>
      </c>
      <c r="T66" s="15">
        <f t="shared" si="6"/>
        <v>0</v>
      </c>
      <c r="U66" s="15"/>
      <c r="V66" s="16"/>
      <c r="W66" s="7"/>
      <c r="X66" s="2" t="e">
        <f t="shared" si="7"/>
        <v>#DIV/0!</v>
      </c>
      <c r="Y66" s="7" t="e">
        <f t="shared" si="23"/>
        <v>#DIV/0!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 t="s">
        <v>120</v>
      </c>
      <c r="AI66" s="2">
        <f t="shared" si="8"/>
        <v>0</v>
      </c>
      <c r="AJ66" s="2">
        <f t="shared" si="9"/>
        <v>0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10" t="s">
        <v>121</v>
      </c>
      <c r="B67" s="7" t="s">
        <v>36</v>
      </c>
      <c r="C67" s="7"/>
      <c r="D67" s="7">
        <v>56</v>
      </c>
      <c r="E67" s="9">
        <v>13</v>
      </c>
      <c r="F67" s="9">
        <v>43</v>
      </c>
      <c r="G67" s="8">
        <v>0</v>
      </c>
      <c r="H67" s="7" t="e">
        <v>#N/A</v>
      </c>
      <c r="I67" s="10" t="s">
        <v>79</v>
      </c>
      <c r="J67" s="10" t="s">
        <v>122</v>
      </c>
      <c r="K67" s="7">
        <v>13</v>
      </c>
      <c r="L67" s="7">
        <f t="shared" si="20"/>
        <v>0</v>
      </c>
      <c r="M67" s="7"/>
      <c r="N67" s="7"/>
      <c r="O67" s="7"/>
      <c r="P67" s="7"/>
      <c r="Q67" s="7">
        <f t="shared" si="21"/>
        <v>2.6</v>
      </c>
      <c r="R67" s="16"/>
      <c r="S67" s="15">
        <f t="shared" si="11"/>
        <v>0</v>
      </c>
      <c r="T67" s="15">
        <f t="shared" si="6"/>
        <v>0</v>
      </c>
      <c r="U67" s="15"/>
      <c r="V67" s="16"/>
      <c r="W67" s="7"/>
      <c r="X67" s="2">
        <f t="shared" si="7"/>
        <v>16.538461538461537</v>
      </c>
      <c r="Y67" s="7">
        <f t="shared" si="23"/>
        <v>16.538461538461537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/>
      <c r="AI67" s="2">
        <f t="shared" si="8"/>
        <v>0</v>
      </c>
      <c r="AJ67" s="2">
        <f t="shared" si="9"/>
        <v>0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 t="s">
        <v>123</v>
      </c>
      <c r="B68" s="2" t="s">
        <v>36</v>
      </c>
      <c r="C68" s="2">
        <v>113</v>
      </c>
      <c r="D68" s="2">
        <v>116</v>
      </c>
      <c r="E68" s="2">
        <v>72</v>
      </c>
      <c r="F68" s="2">
        <v>72</v>
      </c>
      <c r="G68" s="3">
        <v>0.25</v>
      </c>
      <c r="H68" s="2">
        <v>120</v>
      </c>
      <c r="I68" s="2" t="s">
        <v>37</v>
      </c>
      <c r="J68" s="2"/>
      <c r="K68" s="2">
        <v>71</v>
      </c>
      <c r="L68" s="2">
        <f t="shared" si="20"/>
        <v>1</v>
      </c>
      <c r="M68" s="2"/>
      <c r="N68" s="2"/>
      <c r="O68" s="2">
        <v>27</v>
      </c>
      <c r="P68" s="2"/>
      <c r="Q68" s="2">
        <f t="shared" si="21"/>
        <v>14.4</v>
      </c>
      <c r="R68" s="15">
        <f t="shared" ref="R68:R72" si="30">14*Q68-P68-O68-F68</f>
        <v>102.6</v>
      </c>
      <c r="S68" s="15">
        <f>V68</f>
        <v>150</v>
      </c>
      <c r="T68" s="15">
        <f t="shared" si="6"/>
        <v>150</v>
      </c>
      <c r="U68" s="15"/>
      <c r="V68" s="15">
        <v>150</v>
      </c>
      <c r="W68" s="2"/>
      <c r="X68" s="2">
        <f t="shared" si="7"/>
        <v>17.291666666666668</v>
      </c>
      <c r="Y68" s="2">
        <f t="shared" si="23"/>
        <v>6.875</v>
      </c>
      <c r="Z68" s="2">
        <v>11.4</v>
      </c>
      <c r="AA68" s="2">
        <v>14.2</v>
      </c>
      <c r="AB68" s="2">
        <v>18.2</v>
      </c>
      <c r="AC68" s="2">
        <v>14.4</v>
      </c>
      <c r="AD68" s="2">
        <v>13.2</v>
      </c>
      <c r="AE68" s="2">
        <v>18.600000000000001</v>
      </c>
      <c r="AF68" s="2">
        <v>11</v>
      </c>
      <c r="AG68" s="2">
        <v>3</v>
      </c>
      <c r="AH68" s="2" t="s">
        <v>124</v>
      </c>
      <c r="AI68" s="2">
        <f t="shared" si="8"/>
        <v>37.5</v>
      </c>
      <c r="AJ68" s="2">
        <f t="shared" si="9"/>
        <v>0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 t="s">
        <v>125</v>
      </c>
      <c r="B69" s="2" t="s">
        <v>39</v>
      </c>
      <c r="C69" s="2">
        <v>45.835000000000001</v>
      </c>
      <c r="D69" s="2">
        <v>3.12</v>
      </c>
      <c r="E69" s="2">
        <v>28.030999999999999</v>
      </c>
      <c r="F69" s="2">
        <v>17.803999999999998</v>
      </c>
      <c r="G69" s="3">
        <v>1</v>
      </c>
      <c r="H69" s="2">
        <v>45</v>
      </c>
      <c r="I69" s="2" t="s">
        <v>37</v>
      </c>
      <c r="J69" s="2"/>
      <c r="K69" s="2">
        <v>27</v>
      </c>
      <c r="L69" s="2">
        <f t="shared" si="20"/>
        <v>1.0309999999999988</v>
      </c>
      <c r="M69" s="2"/>
      <c r="N69" s="2"/>
      <c r="O69" s="2">
        <v>0</v>
      </c>
      <c r="P69" s="2"/>
      <c r="Q69" s="2">
        <f t="shared" si="21"/>
        <v>5.6061999999999994</v>
      </c>
      <c r="R69" s="15">
        <f>12*Q69-P69-O69-F69</f>
        <v>49.470399999999984</v>
      </c>
      <c r="S69" s="15">
        <f t="shared" si="11"/>
        <v>49</v>
      </c>
      <c r="T69" s="15">
        <f t="shared" si="6"/>
        <v>49</v>
      </c>
      <c r="U69" s="15"/>
      <c r="V69" s="15"/>
      <c r="W69" s="2"/>
      <c r="X69" s="2">
        <f t="shared" si="7"/>
        <v>11.916092897149586</v>
      </c>
      <c r="Y69" s="2">
        <f t="shared" si="23"/>
        <v>3.1757696835646247</v>
      </c>
      <c r="Z69" s="2">
        <v>0.20799999999999999</v>
      </c>
      <c r="AA69" s="2">
        <v>0.76339999999999997</v>
      </c>
      <c r="AB69" s="2">
        <v>4.7972000000000001</v>
      </c>
      <c r="AC69" s="2">
        <v>1.4456</v>
      </c>
      <c r="AD69" s="2">
        <v>2.1696</v>
      </c>
      <c r="AE69" s="2">
        <v>2.21</v>
      </c>
      <c r="AF69" s="2">
        <v>2.3235999999999999</v>
      </c>
      <c r="AG69" s="2">
        <v>1.9046000000000001</v>
      </c>
      <c r="AH69" s="2"/>
      <c r="AI69" s="2">
        <f t="shared" si="8"/>
        <v>49</v>
      </c>
      <c r="AJ69" s="2">
        <f t="shared" si="9"/>
        <v>0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2" t="s">
        <v>126</v>
      </c>
      <c r="B70" s="2" t="s">
        <v>36</v>
      </c>
      <c r="C70" s="2">
        <v>211</v>
      </c>
      <c r="D70" s="2">
        <v>928</v>
      </c>
      <c r="E70" s="2">
        <v>511</v>
      </c>
      <c r="F70" s="2">
        <v>579</v>
      </c>
      <c r="G70" s="3">
        <v>0.41</v>
      </c>
      <c r="H70" s="2">
        <v>50</v>
      </c>
      <c r="I70" s="2" t="s">
        <v>37</v>
      </c>
      <c r="J70" s="2"/>
      <c r="K70" s="2">
        <v>558</v>
      </c>
      <c r="L70" s="2">
        <f t="shared" ref="L70:L98" si="31">E70-K70</f>
        <v>-47</v>
      </c>
      <c r="M70" s="2"/>
      <c r="N70" s="2"/>
      <c r="O70" s="2">
        <v>301</v>
      </c>
      <c r="P70" s="2">
        <v>301</v>
      </c>
      <c r="Q70" s="2">
        <f t="shared" ref="Q70:Q98" si="32">E70/5</f>
        <v>102.2</v>
      </c>
      <c r="R70" s="15">
        <f t="shared" si="30"/>
        <v>249.79999999999995</v>
      </c>
      <c r="S70" s="15">
        <f t="shared" si="11"/>
        <v>250</v>
      </c>
      <c r="T70" s="15">
        <f t="shared" si="6"/>
        <v>112</v>
      </c>
      <c r="U70" s="15">
        <f t="shared" ref="U70:U72" si="33">ROUND(S70/$U$1,0)</f>
        <v>138</v>
      </c>
      <c r="V70" s="15"/>
      <c r="W70" s="2"/>
      <c r="X70" s="2">
        <f t="shared" si="7"/>
        <v>14.001956947162427</v>
      </c>
      <c r="Y70" s="2">
        <f t="shared" ref="Y70:Y98" si="34">(F70+O70+P70)/Q70</f>
        <v>11.555772994129159</v>
      </c>
      <c r="Z70" s="2">
        <v>121.2</v>
      </c>
      <c r="AA70" s="2">
        <v>115</v>
      </c>
      <c r="AB70" s="2">
        <v>101</v>
      </c>
      <c r="AC70" s="2">
        <v>108</v>
      </c>
      <c r="AD70" s="2">
        <v>130.4</v>
      </c>
      <c r="AE70" s="2">
        <v>128</v>
      </c>
      <c r="AF70" s="2">
        <v>126.2</v>
      </c>
      <c r="AG70" s="2">
        <v>122</v>
      </c>
      <c r="AH70" s="2"/>
      <c r="AI70" s="2">
        <f t="shared" si="8"/>
        <v>45.919999999999995</v>
      </c>
      <c r="AJ70" s="2">
        <f t="shared" si="9"/>
        <v>56.58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 t="s">
        <v>127</v>
      </c>
      <c r="B71" s="2" t="s">
        <v>39</v>
      </c>
      <c r="C71" s="2">
        <v>93.843000000000004</v>
      </c>
      <c r="D71" s="2">
        <v>129.98099999999999</v>
      </c>
      <c r="E71" s="2">
        <v>151.82300000000001</v>
      </c>
      <c r="F71" s="2">
        <v>64.177000000000007</v>
      </c>
      <c r="G71" s="3">
        <v>1</v>
      </c>
      <c r="H71" s="2">
        <v>50</v>
      </c>
      <c r="I71" s="2" t="s">
        <v>37</v>
      </c>
      <c r="J71" s="2"/>
      <c r="K71" s="2">
        <v>146.80000000000001</v>
      </c>
      <c r="L71" s="2">
        <f t="shared" si="31"/>
        <v>5.0229999999999961</v>
      </c>
      <c r="M71" s="2"/>
      <c r="N71" s="2"/>
      <c r="O71" s="2">
        <v>55</v>
      </c>
      <c r="P71" s="2"/>
      <c r="Q71" s="2">
        <f t="shared" si="32"/>
        <v>30.364600000000003</v>
      </c>
      <c r="R71" s="15">
        <f>13*Q71-P71-O71-F71</f>
        <v>275.56280000000004</v>
      </c>
      <c r="S71" s="15">
        <f t="shared" ref="S71:S98" si="35">ROUND(R71,0)</f>
        <v>276</v>
      </c>
      <c r="T71" s="15">
        <f t="shared" ref="T71:T98" si="36">S71-U71</f>
        <v>123</v>
      </c>
      <c r="U71" s="15">
        <f t="shared" si="33"/>
        <v>153</v>
      </c>
      <c r="V71" s="15"/>
      <c r="W71" s="2"/>
      <c r="X71" s="2">
        <f t="shared" ref="X71:X98" si="37">(F71+O71+P71+S71)/Q71</f>
        <v>13.01439834544173</v>
      </c>
      <c r="Y71" s="2">
        <f t="shared" si="34"/>
        <v>3.9248664563340205</v>
      </c>
      <c r="Z71" s="2">
        <v>19.2042</v>
      </c>
      <c r="AA71" s="2">
        <v>22.319400000000002</v>
      </c>
      <c r="AB71" s="2">
        <v>21.602599999999999</v>
      </c>
      <c r="AC71" s="2">
        <v>19.901</v>
      </c>
      <c r="AD71" s="2">
        <v>22.6404</v>
      </c>
      <c r="AE71" s="2">
        <v>21.871200000000002</v>
      </c>
      <c r="AF71" s="2">
        <v>21.9284</v>
      </c>
      <c r="AG71" s="2">
        <v>24.188800000000001</v>
      </c>
      <c r="AH71" s="2"/>
      <c r="AI71" s="2">
        <f t="shared" ref="AI71:AI98" si="38">G71*T71</f>
        <v>123</v>
      </c>
      <c r="AJ71" s="2">
        <f t="shared" ref="AJ71:AJ98" si="39">G71*U71</f>
        <v>153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 t="s">
        <v>128</v>
      </c>
      <c r="B72" s="2" t="s">
        <v>36</v>
      </c>
      <c r="C72" s="2">
        <v>246</v>
      </c>
      <c r="D72" s="2">
        <v>6</v>
      </c>
      <c r="E72" s="2">
        <v>210</v>
      </c>
      <c r="F72" s="2">
        <v>26</v>
      </c>
      <c r="G72" s="3">
        <v>0.35</v>
      </c>
      <c r="H72" s="2">
        <v>50</v>
      </c>
      <c r="I72" s="2" t="s">
        <v>37</v>
      </c>
      <c r="J72" s="2"/>
      <c r="K72" s="2">
        <v>215</v>
      </c>
      <c r="L72" s="2">
        <f t="shared" si="31"/>
        <v>-5</v>
      </c>
      <c r="M72" s="2"/>
      <c r="N72" s="2"/>
      <c r="O72" s="2">
        <v>114.5</v>
      </c>
      <c r="P72" s="2">
        <v>114.5</v>
      </c>
      <c r="Q72" s="2">
        <f t="shared" si="32"/>
        <v>42</v>
      </c>
      <c r="R72" s="15">
        <f t="shared" si="30"/>
        <v>333</v>
      </c>
      <c r="S72" s="15">
        <f>V72</f>
        <v>400</v>
      </c>
      <c r="T72" s="15">
        <f t="shared" si="36"/>
        <v>179</v>
      </c>
      <c r="U72" s="15">
        <f t="shared" si="33"/>
        <v>221</v>
      </c>
      <c r="V72" s="15">
        <v>400</v>
      </c>
      <c r="W72" s="2"/>
      <c r="X72" s="2">
        <f t="shared" si="37"/>
        <v>15.595238095238095</v>
      </c>
      <c r="Y72" s="2">
        <f t="shared" si="34"/>
        <v>6.0714285714285712</v>
      </c>
      <c r="Z72" s="2">
        <v>33.200000000000003</v>
      </c>
      <c r="AA72" s="2">
        <v>26.2</v>
      </c>
      <c r="AB72" s="2">
        <v>39.4</v>
      </c>
      <c r="AC72" s="2">
        <v>27.8</v>
      </c>
      <c r="AD72" s="2">
        <v>49.8</v>
      </c>
      <c r="AE72" s="2">
        <v>27.6</v>
      </c>
      <c r="AF72" s="2">
        <v>41.6</v>
      </c>
      <c r="AG72" s="2">
        <v>42.2</v>
      </c>
      <c r="AH72" s="2"/>
      <c r="AI72" s="2">
        <f t="shared" si="38"/>
        <v>62.65</v>
      </c>
      <c r="AJ72" s="2">
        <f t="shared" si="39"/>
        <v>77.349999999999994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 t="s">
        <v>129</v>
      </c>
      <c r="B73" s="2" t="s">
        <v>39</v>
      </c>
      <c r="C73" s="2">
        <v>15.515000000000001</v>
      </c>
      <c r="D73" s="2">
        <v>3.0659999999999998</v>
      </c>
      <c r="E73" s="2">
        <v>3.0790000000000002</v>
      </c>
      <c r="F73" s="2">
        <v>12.436</v>
      </c>
      <c r="G73" s="3">
        <v>1</v>
      </c>
      <c r="H73" s="2">
        <v>50</v>
      </c>
      <c r="I73" s="2" t="s">
        <v>37</v>
      </c>
      <c r="J73" s="2"/>
      <c r="K73" s="2">
        <v>3</v>
      </c>
      <c r="L73" s="2">
        <f t="shared" si="31"/>
        <v>7.9000000000000181E-2</v>
      </c>
      <c r="M73" s="2"/>
      <c r="N73" s="2"/>
      <c r="O73" s="2">
        <v>0</v>
      </c>
      <c r="P73" s="2"/>
      <c r="Q73" s="2">
        <f t="shared" si="32"/>
        <v>0.61580000000000001</v>
      </c>
      <c r="R73" s="15"/>
      <c r="S73" s="15">
        <f t="shared" si="35"/>
        <v>0</v>
      </c>
      <c r="T73" s="15">
        <f t="shared" si="36"/>
        <v>0</v>
      </c>
      <c r="U73" s="15"/>
      <c r="V73" s="15"/>
      <c r="W73" s="2"/>
      <c r="X73" s="2">
        <f t="shared" si="37"/>
        <v>20.194868463786943</v>
      </c>
      <c r="Y73" s="2">
        <f t="shared" si="34"/>
        <v>20.194868463786943</v>
      </c>
      <c r="Z73" s="2">
        <v>0.60699999999999998</v>
      </c>
      <c r="AA73" s="2">
        <v>1.5376000000000001</v>
      </c>
      <c r="AB73" s="2">
        <v>0.30819999999999997</v>
      </c>
      <c r="AC73" s="2">
        <v>0.93479999999999996</v>
      </c>
      <c r="AD73" s="2">
        <v>0</v>
      </c>
      <c r="AE73" s="2">
        <v>0.31459999999999999</v>
      </c>
      <c r="AF73" s="2">
        <v>3.1534</v>
      </c>
      <c r="AG73" s="2">
        <v>1.2587999999999999</v>
      </c>
      <c r="AH73" s="17" t="s">
        <v>66</v>
      </c>
      <c r="AI73" s="2">
        <f t="shared" si="38"/>
        <v>0</v>
      </c>
      <c r="AJ73" s="2">
        <f t="shared" si="39"/>
        <v>0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7" t="s">
        <v>130</v>
      </c>
      <c r="B74" s="7" t="s">
        <v>36</v>
      </c>
      <c r="C74" s="7"/>
      <c r="D74" s="7">
        <v>1</v>
      </c>
      <c r="E74" s="7">
        <v>-1</v>
      </c>
      <c r="F74" s="7">
        <v>-1</v>
      </c>
      <c r="G74" s="8">
        <v>0</v>
      </c>
      <c r="H74" s="7">
        <v>50</v>
      </c>
      <c r="I74" s="7" t="s">
        <v>57</v>
      </c>
      <c r="J74" s="7"/>
      <c r="K74" s="7">
        <v>35</v>
      </c>
      <c r="L74" s="7">
        <f t="shared" si="31"/>
        <v>-36</v>
      </c>
      <c r="M74" s="7"/>
      <c r="N74" s="7"/>
      <c r="O74" s="7">
        <v>0</v>
      </c>
      <c r="P74" s="7"/>
      <c r="Q74" s="7">
        <f t="shared" si="32"/>
        <v>-0.2</v>
      </c>
      <c r="R74" s="16"/>
      <c r="S74" s="15">
        <f t="shared" si="35"/>
        <v>0</v>
      </c>
      <c r="T74" s="15">
        <f t="shared" si="36"/>
        <v>0</v>
      </c>
      <c r="U74" s="15"/>
      <c r="V74" s="16"/>
      <c r="W74" s="7"/>
      <c r="X74" s="2">
        <f t="shared" si="37"/>
        <v>5</v>
      </c>
      <c r="Y74" s="7">
        <f t="shared" si="34"/>
        <v>5</v>
      </c>
      <c r="Z74" s="7">
        <v>11</v>
      </c>
      <c r="AA74" s="7">
        <v>73.400000000000006</v>
      </c>
      <c r="AB74" s="7">
        <v>85.4</v>
      </c>
      <c r="AC74" s="7">
        <v>94.6</v>
      </c>
      <c r="AD74" s="7">
        <v>116.2</v>
      </c>
      <c r="AE74" s="7">
        <v>93.6</v>
      </c>
      <c r="AF74" s="7">
        <v>72.2</v>
      </c>
      <c r="AG74" s="7">
        <v>112.6</v>
      </c>
      <c r="AH74" s="7" t="s">
        <v>131</v>
      </c>
      <c r="AI74" s="2">
        <f t="shared" si="38"/>
        <v>0</v>
      </c>
      <c r="AJ74" s="2">
        <f t="shared" si="39"/>
        <v>0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 t="s">
        <v>132</v>
      </c>
      <c r="B75" s="2" t="s">
        <v>36</v>
      </c>
      <c r="C75" s="2">
        <v>474</v>
      </c>
      <c r="D75" s="2">
        <v>1124</v>
      </c>
      <c r="E75" s="2">
        <v>587</v>
      </c>
      <c r="F75" s="2">
        <v>581</v>
      </c>
      <c r="G75" s="3">
        <v>0.41</v>
      </c>
      <c r="H75" s="2">
        <v>50</v>
      </c>
      <c r="I75" s="2" t="s">
        <v>37</v>
      </c>
      <c r="J75" s="2"/>
      <c r="K75" s="2">
        <v>600</v>
      </c>
      <c r="L75" s="2">
        <f t="shared" si="31"/>
        <v>-13</v>
      </c>
      <c r="M75" s="2"/>
      <c r="N75" s="2"/>
      <c r="O75" s="2">
        <v>0</v>
      </c>
      <c r="P75" s="2">
        <v>257</v>
      </c>
      <c r="Q75" s="2">
        <f t="shared" si="32"/>
        <v>117.4</v>
      </c>
      <c r="R75" s="15">
        <f>14*Q75-P75-O75-F75</f>
        <v>805.60000000000014</v>
      </c>
      <c r="S75" s="15">
        <f>V75</f>
        <v>1000</v>
      </c>
      <c r="T75" s="15">
        <f t="shared" si="36"/>
        <v>447</v>
      </c>
      <c r="U75" s="15">
        <f>ROUND(S75/$U$1,0)</f>
        <v>553</v>
      </c>
      <c r="V75" s="15">
        <v>1000</v>
      </c>
      <c r="W75" s="2"/>
      <c r="X75" s="2">
        <f t="shared" si="37"/>
        <v>15.65587734241908</v>
      </c>
      <c r="Y75" s="2">
        <f t="shared" si="34"/>
        <v>7.1379897785349229</v>
      </c>
      <c r="Z75" s="2">
        <v>102.8</v>
      </c>
      <c r="AA75" s="2">
        <v>105.6</v>
      </c>
      <c r="AB75" s="2">
        <v>106.6</v>
      </c>
      <c r="AC75" s="2">
        <v>113</v>
      </c>
      <c r="AD75" s="2">
        <v>118</v>
      </c>
      <c r="AE75" s="2">
        <v>129</v>
      </c>
      <c r="AF75" s="2">
        <v>101.8</v>
      </c>
      <c r="AG75" s="2">
        <v>142.19999999999999</v>
      </c>
      <c r="AH75" s="2"/>
      <c r="AI75" s="2">
        <f t="shared" si="38"/>
        <v>183.26999999999998</v>
      </c>
      <c r="AJ75" s="2">
        <f t="shared" si="39"/>
        <v>226.73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 t="s">
        <v>133</v>
      </c>
      <c r="B76" s="2" t="s">
        <v>39</v>
      </c>
      <c r="C76" s="2">
        <v>1.5289999999999999</v>
      </c>
      <c r="D76" s="2">
        <v>126.476</v>
      </c>
      <c r="E76" s="2">
        <v>25.43</v>
      </c>
      <c r="F76" s="2">
        <v>97.191000000000003</v>
      </c>
      <c r="G76" s="3">
        <v>1</v>
      </c>
      <c r="H76" s="2">
        <v>50</v>
      </c>
      <c r="I76" s="2" t="s">
        <v>37</v>
      </c>
      <c r="J76" s="2"/>
      <c r="K76" s="2">
        <v>31.2</v>
      </c>
      <c r="L76" s="2">
        <f t="shared" si="31"/>
        <v>-5.77</v>
      </c>
      <c r="M76" s="2"/>
      <c r="N76" s="2"/>
      <c r="O76" s="2">
        <v>0</v>
      </c>
      <c r="P76" s="2"/>
      <c r="Q76" s="2">
        <f t="shared" si="32"/>
        <v>5.0860000000000003</v>
      </c>
      <c r="R76" s="15"/>
      <c r="S76" s="15">
        <f t="shared" si="35"/>
        <v>0</v>
      </c>
      <c r="T76" s="15">
        <f t="shared" si="36"/>
        <v>0</v>
      </c>
      <c r="U76" s="15"/>
      <c r="V76" s="15"/>
      <c r="W76" s="2"/>
      <c r="X76" s="2">
        <f t="shared" si="37"/>
        <v>19.109516319307904</v>
      </c>
      <c r="Y76" s="2">
        <f t="shared" si="34"/>
        <v>19.109516319307904</v>
      </c>
      <c r="Z76" s="2">
        <v>5.8457999999999997</v>
      </c>
      <c r="AA76" s="2">
        <v>14.3338</v>
      </c>
      <c r="AB76" s="2">
        <v>5.3175999999999997</v>
      </c>
      <c r="AC76" s="2">
        <v>9.1166</v>
      </c>
      <c r="AD76" s="2">
        <v>13.212199999999999</v>
      </c>
      <c r="AE76" s="2">
        <v>6.9032</v>
      </c>
      <c r="AF76" s="2">
        <v>9.7669999999999995</v>
      </c>
      <c r="AG76" s="2">
        <v>14.1866</v>
      </c>
      <c r="AH76" s="2"/>
      <c r="AI76" s="2">
        <f t="shared" si="38"/>
        <v>0</v>
      </c>
      <c r="AJ76" s="2">
        <f t="shared" si="39"/>
        <v>0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 t="s">
        <v>134</v>
      </c>
      <c r="B77" s="2" t="s">
        <v>36</v>
      </c>
      <c r="C77" s="2">
        <v>45</v>
      </c>
      <c r="D77" s="2">
        <v>3</v>
      </c>
      <c r="E77" s="2">
        <v>32</v>
      </c>
      <c r="F77" s="2"/>
      <c r="G77" s="3">
        <v>0.3</v>
      </c>
      <c r="H77" s="2">
        <v>50</v>
      </c>
      <c r="I77" s="2" t="s">
        <v>37</v>
      </c>
      <c r="J77" s="2"/>
      <c r="K77" s="2">
        <v>54</v>
      </c>
      <c r="L77" s="2">
        <f t="shared" si="31"/>
        <v>-22</v>
      </c>
      <c r="M77" s="2"/>
      <c r="N77" s="2"/>
      <c r="O77" s="2">
        <v>90</v>
      </c>
      <c r="P77" s="2"/>
      <c r="Q77" s="2">
        <f t="shared" si="32"/>
        <v>6.4</v>
      </c>
      <c r="R77" s="15"/>
      <c r="S77" s="15">
        <f>V77</f>
        <v>50</v>
      </c>
      <c r="T77" s="15">
        <f t="shared" si="36"/>
        <v>0</v>
      </c>
      <c r="U77" s="15">
        <f>V77</f>
        <v>50</v>
      </c>
      <c r="V77" s="15">
        <v>50</v>
      </c>
      <c r="W77" s="2"/>
      <c r="X77" s="2">
        <f t="shared" si="37"/>
        <v>21.875</v>
      </c>
      <c r="Y77" s="2">
        <f t="shared" si="34"/>
        <v>14.0625</v>
      </c>
      <c r="Z77" s="2">
        <v>10.199999999999999</v>
      </c>
      <c r="AA77" s="2">
        <v>6</v>
      </c>
      <c r="AB77" s="2">
        <v>8.8000000000000007</v>
      </c>
      <c r="AC77" s="2">
        <v>12.4</v>
      </c>
      <c r="AD77" s="2">
        <v>8.1999999999999993</v>
      </c>
      <c r="AE77" s="2">
        <v>13.2</v>
      </c>
      <c r="AF77" s="2">
        <v>12.4</v>
      </c>
      <c r="AG77" s="2">
        <v>8.6</v>
      </c>
      <c r="AH77" s="2" t="s">
        <v>135</v>
      </c>
      <c r="AI77" s="2">
        <f t="shared" si="38"/>
        <v>0</v>
      </c>
      <c r="AJ77" s="2">
        <f t="shared" si="39"/>
        <v>15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 t="s">
        <v>136</v>
      </c>
      <c r="B78" s="2" t="s">
        <v>36</v>
      </c>
      <c r="C78" s="2">
        <v>58</v>
      </c>
      <c r="D78" s="2"/>
      <c r="E78" s="2">
        <v>39</v>
      </c>
      <c r="F78" s="2">
        <v>18</v>
      </c>
      <c r="G78" s="3">
        <v>0.14000000000000001</v>
      </c>
      <c r="H78" s="2">
        <v>50</v>
      </c>
      <c r="I78" s="2" t="s">
        <v>37</v>
      </c>
      <c r="J78" s="2"/>
      <c r="K78" s="2">
        <v>38</v>
      </c>
      <c r="L78" s="2">
        <f t="shared" si="31"/>
        <v>1</v>
      </c>
      <c r="M78" s="2"/>
      <c r="N78" s="2"/>
      <c r="O78" s="2">
        <v>0</v>
      </c>
      <c r="P78" s="2"/>
      <c r="Q78" s="2">
        <f t="shared" si="32"/>
        <v>7.8</v>
      </c>
      <c r="R78" s="15">
        <f>11*Q78-P78-O78-F78</f>
        <v>67.8</v>
      </c>
      <c r="S78" s="15">
        <f t="shared" si="35"/>
        <v>68</v>
      </c>
      <c r="T78" s="15">
        <f t="shared" si="36"/>
        <v>68</v>
      </c>
      <c r="U78" s="15"/>
      <c r="V78" s="15"/>
      <c r="W78" s="2"/>
      <c r="X78" s="2">
        <f t="shared" si="37"/>
        <v>11.025641025641026</v>
      </c>
      <c r="Y78" s="2">
        <f t="shared" si="34"/>
        <v>2.3076923076923079</v>
      </c>
      <c r="Z78" s="2">
        <v>3.2</v>
      </c>
      <c r="AA78" s="2">
        <v>-0.2</v>
      </c>
      <c r="AB78" s="2">
        <v>5.8</v>
      </c>
      <c r="AC78" s="2">
        <v>2.4</v>
      </c>
      <c r="AD78" s="2">
        <v>5.8</v>
      </c>
      <c r="AE78" s="2">
        <v>8.4</v>
      </c>
      <c r="AF78" s="2">
        <v>6.8</v>
      </c>
      <c r="AG78" s="2">
        <v>4.4000000000000004</v>
      </c>
      <c r="AH78" s="2"/>
      <c r="AI78" s="2">
        <f t="shared" si="38"/>
        <v>9.5200000000000014</v>
      </c>
      <c r="AJ78" s="2">
        <f t="shared" si="39"/>
        <v>0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12" t="s">
        <v>122</v>
      </c>
      <c r="B79" s="2" t="s">
        <v>36</v>
      </c>
      <c r="C79" s="2">
        <v>46</v>
      </c>
      <c r="D79" s="2">
        <v>124</v>
      </c>
      <c r="E79" s="9">
        <f>45+E67</f>
        <v>58</v>
      </c>
      <c r="F79" s="9">
        <f>50+F67</f>
        <v>93</v>
      </c>
      <c r="G79" s="3">
        <v>0.18</v>
      </c>
      <c r="H79" s="2">
        <v>50</v>
      </c>
      <c r="I79" s="2" t="s">
        <v>37</v>
      </c>
      <c r="J79" s="2"/>
      <c r="K79" s="2">
        <v>73</v>
      </c>
      <c r="L79" s="2">
        <f t="shared" si="31"/>
        <v>-15</v>
      </c>
      <c r="M79" s="2"/>
      <c r="N79" s="2"/>
      <c r="O79" s="2">
        <v>0</v>
      </c>
      <c r="P79" s="2"/>
      <c r="Q79" s="2">
        <f t="shared" si="32"/>
        <v>11.6</v>
      </c>
      <c r="R79" s="15">
        <f>14*Q79-P79-O79-F79</f>
        <v>69.400000000000006</v>
      </c>
      <c r="S79" s="15">
        <f t="shared" si="35"/>
        <v>69</v>
      </c>
      <c r="T79" s="15">
        <f t="shared" si="36"/>
        <v>69</v>
      </c>
      <c r="U79" s="15"/>
      <c r="V79" s="15"/>
      <c r="W79" s="2"/>
      <c r="X79" s="2">
        <f t="shared" si="37"/>
        <v>13.965517241379311</v>
      </c>
      <c r="Y79" s="2">
        <f t="shared" si="34"/>
        <v>8.0172413793103452</v>
      </c>
      <c r="Z79" s="2">
        <v>1.6</v>
      </c>
      <c r="AA79" s="2">
        <v>14.2</v>
      </c>
      <c r="AB79" s="2">
        <v>11</v>
      </c>
      <c r="AC79" s="2">
        <v>15.2</v>
      </c>
      <c r="AD79" s="2">
        <v>18.8</v>
      </c>
      <c r="AE79" s="2">
        <v>22.6</v>
      </c>
      <c r="AF79" s="2">
        <v>8</v>
      </c>
      <c r="AG79" s="2">
        <v>23.2</v>
      </c>
      <c r="AH79" s="2" t="s">
        <v>66</v>
      </c>
      <c r="AI79" s="2">
        <f t="shared" si="38"/>
        <v>12.42</v>
      </c>
      <c r="AJ79" s="2">
        <f t="shared" si="39"/>
        <v>0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12" t="s">
        <v>110</v>
      </c>
      <c r="B80" s="2" t="s">
        <v>39</v>
      </c>
      <c r="C80" s="2"/>
      <c r="D80" s="2">
        <v>52.338000000000001</v>
      </c>
      <c r="E80" s="9">
        <f>7.587+E59</f>
        <v>9.2769999999999992</v>
      </c>
      <c r="F80" s="2">
        <v>41.353000000000002</v>
      </c>
      <c r="G80" s="3">
        <v>1</v>
      </c>
      <c r="H80" s="2">
        <v>45</v>
      </c>
      <c r="I80" s="2" t="s">
        <v>37</v>
      </c>
      <c r="J80" s="2"/>
      <c r="K80" s="2">
        <v>8.82</v>
      </c>
      <c r="L80" s="2">
        <f t="shared" si="31"/>
        <v>0.45699999999999896</v>
      </c>
      <c r="M80" s="2"/>
      <c r="N80" s="2"/>
      <c r="O80" s="2">
        <v>31</v>
      </c>
      <c r="P80" s="2"/>
      <c r="Q80" s="2">
        <f t="shared" si="32"/>
        <v>1.8553999999999999</v>
      </c>
      <c r="R80" s="15"/>
      <c r="S80" s="15">
        <f t="shared" si="35"/>
        <v>0</v>
      </c>
      <c r="T80" s="15">
        <f t="shared" si="36"/>
        <v>0</v>
      </c>
      <c r="U80" s="15"/>
      <c r="V80" s="15"/>
      <c r="W80" s="2"/>
      <c r="X80" s="2">
        <f t="shared" si="37"/>
        <v>38.995903848226803</v>
      </c>
      <c r="Y80" s="2">
        <f t="shared" si="34"/>
        <v>38.995903848226803</v>
      </c>
      <c r="Z80" s="2">
        <v>5.7847999999999997</v>
      </c>
      <c r="AA80" s="2">
        <v>5.4001999999999999</v>
      </c>
      <c r="AB80" s="2">
        <v>3.7056</v>
      </c>
      <c r="AC80" s="2">
        <v>5.2458</v>
      </c>
      <c r="AD80" s="2">
        <v>5.1138000000000003</v>
      </c>
      <c r="AE80" s="2">
        <v>0.16800000000000001</v>
      </c>
      <c r="AF80" s="2">
        <v>3.0457999999999998</v>
      </c>
      <c r="AG80" s="2">
        <v>4.7384000000000004</v>
      </c>
      <c r="AH80" s="2"/>
      <c r="AI80" s="2">
        <f t="shared" si="38"/>
        <v>0</v>
      </c>
      <c r="AJ80" s="2">
        <f t="shared" si="39"/>
        <v>0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 t="s">
        <v>137</v>
      </c>
      <c r="B81" s="2" t="s">
        <v>36</v>
      </c>
      <c r="C81" s="2">
        <v>15</v>
      </c>
      <c r="D81" s="2"/>
      <c r="E81" s="2">
        <v>12</v>
      </c>
      <c r="F81" s="2">
        <v>2</v>
      </c>
      <c r="G81" s="3">
        <v>0.22</v>
      </c>
      <c r="H81" s="2">
        <v>120</v>
      </c>
      <c r="I81" s="2" t="s">
        <v>37</v>
      </c>
      <c r="J81" s="2"/>
      <c r="K81" s="2">
        <v>13</v>
      </c>
      <c r="L81" s="2">
        <f t="shared" si="31"/>
        <v>-1</v>
      </c>
      <c r="M81" s="2"/>
      <c r="N81" s="2"/>
      <c r="O81" s="2">
        <v>0</v>
      </c>
      <c r="P81" s="2"/>
      <c r="Q81" s="2">
        <f t="shared" si="32"/>
        <v>2.4</v>
      </c>
      <c r="R81" s="15">
        <f>10*Q81-P81-O81-F81</f>
        <v>22</v>
      </c>
      <c r="S81" s="15">
        <f t="shared" si="35"/>
        <v>22</v>
      </c>
      <c r="T81" s="15">
        <f t="shared" si="36"/>
        <v>22</v>
      </c>
      <c r="U81" s="15"/>
      <c r="V81" s="15"/>
      <c r="W81" s="2"/>
      <c r="X81" s="2">
        <f t="shared" si="37"/>
        <v>10</v>
      </c>
      <c r="Y81" s="2">
        <f t="shared" si="34"/>
        <v>0.83333333333333337</v>
      </c>
      <c r="Z81" s="2">
        <v>0.6</v>
      </c>
      <c r="AA81" s="2">
        <v>0.4</v>
      </c>
      <c r="AB81" s="2">
        <v>2</v>
      </c>
      <c r="AC81" s="2">
        <v>0</v>
      </c>
      <c r="AD81" s="2">
        <v>0</v>
      </c>
      <c r="AE81" s="2">
        <v>0</v>
      </c>
      <c r="AF81" s="2">
        <v>0</v>
      </c>
      <c r="AG81" s="2">
        <v>-0.6</v>
      </c>
      <c r="AH81" s="2"/>
      <c r="AI81" s="2">
        <f t="shared" si="38"/>
        <v>4.84</v>
      </c>
      <c r="AJ81" s="2">
        <f t="shared" si="39"/>
        <v>0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 t="s">
        <v>138</v>
      </c>
      <c r="B82" s="2" t="s">
        <v>36</v>
      </c>
      <c r="C82" s="2">
        <v>7</v>
      </c>
      <c r="D82" s="2">
        <v>6</v>
      </c>
      <c r="E82" s="2"/>
      <c r="F82" s="2">
        <v>13</v>
      </c>
      <c r="G82" s="3">
        <v>0.84</v>
      </c>
      <c r="H82" s="2">
        <v>50</v>
      </c>
      <c r="I82" s="2" t="s">
        <v>37</v>
      </c>
      <c r="J82" s="2"/>
      <c r="K82" s="2"/>
      <c r="L82" s="2">
        <f t="shared" si="31"/>
        <v>0</v>
      </c>
      <c r="M82" s="2"/>
      <c r="N82" s="2"/>
      <c r="O82" s="2">
        <v>0</v>
      </c>
      <c r="P82" s="2"/>
      <c r="Q82" s="2">
        <f t="shared" si="32"/>
        <v>0</v>
      </c>
      <c r="R82" s="15"/>
      <c r="S82" s="15">
        <f t="shared" si="35"/>
        <v>0</v>
      </c>
      <c r="T82" s="15">
        <f t="shared" si="36"/>
        <v>0</v>
      </c>
      <c r="U82" s="15"/>
      <c r="V82" s="15"/>
      <c r="W82" s="2"/>
      <c r="X82" s="2" t="e">
        <f t="shared" si="37"/>
        <v>#DIV/0!</v>
      </c>
      <c r="Y82" s="2" t="e">
        <f t="shared" si="34"/>
        <v>#DIV/0!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19" t="s">
        <v>139</v>
      </c>
      <c r="AI82" s="2">
        <f t="shared" si="38"/>
        <v>0</v>
      </c>
      <c r="AJ82" s="2">
        <f t="shared" si="39"/>
        <v>0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 t="s">
        <v>80</v>
      </c>
      <c r="B83" s="2" t="s">
        <v>36</v>
      </c>
      <c r="C83" s="2">
        <v>346</v>
      </c>
      <c r="D83" s="2">
        <v>654</v>
      </c>
      <c r="E83" s="9">
        <f>425+E36</f>
        <v>427</v>
      </c>
      <c r="F83" s="9">
        <f>305+F36</f>
        <v>303</v>
      </c>
      <c r="G83" s="3">
        <v>0.35</v>
      </c>
      <c r="H83" s="2">
        <v>50</v>
      </c>
      <c r="I83" s="2" t="s">
        <v>37</v>
      </c>
      <c r="J83" s="2"/>
      <c r="K83" s="2">
        <v>427.7</v>
      </c>
      <c r="L83" s="2">
        <f t="shared" si="31"/>
        <v>-0.69999999999998863</v>
      </c>
      <c r="M83" s="2"/>
      <c r="N83" s="2"/>
      <c r="O83" s="2">
        <v>0</v>
      </c>
      <c r="P83" s="2">
        <v>154</v>
      </c>
      <c r="Q83" s="2">
        <f t="shared" si="32"/>
        <v>85.4</v>
      </c>
      <c r="R83" s="15">
        <v>600</v>
      </c>
      <c r="S83" s="15">
        <f t="shared" si="35"/>
        <v>600</v>
      </c>
      <c r="T83" s="15">
        <f t="shared" si="36"/>
        <v>268</v>
      </c>
      <c r="U83" s="15">
        <f>ROUND(S83/$U$1,0)</f>
        <v>332</v>
      </c>
      <c r="V83" s="15"/>
      <c r="W83" s="2"/>
      <c r="X83" s="2">
        <f t="shared" si="37"/>
        <v>12.377049180327868</v>
      </c>
      <c r="Y83" s="2">
        <f t="shared" si="34"/>
        <v>5.3512880562060889</v>
      </c>
      <c r="Z83" s="2">
        <v>63.2</v>
      </c>
      <c r="AA83" s="2">
        <v>75.2</v>
      </c>
      <c r="AB83" s="2">
        <v>69.599999999999994</v>
      </c>
      <c r="AC83" s="2">
        <v>60.2</v>
      </c>
      <c r="AD83" s="2">
        <v>80.599999999999994</v>
      </c>
      <c r="AE83" s="2">
        <v>76.8</v>
      </c>
      <c r="AF83" s="2">
        <v>31.6</v>
      </c>
      <c r="AG83" s="2">
        <v>68.400000000000006</v>
      </c>
      <c r="AH83" s="2"/>
      <c r="AI83" s="2">
        <f t="shared" si="38"/>
        <v>93.8</v>
      </c>
      <c r="AJ83" s="2">
        <f t="shared" si="39"/>
        <v>116.19999999999999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 t="s">
        <v>140</v>
      </c>
      <c r="B84" s="2" t="s">
        <v>39</v>
      </c>
      <c r="C84" s="2">
        <v>7.7910000000000004</v>
      </c>
      <c r="D84" s="2">
        <v>5.5970000000000004</v>
      </c>
      <c r="E84" s="2">
        <v>13.388</v>
      </c>
      <c r="F84" s="2"/>
      <c r="G84" s="3">
        <v>1</v>
      </c>
      <c r="H84" s="2">
        <v>50</v>
      </c>
      <c r="I84" s="2" t="s">
        <v>37</v>
      </c>
      <c r="J84" s="2"/>
      <c r="K84" s="2">
        <v>21.4</v>
      </c>
      <c r="L84" s="2">
        <f t="shared" si="31"/>
        <v>-8.0119999999999987</v>
      </c>
      <c r="M84" s="2"/>
      <c r="N84" s="2"/>
      <c r="O84" s="2">
        <v>60</v>
      </c>
      <c r="P84" s="2"/>
      <c r="Q84" s="2">
        <f t="shared" si="32"/>
        <v>2.6776</v>
      </c>
      <c r="R84" s="15"/>
      <c r="S84" s="15">
        <f>V84</f>
        <v>50</v>
      </c>
      <c r="T84" s="15">
        <f t="shared" si="36"/>
        <v>0</v>
      </c>
      <c r="U84" s="15">
        <f>V84</f>
        <v>50</v>
      </c>
      <c r="V84" s="15">
        <v>50</v>
      </c>
      <c r="W84" s="2"/>
      <c r="X84" s="2">
        <f t="shared" si="37"/>
        <v>41.081565581117417</v>
      </c>
      <c r="Y84" s="2">
        <f t="shared" si="34"/>
        <v>22.408126680609502</v>
      </c>
      <c r="Z84" s="2">
        <v>1.8420000000000001</v>
      </c>
      <c r="AA84" s="2">
        <v>0.28179999999999999</v>
      </c>
      <c r="AB84" s="2">
        <v>1.9588000000000001</v>
      </c>
      <c r="AC84" s="2">
        <v>0</v>
      </c>
      <c r="AD84" s="2">
        <v>0</v>
      </c>
      <c r="AE84" s="2">
        <v>11.215</v>
      </c>
      <c r="AF84" s="2">
        <v>0</v>
      </c>
      <c r="AG84" s="2">
        <v>0</v>
      </c>
      <c r="AH84" s="2"/>
      <c r="AI84" s="2">
        <f t="shared" si="38"/>
        <v>0</v>
      </c>
      <c r="AJ84" s="2">
        <f t="shared" si="39"/>
        <v>50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 t="s">
        <v>141</v>
      </c>
      <c r="B85" s="2" t="s">
        <v>39</v>
      </c>
      <c r="C85" s="2">
        <v>169.65700000000001</v>
      </c>
      <c r="D85" s="2">
        <v>235.49100000000001</v>
      </c>
      <c r="E85" s="2">
        <v>227.941</v>
      </c>
      <c r="F85" s="2">
        <v>164.27</v>
      </c>
      <c r="G85" s="3">
        <v>1</v>
      </c>
      <c r="H85" s="2">
        <v>50</v>
      </c>
      <c r="I85" s="2" t="s">
        <v>37</v>
      </c>
      <c r="J85" s="2"/>
      <c r="K85" s="2">
        <v>219.40600000000001</v>
      </c>
      <c r="L85" s="2">
        <f t="shared" si="31"/>
        <v>8.5349999999999966</v>
      </c>
      <c r="M85" s="2"/>
      <c r="N85" s="2"/>
      <c r="O85" s="2">
        <v>0</v>
      </c>
      <c r="P85" s="2">
        <v>60</v>
      </c>
      <c r="Q85" s="2">
        <f t="shared" si="32"/>
        <v>45.588200000000001</v>
      </c>
      <c r="R85" s="15">
        <f>14*Q85-P85-O85-F85</f>
        <v>413.96479999999997</v>
      </c>
      <c r="S85" s="15">
        <f t="shared" si="35"/>
        <v>414</v>
      </c>
      <c r="T85" s="15">
        <f t="shared" si="36"/>
        <v>185</v>
      </c>
      <c r="U85" s="15">
        <f t="shared" ref="U85:U86" si="40">ROUND(S85/$U$1,0)</f>
        <v>229</v>
      </c>
      <c r="V85" s="15"/>
      <c r="W85" s="2"/>
      <c r="X85" s="2">
        <f t="shared" si="37"/>
        <v>14.000772129630036</v>
      </c>
      <c r="Y85" s="2">
        <f t="shared" si="34"/>
        <v>4.9194747763675686</v>
      </c>
      <c r="Z85" s="2">
        <v>32.3324</v>
      </c>
      <c r="AA85" s="2">
        <v>40.936799999999998</v>
      </c>
      <c r="AB85" s="2">
        <v>39.648600000000002</v>
      </c>
      <c r="AC85" s="2">
        <v>38.468000000000004</v>
      </c>
      <c r="AD85" s="2">
        <v>36.918599999999998</v>
      </c>
      <c r="AE85" s="2">
        <v>47.893000000000001</v>
      </c>
      <c r="AF85" s="2">
        <v>32.088200000000001</v>
      </c>
      <c r="AG85" s="2">
        <v>49.487200000000001</v>
      </c>
      <c r="AH85" s="2"/>
      <c r="AI85" s="2">
        <f t="shared" si="38"/>
        <v>185</v>
      </c>
      <c r="AJ85" s="2">
        <f t="shared" si="39"/>
        <v>229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 t="s">
        <v>142</v>
      </c>
      <c r="B86" s="2" t="s">
        <v>36</v>
      </c>
      <c r="C86" s="2">
        <v>217</v>
      </c>
      <c r="D86" s="2">
        <v>774</v>
      </c>
      <c r="E86" s="2">
        <v>652</v>
      </c>
      <c r="F86" s="2">
        <v>252</v>
      </c>
      <c r="G86" s="3">
        <v>0.35</v>
      </c>
      <c r="H86" s="2">
        <v>50</v>
      </c>
      <c r="I86" s="2" t="s">
        <v>37</v>
      </c>
      <c r="J86" s="2"/>
      <c r="K86" s="2">
        <v>697</v>
      </c>
      <c r="L86" s="2">
        <f t="shared" si="31"/>
        <v>-45</v>
      </c>
      <c r="M86" s="2"/>
      <c r="N86" s="2"/>
      <c r="O86" s="2">
        <v>0</v>
      </c>
      <c r="P86" s="2">
        <v>136</v>
      </c>
      <c r="Q86" s="2">
        <f t="shared" si="32"/>
        <v>130.4</v>
      </c>
      <c r="R86" s="15">
        <f>12*Q86-P86-O86-F86</f>
        <v>1176.8000000000002</v>
      </c>
      <c r="S86" s="15">
        <f t="shared" si="35"/>
        <v>1177</v>
      </c>
      <c r="T86" s="15">
        <f t="shared" si="36"/>
        <v>526</v>
      </c>
      <c r="U86" s="15">
        <f t="shared" si="40"/>
        <v>651</v>
      </c>
      <c r="V86" s="15"/>
      <c r="W86" s="2"/>
      <c r="X86" s="2">
        <f t="shared" si="37"/>
        <v>12.001533742331288</v>
      </c>
      <c r="Y86" s="2">
        <f t="shared" si="34"/>
        <v>2.9754601226993862</v>
      </c>
      <c r="Z86" s="2">
        <v>75.8</v>
      </c>
      <c r="AA86" s="2">
        <v>90.2</v>
      </c>
      <c r="AB86" s="2">
        <v>77.400000000000006</v>
      </c>
      <c r="AC86" s="2">
        <v>90.8</v>
      </c>
      <c r="AD86" s="2">
        <v>96.2</v>
      </c>
      <c r="AE86" s="2">
        <v>81</v>
      </c>
      <c r="AF86" s="2">
        <v>80.400000000000006</v>
      </c>
      <c r="AG86" s="2">
        <v>120.2</v>
      </c>
      <c r="AH86" s="2"/>
      <c r="AI86" s="2">
        <f t="shared" si="38"/>
        <v>184.1</v>
      </c>
      <c r="AJ86" s="2">
        <f t="shared" si="39"/>
        <v>227.85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 t="s">
        <v>143</v>
      </c>
      <c r="B87" s="2" t="s">
        <v>36</v>
      </c>
      <c r="C87" s="2">
        <v>49</v>
      </c>
      <c r="D87" s="2">
        <v>57</v>
      </c>
      <c r="E87" s="2">
        <v>36</v>
      </c>
      <c r="F87" s="2">
        <v>32</v>
      </c>
      <c r="G87" s="3">
        <v>0.3</v>
      </c>
      <c r="H87" s="2">
        <v>50</v>
      </c>
      <c r="I87" s="2" t="s">
        <v>37</v>
      </c>
      <c r="J87" s="2"/>
      <c r="K87" s="2">
        <v>44</v>
      </c>
      <c r="L87" s="2">
        <f t="shared" si="31"/>
        <v>-8</v>
      </c>
      <c r="M87" s="2"/>
      <c r="N87" s="2"/>
      <c r="O87" s="2">
        <v>0</v>
      </c>
      <c r="P87" s="2"/>
      <c r="Q87" s="2">
        <f t="shared" si="32"/>
        <v>7.2</v>
      </c>
      <c r="R87" s="15">
        <f t="shared" ref="R87:R88" si="41">13*Q87-P87-O87-F87</f>
        <v>61.600000000000009</v>
      </c>
      <c r="S87" s="15">
        <f t="shared" si="35"/>
        <v>62</v>
      </c>
      <c r="T87" s="15">
        <f t="shared" si="36"/>
        <v>62</v>
      </c>
      <c r="U87" s="15"/>
      <c r="V87" s="15"/>
      <c r="W87" s="2"/>
      <c r="X87" s="2">
        <f t="shared" si="37"/>
        <v>13.055555555555555</v>
      </c>
      <c r="Y87" s="2">
        <f t="shared" si="34"/>
        <v>4.4444444444444446</v>
      </c>
      <c r="Z87" s="2">
        <v>2.8</v>
      </c>
      <c r="AA87" s="2">
        <v>7.2</v>
      </c>
      <c r="AB87" s="2">
        <v>7.8</v>
      </c>
      <c r="AC87" s="2">
        <v>6.4</v>
      </c>
      <c r="AD87" s="2">
        <v>7.6</v>
      </c>
      <c r="AE87" s="2">
        <v>7.4</v>
      </c>
      <c r="AF87" s="2">
        <v>2.2000000000000002</v>
      </c>
      <c r="AG87" s="2">
        <v>8.6</v>
      </c>
      <c r="AH87" s="2"/>
      <c r="AI87" s="2">
        <f t="shared" si="38"/>
        <v>18.599999999999998</v>
      </c>
      <c r="AJ87" s="2">
        <f t="shared" si="39"/>
        <v>0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 t="s">
        <v>144</v>
      </c>
      <c r="B88" s="2" t="s">
        <v>36</v>
      </c>
      <c r="C88" s="2">
        <v>32</v>
      </c>
      <c r="D88" s="2">
        <v>2</v>
      </c>
      <c r="E88" s="2">
        <v>16</v>
      </c>
      <c r="F88" s="2">
        <v>14</v>
      </c>
      <c r="G88" s="3">
        <v>0.3</v>
      </c>
      <c r="H88" s="2">
        <v>60</v>
      </c>
      <c r="I88" s="2" t="s">
        <v>37</v>
      </c>
      <c r="J88" s="2"/>
      <c r="K88" s="2">
        <v>16</v>
      </c>
      <c r="L88" s="2">
        <f t="shared" si="31"/>
        <v>0</v>
      </c>
      <c r="M88" s="2"/>
      <c r="N88" s="2"/>
      <c r="O88" s="2">
        <v>0</v>
      </c>
      <c r="P88" s="2"/>
      <c r="Q88" s="2">
        <f t="shared" si="32"/>
        <v>3.2</v>
      </c>
      <c r="R88" s="15">
        <f t="shared" si="41"/>
        <v>27.6</v>
      </c>
      <c r="S88" s="15">
        <f t="shared" si="35"/>
        <v>28</v>
      </c>
      <c r="T88" s="15">
        <f t="shared" si="36"/>
        <v>28</v>
      </c>
      <c r="U88" s="15"/>
      <c r="V88" s="15"/>
      <c r="W88" s="2"/>
      <c r="X88" s="2">
        <f t="shared" si="37"/>
        <v>13.125</v>
      </c>
      <c r="Y88" s="2">
        <f t="shared" si="34"/>
        <v>4.375</v>
      </c>
      <c r="Z88" s="2">
        <v>1.4</v>
      </c>
      <c r="AA88" s="2">
        <v>3</v>
      </c>
      <c r="AB88" s="2">
        <v>4.2</v>
      </c>
      <c r="AC88" s="2">
        <v>2.8</v>
      </c>
      <c r="AD88" s="2">
        <v>4.4000000000000004</v>
      </c>
      <c r="AE88" s="2">
        <v>4.8</v>
      </c>
      <c r="AF88" s="2">
        <v>3</v>
      </c>
      <c r="AG88" s="2">
        <v>5</v>
      </c>
      <c r="AH88" s="2"/>
      <c r="AI88" s="2">
        <f t="shared" si="38"/>
        <v>8.4</v>
      </c>
      <c r="AJ88" s="2">
        <f t="shared" si="39"/>
        <v>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 t="s">
        <v>145</v>
      </c>
      <c r="B89" s="2" t="s">
        <v>36</v>
      </c>
      <c r="C89" s="2">
        <v>67</v>
      </c>
      <c r="D89" s="2">
        <v>245</v>
      </c>
      <c r="E89" s="2">
        <v>172</v>
      </c>
      <c r="F89" s="2">
        <v>120</v>
      </c>
      <c r="G89" s="3">
        <v>0.28000000000000003</v>
      </c>
      <c r="H89" s="2">
        <v>50</v>
      </c>
      <c r="I89" s="2" t="s">
        <v>37</v>
      </c>
      <c r="J89" s="2"/>
      <c r="K89" s="2">
        <v>207</v>
      </c>
      <c r="L89" s="2">
        <f t="shared" si="31"/>
        <v>-35</v>
      </c>
      <c r="M89" s="2"/>
      <c r="N89" s="2"/>
      <c r="O89" s="2">
        <v>142</v>
      </c>
      <c r="P89" s="2">
        <v>142</v>
      </c>
      <c r="Q89" s="2">
        <f t="shared" si="32"/>
        <v>34.4</v>
      </c>
      <c r="R89" s="15">
        <f>14*Q89-P89-O89-F89</f>
        <v>77.599999999999966</v>
      </c>
      <c r="S89" s="15">
        <f t="shared" si="35"/>
        <v>78</v>
      </c>
      <c r="T89" s="15">
        <f t="shared" si="36"/>
        <v>35</v>
      </c>
      <c r="U89" s="15">
        <f t="shared" ref="U89:U90" si="42">ROUND(S89/$U$1,0)</f>
        <v>43</v>
      </c>
      <c r="V89" s="15"/>
      <c r="W89" s="2"/>
      <c r="X89" s="2">
        <f t="shared" si="37"/>
        <v>14.011627906976745</v>
      </c>
      <c r="Y89" s="2">
        <f t="shared" si="34"/>
        <v>11.744186046511629</v>
      </c>
      <c r="Z89" s="2">
        <v>41.8</v>
      </c>
      <c r="AA89" s="2">
        <v>39.200000000000003</v>
      </c>
      <c r="AB89" s="2">
        <v>36.799999999999997</v>
      </c>
      <c r="AC89" s="2">
        <v>43.2</v>
      </c>
      <c r="AD89" s="2">
        <v>51</v>
      </c>
      <c r="AE89" s="2">
        <v>52.4</v>
      </c>
      <c r="AF89" s="2">
        <v>52</v>
      </c>
      <c r="AG89" s="2">
        <v>54.4</v>
      </c>
      <c r="AH89" s="2"/>
      <c r="AI89" s="2">
        <f t="shared" si="38"/>
        <v>9.8000000000000007</v>
      </c>
      <c r="AJ89" s="2">
        <f t="shared" si="39"/>
        <v>12.040000000000001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 t="s">
        <v>146</v>
      </c>
      <c r="B90" s="2" t="s">
        <v>36</v>
      </c>
      <c r="C90" s="2">
        <v>387</v>
      </c>
      <c r="D90" s="2">
        <v>451</v>
      </c>
      <c r="E90" s="2">
        <v>407</v>
      </c>
      <c r="F90" s="2">
        <v>236</v>
      </c>
      <c r="G90" s="3">
        <v>0.28000000000000003</v>
      </c>
      <c r="H90" s="2">
        <v>45</v>
      </c>
      <c r="I90" s="2" t="s">
        <v>37</v>
      </c>
      <c r="J90" s="2"/>
      <c r="K90" s="2">
        <v>413</v>
      </c>
      <c r="L90" s="2">
        <f t="shared" si="31"/>
        <v>-6</v>
      </c>
      <c r="M90" s="2"/>
      <c r="N90" s="2"/>
      <c r="O90" s="2">
        <v>207</v>
      </c>
      <c r="P90" s="2">
        <v>207</v>
      </c>
      <c r="Q90" s="2">
        <f t="shared" si="32"/>
        <v>81.400000000000006</v>
      </c>
      <c r="R90" s="15">
        <f>14*Q90-P90-O90-F90</f>
        <v>489.60000000000014</v>
      </c>
      <c r="S90" s="15">
        <f>V90</f>
        <v>520</v>
      </c>
      <c r="T90" s="15">
        <f t="shared" si="36"/>
        <v>232</v>
      </c>
      <c r="U90" s="15">
        <f t="shared" si="42"/>
        <v>288</v>
      </c>
      <c r="V90" s="15">
        <v>520</v>
      </c>
      <c r="W90" s="2"/>
      <c r="X90" s="2">
        <f t="shared" si="37"/>
        <v>14.373464373464373</v>
      </c>
      <c r="Y90" s="2">
        <f t="shared" si="34"/>
        <v>7.9852579852579844</v>
      </c>
      <c r="Z90" s="2">
        <v>76.599999999999994</v>
      </c>
      <c r="AA90" s="2">
        <v>74.400000000000006</v>
      </c>
      <c r="AB90" s="2">
        <v>76.599999999999994</v>
      </c>
      <c r="AC90" s="2">
        <v>61.2</v>
      </c>
      <c r="AD90" s="2">
        <v>85.8</v>
      </c>
      <c r="AE90" s="2">
        <v>78.2</v>
      </c>
      <c r="AF90" s="2">
        <v>68.8</v>
      </c>
      <c r="AG90" s="2">
        <v>77.400000000000006</v>
      </c>
      <c r="AH90" s="2"/>
      <c r="AI90" s="2">
        <f t="shared" si="38"/>
        <v>64.960000000000008</v>
      </c>
      <c r="AJ90" s="2">
        <f t="shared" si="39"/>
        <v>80.640000000000015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12" t="s">
        <v>99</v>
      </c>
      <c r="B91" s="2" t="s">
        <v>36</v>
      </c>
      <c r="C91" s="2">
        <v>2</v>
      </c>
      <c r="D91" s="2">
        <v>118</v>
      </c>
      <c r="E91" s="9">
        <f>45+E51</f>
        <v>50</v>
      </c>
      <c r="F91" s="9">
        <f>47+F51</f>
        <v>62</v>
      </c>
      <c r="G91" s="3">
        <v>0.28000000000000003</v>
      </c>
      <c r="H91" s="2">
        <v>45</v>
      </c>
      <c r="I91" s="2" t="s">
        <v>37</v>
      </c>
      <c r="J91" s="2"/>
      <c r="K91" s="2">
        <v>54</v>
      </c>
      <c r="L91" s="2">
        <f t="shared" si="31"/>
        <v>-4</v>
      </c>
      <c r="M91" s="2"/>
      <c r="N91" s="2"/>
      <c r="O91" s="2">
        <v>0</v>
      </c>
      <c r="P91" s="2"/>
      <c r="Q91" s="2">
        <f t="shared" si="32"/>
        <v>10</v>
      </c>
      <c r="R91" s="15">
        <f>14*Q91-P91-O91-F91</f>
        <v>78</v>
      </c>
      <c r="S91" s="15">
        <f t="shared" si="35"/>
        <v>78</v>
      </c>
      <c r="T91" s="15">
        <f t="shared" si="36"/>
        <v>78</v>
      </c>
      <c r="U91" s="15"/>
      <c r="V91" s="15"/>
      <c r="W91" s="2"/>
      <c r="X91" s="2">
        <f t="shared" si="37"/>
        <v>14</v>
      </c>
      <c r="Y91" s="2">
        <f t="shared" si="34"/>
        <v>6.2</v>
      </c>
      <c r="Z91" s="2">
        <v>6.8</v>
      </c>
      <c r="AA91" s="2">
        <v>13.4</v>
      </c>
      <c r="AB91" s="2">
        <v>5</v>
      </c>
      <c r="AC91" s="2">
        <v>7.4</v>
      </c>
      <c r="AD91" s="2">
        <v>19.600000000000001</v>
      </c>
      <c r="AE91" s="2">
        <v>21</v>
      </c>
      <c r="AF91" s="2">
        <v>17.399999999999999</v>
      </c>
      <c r="AG91" s="2">
        <v>18.399999999999999</v>
      </c>
      <c r="AH91" s="2"/>
      <c r="AI91" s="2">
        <f t="shared" si="38"/>
        <v>21.840000000000003</v>
      </c>
      <c r="AJ91" s="2">
        <f t="shared" si="39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 t="s">
        <v>147</v>
      </c>
      <c r="B92" s="2" t="s">
        <v>36</v>
      </c>
      <c r="C92" s="2">
        <v>3</v>
      </c>
      <c r="D92" s="2">
        <v>704</v>
      </c>
      <c r="E92" s="2">
        <v>108</v>
      </c>
      <c r="F92" s="2">
        <v>391</v>
      </c>
      <c r="G92" s="3">
        <v>0.28000000000000003</v>
      </c>
      <c r="H92" s="2">
        <v>45</v>
      </c>
      <c r="I92" s="2" t="s">
        <v>37</v>
      </c>
      <c r="J92" s="2"/>
      <c r="K92" s="2">
        <v>185</v>
      </c>
      <c r="L92" s="2">
        <f t="shared" si="31"/>
        <v>-77</v>
      </c>
      <c r="M92" s="2"/>
      <c r="N92" s="2"/>
      <c r="O92" s="2">
        <v>119.5</v>
      </c>
      <c r="P92" s="2">
        <v>119.5</v>
      </c>
      <c r="Q92" s="2">
        <f t="shared" si="32"/>
        <v>21.6</v>
      </c>
      <c r="R92" s="15"/>
      <c r="S92" s="15">
        <f t="shared" si="35"/>
        <v>0</v>
      </c>
      <c r="T92" s="15">
        <f t="shared" si="36"/>
        <v>0</v>
      </c>
      <c r="U92" s="15"/>
      <c r="V92" s="15"/>
      <c r="W92" s="2"/>
      <c r="X92" s="2">
        <f t="shared" si="37"/>
        <v>29.166666666666664</v>
      </c>
      <c r="Y92" s="2">
        <f t="shared" si="34"/>
        <v>29.166666666666664</v>
      </c>
      <c r="Z92" s="2">
        <v>53.6</v>
      </c>
      <c r="AA92" s="2">
        <v>50.4</v>
      </c>
      <c r="AB92" s="2">
        <v>29.4</v>
      </c>
      <c r="AC92" s="2">
        <v>44</v>
      </c>
      <c r="AD92" s="2">
        <v>53.8</v>
      </c>
      <c r="AE92" s="2">
        <v>53</v>
      </c>
      <c r="AF92" s="2">
        <v>40</v>
      </c>
      <c r="AG92" s="2">
        <v>42.4</v>
      </c>
      <c r="AH92" s="2"/>
      <c r="AI92" s="2">
        <f t="shared" si="38"/>
        <v>0</v>
      </c>
      <c r="AJ92" s="2">
        <f t="shared" si="39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 t="s">
        <v>148</v>
      </c>
      <c r="B93" s="2" t="s">
        <v>36</v>
      </c>
      <c r="C93" s="2">
        <v>220</v>
      </c>
      <c r="D93" s="2">
        <v>10</v>
      </c>
      <c r="E93" s="2">
        <v>208</v>
      </c>
      <c r="F93" s="2"/>
      <c r="G93" s="3">
        <v>0.4</v>
      </c>
      <c r="H93" s="2">
        <v>50</v>
      </c>
      <c r="I93" s="2" t="s">
        <v>37</v>
      </c>
      <c r="J93" s="2"/>
      <c r="K93" s="2">
        <v>343</v>
      </c>
      <c r="L93" s="2">
        <f t="shared" si="31"/>
        <v>-135</v>
      </c>
      <c r="M93" s="2"/>
      <c r="N93" s="2"/>
      <c r="O93" s="2">
        <v>390</v>
      </c>
      <c r="P93" s="2">
        <v>325</v>
      </c>
      <c r="Q93" s="2">
        <f t="shared" si="32"/>
        <v>41.6</v>
      </c>
      <c r="R93" s="15"/>
      <c r="S93" s="15">
        <f t="shared" si="35"/>
        <v>0</v>
      </c>
      <c r="T93" s="15">
        <f t="shared" si="36"/>
        <v>0</v>
      </c>
      <c r="U93" s="15"/>
      <c r="V93" s="15"/>
      <c r="W93" s="2"/>
      <c r="X93" s="2">
        <f t="shared" si="37"/>
        <v>17.1875</v>
      </c>
      <c r="Y93" s="2">
        <f t="shared" si="34"/>
        <v>17.1875</v>
      </c>
      <c r="Z93" s="2">
        <v>76.599999999999994</v>
      </c>
      <c r="AA93" s="2">
        <v>21.4</v>
      </c>
      <c r="AB93" s="2">
        <v>0.4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 t="s">
        <v>149</v>
      </c>
      <c r="AI93" s="2">
        <f t="shared" si="38"/>
        <v>0</v>
      </c>
      <c r="AJ93" s="2">
        <f t="shared" si="39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 t="s">
        <v>150</v>
      </c>
      <c r="B94" s="2" t="s">
        <v>36</v>
      </c>
      <c r="C94" s="2">
        <v>8</v>
      </c>
      <c r="D94" s="2">
        <v>5</v>
      </c>
      <c r="E94" s="2">
        <v>2</v>
      </c>
      <c r="F94" s="2">
        <v>10</v>
      </c>
      <c r="G94" s="3">
        <v>0.3</v>
      </c>
      <c r="H94" s="2">
        <v>50</v>
      </c>
      <c r="I94" s="2" t="s">
        <v>37</v>
      </c>
      <c r="J94" s="2"/>
      <c r="K94" s="2">
        <v>2</v>
      </c>
      <c r="L94" s="2">
        <f t="shared" si="31"/>
        <v>0</v>
      </c>
      <c r="M94" s="2"/>
      <c r="N94" s="2"/>
      <c r="O94" s="2">
        <v>12</v>
      </c>
      <c r="P94" s="2"/>
      <c r="Q94" s="2">
        <f t="shared" si="32"/>
        <v>0.4</v>
      </c>
      <c r="R94" s="15"/>
      <c r="S94" s="15">
        <f t="shared" si="35"/>
        <v>0</v>
      </c>
      <c r="T94" s="15">
        <f t="shared" si="36"/>
        <v>0</v>
      </c>
      <c r="U94" s="15"/>
      <c r="V94" s="15"/>
      <c r="W94" s="2"/>
      <c r="X94" s="2">
        <f t="shared" si="37"/>
        <v>55</v>
      </c>
      <c r="Y94" s="2">
        <f t="shared" si="34"/>
        <v>55</v>
      </c>
      <c r="Z94" s="2">
        <v>1.4</v>
      </c>
      <c r="AA94" s="2">
        <v>0.4</v>
      </c>
      <c r="AB94" s="2">
        <v>1.8</v>
      </c>
      <c r="AC94" s="2">
        <v>1</v>
      </c>
      <c r="AD94" s="2">
        <v>1.4</v>
      </c>
      <c r="AE94" s="2">
        <v>1.6</v>
      </c>
      <c r="AF94" s="2">
        <v>1</v>
      </c>
      <c r="AG94" s="2">
        <v>0.6</v>
      </c>
      <c r="AH94" s="19" t="s">
        <v>151</v>
      </c>
      <c r="AI94" s="2">
        <f t="shared" si="38"/>
        <v>0</v>
      </c>
      <c r="AJ94" s="2">
        <f t="shared" si="39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 t="s">
        <v>152</v>
      </c>
      <c r="B95" s="2" t="s">
        <v>36</v>
      </c>
      <c r="C95" s="2">
        <v>6</v>
      </c>
      <c r="D95" s="2">
        <v>16</v>
      </c>
      <c r="E95" s="2">
        <v>4</v>
      </c>
      <c r="F95" s="2">
        <v>6</v>
      </c>
      <c r="G95" s="3">
        <v>0.33</v>
      </c>
      <c r="H95" s="2">
        <v>30</v>
      </c>
      <c r="I95" s="2" t="s">
        <v>37</v>
      </c>
      <c r="J95" s="2"/>
      <c r="K95" s="2">
        <v>6</v>
      </c>
      <c r="L95" s="2">
        <f t="shared" si="31"/>
        <v>-2</v>
      </c>
      <c r="M95" s="2"/>
      <c r="N95" s="2"/>
      <c r="O95" s="2">
        <v>0</v>
      </c>
      <c r="P95" s="2"/>
      <c r="Q95" s="2">
        <f t="shared" si="32"/>
        <v>0.8</v>
      </c>
      <c r="R95" s="15">
        <f>14*Q95-P95-O95-F95</f>
        <v>5.2000000000000011</v>
      </c>
      <c r="S95" s="15">
        <f t="shared" si="35"/>
        <v>5</v>
      </c>
      <c r="T95" s="15">
        <f t="shared" si="36"/>
        <v>5</v>
      </c>
      <c r="U95" s="15"/>
      <c r="V95" s="15"/>
      <c r="W95" s="2"/>
      <c r="X95" s="2">
        <f t="shared" si="37"/>
        <v>13.75</v>
      </c>
      <c r="Y95" s="2">
        <f t="shared" si="34"/>
        <v>7.5</v>
      </c>
      <c r="Z95" s="2">
        <v>0</v>
      </c>
      <c r="AA95" s="2">
        <v>1.6</v>
      </c>
      <c r="AB95" s="2">
        <v>0</v>
      </c>
      <c r="AC95" s="2">
        <v>0.4</v>
      </c>
      <c r="AD95" s="2">
        <v>1</v>
      </c>
      <c r="AE95" s="2">
        <v>-0.2</v>
      </c>
      <c r="AF95" s="2">
        <v>-0.6</v>
      </c>
      <c r="AG95" s="2">
        <v>-1.8</v>
      </c>
      <c r="AH95" s="2" t="s">
        <v>153</v>
      </c>
      <c r="AI95" s="2">
        <f t="shared" si="38"/>
        <v>1.6500000000000001</v>
      </c>
      <c r="AJ95" s="2">
        <f t="shared" si="39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 t="s">
        <v>154</v>
      </c>
      <c r="B96" s="2" t="s">
        <v>39</v>
      </c>
      <c r="C96" s="2">
        <v>14.21</v>
      </c>
      <c r="D96" s="2">
        <v>4.4980000000000002</v>
      </c>
      <c r="E96" s="2">
        <v>0.32400000000000001</v>
      </c>
      <c r="F96" s="2">
        <v>18.384</v>
      </c>
      <c r="G96" s="3">
        <v>1</v>
      </c>
      <c r="H96" s="2">
        <v>30</v>
      </c>
      <c r="I96" s="2" t="s">
        <v>37</v>
      </c>
      <c r="J96" s="2"/>
      <c r="K96" s="2">
        <v>1.3</v>
      </c>
      <c r="L96" s="2">
        <f t="shared" si="31"/>
        <v>-0.97599999999999998</v>
      </c>
      <c r="M96" s="2"/>
      <c r="N96" s="2"/>
      <c r="O96" s="2">
        <v>0</v>
      </c>
      <c r="P96" s="2"/>
      <c r="Q96" s="2">
        <f t="shared" si="32"/>
        <v>6.4799999999999996E-2</v>
      </c>
      <c r="R96" s="15"/>
      <c r="S96" s="15">
        <f t="shared" si="35"/>
        <v>0</v>
      </c>
      <c r="T96" s="15">
        <f t="shared" si="36"/>
        <v>0</v>
      </c>
      <c r="U96" s="15"/>
      <c r="V96" s="15"/>
      <c r="W96" s="2"/>
      <c r="X96" s="2">
        <f t="shared" si="37"/>
        <v>283.70370370370375</v>
      </c>
      <c r="Y96" s="2">
        <f t="shared" si="34"/>
        <v>283.70370370370375</v>
      </c>
      <c r="Z96" s="2">
        <v>0.84219999999999995</v>
      </c>
      <c r="AA96" s="2">
        <v>1.6639999999999999</v>
      </c>
      <c r="AB96" s="2">
        <v>0.79520000000000002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19" t="s">
        <v>114</v>
      </c>
      <c r="AI96" s="2">
        <f t="shared" si="38"/>
        <v>0</v>
      </c>
      <c r="AJ96" s="2">
        <f t="shared" si="39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 t="s">
        <v>155</v>
      </c>
      <c r="B97" s="2" t="s">
        <v>36</v>
      </c>
      <c r="C97" s="2">
        <v>50</v>
      </c>
      <c r="D97" s="2">
        <v>61</v>
      </c>
      <c r="E97" s="2">
        <v>30</v>
      </c>
      <c r="F97" s="2">
        <v>42</v>
      </c>
      <c r="G97" s="3">
        <v>0.28000000000000003</v>
      </c>
      <c r="H97" s="2">
        <v>50</v>
      </c>
      <c r="I97" s="2" t="s">
        <v>37</v>
      </c>
      <c r="J97" s="2"/>
      <c r="K97" s="2">
        <v>31</v>
      </c>
      <c r="L97" s="2">
        <f t="shared" si="31"/>
        <v>-1</v>
      </c>
      <c r="M97" s="2"/>
      <c r="N97" s="2"/>
      <c r="O97" s="2">
        <v>0</v>
      </c>
      <c r="P97" s="2"/>
      <c r="Q97" s="2">
        <f t="shared" si="32"/>
        <v>6</v>
      </c>
      <c r="R97" s="15">
        <f>14*Q97-P97-O97-F97</f>
        <v>42</v>
      </c>
      <c r="S97" s="15">
        <f t="shared" si="35"/>
        <v>42</v>
      </c>
      <c r="T97" s="15">
        <f t="shared" si="36"/>
        <v>42</v>
      </c>
      <c r="U97" s="15"/>
      <c r="V97" s="15"/>
      <c r="W97" s="2"/>
      <c r="X97" s="2">
        <f t="shared" si="37"/>
        <v>14</v>
      </c>
      <c r="Y97" s="2">
        <f t="shared" si="34"/>
        <v>7</v>
      </c>
      <c r="Z97" s="2">
        <v>5.4</v>
      </c>
      <c r="AA97" s="2">
        <v>8</v>
      </c>
      <c r="AB97" s="2">
        <v>8.8000000000000007</v>
      </c>
      <c r="AC97" s="2">
        <v>1</v>
      </c>
      <c r="AD97" s="2">
        <v>2</v>
      </c>
      <c r="AE97" s="2">
        <v>12.2</v>
      </c>
      <c r="AF97" s="2">
        <v>0</v>
      </c>
      <c r="AG97" s="2">
        <v>0</v>
      </c>
      <c r="AH97" s="2" t="s">
        <v>124</v>
      </c>
      <c r="AI97" s="2">
        <f t="shared" si="38"/>
        <v>11.760000000000002</v>
      </c>
      <c r="AJ97" s="2">
        <f t="shared" si="39"/>
        <v>0</v>
      </c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 t="s">
        <v>156</v>
      </c>
      <c r="B98" s="2" t="s">
        <v>36</v>
      </c>
      <c r="C98" s="2">
        <v>3</v>
      </c>
      <c r="D98" s="2">
        <v>12</v>
      </c>
      <c r="E98" s="2">
        <v>1</v>
      </c>
      <c r="F98" s="2">
        <v>11</v>
      </c>
      <c r="G98" s="3">
        <v>0.28000000000000003</v>
      </c>
      <c r="H98" s="2">
        <v>50</v>
      </c>
      <c r="I98" s="2" t="s">
        <v>37</v>
      </c>
      <c r="J98" s="2"/>
      <c r="K98" s="2">
        <v>1</v>
      </c>
      <c r="L98" s="2">
        <f t="shared" si="31"/>
        <v>0</v>
      </c>
      <c r="M98" s="2"/>
      <c r="N98" s="2"/>
      <c r="O98" s="2">
        <v>0</v>
      </c>
      <c r="P98" s="2"/>
      <c r="Q98" s="2">
        <f t="shared" si="32"/>
        <v>0.2</v>
      </c>
      <c r="R98" s="15"/>
      <c r="S98" s="15">
        <f t="shared" si="35"/>
        <v>0</v>
      </c>
      <c r="T98" s="15">
        <f t="shared" si="36"/>
        <v>0</v>
      </c>
      <c r="U98" s="15"/>
      <c r="V98" s="15"/>
      <c r="W98" s="2"/>
      <c r="X98" s="2">
        <f t="shared" si="37"/>
        <v>55</v>
      </c>
      <c r="Y98" s="2">
        <f t="shared" si="34"/>
        <v>55</v>
      </c>
      <c r="Z98" s="2">
        <v>0.6</v>
      </c>
      <c r="AA98" s="2">
        <v>0.6</v>
      </c>
      <c r="AB98" s="2">
        <v>0.2</v>
      </c>
      <c r="AC98" s="2">
        <v>0.4</v>
      </c>
      <c r="AD98" s="2">
        <v>1</v>
      </c>
      <c r="AE98" s="2">
        <v>12.6</v>
      </c>
      <c r="AF98" s="2">
        <v>0</v>
      </c>
      <c r="AG98" s="2">
        <v>0</v>
      </c>
      <c r="AH98" s="2" t="s">
        <v>124</v>
      </c>
      <c r="AI98" s="2">
        <f t="shared" si="38"/>
        <v>0</v>
      </c>
      <c r="AJ98" s="2">
        <f t="shared" si="39"/>
        <v>0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spans="1:52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spans="1:52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spans="1:52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spans="1:52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spans="1:52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spans="1:52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spans="1:52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spans="1:52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spans="1:52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spans="1:52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spans="1:52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spans="1:52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spans="1:52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spans="1:52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spans="1:52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spans="1:52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spans="1:52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spans="1:52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spans="1:52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spans="1:52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spans="1:52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spans="1:52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spans="1:52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spans="1:52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spans="1:52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spans="1:52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spans="1:52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spans="1:52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spans="1:52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spans="1:52">
      <c r="A448" s="2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spans="1:52">
      <c r="A449" s="2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spans="1:52">
      <c r="A450" s="2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spans="1:52">
      <c r="A451" s="2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spans="1:52">
      <c r="A452" s="2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spans="1:52">
      <c r="A453" s="2"/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spans="1:52">
      <c r="A454" s="2"/>
      <c r="B454" s="2"/>
      <c r="C454" s="2"/>
      <c r="D454" s="2"/>
      <c r="E454" s="2"/>
      <c r="F454" s="2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spans="1:52">
      <c r="A455" s="2"/>
      <c r="B455" s="2"/>
      <c r="C455" s="2"/>
      <c r="D455" s="2"/>
      <c r="E455" s="2"/>
      <c r="F455" s="2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spans="1:52">
      <c r="A456" s="2"/>
      <c r="B456" s="2"/>
      <c r="C456" s="2"/>
      <c r="D456" s="2"/>
      <c r="E456" s="2"/>
      <c r="F456" s="2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spans="1:52">
      <c r="A457" s="2"/>
      <c r="B457" s="2"/>
      <c r="C457" s="2"/>
      <c r="D457" s="2"/>
      <c r="E457" s="2"/>
      <c r="F457" s="2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spans="1:52">
      <c r="A458" s="2"/>
      <c r="B458" s="2"/>
      <c r="C458" s="2"/>
      <c r="D458" s="2"/>
      <c r="E458" s="2"/>
      <c r="F458" s="2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spans="1:52">
      <c r="A459" s="2"/>
      <c r="B459" s="2"/>
      <c r="C459" s="2"/>
      <c r="D459" s="2"/>
      <c r="E459" s="2"/>
      <c r="F459" s="2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spans="1:52">
      <c r="A460" s="2"/>
      <c r="B460" s="2"/>
      <c r="C460" s="2"/>
      <c r="D460" s="2"/>
      <c r="E460" s="2"/>
      <c r="F460" s="2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spans="1:52">
      <c r="A461" s="2"/>
      <c r="B461" s="2"/>
      <c r="C461" s="2"/>
      <c r="D461" s="2"/>
      <c r="E461" s="2"/>
      <c r="F461" s="2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spans="1:52">
      <c r="A462" s="2"/>
      <c r="B462" s="2"/>
      <c r="C462" s="2"/>
      <c r="D462" s="2"/>
      <c r="E462" s="2"/>
      <c r="F462" s="2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spans="1:52">
      <c r="A463" s="2"/>
      <c r="B463" s="2"/>
      <c r="C463" s="2"/>
      <c r="D463" s="2"/>
      <c r="E463" s="2"/>
      <c r="F463" s="2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spans="1:52">
      <c r="A464" s="2"/>
      <c r="B464" s="2"/>
      <c r="C464" s="2"/>
      <c r="D464" s="2"/>
      <c r="E464" s="2"/>
      <c r="F464" s="2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spans="1:52">
      <c r="A465" s="2"/>
      <c r="B465" s="2"/>
      <c r="C465" s="2"/>
      <c r="D465" s="2"/>
      <c r="E465" s="2"/>
      <c r="F465" s="2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spans="1:52">
      <c r="A466" s="2"/>
      <c r="B466" s="2"/>
      <c r="C466" s="2"/>
      <c r="D466" s="2"/>
      <c r="E466" s="2"/>
      <c r="F466" s="2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spans="1:52">
      <c r="A467" s="2"/>
      <c r="B467" s="2"/>
      <c r="C467" s="2"/>
      <c r="D467" s="2"/>
      <c r="E467" s="2"/>
      <c r="F467" s="2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spans="1:52">
      <c r="A468" s="2"/>
      <c r="B468" s="2"/>
      <c r="C468" s="2"/>
      <c r="D468" s="2"/>
      <c r="E468" s="2"/>
      <c r="F468" s="2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spans="1:52">
      <c r="A469" s="2"/>
      <c r="B469" s="2"/>
      <c r="C469" s="2"/>
      <c r="D469" s="2"/>
      <c r="E469" s="2"/>
      <c r="F469" s="2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spans="1:52">
      <c r="A470" s="2"/>
      <c r="B470" s="2"/>
      <c r="C470" s="2"/>
      <c r="D470" s="2"/>
      <c r="E470" s="2"/>
      <c r="F470" s="2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spans="1:52">
      <c r="A471" s="2"/>
      <c r="B471" s="2"/>
      <c r="C471" s="2"/>
      <c r="D471" s="2"/>
      <c r="E471" s="2"/>
      <c r="F471" s="2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spans="1:52">
      <c r="A472" s="2"/>
      <c r="B472" s="2"/>
      <c r="C472" s="2"/>
      <c r="D472" s="2"/>
      <c r="E472" s="2"/>
      <c r="F472" s="2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spans="1:52">
      <c r="A473" s="2"/>
      <c r="B473" s="2"/>
      <c r="C473" s="2"/>
      <c r="D473" s="2"/>
      <c r="E473" s="2"/>
      <c r="F473" s="2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spans="1:52">
      <c r="A474" s="2"/>
      <c r="B474" s="2"/>
      <c r="C474" s="2"/>
      <c r="D474" s="2"/>
      <c r="E474" s="2"/>
      <c r="F474" s="2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spans="1:52">
      <c r="A475" s="2"/>
      <c r="B475" s="2"/>
      <c r="C475" s="2"/>
      <c r="D475" s="2"/>
      <c r="E475" s="2"/>
      <c r="F475" s="2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spans="1:52">
      <c r="A476" s="2"/>
      <c r="B476" s="2"/>
      <c r="C476" s="2"/>
      <c r="D476" s="2"/>
      <c r="E476" s="2"/>
      <c r="F476" s="2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spans="1:52">
      <c r="A477" s="2"/>
      <c r="B477" s="2"/>
      <c r="C477" s="2"/>
      <c r="D477" s="2"/>
      <c r="E477" s="2"/>
      <c r="F477" s="2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spans="1:52">
      <c r="A478" s="2"/>
      <c r="B478" s="2"/>
      <c r="C478" s="2"/>
      <c r="D478" s="2"/>
      <c r="E478" s="2"/>
      <c r="F478" s="2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spans="1:52">
      <c r="A479" s="2"/>
      <c r="B479" s="2"/>
      <c r="C479" s="2"/>
      <c r="D479" s="2"/>
      <c r="E479" s="2"/>
      <c r="F479" s="2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spans="1:52">
      <c r="A480" s="2"/>
      <c r="B480" s="2"/>
      <c r="C480" s="2"/>
      <c r="D480" s="2"/>
      <c r="E480" s="2"/>
      <c r="F480" s="2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spans="1:52">
      <c r="A481" s="2"/>
      <c r="B481" s="2"/>
      <c r="C481" s="2"/>
      <c r="D481" s="2"/>
      <c r="E481" s="2"/>
      <c r="F481" s="2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spans="1:52">
      <c r="A482" s="2"/>
      <c r="B482" s="2"/>
      <c r="C482" s="2"/>
      <c r="D482" s="2"/>
      <c r="E482" s="2"/>
      <c r="F482" s="2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spans="1:52">
      <c r="A483" s="2"/>
      <c r="B483" s="2"/>
      <c r="C483" s="2"/>
      <c r="D483" s="2"/>
      <c r="E483" s="2"/>
      <c r="F483" s="2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spans="1:52">
      <c r="A484" s="2"/>
      <c r="B484" s="2"/>
      <c r="C484" s="2"/>
      <c r="D484" s="2"/>
      <c r="E484" s="2"/>
      <c r="F484" s="2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spans="1:52">
      <c r="A485" s="2"/>
      <c r="B485" s="2"/>
      <c r="C485" s="2"/>
      <c r="D485" s="2"/>
      <c r="E485" s="2"/>
      <c r="F485" s="2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spans="1:52">
      <c r="A486" s="2"/>
      <c r="B486" s="2"/>
      <c r="C486" s="2"/>
      <c r="D486" s="2"/>
      <c r="E486" s="2"/>
      <c r="F486" s="2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spans="1:52">
      <c r="A487" s="2"/>
      <c r="B487" s="2"/>
      <c r="C487" s="2"/>
      <c r="D487" s="2"/>
      <c r="E487" s="2"/>
      <c r="F487" s="2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spans="1:52">
      <c r="A488" s="2"/>
      <c r="B488" s="2"/>
      <c r="C488" s="2"/>
      <c r="D488" s="2"/>
      <c r="E488" s="2"/>
      <c r="F488" s="2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spans="1:52">
      <c r="A489" s="2"/>
      <c r="B489" s="2"/>
      <c r="C489" s="2"/>
      <c r="D489" s="2"/>
      <c r="E489" s="2"/>
      <c r="F489" s="2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spans="1:52">
      <c r="A490" s="2"/>
      <c r="B490" s="2"/>
      <c r="C490" s="2"/>
      <c r="D490" s="2"/>
      <c r="E490" s="2"/>
      <c r="F490" s="2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spans="1:52">
      <c r="A491" s="2"/>
      <c r="B491" s="2"/>
      <c r="C491" s="2"/>
      <c r="D491" s="2"/>
      <c r="E491" s="2"/>
      <c r="F491" s="2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spans="1:52">
      <c r="A492" s="2"/>
      <c r="B492" s="2"/>
      <c r="C492" s="2"/>
      <c r="D492" s="2"/>
      <c r="E492" s="2"/>
      <c r="F492" s="2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spans="1:52">
      <c r="A493" s="2"/>
      <c r="B493" s="2"/>
      <c r="C493" s="2"/>
      <c r="D493" s="2"/>
      <c r="E493" s="2"/>
      <c r="F493" s="2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spans="1:52">
      <c r="A494" s="2"/>
      <c r="B494" s="2"/>
      <c r="C494" s="2"/>
      <c r="D494" s="2"/>
      <c r="E494" s="2"/>
      <c r="F494" s="2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spans="1:52">
      <c r="A495" s="2"/>
      <c r="B495" s="2"/>
      <c r="C495" s="2"/>
      <c r="D495" s="2"/>
      <c r="E495" s="2"/>
      <c r="F495" s="2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  <row r="496" spans="1:52">
      <c r="A496" s="2"/>
      <c r="B496" s="2"/>
      <c r="C496" s="2"/>
      <c r="D496" s="2"/>
      <c r="E496" s="2"/>
      <c r="F496" s="2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</row>
  </sheetData>
  <autoFilter ref="A3:AI9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2025-12-02T09:27:00Z</dcterms:created>
  <dcterms:modified xsi:type="dcterms:W3CDTF">2025-12-03T09:48:01Z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91882931DCF34A8295EA7E8415F219CA_12</vt:lpwstr>
  </property>
  <property fmtid="{D5CDD505-2E9C-101B-9397-08002B2CF9AE}" pid="3" name="KSOProductBuildVer">
    <vt:lpwstr>1049-12.2.0.23155</vt:lpwstr>
  </property>
</Properties>
</file>