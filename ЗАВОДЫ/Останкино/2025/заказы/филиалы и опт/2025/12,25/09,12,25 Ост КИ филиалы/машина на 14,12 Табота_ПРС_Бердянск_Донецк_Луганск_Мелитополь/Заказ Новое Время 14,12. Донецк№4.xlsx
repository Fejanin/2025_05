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3ABD3A21-2B72-4393-ABB6-1AC0882D74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<sst xmlns="http://schemas.openxmlformats.org/spreadsheetml/2006/main" count="255" uniqueCount="145">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</sst>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46005</v>
      </c>
      <c r="E3" s="7" t="s">
        <v>3</v>
      </c>
      <c r="F3" s="84">
        <f>D3+3</f>
        <v>46008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306</v>
      </c>
      <c r="F12" s="23">
        <v>1.3340000000000001</v>
      </c>
      <c r="G12" s="23">
        <f>E12</f>
        <v>306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257</v>
      </c>
      <c r="F13" s="23">
        <v>0.4</v>
      </c>
      <c r="G13" s="23">
        <f>E13*F13</f>
        <v>102.80000000000001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39</v>
      </c>
      <c r="F15" s="23">
        <v>1.35</v>
      </c>
      <c r="G15" s="23">
        <f>E15</f>
        <v>39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289</v>
      </c>
      <c r="F22" s="23">
        <v>1.35</v>
      </c>
      <c r="G22" s="23">
        <f>E22</f>
        <v>289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55</v>
      </c>
      <c r="F24" s="23">
        <v>1.3540000000000001</v>
      </c>
      <c r="G24" s="23">
        <f>E24</f>
        <v>55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100</v>
      </c>
      <c r="F25" s="23">
        <v>0.4</v>
      </c>
      <c r="G25" s="23">
        <f>E25*F25</f>
        <v>40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19</v>
      </c>
      <c r="F26" s="23">
        <v>0.4</v>
      </c>
      <c r="G26" s="23">
        <f>E26*F26</f>
        <v>7.6000000000000005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39</v>
      </c>
      <c r="F27" s="23">
        <v>0.4</v>
      </c>
      <c r="G27" s="23">
        <f>E27*F27</f>
        <v>15.600000000000001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22</v>
      </c>
      <c r="F28" s="23">
        <v>0.3</v>
      </c>
      <c r="G28" s="23">
        <f>E28*F28</f>
        <v>6.6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150</v>
      </c>
      <c r="F29" s="23">
        <v>0.4</v>
      </c>
      <c r="G29" s="23">
        <f>E29*F29</f>
        <v>60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45</v>
      </c>
      <c r="F30" s="23">
        <v>1</v>
      </c>
      <c r="G30" s="23">
        <f>E30</f>
        <v>45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114</v>
      </c>
      <c r="F32" s="23">
        <v>1</v>
      </c>
      <c r="G32" s="23">
        <f>E32</f>
        <v>114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112</v>
      </c>
      <c r="F34" s="23">
        <v>0.4</v>
      </c>
      <c r="G34" s="23">
        <f>E34*F34</f>
        <v>44.800000000000004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147</v>
      </c>
      <c r="F36" s="67">
        <v>0.4</v>
      </c>
      <c r="G36" s="23">
        <f>E36*F36</f>
        <v>58.800000000000004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>
        <v>20</v>
      </c>
      <c r="F37" s="23">
        <v>0.35</v>
      </c>
      <c r="G37" s="23">
        <f>E37*F37</f>
        <v>7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65</v>
      </c>
      <c r="F38" s="23">
        <v>1.05</v>
      </c>
      <c r="G38" s="23">
        <f>E38</f>
        <v>65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129</v>
      </c>
      <c r="F41" s="23">
        <v>0.36</v>
      </c>
      <c r="G41" s="23">
        <f>E41*F41</f>
        <v>46.44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231</v>
      </c>
      <c r="F43" s="23">
        <v>0.3</v>
      </c>
      <c r="G43" s="23">
        <f>E43*F43</f>
        <v>69.3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>
        <v>164</v>
      </c>
      <c r="F44" s="23">
        <v>2.125</v>
      </c>
      <c r="G44" s="23">
        <f>E44</f>
        <v>164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312</v>
      </c>
      <c r="F46" s="23"/>
      <c r="G46" s="23">
        <f>E46</f>
        <v>312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>
        <v>6</v>
      </c>
      <c r="F47" s="23">
        <v>1</v>
      </c>
      <c r="G47" s="23">
        <f>E47</f>
        <v>6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263</v>
      </c>
      <c r="F49" s="23">
        <v>0.41</v>
      </c>
      <c r="G49" s="23">
        <f>E49*F49</f>
        <v>107.83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277</v>
      </c>
      <c r="F53" s="23">
        <v>1.0249999999999999</v>
      </c>
      <c r="G53" s="23">
        <f>E53</f>
        <v>277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>
        <v>115</v>
      </c>
      <c r="F55" s="23">
        <v>0.35</v>
      </c>
      <c r="G55" s="23">
        <f>E55*F55</f>
        <v>40.25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>
        <v>23</v>
      </c>
      <c r="F56" s="23">
        <v>0.41</v>
      </c>
      <c r="G56" s="23">
        <f>F56*E56</f>
        <v>9.43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336</v>
      </c>
      <c r="F58" s="23">
        <v>0.41</v>
      </c>
      <c r="G58" s="23">
        <f>E58*F58</f>
        <v>137.76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>
        <v>23</v>
      </c>
      <c r="F59" s="23">
        <v>0.3</v>
      </c>
      <c r="G59" s="23">
        <f>E59*F59</f>
        <v>6.8999999999999995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114</v>
      </c>
      <c r="F60" s="23">
        <v>0.41</v>
      </c>
      <c r="G60" s="23">
        <f>E60*F60</f>
        <v>46.739999999999995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>
        <v>47</v>
      </c>
      <c r="F62" s="75">
        <v>0.98699999999999999</v>
      </c>
      <c r="G62" s="23">
        <f>E62</f>
        <v>47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30</v>
      </c>
      <c r="F63" s="23">
        <v>1</v>
      </c>
      <c r="G63" s="23">
        <f>E63</f>
        <v>30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23</v>
      </c>
      <c r="F64" s="23">
        <v>1</v>
      </c>
      <c r="G64" s="23">
        <f>E64</f>
        <v>23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169</v>
      </c>
      <c r="F65" s="23">
        <v>0.99</v>
      </c>
      <c r="G65" s="23">
        <f>E65</f>
        <v>169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108</v>
      </c>
      <c r="F68" s="23">
        <v>0.1</v>
      </c>
      <c r="G68" s="23">
        <f t="shared" si="4"/>
        <v>10.8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90</v>
      </c>
      <c r="F69" s="23">
        <v>0.28000000000000003</v>
      </c>
      <c r="G69" s="23">
        <f t="shared" si="4"/>
        <v>25.200000000000003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90</v>
      </c>
      <c r="F71" s="23">
        <v>0.28000000000000003</v>
      </c>
      <c r="G71" s="23">
        <f t="shared" si="4"/>
        <v>25.200000000000003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203</v>
      </c>
      <c r="F72" s="23">
        <v>0.35</v>
      </c>
      <c r="G72" s="23">
        <f t="shared" si="4"/>
        <v>71.05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>
        <v>81</v>
      </c>
      <c r="F73" s="75">
        <v>0.33</v>
      </c>
      <c r="G73" s="23">
        <f t="shared" si="4"/>
        <v>26.73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250</v>
      </c>
      <c r="F74" s="23">
        <v>0.35</v>
      </c>
      <c r="G74" s="23">
        <f t="shared" si="4"/>
        <v>87.5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49</v>
      </c>
      <c r="F75" s="23">
        <v>0.28000000000000003</v>
      </c>
      <c r="G75" s="23">
        <f t="shared" si="4"/>
        <v>13.72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269</v>
      </c>
      <c r="F76" s="23">
        <v>0.28000000000000003</v>
      </c>
      <c r="G76" s="23">
        <f t="shared" si="4"/>
        <v>75.320000000000007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>
        <v>8</v>
      </c>
      <c r="F77" s="23">
        <v>0.28000000000000003</v>
      </c>
      <c r="G77" s="23">
        <f t="shared" si="4"/>
        <v>2.2400000000000002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166</v>
      </c>
      <c r="F79" s="23">
        <v>1</v>
      </c>
      <c r="G79" s="23">
        <f>E79</f>
        <v>166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120</v>
      </c>
      <c r="F80" s="23">
        <v>0.83399999999999996</v>
      </c>
      <c r="G80" s="23">
        <f>E80</f>
        <v>120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>
        <v>24</v>
      </c>
      <c r="F82" s="23">
        <v>0.33</v>
      </c>
      <c r="G82" s="23">
        <f>E82*F82</f>
        <v>7.92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>
        <v>34</v>
      </c>
      <c r="F84" s="23">
        <v>1</v>
      </c>
      <c r="G84" s="23">
        <f>E84</f>
        <v>34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>
        <v>229</v>
      </c>
      <c r="F85" s="23">
        <v>0.33</v>
      </c>
      <c r="G85" s="23">
        <f>E85*F85</f>
        <v>75.570000000000007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>
        <v>30</v>
      </c>
      <c r="F86" s="23">
        <v>1</v>
      </c>
      <c r="G86" s="23">
        <f>E86</f>
        <v>30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>
        <v>45</v>
      </c>
      <c r="F91" s="23">
        <v>0.33</v>
      </c>
      <c r="G91" s="23">
        <f>E91*F91</f>
        <v>14.850000000000001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32</v>
      </c>
      <c r="F93" s="67">
        <v>0.22</v>
      </c>
      <c r="G93" s="23">
        <f>E93*F93</f>
        <v>7.04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>
        <v>25</v>
      </c>
      <c r="F94" s="75">
        <v>0.1</v>
      </c>
      <c r="G94" s="23">
        <f>E94*F94</f>
        <v>2.5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>
        <v>41</v>
      </c>
      <c r="F95" s="23">
        <v>0.14000000000000001</v>
      </c>
      <c r="G95" s="23">
        <f>E95*F95</f>
        <v>5.74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365</v>
      </c>
      <c r="F96" s="23">
        <v>0.1</v>
      </c>
      <c r="G96" s="23">
        <f>E96*F96</f>
        <v>36.5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80</v>
      </c>
      <c r="F97" s="23">
        <v>0.25</v>
      </c>
      <c r="G97" s="23">
        <f>E97*F97</f>
        <v>20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>
        <v>70</v>
      </c>
      <c r="F98" s="23">
        <v>0.52500000000000002</v>
      </c>
      <c r="G98" s="23">
        <f>E98</f>
        <v>70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>
        <v>20</v>
      </c>
      <c r="F99" s="23"/>
      <c r="G99" s="23">
        <f>E99</f>
        <v>20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>
        <v>21</v>
      </c>
      <c r="F100" s="23"/>
      <c r="G100" s="23">
        <f>E100</f>
        <v>21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>
        <v>143</v>
      </c>
      <c r="F101" s="23">
        <v>0.25</v>
      </c>
      <c r="G101" s="23">
        <f t="shared" ref="G101:G110" si="6">E101*F101</f>
        <v>35.75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>
        <v>22</v>
      </c>
      <c r="F102" s="23">
        <v>0.25</v>
      </c>
      <c r="G102" s="23">
        <f t="shared" si="6"/>
        <v>5.5</v>
      </c>
      <c r="H102" s="14"/>
      <c r="I102" s="14"/>
      <c r="J102" s="29"/>
    </row>
    <row r="103" spans="1:10" ht="16.5" customHeight="1" x14ac:dyDescent="0.25">
      <c r="A103" s="60" t="str">
        <f t="shared" si="5"/>
        <v>7382</v>
      </c>
      <c r="B103" s="80" t="s">
        <v>116</v>
      </c>
      <c r="C103" s="73" t="s">
        <v>21</v>
      </c>
      <c r="D103" s="74">
        <v>1001203117382</v>
      </c>
      <c r="E103" s="24">
        <v>54</v>
      </c>
      <c r="F103" s="23">
        <v>0.12</v>
      </c>
      <c r="G103" s="23">
        <f t="shared" si="6"/>
        <v>6.4799999999999995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>
        <v>32</v>
      </c>
      <c r="F104" s="23">
        <v>0.22</v>
      </c>
      <c r="G104" s="23">
        <f t="shared" si="6"/>
        <v>7.04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/>
      <c r="F110" s="23">
        <v>0.09</v>
      </c>
      <c r="G110" s="23">
        <f t="shared" si="6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>
        <v>42</v>
      </c>
      <c r="F112" s="23">
        <v>0.25</v>
      </c>
      <c r="G112" s="23">
        <f>E112*F112</f>
        <v>10.5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>
        <v>137</v>
      </c>
      <c r="F113" s="23">
        <v>0.1</v>
      </c>
      <c r="G113" s="23">
        <f>E113*F113</f>
        <v>13.700000000000001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>
        <v>36</v>
      </c>
      <c r="F114" s="23">
        <v>0.09</v>
      </c>
      <c r="G114" s="23">
        <f>E114*F114</f>
        <v>3.2399999999999998</v>
      </c>
      <c r="H114" s="14"/>
      <c r="I114" s="14"/>
      <c r="J114" s="29"/>
    </row>
    <row r="115" spans="1:10" ht="16.5" customHeight="1" thickBot="1" x14ac:dyDescent="0.3">
      <c r="A115" s="60" t="str">
        <f t="shared" ref="A115:A130" si="7">RIGHT(D115,4)</f>
        <v>3287</v>
      </c>
      <c r="B115" s="80" t="s">
        <v>128</v>
      </c>
      <c r="C115" s="73" t="s">
        <v>23</v>
      </c>
      <c r="D115" s="74">
        <v>1001060763287</v>
      </c>
      <c r="E115" s="24">
        <v>13</v>
      </c>
      <c r="F115" s="23">
        <v>0.51300000000000001</v>
      </c>
      <c r="G115" s="23">
        <f>E115</f>
        <v>13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7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7"/>
        <v>6866</v>
      </c>
      <c r="B117" s="77" t="s">
        <v>130</v>
      </c>
      <c r="C117" s="73" t="s">
        <v>37</v>
      </c>
      <c r="D117" s="79">
        <v>1001095716866</v>
      </c>
      <c r="E117" s="24">
        <v>39</v>
      </c>
      <c r="F117" s="23"/>
      <c r="G117" s="23">
        <f>E117</f>
        <v>39</v>
      </c>
      <c r="H117" s="14"/>
      <c r="I117" s="14"/>
      <c r="J117" s="29"/>
    </row>
    <row r="118" spans="1:10" ht="16.5" customHeight="1" x14ac:dyDescent="0.25">
      <c r="A118" s="60" t="str">
        <f t="shared" si="7"/>
        <v>3215</v>
      </c>
      <c r="B118" s="80" t="s">
        <v>131</v>
      </c>
      <c r="C118" s="73" t="s">
        <v>32</v>
      </c>
      <c r="D118" s="42">
        <v>1001094053215</v>
      </c>
      <c r="E118" s="24">
        <v>43</v>
      </c>
      <c r="F118" s="23">
        <v>0.4</v>
      </c>
      <c r="G118" s="23">
        <f>E118*F118</f>
        <v>17.2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7"/>
        <v>5452</v>
      </c>
      <c r="B119" s="51" t="s">
        <v>132</v>
      </c>
      <c r="C119" s="73" t="s">
        <v>23</v>
      </c>
      <c r="D119" s="42">
        <v>1001092485452</v>
      </c>
      <c r="E119" s="24">
        <v>37</v>
      </c>
      <c r="F119" s="23">
        <v>1.367</v>
      </c>
      <c r="G119" s="23">
        <f>E119</f>
        <v>37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7"/>
        <v>5495</v>
      </c>
      <c r="B120" s="51" t="s">
        <v>133</v>
      </c>
      <c r="C120" s="73" t="s">
        <v>21</v>
      </c>
      <c r="D120" s="42">
        <v>1001093345495</v>
      </c>
      <c r="E120" s="24">
        <v>138</v>
      </c>
      <c r="F120" s="23">
        <v>0.4</v>
      </c>
      <c r="G120" s="23">
        <f>E120*F120</f>
        <v>55.2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7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7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7"/>
        <v>6448</v>
      </c>
      <c r="B123" s="37" t="s">
        <v>136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>
        <v>10</v>
      </c>
      <c r="F126" s="23">
        <v>0.15</v>
      </c>
      <c r="G126" s="23">
        <f>F126*E126</f>
        <v>1.5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>
        <v>53</v>
      </c>
      <c r="F127" s="23">
        <v>0.3</v>
      </c>
      <c r="G127" s="23">
        <f>E127*F127</f>
        <v>15.899999999999999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>
        <v>21</v>
      </c>
      <c r="F128" s="23">
        <v>0.3</v>
      </c>
      <c r="G128" s="23">
        <f>E128*F128</f>
        <v>6.3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>
        <v>81</v>
      </c>
      <c r="F129" s="75">
        <v>0.18</v>
      </c>
      <c r="G129" s="23">
        <f>E129*F129</f>
        <v>14.58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7392</v>
      </c>
      <c r="F131" s="17"/>
      <c r="G131" s="17">
        <f>SUM(G11:G130)</f>
        <v>3999.6199999999981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2025-12-10T10:06:08Z</dcterms:modified>
</cp:coreProperties>
</file>