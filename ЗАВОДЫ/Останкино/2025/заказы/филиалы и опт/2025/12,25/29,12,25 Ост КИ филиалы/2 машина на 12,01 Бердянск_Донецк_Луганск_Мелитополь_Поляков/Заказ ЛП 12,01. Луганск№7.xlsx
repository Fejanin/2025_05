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84451004-C18A-401A-A997-055439C113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<sst xmlns="http://schemas.openxmlformats.org/spreadsheetml/2006/main" count="256" uniqueCount="146">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</sst>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45669</v>
      </c>
      <c r="E3" s="7" t="s">
        <v>3</v>
      </c>
      <c r="F3" s="83">
        <f>D3+3</f>
        <v>45672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>
        <v>309</v>
      </c>
      <c r="F12" s="23">
        <v>1.3340000000000001</v>
      </c>
      <c r="G12" s="23">
        <f>E12</f>
        <v>309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205</v>
      </c>
      <c r="F13" s="23">
        <v>0.4</v>
      </c>
      <c r="G13" s="23">
        <f>E13*F13</f>
        <v>82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>
        <v>73</v>
      </c>
      <c r="F15" s="23">
        <v>1.35</v>
      </c>
      <c r="G15" s="23">
        <f>E15</f>
        <v>73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225</v>
      </c>
      <c r="F22" s="23">
        <v>1.35</v>
      </c>
      <c r="G22" s="23">
        <f>E22</f>
        <v>225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>
        <v>153</v>
      </c>
      <c r="F23" s="23">
        <v>0.4</v>
      </c>
      <c r="G23" s="23">
        <f>E23*F23</f>
        <v>61.2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>
        <v>177</v>
      </c>
      <c r="F24" s="23">
        <v>1.3540000000000001</v>
      </c>
      <c r="G24" s="23">
        <f>E24</f>
        <v>177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>
        <v>40</v>
      </c>
      <c r="F28" s="23">
        <v>0.3</v>
      </c>
      <c r="G28" s="23">
        <f>E28*F28</f>
        <v>12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>
        <v>59</v>
      </c>
      <c r="F29" s="23">
        <v>0.4</v>
      </c>
      <c r="G29" s="23">
        <f>E29*F29</f>
        <v>23.6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>
        <v>120</v>
      </c>
      <c r="F38" s="23">
        <v>1.05</v>
      </c>
      <c r="G38" s="23">
        <f>E38</f>
        <v>120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>
        <v>22</v>
      </c>
      <c r="F39" s="23">
        <v>0.4</v>
      </c>
      <c r="G39" s="23">
        <f>E39*F39</f>
        <v>8.8000000000000007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/>
      <c r="F41" s="23">
        <v>0.36</v>
      </c>
      <c r="G41" s="23">
        <f>E41*F41</f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/>
      <c r="F43" s="23">
        <v>0.3</v>
      </c>
      <c r="G43" s="23">
        <f>E43*F43</f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>
        <v>102</v>
      </c>
      <c r="F44" s="23">
        <v>2.125</v>
      </c>
      <c r="G44" s="23">
        <f>E44</f>
        <v>102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>
        <v>44</v>
      </c>
      <c r="F46" s="23"/>
      <c r="G46" s="23">
        <f>E46</f>
        <v>44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>
        <v>107</v>
      </c>
      <c r="F47" s="23">
        <v>1</v>
      </c>
      <c r="G47" s="23">
        <f>E47</f>
        <v>107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>
        <v>186</v>
      </c>
      <c r="F49" s="23">
        <v>0.41</v>
      </c>
      <c r="G49" s="23">
        <f>E49*F49</f>
        <v>76.259999999999991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>
        <v>38</v>
      </c>
      <c r="F50" s="23">
        <v>0.4</v>
      </c>
      <c r="G50" s="23">
        <f>E50*F50</f>
        <v>15.200000000000001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>
        <v>59</v>
      </c>
      <c r="F54" s="23"/>
      <c r="G54" s="23">
        <f>E54</f>
        <v>59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>
        <v>48</v>
      </c>
      <c r="F58" s="23">
        <v>0.41</v>
      </c>
      <c r="G58" s="23">
        <f>E58*F58</f>
        <v>19.68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>
        <v>163</v>
      </c>
      <c r="F60" s="23">
        <v>0.41</v>
      </c>
      <c r="G60" s="23">
        <f>E60*F60</f>
        <v>66.83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>
        <v>60</v>
      </c>
      <c r="F64" s="23">
        <v>1</v>
      </c>
      <c r="G64" s="23">
        <f>E64</f>
        <v>60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/>
      <c r="F68" s="23">
        <v>0.1</v>
      </c>
      <c r="G68" s="23">
        <f t="shared" si="3"/>
        <v>0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>
        <v>44</v>
      </c>
      <c r="F69" s="23">
        <v>0.28000000000000003</v>
      </c>
      <c r="G69" s="23">
        <f t="shared" si="3"/>
        <v>12.32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>
        <v>132</v>
      </c>
      <c r="F71" s="23">
        <v>0.28000000000000003</v>
      </c>
      <c r="G71" s="23">
        <f t="shared" si="3"/>
        <v>36.96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>
        <v>148</v>
      </c>
      <c r="F72" s="23">
        <v>0.35</v>
      </c>
      <c r="G72" s="23">
        <f t="shared" si="3"/>
        <v>51.8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/>
      <c r="F73" s="75">
        <v>0.33</v>
      </c>
      <c r="G73" s="23">
        <f t="shared" si="3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>
        <v>224</v>
      </c>
      <c r="F74" s="23">
        <v>0.35</v>
      </c>
      <c r="G74" s="23">
        <f t="shared" si="3"/>
        <v>78.399999999999991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/>
      <c r="F75" s="23">
        <v>0.28000000000000003</v>
      </c>
      <c r="G75" s="23">
        <f t="shared" si="3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>
        <v>167</v>
      </c>
      <c r="F76" s="23">
        <v>0.28000000000000003</v>
      </c>
      <c r="G76" s="23">
        <f t="shared" si="3"/>
        <v>46.760000000000005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>
        <v>129</v>
      </c>
      <c r="F78" s="23">
        <v>0.35</v>
      </c>
      <c r="G78" s="23">
        <f t="shared" si="3"/>
        <v>45.15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>
        <v>76</v>
      </c>
      <c r="F79" s="23">
        <v>1</v>
      </c>
      <c r="G79" s="23">
        <f>E79</f>
        <v>76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>
        <v>81</v>
      </c>
      <c r="F80" s="23">
        <v>0.83399999999999996</v>
      </c>
      <c r="G80" s="23">
        <f>E80</f>
        <v>81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>
        <v>39</v>
      </c>
      <c r="F91" s="23">
        <v>0.33</v>
      </c>
      <c r="G91" s="23">
        <f>E91*F91</f>
        <v>12.870000000000001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>
        <v>60</v>
      </c>
      <c r="F96" s="23">
        <v>0.1</v>
      </c>
      <c r="G96" s="23">
        <f>E96*F96</f>
        <v>6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3986</v>
      </c>
      <c r="B97" s="80" t="s">
        <v>111</v>
      </c>
      <c r="C97" s="73" t="s">
        <v>33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4"/>
        <v>5708</v>
      </c>
      <c r="B98" s="80" t="s">
        <v>112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4"/>
        <v>6832</v>
      </c>
      <c r="B99" s="80" t="s">
        <v>113</v>
      </c>
      <c r="C99" s="73" t="s">
        <v>24</v>
      </c>
      <c r="D99" s="74">
        <v>1001065616832</v>
      </c>
      <c r="E99" s="24"/>
      <c r="F99" s="23"/>
      <c r="G99" s="23">
        <f>E99</f>
        <v>0</v>
      </c>
      <c r="H99" s="14"/>
      <c r="I99" s="14"/>
      <c r="J99" s="29"/>
    </row>
    <row r="100" spans="1:10" ht="16.5" customHeight="1" x14ac:dyDescent="0.25">
      <c r="A100" s="60" t="str">
        <f t="shared" si="4"/>
        <v>7299</v>
      </c>
      <c r="B100" s="80" t="s">
        <v>114</v>
      </c>
      <c r="C100" s="73" t="s">
        <v>24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4"/>
        <v>4993</v>
      </c>
      <c r="B101" s="80" t="s">
        <v>115</v>
      </c>
      <c r="C101" s="73" t="s">
        <v>33</v>
      </c>
      <c r="D101" s="74">
        <v>1001060764993</v>
      </c>
      <c r="E101" s="24"/>
      <c r="F101" s="23">
        <v>0.25</v>
      </c>
      <c r="G101" s="23">
        <f t="shared" ref="G101:G110" si="5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4"/>
        <v>6967</v>
      </c>
      <c r="B102" s="80" t="s">
        <v>116</v>
      </c>
      <c r="C102" s="73" t="s">
        <v>33</v>
      </c>
      <c r="D102" s="74">
        <v>1001063656967</v>
      </c>
      <c r="E102" s="24"/>
      <c r="F102" s="23">
        <v>0.25</v>
      </c>
      <c r="G102" s="23">
        <f t="shared" si="5"/>
        <v>0</v>
      </c>
      <c r="H102" s="14"/>
      <c r="I102" s="14"/>
      <c r="J102" s="29"/>
    </row>
    <row r="103" spans="1:10" ht="16.5" customHeight="1" x14ac:dyDescent="0.25">
      <c r="A103" s="60" t="str">
        <f t="shared" si="4"/>
        <v>7382</v>
      </c>
      <c r="B103" s="80" t="s">
        <v>117</v>
      </c>
      <c r="C103" s="73" t="s">
        <v>22</v>
      </c>
      <c r="D103" s="74">
        <v>1001203117382</v>
      </c>
      <c r="E103" s="24">
        <v>20</v>
      </c>
      <c r="F103" s="23">
        <v>0.12</v>
      </c>
      <c r="G103" s="23">
        <f t="shared" si="5"/>
        <v>2.4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4"/>
        <v>7147</v>
      </c>
      <c r="B104" s="80" t="s">
        <v>118</v>
      </c>
      <c r="C104" s="73" t="s">
        <v>22</v>
      </c>
      <c r="D104" s="74">
        <v>1001063237147</v>
      </c>
      <c r="E104" s="24"/>
      <c r="F104" s="23">
        <v>0.22</v>
      </c>
      <c r="G104" s="23">
        <f t="shared" si="5"/>
        <v>0</v>
      </c>
      <c r="H104" s="14"/>
      <c r="I104" s="14"/>
      <c r="J104" s="29"/>
    </row>
    <row r="105" spans="1:10" ht="16.5" customHeight="1" x14ac:dyDescent="0.25">
      <c r="A105" s="60" t="str">
        <f t="shared" si="4"/>
        <v>7229</v>
      </c>
      <c r="B105" s="80" t="s">
        <v>119</v>
      </c>
      <c r="C105" s="73" t="s">
        <v>22</v>
      </c>
      <c r="D105" s="74">
        <v>1001063237229</v>
      </c>
      <c r="E105" s="24"/>
      <c r="F105" s="23">
        <v>0.18</v>
      </c>
      <c r="G105" s="23">
        <f t="shared" si="5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7150</v>
      </c>
      <c r="B106" s="80" t="s">
        <v>120</v>
      </c>
      <c r="C106" s="73" t="s">
        <v>24</v>
      </c>
      <c r="D106" s="74">
        <v>1001063237150</v>
      </c>
      <c r="E106" s="24"/>
      <c r="F106" s="23">
        <v>1</v>
      </c>
      <c r="G106" s="23">
        <f t="shared" si="5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7227</v>
      </c>
      <c r="B107" s="80" t="s">
        <v>121</v>
      </c>
      <c r="C107" s="73" t="s">
        <v>22</v>
      </c>
      <c r="D107" s="74">
        <v>1001063097227</v>
      </c>
      <c r="E107" s="24"/>
      <c r="F107" s="23">
        <v>0.18</v>
      </c>
      <c r="G107" s="23">
        <f t="shared" si="5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7225</v>
      </c>
      <c r="B108" s="80" t="s">
        <v>122</v>
      </c>
      <c r="C108" s="73" t="s">
        <v>22</v>
      </c>
      <c r="D108" s="74">
        <v>1001066537225</v>
      </c>
      <c r="E108" s="24"/>
      <c r="F108" s="23">
        <v>0.18</v>
      </c>
      <c r="G108" s="23">
        <f t="shared" si="5"/>
        <v>0</v>
      </c>
      <c r="H108" s="14"/>
      <c r="I108" s="14"/>
      <c r="J108" s="29"/>
    </row>
    <row r="109" spans="1:10" ht="16.5" customHeight="1" x14ac:dyDescent="0.25">
      <c r="A109" s="60" t="str">
        <f t="shared" si="4"/>
        <v>7228</v>
      </c>
      <c r="B109" s="80" t="s">
        <v>123</v>
      </c>
      <c r="C109" s="73" t="s">
        <v>22</v>
      </c>
      <c r="D109" s="74">
        <v>1001066547228</v>
      </c>
      <c r="E109" s="24"/>
      <c r="F109" s="23">
        <v>0.18</v>
      </c>
      <c r="G109" s="23">
        <f t="shared" si="5"/>
        <v>0</v>
      </c>
      <c r="H109" s="14"/>
      <c r="I109" s="14"/>
      <c r="J109" s="29"/>
    </row>
    <row r="110" spans="1:10" ht="16.5" customHeight="1" x14ac:dyDescent="0.25">
      <c r="A110" s="60" t="str">
        <f t="shared" si="4"/>
        <v>6221</v>
      </c>
      <c r="B110" s="80" t="s">
        <v>124</v>
      </c>
      <c r="C110" s="73" t="s">
        <v>22</v>
      </c>
      <c r="D110" s="74">
        <v>1001205376221</v>
      </c>
      <c r="E110" s="24">
        <v>95</v>
      </c>
      <c r="F110" s="23">
        <v>0.09</v>
      </c>
      <c r="G110" s="23">
        <f t="shared" si="5"/>
        <v>8.5499999999999989</v>
      </c>
      <c r="H110" s="14"/>
      <c r="I110" s="14"/>
      <c r="J110" s="29"/>
    </row>
    <row r="111" spans="1:10" ht="16.5" customHeight="1" x14ac:dyDescent="0.25">
      <c r="A111" s="60" t="str">
        <f t="shared" si="4"/>
        <v>4117</v>
      </c>
      <c r="B111" s="80" t="s">
        <v>125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4"/>
        <v>5483</v>
      </c>
      <c r="B112" s="80" t="s">
        <v>126</v>
      </c>
      <c r="C112" s="73" t="s">
        <v>22</v>
      </c>
      <c r="D112" s="74">
        <v>1001062505483</v>
      </c>
      <c r="E112" s="24">
        <v>55</v>
      </c>
      <c r="F112" s="23">
        <v>0.25</v>
      </c>
      <c r="G112" s="23">
        <f>E112*F112</f>
        <v>13.75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4"/>
        <v>6453</v>
      </c>
      <c r="B113" s="80" t="s">
        <v>127</v>
      </c>
      <c r="C113" s="73" t="s">
        <v>33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4"/>
        <v>6228</v>
      </c>
      <c r="B114" s="80" t="s">
        <v>128</v>
      </c>
      <c r="C114" s="73" t="s">
        <v>33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4"/>
        <v>3287</v>
      </c>
      <c r="B115" s="80" t="s">
        <v>129</v>
      </c>
      <c r="C115" s="73" t="s">
        <v>24</v>
      </c>
      <c r="D115" s="74">
        <v>1001060763287</v>
      </c>
      <c r="E115" s="24">
        <v>25</v>
      </c>
      <c r="F115" s="23">
        <v>0.51300000000000001</v>
      </c>
      <c r="G115" s="23">
        <f>E115</f>
        <v>25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4"/>
        <v/>
      </c>
      <c r="B116" s="47" t="s">
        <v>130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4"/>
        <v>6866</v>
      </c>
      <c r="B117" s="77" t="s">
        <v>131</v>
      </c>
      <c r="C117" s="73" t="s">
        <v>38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4"/>
        <v>3215</v>
      </c>
      <c r="B118" s="80" t="s">
        <v>132</v>
      </c>
      <c r="C118" s="73" t="s">
        <v>33</v>
      </c>
      <c r="D118" s="42">
        <v>1001094053215</v>
      </c>
      <c r="E118" s="24">
        <v>39</v>
      </c>
      <c r="F118" s="23">
        <v>0.4</v>
      </c>
      <c r="G118" s="23">
        <f>E118*F118</f>
        <v>15.600000000000001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4"/>
        <v>5452</v>
      </c>
      <c r="B119" s="51" t="s">
        <v>133</v>
      </c>
      <c r="C119" s="73" t="s">
        <v>24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4"/>
        <v>5495</v>
      </c>
      <c r="B120" s="51" t="s">
        <v>134</v>
      </c>
      <c r="C120" s="73" t="s">
        <v>22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4"/>
        <v>6495</v>
      </c>
      <c r="B121" s="51" t="s">
        <v>135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4"/>
        <v/>
      </c>
      <c r="B122" s="47" t="s">
        <v>136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ref="A123:A130" si="6">RIGHT(D123,4)</f>
        <v>6448</v>
      </c>
      <c r="B123" s="37" t="s">
        <v>137</v>
      </c>
      <c r="C123" s="73" t="s">
        <v>33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6"/>
        <v>6620</v>
      </c>
      <c r="B124" s="37" t="s">
        <v>138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6"/>
        <v>6279</v>
      </c>
      <c r="B125" s="37" t="s">
        <v>139</v>
      </c>
      <c r="C125" s="73" t="s">
        <v>22</v>
      </c>
      <c r="D125" s="74">
        <v>1001220286279</v>
      </c>
      <c r="E125" s="24">
        <v>105</v>
      </c>
      <c r="F125" s="23">
        <v>0.15</v>
      </c>
      <c r="G125" s="23">
        <f>F125*E125</f>
        <v>15.75</v>
      </c>
      <c r="H125" s="14"/>
      <c r="I125" s="14"/>
      <c r="J125" s="29"/>
    </row>
    <row r="126" spans="1:10" ht="16.5" customHeight="1" x14ac:dyDescent="0.25">
      <c r="A126" s="60" t="str">
        <f t="shared" si="6"/>
        <v>6208</v>
      </c>
      <c r="B126" s="37" t="s">
        <v>140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7090</v>
      </c>
      <c r="B127" s="37" t="s">
        <v>141</v>
      </c>
      <c r="C127" s="73" t="s">
        <v>33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6"/>
        <v>7187</v>
      </c>
      <c r="B128" s="37" t="s">
        <v>142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6"/>
        <v>7103</v>
      </c>
      <c r="B129" s="59" t="s">
        <v>143</v>
      </c>
      <c r="C129" s="54" t="s">
        <v>33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6"/>
        <v>6872</v>
      </c>
      <c r="B130" s="37" t="s">
        <v>144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145</v>
      </c>
      <c r="C131" s="16"/>
      <c r="D131" s="38"/>
      <c r="E131" s="17">
        <f>SUM(E10:E130)</f>
        <v>3629</v>
      </c>
      <c r="F131" s="17"/>
      <c r="G131" s="17">
        <f>SUM(G11:G130)</f>
        <v>2169.88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2025-12-30T09:23:32Z</dcterms:modified>
</cp:coreProperties>
</file>