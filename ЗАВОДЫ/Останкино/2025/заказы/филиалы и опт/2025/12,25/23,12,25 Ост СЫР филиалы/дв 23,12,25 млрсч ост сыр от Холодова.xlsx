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142916A5-77EA-45B6-AE60-8993E866A0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5" i="1" l="1"/>
  <c r="S46" i="1"/>
  <c r="S47" i="1"/>
  <c r="S44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S5" i="1" l="1"/>
  <c r="R40" i="1"/>
  <c r="R34" i="1"/>
  <c r="R28" i="1"/>
  <c r="R24" i="1"/>
  <c r="R18" i="1"/>
  <c r="R16" i="1"/>
  <c r="R12" i="1"/>
  <c r="R10" i="1"/>
  <c r="R9" i="1"/>
  <c r="R8" i="1"/>
  <c r="R7" i="1"/>
  <c r="R6" i="1"/>
  <c r="R11" i="1"/>
  <c r="R14" i="1"/>
  <c r="AG14" i="1" s="1"/>
  <c r="R17" i="1"/>
  <c r="R20" i="1"/>
  <c r="AG20" i="1" s="1"/>
  <c r="R22" i="1"/>
  <c r="AG22" i="1" s="1"/>
  <c r="R23" i="1"/>
  <c r="AG23" i="1" s="1"/>
  <c r="R25" i="1"/>
  <c r="R26" i="1"/>
  <c r="AG26" i="1" s="1"/>
  <c r="R27" i="1"/>
  <c r="R29" i="1"/>
  <c r="AG29" i="1" s="1"/>
  <c r="R30" i="1"/>
  <c r="AG30" i="1" s="1"/>
  <c r="R32" i="1"/>
  <c r="AG32" i="1" s="1"/>
  <c r="R35" i="1"/>
  <c r="R36" i="1"/>
  <c r="AG36" i="1" s="1"/>
  <c r="R37" i="1"/>
  <c r="R38" i="1"/>
  <c r="AG38" i="1" s="1"/>
  <c r="R41" i="1"/>
  <c r="R42" i="1"/>
  <c r="AG42" i="1" s="1"/>
  <c r="AG11" i="1"/>
  <c r="AG17" i="1"/>
  <c r="AG25" i="1"/>
  <c r="AG27" i="1"/>
  <c r="AG35" i="1"/>
  <c r="AG37" i="1"/>
  <c r="AG41" i="1"/>
  <c r="AG44" i="1"/>
  <c r="AG45" i="1"/>
  <c r="AG46" i="1"/>
  <c r="AG47" i="1"/>
  <c r="V47" i="1"/>
  <c r="V46" i="1"/>
  <c r="V45" i="1"/>
  <c r="V44" i="1"/>
  <c r="P47" i="1" l="1"/>
  <c r="P6" i="1"/>
  <c r="Q6" i="1" s="1"/>
  <c r="P7" i="1"/>
  <c r="Q7" i="1" s="1"/>
  <c r="V7" i="1" s="1"/>
  <c r="P8" i="1"/>
  <c r="Q8" i="1" s="1"/>
  <c r="P9" i="1"/>
  <c r="Q9" i="1" s="1"/>
  <c r="V9" i="1" s="1"/>
  <c r="P10" i="1"/>
  <c r="Q10" i="1" s="1"/>
  <c r="P11" i="1"/>
  <c r="V11" i="1" s="1"/>
  <c r="P12" i="1"/>
  <c r="Q12" i="1" s="1"/>
  <c r="AG12" i="1" s="1"/>
  <c r="P13" i="1"/>
  <c r="Q13" i="1" s="1"/>
  <c r="R13" i="1" s="1"/>
  <c r="P44" i="1"/>
  <c r="Q44" i="1" s="1"/>
  <c r="P45" i="1"/>
  <c r="P14" i="1"/>
  <c r="V14" i="1" s="1"/>
  <c r="P15" i="1"/>
  <c r="P16" i="1"/>
  <c r="Q16" i="1" s="1"/>
  <c r="AG16" i="1" s="1"/>
  <c r="P17" i="1"/>
  <c r="V17" i="1" s="1"/>
  <c r="P18" i="1"/>
  <c r="Q18" i="1" s="1"/>
  <c r="AG18" i="1" s="1"/>
  <c r="P19" i="1"/>
  <c r="P20" i="1"/>
  <c r="V20" i="1" s="1"/>
  <c r="P21" i="1"/>
  <c r="P22" i="1"/>
  <c r="V22" i="1" s="1"/>
  <c r="P23" i="1"/>
  <c r="V23" i="1" s="1"/>
  <c r="P24" i="1"/>
  <c r="P25" i="1"/>
  <c r="V25" i="1" s="1"/>
  <c r="P26" i="1"/>
  <c r="V26" i="1" s="1"/>
  <c r="P27" i="1"/>
  <c r="V27" i="1" s="1"/>
  <c r="P28" i="1"/>
  <c r="P29" i="1"/>
  <c r="V29" i="1" s="1"/>
  <c r="P30" i="1"/>
  <c r="V30" i="1" s="1"/>
  <c r="P31" i="1"/>
  <c r="P32" i="1"/>
  <c r="V32" i="1" s="1"/>
  <c r="P33" i="1"/>
  <c r="Q33" i="1" s="1"/>
  <c r="R33" i="1" s="1"/>
  <c r="P34" i="1"/>
  <c r="P35" i="1"/>
  <c r="V35" i="1" s="1"/>
  <c r="P36" i="1"/>
  <c r="V36" i="1" s="1"/>
  <c r="P37" i="1"/>
  <c r="V37" i="1" s="1"/>
  <c r="P38" i="1"/>
  <c r="V38" i="1" s="1"/>
  <c r="P39" i="1"/>
  <c r="P40" i="1"/>
  <c r="P41" i="1"/>
  <c r="V41" i="1" s="1"/>
  <c r="P42" i="1"/>
  <c r="V42" i="1" s="1"/>
  <c r="P46" i="1"/>
  <c r="W4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5" i="1"/>
  <c r="L44" i="1"/>
  <c r="L13" i="1"/>
  <c r="L12" i="1"/>
  <c r="L11" i="1"/>
  <c r="L10" i="1"/>
  <c r="I10" i="1"/>
  <c r="G10" i="1"/>
  <c r="L9" i="1"/>
  <c r="I9" i="1"/>
  <c r="G9" i="1"/>
  <c r="L8" i="1"/>
  <c r="I8" i="1"/>
  <c r="G8" i="1"/>
  <c r="L7" i="1"/>
  <c r="I7" i="1"/>
  <c r="G7" i="1"/>
  <c r="AG7" i="1" s="1"/>
  <c r="L6" i="1"/>
  <c r="I6" i="1"/>
  <c r="G6" i="1"/>
  <c r="L47" i="1"/>
  <c r="L4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V10" i="1" l="1"/>
  <c r="V18" i="1"/>
  <c r="AG9" i="1"/>
  <c r="AG33" i="1"/>
  <c r="V33" i="1"/>
  <c r="AG13" i="1"/>
  <c r="V13" i="1"/>
  <c r="Q40" i="1"/>
  <c r="Q28" i="1"/>
  <c r="AG10" i="1"/>
  <c r="AG8" i="1"/>
  <c r="AG6" i="1"/>
  <c r="V6" i="1"/>
  <c r="V8" i="1"/>
  <c r="V12" i="1"/>
  <c r="V16" i="1"/>
  <c r="Q19" i="1"/>
  <c r="R19" i="1" s="1"/>
  <c r="Q24" i="1"/>
  <c r="Q21" i="1"/>
  <c r="R21" i="1" s="1"/>
  <c r="Q31" i="1"/>
  <c r="R31" i="1" s="1"/>
  <c r="Q34" i="1"/>
  <c r="Q47" i="1"/>
  <c r="Q15" i="1"/>
  <c r="R15" i="1" s="1"/>
  <c r="Q39" i="1"/>
  <c r="R39" i="1" s="1"/>
  <c r="Q46" i="1"/>
  <c r="W40" i="1"/>
  <c r="W36" i="1"/>
  <c r="W32" i="1"/>
  <c r="W29" i="1"/>
  <c r="W25" i="1"/>
  <c r="W21" i="1"/>
  <c r="W17" i="1"/>
  <c r="W45" i="1"/>
  <c r="W11" i="1"/>
  <c r="W7" i="1"/>
  <c r="L5" i="1"/>
  <c r="W42" i="1"/>
  <c r="W38" i="1"/>
  <c r="W34" i="1"/>
  <c r="W30" i="1"/>
  <c r="W27" i="1"/>
  <c r="W23" i="1"/>
  <c r="W19" i="1"/>
  <c r="W15" i="1"/>
  <c r="W13" i="1"/>
  <c r="W9" i="1"/>
  <c r="W47" i="1"/>
  <c r="W41" i="1"/>
  <c r="W39" i="1"/>
  <c r="W37" i="1"/>
  <c r="W35" i="1"/>
  <c r="W33" i="1"/>
  <c r="W31" i="1"/>
  <c r="W28" i="1"/>
  <c r="W26" i="1"/>
  <c r="W24" i="1"/>
  <c r="W22" i="1"/>
  <c r="W20" i="1"/>
  <c r="W18" i="1"/>
  <c r="W16" i="1"/>
  <c r="W14" i="1"/>
  <c r="W44" i="1"/>
  <c r="W12" i="1"/>
  <c r="W10" i="1"/>
  <c r="W8" i="1"/>
  <c r="W6" i="1"/>
  <c r="P5" i="1"/>
  <c r="AG39" i="1" l="1"/>
  <c r="V39" i="1"/>
  <c r="AG31" i="1"/>
  <c r="V31" i="1"/>
  <c r="AG24" i="1"/>
  <c r="V24" i="1"/>
  <c r="AG40" i="1"/>
  <c r="V40" i="1"/>
  <c r="AG15" i="1"/>
  <c r="V15" i="1"/>
  <c r="AG34" i="1"/>
  <c r="V34" i="1"/>
  <c r="AG21" i="1"/>
  <c r="V21" i="1"/>
  <c r="AG19" i="1"/>
  <c r="V19" i="1"/>
  <c r="AG28" i="1"/>
  <c r="V28" i="1"/>
  <c r="R5" i="1"/>
  <c r="Q5" i="1"/>
  <c r="AG5" i="1" l="1"/>
</calcChain>
</file>

<file path=xl/sharedStrings.xml><?xml version="1.0" encoding="utf-8"?>
<sst xmlns="http://schemas.openxmlformats.org/spreadsheetml/2006/main" count="170" uniqueCount="96">
  <si>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</si>
  <si>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</si>
  <si>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</si>
  <si>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</si>
  <si>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</si>
  <si>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</si>
  <si>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</si>
  <si>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</si>
  <si>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</si>
  <si>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</si>
  <si>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</si>
  <si>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</si>
  <si>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</si>
  <si>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</si>
  <si>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</si>
  <si>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</si>
  <si>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</si>
  <si>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</si>
  <si>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</si>
  <si>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</si>
  <si>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</si>
  <si>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</si>
  <si>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</si>
  <si>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</si>
  <si>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</si>
  <si>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</si>
  <si>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</si>
  <si>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</si>
  <si>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</si>
  <si>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</si>
  <si>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</si>
  <si>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</si>
  <si>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</si>
  <si>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</si>
  <si>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</si>
  <si>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</si>
  <si>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</si>
  <si>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</si>
  <si>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</si>
  <si>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</si>
  <si>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</si>
  <si>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</si>
  <si>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</si>
  <si>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</si>
  <si>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</si>
  <si>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</si>
  <si>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</si>
  <si>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</si>
  <si>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</si>
  <si>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</si>
  <si>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</si>
  <si>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</si>
  <si>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</si>
  <si>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</si>
  <si>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</si>
  <si>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</si>
  <si>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</si>
  <si>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</si>
  <si>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</si>
  <si>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</si>
  <si>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</si>
  <si>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</si>
  <si>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</si>
  <si>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</si>
  <si>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</si>
  <si>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</si>
  <si>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</si>
  <si>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</si>
  <si>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</si>
  <si>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</si>
  <si>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</si>
  <si>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</si>
  <si>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</si>
  <si>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</si>
  <si>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</si>
  <si>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</si>
  <si>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</si>
  <si>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</si>
  <si>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</si>
  <si>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</si>
  <si>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</si>
  <si>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</si>
  <si>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</si>
  <si>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</si>
  <si>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</si>
  <si>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</si>
  <si>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</si>
  <si>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</si>
  <si>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</si>
  <si>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29,09,25 завод не отгрузил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</si>
  <si>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</si>
  <si>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итого</t>
  </si>
  <si>
    <t>вывод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</si>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</sst>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3,12,25%20&#1054;&#1089;&#1090;%20&#1057;&#1067;&#1056;%20&#1092;&#1080;&#1083;&#1080;&#1072;&#1083;&#1099;/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8" sqref="U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bestFit="1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5" customWidth="1"/>
    <col min="20" max="20" width="7" customWidth="1"/>
    <col min="21" max="21" width="21" customWidth="1"/>
    <col min="22" max="23" width="5" customWidth="1"/>
    <col min="24" max="31" width="6" customWidth="1"/>
    <col min="32" max="32" width="55.28515625" customWidth="1"/>
    <col min="33" max="33" width="7" customWidth="1"/>
    <col min="34" max="52" width="1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91</v>
      </c>
      <c r="S3" s="2" t="s">
        <v>93</v>
      </c>
      <c r="T3" s="5" t="s">
        <v>17</v>
      </c>
      <c r="U3" s="5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25</v>
      </c>
      <c r="Q4" s="8"/>
      <c r="R4" s="8"/>
      <c r="S4" s="8" t="s">
        <v>94</v>
      </c>
      <c r="T4" s="8"/>
      <c r="U4" s="8"/>
      <c r="V4" s="8"/>
      <c r="W4" s="8"/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SUM(E6:E495)</f>
        <v>6170.1869999999999</v>
      </c>
      <c r="F5" s="3">
        <f>SUM(F6:F495)</f>
        <v>7069.8029999999999</v>
      </c>
      <c r="G5" s="6"/>
      <c r="H5" s="8"/>
      <c r="I5" s="8"/>
      <c r="J5" s="8"/>
      <c r="K5" s="3">
        <f t="shared" ref="K5:T5" si="0">SUM(K6:K495)</f>
        <v>6588.2000000000007</v>
      </c>
      <c r="L5" s="3">
        <f t="shared" si="0"/>
        <v>-418.01299999999992</v>
      </c>
      <c r="M5" s="3">
        <f t="shared" si="0"/>
        <v>0</v>
      </c>
      <c r="N5" s="3">
        <f t="shared" si="0"/>
        <v>0</v>
      </c>
      <c r="O5" s="3">
        <f t="shared" si="0"/>
        <v>12090</v>
      </c>
      <c r="P5" s="3">
        <f t="shared" si="0"/>
        <v>1234.0373999999999</v>
      </c>
      <c r="Q5" s="3">
        <f t="shared" si="0"/>
        <v>8241.3129999999983</v>
      </c>
      <c r="R5" s="3">
        <f t="shared" si="0"/>
        <v>7758.9139999999998</v>
      </c>
      <c r="S5" s="3">
        <f t="shared" si="0"/>
        <v>7772</v>
      </c>
      <c r="T5" s="3">
        <f t="shared" si="0"/>
        <v>5594</v>
      </c>
      <c r="U5" s="8"/>
      <c r="V5" s="8"/>
      <c r="W5" s="8"/>
      <c r="X5" s="3">
        <f t="shared" ref="X5:AE5" si="1">SUM(X6:X495)</f>
        <v>1082.7646</v>
      </c>
      <c r="Y5" s="3">
        <f t="shared" si="1"/>
        <v>929.0648000000001</v>
      </c>
      <c r="Z5" s="3">
        <f t="shared" si="1"/>
        <v>829.4799999999999</v>
      </c>
      <c r="AA5" s="3">
        <f t="shared" si="1"/>
        <v>843.97040000000004</v>
      </c>
      <c r="AB5" s="3">
        <f t="shared" si="1"/>
        <v>973.03700000000015</v>
      </c>
      <c r="AC5" s="3">
        <f t="shared" si="1"/>
        <v>1035.4359999999999</v>
      </c>
      <c r="AD5" s="3">
        <f t="shared" si="1"/>
        <v>969.89660000000003</v>
      </c>
      <c r="AE5" s="3">
        <f t="shared" si="1"/>
        <v>1166.6854000000003</v>
      </c>
      <c r="AF5" s="8"/>
      <c r="AG5" s="3">
        <f>SUM(AG6:AG495)</f>
        <v>2813.1180000000004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37</v>
      </c>
      <c r="B6" s="8" t="s">
        <v>35</v>
      </c>
      <c r="C6" s="8"/>
      <c r="D6" s="8">
        <v>48</v>
      </c>
      <c r="E6" s="8">
        <v>45</v>
      </c>
      <c r="F6" s="8">
        <v>3</v>
      </c>
      <c r="G6" s="6">
        <f>VLOOKUP(A6,[1]Sheet!$A:$I,7,0)</f>
        <v>0.82450000000000001</v>
      </c>
      <c r="H6" s="8"/>
      <c r="I6" s="8">
        <f>VLOOKUP(A6,[1]Sheet!$A:$I,9,0)</f>
        <v>6948249</v>
      </c>
      <c r="J6" s="8"/>
      <c r="K6" s="8">
        <v>45</v>
      </c>
      <c r="L6" s="8">
        <f t="shared" ref="L6:L42" si="2">E6-K6</f>
        <v>0</v>
      </c>
      <c r="M6" s="8"/>
      <c r="N6" s="8"/>
      <c r="O6" s="8"/>
      <c r="P6" s="8">
        <f t="shared" ref="P6:P42" si="3">E6/5</f>
        <v>9</v>
      </c>
      <c r="Q6" s="9">
        <f>15*P6-O6-F6</f>
        <v>132</v>
      </c>
      <c r="R6" s="9">
        <f>T6</f>
        <v>96</v>
      </c>
      <c r="S6" s="9">
        <f>IFERROR(VLOOKUP(A6,заказ!A:B,2,0),0)</f>
        <v>96</v>
      </c>
      <c r="T6" s="9">
        <v>96</v>
      </c>
      <c r="U6" s="8"/>
      <c r="V6" s="8">
        <f>(F6+O6+R6)/P6</f>
        <v>11</v>
      </c>
      <c r="W6" s="8">
        <f t="shared" ref="W6:W42" si="4">(F6+O6)/P6</f>
        <v>0.33333333333333331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/>
      <c r="AG6" s="8">
        <f>G6*R6</f>
        <v>79.152000000000001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38</v>
      </c>
      <c r="B7" s="8" t="s">
        <v>35</v>
      </c>
      <c r="C7" s="8"/>
      <c r="D7" s="8">
        <v>600</v>
      </c>
      <c r="E7" s="8">
        <v>221</v>
      </c>
      <c r="F7" s="8">
        <v>379</v>
      </c>
      <c r="G7" s="6">
        <f>VLOOKUP(A7,[1]Sheet!$A:$I,7,0)</f>
        <v>0.372</v>
      </c>
      <c r="H7" s="8"/>
      <c r="I7" s="8">
        <f>VLOOKUP(A7,[1]Sheet!$A:$I,9,0)</f>
        <v>6948256</v>
      </c>
      <c r="J7" s="8"/>
      <c r="K7" s="8">
        <v>219</v>
      </c>
      <c r="L7" s="8">
        <f t="shared" si="2"/>
        <v>2</v>
      </c>
      <c r="M7" s="8"/>
      <c r="N7" s="8"/>
      <c r="O7" s="8"/>
      <c r="P7" s="8">
        <f t="shared" si="3"/>
        <v>44.2</v>
      </c>
      <c r="Q7" s="9">
        <f>20*P7-O7-F7</f>
        <v>505</v>
      </c>
      <c r="R7" s="9">
        <f t="shared" ref="R7:R10" si="5">T7</f>
        <v>600</v>
      </c>
      <c r="S7" s="9">
        <f>IFERROR(VLOOKUP(A7,заказ!A:B,2,0),0)</f>
        <v>600</v>
      </c>
      <c r="T7" s="9">
        <v>600</v>
      </c>
      <c r="U7" s="8"/>
      <c r="V7" s="8">
        <f t="shared" ref="V7:V47" si="6">(F7+O7+R7)/P7</f>
        <v>22.149321266968325</v>
      </c>
      <c r="W7" s="8">
        <f t="shared" si="4"/>
        <v>8.5746606334841626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f t="shared" ref="AG7:AG47" si="7">G7*R7</f>
        <v>223.2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 t="s">
        <v>39</v>
      </c>
      <c r="B8" s="8" t="s">
        <v>35</v>
      </c>
      <c r="C8" s="8"/>
      <c r="D8" s="8">
        <v>408</v>
      </c>
      <c r="E8" s="8">
        <v>174</v>
      </c>
      <c r="F8" s="8">
        <v>234</v>
      </c>
      <c r="G8" s="6">
        <f>VLOOKUP(A8,[1]Sheet!$A:$I,7,0)</f>
        <v>0.74399999999999999</v>
      </c>
      <c r="H8" s="8"/>
      <c r="I8" s="8">
        <f>VLOOKUP(A8,[1]Sheet!$A:$I,9,0)</f>
        <v>6948263</v>
      </c>
      <c r="J8" s="8"/>
      <c r="K8" s="8">
        <v>174</v>
      </c>
      <c r="L8" s="8">
        <f t="shared" si="2"/>
        <v>0</v>
      </c>
      <c r="M8" s="8"/>
      <c r="N8" s="8"/>
      <c r="O8" s="8"/>
      <c r="P8" s="8">
        <f t="shared" si="3"/>
        <v>34.799999999999997</v>
      </c>
      <c r="Q8" s="9">
        <f t="shared" ref="Q8:Q21" si="8">20*P8-O8-F8</f>
        <v>462</v>
      </c>
      <c r="R8" s="9">
        <f t="shared" si="5"/>
        <v>408</v>
      </c>
      <c r="S8" s="9">
        <f>IFERROR(VLOOKUP(A8,заказ!A:B,2,0),0)</f>
        <v>408</v>
      </c>
      <c r="T8" s="9">
        <v>408</v>
      </c>
      <c r="U8" s="8"/>
      <c r="V8" s="8">
        <f t="shared" si="6"/>
        <v>18.448275862068968</v>
      </c>
      <c r="W8" s="8">
        <f t="shared" si="4"/>
        <v>6.7241379310344831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f t="shared" si="7"/>
        <v>303.55200000000002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40</v>
      </c>
      <c r="B9" s="8" t="s">
        <v>35</v>
      </c>
      <c r="C9" s="8"/>
      <c r="D9" s="8">
        <v>600</v>
      </c>
      <c r="E9" s="8">
        <v>394</v>
      </c>
      <c r="F9" s="8">
        <v>206</v>
      </c>
      <c r="G9" s="6">
        <f>VLOOKUP(A9,[1]Sheet!$A:$I,7,0)</f>
        <v>0.372</v>
      </c>
      <c r="H9" s="8"/>
      <c r="I9" s="8">
        <f>VLOOKUP(A9,[1]Sheet!$A:$I,9,0)</f>
        <v>6948270</v>
      </c>
      <c r="J9" s="8"/>
      <c r="K9" s="8">
        <v>389</v>
      </c>
      <c r="L9" s="8">
        <f t="shared" si="2"/>
        <v>5</v>
      </c>
      <c r="M9" s="8"/>
      <c r="N9" s="8"/>
      <c r="O9" s="8"/>
      <c r="P9" s="8">
        <f t="shared" si="3"/>
        <v>78.8</v>
      </c>
      <c r="Q9" s="9">
        <f>18*P9-O9-F9</f>
        <v>1212.3999999999999</v>
      </c>
      <c r="R9" s="9">
        <f t="shared" si="5"/>
        <v>1000</v>
      </c>
      <c r="S9" s="9">
        <f>IFERROR(VLOOKUP(A9,заказ!A:B,2,0),0)</f>
        <v>996</v>
      </c>
      <c r="T9" s="9">
        <v>1000</v>
      </c>
      <c r="U9" s="8"/>
      <c r="V9" s="8">
        <f t="shared" si="6"/>
        <v>15.304568527918782</v>
      </c>
      <c r="W9" s="8">
        <f t="shared" si="4"/>
        <v>2.6142131979695433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f t="shared" si="7"/>
        <v>372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41</v>
      </c>
      <c r="B10" s="8" t="s">
        <v>35</v>
      </c>
      <c r="C10" s="8"/>
      <c r="D10" s="8">
        <v>408</v>
      </c>
      <c r="E10" s="8">
        <v>291</v>
      </c>
      <c r="F10" s="8">
        <v>117</v>
      </c>
      <c r="G10" s="6">
        <f>VLOOKUP(A10,[1]Sheet!$A:$I,7,0)</f>
        <v>0.74399999999999999</v>
      </c>
      <c r="H10" s="8"/>
      <c r="I10" s="8">
        <f>VLOOKUP(A10,[1]Sheet!$A:$I,9,0)</f>
        <v>6948287</v>
      </c>
      <c r="J10" s="8"/>
      <c r="K10" s="8">
        <v>289</v>
      </c>
      <c r="L10" s="8">
        <f t="shared" si="2"/>
        <v>2</v>
      </c>
      <c r="M10" s="8"/>
      <c r="N10" s="8"/>
      <c r="O10" s="8"/>
      <c r="P10" s="8">
        <f t="shared" si="3"/>
        <v>58.2</v>
      </c>
      <c r="Q10" s="9">
        <f>17*P10-O10-F10</f>
        <v>872.40000000000009</v>
      </c>
      <c r="R10" s="9">
        <f t="shared" si="5"/>
        <v>600</v>
      </c>
      <c r="S10" s="9">
        <f>IFERROR(VLOOKUP(A10,заказ!A:B,2,0),0)</f>
        <v>600</v>
      </c>
      <c r="T10" s="9">
        <v>600</v>
      </c>
      <c r="U10" s="8"/>
      <c r="V10" s="8">
        <f t="shared" si="6"/>
        <v>12.319587628865978</v>
      </c>
      <c r="W10" s="8">
        <f t="shared" si="4"/>
        <v>2.0103092783505154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8">
        <f t="shared" si="7"/>
        <v>446.4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 t="s">
        <v>42</v>
      </c>
      <c r="B11" s="8" t="s">
        <v>35</v>
      </c>
      <c r="C11" s="8">
        <v>30</v>
      </c>
      <c r="D11" s="8">
        <v>16</v>
      </c>
      <c r="E11" s="8">
        <v>19</v>
      </c>
      <c r="F11" s="8">
        <v>18</v>
      </c>
      <c r="G11" s="6">
        <v>0.14000000000000001</v>
      </c>
      <c r="H11" s="8">
        <v>180</v>
      </c>
      <c r="I11" s="8">
        <v>9988421</v>
      </c>
      <c r="J11" s="8"/>
      <c r="K11" s="8">
        <v>20</v>
      </c>
      <c r="L11" s="8">
        <f t="shared" si="2"/>
        <v>-1</v>
      </c>
      <c r="M11" s="8"/>
      <c r="N11" s="8"/>
      <c r="O11" s="8">
        <v>80</v>
      </c>
      <c r="P11" s="8">
        <f t="shared" si="3"/>
        <v>3.8</v>
      </c>
      <c r="Q11" s="9"/>
      <c r="R11" s="9">
        <f t="shared" ref="R11:R42" si="9">Q11</f>
        <v>0</v>
      </c>
      <c r="S11" s="9">
        <f>IFERROR(VLOOKUP(A11,заказ!A:B,2,0),0)</f>
        <v>0</v>
      </c>
      <c r="T11" s="9"/>
      <c r="U11" s="8"/>
      <c r="V11" s="8">
        <f t="shared" si="6"/>
        <v>25.789473684210527</v>
      </c>
      <c r="W11" s="8">
        <f t="shared" si="4"/>
        <v>25.789473684210527</v>
      </c>
      <c r="X11" s="8">
        <v>6</v>
      </c>
      <c r="Y11" s="8">
        <v>3.6</v>
      </c>
      <c r="Z11" s="8">
        <v>4.2</v>
      </c>
      <c r="AA11" s="8">
        <v>0</v>
      </c>
      <c r="AB11" s="8">
        <v>1</v>
      </c>
      <c r="AC11" s="8">
        <v>5</v>
      </c>
      <c r="AD11" s="8">
        <v>5.6</v>
      </c>
      <c r="AE11" s="8">
        <v>4</v>
      </c>
      <c r="AF11" s="8" t="s">
        <v>43</v>
      </c>
      <c r="AG11" s="8">
        <f t="shared" si="7"/>
        <v>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44</v>
      </c>
      <c r="B12" s="8" t="s">
        <v>35</v>
      </c>
      <c r="C12" s="8">
        <v>159</v>
      </c>
      <c r="D12" s="8">
        <v>48</v>
      </c>
      <c r="E12" s="8">
        <v>92</v>
      </c>
      <c r="F12" s="8">
        <v>94</v>
      </c>
      <c r="G12" s="6">
        <v>0.18</v>
      </c>
      <c r="H12" s="8">
        <v>270</v>
      </c>
      <c r="I12" s="8">
        <v>9988438</v>
      </c>
      <c r="J12" s="8"/>
      <c r="K12" s="8">
        <v>92</v>
      </c>
      <c r="L12" s="8">
        <f t="shared" si="2"/>
        <v>0</v>
      </c>
      <c r="M12" s="8"/>
      <c r="N12" s="8"/>
      <c r="O12" s="8">
        <v>256</v>
      </c>
      <c r="P12" s="8">
        <f t="shared" si="3"/>
        <v>18.399999999999999</v>
      </c>
      <c r="Q12" s="9">
        <f t="shared" si="8"/>
        <v>18</v>
      </c>
      <c r="R12" s="9">
        <f>T12</f>
        <v>40</v>
      </c>
      <c r="S12" s="9">
        <f>IFERROR(VLOOKUP(A12,заказ!A:B,2,0),0)</f>
        <v>32</v>
      </c>
      <c r="T12" s="9">
        <v>40</v>
      </c>
      <c r="U12" s="8"/>
      <c r="V12" s="8">
        <f t="shared" si="6"/>
        <v>21.195652173913047</v>
      </c>
      <c r="W12" s="8">
        <f t="shared" si="4"/>
        <v>19.021739130434785</v>
      </c>
      <c r="X12" s="8">
        <v>18.399999999999999</v>
      </c>
      <c r="Y12" s="8">
        <v>15.4</v>
      </c>
      <c r="Z12" s="8">
        <v>16</v>
      </c>
      <c r="AA12" s="8">
        <v>14.6</v>
      </c>
      <c r="AB12" s="8">
        <v>12.8</v>
      </c>
      <c r="AC12" s="8">
        <v>17.600000000000001</v>
      </c>
      <c r="AD12" s="8">
        <v>11.8</v>
      </c>
      <c r="AE12" s="8">
        <v>12.2</v>
      </c>
      <c r="AF12" s="8"/>
      <c r="AG12" s="8">
        <f t="shared" si="7"/>
        <v>7.1999999999999993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45</v>
      </c>
      <c r="B13" s="8" t="s">
        <v>35</v>
      </c>
      <c r="C13" s="8">
        <v>153</v>
      </c>
      <c r="D13" s="8">
        <v>96</v>
      </c>
      <c r="E13" s="8">
        <v>84</v>
      </c>
      <c r="F13" s="8">
        <v>160</v>
      </c>
      <c r="G13" s="6">
        <v>0.18</v>
      </c>
      <c r="H13" s="8">
        <v>270</v>
      </c>
      <c r="I13" s="8">
        <v>9988445</v>
      </c>
      <c r="J13" s="8"/>
      <c r="K13" s="8">
        <v>84</v>
      </c>
      <c r="L13" s="8">
        <f t="shared" si="2"/>
        <v>0</v>
      </c>
      <c r="M13" s="8"/>
      <c r="N13" s="8"/>
      <c r="O13" s="8">
        <v>48</v>
      </c>
      <c r="P13" s="8">
        <f t="shared" si="3"/>
        <v>16.8</v>
      </c>
      <c r="Q13" s="9">
        <f t="shared" si="8"/>
        <v>128</v>
      </c>
      <c r="R13" s="9">
        <f t="shared" si="9"/>
        <v>128</v>
      </c>
      <c r="S13" s="9">
        <f>IFERROR(VLOOKUP(A13,заказ!A:B,2,0),0)</f>
        <v>128</v>
      </c>
      <c r="T13" s="9"/>
      <c r="U13" s="8"/>
      <c r="V13" s="8">
        <f t="shared" si="6"/>
        <v>20</v>
      </c>
      <c r="W13" s="8">
        <f t="shared" si="4"/>
        <v>12.38095238095238</v>
      </c>
      <c r="X13" s="8">
        <v>12.6</v>
      </c>
      <c r="Y13" s="8">
        <v>15.4</v>
      </c>
      <c r="Z13" s="8">
        <v>15.4</v>
      </c>
      <c r="AA13" s="8">
        <v>13.2</v>
      </c>
      <c r="AB13" s="8">
        <v>10.4</v>
      </c>
      <c r="AC13" s="8">
        <v>14.6</v>
      </c>
      <c r="AD13" s="8">
        <v>12.8</v>
      </c>
      <c r="AE13" s="8">
        <v>13.2</v>
      </c>
      <c r="AF13" s="8"/>
      <c r="AG13" s="8">
        <f t="shared" si="7"/>
        <v>23.04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49</v>
      </c>
      <c r="B14" s="8" t="s">
        <v>35</v>
      </c>
      <c r="C14" s="8">
        <v>135</v>
      </c>
      <c r="D14" s="8"/>
      <c r="E14" s="8">
        <v>21</v>
      </c>
      <c r="F14" s="8">
        <v>102</v>
      </c>
      <c r="G14" s="6">
        <v>0.4</v>
      </c>
      <c r="H14" s="8">
        <v>270</v>
      </c>
      <c r="I14" s="8">
        <v>9988452</v>
      </c>
      <c r="J14" s="8"/>
      <c r="K14" s="8">
        <v>21</v>
      </c>
      <c r="L14" s="8">
        <f t="shared" si="2"/>
        <v>0</v>
      </c>
      <c r="M14" s="8"/>
      <c r="N14" s="8"/>
      <c r="O14" s="8">
        <v>80</v>
      </c>
      <c r="P14" s="8">
        <f t="shared" si="3"/>
        <v>4.2</v>
      </c>
      <c r="Q14" s="9"/>
      <c r="R14" s="9">
        <f t="shared" si="9"/>
        <v>0</v>
      </c>
      <c r="S14" s="9">
        <f>IFERROR(VLOOKUP(A14,заказ!A:B,2,0),0)</f>
        <v>0</v>
      </c>
      <c r="T14" s="9"/>
      <c r="U14" s="8"/>
      <c r="V14" s="8">
        <f t="shared" si="6"/>
        <v>43.333333333333329</v>
      </c>
      <c r="W14" s="8">
        <f t="shared" si="4"/>
        <v>43.333333333333329</v>
      </c>
      <c r="X14" s="8">
        <v>7.8</v>
      </c>
      <c r="Y14" s="8">
        <v>5.8</v>
      </c>
      <c r="Z14" s="8">
        <v>9.6</v>
      </c>
      <c r="AA14" s="8">
        <v>6.4</v>
      </c>
      <c r="AB14" s="8">
        <v>6.2</v>
      </c>
      <c r="AC14" s="8">
        <v>1.8</v>
      </c>
      <c r="AD14" s="8">
        <v>10.6</v>
      </c>
      <c r="AE14" s="8">
        <v>3.4</v>
      </c>
      <c r="AF14" s="24" t="s">
        <v>89</v>
      </c>
      <c r="AG14" s="8">
        <f t="shared" si="7"/>
        <v>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 t="s">
        <v>50</v>
      </c>
      <c r="B15" s="8" t="s">
        <v>35</v>
      </c>
      <c r="C15" s="8">
        <v>94</v>
      </c>
      <c r="D15" s="8"/>
      <c r="E15" s="8">
        <v>19</v>
      </c>
      <c r="F15" s="8">
        <v>70</v>
      </c>
      <c r="G15" s="6">
        <v>0.4</v>
      </c>
      <c r="H15" s="8">
        <v>270</v>
      </c>
      <c r="I15" s="8">
        <v>9988476</v>
      </c>
      <c r="J15" s="8"/>
      <c r="K15" s="8">
        <v>21</v>
      </c>
      <c r="L15" s="8">
        <f t="shared" si="2"/>
        <v>-2</v>
      </c>
      <c r="M15" s="8"/>
      <c r="N15" s="8"/>
      <c r="O15" s="8">
        <v>0</v>
      </c>
      <c r="P15" s="8">
        <f t="shared" si="3"/>
        <v>3.8</v>
      </c>
      <c r="Q15" s="9">
        <f t="shared" si="8"/>
        <v>6</v>
      </c>
      <c r="R15" s="9">
        <f t="shared" si="9"/>
        <v>6</v>
      </c>
      <c r="S15" s="9">
        <f>IFERROR(VLOOKUP(A15,заказ!A:B,2,0),0)</f>
        <v>28</v>
      </c>
      <c r="T15" s="9"/>
      <c r="U15" s="8"/>
      <c r="V15" s="8">
        <f t="shared" si="6"/>
        <v>20</v>
      </c>
      <c r="W15" s="8">
        <f t="shared" si="4"/>
        <v>18.421052631578949</v>
      </c>
      <c r="X15" s="8">
        <v>3.6</v>
      </c>
      <c r="Y15" s="8">
        <v>4.2</v>
      </c>
      <c r="Z15" s="8">
        <v>7.2</v>
      </c>
      <c r="AA15" s="8">
        <v>2.6</v>
      </c>
      <c r="AB15" s="8">
        <v>5</v>
      </c>
      <c r="AC15" s="8">
        <v>2.2000000000000002</v>
      </c>
      <c r="AD15" s="8">
        <v>5.8</v>
      </c>
      <c r="AE15" s="8">
        <v>2.6</v>
      </c>
      <c r="AF15" s="8"/>
      <c r="AG15" s="8">
        <f t="shared" si="7"/>
        <v>2.4000000000000004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 t="s">
        <v>51</v>
      </c>
      <c r="B16" s="8" t="s">
        <v>35</v>
      </c>
      <c r="C16" s="8">
        <v>256</v>
      </c>
      <c r="D16" s="8"/>
      <c r="E16" s="8">
        <v>158</v>
      </c>
      <c r="F16" s="8">
        <v>1</v>
      </c>
      <c r="G16" s="6">
        <v>0.18</v>
      </c>
      <c r="H16" s="8">
        <v>150</v>
      </c>
      <c r="I16" s="8">
        <v>5034819</v>
      </c>
      <c r="J16" s="8"/>
      <c r="K16" s="8">
        <v>170</v>
      </c>
      <c r="L16" s="8">
        <f t="shared" si="2"/>
        <v>-12</v>
      </c>
      <c r="M16" s="8"/>
      <c r="N16" s="8"/>
      <c r="O16" s="8">
        <v>600</v>
      </c>
      <c r="P16" s="8">
        <f t="shared" si="3"/>
        <v>31.6</v>
      </c>
      <c r="Q16" s="9">
        <f t="shared" si="8"/>
        <v>31</v>
      </c>
      <c r="R16" s="9">
        <f>T16</f>
        <v>100</v>
      </c>
      <c r="S16" s="9">
        <f>IFERROR(VLOOKUP(A16,заказ!A:B,2,0),0)</f>
        <v>102</v>
      </c>
      <c r="T16" s="9">
        <v>100</v>
      </c>
      <c r="U16" s="8"/>
      <c r="V16" s="8">
        <f t="shared" si="6"/>
        <v>22.183544303797468</v>
      </c>
      <c r="W16" s="8">
        <f t="shared" si="4"/>
        <v>19.018987341772149</v>
      </c>
      <c r="X16" s="8">
        <v>37</v>
      </c>
      <c r="Y16" s="8">
        <v>12.2</v>
      </c>
      <c r="Z16" s="8">
        <v>22.8</v>
      </c>
      <c r="AA16" s="8">
        <v>21.2</v>
      </c>
      <c r="AB16" s="8">
        <v>32.799999999999997</v>
      </c>
      <c r="AC16" s="8">
        <v>32</v>
      </c>
      <c r="AD16" s="8">
        <v>31.6</v>
      </c>
      <c r="AE16" s="8">
        <v>34.799999999999997</v>
      </c>
      <c r="AF16" s="8" t="s">
        <v>52</v>
      </c>
      <c r="AG16" s="8">
        <f t="shared" si="7"/>
        <v>18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 t="s">
        <v>53</v>
      </c>
      <c r="B17" s="8" t="s">
        <v>35</v>
      </c>
      <c r="C17" s="8">
        <v>22</v>
      </c>
      <c r="D17" s="8">
        <v>96</v>
      </c>
      <c r="E17" s="8">
        <v>17</v>
      </c>
      <c r="F17" s="8">
        <v>100</v>
      </c>
      <c r="G17" s="6">
        <v>0.1</v>
      </c>
      <c r="H17" s="8">
        <v>90</v>
      </c>
      <c r="I17" s="8">
        <v>8444163</v>
      </c>
      <c r="J17" s="8"/>
      <c r="K17" s="8">
        <v>23</v>
      </c>
      <c r="L17" s="8">
        <f t="shared" si="2"/>
        <v>-6</v>
      </c>
      <c r="M17" s="8"/>
      <c r="N17" s="8"/>
      <c r="O17" s="8">
        <v>0</v>
      </c>
      <c r="P17" s="8">
        <f t="shared" si="3"/>
        <v>3.4</v>
      </c>
      <c r="Q17" s="9"/>
      <c r="R17" s="9">
        <f t="shared" si="9"/>
        <v>0</v>
      </c>
      <c r="S17" s="9">
        <f>IFERROR(VLOOKUP(A17,заказ!A:B,2,0),0)</f>
        <v>0</v>
      </c>
      <c r="T17" s="9"/>
      <c r="U17" s="8"/>
      <c r="V17" s="8">
        <f t="shared" si="6"/>
        <v>29.411764705882355</v>
      </c>
      <c r="W17" s="8">
        <f t="shared" si="4"/>
        <v>29.411764705882355</v>
      </c>
      <c r="X17" s="8">
        <v>4.8</v>
      </c>
      <c r="Y17" s="8">
        <v>9.1999999999999993</v>
      </c>
      <c r="Z17" s="8">
        <v>6.8</v>
      </c>
      <c r="AA17" s="8">
        <v>2.8</v>
      </c>
      <c r="AB17" s="8">
        <v>4.4000000000000004</v>
      </c>
      <c r="AC17" s="8">
        <v>11</v>
      </c>
      <c r="AD17" s="8">
        <v>2.4</v>
      </c>
      <c r="AE17" s="8">
        <v>8.4</v>
      </c>
      <c r="AF17" s="8"/>
      <c r="AG17" s="8">
        <f t="shared" si="7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54</v>
      </c>
      <c r="B18" s="8" t="s">
        <v>35</v>
      </c>
      <c r="C18" s="8">
        <v>382</v>
      </c>
      <c r="D18" s="8">
        <v>200</v>
      </c>
      <c r="E18" s="8">
        <v>310</v>
      </c>
      <c r="F18" s="8">
        <v>72</v>
      </c>
      <c r="G18" s="6">
        <v>0.18</v>
      </c>
      <c r="H18" s="8">
        <v>150</v>
      </c>
      <c r="I18" s="8">
        <v>5038411</v>
      </c>
      <c r="J18" s="8"/>
      <c r="K18" s="8">
        <v>334</v>
      </c>
      <c r="L18" s="8">
        <f t="shared" si="2"/>
        <v>-24</v>
      </c>
      <c r="M18" s="8"/>
      <c r="N18" s="8"/>
      <c r="O18" s="8">
        <v>1050</v>
      </c>
      <c r="P18" s="8">
        <f t="shared" si="3"/>
        <v>62</v>
      </c>
      <c r="Q18" s="9">
        <f t="shared" si="8"/>
        <v>118</v>
      </c>
      <c r="R18" s="9">
        <f>T18</f>
        <v>200</v>
      </c>
      <c r="S18" s="9">
        <f>IFERROR(VLOOKUP(A18,заказ!A:B,2,0),0)</f>
        <v>200</v>
      </c>
      <c r="T18" s="9">
        <v>200</v>
      </c>
      <c r="U18" s="8"/>
      <c r="V18" s="8">
        <f t="shared" si="6"/>
        <v>21.322580645161292</v>
      </c>
      <c r="W18" s="8">
        <f t="shared" si="4"/>
        <v>18.096774193548388</v>
      </c>
      <c r="X18" s="8">
        <v>72.400000000000006</v>
      </c>
      <c r="Y18" s="8">
        <v>45.6</v>
      </c>
      <c r="Z18" s="8">
        <v>33.799999999999997</v>
      </c>
      <c r="AA18" s="8">
        <v>50.8</v>
      </c>
      <c r="AB18" s="8">
        <v>48.6</v>
      </c>
      <c r="AC18" s="8">
        <v>50.8</v>
      </c>
      <c r="AD18" s="8">
        <v>48</v>
      </c>
      <c r="AE18" s="8">
        <v>68.8</v>
      </c>
      <c r="AF18" s="8"/>
      <c r="AG18" s="8">
        <f t="shared" si="7"/>
        <v>36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 t="s">
        <v>55</v>
      </c>
      <c r="B19" s="8" t="s">
        <v>35</v>
      </c>
      <c r="C19" s="8">
        <v>538</v>
      </c>
      <c r="D19" s="8">
        <v>352</v>
      </c>
      <c r="E19" s="8">
        <v>448</v>
      </c>
      <c r="F19" s="8">
        <v>242</v>
      </c>
      <c r="G19" s="6">
        <v>0.18</v>
      </c>
      <c r="H19" s="8">
        <v>150</v>
      </c>
      <c r="I19" s="8">
        <v>5038459</v>
      </c>
      <c r="J19" s="8"/>
      <c r="K19" s="8">
        <v>457</v>
      </c>
      <c r="L19" s="8">
        <f t="shared" si="2"/>
        <v>-9</v>
      </c>
      <c r="M19" s="8"/>
      <c r="N19" s="8"/>
      <c r="O19" s="8">
        <v>1030</v>
      </c>
      <c r="P19" s="8">
        <f t="shared" si="3"/>
        <v>89.6</v>
      </c>
      <c r="Q19" s="9">
        <f t="shared" si="8"/>
        <v>520</v>
      </c>
      <c r="R19" s="9">
        <f t="shared" si="9"/>
        <v>520</v>
      </c>
      <c r="S19" s="9">
        <f>IFERROR(VLOOKUP(A19,заказ!A:B,2,0),0)</f>
        <v>520</v>
      </c>
      <c r="T19" s="9"/>
      <c r="U19" s="8"/>
      <c r="V19" s="8">
        <f t="shared" si="6"/>
        <v>20</v>
      </c>
      <c r="W19" s="8">
        <f t="shared" si="4"/>
        <v>14.196428571428573</v>
      </c>
      <c r="X19" s="8">
        <v>86.4</v>
      </c>
      <c r="Y19" s="8">
        <v>63.6</v>
      </c>
      <c r="Z19" s="8">
        <v>61.6</v>
      </c>
      <c r="AA19" s="8">
        <v>63.8</v>
      </c>
      <c r="AB19" s="8">
        <v>51.6</v>
      </c>
      <c r="AC19" s="8">
        <v>76.8</v>
      </c>
      <c r="AD19" s="8">
        <v>55.6</v>
      </c>
      <c r="AE19" s="8">
        <v>93.8</v>
      </c>
      <c r="AF19" s="8"/>
      <c r="AG19" s="8">
        <f t="shared" si="7"/>
        <v>93.6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 t="s">
        <v>56</v>
      </c>
      <c r="B20" s="8" t="s">
        <v>35</v>
      </c>
      <c r="C20" s="8">
        <v>53</v>
      </c>
      <c r="D20" s="8">
        <v>350</v>
      </c>
      <c r="E20" s="8">
        <v>133</v>
      </c>
      <c r="F20" s="8">
        <v>211</v>
      </c>
      <c r="G20" s="6">
        <v>0.18</v>
      </c>
      <c r="H20" s="8">
        <v>150</v>
      </c>
      <c r="I20" s="8">
        <v>5038831</v>
      </c>
      <c r="J20" s="8"/>
      <c r="K20" s="8">
        <v>254</v>
      </c>
      <c r="L20" s="8">
        <f t="shared" si="2"/>
        <v>-121</v>
      </c>
      <c r="M20" s="8"/>
      <c r="N20" s="8"/>
      <c r="O20" s="8">
        <v>350</v>
      </c>
      <c r="P20" s="8">
        <f t="shared" si="3"/>
        <v>26.6</v>
      </c>
      <c r="Q20" s="9"/>
      <c r="R20" s="9">
        <f t="shared" si="9"/>
        <v>0</v>
      </c>
      <c r="S20" s="9">
        <f>IFERROR(VLOOKUP(A20,заказ!A:B,2,0),0)</f>
        <v>0</v>
      </c>
      <c r="T20" s="9"/>
      <c r="U20" s="8"/>
      <c r="V20" s="8">
        <f t="shared" si="6"/>
        <v>21.090225563909772</v>
      </c>
      <c r="W20" s="8">
        <f t="shared" si="4"/>
        <v>21.090225563909772</v>
      </c>
      <c r="X20" s="8">
        <v>30</v>
      </c>
      <c r="Y20" s="8">
        <v>31</v>
      </c>
      <c r="Z20" s="8">
        <v>22.6</v>
      </c>
      <c r="AA20" s="8">
        <v>26.4</v>
      </c>
      <c r="AB20" s="8">
        <v>33.6</v>
      </c>
      <c r="AC20" s="8">
        <v>36.4</v>
      </c>
      <c r="AD20" s="8">
        <v>30.8</v>
      </c>
      <c r="AE20" s="8">
        <v>54.6</v>
      </c>
      <c r="AF20" s="8"/>
      <c r="AG20" s="8">
        <f t="shared" si="7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57</v>
      </c>
      <c r="B21" s="8" t="s">
        <v>35</v>
      </c>
      <c r="C21" s="8">
        <v>50</v>
      </c>
      <c r="D21" s="8">
        <v>400</v>
      </c>
      <c r="E21" s="8">
        <v>89</v>
      </c>
      <c r="F21" s="8">
        <v>327</v>
      </c>
      <c r="G21" s="6">
        <v>0.18</v>
      </c>
      <c r="H21" s="8">
        <v>120</v>
      </c>
      <c r="I21" s="8">
        <v>5038855</v>
      </c>
      <c r="J21" s="8"/>
      <c r="K21" s="8">
        <v>89</v>
      </c>
      <c r="L21" s="8">
        <f t="shared" si="2"/>
        <v>0</v>
      </c>
      <c r="M21" s="8"/>
      <c r="N21" s="8"/>
      <c r="O21" s="8">
        <v>0</v>
      </c>
      <c r="P21" s="8">
        <f t="shared" si="3"/>
        <v>17.8</v>
      </c>
      <c r="Q21" s="9">
        <f t="shared" si="8"/>
        <v>29</v>
      </c>
      <c r="R21" s="9">
        <f t="shared" si="9"/>
        <v>29</v>
      </c>
      <c r="S21" s="9">
        <f>IFERROR(VLOOKUP(A21,заказ!A:B,2,0),0)</f>
        <v>30</v>
      </c>
      <c r="T21" s="9"/>
      <c r="U21" s="8"/>
      <c r="V21" s="8">
        <f t="shared" si="6"/>
        <v>20</v>
      </c>
      <c r="W21" s="8">
        <f t="shared" si="4"/>
        <v>18.370786516853933</v>
      </c>
      <c r="X21" s="8">
        <v>6.6</v>
      </c>
      <c r="Y21" s="8">
        <v>32.4</v>
      </c>
      <c r="Z21" s="8">
        <v>7.2</v>
      </c>
      <c r="AA21" s="8">
        <v>-0.8</v>
      </c>
      <c r="AB21" s="8">
        <v>-0.2</v>
      </c>
      <c r="AC21" s="8">
        <v>0</v>
      </c>
      <c r="AD21" s="8">
        <v>-1.2</v>
      </c>
      <c r="AE21" s="8">
        <v>-2</v>
      </c>
      <c r="AF21" s="8" t="s">
        <v>58</v>
      </c>
      <c r="AG21" s="8">
        <f t="shared" si="7"/>
        <v>5.22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59</v>
      </c>
      <c r="B22" s="8" t="s">
        <v>35</v>
      </c>
      <c r="C22" s="8">
        <v>425</v>
      </c>
      <c r="D22" s="8">
        <v>750</v>
      </c>
      <c r="E22" s="8">
        <v>325</v>
      </c>
      <c r="F22" s="8">
        <v>560</v>
      </c>
      <c r="G22" s="6">
        <v>0.18</v>
      </c>
      <c r="H22" s="8">
        <v>150</v>
      </c>
      <c r="I22" s="8">
        <v>5038435</v>
      </c>
      <c r="J22" s="8"/>
      <c r="K22" s="8">
        <v>417</v>
      </c>
      <c r="L22" s="8">
        <f t="shared" si="2"/>
        <v>-92</v>
      </c>
      <c r="M22" s="8"/>
      <c r="N22" s="8"/>
      <c r="O22" s="8">
        <v>2000</v>
      </c>
      <c r="P22" s="8">
        <f t="shared" si="3"/>
        <v>65</v>
      </c>
      <c r="Q22" s="9"/>
      <c r="R22" s="9">
        <f t="shared" si="9"/>
        <v>0</v>
      </c>
      <c r="S22" s="9">
        <f>IFERROR(VLOOKUP(A22,заказ!A:B,2,0),0)</f>
        <v>0</v>
      </c>
      <c r="T22" s="9"/>
      <c r="U22" s="8"/>
      <c r="V22" s="8">
        <f t="shared" si="6"/>
        <v>39.384615384615387</v>
      </c>
      <c r="W22" s="8">
        <f t="shared" si="4"/>
        <v>39.384615384615387</v>
      </c>
      <c r="X22" s="8">
        <v>136.80000000000001</v>
      </c>
      <c r="Y22" s="8">
        <v>94.2</v>
      </c>
      <c r="Z22" s="8">
        <v>76.400000000000006</v>
      </c>
      <c r="AA22" s="8">
        <v>94.6</v>
      </c>
      <c r="AB22" s="8">
        <v>112.4</v>
      </c>
      <c r="AC22" s="8">
        <v>95.2</v>
      </c>
      <c r="AD22" s="8">
        <v>89.4</v>
      </c>
      <c r="AE22" s="8">
        <v>121</v>
      </c>
      <c r="AF22" s="8"/>
      <c r="AG22" s="8">
        <f t="shared" si="7"/>
        <v>0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5.75" thickBot="1" x14ac:dyDescent="0.3">
      <c r="A23" s="8" t="s">
        <v>60</v>
      </c>
      <c r="B23" s="8" t="s">
        <v>35</v>
      </c>
      <c r="C23" s="8">
        <v>209</v>
      </c>
      <c r="D23" s="8">
        <v>250</v>
      </c>
      <c r="E23" s="8">
        <v>157</v>
      </c>
      <c r="F23" s="8">
        <v>129</v>
      </c>
      <c r="G23" s="6">
        <v>0.18</v>
      </c>
      <c r="H23" s="8">
        <v>120</v>
      </c>
      <c r="I23" s="8">
        <v>5038398</v>
      </c>
      <c r="J23" s="8"/>
      <c r="K23" s="8">
        <v>273</v>
      </c>
      <c r="L23" s="8">
        <f t="shared" si="2"/>
        <v>-116</v>
      </c>
      <c r="M23" s="8"/>
      <c r="N23" s="8"/>
      <c r="O23" s="8">
        <v>800</v>
      </c>
      <c r="P23" s="8">
        <f t="shared" si="3"/>
        <v>31.4</v>
      </c>
      <c r="Q23" s="9"/>
      <c r="R23" s="9">
        <f t="shared" si="9"/>
        <v>0</v>
      </c>
      <c r="S23" s="9">
        <f>IFERROR(VLOOKUP(A23,заказ!A:B,2,0),0)</f>
        <v>0</v>
      </c>
      <c r="T23" s="9"/>
      <c r="U23" s="8"/>
      <c r="V23" s="8">
        <f t="shared" si="6"/>
        <v>29.585987261146499</v>
      </c>
      <c r="W23" s="8">
        <f t="shared" si="4"/>
        <v>29.585987261146499</v>
      </c>
      <c r="X23" s="8">
        <v>54.4</v>
      </c>
      <c r="Y23" s="8">
        <v>34.200000000000003</v>
      </c>
      <c r="Z23" s="8">
        <v>26.8</v>
      </c>
      <c r="AA23" s="8">
        <v>31</v>
      </c>
      <c r="AB23" s="8">
        <v>37</v>
      </c>
      <c r="AC23" s="8">
        <v>51.8</v>
      </c>
      <c r="AD23" s="8">
        <v>58.2</v>
      </c>
      <c r="AE23" s="8">
        <v>65.400000000000006</v>
      </c>
      <c r="AF23" s="8"/>
      <c r="AG23" s="8">
        <f t="shared" si="7"/>
        <v>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12" t="s">
        <v>61</v>
      </c>
      <c r="B24" s="13" t="s">
        <v>62</v>
      </c>
      <c r="C24" s="13"/>
      <c r="D24" s="13"/>
      <c r="E24" s="13"/>
      <c r="F24" s="14"/>
      <c r="G24" s="6">
        <v>1</v>
      </c>
      <c r="H24" s="8">
        <v>150</v>
      </c>
      <c r="I24" s="8">
        <v>8785242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9">
        <f>20*(P24+P25)-O24-O25-F24-F25</f>
        <v>80.525999999999982</v>
      </c>
      <c r="R24" s="9">
        <f>T24</f>
        <v>100</v>
      </c>
      <c r="S24" s="9">
        <f>IFERROR(VLOOKUP(A24,заказ!A:B,2,0),0)</f>
        <v>99</v>
      </c>
      <c r="T24" s="9">
        <v>100</v>
      </c>
      <c r="U24" s="8"/>
      <c r="V24" s="8" t="e">
        <f t="shared" si="6"/>
        <v>#DIV/0!</v>
      </c>
      <c r="W24" s="8" t="e">
        <f t="shared" si="4"/>
        <v>#DIV/0!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/>
      <c r="AG24" s="8">
        <f t="shared" si="7"/>
        <v>100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ht="15.75" thickBot="1" x14ac:dyDescent="0.3">
      <c r="A25" s="15" t="s">
        <v>63</v>
      </c>
      <c r="B25" s="16" t="s">
        <v>62</v>
      </c>
      <c r="C25" s="16">
        <v>104.34399999999999</v>
      </c>
      <c r="D25" s="16">
        <v>140.11000000000001</v>
      </c>
      <c r="E25" s="16">
        <v>64.055999999999997</v>
      </c>
      <c r="F25" s="17">
        <v>175.69800000000001</v>
      </c>
      <c r="G25" s="18">
        <v>0</v>
      </c>
      <c r="H25" s="19" t="e">
        <v>#N/A</v>
      </c>
      <c r="I25" s="19" t="s">
        <v>64</v>
      </c>
      <c r="J25" s="19" t="s">
        <v>61</v>
      </c>
      <c r="K25" s="19">
        <v>67.400000000000006</v>
      </c>
      <c r="L25" s="19">
        <f t="shared" si="2"/>
        <v>-3.3440000000000083</v>
      </c>
      <c r="M25" s="19"/>
      <c r="N25" s="19"/>
      <c r="O25" s="19">
        <v>0</v>
      </c>
      <c r="P25" s="19">
        <f t="shared" si="3"/>
        <v>12.811199999999999</v>
      </c>
      <c r="Q25" s="20"/>
      <c r="R25" s="9">
        <f t="shared" si="9"/>
        <v>0</v>
      </c>
      <c r="S25" s="9">
        <f>IFERROR(VLOOKUP(A25,заказ!A:B,2,0),0)</f>
        <v>0</v>
      </c>
      <c r="T25" s="20"/>
      <c r="U25" s="19"/>
      <c r="V25" s="8">
        <f t="shared" si="6"/>
        <v>13.714406144623455</v>
      </c>
      <c r="W25" s="19">
        <f t="shared" si="4"/>
        <v>13.714406144623455</v>
      </c>
      <c r="X25" s="19">
        <v>3.19</v>
      </c>
      <c r="Y25" s="19">
        <v>14.999000000000001</v>
      </c>
      <c r="Z25" s="19">
        <v>8.9885999999999999</v>
      </c>
      <c r="AA25" s="19">
        <v>8.9421999999999997</v>
      </c>
      <c r="AB25" s="19">
        <v>10.83</v>
      </c>
      <c r="AC25" s="19">
        <v>9.6608000000000001</v>
      </c>
      <c r="AD25" s="19">
        <v>11.423400000000001</v>
      </c>
      <c r="AE25" s="19">
        <v>14.6516</v>
      </c>
      <c r="AF25" s="19"/>
      <c r="AG25" s="8">
        <f t="shared" si="7"/>
        <v>0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12" t="s">
        <v>65</v>
      </c>
      <c r="B26" s="13" t="s">
        <v>62</v>
      </c>
      <c r="C26" s="13"/>
      <c r="D26" s="13"/>
      <c r="E26" s="13"/>
      <c r="F26" s="14"/>
      <c r="G26" s="6">
        <v>0</v>
      </c>
      <c r="H26" s="8">
        <v>150</v>
      </c>
      <c r="I26" s="19" t="s">
        <v>92</v>
      </c>
      <c r="J26" s="8"/>
      <c r="K26" s="8"/>
      <c r="L26" s="8">
        <f t="shared" si="2"/>
        <v>0</v>
      </c>
      <c r="M26" s="8"/>
      <c r="N26" s="8"/>
      <c r="O26" s="8">
        <v>248</v>
      </c>
      <c r="P26" s="8">
        <f t="shared" si="3"/>
        <v>0</v>
      </c>
      <c r="Q26" s="9"/>
      <c r="R26" s="9">
        <f t="shared" si="9"/>
        <v>0</v>
      </c>
      <c r="S26" s="9">
        <f>IFERROR(VLOOKUP(A26,заказ!A:B,2,0),0)</f>
        <v>0</v>
      </c>
      <c r="T26" s="9"/>
      <c r="U26" s="8"/>
      <c r="V26" s="8" t="e">
        <f t="shared" si="6"/>
        <v>#DIV/0!</v>
      </c>
      <c r="W26" s="8" t="e">
        <f t="shared" si="4"/>
        <v>#DIV/0!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/>
      <c r="AG26" s="8">
        <f t="shared" si="7"/>
        <v>0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ht="15.75" thickBot="1" x14ac:dyDescent="0.3">
      <c r="A27" s="15" t="s">
        <v>66</v>
      </c>
      <c r="B27" s="16" t="s">
        <v>62</v>
      </c>
      <c r="C27" s="16">
        <v>69.900000000000006</v>
      </c>
      <c r="D27" s="16">
        <v>48.078000000000003</v>
      </c>
      <c r="E27" s="16">
        <v>53.021999999999998</v>
      </c>
      <c r="F27" s="17">
        <v>36.878</v>
      </c>
      <c r="G27" s="18">
        <v>0</v>
      </c>
      <c r="H27" s="19" t="e">
        <v>#N/A</v>
      </c>
      <c r="I27" s="19" t="s">
        <v>95</v>
      </c>
      <c r="J27" s="19" t="s">
        <v>65</v>
      </c>
      <c r="K27" s="19">
        <v>45.4</v>
      </c>
      <c r="L27" s="19">
        <f t="shared" si="2"/>
        <v>7.6219999999999999</v>
      </c>
      <c r="M27" s="19"/>
      <c r="N27" s="19"/>
      <c r="O27" s="19">
        <v>0</v>
      </c>
      <c r="P27" s="19">
        <f t="shared" si="3"/>
        <v>10.6044</v>
      </c>
      <c r="Q27" s="20"/>
      <c r="R27" s="9">
        <f t="shared" si="9"/>
        <v>0</v>
      </c>
      <c r="S27" s="9">
        <f>IFERROR(VLOOKUP(A27,заказ!A:B,2,0),0)</f>
        <v>0</v>
      </c>
      <c r="T27" s="20"/>
      <c r="U27" s="19"/>
      <c r="V27" s="8">
        <f t="shared" si="6"/>
        <v>3.4776130662743765</v>
      </c>
      <c r="W27" s="19">
        <f t="shared" si="4"/>
        <v>3.4776130662743765</v>
      </c>
      <c r="X27" s="19">
        <v>13.208399999999999</v>
      </c>
      <c r="Y27" s="19">
        <v>9.791599999999999</v>
      </c>
      <c r="Z27" s="19">
        <v>3.3694000000000002</v>
      </c>
      <c r="AA27" s="19">
        <v>6.1909999999999998</v>
      </c>
      <c r="AB27" s="19">
        <v>10.3796</v>
      </c>
      <c r="AC27" s="19">
        <v>4.7618</v>
      </c>
      <c r="AD27" s="19">
        <v>7.4278000000000004</v>
      </c>
      <c r="AE27" s="19">
        <v>4.8238000000000003</v>
      </c>
      <c r="AF27" s="19"/>
      <c r="AG27" s="8">
        <f t="shared" si="7"/>
        <v>0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12" t="s">
        <v>67</v>
      </c>
      <c r="B28" s="13" t="s">
        <v>62</v>
      </c>
      <c r="C28" s="13"/>
      <c r="D28" s="13"/>
      <c r="E28" s="13"/>
      <c r="F28" s="14"/>
      <c r="G28" s="6">
        <v>1</v>
      </c>
      <c r="H28" s="8">
        <v>120</v>
      </c>
      <c r="I28" s="8">
        <v>8785204</v>
      </c>
      <c r="J28" s="8"/>
      <c r="K28" s="8"/>
      <c r="L28" s="8">
        <f t="shared" si="2"/>
        <v>0</v>
      </c>
      <c r="M28" s="8"/>
      <c r="N28" s="8"/>
      <c r="O28" s="8">
        <v>297</v>
      </c>
      <c r="P28" s="8">
        <f t="shared" si="3"/>
        <v>0</v>
      </c>
      <c r="Q28" s="9">
        <f>20*(P28+P29)-O28-O29-F28-F29</f>
        <v>185.27300000000002</v>
      </c>
      <c r="R28" s="9">
        <f>T28</f>
        <v>200</v>
      </c>
      <c r="S28" s="9">
        <f>IFERROR(VLOOKUP(A28,заказ!A:B,2,0),0)</f>
        <v>198</v>
      </c>
      <c r="T28" s="9">
        <v>200</v>
      </c>
      <c r="U28" s="8"/>
      <c r="V28" s="8" t="e">
        <f t="shared" si="6"/>
        <v>#DIV/0!</v>
      </c>
      <c r="W28" s="8" t="e">
        <f t="shared" si="4"/>
        <v>#DIV/0!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/>
      <c r="AG28" s="8">
        <f t="shared" si="7"/>
        <v>200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ht="15.75" thickBot="1" x14ac:dyDescent="0.3">
      <c r="A29" s="15" t="s">
        <v>68</v>
      </c>
      <c r="B29" s="16" t="s">
        <v>62</v>
      </c>
      <c r="C29" s="16">
        <v>209.334</v>
      </c>
      <c r="D29" s="16">
        <v>151.96199999999999</v>
      </c>
      <c r="E29" s="16">
        <v>164.114</v>
      </c>
      <c r="F29" s="17">
        <v>174.18299999999999</v>
      </c>
      <c r="G29" s="18">
        <v>0</v>
      </c>
      <c r="H29" s="19" t="e">
        <v>#N/A</v>
      </c>
      <c r="I29" s="19" t="s">
        <v>64</v>
      </c>
      <c r="J29" s="19" t="s">
        <v>67</v>
      </c>
      <c r="K29" s="19">
        <v>155.9</v>
      </c>
      <c r="L29" s="19">
        <f t="shared" si="2"/>
        <v>8.2139999999999986</v>
      </c>
      <c r="M29" s="19"/>
      <c r="N29" s="19"/>
      <c r="O29" s="19">
        <v>0</v>
      </c>
      <c r="P29" s="19">
        <f t="shared" si="3"/>
        <v>32.822800000000001</v>
      </c>
      <c r="Q29" s="20"/>
      <c r="R29" s="9">
        <f t="shared" si="9"/>
        <v>0</v>
      </c>
      <c r="S29" s="9">
        <f>IFERROR(VLOOKUP(A29,заказ!A:B,2,0),0)</f>
        <v>0</v>
      </c>
      <c r="T29" s="20"/>
      <c r="U29" s="19"/>
      <c r="V29" s="8">
        <f t="shared" si="6"/>
        <v>5.3067684658225378</v>
      </c>
      <c r="W29" s="19">
        <f t="shared" si="4"/>
        <v>5.3067684658225378</v>
      </c>
      <c r="X29" s="19">
        <v>30.130400000000002</v>
      </c>
      <c r="Y29" s="19">
        <v>27.1464</v>
      </c>
      <c r="Z29" s="19">
        <v>24.015599999999999</v>
      </c>
      <c r="AA29" s="19">
        <v>22.155000000000001</v>
      </c>
      <c r="AB29" s="19">
        <v>21.588200000000001</v>
      </c>
      <c r="AC29" s="19">
        <v>28.439599999999999</v>
      </c>
      <c r="AD29" s="19">
        <v>17.607399999999998</v>
      </c>
      <c r="AE29" s="19">
        <v>28.289200000000001</v>
      </c>
      <c r="AF29" s="19"/>
      <c r="AG29" s="8">
        <f t="shared" si="7"/>
        <v>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 t="s">
        <v>69</v>
      </c>
      <c r="B30" s="8" t="s">
        <v>35</v>
      </c>
      <c r="C30" s="8">
        <v>73</v>
      </c>
      <c r="D30" s="8">
        <v>16</v>
      </c>
      <c r="E30" s="8">
        <v>33</v>
      </c>
      <c r="F30" s="8">
        <v>47</v>
      </c>
      <c r="G30" s="6">
        <v>0.14000000000000001</v>
      </c>
      <c r="H30" s="8">
        <v>180</v>
      </c>
      <c r="I30" s="8">
        <v>9988391</v>
      </c>
      <c r="J30" s="8"/>
      <c r="K30" s="8">
        <v>34</v>
      </c>
      <c r="L30" s="8">
        <f t="shared" si="2"/>
        <v>-1</v>
      </c>
      <c r="M30" s="8"/>
      <c r="N30" s="8"/>
      <c r="O30" s="8">
        <v>144</v>
      </c>
      <c r="P30" s="8">
        <f t="shared" si="3"/>
        <v>6.6</v>
      </c>
      <c r="Q30" s="9"/>
      <c r="R30" s="9">
        <f t="shared" si="9"/>
        <v>0</v>
      </c>
      <c r="S30" s="9">
        <f>IFERROR(VLOOKUP(A30,заказ!A:B,2,0),0)</f>
        <v>0</v>
      </c>
      <c r="T30" s="9"/>
      <c r="U30" s="8"/>
      <c r="V30" s="8">
        <f t="shared" si="6"/>
        <v>28.939393939393941</v>
      </c>
      <c r="W30" s="8">
        <f t="shared" si="4"/>
        <v>28.939393939393941</v>
      </c>
      <c r="X30" s="8">
        <v>7.4</v>
      </c>
      <c r="Y30" s="8">
        <v>5.8</v>
      </c>
      <c r="Z30" s="8">
        <v>8</v>
      </c>
      <c r="AA30" s="8">
        <v>4</v>
      </c>
      <c r="AB30" s="8">
        <v>4.5999999999999996</v>
      </c>
      <c r="AC30" s="8">
        <v>5.6</v>
      </c>
      <c r="AD30" s="8">
        <v>6.8</v>
      </c>
      <c r="AE30" s="8">
        <v>7.2</v>
      </c>
      <c r="AF30" s="8"/>
      <c r="AG30" s="8">
        <f t="shared" si="7"/>
        <v>0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 t="s">
        <v>70</v>
      </c>
      <c r="B31" s="8" t="s">
        <v>35</v>
      </c>
      <c r="C31" s="8">
        <v>200</v>
      </c>
      <c r="D31" s="8">
        <v>448</v>
      </c>
      <c r="E31" s="8">
        <v>179</v>
      </c>
      <c r="F31" s="8">
        <v>418</v>
      </c>
      <c r="G31" s="6">
        <v>0.18</v>
      </c>
      <c r="H31" s="8">
        <v>270</v>
      </c>
      <c r="I31" s="8">
        <v>9988681</v>
      </c>
      <c r="J31" s="8"/>
      <c r="K31" s="8">
        <v>182</v>
      </c>
      <c r="L31" s="8">
        <f t="shared" si="2"/>
        <v>-3</v>
      </c>
      <c r="M31" s="8"/>
      <c r="N31" s="8"/>
      <c r="O31" s="8">
        <v>0</v>
      </c>
      <c r="P31" s="8">
        <f t="shared" si="3"/>
        <v>35.799999999999997</v>
      </c>
      <c r="Q31" s="9">
        <f t="shared" ref="Q31" si="10">20*P31-O31-F31</f>
        <v>298</v>
      </c>
      <c r="R31" s="9">
        <f t="shared" si="9"/>
        <v>298</v>
      </c>
      <c r="S31" s="9">
        <f>IFERROR(VLOOKUP(A31,заказ!A:B,2,0),0)</f>
        <v>304</v>
      </c>
      <c r="T31" s="9"/>
      <c r="U31" s="8"/>
      <c r="V31" s="8">
        <f t="shared" si="6"/>
        <v>20</v>
      </c>
      <c r="W31" s="8">
        <f t="shared" si="4"/>
        <v>11.675977653631286</v>
      </c>
      <c r="X31" s="8">
        <v>29.4</v>
      </c>
      <c r="Y31" s="8">
        <v>34.6</v>
      </c>
      <c r="Z31" s="8">
        <v>24.2</v>
      </c>
      <c r="AA31" s="8">
        <v>28.2</v>
      </c>
      <c r="AB31" s="8">
        <v>26.4</v>
      </c>
      <c r="AC31" s="8">
        <v>35.200000000000003</v>
      </c>
      <c r="AD31" s="8">
        <v>22.4</v>
      </c>
      <c r="AE31" s="8">
        <v>46</v>
      </c>
      <c r="AF31" s="8"/>
      <c r="AG31" s="8">
        <f t="shared" si="7"/>
        <v>53.64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 t="s">
        <v>71</v>
      </c>
      <c r="B32" s="8" t="s">
        <v>62</v>
      </c>
      <c r="C32" s="8">
        <v>195</v>
      </c>
      <c r="D32" s="8">
        <v>295.79399999999998</v>
      </c>
      <c r="E32" s="8">
        <v>148.07</v>
      </c>
      <c r="F32" s="8">
        <v>319.32100000000003</v>
      </c>
      <c r="G32" s="6">
        <v>1</v>
      </c>
      <c r="H32" s="8">
        <v>120</v>
      </c>
      <c r="I32" s="8">
        <v>8785198</v>
      </c>
      <c r="J32" s="8"/>
      <c r="K32" s="8">
        <v>138.5</v>
      </c>
      <c r="L32" s="8">
        <f t="shared" si="2"/>
        <v>9.5699999999999932</v>
      </c>
      <c r="M32" s="8"/>
      <c r="N32" s="8"/>
      <c r="O32" s="8">
        <v>297</v>
      </c>
      <c r="P32" s="8">
        <f t="shared" si="3"/>
        <v>29.613999999999997</v>
      </c>
      <c r="Q32" s="9"/>
      <c r="R32" s="9">
        <f t="shared" si="9"/>
        <v>0</v>
      </c>
      <c r="S32" s="9">
        <f>IFERROR(VLOOKUP(A32,заказ!A:B,2,0),0)</f>
        <v>0</v>
      </c>
      <c r="T32" s="9"/>
      <c r="U32" s="8"/>
      <c r="V32" s="8">
        <f t="shared" si="6"/>
        <v>20.811811980819886</v>
      </c>
      <c r="W32" s="8">
        <f t="shared" si="4"/>
        <v>20.811811980819886</v>
      </c>
      <c r="X32" s="8">
        <v>36.369399999999999</v>
      </c>
      <c r="Y32" s="8">
        <v>34.729399999999998</v>
      </c>
      <c r="Z32" s="8">
        <v>25.0214</v>
      </c>
      <c r="AA32" s="8">
        <v>33.119600000000013</v>
      </c>
      <c r="AB32" s="8">
        <v>32.2744</v>
      </c>
      <c r="AC32" s="8">
        <v>28.939599999999999</v>
      </c>
      <c r="AD32" s="8">
        <v>23.622800000000002</v>
      </c>
      <c r="AE32" s="8">
        <v>21.1998</v>
      </c>
      <c r="AF32" s="8"/>
      <c r="AG32" s="8">
        <f t="shared" si="7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 t="s">
        <v>72</v>
      </c>
      <c r="B33" s="8" t="s">
        <v>35</v>
      </c>
      <c r="C33" s="8">
        <v>110</v>
      </c>
      <c r="D33" s="8"/>
      <c r="E33" s="8">
        <v>90</v>
      </c>
      <c r="F33" s="8"/>
      <c r="G33" s="6">
        <v>0.1</v>
      </c>
      <c r="H33" s="8">
        <v>60</v>
      </c>
      <c r="I33" s="8">
        <v>8444187</v>
      </c>
      <c r="J33" s="8"/>
      <c r="K33" s="8">
        <v>109</v>
      </c>
      <c r="L33" s="8">
        <f t="shared" si="2"/>
        <v>-19</v>
      </c>
      <c r="M33" s="8"/>
      <c r="N33" s="8"/>
      <c r="O33" s="8">
        <v>120</v>
      </c>
      <c r="P33" s="8">
        <f t="shared" si="3"/>
        <v>18</v>
      </c>
      <c r="Q33" s="9">
        <f>16*P33-O33-F33</f>
        <v>168</v>
      </c>
      <c r="R33" s="9">
        <f t="shared" si="9"/>
        <v>168</v>
      </c>
      <c r="S33" s="9">
        <f>IFERROR(VLOOKUP(A33,заказ!A:B,2,0),0)</f>
        <v>168</v>
      </c>
      <c r="T33" s="9"/>
      <c r="U33" s="8"/>
      <c r="V33" s="8">
        <f t="shared" si="6"/>
        <v>16</v>
      </c>
      <c r="W33" s="8">
        <f t="shared" si="4"/>
        <v>6.666666666666667</v>
      </c>
      <c r="X33" s="8">
        <v>13</v>
      </c>
      <c r="Y33" s="8">
        <v>7.2</v>
      </c>
      <c r="Z33" s="8">
        <v>13.8</v>
      </c>
      <c r="AA33" s="8">
        <v>17.399999999999999</v>
      </c>
      <c r="AB33" s="8">
        <v>7.2</v>
      </c>
      <c r="AC33" s="8">
        <v>10.199999999999999</v>
      </c>
      <c r="AD33" s="8">
        <v>6</v>
      </c>
      <c r="AE33" s="8">
        <v>15</v>
      </c>
      <c r="AF33" s="8"/>
      <c r="AG33" s="8">
        <f t="shared" si="7"/>
        <v>16.8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 t="s">
        <v>73</v>
      </c>
      <c r="B34" s="8" t="s">
        <v>35</v>
      </c>
      <c r="C34" s="8">
        <v>150</v>
      </c>
      <c r="D34" s="8"/>
      <c r="E34" s="8">
        <v>118</v>
      </c>
      <c r="F34" s="8">
        <v>32</v>
      </c>
      <c r="G34" s="6">
        <v>0.1</v>
      </c>
      <c r="H34" s="8">
        <v>90</v>
      </c>
      <c r="I34" s="8">
        <v>8444194</v>
      </c>
      <c r="J34" s="8"/>
      <c r="K34" s="8">
        <v>120</v>
      </c>
      <c r="L34" s="8">
        <f t="shared" si="2"/>
        <v>-2</v>
      </c>
      <c r="M34" s="8"/>
      <c r="N34" s="8"/>
      <c r="O34" s="8">
        <v>0</v>
      </c>
      <c r="P34" s="8">
        <f t="shared" si="3"/>
        <v>23.6</v>
      </c>
      <c r="Q34" s="9">
        <f>14*P34-O34-F34</f>
        <v>298.40000000000003</v>
      </c>
      <c r="R34" s="9">
        <f>T34</f>
        <v>350</v>
      </c>
      <c r="S34" s="9">
        <f>IFERROR(VLOOKUP(A34,заказ!A:B,2,0),0)</f>
        <v>348</v>
      </c>
      <c r="T34" s="9">
        <v>350</v>
      </c>
      <c r="U34" s="8"/>
      <c r="V34" s="8">
        <f t="shared" si="6"/>
        <v>16.1864406779661</v>
      </c>
      <c r="W34" s="8">
        <f t="shared" si="4"/>
        <v>1.3559322033898304</v>
      </c>
      <c r="X34" s="8">
        <v>2.4</v>
      </c>
      <c r="Y34" s="8">
        <v>9.1999999999999993</v>
      </c>
      <c r="Z34" s="8">
        <v>19</v>
      </c>
      <c r="AA34" s="8">
        <v>4.4000000000000004</v>
      </c>
      <c r="AB34" s="8">
        <v>4</v>
      </c>
      <c r="AC34" s="8">
        <v>16.600000000000001</v>
      </c>
      <c r="AD34" s="8">
        <v>7</v>
      </c>
      <c r="AE34" s="8">
        <v>8.6</v>
      </c>
      <c r="AF34" s="8"/>
      <c r="AG34" s="8">
        <f t="shared" si="7"/>
        <v>35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21" t="s">
        <v>74</v>
      </c>
      <c r="B35" s="21" t="s">
        <v>62</v>
      </c>
      <c r="C35" s="21"/>
      <c r="D35" s="21"/>
      <c r="E35" s="21"/>
      <c r="F35" s="21"/>
      <c r="G35" s="22">
        <v>0</v>
      </c>
      <c r="H35" s="21">
        <v>150</v>
      </c>
      <c r="I35" s="21">
        <v>8786928</v>
      </c>
      <c r="J35" s="21"/>
      <c r="K35" s="21"/>
      <c r="L35" s="21">
        <f t="shared" si="2"/>
        <v>0</v>
      </c>
      <c r="M35" s="21"/>
      <c r="N35" s="21"/>
      <c r="O35" s="21">
        <v>0</v>
      </c>
      <c r="P35" s="21">
        <f t="shared" si="3"/>
        <v>0</v>
      </c>
      <c r="Q35" s="23"/>
      <c r="R35" s="9">
        <f t="shared" si="9"/>
        <v>0</v>
      </c>
      <c r="S35" s="9">
        <f>IFERROR(VLOOKUP(A35,заказ!A:B,2,0),0)</f>
        <v>0</v>
      </c>
      <c r="T35" s="23"/>
      <c r="U35" s="21"/>
      <c r="V35" s="8" t="e">
        <f t="shared" si="6"/>
        <v>#DIV/0!</v>
      </c>
      <c r="W35" s="21" t="e">
        <f t="shared" si="4"/>
        <v>#DIV/0!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 t="s">
        <v>75</v>
      </c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ht="15.75" thickBot="1" x14ac:dyDescent="0.3">
      <c r="A36" s="8" t="s">
        <v>76</v>
      </c>
      <c r="B36" s="8" t="s">
        <v>35</v>
      </c>
      <c r="C36" s="8">
        <v>260</v>
      </c>
      <c r="D36" s="8">
        <v>96</v>
      </c>
      <c r="E36" s="8">
        <v>49</v>
      </c>
      <c r="F36" s="8">
        <v>293</v>
      </c>
      <c r="G36" s="6">
        <v>0.14000000000000001</v>
      </c>
      <c r="H36" s="8">
        <v>180</v>
      </c>
      <c r="I36" s="8">
        <v>9988377</v>
      </c>
      <c r="J36" s="8"/>
      <c r="K36" s="8">
        <v>49</v>
      </c>
      <c r="L36" s="8">
        <f t="shared" si="2"/>
        <v>0</v>
      </c>
      <c r="M36" s="8"/>
      <c r="N36" s="8"/>
      <c r="O36" s="8">
        <v>0</v>
      </c>
      <c r="P36" s="8">
        <f t="shared" si="3"/>
        <v>9.8000000000000007</v>
      </c>
      <c r="Q36" s="9"/>
      <c r="R36" s="9">
        <f t="shared" si="9"/>
        <v>0</v>
      </c>
      <c r="S36" s="9">
        <f>IFERROR(VLOOKUP(A36,заказ!A:B,2,0),0)</f>
        <v>0</v>
      </c>
      <c r="T36" s="9"/>
      <c r="U36" s="8"/>
      <c r="V36" s="8">
        <f t="shared" si="6"/>
        <v>29.897959183673468</v>
      </c>
      <c r="W36" s="8">
        <f t="shared" si="4"/>
        <v>29.897959183673468</v>
      </c>
      <c r="X36" s="8">
        <v>8.4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24" t="s">
        <v>90</v>
      </c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12" t="s">
        <v>77</v>
      </c>
      <c r="B37" s="13" t="s">
        <v>35</v>
      </c>
      <c r="C37" s="13"/>
      <c r="D37" s="13"/>
      <c r="E37" s="13"/>
      <c r="F37" s="14"/>
      <c r="G37" s="6">
        <v>0.2</v>
      </c>
      <c r="H37" s="8">
        <v>120</v>
      </c>
      <c r="I37" s="8" t="s">
        <v>78</v>
      </c>
      <c r="J37" s="8"/>
      <c r="K37" s="8"/>
      <c r="L37" s="8">
        <f t="shared" si="2"/>
        <v>0</v>
      </c>
      <c r="M37" s="8"/>
      <c r="N37" s="8"/>
      <c r="O37" s="8">
        <v>490</v>
      </c>
      <c r="P37" s="8">
        <f t="shared" si="3"/>
        <v>0</v>
      </c>
      <c r="Q37" s="9">
        <v>300</v>
      </c>
      <c r="R37" s="9">
        <f t="shared" si="9"/>
        <v>300</v>
      </c>
      <c r="S37" s="9">
        <f>IFERROR(VLOOKUP(A37,заказ!A:B,2,0),0)</f>
        <v>300</v>
      </c>
      <c r="T37" s="9"/>
      <c r="U37" s="8"/>
      <c r="V37" s="8" t="e">
        <f t="shared" si="6"/>
        <v>#DIV/0!</v>
      </c>
      <c r="W37" s="8" t="e">
        <f t="shared" si="4"/>
        <v>#DIV/0!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79</v>
      </c>
      <c r="AG37" s="8">
        <f t="shared" si="7"/>
        <v>60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ht="15.75" thickBot="1" x14ac:dyDescent="0.3">
      <c r="A38" s="15" t="s">
        <v>80</v>
      </c>
      <c r="B38" s="16" t="s">
        <v>35</v>
      </c>
      <c r="C38" s="16">
        <v>100</v>
      </c>
      <c r="D38" s="16"/>
      <c r="E38" s="16">
        <v>83</v>
      </c>
      <c r="F38" s="17">
        <v>-1</v>
      </c>
      <c r="G38" s="18">
        <v>0</v>
      </c>
      <c r="H38" s="19" t="e">
        <v>#N/A</v>
      </c>
      <c r="I38" s="19" t="s">
        <v>64</v>
      </c>
      <c r="J38" s="19" t="s">
        <v>77</v>
      </c>
      <c r="K38" s="19">
        <v>91</v>
      </c>
      <c r="L38" s="19">
        <f t="shared" si="2"/>
        <v>-8</v>
      </c>
      <c r="M38" s="19"/>
      <c r="N38" s="19"/>
      <c r="O38" s="19">
        <v>0</v>
      </c>
      <c r="P38" s="19">
        <f t="shared" si="3"/>
        <v>16.600000000000001</v>
      </c>
      <c r="Q38" s="20"/>
      <c r="R38" s="9">
        <f t="shared" si="9"/>
        <v>0</v>
      </c>
      <c r="S38" s="9">
        <f>IFERROR(VLOOKUP(A38,заказ!A:B,2,0),0)</f>
        <v>0</v>
      </c>
      <c r="T38" s="20"/>
      <c r="U38" s="19"/>
      <c r="V38" s="8">
        <f t="shared" si="6"/>
        <v>-6.0240963855421679E-2</v>
      </c>
      <c r="W38" s="19">
        <f t="shared" si="4"/>
        <v>-6.0240963855421679E-2</v>
      </c>
      <c r="X38" s="19">
        <v>48.8</v>
      </c>
      <c r="Y38" s="19">
        <v>37.799999999999997</v>
      </c>
      <c r="Z38" s="19">
        <v>32</v>
      </c>
      <c r="AA38" s="19">
        <v>35.200000000000003</v>
      </c>
      <c r="AB38" s="19">
        <v>39.4</v>
      </c>
      <c r="AC38" s="19">
        <v>37.200000000000003</v>
      </c>
      <c r="AD38" s="19">
        <v>42.8</v>
      </c>
      <c r="AE38" s="19">
        <v>28.4</v>
      </c>
      <c r="AF38" s="19"/>
      <c r="AG38" s="8">
        <f t="shared" si="7"/>
        <v>0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ht="15.75" thickBot="1" x14ac:dyDescent="0.3">
      <c r="A39" s="8" t="s">
        <v>81</v>
      </c>
      <c r="B39" s="8" t="s">
        <v>62</v>
      </c>
      <c r="C39" s="8">
        <v>225.2</v>
      </c>
      <c r="D39" s="8">
        <v>3.01</v>
      </c>
      <c r="E39" s="8">
        <v>170.792</v>
      </c>
      <c r="F39" s="8">
        <v>22.254000000000001</v>
      </c>
      <c r="G39" s="6">
        <v>1</v>
      </c>
      <c r="H39" s="8">
        <v>120</v>
      </c>
      <c r="I39" s="8" t="s">
        <v>82</v>
      </c>
      <c r="J39" s="8"/>
      <c r="K39" s="8">
        <v>177.5</v>
      </c>
      <c r="L39" s="8">
        <f t="shared" si="2"/>
        <v>-6.7079999999999984</v>
      </c>
      <c r="M39" s="8"/>
      <c r="N39" s="8"/>
      <c r="O39" s="8">
        <v>345</v>
      </c>
      <c r="P39" s="8">
        <f t="shared" si="3"/>
        <v>34.1584</v>
      </c>
      <c r="Q39" s="9">
        <f>20*P39-O39-F39</f>
        <v>315.91399999999999</v>
      </c>
      <c r="R39" s="9">
        <f t="shared" si="9"/>
        <v>315.91399999999999</v>
      </c>
      <c r="S39" s="9">
        <f>IFERROR(VLOOKUP(A39,заказ!A:B,2,0),0)</f>
        <v>315</v>
      </c>
      <c r="T39" s="9"/>
      <c r="U39" s="8"/>
      <c r="V39" s="8">
        <f t="shared" si="6"/>
        <v>20</v>
      </c>
      <c r="W39" s="8">
        <f t="shared" si="4"/>
        <v>10.751498899245867</v>
      </c>
      <c r="X39" s="8">
        <v>23.210599999999999</v>
      </c>
      <c r="Y39" s="8">
        <v>10.447800000000001</v>
      </c>
      <c r="Z39" s="8">
        <v>9.5518000000000001</v>
      </c>
      <c r="AA39" s="8">
        <v>7.8756000000000004</v>
      </c>
      <c r="AB39" s="8">
        <v>20.768000000000001</v>
      </c>
      <c r="AC39" s="8">
        <v>20.1858</v>
      </c>
      <c r="AD39" s="8">
        <v>16.988199999999999</v>
      </c>
      <c r="AE39" s="8">
        <v>9.0053999999999998</v>
      </c>
      <c r="AF39" s="8"/>
      <c r="AG39" s="8">
        <f t="shared" si="7"/>
        <v>315.91399999999999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12" t="s">
        <v>83</v>
      </c>
      <c r="B40" s="13" t="s">
        <v>35</v>
      </c>
      <c r="C40" s="13"/>
      <c r="D40" s="13"/>
      <c r="E40" s="13"/>
      <c r="F40" s="14"/>
      <c r="G40" s="6">
        <v>0.2</v>
      </c>
      <c r="H40" s="8">
        <v>120</v>
      </c>
      <c r="I40" s="8" t="s">
        <v>84</v>
      </c>
      <c r="J40" s="8"/>
      <c r="K40" s="8"/>
      <c r="L40" s="8">
        <f t="shared" si="2"/>
        <v>0</v>
      </c>
      <c r="M40" s="8"/>
      <c r="N40" s="8"/>
      <c r="O40" s="8">
        <v>500</v>
      </c>
      <c r="P40" s="8">
        <f t="shared" si="3"/>
        <v>0</v>
      </c>
      <c r="Q40" s="9">
        <f>20*(P40+P41)-O40-O41-F40-F41</f>
        <v>367</v>
      </c>
      <c r="R40" s="9">
        <f>T40</f>
        <v>400</v>
      </c>
      <c r="S40" s="9">
        <f>IFERROR(VLOOKUP(A40,заказ!A:B,2,0),0)</f>
        <v>400</v>
      </c>
      <c r="T40" s="9">
        <v>400</v>
      </c>
      <c r="U40" s="8"/>
      <c r="V40" s="8" t="e">
        <f t="shared" si="6"/>
        <v>#DIV/0!</v>
      </c>
      <c r="W40" s="8" t="e">
        <f t="shared" si="4"/>
        <v>#DIV/0!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/>
      <c r="AG40" s="8">
        <f t="shared" si="7"/>
        <v>80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ht="15.75" thickBot="1" x14ac:dyDescent="0.3">
      <c r="A41" s="15" t="s">
        <v>85</v>
      </c>
      <c r="B41" s="16" t="s">
        <v>35</v>
      </c>
      <c r="C41" s="16">
        <v>240</v>
      </c>
      <c r="D41" s="16">
        <v>100</v>
      </c>
      <c r="E41" s="16">
        <v>234</v>
      </c>
      <c r="F41" s="17">
        <v>69</v>
      </c>
      <c r="G41" s="18">
        <v>0</v>
      </c>
      <c r="H41" s="19" t="e">
        <v>#N/A</v>
      </c>
      <c r="I41" s="19" t="s">
        <v>64</v>
      </c>
      <c r="J41" s="19" t="s">
        <v>83</v>
      </c>
      <c r="K41" s="19">
        <v>236</v>
      </c>
      <c r="L41" s="19">
        <f t="shared" si="2"/>
        <v>-2</v>
      </c>
      <c r="M41" s="19"/>
      <c r="N41" s="19"/>
      <c r="O41" s="19">
        <v>0</v>
      </c>
      <c r="P41" s="19">
        <f t="shared" si="3"/>
        <v>46.8</v>
      </c>
      <c r="Q41" s="20"/>
      <c r="R41" s="9">
        <f t="shared" si="9"/>
        <v>0</v>
      </c>
      <c r="S41" s="9">
        <f>IFERROR(VLOOKUP(A41,заказ!A:B,2,0),0)</f>
        <v>0</v>
      </c>
      <c r="T41" s="20"/>
      <c r="U41" s="19"/>
      <c r="V41" s="8">
        <f t="shared" si="6"/>
        <v>1.4743589743589745</v>
      </c>
      <c r="W41" s="19">
        <f t="shared" si="4"/>
        <v>1.4743589743589745</v>
      </c>
      <c r="X41" s="19">
        <v>36.200000000000003</v>
      </c>
      <c r="Y41" s="19">
        <v>25.2</v>
      </c>
      <c r="Z41" s="19">
        <v>25.4</v>
      </c>
      <c r="AA41" s="19">
        <v>19.399999999999999</v>
      </c>
      <c r="AB41" s="19">
        <v>31</v>
      </c>
      <c r="AC41" s="19">
        <v>28.4</v>
      </c>
      <c r="AD41" s="19">
        <v>37</v>
      </c>
      <c r="AE41" s="19">
        <v>25</v>
      </c>
      <c r="AF41" s="19"/>
      <c r="AG41" s="8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86</v>
      </c>
      <c r="B42" s="8" t="s">
        <v>62</v>
      </c>
      <c r="C42" s="8">
        <v>90</v>
      </c>
      <c r="D42" s="8">
        <v>701.65</v>
      </c>
      <c r="E42" s="8">
        <v>201.13300000000001</v>
      </c>
      <c r="F42" s="8">
        <v>525.46900000000005</v>
      </c>
      <c r="G42" s="6">
        <v>1</v>
      </c>
      <c r="H42" s="8">
        <v>120</v>
      </c>
      <c r="I42" s="8" t="s">
        <v>87</v>
      </c>
      <c r="J42" s="8"/>
      <c r="K42" s="8">
        <v>206.5</v>
      </c>
      <c r="L42" s="8">
        <f t="shared" si="2"/>
        <v>-5.3669999999999902</v>
      </c>
      <c r="M42" s="8"/>
      <c r="N42" s="8"/>
      <c r="O42" s="8">
        <v>705</v>
      </c>
      <c r="P42" s="8">
        <f t="shared" si="3"/>
        <v>40.226600000000005</v>
      </c>
      <c r="Q42" s="9"/>
      <c r="R42" s="9">
        <f t="shared" si="9"/>
        <v>0</v>
      </c>
      <c r="S42" s="9">
        <f>IFERROR(VLOOKUP(A42,заказ!A:B,2,0),0)</f>
        <v>0</v>
      </c>
      <c r="T42" s="9"/>
      <c r="U42" s="8"/>
      <c r="V42" s="8">
        <f t="shared" si="6"/>
        <v>30.588441479021341</v>
      </c>
      <c r="W42" s="8">
        <f t="shared" si="4"/>
        <v>30.588441479021341</v>
      </c>
      <c r="X42" s="8">
        <v>68.255799999999994</v>
      </c>
      <c r="Y42" s="8">
        <v>62.150599999999997</v>
      </c>
      <c r="Z42" s="8">
        <v>58.933199999999999</v>
      </c>
      <c r="AA42" s="8">
        <v>50.286999999999999</v>
      </c>
      <c r="AB42" s="8">
        <v>61.196800000000003</v>
      </c>
      <c r="AC42" s="8">
        <v>49.648400000000002</v>
      </c>
      <c r="AD42" s="8">
        <v>67.227000000000004</v>
      </c>
      <c r="AE42" s="8">
        <v>70.315599999999989</v>
      </c>
      <c r="AF42" s="8" t="s">
        <v>88</v>
      </c>
      <c r="AG42" s="8">
        <f t="shared" si="7"/>
        <v>0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10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46</v>
      </c>
      <c r="B44" s="8" t="s">
        <v>35</v>
      </c>
      <c r="C44" s="8">
        <v>1669</v>
      </c>
      <c r="D44" s="8"/>
      <c r="E44" s="8">
        <v>742</v>
      </c>
      <c r="F44" s="8">
        <v>812</v>
      </c>
      <c r="G44" s="6">
        <v>0.18</v>
      </c>
      <c r="H44" s="8">
        <v>120</v>
      </c>
      <c r="I44" s="8"/>
      <c r="J44" s="8"/>
      <c r="K44" s="8">
        <v>737</v>
      </c>
      <c r="L44" s="8">
        <f>E44-K44</f>
        <v>5</v>
      </c>
      <c r="M44" s="8"/>
      <c r="N44" s="8"/>
      <c r="O44" s="8">
        <v>400</v>
      </c>
      <c r="P44" s="8">
        <f>E44/5</f>
        <v>148.4</v>
      </c>
      <c r="Q44" s="9">
        <f t="shared" ref="Q44:Q47" si="11">20*P44-O44-F44</f>
        <v>1756</v>
      </c>
      <c r="R44" s="9">
        <v>1500</v>
      </c>
      <c r="S44" s="9">
        <f>R44</f>
        <v>1500</v>
      </c>
      <c r="T44" s="9">
        <v>1500</v>
      </c>
      <c r="U44" s="8"/>
      <c r="V44" s="8">
        <f t="shared" si="6"/>
        <v>18.274932614555254</v>
      </c>
      <c r="W44" s="8">
        <f>(F44+O44)/P44</f>
        <v>8.1671159029649587</v>
      </c>
      <c r="X44" s="8">
        <v>114</v>
      </c>
      <c r="Y44" s="8">
        <v>129.19999999999999</v>
      </c>
      <c r="Z44" s="8">
        <v>139.80000000000001</v>
      </c>
      <c r="AA44" s="8">
        <v>135</v>
      </c>
      <c r="AB44" s="8">
        <v>109.2</v>
      </c>
      <c r="AC44" s="8">
        <v>110.4</v>
      </c>
      <c r="AD44" s="8">
        <v>85.4</v>
      </c>
      <c r="AE44" s="8">
        <v>115.6</v>
      </c>
      <c r="AF44" s="8"/>
      <c r="AG44" s="8">
        <f t="shared" si="7"/>
        <v>270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 t="s">
        <v>47</v>
      </c>
      <c r="B45" s="8" t="s">
        <v>35</v>
      </c>
      <c r="C45" s="8">
        <v>920</v>
      </c>
      <c r="D45" s="8">
        <v>2000</v>
      </c>
      <c r="E45" s="8">
        <v>650</v>
      </c>
      <c r="F45" s="8">
        <v>1048</v>
      </c>
      <c r="G45" s="6">
        <v>0.18</v>
      </c>
      <c r="H45" s="8">
        <v>120</v>
      </c>
      <c r="I45" s="8"/>
      <c r="J45" s="8"/>
      <c r="K45" s="8">
        <v>684</v>
      </c>
      <c r="L45" s="8">
        <f>E45-K45</f>
        <v>-34</v>
      </c>
      <c r="M45" s="8"/>
      <c r="N45" s="8"/>
      <c r="O45" s="8">
        <v>2000</v>
      </c>
      <c r="P45" s="8">
        <f>E45/5</f>
        <v>130</v>
      </c>
      <c r="Q45" s="9"/>
      <c r="R45" s="9"/>
      <c r="S45" s="9">
        <f t="shared" ref="S45:S47" si="12">R45</f>
        <v>0</v>
      </c>
      <c r="T45" s="9"/>
      <c r="U45" s="8"/>
      <c r="V45" s="8">
        <f t="shared" si="6"/>
        <v>23.446153846153845</v>
      </c>
      <c r="W45" s="8">
        <f>(F45+O45)/P45</f>
        <v>23.446153846153845</v>
      </c>
      <c r="X45" s="8">
        <v>148.19999999999999</v>
      </c>
      <c r="Y45" s="8">
        <v>133</v>
      </c>
      <c r="Z45" s="8">
        <v>110.8</v>
      </c>
      <c r="AA45" s="8">
        <v>117.2</v>
      </c>
      <c r="AB45" s="8">
        <v>217.8</v>
      </c>
      <c r="AC45" s="8">
        <v>245.4</v>
      </c>
      <c r="AD45" s="8">
        <v>228</v>
      </c>
      <c r="AE45" s="8">
        <v>275</v>
      </c>
      <c r="AF45" s="8" t="s">
        <v>48</v>
      </c>
      <c r="AG45" s="8">
        <f t="shared" si="7"/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34</v>
      </c>
      <c r="B46" s="8" t="s">
        <v>35</v>
      </c>
      <c r="C46" s="8">
        <v>102</v>
      </c>
      <c r="D46" s="8">
        <v>72</v>
      </c>
      <c r="E46" s="8">
        <v>73</v>
      </c>
      <c r="F46" s="8">
        <v>62</v>
      </c>
      <c r="G46" s="6">
        <v>0.18</v>
      </c>
      <c r="H46" s="8"/>
      <c r="I46" s="8">
        <v>4421577</v>
      </c>
      <c r="J46" s="8"/>
      <c r="K46" s="8">
        <v>71</v>
      </c>
      <c r="L46" s="8">
        <f>E46-K46</f>
        <v>2</v>
      </c>
      <c r="M46" s="8"/>
      <c r="N46" s="8"/>
      <c r="O46" s="8">
        <v>0</v>
      </c>
      <c r="P46" s="8">
        <f>E46/5</f>
        <v>14.6</v>
      </c>
      <c r="Q46" s="9">
        <f>19*P46-O46-F46</f>
        <v>215.39999999999998</v>
      </c>
      <c r="R46" s="9">
        <v>200</v>
      </c>
      <c r="S46" s="9">
        <f t="shared" si="12"/>
        <v>200</v>
      </c>
      <c r="T46" s="9"/>
      <c r="U46" s="8"/>
      <c r="V46" s="8">
        <f t="shared" si="6"/>
        <v>17.945205479452056</v>
      </c>
      <c r="W46" s="8">
        <f>(F46+O46)/P46</f>
        <v>4.2465753424657535</v>
      </c>
      <c r="X46" s="8">
        <v>4</v>
      </c>
      <c r="Y46" s="8">
        <v>7.4</v>
      </c>
      <c r="Z46" s="8">
        <v>7.4</v>
      </c>
      <c r="AA46" s="8">
        <v>10.4</v>
      </c>
      <c r="AB46" s="8">
        <v>9.6</v>
      </c>
      <c r="AC46" s="8">
        <v>6.8</v>
      </c>
      <c r="AD46" s="8">
        <v>11.6</v>
      </c>
      <c r="AE46" s="8">
        <v>6.4</v>
      </c>
      <c r="AF46" s="8"/>
      <c r="AG46" s="8">
        <f t="shared" si="7"/>
        <v>36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36</v>
      </c>
      <c r="B47" s="8" t="s">
        <v>35</v>
      </c>
      <c r="C47" s="8">
        <v>195</v>
      </c>
      <c r="D47" s="8"/>
      <c r="E47" s="8">
        <v>121</v>
      </c>
      <c r="F47" s="8">
        <v>11</v>
      </c>
      <c r="G47" s="6">
        <v>0.18</v>
      </c>
      <c r="H47" s="8"/>
      <c r="I47" s="8">
        <v>4421584</v>
      </c>
      <c r="J47" s="8"/>
      <c r="K47" s="8">
        <v>113</v>
      </c>
      <c r="L47" s="8">
        <f>E47-K47</f>
        <v>8</v>
      </c>
      <c r="M47" s="8"/>
      <c r="N47" s="8"/>
      <c r="O47" s="8">
        <v>250</v>
      </c>
      <c r="P47" s="8">
        <f>E47/5</f>
        <v>24.2</v>
      </c>
      <c r="Q47" s="9">
        <f t="shared" si="11"/>
        <v>223</v>
      </c>
      <c r="R47" s="9">
        <v>200</v>
      </c>
      <c r="S47" s="9">
        <f t="shared" si="12"/>
        <v>200</v>
      </c>
      <c r="T47" s="9"/>
      <c r="U47" s="8"/>
      <c r="V47" s="8">
        <f t="shared" si="6"/>
        <v>19.049586776859506</v>
      </c>
      <c r="W47" s="8">
        <f>(F47+O47)/P47</f>
        <v>10.78512396694215</v>
      </c>
      <c r="X47" s="8">
        <v>19.8</v>
      </c>
      <c r="Y47" s="8">
        <v>13.6</v>
      </c>
      <c r="Z47" s="8">
        <v>8.8000000000000007</v>
      </c>
      <c r="AA47" s="8">
        <v>17.600000000000001</v>
      </c>
      <c r="AB47" s="8">
        <v>11.2</v>
      </c>
      <c r="AC47" s="8">
        <v>2.8</v>
      </c>
      <c r="AD47" s="8">
        <v>17.2</v>
      </c>
      <c r="AE47" s="8">
        <v>11</v>
      </c>
      <c r="AF47" s="8"/>
      <c r="AG47" s="8">
        <f t="shared" si="7"/>
        <v>36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</sheetData>
  <autoFilter ref="A3:AG42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2361-C5A1-4D3D-8C38-E3126756DEE8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96</v>
      </c>
    </row>
    <row r="2" spans="1:2" x14ac:dyDescent="0.25">
      <c r="A2" t="s">
        <v>38</v>
      </c>
      <c r="B2">
        <v>600</v>
      </c>
    </row>
    <row r="3" spans="1:2" x14ac:dyDescent="0.25">
      <c r="A3" t="s">
        <v>39</v>
      </c>
      <c r="B3">
        <v>408</v>
      </c>
    </row>
    <row r="4" spans="1:2" x14ac:dyDescent="0.25">
      <c r="A4" t="s">
        <v>40</v>
      </c>
      <c r="B4">
        <v>996</v>
      </c>
    </row>
    <row r="5" spans="1:2" x14ac:dyDescent="0.25">
      <c r="A5" t="s">
        <v>41</v>
      </c>
      <c r="B5">
        <v>600</v>
      </c>
    </row>
    <row r="6" spans="1:2" x14ac:dyDescent="0.25">
      <c r="A6" t="s">
        <v>44</v>
      </c>
      <c r="B6">
        <v>32</v>
      </c>
    </row>
    <row r="7" spans="1:2" x14ac:dyDescent="0.25">
      <c r="A7" t="s">
        <v>45</v>
      </c>
      <c r="B7">
        <v>128</v>
      </c>
    </row>
    <row r="8" spans="1:2" x14ac:dyDescent="0.25">
      <c r="A8" t="s">
        <v>50</v>
      </c>
      <c r="B8">
        <v>28</v>
      </c>
    </row>
    <row r="9" spans="1:2" x14ac:dyDescent="0.25">
      <c r="A9" t="s">
        <v>51</v>
      </c>
      <c r="B9">
        <v>102</v>
      </c>
    </row>
    <row r="10" spans="1:2" x14ac:dyDescent="0.25">
      <c r="A10" t="s">
        <v>54</v>
      </c>
      <c r="B10">
        <v>200</v>
      </c>
    </row>
    <row r="11" spans="1:2" x14ac:dyDescent="0.25">
      <c r="A11" t="s">
        <v>55</v>
      </c>
      <c r="B11">
        <v>520</v>
      </c>
    </row>
    <row r="12" spans="1:2" x14ac:dyDescent="0.25">
      <c r="A12" t="s">
        <v>57</v>
      </c>
      <c r="B12">
        <v>30</v>
      </c>
    </row>
    <row r="13" spans="1:2" x14ac:dyDescent="0.25">
      <c r="A13" t="s">
        <v>61</v>
      </c>
      <c r="B13">
        <v>99</v>
      </c>
    </row>
    <row r="14" spans="1:2" x14ac:dyDescent="0.25">
      <c r="A14" t="s">
        <v>67</v>
      </c>
      <c r="B14">
        <v>198</v>
      </c>
    </row>
    <row r="15" spans="1:2" x14ac:dyDescent="0.25">
      <c r="A15" t="s">
        <v>70</v>
      </c>
      <c r="B15">
        <v>304</v>
      </c>
    </row>
    <row r="16" spans="1:2" x14ac:dyDescent="0.25">
      <c r="A16" t="s">
        <v>72</v>
      </c>
      <c r="B16">
        <v>168</v>
      </c>
    </row>
    <row r="17" spans="1:2" x14ac:dyDescent="0.25">
      <c r="A17" t="s">
        <v>73</v>
      </c>
      <c r="B17">
        <v>348</v>
      </c>
    </row>
    <row r="18" spans="1:2" x14ac:dyDescent="0.25">
      <c r="A18" t="s">
        <v>77</v>
      </c>
      <c r="B18">
        <v>300</v>
      </c>
    </row>
    <row r="19" spans="1:2" x14ac:dyDescent="0.25">
      <c r="A19" t="s">
        <v>81</v>
      </c>
      <c r="B19">
        <v>315</v>
      </c>
    </row>
    <row r="20" spans="1:2" x14ac:dyDescent="0.25">
      <c r="A20" t="s">
        <v>83</v>
      </c>
      <c r="B20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2025-12-23T13:07:00Z</dcterms:created>
  <dcterms:modified xsi:type="dcterms:W3CDTF">2025-12-24T10:10:27Z</dcterms:modified>
</cp:coreProperties>
</file>