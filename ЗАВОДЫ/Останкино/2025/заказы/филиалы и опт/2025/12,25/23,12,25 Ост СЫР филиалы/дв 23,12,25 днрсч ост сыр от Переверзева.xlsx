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E6849802-698C-4807-96CE-EBC4334369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6" i="1"/>
  <c r="S5" i="1" l="1"/>
  <c r="R14" i="1"/>
  <c r="R46" i="1"/>
  <c r="R44" i="1"/>
  <c r="R39" i="1"/>
  <c r="R35" i="1"/>
  <c r="R34" i="1"/>
  <c r="R33" i="1"/>
  <c r="R32" i="1"/>
  <c r="R29" i="1"/>
  <c r="R21" i="1"/>
  <c r="R18" i="1"/>
  <c r="R17" i="1"/>
  <c r="R15" i="1"/>
  <c r="R13" i="1"/>
  <c r="AG13" i="1" s="1"/>
  <c r="R12" i="1"/>
  <c r="R11" i="1"/>
  <c r="R10" i="1"/>
  <c r="R9" i="1"/>
  <c r="R8" i="1"/>
  <c r="R7" i="1"/>
  <c r="R6" i="1"/>
  <c r="AG49" i="1"/>
  <c r="AG50" i="1"/>
  <c r="AG51" i="1"/>
  <c r="AG52" i="1"/>
  <c r="AG11" i="1"/>
  <c r="R16" i="1"/>
  <c r="R19" i="1"/>
  <c r="AG19" i="1" s="1"/>
  <c r="R20" i="1"/>
  <c r="R22" i="1"/>
  <c r="R23" i="1"/>
  <c r="AG23" i="1" s="1"/>
  <c r="R24" i="1"/>
  <c r="R25" i="1"/>
  <c r="AG25" i="1" s="1"/>
  <c r="R26" i="1"/>
  <c r="R28" i="1"/>
  <c r="R30" i="1"/>
  <c r="R31" i="1"/>
  <c r="AG31" i="1" s="1"/>
  <c r="R36" i="1"/>
  <c r="AG36" i="1" s="1"/>
  <c r="R37" i="1"/>
  <c r="AG37" i="1" s="1"/>
  <c r="R38" i="1"/>
  <c r="AG38" i="1" s="1"/>
  <c r="R40" i="1"/>
  <c r="AG40" i="1" s="1"/>
  <c r="R41" i="1"/>
  <c r="AG41" i="1" s="1"/>
  <c r="R42" i="1"/>
  <c r="AG42" i="1" s="1"/>
  <c r="R43" i="1"/>
  <c r="AG43" i="1" s="1"/>
  <c r="R45" i="1"/>
  <c r="AG45" i="1" s="1"/>
  <c r="R47" i="1"/>
  <c r="AG47" i="1" s="1"/>
  <c r="AG30" i="1" l="1"/>
  <c r="AG26" i="1"/>
  <c r="AG24" i="1"/>
  <c r="AG22" i="1"/>
  <c r="AG16" i="1"/>
  <c r="AG28" i="1"/>
  <c r="AG20" i="1"/>
  <c r="AG14" i="1"/>
  <c r="AG12" i="1"/>
  <c r="P52" i="1"/>
  <c r="P6" i="1"/>
  <c r="Q6" i="1" s="1"/>
  <c r="P7" i="1"/>
  <c r="Q7" i="1" s="1"/>
  <c r="V7" i="1" s="1"/>
  <c r="P8" i="1"/>
  <c r="Q8" i="1" s="1"/>
  <c r="V8" i="1" s="1"/>
  <c r="P9" i="1"/>
  <c r="Q9" i="1" s="1"/>
  <c r="V9" i="1" s="1"/>
  <c r="P10" i="1"/>
  <c r="Q10" i="1" s="1"/>
  <c r="V10" i="1" s="1"/>
  <c r="P11" i="1"/>
  <c r="V11" i="1" s="1"/>
  <c r="P12" i="1"/>
  <c r="V12" i="1" s="1"/>
  <c r="P49" i="1"/>
  <c r="P50" i="1"/>
  <c r="P13" i="1"/>
  <c r="V13" i="1" s="1"/>
  <c r="P14" i="1"/>
  <c r="V14" i="1" s="1"/>
  <c r="P15" i="1"/>
  <c r="Q15" i="1" s="1"/>
  <c r="P16" i="1"/>
  <c r="V16" i="1" s="1"/>
  <c r="P17" i="1"/>
  <c r="Q17" i="1" s="1"/>
  <c r="P18" i="1"/>
  <c r="Q18" i="1" s="1"/>
  <c r="P19" i="1"/>
  <c r="V19" i="1" s="1"/>
  <c r="P20" i="1"/>
  <c r="V20" i="1" s="1"/>
  <c r="P21" i="1"/>
  <c r="P22" i="1"/>
  <c r="V22" i="1" s="1"/>
  <c r="P23" i="1"/>
  <c r="V23" i="1" s="1"/>
  <c r="P24" i="1"/>
  <c r="V24" i="1" s="1"/>
  <c r="P25" i="1"/>
  <c r="V25" i="1" s="1"/>
  <c r="P26" i="1"/>
  <c r="V26" i="1" s="1"/>
  <c r="P27" i="1"/>
  <c r="P28" i="1"/>
  <c r="V28" i="1" s="1"/>
  <c r="P29" i="1"/>
  <c r="P30" i="1"/>
  <c r="V30" i="1" s="1"/>
  <c r="P31" i="1"/>
  <c r="V31" i="1" s="1"/>
  <c r="P32" i="1"/>
  <c r="Q32" i="1" s="1"/>
  <c r="P33" i="1"/>
  <c r="Q33" i="1" s="1"/>
  <c r="P34" i="1"/>
  <c r="Q34" i="1" s="1"/>
  <c r="P35" i="1"/>
  <c r="Q35" i="1" s="1"/>
  <c r="P36" i="1"/>
  <c r="V36" i="1" s="1"/>
  <c r="P37" i="1"/>
  <c r="V37" i="1" s="1"/>
  <c r="P38" i="1"/>
  <c r="V38" i="1" s="1"/>
  <c r="P39" i="1"/>
  <c r="P40" i="1"/>
  <c r="V40" i="1" s="1"/>
  <c r="P41" i="1"/>
  <c r="V41" i="1" s="1"/>
  <c r="P42" i="1"/>
  <c r="V42" i="1" s="1"/>
  <c r="P43" i="1"/>
  <c r="V43" i="1" s="1"/>
  <c r="P44" i="1"/>
  <c r="P45" i="1"/>
  <c r="V45" i="1" s="1"/>
  <c r="P46" i="1"/>
  <c r="P47" i="1"/>
  <c r="V47" i="1" s="1"/>
  <c r="P51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50" i="1"/>
  <c r="L49" i="1"/>
  <c r="L12" i="1"/>
  <c r="L11" i="1"/>
  <c r="L10" i="1"/>
  <c r="I10" i="1"/>
  <c r="G10" i="1"/>
  <c r="AG10" i="1" s="1"/>
  <c r="L9" i="1"/>
  <c r="I9" i="1"/>
  <c r="G9" i="1"/>
  <c r="AG9" i="1" s="1"/>
  <c r="L8" i="1"/>
  <c r="I8" i="1"/>
  <c r="G8" i="1"/>
  <c r="AG8" i="1" s="1"/>
  <c r="L7" i="1"/>
  <c r="I7" i="1"/>
  <c r="G7" i="1"/>
  <c r="AG7" i="1" s="1"/>
  <c r="L6" i="1"/>
  <c r="I6" i="1"/>
  <c r="G6" i="1"/>
  <c r="AG6" i="1" s="1"/>
  <c r="L52" i="1"/>
  <c r="L51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44" i="1" l="1"/>
  <c r="AG44" i="1"/>
  <c r="V44" i="1"/>
  <c r="AG34" i="1"/>
  <c r="V34" i="1"/>
  <c r="AG32" i="1"/>
  <c r="V32" i="1"/>
  <c r="AG18" i="1"/>
  <c r="V18" i="1"/>
  <c r="V6" i="1"/>
  <c r="L5" i="1"/>
  <c r="Q39" i="1"/>
  <c r="AG35" i="1"/>
  <c r="V35" i="1"/>
  <c r="AG33" i="1"/>
  <c r="V33" i="1"/>
  <c r="Q29" i="1"/>
  <c r="Q21" i="1"/>
  <c r="AG17" i="1"/>
  <c r="V17" i="1"/>
  <c r="AG15" i="1"/>
  <c r="V15" i="1"/>
  <c r="Q46" i="1"/>
  <c r="W47" i="1"/>
  <c r="W45" i="1"/>
  <c r="W43" i="1"/>
  <c r="W41" i="1"/>
  <c r="W39" i="1"/>
  <c r="W37" i="1"/>
  <c r="W35" i="1"/>
  <c r="W33" i="1"/>
  <c r="W31" i="1"/>
  <c r="W30" i="1"/>
  <c r="W28" i="1"/>
  <c r="W26" i="1"/>
  <c r="W24" i="1"/>
  <c r="W22" i="1"/>
  <c r="W20" i="1"/>
  <c r="W18" i="1"/>
  <c r="W16" i="1"/>
  <c r="W14" i="1"/>
  <c r="V50" i="1"/>
  <c r="W50" i="1"/>
  <c r="W12" i="1"/>
  <c r="W10" i="1"/>
  <c r="W8" i="1"/>
  <c r="P5" i="1"/>
  <c r="W6" i="1"/>
  <c r="W51" i="1"/>
  <c r="V51" i="1"/>
  <c r="W46" i="1"/>
  <c r="W44" i="1"/>
  <c r="W42" i="1"/>
  <c r="W40" i="1"/>
  <c r="W38" i="1"/>
  <c r="W36" i="1"/>
  <c r="W34" i="1"/>
  <c r="W32" i="1"/>
  <c r="W29" i="1"/>
  <c r="W27" i="1"/>
  <c r="W25" i="1"/>
  <c r="W23" i="1"/>
  <c r="W21" i="1"/>
  <c r="W19" i="1"/>
  <c r="W17" i="1"/>
  <c r="W15" i="1"/>
  <c r="W13" i="1"/>
  <c r="V49" i="1"/>
  <c r="W49" i="1"/>
  <c r="W11" i="1"/>
  <c r="W9" i="1"/>
  <c r="W7" i="1"/>
  <c r="V52" i="1"/>
  <c r="W52" i="1"/>
  <c r="AG27" i="1" l="1"/>
  <c r="V27" i="1"/>
  <c r="AG21" i="1"/>
  <c r="V21" i="1"/>
  <c r="AG39" i="1"/>
  <c r="V39" i="1"/>
  <c r="AG46" i="1"/>
  <c r="V46" i="1"/>
  <c r="AG29" i="1"/>
  <c r="V29" i="1"/>
  <c r="R5" i="1"/>
  <c r="Q5" i="1"/>
  <c r="AG5" i="1"/>
</calcChain>
</file>

<file path=xl/sharedStrings.xml><?xml version="1.0" encoding="utf-8"?>
<sst xmlns="http://schemas.openxmlformats.org/spreadsheetml/2006/main" count="225" uniqueCount="110">
  <si>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</si>
  <si>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</si>
  <si>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</si>
  <si>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</si>
  <si>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</si>
  <si>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</si>
  <si>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</si>
  <si>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</si>
  <si>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</si>
  <si>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</si>
  <si>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</si>
  <si>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</si>
  <si>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</si>
  <si>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</si>
  <si>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</si>
  <si>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</si>
  <si>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</si>
  <si>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</si>
  <si>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</si>
  <si>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</si>
  <si>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</si>
  <si>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</si>
  <si>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</si>
  <si>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</si>
  <si>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</si>
  <si>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</si>
  <si>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</si>
  <si>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</si>
  <si>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</si>
  <si>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</si>
  <si>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</si>
  <si>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</si>
  <si>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</si>
  <si>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</si>
  <si>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</si>
  <si>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</si>
  <si>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</si>
  <si>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</si>
  <si>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</si>
  <si>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</si>
  <si>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</si>
  <si>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</si>
  <si>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</si>
  <si>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</si>
  <si>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</si>
  <si>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</si>
  <si>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</si>
  <si>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</si>
  <si>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</si>
  <si>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</si>
  <si>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</si>
  <si>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</si>
  <si>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</si>
  <si>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</si>
  <si>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</si>
  <si>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</si>
  <si>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</si>
  <si>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</si>
  <si>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</si>
  <si>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</si>
  <si>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продажи!!!</t>
  </si>
  <si>
    <t>Сыр Папа Может Российский  50% 200гр    Останкино</t>
  </si>
  <si>
    <t>дубль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</si>
  <si>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</si>
  <si>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</si>
  <si>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</si>
  <si>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</si>
  <si>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</si>
  <si>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</si>
  <si>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</si>
  <si>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</si>
  <si>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</si>
  <si>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</si>
  <si>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</si>
  <si>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</si>
  <si>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</si>
  <si>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</si>
  <si>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</si>
  <si>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</si>
  <si>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</si>
  <si>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</si>
  <si>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</si>
  <si>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</si>
  <si>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</si>
  <si>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</si>
  <si>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</si>
  <si>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</si>
  <si>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</si>
  <si>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</si>
  <si>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</si>
  <si>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</si>
  <si>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</si>
  <si>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</si>
  <si>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</si>
  <si>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</si>
  <si>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</si>
  <si>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</si>
  <si>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</si>
  <si>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</si>
  <si>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</si>
  <si>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</si>
  <si>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</si>
  <si>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под новым атикулом</t>
    </r>
  </si>
  <si>
    <t>18,08,25 завод отгрузил (продукцию нашли и поставили на приход спустя 3 недели 05,09,25)</t>
  </si>
  <si>
    <t>в связи с праздничными выходными</t>
  </si>
  <si>
    <t>итого</t>
  </si>
  <si>
    <t>вывод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</si>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</sst>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164" fontId="5" fillId="0" borderId="1" xfId="1" applyNumberFormat="1" applyFont="1"/>
    <xf numFmtId="0" fontId="0" fillId="0" borderId="1" xfId="0" applyBorder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29" sqref="I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7" style="31" customWidth="1"/>
    <col min="20" max="20" width="7" customWidth="1"/>
    <col min="21" max="21" width="21" customWidth="1"/>
    <col min="22" max="23" width="5" customWidth="1"/>
    <col min="24" max="31" width="6" customWidth="1"/>
    <col min="32" max="32" width="41.140625" customWidth="1"/>
    <col min="33" max="33" width="7" customWidth="1"/>
    <col min="34" max="52" width="1" customWidth="1"/>
  </cols>
  <sheetData>
    <row r="1" spans="1:52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105</v>
      </c>
      <c r="S3" s="2" t="s">
        <v>107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25</v>
      </c>
      <c r="Q4" s="4"/>
      <c r="R4" s="4"/>
      <c r="S4" s="4" t="s">
        <v>108</v>
      </c>
      <c r="T4" s="4"/>
      <c r="U4" s="4"/>
      <c r="V4" s="4"/>
      <c r="W4" s="4"/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SUM(E6:E495)</f>
        <v>2364.8119999999999</v>
      </c>
      <c r="F5" s="3">
        <f>SUM(F6:F495)</f>
        <v>3809.7770000000005</v>
      </c>
      <c r="G5" s="7"/>
      <c r="H5" s="4"/>
      <c r="I5" s="4"/>
      <c r="J5" s="4"/>
      <c r="K5" s="3">
        <f t="shared" ref="K5:T5" si="0">SUM(K6:K495)</f>
        <v>2446.5099999999998</v>
      </c>
      <c r="L5" s="3">
        <f t="shared" si="0"/>
        <v>-81.698000000000008</v>
      </c>
      <c r="M5" s="3">
        <f t="shared" si="0"/>
        <v>0</v>
      </c>
      <c r="N5" s="3">
        <f t="shared" si="0"/>
        <v>0</v>
      </c>
      <c r="O5" s="3">
        <f t="shared" si="0"/>
        <v>3571</v>
      </c>
      <c r="P5" s="3">
        <f t="shared" si="0"/>
        <v>472.96240000000006</v>
      </c>
      <c r="Q5" s="3">
        <f t="shared" si="0"/>
        <v>2875.7619999999997</v>
      </c>
      <c r="R5" s="3">
        <f t="shared" si="0"/>
        <v>3365</v>
      </c>
      <c r="S5" s="3">
        <f t="shared" si="0"/>
        <v>3385</v>
      </c>
      <c r="T5" s="3">
        <f t="shared" si="0"/>
        <v>3430</v>
      </c>
      <c r="U5" s="4"/>
      <c r="V5" s="4"/>
      <c r="W5" s="4"/>
      <c r="X5" s="3">
        <f t="shared" ref="X5:AE5" si="1">SUM(X6:X495)</f>
        <v>437.32179999999994</v>
      </c>
      <c r="Y5" s="3">
        <f t="shared" si="1"/>
        <v>328.09480000000002</v>
      </c>
      <c r="Z5" s="3">
        <f t="shared" si="1"/>
        <v>356.27220000000017</v>
      </c>
      <c r="AA5" s="3">
        <f t="shared" si="1"/>
        <v>307.37139999999999</v>
      </c>
      <c r="AB5" s="3">
        <f t="shared" si="1"/>
        <v>343.51500000000004</v>
      </c>
      <c r="AC5" s="3">
        <f t="shared" si="1"/>
        <v>287.59940000000006</v>
      </c>
      <c r="AD5" s="3">
        <f t="shared" si="1"/>
        <v>285.67779999999999</v>
      </c>
      <c r="AE5" s="3">
        <f t="shared" si="1"/>
        <v>244.01059999999998</v>
      </c>
      <c r="AF5" s="4"/>
      <c r="AG5" s="3">
        <f>SUM(AG6:AG495)</f>
        <v>1458.84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38</v>
      </c>
      <c r="B6" s="4" t="s">
        <v>35</v>
      </c>
      <c r="C6" s="4"/>
      <c r="D6" s="4">
        <v>48</v>
      </c>
      <c r="E6" s="4">
        <v>15</v>
      </c>
      <c r="F6" s="4">
        <v>33</v>
      </c>
      <c r="G6" s="7">
        <f>VLOOKUP(A6,[1]Sheet!$A:$I,7,0)</f>
        <v>0.82450000000000001</v>
      </c>
      <c r="H6" s="4"/>
      <c r="I6" s="4">
        <f>VLOOKUP(A6,[1]Sheet!$A:$I,9,0)</f>
        <v>6948249</v>
      </c>
      <c r="J6" s="4"/>
      <c r="K6" s="4">
        <v>15</v>
      </c>
      <c r="L6" s="4">
        <f t="shared" ref="L6:L47" si="2">E6-K6</f>
        <v>0</v>
      </c>
      <c r="M6" s="4"/>
      <c r="N6" s="4"/>
      <c r="O6" s="4"/>
      <c r="P6" s="4">
        <f t="shared" ref="P6:P47" si="3">E6/5</f>
        <v>3</v>
      </c>
      <c r="Q6" s="9">
        <f>20*P6-O6-F6</f>
        <v>27</v>
      </c>
      <c r="R6" s="9">
        <f>T6</f>
        <v>40</v>
      </c>
      <c r="S6" s="9">
        <f>IFERROR(VLOOKUP(A6,заказ!A:B,2,0),0)</f>
        <v>36</v>
      </c>
      <c r="T6" s="9">
        <v>40</v>
      </c>
      <c r="U6" s="4" t="s">
        <v>104</v>
      </c>
      <c r="V6" s="4">
        <f>(F6+O6+R6)/P6</f>
        <v>24.333333333333332</v>
      </c>
      <c r="W6" s="4">
        <f t="shared" ref="W6:W47" si="4">(F6+O6)/P6</f>
        <v>11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/>
      <c r="AG6" s="4">
        <f>G6*R6</f>
        <v>32.980000000000004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39</v>
      </c>
      <c r="B7" s="4" t="s">
        <v>35</v>
      </c>
      <c r="C7" s="4"/>
      <c r="D7" s="4">
        <v>408</v>
      </c>
      <c r="E7" s="4">
        <v>157</v>
      </c>
      <c r="F7" s="4">
        <v>246</v>
      </c>
      <c r="G7" s="7">
        <f>VLOOKUP(A7,[1]Sheet!$A:$I,7,0)</f>
        <v>0.372</v>
      </c>
      <c r="H7" s="4"/>
      <c r="I7" s="4">
        <f>VLOOKUP(A7,[1]Sheet!$A:$I,9,0)</f>
        <v>6948256</v>
      </c>
      <c r="J7" s="4"/>
      <c r="K7" s="4">
        <v>159</v>
      </c>
      <c r="L7" s="4">
        <f t="shared" si="2"/>
        <v>-2</v>
      </c>
      <c r="M7" s="4"/>
      <c r="N7" s="4"/>
      <c r="O7" s="4"/>
      <c r="P7" s="4">
        <f t="shared" si="3"/>
        <v>31.4</v>
      </c>
      <c r="Q7" s="9">
        <f t="shared" ref="Q7:Q18" si="5">20*P7-O7-F7</f>
        <v>382</v>
      </c>
      <c r="R7" s="9">
        <f t="shared" ref="R7:R15" si="6">T7</f>
        <v>415</v>
      </c>
      <c r="S7" s="9">
        <f>IFERROR(VLOOKUP(A7,заказ!A:B,2,0),0)</f>
        <v>420</v>
      </c>
      <c r="T7" s="9">
        <v>415</v>
      </c>
      <c r="U7" s="4" t="s">
        <v>104</v>
      </c>
      <c r="V7" s="4">
        <f t="shared" ref="V7:V47" si="7">(F7+O7+R7)/P7</f>
        <v>21.050955414012741</v>
      </c>
      <c r="W7" s="4">
        <f t="shared" si="4"/>
        <v>7.8343949044585992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>
        <f t="shared" ref="AG7:AG52" si="8">G7*R7</f>
        <v>154.38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40</v>
      </c>
      <c r="B8" s="4" t="s">
        <v>35</v>
      </c>
      <c r="C8" s="4"/>
      <c r="D8" s="4">
        <v>300</v>
      </c>
      <c r="E8" s="4">
        <v>79</v>
      </c>
      <c r="F8" s="4">
        <v>218</v>
      </c>
      <c r="G8" s="7">
        <f>VLOOKUP(A8,[1]Sheet!$A:$I,7,0)</f>
        <v>0.74399999999999999</v>
      </c>
      <c r="H8" s="4"/>
      <c r="I8" s="4">
        <f>VLOOKUP(A8,[1]Sheet!$A:$I,9,0)</f>
        <v>6948263</v>
      </c>
      <c r="J8" s="4"/>
      <c r="K8" s="4">
        <v>80</v>
      </c>
      <c r="L8" s="4">
        <f t="shared" si="2"/>
        <v>-1</v>
      </c>
      <c r="M8" s="4"/>
      <c r="N8" s="4"/>
      <c r="O8" s="4"/>
      <c r="P8" s="4">
        <f t="shared" si="3"/>
        <v>15.8</v>
      </c>
      <c r="Q8" s="9">
        <f t="shared" si="5"/>
        <v>98</v>
      </c>
      <c r="R8" s="9">
        <f t="shared" si="6"/>
        <v>120</v>
      </c>
      <c r="S8" s="9">
        <f>IFERROR(VLOOKUP(A8,заказ!A:B,2,0),0)</f>
        <v>120</v>
      </c>
      <c r="T8" s="9">
        <v>120</v>
      </c>
      <c r="U8" s="4" t="s">
        <v>104</v>
      </c>
      <c r="V8" s="4">
        <f t="shared" si="7"/>
        <v>21.39240506329114</v>
      </c>
      <c r="W8" s="4">
        <f t="shared" si="4"/>
        <v>13.797468354430379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/>
      <c r="AG8" s="4">
        <f t="shared" si="8"/>
        <v>89.28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41</v>
      </c>
      <c r="B9" s="4" t="s">
        <v>35</v>
      </c>
      <c r="C9" s="4"/>
      <c r="D9" s="4">
        <v>408</v>
      </c>
      <c r="E9" s="4">
        <v>190</v>
      </c>
      <c r="F9" s="4">
        <v>211</v>
      </c>
      <c r="G9" s="7">
        <f>VLOOKUP(A9,[1]Sheet!$A:$I,7,0)</f>
        <v>0.372</v>
      </c>
      <c r="H9" s="4"/>
      <c r="I9" s="4">
        <f>VLOOKUP(A9,[1]Sheet!$A:$I,9,0)</f>
        <v>6948270</v>
      </c>
      <c r="J9" s="4"/>
      <c r="K9" s="4">
        <v>192</v>
      </c>
      <c r="L9" s="4">
        <f t="shared" si="2"/>
        <v>-2</v>
      </c>
      <c r="M9" s="4"/>
      <c r="N9" s="4"/>
      <c r="O9" s="4"/>
      <c r="P9" s="4">
        <f t="shared" si="3"/>
        <v>38</v>
      </c>
      <c r="Q9" s="9">
        <f t="shared" si="5"/>
        <v>549</v>
      </c>
      <c r="R9" s="9">
        <f t="shared" si="6"/>
        <v>570</v>
      </c>
      <c r="S9" s="9">
        <f>IFERROR(VLOOKUP(A9,заказ!A:B,2,0),0)</f>
        <v>576</v>
      </c>
      <c r="T9" s="9">
        <v>570</v>
      </c>
      <c r="U9" s="4" t="s">
        <v>104</v>
      </c>
      <c r="V9" s="4">
        <f t="shared" si="7"/>
        <v>20.55263157894737</v>
      </c>
      <c r="W9" s="4">
        <f t="shared" si="4"/>
        <v>5.5526315789473681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/>
      <c r="AG9" s="4">
        <f t="shared" si="8"/>
        <v>212.04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42</v>
      </c>
      <c r="B10" s="4" t="s">
        <v>35</v>
      </c>
      <c r="C10" s="4"/>
      <c r="D10" s="4">
        <v>300</v>
      </c>
      <c r="E10" s="4">
        <v>120</v>
      </c>
      <c r="F10" s="4">
        <v>175</v>
      </c>
      <c r="G10" s="7">
        <f>VLOOKUP(A10,[1]Sheet!$A:$I,7,0)</f>
        <v>0.74399999999999999</v>
      </c>
      <c r="H10" s="4"/>
      <c r="I10" s="4">
        <f>VLOOKUP(A10,[1]Sheet!$A:$I,9,0)</f>
        <v>6948287</v>
      </c>
      <c r="J10" s="4"/>
      <c r="K10" s="4">
        <v>121</v>
      </c>
      <c r="L10" s="4">
        <f t="shared" si="2"/>
        <v>-1</v>
      </c>
      <c r="M10" s="4"/>
      <c r="N10" s="4"/>
      <c r="O10" s="4"/>
      <c r="P10" s="4">
        <f t="shared" si="3"/>
        <v>24</v>
      </c>
      <c r="Q10" s="9">
        <f t="shared" si="5"/>
        <v>305</v>
      </c>
      <c r="R10" s="9">
        <f t="shared" si="6"/>
        <v>340</v>
      </c>
      <c r="S10" s="9">
        <f>IFERROR(VLOOKUP(A10,заказ!A:B,2,0),0)</f>
        <v>336</v>
      </c>
      <c r="T10" s="9">
        <v>340</v>
      </c>
      <c r="U10" s="4" t="s">
        <v>104</v>
      </c>
      <c r="V10" s="4">
        <f t="shared" si="7"/>
        <v>21.458333333333332</v>
      </c>
      <c r="W10" s="4">
        <f t="shared" si="4"/>
        <v>7.291666666666667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/>
      <c r="AG10" s="4">
        <f t="shared" si="8"/>
        <v>252.96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43</v>
      </c>
      <c r="B11" s="4" t="s">
        <v>35</v>
      </c>
      <c r="C11" s="4">
        <v>32</v>
      </c>
      <c r="D11" s="4">
        <v>98</v>
      </c>
      <c r="E11" s="4">
        <v>36</v>
      </c>
      <c r="F11" s="4">
        <v>94</v>
      </c>
      <c r="G11" s="7">
        <v>0.18</v>
      </c>
      <c r="H11" s="4">
        <v>270</v>
      </c>
      <c r="I11" s="4">
        <v>9988438</v>
      </c>
      <c r="J11" s="4"/>
      <c r="K11" s="4">
        <v>36</v>
      </c>
      <c r="L11" s="4">
        <f t="shared" si="2"/>
        <v>0</v>
      </c>
      <c r="M11" s="4"/>
      <c r="N11" s="4"/>
      <c r="O11" s="4">
        <v>64</v>
      </c>
      <c r="P11" s="4">
        <f t="shared" si="3"/>
        <v>7.2</v>
      </c>
      <c r="Q11" s="9"/>
      <c r="R11" s="9">
        <f t="shared" si="6"/>
        <v>30</v>
      </c>
      <c r="S11" s="9">
        <f>IFERROR(VLOOKUP(A11,заказ!A:B,2,0),0)</f>
        <v>32</v>
      </c>
      <c r="T11" s="9">
        <v>30</v>
      </c>
      <c r="U11" s="4" t="s">
        <v>104</v>
      </c>
      <c r="V11" s="4">
        <f t="shared" si="7"/>
        <v>26.111111111111111</v>
      </c>
      <c r="W11" s="4">
        <f t="shared" si="4"/>
        <v>21.944444444444443</v>
      </c>
      <c r="X11" s="4">
        <v>9.4</v>
      </c>
      <c r="Y11" s="4">
        <v>9.1999999999999993</v>
      </c>
      <c r="Z11" s="4">
        <v>6.6</v>
      </c>
      <c r="AA11" s="4">
        <v>8.4</v>
      </c>
      <c r="AB11" s="4">
        <v>5.2</v>
      </c>
      <c r="AC11" s="4">
        <v>8.6</v>
      </c>
      <c r="AD11" s="4">
        <v>8.6</v>
      </c>
      <c r="AE11" s="4">
        <v>4</v>
      </c>
      <c r="AF11" s="4"/>
      <c r="AG11" s="4">
        <f t="shared" si="8"/>
        <v>5.3999999999999995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44</v>
      </c>
      <c r="B12" s="4" t="s">
        <v>35</v>
      </c>
      <c r="C12" s="4">
        <v>72</v>
      </c>
      <c r="D12" s="4">
        <v>34</v>
      </c>
      <c r="E12" s="4">
        <v>38</v>
      </c>
      <c r="F12" s="4">
        <v>36</v>
      </c>
      <c r="G12" s="7">
        <v>0.18</v>
      </c>
      <c r="H12" s="4">
        <v>270</v>
      </c>
      <c r="I12" s="4">
        <v>9988445</v>
      </c>
      <c r="J12" s="4"/>
      <c r="K12" s="4">
        <v>38</v>
      </c>
      <c r="L12" s="4">
        <f t="shared" si="2"/>
        <v>0</v>
      </c>
      <c r="M12" s="4"/>
      <c r="N12" s="4"/>
      <c r="O12" s="4">
        <v>128</v>
      </c>
      <c r="P12" s="4">
        <f t="shared" si="3"/>
        <v>7.6</v>
      </c>
      <c r="Q12" s="9"/>
      <c r="R12" s="9">
        <f t="shared" si="6"/>
        <v>30</v>
      </c>
      <c r="S12" s="9">
        <f>IFERROR(VLOOKUP(A12,заказ!A:B,2,0),0)</f>
        <v>32</v>
      </c>
      <c r="T12" s="9">
        <v>30</v>
      </c>
      <c r="U12" s="4" t="s">
        <v>104</v>
      </c>
      <c r="V12" s="4">
        <f t="shared" si="7"/>
        <v>25.526315789473685</v>
      </c>
      <c r="W12" s="4">
        <f t="shared" si="4"/>
        <v>21.578947368421055</v>
      </c>
      <c r="X12" s="4">
        <v>9.8000000000000007</v>
      </c>
      <c r="Y12" s="4">
        <v>5.6</v>
      </c>
      <c r="Z12" s="4">
        <v>7.6</v>
      </c>
      <c r="AA12" s="4">
        <v>5.6</v>
      </c>
      <c r="AB12" s="4">
        <v>3.6</v>
      </c>
      <c r="AC12" s="4">
        <v>7.2</v>
      </c>
      <c r="AD12" s="4">
        <v>7.8</v>
      </c>
      <c r="AE12" s="4">
        <v>4.2</v>
      </c>
      <c r="AF12" s="4"/>
      <c r="AG12" s="4">
        <f t="shared" si="8"/>
        <v>5.3999999999999995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47</v>
      </c>
      <c r="B13" s="4" t="s">
        <v>35</v>
      </c>
      <c r="C13" s="4">
        <v>9</v>
      </c>
      <c r="D13" s="4">
        <v>21</v>
      </c>
      <c r="E13" s="4">
        <v>29</v>
      </c>
      <c r="F13" s="4"/>
      <c r="G13" s="7">
        <v>0.4</v>
      </c>
      <c r="H13" s="4">
        <v>270</v>
      </c>
      <c r="I13" s="4">
        <v>9988452</v>
      </c>
      <c r="J13" s="4"/>
      <c r="K13" s="4">
        <v>30</v>
      </c>
      <c r="L13" s="4">
        <f t="shared" si="2"/>
        <v>-1</v>
      </c>
      <c r="M13" s="4"/>
      <c r="N13" s="4"/>
      <c r="O13" s="4">
        <v>168</v>
      </c>
      <c r="P13" s="4">
        <f t="shared" si="3"/>
        <v>5.8</v>
      </c>
      <c r="Q13" s="9"/>
      <c r="R13" s="9">
        <f t="shared" si="6"/>
        <v>30</v>
      </c>
      <c r="S13" s="9">
        <f>IFERROR(VLOOKUP(A13,заказ!A:B,2,0),0)</f>
        <v>32</v>
      </c>
      <c r="T13" s="9">
        <v>30</v>
      </c>
      <c r="U13" s="4" t="s">
        <v>104</v>
      </c>
      <c r="V13" s="4">
        <f t="shared" si="7"/>
        <v>34.137931034482762</v>
      </c>
      <c r="W13" s="4">
        <f t="shared" si="4"/>
        <v>28.96551724137931</v>
      </c>
      <c r="X13" s="4">
        <v>11.2</v>
      </c>
      <c r="Y13" s="4">
        <v>4.5999999999999996</v>
      </c>
      <c r="Z13" s="4">
        <v>2.8</v>
      </c>
      <c r="AA13" s="4">
        <v>5.6</v>
      </c>
      <c r="AB13" s="4">
        <v>4.4000000000000004</v>
      </c>
      <c r="AC13" s="4">
        <v>3.4</v>
      </c>
      <c r="AD13" s="4">
        <v>4</v>
      </c>
      <c r="AE13" s="4">
        <v>3</v>
      </c>
      <c r="AF13" s="4" t="s">
        <v>48</v>
      </c>
      <c r="AG13" s="4">
        <f t="shared" si="8"/>
        <v>12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49</v>
      </c>
      <c r="B14" s="4" t="s">
        <v>35</v>
      </c>
      <c r="C14" s="4">
        <v>57</v>
      </c>
      <c r="D14" s="4"/>
      <c r="E14" s="4">
        <v>19</v>
      </c>
      <c r="F14" s="4">
        <v>38</v>
      </c>
      <c r="G14" s="7">
        <v>0.4</v>
      </c>
      <c r="H14" s="4">
        <v>270</v>
      </c>
      <c r="I14" s="4">
        <v>9988476</v>
      </c>
      <c r="J14" s="4"/>
      <c r="K14" s="4">
        <v>19</v>
      </c>
      <c r="L14" s="4">
        <f t="shared" si="2"/>
        <v>0</v>
      </c>
      <c r="M14" s="4"/>
      <c r="N14" s="4"/>
      <c r="O14" s="4">
        <v>56</v>
      </c>
      <c r="P14" s="4">
        <f t="shared" si="3"/>
        <v>3.8</v>
      </c>
      <c r="Q14" s="9"/>
      <c r="R14" s="32">
        <f t="shared" ref="R14:R47" si="9">Q14</f>
        <v>0</v>
      </c>
      <c r="S14" s="9">
        <f>IFERROR(VLOOKUP(A14,заказ!A:B,2,0),0)</f>
        <v>0</v>
      </c>
      <c r="T14" s="9">
        <v>30</v>
      </c>
      <c r="U14" s="4" t="s">
        <v>104</v>
      </c>
      <c r="V14" s="4">
        <f t="shared" si="7"/>
        <v>24.736842105263158</v>
      </c>
      <c r="W14" s="4">
        <f t="shared" si="4"/>
        <v>24.736842105263158</v>
      </c>
      <c r="X14" s="4">
        <v>5</v>
      </c>
      <c r="Y14" s="4">
        <v>1</v>
      </c>
      <c r="Z14" s="4">
        <v>3.4</v>
      </c>
      <c r="AA14" s="4">
        <v>4.8</v>
      </c>
      <c r="AB14" s="4">
        <v>1.4</v>
      </c>
      <c r="AC14" s="4">
        <v>2.2000000000000002</v>
      </c>
      <c r="AD14" s="4">
        <v>2.8</v>
      </c>
      <c r="AE14" s="4">
        <v>4.4000000000000004</v>
      </c>
      <c r="AF14" s="4"/>
      <c r="AG14" s="4">
        <f t="shared" si="8"/>
        <v>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50</v>
      </c>
      <c r="B15" s="4" t="s">
        <v>35</v>
      </c>
      <c r="C15" s="4">
        <v>79</v>
      </c>
      <c r="D15" s="4">
        <v>32</v>
      </c>
      <c r="E15" s="4">
        <v>38</v>
      </c>
      <c r="F15" s="4">
        <v>73</v>
      </c>
      <c r="G15" s="7">
        <v>0.18</v>
      </c>
      <c r="H15" s="4">
        <v>150</v>
      </c>
      <c r="I15" s="4">
        <v>5034819</v>
      </c>
      <c r="J15" s="4"/>
      <c r="K15" s="4">
        <v>40</v>
      </c>
      <c r="L15" s="4">
        <f t="shared" si="2"/>
        <v>-2</v>
      </c>
      <c r="M15" s="4"/>
      <c r="N15" s="4"/>
      <c r="O15" s="4">
        <v>60</v>
      </c>
      <c r="P15" s="4">
        <f t="shared" si="3"/>
        <v>7.6</v>
      </c>
      <c r="Q15" s="9">
        <f t="shared" si="5"/>
        <v>19</v>
      </c>
      <c r="R15" s="9">
        <f t="shared" si="6"/>
        <v>30</v>
      </c>
      <c r="S15" s="9">
        <f>IFERROR(VLOOKUP(A15,заказ!A:B,2,0),0)</f>
        <v>30</v>
      </c>
      <c r="T15" s="9">
        <v>30</v>
      </c>
      <c r="U15" s="4" t="s">
        <v>104</v>
      </c>
      <c r="V15" s="4">
        <f t="shared" si="7"/>
        <v>21.447368421052634</v>
      </c>
      <c r="W15" s="4">
        <f t="shared" si="4"/>
        <v>17.5</v>
      </c>
      <c r="X15" s="4">
        <v>8.4</v>
      </c>
      <c r="Y15" s="4">
        <v>7.6</v>
      </c>
      <c r="Z15" s="4">
        <v>8</v>
      </c>
      <c r="AA15" s="4">
        <v>6.6</v>
      </c>
      <c r="AB15" s="4">
        <v>9</v>
      </c>
      <c r="AC15" s="4">
        <v>5.6</v>
      </c>
      <c r="AD15" s="4">
        <v>5.4</v>
      </c>
      <c r="AE15" s="4">
        <v>8.1999999999999993</v>
      </c>
      <c r="AF15" s="4" t="s">
        <v>51</v>
      </c>
      <c r="AG15" s="4">
        <f t="shared" si="8"/>
        <v>5.3999999999999995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52</v>
      </c>
      <c r="B16" s="4" t="s">
        <v>35</v>
      </c>
      <c r="C16" s="4">
        <v>386</v>
      </c>
      <c r="D16" s="4">
        <v>150</v>
      </c>
      <c r="E16" s="4">
        <v>145</v>
      </c>
      <c r="F16" s="4">
        <v>306</v>
      </c>
      <c r="G16" s="7">
        <v>0.1</v>
      </c>
      <c r="H16" s="4">
        <v>90</v>
      </c>
      <c r="I16" s="4">
        <v>8444163</v>
      </c>
      <c r="J16" s="4"/>
      <c r="K16" s="4">
        <v>146</v>
      </c>
      <c r="L16" s="4">
        <f t="shared" si="2"/>
        <v>-1</v>
      </c>
      <c r="M16" s="4"/>
      <c r="N16" s="4"/>
      <c r="O16" s="4">
        <v>512</v>
      </c>
      <c r="P16" s="4">
        <f t="shared" si="3"/>
        <v>29</v>
      </c>
      <c r="Q16" s="9"/>
      <c r="R16" s="9">
        <f t="shared" si="9"/>
        <v>0</v>
      </c>
      <c r="S16" s="9">
        <f>IFERROR(VLOOKUP(A16,заказ!A:B,2,0),0)</f>
        <v>0</v>
      </c>
      <c r="T16" s="9"/>
      <c r="U16" s="4"/>
      <c r="V16" s="4">
        <f t="shared" si="7"/>
        <v>28.206896551724139</v>
      </c>
      <c r="W16" s="4">
        <f t="shared" si="4"/>
        <v>28.206896551724139</v>
      </c>
      <c r="X16" s="4">
        <v>53.4</v>
      </c>
      <c r="Y16" s="4">
        <v>36.6</v>
      </c>
      <c r="Z16" s="4">
        <v>47.6</v>
      </c>
      <c r="AA16" s="4">
        <v>25.6</v>
      </c>
      <c r="AB16" s="4">
        <v>38.799999999999997</v>
      </c>
      <c r="AC16" s="4">
        <v>25.8</v>
      </c>
      <c r="AD16" s="4">
        <v>32.200000000000003</v>
      </c>
      <c r="AE16" s="4">
        <v>36.200000000000003</v>
      </c>
      <c r="AF16" s="30" t="s">
        <v>103</v>
      </c>
      <c r="AG16" s="4">
        <f t="shared" si="8"/>
        <v>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53</v>
      </c>
      <c r="B17" s="4" t="s">
        <v>35</v>
      </c>
      <c r="C17" s="4">
        <v>210</v>
      </c>
      <c r="D17" s="4">
        <v>3</v>
      </c>
      <c r="E17" s="4">
        <v>123</v>
      </c>
      <c r="F17" s="4">
        <v>82</v>
      </c>
      <c r="G17" s="7">
        <v>0.18</v>
      </c>
      <c r="H17" s="4">
        <v>150</v>
      </c>
      <c r="I17" s="4">
        <v>5038411</v>
      </c>
      <c r="J17" s="4"/>
      <c r="K17" s="4">
        <v>124</v>
      </c>
      <c r="L17" s="4">
        <f t="shared" si="2"/>
        <v>-1</v>
      </c>
      <c r="M17" s="4"/>
      <c r="N17" s="4"/>
      <c r="O17" s="4">
        <v>90</v>
      </c>
      <c r="P17" s="4">
        <f t="shared" si="3"/>
        <v>24.6</v>
      </c>
      <c r="Q17" s="9">
        <f t="shared" si="5"/>
        <v>320</v>
      </c>
      <c r="R17" s="9">
        <f t="shared" ref="R17:R18" si="10">T17</f>
        <v>340</v>
      </c>
      <c r="S17" s="9">
        <f>IFERROR(VLOOKUP(A17,заказ!A:B,2,0),0)</f>
        <v>340</v>
      </c>
      <c r="T17" s="9">
        <v>340</v>
      </c>
      <c r="U17" s="4" t="s">
        <v>104</v>
      </c>
      <c r="V17" s="4">
        <f t="shared" si="7"/>
        <v>20.8130081300813</v>
      </c>
      <c r="W17" s="4">
        <f t="shared" si="4"/>
        <v>6.9918699186991864</v>
      </c>
      <c r="X17" s="4">
        <v>15</v>
      </c>
      <c r="Y17" s="4">
        <v>10.8</v>
      </c>
      <c r="Z17" s="4">
        <v>17.8</v>
      </c>
      <c r="AA17" s="4">
        <v>2.8</v>
      </c>
      <c r="AB17" s="4">
        <v>8.1999999999999993</v>
      </c>
      <c r="AC17" s="4">
        <v>7.4</v>
      </c>
      <c r="AD17" s="4">
        <v>6.2</v>
      </c>
      <c r="AE17" s="4">
        <v>8.6</v>
      </c>
      <c r="AF17" s="4"/>
      <c r="AG17" s="4">
        <f t="shared" si="8"/>
        <v>61.199999999999996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5">
      <c r="A18" s="4" t="s">
        <v>54</v>
      </c>
      <c r="B18" s="4" t="s">
        <v>35</v>
      </c>
      <c r="C18" s="4">
        <v>97</v>
      </c>
      <c r="D18" s="4">
        <v>76</v>
      </c>
      <c r="E18" s="4">
        <v>127</v>
      </c>
      <c r="F18" s="4">
        <v>34</v>
      </c>
      <c r="G18" s="7">
        <v>0.18</v>
      </c>
      <c r="H18" s="4">
        <v>150</v>
      </c>
      <c r="I18" s="4">
        <v>5038459</v>
      </c>
      <c r="J18" s="4"/>
      <c r="K18" s="4">
        <v>128</v>
      </c>
      <c r="L18" s="4">
        <f t="shared" si="2"/>
        <v>-1</v>
      </c>
      <c r="M18" s="4"/>
      <c r="N18" s="4"/>
      <c r="O18" s="4">
        <v>120</v>
      </c>
      <c r="P18" s="4">
        <f t="shared" si="3"/>
        <v>25.4</v>
      </c>
      <c r="Q18" s="9">
        <f t="shared" si="5"/>
        <v>354</v>
      </c>
      <c r="R18" s="9">
        <f t="shared" si="10"/>
        <v>380</v>
      </c>
      <c r="S18" s="9">
        <f>IFERROR(VLOOKUP(A18,заказ!A:B,2,0),0)</f>
        <v>380</v>
      </c>
      <c r="T18" s="9">
        <v>380</v>
      </c>
      <c r="U18" s="4" t="s">
        <v>104</v>
      </c>
      <c r="V18" s="4">
        <f t="shared" si="7"/>
        <v>21.023622047244096</v>
      </c>
      <c r="W18" s="4">
        <f t="shared" si="4"/>
        <v>6.0629921259842527</v>
      </c>
      <c r="X18" s="4">
        <v>13.8</v>
      </c>
      <c r="Y18" s="4">
        <v>12</v>
      </c>
      <c r="Z18" s="4">
        <v>10.6</v>
      </c>
      <c r="AA18" s="4">
        <v>12.8</v>
      </c>
      <c r="AB18" s="4">
        <v>11.6</v>
      </c>
      <c r="AC18" s="4">
        <v>8</v>
      </c>
      <c r="AD18" s="4">
        <v>7.2</v>
      </c>
      <c r="AE18" s="4">
        <v>10.8</v>
      </c>
      <c r="AF18" s="4"/>
      <c r="AG18" s="4">
        <f t="shared" si="8"/>
        <v>68.399999999999991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4" t="s">
        <v>55</v>
      </c>
      <c r="B19" s="4" t="s">
        <v>35</v>
      </c>
      <c r="C19" s="4">
        <v>40</v>
      </c>
      <c r="D19" s="4">
        <v>40</v>
      </c>
      <c r="E19" s="4">
        <v>19</v>
      </c>
      <c r="F19" s="4">
        <v>34</v>
      </c>
      <c r="G19" s="7">
        <v>0.18</v>
      </c>
      <c r="H19" s="4">
        <v>150</v>
      </c>
      <c r="I19" s="4">
        <v>5038831</v>
      </c>
      <c r="J19" s="4"/>
      <c r="K19" s="4">
        <v>20</v>
      </c>
      <c r="L19" s="4">
        <f t="shared" si="2"/>
        <v>-1</v>
      </c>
      <c r="M19" s="4"/>
      <c r="N19" s="4"/>
      <c r="O19" s="4">
        <v>100</v>
      </c>
      <c r="P19" s="4">
        <f t="shared" si="3"/>
        <v>3.8</v>
      </c>
      <c r="Q19" s="9"/>
      <c r="R19" s="9">
        <f t="shared" si="9"/>
        <v>0</v>
      </c>
      <c r="S19" s="9">
        <f>IFERROR(VLOOKUP(A19,заказ!A:B,2,0),0)</f>
        <v>0</v>
      </c>
      <c r="T19" s="9"/>
      <c r="U19" s="4"/>
      <c r="V19" s="4">
        <f t="shared" si="7"/>
        <v>35.263157894736842</v>
      </c>
      <c r="W19" s="4">
        <f t="shared" si="4"/>
        <v>35.263157894736842</v>
      </c>
      <c r="X19" s="4">
        <v>8</v>
      </c>
      <c r="Y19" s="4">
        <v>5.4</v>
      </c>
      <c r="Z19" s="4">
        <v>6.2</v>
      </c>
      <c r="AA19" s="4">
        <v>6.8</v>
      </c>
      <c r="AB19" s="4">
        <v>5.6</v>
      </c>
      <c r="AC19" s="4">
        <v>5.8</v>
      </c>
      <c r="AD19" s="4">
        <v>4.8</v>
      </c>
      <c r="AE19" s="4">
        <v>6.6</v>
      </c>
      <c r="AF19" s="4" t="s">
        <v>56</v>
      </c>
      <c r="AG19" s="4">
        <f t="shared" si="8"/>
        <v>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5.75" thickBot="1" x14ac:dyDescent="0.3">
      <c r="A20" s="4" t="s">
        <v>57</v>
      </c>
      <c r="B20" s="4" t="s">
        <v>35</v>
      </c>
      <c r="C20" s="4">
        <v>29</v>
      </c>
      <c r="D20" s="4">
        <v>2</v>
      </c>
      <c r="E20" s="4">
        <v>13</v>
      </c>
      <c r="F20" s="4">
        <v>2</v>
      </c>
      <c r="G20" s="7">
        <v>0.18</v>
      </c>
      <c r="H20" s="4">
        <v>120</v>
      </c>
      <c r="I20" s="4">
        <v>5038855</v>
      </c>
      <c r="J20" s="4"/>
      <c r="K20" s="4">
        <v>13</v>
      </c>
      <c r="L20" s="4">
        <f t="shared" si="2"/>
        <v>0</v>
      </c>
      <c r="M20" s="4"/>
      <c r="N20" s="4"/>
      <c r="O20" s="4">
        <v>60</v>
      </c>
      <c r="P20" s="4">
        <f t="shared" si="3"/>
        <v>2.6</v>
      </c>
      <c r="Q20" s="9"/>
      <c r="R20" s="9">
        <f t="shared" si="9"/>
        <v>0</v>
      </c>
      <c r="S20" s="9">
        <f>IFERROR(VLOOKUP(A20,заказ!A:B,2,0),0)</f>
        <v>0</v>
      </c>
      <c r="T20" s="9"/>
      <c r="U20" s="4"/>
      <c r="V20" s="4">
        <f t="shared" si="7"/>
        <v>23.846153846153847</v>
      </c>
      <c r="W20" s="4">
        <f t="shared" si="4"/>
        <v>23.846153846153847</v>
      </c>
      <c r="X20" s="4">
        <v>4.4000000000000004</v>
      </c>
      <c r="Y20" s="4">
        <v>2.8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 t="s">
        <v>58</v>
      </c>
      <c r="AG20" s="4">
        <f t="shared" si="8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12" t="s">
        <v>59</v>
      </c>
      <c r="B21" s="13" t="s">
        <v>35</v>
      </c>
      <c r="C21" s="13">
        <v>425</v>
      </c>
      <c r="D21" s="13">
        <v>4</v>
      </c>
      <c r="E21" s="13">
        <v>122</v>
      </c>
      <c r="F21" s="14">
        <v>299</v>
      </c>
      <c r="G21" s="7">
        <v>0.18</v>
      </c>
      <c r="H21" s="4">
        <v>150</v>
      </c>
      <c r="I21" s="4">
        <v>5038435</v>
      </c>
      <c r="J21" s="4"/>
      <c r="K21" s="4">
        <v>123</v>
      </c>
      <c r="L21" s="4">
        <f t="shared" si="2"/>
        <v>-1</v>
      </c>
      <c r="M21" s="4"/>
      <c r="N21" s="4"/>
      <c r="O21" s="4">
        <v>0</v>
      </c>
      <c r="P21" s="4">
        <f t="shared" si="3"/>
        <v>24.4</v>
      </c>
      <c r="Q21" s="9">
        <f>20*(P21+P22)-O21-O22-F21-F22</f>
        <v>193.99999999999994</v>
      </c>
      <c r="R21" s="9">
        <f>T21</f>
        <v>220</v>
      </c>
      <c r="S21" s="9">
        <f>IFERROR(VLOOKUP(A21,заказ!A:B,2,0),0)</f>
        <v>220</v>
      </c>
      <c r="T21" s="9">
        <v>220</v>
      </c>
      <c r="U21" s="4" t="s">
        <v>104</v>
      </c>
      <c r="V21" s="4">
        <f t="shared" si="7"/>
        <v>21.270491803278691</v>
      </c>
      <c r="W21" s="4">
        <f t="shared" si="4"/>
        <v>12.254098360655739</v>
      </c>
      <c r="X21" s="4">
        <v>17.2</v>
      </c>
      <c r="Y21" s="4">
        <v>10.8</v>
      </c>
      <c r="Z21" s="4">
        <v>14.8</v>
      </c>
      <c r="AA21" s="4">
        <v>18.399999999999999</v>
      </c>
      <c r="AB21" s="4">
        <v>23.8</v>
      </c>
      <c r="AC21" s="4">
        <v>11.6</v>
      </c>
      <c r="AD21" s="4">
        <v>8.8000000000000007</v>
      </c>
      <c r="AE21" s="4">
        <v>14.6</v>
      </c>
      <c r="AF21" s="4"/>
      <c r="AG21" s="4">
        <f t="shared" si="8"/>
        <v>39.6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15" t="s">
        <v>61</v>
      </c>
      <c r="B22" s="16" t="s">
        <v>35</v>
      </c>
      <c r="C22" s="16"/>
      <c r="D22" s="16"/>
      <c r="E22" s="16">
        <v>1</v>
      </c>
      <c r="F22" s="17">
        <v>-1</v>
      </c>
      <c r="G22" s="18">
        <v>0</v>
      </c>
      <c r="H22" s="19" t="e">
        <v>#N/A</v>
      </c>
      <c r="I22" s="19" t="s">
        <v>62</v>
      </c>
      <c r="J22" s="19" t="s">
        <v>59</v>
      </c>
      <c r="K22" s="19">
        <v>1</v>
      </c>
      <c r="L22" s="19">
        <f t="shared" si="2"/>
        <v>0</v>
      </c>
      <c r="M22" s="19"/>
      <c r="N22" s="19"/>
      <c r="O22" s="19"/>
      <c r="P22" s="19">
        <f t="shared" si="3"/>
        <v>0.2</v>
      </c>
      <c r="Q22" s="20"/>
      <c r="R22" s="9">
        <f t="shared" si="9"/>
        <v>0</v>
      </c>
      <c r="S22" s="9">
        <f>IFERROR(VLOOKUP(A22,заказ!A:B,2,0),0)</f>
        <v>0</v>
      </c>
      <c r="T22" s="20"/>
      <c r="U22" s="19"/>
      <c r="V22" s="4">
        <f t="shared" si="7"/>
        <v>-5</v>
      </c>
      <c r="W22" s="19">
        <f t="shared" si="4"/>
        <v>-5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/>
      <c r="AG22" s="4">
        <f t="shared" si="8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2" t="s">
        <v>63</v>
      </c>
      <c r="B23" s="13" t="s">
        <v>35</v>
      </c>
      <c r="C23" s="13">
        <v>163</v>
      </c>
      <c r="D23" s="13">
        <v>62</v>
      </c>
      <c r="E23" s="13">
        <v>28</v>
      </c>
      <c r="F23" s="14">
        <v>137</v>
      </c>
      <c r="G23" s="7">
        <v>0.18</v>
      </c>
      <c r="H23" s="4">
        <v>120</v>
      </c>
      <c r="I23" s="4">
        <v>5038398</v>
      </c>
      <c r="J23" s="4"/>
      <c r="K23" s="4">
        <v>29</v>
      </c>
      <c r="L23" s="4">
        <f t="shared" si="2"/>
        <v>-1</v>
      </c>
      <c r="M23" s="4"/>
      <c r="N23" s="4"/>
      <c r="O23" s="4">
        <v>60</v>
      </c>
      <c r="P23" s="4">
        <f t="shared" si="3"/>
        <v>5.6</v>
      </c>
      <c r="Q23" s="9"/>
      <c r="R23" s="32">
        <f t="shared" si="9"/>
        <v>0</v>
      </c>
      <c r="S23" s="9">
        <f>IFERROR(VLOOKUP(A23,заказ!A:B,2,0),0)</f>
        <v>0</v>
      </c>
      <c r="T23" s="9">
        <v>20</v>
      </c>
      <c r="U23" s="4" t="s">
        <v>104</v>
      </c>
      <c r="V23" s="4">
        <f t="shared" si="7"/>
        <v>35.178571428571431</v>
      </c>
      <c r="W23" s="4">
        <f t="shared" si="4"/>
        <v>35.178571428571431</v>
      </c>
      <c r="X23" s="4">
        <v>11.2</v>
      </c>
      <c r="Y23" s="4">
        <v>7.8</v>
      </c>
      <c r="Z23" s="4">
        <v>11.2</v>
      </c>
      <c r="AA23" s="4">
        <v>11</v>
      </c>
      <c r="AB23" s="4">
        <v>14.8</v>
      </c>
      <c r="AC23" s="4">
        <v>9.1999999999999993</v>
      </c>
      <c r="AD23" s="4">
        <v>6.2</v>
      </c>
      <c r="AE23" s="4">
        <v>4.8</v>
      </c>
      <c r="AF23" s="28" t="s">
        <v>60</v>
      </c>
      <c r="AG23" s="4">
        <f t="shared" si="8"/>
        <v>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5" t="s">
        <v>64</v>
      </c>
      <c r="B24" s="16" t="s">
        <v>35</v>
      </c>
      <c r="C24" s="16"/>
      <c r="D24" s="16"/>
      <c r="E24" s="16">
        <v>1</v>
      </c>
      <c r="F24" s="17">
        <v>-1</v>
      </c>
      <c r="G24" s="18">
        <v>0</v>
      </c>
      <c r="H24" s="19" t="e">
        <v>#N/A</v>
      </c>
      <c r="I24" s="19" t="s">
        <v>62</v>
      </c>
      <c r="J24" s="19" t="s">
        <v>63</v>
      </c>
      <c r="K24" s="19">
        <v>1</v>
      </c>
      <c r="L24" s="19">
        <f t="shared" si="2"/>
        <v>0</v>
      </c>
      <c r="M24" s="19"/>
      <c r="N24" s="19"/>
      <c r="O24" s="19"/>
      <c r="P24" s="19">
        <f t="shared" si="3"/>
        <v>0.2</v>
      </c>
      <c r="Q24" s="20"/>
      <c r="R24" s="9">
        <f t="shared" si="9"/>
        <v>0</v>
      </c>
      <c r="S24" s="9">
        <f>IFERROR(VLOOKUP(A24,заказ!A:B,2,0),0)</f>
        <v>0</v>
      </c>
      <c r="T24" s="20"/>
      <c r="U24" s="19"/>
      <c r="V24" s="4">
        <f t="shared" si="7"/>
        <v>-5</v>
      </c>
      <c r="W24" s="19">
        <f t="shared" si="4"/>
        <v>-5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/>
      <c r="AG24" s="4">
        <f t="shared" si="8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12" t="s">
        <v>65</v>
      </c>
      <c r="B25" s="13" t="s">
        <v>66</v>
      </c>
      <c r="C25" s="13"/>
      <c r="D25" s="13"/>
      <c r="E25" s="13"/>
      <c r="F25" s="14"/>
      <c r="G25" s="7">
        <v>1</v>
      </c>
      <c r="H25" s="4">
        <v>150</v>
      </c>
      <c r="I25" s="4">
        <v>8785242</v>
      </c>
      <c r="J25" s="4"/>
      <c r="K25" s="4"/>
      <c r="L25" s="4">
        <f t="shared" si="2"/>
        <v>0</v>
      </c>
      <c r="M25" s="4"/>
      <c r="N25" s="4"/>
      <c r="O25" s="4">
        <v>16</v>
      </c>
      <c r="P25" s="4">
        <f t="shared" si="3"/>
        <v>0</v>
      </c>
      <c r="Q25" s="9"/>
      <c r="R25" s="9">
        <f t="shared" si="9"/>
        <v>0</v>
      </c>
      <c r="S25" s="9">
        <f>IFERROR(VLOOKUP(A25,заказ!A:B,2,0),0)</f>
        <v>0</v>
      </c>
      <c r="T25" s="9"/>
      <c r="U25" s="4"/>
      <c r="V25" s="4" t="e">
        <f t="shared" si="7"/>
        <v>#DIV/0!</v>
      </c>
      <c r="W25" s="4" t="e">
        <f t="shared" si="4"/>
        <v>#DIV/0!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/>
      <c r="AG25" s="4">
        <f t="shared" si="8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5.75" thickBot="1" x14ac:dyDescent="0.3">
      <c r="A26" s="15" t="s">
        <v>67</v>
      </c>
      <c r="B26" s="16" t="s">
        <v>66</v>
      </c>
      <c r="C26" s="16">
        <v>35.944000000000003</v>
      </c>
      <c r="D26" s="16">
        <v>2.97</v>
      </c>
      <c r="E26" s="16">
        <v>6.3620000000000001</v>
      </c>
      <c r="F26" s="17">
        <v>32.552</v>
      </c>
      <c r="G26" s="18">
        <v>0</v>
      </c>
      <c r="H26" s="19" t="e">
        <v>#N/A</v>
      </c>
      <c r="I26" s="19" t="s">
        <v>62</v>
      </c>
      <c r="J26" s="19" t="s">
        <v>65</v>
      </c>
      <c r="K26" s="19">
        <v>6.9</v>
      </c>
      <c r="L26" s="19">
        <f t="shared" si="2"/>
        <v>-0.53800000000000026</v>
      </c>
      <c r="M26" s="19"/>
      <c r="N26" s="19"/>
      <c r="O26" s="19">
        <v>0</v>
      </c>
      <c r="P26" s="19">
        <f t="shared" si="3"/>
        <v>1.2724</v>
      </c>
      <c r="Q26" s="20"/>
      <c r="R26" s="9">
        <f t="shared" si="9"/>
        <v>0</v>
      </c>
      <c r="S26" s="9">
        <f>IFERROR(VLOOKUP(A26,заказ!A:B,2,0),0)</f>
        <v>0</v>
      </c>
      <c r="T26" s="20"/>
      <c r="U26" s="19"/>
      <c r="V26" s="4">
        <f t="shared" si="7"/>
        <v>25.583149952845016</v>
      </c>
      <c r="W26" s="19">
        <f t="shared" si="4"/>
        <v>25.583149952845016</v>
      </c>
      <c r="X26" s="19">
        <v>2.5739999999999998</v>
      </c>
      <c r="Y26" s="19">
        <v>0</v>
      </c>
      <c r="Z26" s="19">
        <v>0</v>
      </c>
      <c r="AA26" s="19">
        <v>2.6911999999999998</v>
      </c>
      <c r="AB26" s="19">
        <v>3.3816000000000002</v>
      </c>
      <c r="AC26" s="19">
        <v>0.74560000000000004</v>
      </c>
      <c r="AD26" s="19">
        <v>0.6956</v>
      </c>
      <c r="AE26" s="19">
        <v>0</v>
      </c>
      <c r="AF26" s="27" t="s">
        <v>101</v>
      </c>
      <c r="AG26" s="4">
        <f t="shared" si="8"/>
        <v>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12" t="s">
        <v>68</v>
      </c>
      <c r="B27" s="13" t="s">
        <v>66</v>
      </c>
      <c r="C27" s="13"/>
      <c r="D27" s="13"/>
      <c r="E27" s="13"/>
      <c r="F27" s="14"/>
      <c r="G27" s="7">
        <v>0</v>
      </c>
      <c r="H27" s="4">
        <v>150</v>
      </c>
      <c r="I27" s="19" t="s">
        <v>106</v>
      </c>
      <c r="J27" s="4"/>
      <c r="K27" s="4"/>
      <c r="L27" s="4">
        <f t="shared" si="2"/>
        <v>0</v>
      </c>
      <c r="M27" s="4"/>
      <c r="N27" s="4"/>
      <c r="O27" s="4">
        <v>16</v>
      </c>
      <c r="P27" s="4">
        <f t="shared" si="3"/>
        <v>0</v>
      </c>
      <c r="Q27" s="20">
        <v>0</v>
      </c>
      <c r="R27" s="20">
        <v>0</v>
      </c>
      <c r="S27" s="9">
        <f>IFERROR(VLOOKUP(A27,заказ!A:B,2,0),0)</f>
        <v>0</v>
      </c>
      <c r="T27" s="9">
        <v>15</v>
      </c>
      <c r="U27" s="4" t="s">
        <v>104</v>
      </c>
      <c r="V27" s="4" t="e">
        <f t="shared" si="7"/>
        <v>#DIV/0!</v>
      </c>
      <c r="W27" s="4" t="e">
        <f t="shared" si="4"/>
        <v>#DIV/0!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 t="s">
        <v>69</v>
      </c>
      <c r="AG27" s="4">
        <f t="shared" si="8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5.75" thickBot="1" x14ac:dyDescent="0.3">
      <c r="A28" s="15" t="s">
        <v>70</v>
      </c>
      <c r="B28" s="16" t="s">
        <v>66</v>
      </c>
      <c r="C28" s="16">
        <v>26.417999999999999</v>
      </c>
      <c r="D28" s="16">
        <v>15.938000000000001</v>
      </c>
      <c r="E28" s="16">
        <v>13.603999999999999</v>
      </c>
      <c r="F28" s="17">
        <v>28.751999999999999</v>
      </c>
      <c r="G28" s="18">
        <v>0</v>
      </c>
      <c r="H28" s="19" t="e">
        <v>#N/A</v>
      </c>
      <c r="I28" s="19" t="s">
        <v>109</v>
      </c>
      <c r="J28" s="19" t="s">
        <v>68</v>
      </c>
      <c r="K28" s="19">
        <v>16.100000000000001</v>
      </c>
      <c r="L28" s="19">
        <f t="shared" si="2"/>
        <v>-2.4960000000000022</v>
      </c>
      <c r="M28" s="19"/>
      <c r="N28" s="19"/>
      <c r="O28" s="19">
        <v>0</v>
      </c>
      <c r="P28" s="19">
        <f t="shared" si="3"/>
        <v>2.7207999999999997</v>
      </c>
      <c r="Q28" s="20"/>
      <c r="R28" s="9">
        <f t="shared" si="9"/>
        <v>0</v>
      </c>
      <c r="S28" s="9">
        <f>IFERROR(VLOOKUP(A28,заказ!A:B,2,0),0)</f>
        <v>0</v>
      </c>
      <c r="T28" s="20"/>
      <c r="U28" s="19"/>
      <c r="V28" s="4">
        <f t="shared" si="7"/>
        <v>10.567480152896207</v>
      </c>
      <c r="W28" s="19">
        <f t="shared" si="4"/>
        <v>10.567480152896207</v>
      </c>
      <c r="X28" s="19">
        <v>3.1015999999999999</v>
      </c>
      <c r="Y28" s="19">
        <v>3.2604000000000002</v>
      </c>
      <c r="Z28" s="19">
        <v>1.3488</v>
      </c>
      <c r="AA28" s="19">
        <v>1.27</v>
      </c>
      <c r="AB28" s="19">
        <v>4.7476000000000003</v>
      </c>
      <c r="AC28" s="19">
        <v>2.7551999999999999</v>
      </c>
      <c r="AD28" s="19">
        <v>1.3755999999999999</v>
      </c>
      <c r="AE28" s="19">
        <v>2.6484000000000001</v>
      </c>
      <c r="AF28" s="19"/>
      <c r="AG28" s="4">
        <f t="shared" si="8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12" t="s">
        <v>71</v>
      </c>
      <c r="B29" s="13" t="s">
        <v>66</v>
      </c>
      <c r="C29" s="13"/>
      <c r="D29" s="13"/>
      <c r="E29" s="13"/>
      <c r="F29" s="14"/>
      <c r="G29" s="7">
        <v>1</v>
      </c>
      <c r="H29" s="4">
        <v>120</v>
      </c>
      <c r="I29" s="4">
        <v>8785204</v>
      </c>
      <c r="J29" s="4"/>
      <c r="K29" s="4"/>
      <c r="L29" s="4">
        <f t="shared" si="2"/>
        <v>0</v>
      </c>
      <c r="M29" s="4"/>
      <c r="N29" s="4"/>
      <c r="O29" s="4">
        <v>33</v>
      </c>
      <c r="P29" s="4">
        <f t="shared" si="3"/>
        <v>0</v>
      </c>
      <c r="Q29" s="9">
        <f>20*(P29+P30)-O29-O30-F29-F30</f>
        <v>54.756000000000022</v>
      </c>
      <c r="R29" s="9">
        <f>T29</f>
        <v>70</v>
      </c>
      <c r="S29" s="9">
        <f>IFERROR(VLOOKUP(A29,заказ!A:B,2,0),0)</f>
        <v>66</v>
      </c>
      <c r="T29" s="9">
        <v>70</v>
      </c>
      <c r="U29" s="4" t="s">
        <v>104</v>
      </c>
      <c r="V29" s="4" t="e">
        <f t="shared" si="7"/>
        <v>#DIV/0!</v>
      </c>
      <c r="W29" s="4" t="e">
        <f t="shared" si="4"/>
        <v>#DIV/0!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/>
      <c r="AG29" s="4">
        <f t="shared" si="8"/>
        <v>70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5.75" thickBot="1" x14ac:dyDescent="0.3">
      <c r="A30" s="15" t="s">
        <v>72</v>
      </c>
      <c r="B30" s="16" t="s">
        <v>66</v>
      </c>
      <c r="C30" s="16">
        <v>58.895000000000003</v>
      </c>
      <c r="D30" s="16">
        <v>27.58</v>
      </c>
      <c r="E30" s="16">
        <v>30.01</v>
      </c>
      <c r="F30" s="17">
        <v>32.283999999999999</v>
      </c>
      <c r="G30" s="18">
        <v>0</v>
      </c>
      <c r="H30" s="19" t="e">
        <v>#N/A</v>
      </c>
      <c r="I30" s="19" t="s">
        <v>62</v>
      </c>
      <c r="J30" s="19" t="s">
        <v>71</v>
      </c>
      <c r="K30" s="19">
        <v>28.9</v>
      </c>
      <c r="L30" s="19">
        <f t="shared" si="2"/>
        <v>1.110000000000003</v>
      </c>
      <c r="M30" s="19"/>
      <c r="N30" s="19"/>
      <c r="O30" s="19">
        <v>0</v>
      </c>
      <c r="P30" s="19">
        <f t="shared" si="3"/>
        <v>6.0020000000000007</v>
      </c>
      <c r="Q30" s="20"/>
      <c r="R30" s="9">
        <f t="shared" si="9"/>
        <v>0</v>
      </c>
      <c r="S30" s="9">
        <f>IFERROR(VLOOKUP(A30,заказ!A:B,2,0),0)</f>
        <v>0</v>
      </c>
      <c r="T30" s="20"/>
      <c r="U30" s="19"/>
      <c r="V30" s="4">
        <f t="shared" si="7"/>
        <v>5.378873708763745</v>
      </c>
      <c r="W30" s="19">
        <f t="shared" si="4"/>
        <v>5.378873708763745</v>
      </c>
      <c r="X30" s="19">
        <v>4.7427999999999999</v>
      </c>
      <c r="Y30" s="19">
        <v>0.6048</v>
      </c>
      <c r="Z30" s="19">
        <v>4.7355999999999998</v>
      </c>
      <c r="AA30" s="19">
        <v>5.4584000000000001</v>
      </c>
      <c r="AB30" s="19">
        <v>3.2364000000000002</v>
      </c>
      <c r="AC30" s="19">
        <v>3.2372000000000001</v>
      </c>
      <c r="AD30" s="19">
        <v>2.5672000000000001</v>
      </c>
      <c r="AE30" s="19">
        <v>1.1992</v>
      </c>
      <c r="AF30" s="19"/>
      <c r="AG30" s="4">
        <f t="shared" si="8"/>
        <v>0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19" t="s">
        <v>73</v>
      </c>
      <c r="B31" s="19" t="s">
        <v>66</v>
      </c>
      <c r="C31" s="19">
        <v>3.1930000000000001</v>
      </c>
      <c r="D31" s="19"/>
      <c r="E31" s="19"/>
      <c r="F31" s="19">
        <v>3.1930000000000001</v>
      </c>
      <c r="G31" s="18">
        <v>0</v>
      </c>
      <c r="H31" s="19">
        <v>120</v>
      </c>
      <c r="I31" s="19" t="s">
        <v>74</v>
      </c>
      <c r="J31" s="19"/>
      <c r="K31" s="19"/>
      <c r="L31" s="19">
        <f t="shared" si="2"/>
        <v>0</v>
      </c>
      <c r="M31" s="19"/>
      <c r="N31" s="19"/>
      <c r="O31" s="19">
        <v>0</v>
      </c>
      <c r="P31" s="19">
        <f t="shared" si="3"/>
        <v>0</v>
      </c>
      <c r="Q31" s="20"/>
      <c r="R31" s="9">
        <f t="shared" si="9"/>
        <v>0</v>
      </c>
      <c r="S31" s="9">
        <f>IFERROR(VLOOKUP(A31,заказ!A:B,2,0),0)</f>
        <v>0</v>
      </c>
      <c r="T31" s="20"/>
      <c r="U31" s="19"/>
      <c r="V31" s="4" t="e">
        <f t="shared" si="7"/>
        <v>#DIV/0!</v>
      </c>
      <c r="W31" s="19" t="e">
        <f t="shared" si="4"/>
        <v>#DIV/0!</v>
      </c>
      <c r="X31" s="19">
        <v>0.60060000000000002</v>
      </c>
      <c r="Y31" s="19">
        <v>2.3944000000000001</v>
      </c>
      <c r="Z31" s="19">
        <v>4.3502000000000001</v>
      </c>
      <c r="AA31" s="19">
        <v>1.9578</v>
      </c>
      <c r="AB31" s="19">
        <v>1.2791999999999999</v>
      </c>
      <c r="AC31" s="19">
        <v>3.0859999999999999</v>
      </c>
      <c r="AD31" s="19">
        <v>0.55459999999999998</v>
      </c>
      <c r="AE31" s="19">
        <v>3.024</v>
      </c>
      <c r="AF31" s="19"/>
      <c r="AG31" s="4">
        <f t="shared" si="8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x14ac:dyDescent="0.25">
      <c r="A32" s="4" t="s">
        <v>75</v>
      </c>
      <c r="B32" s="4" t="s">
        <v>35</v>
      </c>
      <c r="C32" s="4">
        <v>89</v>
      </c>
      <c r="D32" s="4">
        <v>186</v>
      </c>
      <c r="E32" s="4">
        <v>61</v>
      </c>
      <c r="F32" s="4">
        <v>172</v>
      </c>
      <c r="G32" s="7">
        <v>0.14000000000000001</v>
      </c>
      <c r="H32" s="4">
        <v>180</v>
      </c>
      <c r="I32" s="4">
        <v>9988391</v>
      </c>
      <c r="J32" s="4"/>
      <c r="K32" s="4">
        <v>63</v>
      </c>
      <c r="L32" s="4">
        <f t="shared" si="2"/>
        <v>-2</v>
      </c>
      <c r="M32" s="4"/>
      <c r="N32" s="4"/>
      <c r="O32" s="4">
        <v>0</v>
      </c>
      <c r="P32" s="4">
        <f t="shared" si="3"/>
        <v>12.2</v>
      </c>
      <c r="Q32" s="9">
        <f t="shared" ref="Q32:Q34" si="11">20*P32-O32-F32</f>
        <v>72</v>
      </c>
      <c r="R32" s="9">
        <f t="shared" ref="R32:R35" si="12">T32</f>
        <v>90</v>
      </c>
      <c r="S32" s="9">
        <f>IFERROR(VLOOKUP(A32,заказ!A:B,2,0),0)</f>
        <v>96</v>
      </c>
      <c r="T32" s="9">
        <v>90</v>
      </c>
      <c r="U32" s="4" t="s">
        <v>104</v>
      </c>
      <c r="V32" s="4">
        <f t="shared" si="7"/>
        <v>21.475409836065577</v>
      </c>
      <c r="W32" s="4">
        <f t="shared" si="4"/>
        <v>14.098360655737705</v>
      </c>
      <c r="X32" s="4">
        <v>10.199999999999999</v>
      </c>
      <c r="Y32" s="4">
        <v>15</v>
      </c>
      <c r="Z32" s="4">
        <v>11</v>
      </c>
      <c r="AA32" s="4">
        <v>12</v>
      </c>
      <c r="AB32" s="4">
        <v>11.2</v>
      </c>
      <c r="AC32" s="4">
        <v>8</v>
      </c>
      <c r="AD32" s="4">
        <v>10.199999999999999</v>
      </c>
      <c r="AE32" s="4">
        <v>6.4</v>
      </c>
      <c r="AF32" s="4"/>
      <c r="AG32" s="4">
        <f t="shared" si="8"/>
        <v>12.600000000000001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4" t="s">
        <v>76</v>
      </c>
      <c r="B33" s="4" t="s">
        <v>35</v>
      </c>
      <c r="C33" s="4">
        <v>131</v>
      </c>
      <c r="D33" s="4">
        <v>77</v>
      </c>
      <c r="E33" s="4">
        <v>58</v>
      </c>
      <c r="F33" s="4">
        <v>108</v>
      </c>
      <c r="G33" s="7">
        <v>0.18</v>
      </c>
      <c r="H33" s="4">
        <v>270</v>
      </c>
      <c r="I33" s="4">
        <v>9988681</v>
      </c>
      <c r="J33" s="4"/>
      <c r="K33" s="4">
        <v>68</v>
      </c>
      <c r="L33" s="4">
        <f t="shared" si="2"/>
        <v>-10</v>
      </c>
      <c r="M33" s="4"/>
      <c r="N33" s="4"/>
      <c r="O33" s="4">
        <v>48</v>
      </c>
      <c r="P33" s="4">
        <f t="shared" si="3"/>
        <v>11.6</v>
      </c>
      <c r="Q33" s="9">
        <f t="shared" si="11"/>
        <v>76</v>
      </c>
      <c r="R33" s="9">
        <f t="shared" si="12"/>
        <v>90</v>
      </c>
      <c r="S33" s="9">
        <f>IFERROR(VLOOKUP(A33,заказ!A:B,2,0),0)</f>
        <v>96</v>
      </c>
      <c r="T33" s="9">
        <v>90</v>
      </c>
      <c r="U33" s="4" t="s">
        <v>104</v>
      </c>
      <c r="V33" s="4">
        <f t="shared" si="7"/>
        <v>21.206896551724139</v>
      </c>
      <c r="W33" s="4">
        <f t="shared" si="4"/>
        <v>13.448275862068966</v>
      </c>
      <c r="X33" s="4">
        <v>10.8</v>
      </c>
      <c r="Y33" s="4">
        <v>11.2</v>
      </c>
      <c r="Z33" s="4">
        <v>12.6</v>
      </c>
      <c r="AA33" s="4">
        <v>8.1999999999999993</v>
      </c>
      <c r="AB33" s="4">
        <v>9.8000000000000007</v>
      </c>
      <c r="AC33" s="4">
        <v>8</v>
      </c>
      <c r="AD33" s="4">
        <v>10.8</v>
      </c>
      <c r="AE33" s="4">
        <v>6</v>
      </c>
      <c r="AF33" s="4"/>
      <c r="AG33" s="4">
        <f t="shared" si="8"/>
        <v>16.2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x14ac:dyDescent="0.25">
      <c r="A34" s="4" t="s">
        <v>77</v>
      </c>
      <c r="B34" s="4" t="s">
        <v>66</v>
      </c>
      <c r="C34" s="4">
        <v>124.354</v>
      </c>
      <c r="D34" s="4">
        <v>10.018000000000001</v>
      </c>
      <c r="E34" s="4">
        <v>42.73</v>
      </c>
      <c r="F34" s="4">
        <v>88.498000000000005</v>
      </c>
      <c r="G34" s="7">
        <v>1</v>
      </c>
      <c r="H34" s="4">
        <v>120</v>
      </c>
      <c r="I34" s="4">
        <v>8785198</v>
      </c>
      <c r="J34" s="4"/>
      <c r="K34" s="4">
        <v>43.3</v>
      </c>
      <c r="L34" s="4">
        <f t="shared" si="2"/>
        <v>-0.57000000000000028</v>
      </c>
      <c r="M34" s="4"/>
      <c r="N34" s="4"/>
      <c r="O34" s="4">
        <v>50</v>
      </c>
      <c r="P34" s="4">
        <f t="shared" si="3"/>
        <v>8.5459999999999994</v>
      </c>
      <c r="Q34" s="9">
        <f t="shared" si="11"/>
        <v>32.421999999999983</v>
      </c>
      <c r="R34" s="9">
        <f t="shared" si="12"/>
        <v>50</v>
      </c>
      <c r="S34" s="9">
        <f>IFERROR(VLOOKUP(A34,заказ!A:B,2,0),0)</f>
        <v>50</v>
      </c>
      <c r="T34" s="9">
        <v>50</v>
      </c>
      <c r="U34" s="4" t="s">
        <v>104</v>
      </c>
      <c r="V34" s="4">
        <f t="shared" si="7"/>
        <v>22.056868710507839</v>
      </c>
      <c r="W34" s="4">
        <f t="shared" si="4"/>
        <v>16.206178329042828</v>
      </c>
      <c r="X34" s="4">
        <v>8.2311999999999994</v>
      </c>
      <c r="Y34" s="4">
        <v>0</v>
      </c>
      <c r="Z34" s="4">
        <v>0</v>
      </c>
      <c r="AA34" s="4">
        <v>11.0932</v>
      </c>
      <c r="AB34" s="4">
        <v>1.9623999999999999</v>
      </c>
      <c r="AC34" s="4">
        <v>3.2749999999999999</v>
      </c>
      <c r="AD34" s="4">
        <v>3.3163999999999998</v>
      </c>
      <c r="AE34" s="4">
        <v>1.24</v>
      </c>
      <c r="AF34" s="4" t="s">
        <v>78</v>
      </c>
      <c r="AG34" s="4">
        <f t="shared" si="8"/>
        <v>50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4" t="s">
        <v>79</v>
      </c>
      <c r="B35" s="4" t="s">
        <v>35</v>
      </c>
      <c r="C35" s="4">
        <v>558</v>
      </c>
      <c r="D35" s="4">
        <v>108</v>
      </c>
      <c r="E35" s="4">
        <v>238</v>
      </c>
      <c r="F35" s="4">
        <v>329</v>
      </c>
      <c r="G35" s="7">
        <v>0.1</v>
      </c>
      <c r="H35" s="4">
        <v>60</v>
      </c>
      <c r="I35" s="4">
        <v>8444187</v>
      </c>
      <c r="J35" s="4"/>
      <c r="K35" s="4">
        <v>239</v>
      </c>
      <c r="L35" s="4">
        <f t="shared" si="2"/>
        <v>-1</v>
      </c>
      <c r="M35" s="4"/>
      <c r="N35" s="4"/>
      <c r="O35" s="4">
        <v>402</v>
      </c>
      <c r="P35" s="4">
        <f t="shared" si="3"/>
        <v>47.6</v>
      </c>
      <c r="Q35" s="9">
        <f>16*P35-O35-F35</f>
        <v>30.600000000000023</v>
      </c>
      <c r="R35" s="9">
        <f t="shared" si="12"/>
        <v>50</v>
      </c>
      <c r="S35" s="9">
        <f>IFERROR(VLOOKUP(A35,заказ!A:B,2,0),0)</f>
        <v>48</v>
      </c>
      <c r="T35" s="9">
        <v>50</v>
      </c>
      <c r="U35" s="4" t="s">
        <v>104</v>
      </c>
      <c r="V35" s="4">
        <f t="shared" si="7"/>
        <v>16.407563025210084</v>
      </c>
      <c r="W35" s="4">
        <f t="shared" si="4"/>
        <v>15.357142857142856</v>
      </c>
      <c r="X35" s="4">
        <v>60</v>
      </c>
      <c r="Y35" s="4">
        <v>46.6</v>
      </c>
      <c r="Z35" s="4">
        <v>56.4</v>
      </c>
      <c r="AA35" s="4">
        <v>52.4</v>
      </c>
      <c r="AB35" s="4">
        <v>50.2</v>
      </c>
      <c r="AC35" s="4">
        <v>40</v>
      </c>
      <c r="AD35" s="4">
        <v>49.8</v>
      </c>
      <c r="AE35" s="4">
        <v>31.6</v>
      </c>
      <c r="AF35" s="4"/>
      <c r="AG35" s="4">
        <f t="shared" si="8"/>
        <v>5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4" t="s">
        <v>80</v>
      </c>
      <c r="B36" s="4" t="s">
        <v>35</v>
      </c>
      <c r="C36" s="4">
        <v>400</v>
      </c>
      <c r="D36" s="4">
        <v>156</v>
      </c>
      <c r="E36" s="4">
        <v>178</v>
      </c>
      <c r="F36" s="4">
        <v>389</v>
      </c>
      <c r="G36" s="7">
        <v>0.1</v>
      </c>
      <c r="H36" s="4">
        <v>90</v>
      </c>
      <c r="I36" s="4">
        <v>8444194</v>
      </c>
      <c r="J36" s="4"/>
      <c r="K36" s="4">
        <v>179</v>
      </c>
      <c r="L36" s="4">
        <f t="shared" si="2"/>
        <v>-1</v>
      </c>
      <c r="M36" s="4"/>
      <c r="N36" s="4"/>
      <c r="O36" s="4">
        <v>300</v>
      </c>
      <c r="P36" s="4">
        <f t="shared" si="3"/>
        <v>35.6</v>
      </c>
      <c r="Q36" s="9"/>
      <c r="R36" s="9">
        <f t="shared" si="9"/>
        <v>0</v>
      </c>
      <c r="S36" s="9">
        <f>IFERROR(VLOOKUP(A36,заказ!A:B,2,0),0)</f>
        <v>0</v>
      </c>
      <c r="T36" s="9"/>
      <c r="U36" s="4"/>
      <c r="V36" s="4">
        <f t="shared" si="7"/>
        <v>19.353932584269661</v>
      </c>
      <c r="W36" s="4">
        <f t="shared" si="4"/>
        <v>19.353932584269661</v>
      </c>
      <c r="X36" s="4">
        <v>47.4</v>
      </c>
      <c r="Y36" s="4">
        <v>45.6</v>
      </c>
      <c r="Z36" s="4">
        <v>44.6</v>
      </c>
      <c r="AA36" s="4">
        <v>32.6</v>
      </c>
      <c r="AB36" s="4">
        <v>40</v>
      </c>
      <c r="AC36" s="4">
        <v>32.6</v>
      </c>
      <c r="AD36" s="4">
        <v>38.4</v>
      </c>
      <c r="AE36" s="4">
        <v>7</v>
      </c>
      <c r="AF36" s="4" t="s">
        <v>81</v>
      </c>
      <c r="AG36" s="4">
        <f t="shared" si="8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25">
      <c r="A37" s="4" t="s">
        <v>82</v>
      </c>
      <c r="B37" s="4" t="s">
        <v>66</v>
      </c>
      <c r="C37" s="4">
        <v>25.916</v>
      </c>
      <c r="D37" s="4">
        <v>9.2759999999999998</v>
      </c>
      <c r="E37" s="4"/>
      <c r="F37" s="4">
        <v>31.146000000000001</v>
      </c>
      <c r="G37" s="7">
        <v>1</v>
      </c>
      <c r="H37" s="4">
        <v>150</v>
      </c>
      <c r="I37" s="4">
        <v>8786928</v>
      </c>
      <c r="J37" s="4"/>
      <c r="K37" s="4"/>
      <c r="L37" s="4">
        <f t="shared" si="2"/>
        <v>0</v>
      </c>
      <c r="M37" s="4"/>
      <c r="N37" s="4"/>
      <c r="O37" s="4">
        <v>0</v>
      </c>
      <c r="P37" s="4">
        <f t="shared" si="3"/>
        <v>0</v>
      </c>
      <c r="Q37" s="9"/>
      <c r="R37" s="9">
        <f t="shared" si="9"/>
        <v>0</v>
      </c>
      <c r="S37" s="9">
        <f>IFERROR(VLOOKUP(A37,заказ!A:B,2,0),0)</f>
        <v>0</v>
      </c>
      <c r="T37" s="9"/>
      <c r="U37" s="4"/>
      <c r="V37" s="4" t="e">
        <f t="shared" si="7"/>
        <v>#DIV/0!</v>
      </c>
      <c r="W37" s="4" t="e">
        <f t="shared" si="4"/>
        <v>#DIV/0!</v>
      </c>
      <c r="X37" s="4">
        <v>1.046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29" t="s">
        <v>102</v>
      </c>
      <c r="AG37" s="4">
        <f t="shared" si="8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5.75" thickBot="1" x14ac:dyDescent="0.3">
      <c r="A38" s="4" t="s">
        <v>83</v>
      </c>
      <c r="B38" s="4" t="s">
        <v>35</v>
      </c>
      <c r="C38" s="4">
        <v>4</v>
      </c>
      <c r="D38" s="4"/>
      <c r="E38" s="4">
        <v>6</v>
      </c>
      <c r="F38" s="4">
        <v>-2</v>
      </c>
      <c r="G38" s="7">
        <v>0.14000000000000001</v>
      </c>
      <c r="H38" s="4">
        <v>180</v>
      </c>
      <c r="I38" s="4">
        <v>9988377</v>
      </c>
      <c r="J38" s="4"/>
      <c r="K38" s="4">
        <v>19</v>
      </c>
      <c r="L38" s="4">
        <f t="shared" si="2"/>
        <v>-13</v>
      </c>
      <c r="M38" s="4"/>
      <c r="N38" s="4"/>
      <c r="O38" s="4">
        <v>128</v>
      </c>
      <c r="P38" s="4">
        <f t="shared" si="3"/>
        <v>1.2</v>
      </c>
      <c r="Q38" s="9"/>
      <c r="R38" s="9">
        <f t="shared" si="9"/>
        <v>0</v>
      </c>
      <c r="S38" s="9">
        <f>IFERROR(VLOOKUP(A38,заказ!A:B,2,0),0)</f>
        <v>0</v>
      </c>
      <c r="T38" s="9"/>
      <c r="U38" s="4"/>
      <c r="V38" s="4">
        <f t="shared" si="7"/>
        <v>105</v>
      </c>
      <c r="W38" s="4">
        <f t="shared" si="4"/>
        <v>105</v>
      </c>
      <c r="X38" s="4">
        <v>8.4</v>
      </c>
      <c r="Y38" s="4">
        <v>0.6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 t="s">
        <v>84</v>
      </c>
      <c r="AG38" s="4">
        <f t="shared" si="8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12" t="s">
        <v>85</v>
      </c>
      <c r="B39" s="13" t="s">
        <v>35</v>
      </c>
      <c r="C39" s="13">
        <v>-50</v>
      </c>
      <c r="D39" s="13"/>
      <c r="E39" s="13">
        <v>37</v>
      </c>
      <c r="F39" s="14">
        <v>-87</v>
      </c>
      <c r="G39" s="7">
        <v>0.2</v>
      </c>
      <c r="H39" s="4">
        <v>120</v>
      </c>
      <c r="I39" s="4" t="s">
        <v>86</v>
      </c>
      <c r="J39" s="4"/>
      <c r="K39" s="4">
        <v>60</v>
      </c>
      <c r="L39" s="4">
        <f t="shared" si="2"/>
        <v>-23</v>
      </c>
      <c r="M39" s="4"/>
      <c r="N39" s="4"/>
      <c r="O39" s="4">
        <v>320</v>
      </c>
      <c r="P39" s="4">
        <f t="shared" si="3"/>
        <v>7.4</v>
      </c>
      <c r="Q39" s="9">
        <f>20*(P39+P40)-O39-O40-F39-F40</f>
        <v>25</v>
      </c>
      <c r="R39" s="9">
        <f>T39</f>
        <v>50</v>
      </c>
      <c r="S39" s="9">
        <f>IFERROR(VLOOKUP(A39,заказ!A:B,2,0),0)</f>
        <v>50</v>
      </c>
      <c r="T39" s="9">
        <v>50</v>
      </c>
      <c r="U39" s="4" t="s">
        <v>104</v>
      </c>
      <c r="V39" s="4">
        <f t="shared" si="7"/>
        <v>38.243243243243242</v>
      </c>
      <c r="W39" s="4">
        <f t="shared" si="4"/>
        <v>31.486486486486484</v>
      </c>
      <c r="X39" s="4">
        <v>10</v>
      </c>
      <c r="Y39" s="4">
        <v>10</v>
      </c>
      <c r="Z39" s="4">
        <v>10</v>
      </c>
      <c r="AA39" s="4">
        <v>6</v>
      </c>
      <c r="AB39" s="4">
        <v>6</v>
      </c>
      <c r="AC39" s="4">
        <v>6</v>
      </c>
      <c r="AD39" s="4">
        <v>8</v>
      </c>
      <c r="AE39" s="4">
        <v>8.6</v>
      </c>
      <c r="AF39" s="4" t="s">
        <v>87</v>
      </c>
      <c r="AG39" s="4">
        <f t="shared" si="8"/>
        <v>10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5.75" thickBot="1" x14ac:dyDescent="0.3">
      <c r="A40" s="15" t="s">
        <v>88</v>
      </c>
      <c r="B40" s="16" t="s">
        <v>35</v>
      </c>
      <c r="C40" s="16">
        <v>140</v>
      </c>
      <c r="D40" s="16">
        <v>3</v>
      </c>
      <c r="E40" s="16">
        <v>50</v>
      </c>
      <c r="F40" s="17">
        <v>90</v>
      </c>
      <c r="G40" s="18">
        <v>0</v>
      </c>
      <c r="H40" s="19" t="e">
        <v>#N/A</v>
      </c>
      <c r="I40" s="19" t="s">
        <v>62</v>
      </c>
      <c r="J40" s="19" t="s">
        <v>85</v>
      </c>
      <c r="K40" s="19">
        <v>55</v>
      </c>
      <c r="L40" s="19">
        <f t="shared" si="2"/>
        <v>-5</v>
      </c>
      <c r="M40" s="19"/>
      <c r="N40" s="19"/>
      <c r="O40" s="19">
        <v>0</v>
      </c>
      <c r="P40" s="19">
        <f t="shared" si="3"/>
        <v>10</v>
      </c>
      <c r="Q40" s="20"/>
      <c r="R40" s="9">
        <f t="shared" si="9"/>
        <v>0</v>
      </c>
      <c r="S40" s="9">
        <f>IFERROR(VLOOKUP(A40,заказ!A:B,2,0),0)</f>
        <v>0</v>
      </c>
      <c r="T40" s="20"/>
      <c r="U40" s="19"/>
      <c r="V40" s="4">
        <f t="shared" si="7"/>
        <v>9</v>
      </c>
      <c r="W40" s="19">
        <f t="shared" si="4"/>
        <v>9</v>
      </c>
      <c r="X40" s="19">
        <v>13.6</v>
      </c>
      <c r="Y40" s="19">
        <v>4.8</v>
      </c>
      <c r="Z40" s="19">
        <v>5.6</v>
      </c>
      <c r="AA40" s="19">
        <v>5.2</v>
      </c>
      <c r="AB40" s="19">
        <v>11</v>
      </c>
      <c r="AC40" s="19">
        <v>5.4</v>
      </c>
      <c r="AD40" s="19">
        <v>6</v>
      </c>
      <c r="AE40" s="19">
        <v>9.6</v>
      </c>
      <c r="AF40" s="19"/>
      <c r="AG40" s="4">
        <f t="shared" si="8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12" t="s">
        <v>89</v>
      </c>
      <c r="B41" s="13" t="s">
        <v>66</v>
      </c>
      <c r="C41" s="13"/>
      <c r="D41" s="13">
        <v>81.242000000000004</v>
      </c>
      <c r="E41" s="13"/>
      <c r="F41" s="14">
        <v>81.242000000000004</v>
      </c>
      <c r="G41" s="7">
        <v>1</v>
      </c>
      <c r="H41" s="4">
        <v>120</v>
      </c>
      <c r="I41" s="4" t="s">
        <v>90</v>
      </c>
      <c r="J41" s="4"/>
      <c r="K41" s="4"/>
      <c r="L41" s="4">
        <f t="shared" si="2"/>
        <v>0</v>
      </c>
      <c r="M41" s="4"/>
      <c r="N41" s="4"/>
      <c r="O41" s="4">
        <v>0</v>
      </c>
      <c r="P41" s="4">
        <f t="shared" si="3"/>
        <v>0</v>
      </c>
      <c r="Q41" s="9"/>
      <c r="R41" s="9">
        <f t="shared" si="9"/>
        <v>0</v>
      </c>
      <c r="S41" s="9">
        <f>IFERROR(VLOOKUP(A41,заказ!A:B,2,0),0)</f>
        <v>0</v>
      </c>
      <c r="T41" s="9"/>
      <c r="U41" s="4"/>
      <c r="V41" s="4" t="e">
        <f t="shared" si="7"/>
        <v>#DIV/0!</v>
      </c>
      <c r="W41" s="4" t="e">
        <f t="shared" si="4"/>
        <v>#DIV/0!</v>
      </c>
      <c r="X41" s="4">
        <v>0</v>
      </c>
      <c r="Y41" s="4">
        <v>0</v>
      </c>
      <c r="Z41" s="4">
        <v>3.2044000000000001</v>
      </c>
      <c r="AA41" s="4">
        <v>0</v>
      </c>
      <c r="AB41" s="4">
        <v>1.9683999999999999</v>
      </c>
      <c r="AC41" s="4">
        <v>0</v>
      </c>
      <c r="AD41" s="4">
        <v>2.6019999999999999</v>
      </c>
      <c r="AE41" s="4">
        <v>2.5762</v>
      </c>
      <c r="AF41" s="4" t="s">
        <v>91</v>
      </c>
      <c r="AG41" s="4">
        <f t="shared" si="8"/>
        <v>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21" t="s">
        <v>92</v>
      </c>
      <c r="B42" s="22" t="s">
        <v>66</v>
      </c>
      <c r="C42" s="22">
        <v>-3</v>
      </c>
      <c r="D42" s="22"/>
      <c r="E42" s="22"/>
      <c r="F42" s="23">
        <v>-3</v>
      </c>
      <c r="G42" s="18">
        <v>0</v>
      </c>
      <c r="H42" s="19" t="e">
        <v>#N/A</v>
      </c>
      <c r="I42" s="19" t="s">
        <v>62</v>
      </c>
      <c r="J42" s="19" t="s">
        <v>89</v>
      </c>
      <c r="K42" s="19"/>
      <c r="L42" s="19">
        <f t="shared" si="2"/>
        <v>0</v>
      </c>
      <c r="M42" s="19"/>
      <c r="N42" s="19"/>
      <c r="O42" s="19">
        <v>0</v>
      </c>
      <c r="P42" s="19">
        <f t="shared" si="3"/>
        <v>0</v>
      </c>
      <c r="Q42" s="20"/>
      <c r="R42" s="9">
        <f t="shared" si="9"/>
        <v>0</v>
      </c>
      <c r="S42" s="9">
        <f>IFERROR(VLOOKUP(A42,заказ!A:B,2,0),0)</f>
        <v>0</v>
      </c>
      <c r="T42" s="20"/>
      <c r="U42" s="19"/>
      <c r="V42" s="4" t="e">
        <f t="shared" si="7"/>
        <v>#DIV/0!</v>
      </c>
      <c r="W42" s="19" t="e">
        <f t="shared" si="4"/>
        <v>#DIV/0!</v>
      </c>
      <c r="X42" s="19">
        <v>0.6</v>
      </c>
      <c r="Y42" s="19">
        <v>0.624</v>
      </c>
      <c r="Z42" s="19">
        <v>0</v>
      </c>
      <c r="AA42" s="19">
        <v>1.2787999999999999</v>
      </c>
      <c r="AB42" s="19">
        <v>0</v>
      </c>
      <c r="AC42" s="19">
        <v>0</v>
      </c>
      <c r="AD42" s="19">
        <v>0</v>
      </c>
      <c r="AE42" s="19">
        <v>0</v>
      </c>
      <c r="AF42" s="19"/>
      <c r="AG42" s="4">
        <f t="shared" si="8"/>
        <v>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5.75" thickBot="1" x14ac:dyDescent="0.3">
      <c r="A43" s="15" t="s">
        <v>93</v>
      </c>
      <c r="B43" s="16" t="s">
        <v>66</v>
      </c>
      <c r="C43" s="16">
        <v>47.77</v>
      </c>
      <c r="D43" s="16"/>
      <c r="E43" s="16">
        <v>12.82</v>
      </c>
      <c r="F43" s="17">
        <v>34.950000000000003</v>
      </c>
      <c r="G43" s="18">
        <v>0</v>
      </c>
      <c r="H43" s="19" t="e">
        <v>#N/A</v>
      </c>
      <c r="I43" s="19" t="s">
        <v>62</v>
      </c>
      <c r="J43" s="19" t="s">
        <v>89</v>
      </c>
      <c r="K43" s="19">
        <v>10</v>
      </c>
      <c r="L43" s="19">
        <f t="shared" si="2"/>
        <v>2.8200000000000003</v>
      </c>
      <c r="M43" s="19"/>
      <c r="N43" s="19"/>
      <c r="O43" s="19">
        <v>0</v>
      </c>
      <c r="P43" s="19">
        <f t="shared" si="3"/>
        <v>2.5640000000000001</v>
      </c>
      <c r="Q43" s="20"/>
      <c r="R43" s="9">
        <f t="shared" si="9"/>
        <v>0</v>
      </c>
      <c r="S43" s="9">
        <f>IFERROR(VLOOKUP(A43,заказ!A:B,2,0),0)</f>
        <v>0</v>
      </c>
      <c r="T43" s="20"/>
      <c r="U43" s="19"/>
      <c r="V43" s="4">
        <f t="shared" si="7"/>
        <v>13.631045241809673</v>
      </c>
      <c r="W43" s="19">
        <f t="shared" si="4"/>
        <v>13.631045241809673</v>
      </c>
      <c r="X43" s="19">
        <v>0</v>
      </c>
      <c r="Y43" s="19">
        <v>7.5236000000000001</v>
      </c>
      <c r="Z43" s="19">
        <v>1.2336</v>
      </c>
      <c r="AA43" s="19">
        <v>1.2072000000000001</v>
      </c>
      <c r="AB43" s="19">
        <v>0</v>
      </c>
      <c r="AC43" s="19">
        <v>1.3788</v>
      </c>
      <c r="AD43" s="19">
        <v>0</v>
      </c>
      <c r="AE43" s="19">
        <v>0</v>
      </c>
      <c r="AF43" s="19"/>
      <c r="AG43" s="4">
        <f t="shared" si="8"/>
        <v>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12" t="s">
        <v>94</v>
      </c>
      <c r="B44" s="13" t="s">
        <v>35</v>
      </c>
      <c r="C44" s="13"/>
      <c r="D44" s="13"/>
      <c r="E44" s="13"/>
      <c r="F44" s="14"/>
      <c r="G44" s="7">
        <v>0.2</v>
      </c>
      <c r="H44" s="4">
        <v>120</v>
      </c>
      <c r="I44" s="4" t="s">
        <v>95</v>
      </c>
      <c r="J44" s="4"/>
      <c r="K44" s="4"/>
      <c r="L44" s="4">
        <f t="shared" si="2"/>
        <v>0</v>
      </c>
      <c r="M44" s="4"/>
      <c r="N44" s="4"/>
      <c r="O44" s="4">
        <v>150</v>
      </c>
      <c r="P44" s="4">
        <f t="shared" si="3"/>
        <v>0</v>
      </c>
      <c r="Q44" s="9">
        <f>20*(P44+P45)-O44-O45-F44-F45</f>
        <v>69</v>
      </c>
      <c r="R44" s="9">
        <f>T44</f>
        <v>80</v>
      </c>
      <c r="S44" s="9">
        <f>IFERROR(VLOOKUP(A44,заказ!A:B,2,0),0)</f>
        <v>80</v>
      </c>
      <c r="T44" s="9">
        <v>80</v>
      </c>
      <c r="U44" s="4" t="s">
        <v>104</v>
      </c>
      <c r="V44" s="4" t="e">
        <f t="shared" si="7"/>
        <v>#DIV/0!</v>
      </c>
      <c r="W44" s="4" t="e">
        <f t="shared" si="4"/>
        <v>#DIV/0!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 t="s">
        <v>81</v>
      </c>
      <c r="AG44" s="4">
        <f t="shared" si="8"/>
        <v>16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5.75" thickBot="1" x14ac:dyDescent="0.3">
      <c r="A45" s="15" t="s">
        <v>96</v>
      </c>
      <c r="B45" s="16" t="s">
        <v>35</v>
      </c>
      <c r="C45" s="16">
        <v>70</v>
      </c>
      <c r="D45" s="16">
        <v>213</v>
      </c>
      <c r="E45" s="16">
        <v>100</v>
      </c>
      <c r="F45" s="17">
        <v>181</v>
      </c>
      <c r="G45" s="18">
        <v>0</v>
      </c>
      <c r="H45" s="19" t="e">
        <v>#N/A</v>
      </c>
      <c r="I45" s="19" t="s">
        <v>62</v>
      </c>
      <c r="J45" s="19" t="s">
        <v>94</v>
      </c>
      <c r="K45" s="19">
        <v>103</v>
      </c>
      <c r="L45" s="19">
        <f t="shared" si="2"/>
        <v>-3</v>
      </c>
      <c r="M45" s="19"/>
      <c r="N45" s="19"/>
      <c r="O45" s="19">
        <v>0</v>
      </c>
      <c r="P45" s="19">
        <f t="shared" si="3"/>
        <v>20</v>
      </c>
      <c r="Q45" s="20"/>
      <c r="R45" s="9">
        <f t="shared" si="9"/>
        <v>0</v>
      </c>
      <c r="S45" s="9">
        <f>IFERROR(VLOOKUP(A45,заказ!A:B,2,0),0)</f>
        <v>0</v>
      </c>
      <c r="T45" s="20"/>
      <c r="U45" s="19"/>
      <c r="V45" s="4">
        <f t="shared" si="7"/>
        <v>9.0500000000000007</v>
      </c>
      <c r="W45" s="19">
        <f t="shared" si="4"/>
        <v>9.0500000000000007</v>
      </c>
      <c r="X45" s="19">
        <v>24</v>
      </c>
      <c r="Y45" s="19">
        <v>21.6</v>
      </c>
      <c r="Z45" s="19">
        <v>16.600000000000001</v>
      </c>
      <c r="AA45" s="19">
        <v>11.2</v>
      </c>
      <c r="AB45" s="19">
        <v>19.600000000000001</v>
      </c>
      <c r="AC45" s="19">
        <v>16.600000000000001</v>
      </c>
      <c r="AD45" s="19">
        <v>12.2</v>
      </c>
      <c r="AE45" s="19">
        <v>20</v>
      </c>
      <c r="AF45" s="19"/>
      <c r="AG45" s="4">
        <f t="shared" si="8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12" t="s">
        <v>97</v>
      </c>
      <c r="B46" s="13" t="s">
        <v>66</v>
      </c>
      <c r="C46" s="13"/>
      <c r="D46" s="13"/>
      <c r="E46" s="13"/>
      <c r="F46" s="14"/>
      <c r="G46" s="7">
        <v>1</v>
      </c>
      <c r="H46" s="4">
        <v>120</v>
      </c>
      <c r="I46" s="4" t="s">
        <v>98</v>
      </c>
      <c r="J46" s="4"/>
      <c r="K46" s="4"/>
      <c r="L46" s="4">
        <f t="shared" si="2"/>
        <v>0</v>
      </c>
      <c r="M46" s="4"/>
      <c r="N46" s="4"/>
      <c r="O46" s="4">
        <v>240</v>
      </c>
      <c r="P46" s="4">
        <f t="shared" si="3"/>
        <v>0</v>
      </c>
      <c r="Q46" s="9">
        <f>20*(P46+P47)-O46-O47-F46-F47</f>
        <v>267.98400000000004</v>
      </c>
      <c r="R46" s="9">
        <f>T46</f>
        <v>340</v>
      </c>
      <c r="S46" s="9">
        <f>IFERROR(VLOOKUP(A46,заказ!A:B,2,0),0)</f>
        <v>345</v>
      </c>
      <c r="T46" s="9">
        <v>340</v>
      </c>
      <c r="U46" s="4" t="s">
        <v>104</v>
      </c>
      <c r="V46" s="4" t="e">
        <f t="shared" si="7"/>
        <v>#DIV/0!</v>
      </c>
      <c r="W46" s="4" t="e">
        <f t="shared" si="4"/>
        <v>#DIV/0!</v>
      </c>
      <c r="X46" s="4">
        <v>0</v>
      </c>
      <c r="Y46" s="4">
        <v>0.72320000000000007</v>
      </c>
      <c r="Z46" s="4">
        <v>11.948399999999999</v>
      </c>
      <c r="AA46" s="4">
        <v>4.8704000000000001</v>
      </c>
      <c r="AB46" s="4">
        <v>7.1763999999999992</v>
      </c>
      <c r="AC46" s="4">
        <v>7.2352000000000007</v>
      </c>
      <c r="AD46" s="4">
        <v>9.1239999999999988</v>
      </c>
      <c r="AE46" s="4">
        <v>19.922799999999999</v>
      </c>
      <c r="AF46" s="4" t="s">
        <v>99</v>
      </c>
      <c r="AG46" s="4">
        <f t="shared" si="8"/>
        <v>340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ht="15.75" thickBot="1" x14ac:dyDescent="0.3">
      <c r="A47" s="15" t="s">
        <v>100</v>
      </c>
      <c r="B47" s="16" t="s">
        <v>66</v>
      </c>
      <c r="C47" s="16">
        <v>171.964</v>
      </c>
      <c r="D47" s="16"/>
      <c r="E47" s="16">
        <v>135.286</v>
      </c>
      <c r="F47" s="17">
        <v>33.159999999999997</v>
      </c>
      <c r="G47" s="18">
        <v>0</v>
      </c>
      <c r="H47" s="19" t="e">
        <v>#N/A</v>
      </c>
      <c r="I47" s="19" t="s">
        <v>62</v>
      </c>
      <c r="J47" s="19" t="s">
        <v>97</v>
      </c>
      <c r="K47" s="19">
        <v>136.31</v>
      </c>
      <c r="L47" s="19">
        <f t="shared" si="2"/>
        <v>-1.0240000000000009</v>
      </c>
      <c r="M47" s="19"/>
      <c r="N47" s="19"/>
      <c r="O47" s="19">
        <v>0</v>
      </c>
      <c r="P47" s="19">
        <f t="shared" si="3"/>
        <v>27.057200000000002</v>
      </c>
      <c r="Q47" s="20"/>
      <c r="R47" s="9">
        <f t="shared" si="9"/>
        <v>0</v>
      </c>
      <c r="S47" s="9">
        <f>IFERROR(VLOOKUP(A47,заказ!A:B,2,0),0)</f>
        <v>0</v>
      </c>
      <c r="T47" s="20"/>
      <c r="U47" s="19"/>
      <c r="V47" s="4">
        <f t="shared" si="7"/>
        <v>1.2255517939772036</v>
      </c>
      <c r="W47" s="19">
        <f t="shared" si="4"/>
        <v>1.2255517939772036</v>
      </c>
      <c r="X47" s="19">
        <v>20.825600000000001</v>
      </c>
      <c r="Y47" s="19">
        <v>6.3643999999999998</v>
      </c>
      <c r="Z47" s="19">
        <v>5.6512000000000002</v>
      </c>
      <c r="AA47" s="19">
        <v>7.5444000000000004</v>
      </c>
      <c r="AB47" s="19">
        <v>13.962999999999999</v>
      </c>
      <c r="AC47" s="19">
        <v>23.2864</v>
      </c>
      <c r="AD47" s="19">
        <v>7.8423999999999996</v>
      </c>
      <c r="AE47" s="19">
        <v>0</v>
      </c>
      <c r="AF47" s="19"/>
      <c r="AG47" s="4">
        <f t="shared" si="8"/>
        <v>0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10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 t="s">
        <v>45</v>
      </c>
      <c r="B49" s="4" t="s">
        <v>35</v>
      </c>
      <c r="C49" s="4">
        <v>165</v>
      </c>
      <c r="D49" s="4">
        <v>44</v>
      </c>
      <c r="E49" s="4">
        <v>76</v>
      </c>
      <c r="F49" s="4">
        <v>91</v>
      </c>
      <c r="G49" s="7">
        <v>0.18</v>
      </c>
      <c r="H49" s="4">
        <v>120</v>
      </c>
      <c r="I49" s="4"/>
      <c r="J49" s="4"/>
      <c r="K49" s="4">
        <v>76</v>
      </c>
      <c r="L49" s="4">
        <f>E49-K49</f>
        <v>0</v>
      </c>
      <c r="M49" s="4"/>
      <c r="N49" s="4"/>
      <c r="O49" s="4">
        <v>300</v>
      </c>
      <c r="P49" s="4">
        <f>E49/5</f>
        <v>15.2</v>
      </c>
      <c r="Q49" s="9"/>
      <c r="R49" s="9"/>
      <c r="S49" s="9"/>
      <c r="T49" s="9"/>
      <c r="U49" s="4"/>
      <c r="V49" s="4">
        <f>(F49+O49+Q49)/P49</f>
        <v>25.723684210526319</v>
      </c>
      <c r="W49" s="4">
        <f>(F49+O49)/P49</f>
        <v>25.723684210526319</v>
      </c>
      <c r="X49" s="4">
        <v>27.4</v>
      </c>
      <c r="Y49" s="4">
        <v>22.2</v>
      </c>
      <c r="Z49" s="4">
        <v>22.6</v>
      </c>
      <c r="AA49" s="4">
        <v>25.4</v>
      </c>
      <c r="AB49" s="4">
        <v>20.6</v>
      </c>
      <c r="AC49" s="4">
        <v>18.600000000000001</v>
      </c>
      <c r="AD49" s="4">
        <v>24.8</v>
      </c>
      <c r="AE49" s="4">
        <v>12</v>
      </c>
      <c r="AF49" s="27" t="s">
        <v>101</v>
      </c>
      <c r="AG49" s="4">
        <f t="shared" si="8"/>
        <v>0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 t="s">
        <v>46</v>
      </c>
      <c r="B50" s="4" t="s">
        <v>35</v>
      </c>
      <c r="C50" s="4">
        <v>-3</v>
      </c>
      <c r="D50" s="4">
        <v>198</v>
      </c>
      <c r="E50" s="4">
        <v>20</v>
      </c>
      <c r="F50" s="4">
        <v>160</v>
      </c>
      <c r="G50" s="7">
        <v>0.18</v>
      </c>
      <c r="H50" s="4">
        <v>120</v>
      </c>
      <c r="I50" s="4"/>
      <c r="J50" s="4"/>
      <c r="K50" s="4">
        <v>28</v>
      </c>
      <c r="L50" s="4">
        <f>E50-K50</f>
        <v>-8</v>
      </c>
      <c r="M50" s="4"/>
      <c r="N50" s="4"/>
      <c r="O50" s="4">
        <v>150</v>
      </c>
      <c r="P50" s="4">
        <f>E50/5</f>
        <v>4</v>
      </c>
      <c r="Q50" s="9"/>
      <c r="R50" s="9"/>
      <c r="S50" s="9"/>
      <c r="T50" s="9"/>
      <c r="U50" s="4"/>
      <c r="V50" s="4">
        <f>(F50+O50+Q50)/P50</f>
        <v>77.5</v>
      </c>
      <c r="W50" s="4">
        <f>(F50+O50)/P50</f>
        <v>77.5</v>
      </c>
      <c r="X50" s="4">
        <v>17</v>
      </c>
      <c r="Y50" s="4">
        <v>14.8</v>
      </c>
      <c r="Z50" s="4">
        <v>7.8</v>
      </c>
      <c r="AA50" s="4">
        <v>7.6</v>
      </c>
      <c r="AB50" s="4">
        <v>11</v>
      </c>
      <c r="AC50" s="4">
        <v>12.6</v>
      </c>
      <c r="AD50" s="4">
        <v>3.4</v>
      </c>
      <c r="AE50" s="4">
        <v>6.8</v>
      </c>
      <c r="AF50" s="28" t="s">
        <v>60</v>
      </c>
      <c r="AG50" s="4">
        <f t="shared" si="8"/>
        <v>0</v>
      </c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24" t="s">
        <v>34</v>
      </c>
      <c r="B51" s="24" t="s">
        <v>35</v>
      </c>
      <c r="C51" s="24"/>
      <c r="D51" s="24"/>
      <c r="E51" s="24"/>
      <c r="F51" s="24"/>
      <c r="G51" s="25">
        <v>0</v>
      </c>
      <c r="H51" s="24"/>
      <c r="I51" s="24">
        <v>4421577</v>
      </c>
      <c r="J51" s="24"/>
      <c r="K51" s="24"/>
      <c r="L51" s="24">
        <f>E51-K51</f>
        <v>0</v>
      </c>
      <c r="M51" s="24"/>
      <c r="N51" s="24"/>
      <c r="O51" s="24"/>
      <c r="P51" s="24">
        <f>E51/5</f>
        <v>0</v>
      </c>
      <c r="Q51" s="26"/>
      <c r="R51" s="26"/>
      <c r="S51" s="26"/>
      <c r="T51" s="26"/>
      <c r="U51" s="24"/>
      <c r="V51" s="24" t="e">
        <f>(F51+O51+Q51)/P51</f>
        <v>#DIV/0!</v>
      </c>
      <c r="W51" s="24" t="e">
        <f>(F51+O51)/P51</f>
        <v>#DIV/0!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 t="s">
        <v>36</v>
      </c>
      <c r="AG51" s="4">
        <f t="shared" si="8"/>
        <v>0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24" t="s">
        <v>37</v>
      </c>
      <c r="B52" s="24" t="s">
        <v>35</v>
      </c>
      <c r="C52" s="24"/>
      <c r="D52" s="24"/>
      <c r="E52" s="24"/>
      <c r="F52" s="24"/>
      <c r="G52" s="25">
        <v>0</v>
      </c>
      <c r="H52" s="24"/>
      <c r="I52" s="24">
        <v>4421584</v>
      </c>
      <c r="J52" s="24"/>
      <c r="K52" s="24"/>
      <c r="L52" s="24">
        <f>E52-K52</f>
        <v>0</v>
      </c>
      <c r="M52" s="24"/>
      <c r="N52" s="24"/>
      <c r="O52" s="24"/>
      <c r="P52" s="24">
        <f>E52/5</f>
        <v>0</v>
      </c>
      <c r="Q52" s="26"/>
      <c r="R52" s="26"/>
      <c r="S52" s="26"/>
      <c r="T52" s="26"/>
      <c r="U52" s="24"/>
      <c r="V52" s="24" t="e">
        <f>(F52+O52+Q52)/P52</f>
        <v>#DIV/0!</v>
      </c>
      <c r="W52" s="24" t="e">
        <f>(F52+O52)/P52</f>
        <v>#DIV/0!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 t="s">
        <v>36</v>
      </c>
      <c r="AG52" s="4">
        <f t="shared" si="8"/>
        <v>0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</sheetData>
  <autoFilter ref="A3:AG4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5E24-CDCD-4B91-989A-84931F7660EC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36</v>
      </c>
    </row>
    <row r="2" spans="1:2" x14ac:dyDescent="0.25">
      <c r="A2" t="s">
        <v>39</v>
      </c>
      <c r="B2">
        <v>420</v>
      </c>
    </row>
    <row r="3" spans="1:2" x14ac:dyDescent="0.25">
      <c r="A3" t="s">
        <v>40</v>
      </c>
      <c r="B3">
        <v>120</v>
      </c>
    </row>
    <row r="4" spans="1:2" x14ac:dyDescent="0.25">
      <c r="A4" t="s">
        <v>41</v>
      </c>
      <c r="B4">
        <v>576</v>
      </c>
    </row>
    <row r="5" spans="1:2" x14ac:dyDescent="0.25">
      <c r="A5" t="s">
        <v>42</v>
      </c>
      <c r="B5">
        <v>336</v>
      </c>
    </row>
    <row r="6" spans="1:2" x14ac:dyDescent="0.25">
      <c r="A6" t="s">
        <v>43</v>
      </c>
      <c r="B6">
        <v>32</v>
      </c>
    </row>
    <row r="7" spans="1:2" x14ac:dyDescent="0.25">
      <c r="A7" t="s">
        <v>44</v>
      </c>
      <c r="B7">
        <v>32</v>
      </c>
    </row>
    <row r="8" spans="1:2" x14ac:dyDescent="0.25">
      <c r="A8" t="s">
        <v>47</v>
      </c>
      <c r="B8">
        <v>32</v>
      </c>
    </row>
    <row r="9" spans="1:2" x14ac:dyDescent="0.25">
      <c r="A9" t="s">
        <v>50</v>
      </c>
      <c r="B9">
        <v>30</v>
      </c>
    </row>
    <row r="10" spans="1:2" x14ac:dyDescent="0.25">
      <c r="A10" t="s">
        <v>53</v>
      </c>
      <c r="B10">
        <v>340</v>
      </c>
    </row>
    <row r="11" spans="1:2" x14ac:dyDescent="0.25">
      <c r="A11" t="s">
        <v>54</v>
      </c>
      <c r="B11">
        <v>380</v>
      </c>
    </row>
    <row r="12" spans="1:2" x14ac:dyDescent="0.25">
      <c r="A12" t="s">
        <v>59</v>
      </c>
      <c r="B12">
        <v>220</v>
      </c>
    </row>
    <row r="13" spans="1:2" x14ac:dyDescent="0.25">
      <c r="A13" t="s">
        <v>71</v>
      </c>
      <c r="B13">
        <v>66</v>
      </c>
    </row>
    <row r="14" spans="1:2" x14ac:dyDescent="0.25">
      <c r="A14" t="s">
        <v>75</v>
      </c>
      <c r="B14">
        <v>96</v>
      </c>
    </row>
    <row r="15" spans="1:2" x14ac:dyDescent="0.25">
      <c r="A15" t="s">
        <v>76</v>
      </c>
      <c r="B15">
        <v>96</v>
      </c>
    </row>
    <row r="16" spans="1:2" x14ac:dyDescent="0.25">
      <c r="A16" t="s">
        <v>77</v>
      </c>
      <c r="B16">
        <v>50</v>
      </c>
    </row>
    <row r="17" spans="1:2" x14ac:dyDescent="0.25">
      <c r="A17" t="s">
        <v>79</v>
      </c>
      <c r="B17">
        <v>48</v>
      </c>
    </row>
    <row r="18" spans="1:2" x14ac:dyDescent="0.25">
      <c r="A18" t="s">
        <v>85</v>
      </c>
      <c r="B18">
        <v>50</v>
      </c>
    </row>
    <row r="19" spans="1:2" x14ac:dyDescent="0.25">
      <c r="A19" t="s">
        <v>94</v>
      </c>
      <c r="B19">
        <v>80</v>
      </c>
    </row>
    <row r="20" spans="1:2" x14ac:dyDescent="0.25">
      <c r="A20" t="s">
        <v>97</v>
      </c>
      <c r="B20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2025-12-23T09:41:50Z</dcterms:created>
  <dcterms:modified xsi:type="dcterms:W3CDTF">2025-12-24T10:10:55Z</dcterms:modified>
</cp:coreProperties>
</file>