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Ост СЫР филиалы\"/>
    </mc:Choice>
  </mc:AlternateContent>
  <xr:revisionPtr revIDLastSave="0" documentId="13_ncr:1_{947C3AF2-E28C-436B-9B18-9409D5EF017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Sheet!$A$3:$AF$43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6" i="1"/>
  <c r="R5" i="1" l="1"/>
  <c r="AF11" i="1"/>
  <c r="P48" i="1"/>
  <c r="U48" i="1" s="1"/>
  <c r="P6" i="1"/>
  <c r="Q6" i="1" s="1"/>
  <c r="P7" i="1"/>
  <c r="P8" i="1"/>
  <c r="Q8" i="1" s="1"/>
  <c r="P9" i="1"/>
  <c r="P10" i="1"/>
  <c r="P11" i="1"/>
  <c r="U11" i="1" s="1"/>
  <c r="P12" i="1"/>
  <c r="U12" i="1" s="1"/>
  <c r="P45" i="1"/>
  <c r="P46" i="1"/>
  <c r="U46" i="1" s="1"/>
  <c r="P13" i="1"/>
  <c r="U13" i="1" s="1"/>
  <c r="P14" i="1"/>
  <c r="P15" i="1"/>
  <c r="U15" i="1" s="1"/>
  <c r="P16" i="1"/>
  <c r="U16" i="1" s="1"/>
  <c r="P17" i="1"/>
  <c r="Q17" i="1" s="1"/>
  <c r="AF17" i="1" s="1"/>
  <c r="P18" i="1"/>
  <c r="P19" i="1"/>
  <c r="U19" i="1" s="1"/>
  <c r="P20" i="1"/>
  <c r="U20" i="1" s="1"/>
  <c r="P21" i="1"/>
  <c r="Q21" i="1" s="1"/>
  <c r="AF21" i="1" s="1"/>
  <c r="P22" i="1"/>
  <c r="Q22" i="1" s="1"/>
  <c r="AF22" i="1" s="1"/>
  <c r="P23" i="1"/>
  <c r="P24" i="1"/>
  <c r="U24" i="1" s="1"/>
  <c r="P25" i="1"/>
  <c r="P26" i="1"/>
  <c r="U26" i="1" s="1"/>
  <c r="P27" i="1"/>
  <c r="P28" i="1"/>
  <c r="U28" i="1" s="1"/>
  <c r="P29" i="1"/>
  <c r="U29" i="1" s="1"/>
  <c r="P30" i="1"/>
  <c r="U30" i="1" s="1"/>
  <c r="P31" i="1"/>
  <c r="U31" i="1" s="1"/>
  <c r="P32" i="1"/>
  <c r="U32" i="1" s="1"/>
  <c r="P33" i="1"/>
  <c r="U33" i="1" s="1"/>
  <c r="P34" i="1"/>
  <c r="U34" i="1" s="1"/>
  <c r="P35" i="1"/>
  <c r="U35" i="1" s="1"/>
  <c r="P36" i="1"/>
  <c r="P37" i="1"/>
  <c r="U37" i="1" s="1"/>
  <c r="P38" i="1"/>
  <c r="U38" i="1" s="1"/>
  <c r="P39" i="1"/>
  <c r="U39" i="1" s="1"/>
  <c r="P40" i="1"/>
  <c r="U40" i="1" s="1"/>
  <c r="P41" i="1"/>
  <c r="U41" i="1" s="1"/>
  <c r="P42" i="1"/>
  <c r="U42" i="1" s="1"/>
  <c r="P43" i="1"/>
  <c r="U43" i="1" s="1"/>
  <c r="P47" i="1"/>
  <c r="V47" i="1" s="1"/>
  <c r="L43" i="1"/>
  <c r="AF42" i="1"/>
  <c r="L42" i="1"/>
  <c r="L41" i="1"/>
  <c r="AF40" i="1"/>
  <c r="L40" i="1"/>
  <c r="L39" i="1"/>
  <c r="AF38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AF46" i="1"/>
  <c r="L46" i="1"/>
  <c r="AF45" i="1"/>
  <c r="L45" i="1"/>
  <c r="AF12" i="1"/>
  <c r="L12" i="1"/>
  <c r="L11" i="1"/>
  <c r="L10" i="1"/>
  <c r="I10" i="1"/>
  <c r="G10" i="1"/>
  <c r="L9" i="1"/>
  <c r="I9" i="1"/>
  <c r="G9" i="1"/>
  <c r="L8" i="1"/>
  <c r="I8" i="1"/>
  <c r="G8" i="1"/>
  <c r="L7" i="1"/>
  <c r="I7" i="1"/>
  <c r="G7" i="1"/>
  <c r="L6" i="1"/>
  <c r="I6" i="1"/>
  <c r="G6" i="1"/>
  <c r="L48" i="1"/>
  <c r="L47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F5" i="1"/>
  <c r="E5" i="1"/>
  <c r="AF8" i="1" l="1"/>
  <c r="AF6" i="1"/>
  <c r="U27" i="1"/>
  <c r="Q27" i="1"/>
  <c r="AF27" i="1" s="1"/>
  <c r="Q23" i="1"/>
  <c r="AF23" i="1" s="1"/>
  <c r="Q9" i="1"/>
  <c r="U9" i="1" s="1"/>
  <c r="U8" i="1"/>
  <c r="Q7" i="1"/>
  <c r="Q10" i="1"/>
  <c r="AF10" i="1" s="1"/>
  <c r="Q14" i="1"/>
  <c r="AF14" i="1" s="1"/>
  <c r="Q18" i="1"/>
  <c r="AF18" i="1" s="1"/>
  <c r="Q36" i="1"/>
  <c r="AF36" i="1" s="1"/>
  <c r="AF25" i="1"/>
  <c r="U22" i="1"/>
  <c r="AF9" i="1"/>
  <c r="U45" i="1"/>
  <c r="U21" i="1"/>
  <c r="U17" i="1"/>
  <c r="L5" i="1"/>
  <c r="V40" i="1"/>
  <c r="V32" i="1"/>
  <c r="V25" i="1"/>
  <c r="V17" i="1"/>
  <c r="V11" i="1"/>
  <c r="U47" i="1"/>
  <c r="V36" i="1"/>
  <c r="V21" i="1"/>
  <c r="V13" i="1"/>
  <c r="V7" i="1"/>
  <c r="V42" i="1"/>
  <c r="V38" i="1"/>
  <c r="V34" i="1"/>
  <c r="V30" i="1"/>
  <c r="V27" i="1"/>
  <c r="V23" i="1"/>
  <c r="V19" i="1"/>
  <c r="V15" i="1"/>
  <c r="V45" i="1"/>
  <c r="V9" i="1"/>
  <c r="V48" i="1"/>
  <c r="P5" i="1"/>
  <c r="V43" i="1"/>
  <c r="V41" i="1"/>
  <c r="V39" i="1"/>
  <c r="V37" i="1"/>
  <c r="V35" i="1"/>
  <c r="V33" i="1"/>
  <c r="V31" i="1"/>
  <c r="V29" i="1"/>
  <c r="V28" i="1"/>
  <c r="V26" i="1"/>
  <c r="V24" i="1"/>
  <c r="V22" i="1"/>
  <c r="V20" i="1"/>
  <c r="V18" i="1"/>
  <c r="V16" i="1"/>
  <c r="V14" i="1"/>
  <c r="V46" i="1"/>
  <c r="V12" i="1"/>
  <c r="V10" i="1"/>
  <c r="V8" i="1"/>
  <c r="V6" i="1"/>
  <c r="U6" i="1"/>
  <c r="U18" i="1" l="1"/>
  <c r="Q5" i="1"/>
  <c r="U10" i="1"/>
  <c r="AF7" i="1"/>
  <c r="AF5" i="1" s="1"/>
  <c r="U7" i="1"/>
  <c r="U23" i="1"/>
  <c r="U14" i="1"/>
  <c r="U36" i="1"/>
  <c r="U25" i="1"/>
</calcChain>
</file>

<file path=xl/sharedStrings.xml><?xml version="1.0" encoding="utf-8"?>
<sst xmlns="http://schemas.openxmlformats.org/spreadsheetml/2006/main" count="184" uniqueCount="97">
  <si>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</si>
  <si>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</si>
  <si>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</si>
  <si>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</si>
  <si>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</si>
  <si>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</si>
  <si>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</si>
  <si>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</si>
  <si>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</si>
  <si>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</si>
  <si>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</si>
  <si>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</si>
  <si>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</si>
  <si>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</si>
  <si>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</si>
  <si>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</si>
  <si>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</si>
  <si>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</si>
  <si>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</si>
  <si>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</si>
  <si>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</si>
  <si>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</si>
  <si>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</si>
  <si>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</si>
  <si>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</si>
  <si>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</si>
  <si>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</si>
  <si>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</si>
  <si>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</si>
  <si>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</si>
  <si>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</si>
  <si>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</si>
  <si>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</si>
  <si>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</si>
  <si>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</si>
  <si>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</si>
  <si>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</si>
  <si>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</si>
  <si>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</si>
  <si>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</si>
  <si>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</si>
  <si>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</si>
  <si>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</si>
  <si>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нужно увеличить продажи!!!</t>
  </si>
  <si>
    <t>9988445 Плавленый Сыр 45%"С грибами" СТМ"ПапаМожет" 180 гр  Останкино</t>
  </si>
  <si>
    <t>Масло "Папа может" 82,5% 180гр  Останкино</t>
  </si>
  <si>
    <t>нужно увеличить продажи / с 13,08,25 заказываем для ОП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</si>
  <si>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</si>
  <si>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</si>
  <si>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</si>
  <si>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</si>
  <si>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</si>
  <si>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</si>
  <si>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</si>
  <si>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</si>
  <si>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нужно увеличить продажи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</si>
  <si>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</si>
  <si>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</si>
  <si>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</si>
  <si>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</si>
  <si>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</si>
  <si>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</si>
  <si>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</si>
  <si>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</si>
  <si>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</si>
  <si>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</si>
  <si>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</si>
  <si>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</si>
  <si>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</si>
  <si>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</si>
  <si>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</si>
  <si>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</si>
  <si>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</si>
  <si>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</si>
  <si>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</si>
  <si>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</si>
  <si>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</si>
  <si>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</si>
  <si>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</si>
  <si>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</si>
  <si>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</si>
  <si>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170 кг распродали через акционное скю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</si>
  <si>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</si>
  <si>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</si>
  <si>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</si>
  <si>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</si>
  <si>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</si>
  <si>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</si>
  <si>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</si>
  <si>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</t>
  </si>
  <si>
    <t>Сыч/Прод Коровино Тильзитер Оригин 50% ВЕС НОВАЯ (5 кг брус) СЗМЖ  ОСТАНКИНО</t>
  </si>
  <si>
    <t>мин - 28шт / с 13,08,25 заказываем для ОП</t>
  </si>
  <si>
    <t>вывод</t>
  </si>
  <si>
    <t>итого</t>
  </si>
  <si>
    <t>заказ</t>
  </si>
  <si>
    <t>05,01,</t>
  </si>
  <si>
    <t>дубль / 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</si>
</sst>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5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3,12,25%20&#1073;&#1088;&#1088;&#1089;&#1095;%20&#1086;&#1089;&#1090;%20&#1089;&#1099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2752.8479999999995</v>
          </cell>
          <cell r="F5">
            <v>7271.5580000000009</v>
          </cell>
        </row>
        <row r="6">
          <cell r="A6" t="str">
            <v>6948249 Майонезный соус провансаль 824,5гр деликатес.с массовой долей жирн.25% Коровино Останкино</v>
          </cell>
          <cell r="B6" t="str">
            <v>шт</v>
          </cell>
          <cell r="D6">
            <v>48</v>
          </cell>
          <cell r="E6">
            <v>3</v>
          </cell>
          <cell r="F6">
            <v>45</v>
          </cell>
          <cell r="G6">
            <v>0.82450000000000001</v>
          </cell>
          <cell r="I6">
            <v>6948249</v>
          </cell>
        </row>
        <row r="7">
          <cell r="A7" t="str">
            <v>6948256 Майонез провансаль классич.оливковый Папа может 372гр с массовой долей жирн. 67% Останкино</v>
          </cell>
          <cell r="B7" t="str">
            <v>шт</v>
          </cell>
          <cell r="D7">
            <v>408</v>
          </cell>
          <cell r="E7">
            <v>68</v>
          </cell>
          <cell r="F7">
            <v>340</v>
          </cell>
          <cell r="G7">
            <v>0.372</v>
          </cell>
          <cell r="I7">
            <v>6948256</v>
          </cell>
        </row>
        <row r="8">
          <cell r="A8" t="str">
            <v>6948263 Майонез провансаль классич.оливковый Папа может 744гр с массовой долей жирн. 67% Останкино</v>
          </cell>
          <cell r="B8" t="str">
            <v>шт</v>
          </cell>
          <cell r="D8">
            <v>300</v>
          </cell>
          <cell r="E8">
            <v>30</v>
          </cell>
          <cell r="F8">
            <v>270</v>
          </cell>
          <cell r="G8">
            <v>0.74399999999999999</v>
          </cell>
          <cell r="I8">
            <v>6948263</v>
          </cell>
        </row>
        <row r="9">
          <cell r="A9" t="str">
            <v>6948270 Майонез провансаль классич.Папа может 372гр с массовой долей жирн. 67% Останкино</v>
          </cell>
          <cell r="B9" t="str">
            <v>шт</v>
          </cell>
          <cell r="D9">
            <v>408</v>
          </cell>
          <cell r="E9">
            <v>74</v>
          </cell>
          <cell r="F9">
            <v>334</v>
          </cell>
          <cell r="G9">
            <v>0.372</v>
          </cell>
          <cell r="I9">
            <v>6948270</v>
          </cell>
        </row>
        <row r="10">
          <cell r="A10" t="str">
            <v>6948287 Майонез провансаль классич.Папа может 744гр с массовой долей жирн. 67% Останкино</v>
          </cell>
          <cell r="B10" t="str">
            <v>шт</v>
          </cell>
          <cell r="D10">
            <v>300</v>
          </cell>
          <cell r="E10">
            <v>47</v>
          </cell>
          <cell r="F10">
            <v>253</v>
          </cell>
          <cell r="G10">
            <v>0.74399999999999999</v>
          </cell>
          <cell r="I10">
            <v>6948287</v>
          </cell>
        </row>
        <row r="11">
          <cell r="A11" t="str">
            <v>9988438 Плавленый Сыр 45% "С ветчиной" СТМ"ПапаМожет" 180гр  Останкино</v>
          </cell>
          <cell r="B11" t="str">
            <v>шт</v>
          </cell>
          <cell r="C11">
            <v>96</v>
          </cell>
          <cell r="D11">
            <v>2</v>
          </cell>
          <cell r="E11">
            <v>34</v>
          </cell>
          <cell r="F11">
            <v>62</v>
          </cell>
          <cell r="G11">
            <v>0.18</v>
          </cell>
          <cell r="H11">
            <v>270</v>
          </cell>
          <cell r="I11">
            <v>9988438</v>
          </cell>
        </row>
        <row r="12">
          <cell r="A12" t="str">
            <v>9988445 Плавленый Сыр 45%"С грибами" СТМ"ПапаМожет" 180 гр  Останкино</v>
          </cell>
          <cell r="B12" t="str">
            <v>шт</v>
          </cell>
          <cell r="C12">
            <v>107</v>
          </cell>
          <cell r="E12">
            <v>40</v>
          </cell>
          <cell r="F12">
            <v>66</v>
          </cell>
          <cell r="G12">
            <v>0.18</v>
          </cell>
          <cell r="H12">
            <v>270</v>
          </cell>
          <cell r="I12">
            <v>9988445</v>
          </cell>
        </row>
        <row r="13">
          <cell r="A13" t="str">
            <v>Плавленый Сыр колбасный копченый 40% СТМ"ПапаМожет"400гр  Останкино</v>
          </cell>
          <cell r="B13" t="str">
            <v>шт</v>
          </cell>
          <cell r="C13">
            <v>13</v>
          </cell>
          <cell r="E13">
            <v>6</v>
          </cell>
          <cell r="F13">
            <v>7</v>
          </cell>
          <cell r="G13">
            <v>0.4</v>
          </cell>
          <cell r="H13">
            <v>270</v>
          </cell>
          <cell r="I13">
            <v>9988452</v>
          </cell>
        </row>
        <row r="14">
          <cell r="A14" t="str">
            <v>Плавленый продукт с Сыром колбасный копченый 40% СТМ "Коровино" 400гр  Останкино</v>
          </cell>
          <cell r="B14" t="str">
            <v>шт</v>
          </cell>
          <cell r="C14">
            <v>40</v>
          </cell>
          <cell r="E14">
            <v>11</v>
          </cell>
          <cell r="F14">
            <v>29</v>
          </cell>
          <cell r="G14">
            <v>0.4</v>
          </cell>
          <cell r="H14">
            <v>270</v>
          </cell>
          <cell r="I14">
            <v>9988476</v>
          </cell>
        </row>
        <row r="15">
          <cell r="A15" t="str">
            <v>Сыр "Пармезан" 40% кусок 180 гр  ОСТАНКИНО</v>
          </cell>
          <cell r="B15" t="str">
            <v>шт</v>
          </cell>
          <cell r="C15">
            <v>130</v>
          </cell>
          <cell r="D15">
            <v>66</v>
          </cell>
          <cell r="E15">
            <v>82</v>
          </cell>
          <cell r="F15">
            <v>105</v>
          </cell>
          <cell r="G15">
            <v>0.18</v>
          </cell>
          <cell r="H15">
            <v>150</v>
          </cell>
          <cell r="I15">
            <v>5034819</v>
          </cell>
        </row>
        <row r="16">
          <cell r="A16" t="str">
            <v>Сыр Боккончини копченый 40% 100 гр.  ОСТАНКИНО</v>
          </cell>
          <cell r="B16" t="str">
            <v>шт</v>
          </cell>
          <cell r="C16">
            <v>131</v>
          </cell>
          <cell r="D16">
            <v>6</v>
          </cell>
          <cell r="E16">
            <v>52</v>
          </cell>
          <cell r="F16">
            <v>74</v>
          </cell>
          <cell r="G16">
            <v>0.1</v>
          </cell>
          <cell r="H16">
            <v>90</v>
          </cell>
          <cell r="I16">
            <v>8444163</v>
          </cell>
        </row>
        <row r="17">
          <cell r="A17" t="str">
            <v>Сыр ПАПА МОЖЕТ "Гауда Голд" 45 % 180 гр (10шт) Останкино</v>
          </cell>
          <cell r="B17" t="str">
            <v>шт</v>
          </cell>
          <cell r="C17">
            <v>269</v>
          </cell>
          <cell r="D17">
            <v>76</v>
          </cell>
          <cell r="E17">
            <v>154</v>
          </cell>
          <cell r="F17">
            <v>173</v>
          </cell>
          <cell r="G17">
            <v>0.18</v>
          </cell>
          <cell r="H17">
            <v>150</v>
          </cell>
          <cell r="I17">
            <v>5038411</v>
          </cell>
        </row>
        <row r="18">
          <cell r="A18" t="str">
            <v>Сыр ПАПА МОЖЕТ "Голландский традиционный" 45% 180 гр (10шт)  Останкино</v>
          </cell>
          <cell r="B18" t="str">
            <v>шт</v>
          </cell>
          <cell r="C18">
            <v>358</v>
          </cell>
          <cell r="D18">
            <v>197</v>
          </cell>
          <cell r="E18">
            <v>171</v>
          </cell>
          <cell r="F18">
            <v>375</v>
          </cell>
          <cell r="G18">
            <v>0.18</v>
          </cell>
          <cell r="H18">
            <v>150</v>
          </cell>
          <cell r="I18">
            <v>5038459</v>
          </cell>
        </row>
        <row r="19">
          <cell r="A19" t="str">
            <v>Сыр ПАПА МОЖЕТ "Министерский" 180 г фасованный массовая  Останкино</v>
          </cell>
          <cell r="B19" t="str">
            <v>шт</v>
          </cell>
          <cell r="C19">
            <v>237</v>
          </cell>
          <cell r="D19">
            <v>5</v>
          </cell>
          <cell r="E19">
            <v>97</v>
          </cell>
          <cell r="F19">
            <v>133</v>
          </cell>
          <cell r="G19">
            <v>0.18</v>
          </cell>
          <cell r="H19">
            <v>150</v>
          </cell>
          <cell r="I19">
            <v>5038831</v>
          </cell>
        </row>
        <row r="20">
          <cell r="A20" t="str">
            <v>Сыр ПАПА МОЖЕТ "Папин завтрак"  45% 180 г  Останкино</v>
          </cell>
          <cell r="B20" t="str">
            <v>шт</v>
          </cell>
          <cell r="C20">
            <v>2</v>
          </cell>
          <cell r="D20">
            <v>160</v>
          </cell>
          <cell r="E20">
            <v>2</v>
          </cell>
          <cell r="F20">
            <v>160</v>
          </cell>
          <cell r="G20">
            <v>0.18</v>
          </cell>
          <cell r="H20">
            <v>120</v>
          </cell>
          <cell r="I20">
            <v>5038855</v>
          </cell>
        </row>
        <row r="21">
          <cell r="A21" t="str">
            <v>Сыр ПАПА МОЖЕТ "Российский традиционный"45 % 180 г Останкино</v>
          </cell>
          <cell r="B21" t="str">
            <v>шт</v>
          </cell>
          <cell r="C21">
            <v>608</v>
          </cell>
          <cell r="D21">
            <v>51</v>
          </cell>
          <cell r="E21">
            <v>235</v>
          </cell>
          <cell r="F21">
            <v>410</v>
          </cell>
          <cell r="G21">
            <v>0.18</v>
          </cell>
          <cell r="H21">
            <v>150</v>
          </cell>
          <cell r="I21">
            <v>5038435</v>
          </cell>
        </row>
        <row r="22">
          <cell r="A22" t="str">
            <v>Сыр ПАПА МОЖЕТ "Тильзитер" фасованный массовая доля жира в сухом веществе 45%, 180г  Останкино</v>
          </cell>
          <cell r="B22" t="str">
            <v>шт</v>
          </cell>
          <cell r="C22">
            <v>264</v>
          </cell>
          <cell r="D22">
            <v>25</v>
          </cell>
          <cell r="E22">
            <v>149</v>
          </cell>
          <cell r="F22">
            <v>131</v>
          </cell>
          <cell r="G22">
            <v>0.18</v>
          </cell>
          <cell r="H22">
            <v>120</v>
          </cell>
          <cell r="I22">
            <v>5038398</v>
          </cell>
        </row>
        <row r="23">
          <cell r="A23" t="str">
            <v>Сыр Папа Может "Гауда Голд" 45% (-2,5 кг брус) (6 шт)  Останкино</v>
          </cell>
          <cell r="B23" t="str">
            <v>кг</v>
          </cell>
          <cell r="G23">
            <v>1</v>
          </cell>
          <cell r="H23">
            <v>150</v>
          </cell>
          <cell r="I23">
            <v>8785242</v>
          </cell>
        </row>
        <row r="24">
          <cell r="A24" t="str">
            <v>Сыр полутвердый "Гауда" с массовой долей жира в пересчете на сухое вещество 45%,   Останкино</v>
          </cell>
          <cell r="B24" t="str">
            <v>кг</v>
          </cell>
          <cell r="C24">
            <v>58.892000000000003</v>
          </cell>
          <cell r="E24">
            <v>26.305</v>
          </cell>
          <cell r="F24">
            <v>32.332000000000001</v>
          </cell>
          <cell r="G24">
            <v>0</v>
          </cell>
          <cell r="H24" t="e">
            <v>#N/A</v>
          </cell>
          <cell r="I24" t="str">
            <v>дубль</v>
          </cell>
        </row>
        <row r="25">
          <cell r="A25" t="str">
            <v>Сыр Папа Может "Голландский традиционный" 45% (2,5кг)(6шт)  Останкино</v>
          </cell>
          <cell r="B25" t="str">
            <v>кг</v>
          </cell>
          <cell r="G25">
            <v>1</v>
          </cell>
          <cell r="H25">
            <v>150</v>
          </cell>
          <cell r="I25">
            <v>8785235</v>
          </cell>
        </row>
        <row r="26">
          <cell r="A26" t="str">
            <v>Сыр полутвердый "Голландский" с массовой долей жира в пересчете на сухое  Останкино</v>
          </cell>
          <cell r="B26" t="str">
            <v>кг</v>
          </cell>
          <cell r="C26">
            <v>89.736000000000004</v>
          </cell>
          <cell r="E26">
            <v>22.128</v>
          </cell>
          <cell r="F26">
            <v>67.608000000000004</v>
          </cell>
          <cell r="G26">
            <v>0</v>
          </cell>
          <cell r="H26" t="e">
            <v>#N/A</v>
          </cell>
          <cell r="I26" t="str">
            <v>дубль</v>
          </cell>
        </row>
        <row r="27">
          <cell r="A27" t="str">
            <v>Сыр Папа Может "Российский традиционный"  50%, вакуум  Останкино</v>
          </cell>
          <cell r="B27" t="str">
            <v>кг</v>
          </cell>
          <cell r="G27">
            <v>1</v>
          </cell>
          <cell r="H27">
            <v>120</v>
          </cell>
          <cell r="I27">
            <v>8785204</v>
          </cell>
        </row>
        <row r="28">
          <cell r="A28" t="str">
            <v>Сыр полутвердый "Российский" с массовой долей жира 50%  Останкино</v>
          </cell>
          <cell r="B28" t="str">
            <v>кг</v>
          </cell>
          <cell r="C28">
            <v>132.626</v>
          </cell>
          <cell r="D28">
            <v>6.9660000000000002</v>
          </cell>
          <cell r="E28">
            <v>91.965999999999994</v>
          </cell>
          <cell r="F28">
            <v>39.39</v>
          </cell>
          <cell r="G28">
            <v>0</v>
          </cell>
          <cell r="H28" t="e">
            <v>#N/A</v>
          </cell>
          <cell r="I28" t="str">
            <v>дубль</v>
          </cell>
        </row>
        <row r="29">
          <cell r="A29" t="str">
            <v>Сыр Сливочный со вкусом топленого молока 45% ти Папа Может, брус (2 шт)  Останкино</v>
          </cell>
          <cell r="B29" t="str">
            <v>кг</v>
          </cell>
          <cell r="C29">
            <v>192.25200000000001</v>
          </cell>
          <cell r="E29">
            <v>22.795000000000002</v>
          </cell>
          <cell r="F29">
            <v>159.41800000000001</v>
          </cell>
          <cell r="G29">
            <v>0</v>
          </cell>
          <cell r="H29">
            <v>120</v>
          </cell>
          <cell r="I29" t="str">
            <v>вывод / 5522704</v>
          </cell>
        </row>
        <row r="30">
          <cell r="A30" t="str">
            <v>4001481 Сыр Бурмакинский со вкусом топленого молока 45%( брус)  Останкино</v>
          </cell>
          <cell r="B30" t="str">
            <v>кг</v>
          </cell>
          <cell r="C30">
            <v>4.9459999999999997</v>
          </cell>
          <cell r="F30">
            <v>4.9459999999999997</v>
          </cell>
          <cell r="G30">
            <v>0</v>
          </cell>
          <cell r="H30" t="e">
            <v>#N/A</v>
          </cell>
          <cell r="I30" t="str">
            <v>дубль / вывод</v>
          </cell>
        </row>
        <row r="31">
          <cell r="A31" t="str">
            <v>Сыр Творожный с зеленью 60% Папа может 140 гр.  Останкино</v>
          </cell>
          <cell r="B31" t="str">
            <v>шт</v>
          </cell>
          <cell r="C31">
            <v>62</v>
          </cell>
          <cell r="E31">
            <v>23</v>
          </cell>
          <cell r="F31">
            <v>37</v>
          </cell>
          <cell r="G31">
            <v>0.14000000000000001</v>
          </cell>
          <cell r="H31">
            <v>180</v>
          </cell>
          <cell r="I31">
            <v>9988391</v>
          </cell>
        </row>
        <row r="32">
          <cell r="A32" t="str">
            <v>Сыр плавленный Сливочный ж.45% 180г ТМ Папа может (16шт)  Останкино</v>
          </cell>
          <cell r="B32" t="str">
            <v>шт</v>
          </cell>
          <cell r="C32">
            <v>240</v>
          </cell>
          <cell r="D32">
            <v>2</v>
          </cell>
          <cell r="E32">
            <v>56</v>
          </cell>
          <cell r="F32">
            <v>180</v>
          </cell>
          <cell r="G32">
            <v>0.18</v>
          </cell>
          <cell r="H32">
            <v>270</v>
          </cell>
          <cell r="I32">
            <v>9988681</v>
          </cell>
        </row>
        <row r="33">
          <cell r="A33" t="str">
            <v>Сыр полутвердый "Сметанковый", с масс долей жира в пересчете на сухое вещес50%, брус  Останкино</v>
          </cell>
          <cell r="B33" t="str">
            <v>кг</v>
          </cell>
          <cell r="C33">
            <v>313.06400000000002</v>
          </cell>
          <cell r="D33">
            <v>48.764000000000003</v>
          </cell>
          <cell r="E33">
            <v>157.49199999999999</v>
          </cell>
          <cell r="F33">
            <v>191.15</v>
          </cell>
          <cell r="G33">
            <v>1</v>
          </cell>
          <cell r="H33">
            <v>120</v>
          </cell>
          <cell r="I33">
            <v>8785198</v>
          </cell>
        </row>
        <row r="34">
          <cell r="A34" t="str">
            <v>Сыр рассольный жирный Чечил 45% 100 гр  ОСТАНКИНО</v>
          </cell>
          <cell r="B34" t="str">
            <v>шт</v>
          </cell>
          <cell r="C34">
            <v>194</v>
          </cell>
          <cell r="D34">
            <v>540</v>
          </cell>
          <cell r="E34">
            <v>222</v>
          </cell>
          <cell r="F34">
            <v>482</v>
          </cell>
          <cell r="G34">
            <v>0.1</v>
          </cell>
          <cell r="H34">
            <v>60</v>
          </cell>
          <cell r="I34">
            <v>8444187</v>
          </cell>
        </row>
        <row r="35">
          <cell r="A35" t="str">
            <v>Сыр рассольный жирный Чечил копченый 43% 100 гр  Останкино</v>
          </cell>
          <cell r="B35" t="str">
            <v>шт</v>
          </cell>
          <cell r="C35">
            <v>331</v>
          </cell>
          <cell r="D35">
            <v>432</v>
          </cell>
          <cell r="E35">
            <v>222</v>
          </cell>
          <cell r="F35">
            <v>522</v>
          </cell>
          <cell r="G35">
            <v>0.1</v>
          </cell>
          <cell r="H35">
            <v>90</v>
          </cell>
          <cell r="I35">
            <v>8444194</v>
          </cell>
        </row>
        <row r="36">
          <cell r="A36" t="str">
            <v>Сыр твердый "Пармезан", с масовой долей жира 35% Останкино</v>
          </cell>
          <cell r="B36" t="str">
            <v>кг</v>
          </cell>
          <cell r="G36">
            <v>0</v>
          </cell>
          <cell r="H36">
            <v>150</v>
          </cell>
          <cell r="I36">
            <v>8786928</v>
          </cell>
        </row>
        <row r="37">
          <cell r="A37" t="str">
            <v>Сыр творожный Сливочный 140 гр.  Останкино</v>
          </cell>
          <cell r="B37" t="str">
            <v>шт</v>
          </cell>
          <cell r="C37">
            <v>190</v>
          </cell>
          <cell r="E37">
            <v>19</v>
          </cell>
          <cell r="F37">
            <v>171</v>
          </cell>
          <cell r="G37">
            <v>0.14000000000000001</v>
          </cell>
          <cell r="H37">
            <v>180</v>
          </cell>
          <cell r="I37">
            <v>9988377</v>
          </cell>
        </row>
        <row r="38">
          <cell r="A38" t="str">
            <v>Сыч/Прод Коровино Российский 50% 200г СЗМЖ  Останкино</v>
          </cell>
          <cell r="B38" t="str">
            <v>шт</v>
          </cell>
          <cell r="C38">
            <v>12</v>
          </cell>
          <cell r="E38">
            <v>-1</v>
          </cell>
          <cell r="F38">
            <v>12</v>
          </cell>
          <cell r="G38">
            <v>0.2</v>
          </cell>
          <cell r="H38">
            <v>120</v>
          </cell>
          <cell r="I38" t="str">
            <v>783К798</v>
          </cell>
        </row>
        <row r="39">
          <cell r="A39" t="str">
            <v>Сыч/Прод Коровино Российский 50% 200г НОВАЯ СЗМЖ  ОСТАНКИНО</v>
          </cell>
          <cell r="B39" t="str">
            <v>шт</v>
          </cell>
          <cell r="E39">
            <v>1</v>
          </cell>
          <cell r="F39">
            <v>-1</v>
          </cell>
          <cell r="G39">
            <v>0</v>
          </cell>
          <cell r="H39" t="e">
            <v>#N/A</v>
          </cell>
          <cell r="I39" t="str">
            <v>дубль</v>
          </cell>
        </row>
        <row r="40">
          <cell r="A40" t="str">
            <v>Сыч/Прод Коровино Российский Оригин 50% ВЕС (3,5 кг)  Останкино</v>
          </cell>
          <cell r="B40" t="str">
            <v>кг</v>
          </cell>
          <cell r="C40">
            <v>38.270000000000003</v>
          </cell>
          <cell r="D40">
            <v>3.08</v>
          </cell>
          <cell r="E40">
            <v>38.270000000000003</v>
          </cell>
          <cell r="G40">
            <v>1</v>
          </cell>
          <cell r="H40">
            <v>120</v>
          </cell>
          <cell r="I40" t="str">
            <v>783К811</v>
          </cell>
        </row>
        <row r="41">
          <cell r="A41" t="str">
            <v>Сыч/Прод Коровино Тильзитер 50% 200г СЗМЖ  ОСТАНКИНО</v>
          </cell>
          <cell r="B41" t="str">
            <v>шт</v>
          </cell>
          <cell r="G41">
            <v>0.2</v>
          </cell>
          <cell r="H41">
            <v>120</v>
          </cell>
          <cell r="I41" t="str">
            <v>783К801</v>
          </cell>
        </row>
        <row r="42">
          <cell r="A42" t="str">
            <v>Сыч/Прод Коровино Тильзитер 50% 200г НОВАЯ СЗМЖ  ОСТАНКИНО</v>
          </cell>
          <cell r="B42" t="str">
            <v>шт</v>
          </cell>
          <cell r="C42">
            <v>49</v>
          </cell>
          <cell r="D42">
            <v>122</v>
          </cell>
          <cell r="E42">
            <v>50</v>
          </cell>
          <cell r="F42">
            <v>119</v>
          </cell>
          <cell r="G42">
            <v>0</v>
          </cell>
          <cell r="H42" t="e">
            <v>#N/A</v>
          </cell>
          <cell r="I42" t="str">
            <v>дубль</v>
          </cell>
        </row>
        <row r="43">
          <cell r="A43" t="str">
            <v>Сыч/Прод Коровино Тильзитер Оригин 50% ВЕС (3,5 кг брус) СЗМЖ  Останкино</v>
          </cell>
          <cell r="B43" t="str">
            <v>кг</v>
          </cell>
          <cell r="C43">
            <v>57.665999999999997</v>
          </cell>
          <cell r="D43">
            <v>3.5939999999999999</v>
          </cell>
          <cell r="E43">
            <v>72.891999999999996</v>
          </cell>
          <cell r="F43">
            <v>-11.632</v>
          </cell>
          <cell r="G43">
            <v>1</v>
          </cell>
          <cell r="H43">
            <v>120</v>
          </cell>
          <cell r="I43" t="str">
            <v>783К825</v>
          </cell>
        </row>
        <row r="44">
          <cell r="A44" t="str">
            <v>Сыч/Прод Коровино Тильзитер Оригин 50% ВЕС НОВАЯ (5 кг брус) СЗМЖ  ОСТАНКИНО</v>
          </cell>
          <cell r="B44" t="str">
            <v>кг</v>
          </cell>
          <cell r="C44">
            <v>-17.966000000000001</v>
          </cell>
          <cell r="D44">
            <v>160.31200000000001</v>
          </cell>
          <cell r="F44">
            <v>142.346</v>
          </cell>
          <cell r="G44">
            <v>0</v>
          </cell>
          <cell r="H44" t="e">
            <v>#N/A</v>
          </cell>
          <cell r="I44" t="str">
            <v>дубль</v>
          </cell>
        </row>
        <row r="46">
          <cell r="A46" t="str">
            <v>Масло "Папа может" 82,5% 180гр  Останкино</v>
          </cell>
          <cell r="B46" t="str">
            <v>шт</v>
          </cell>
          <cell r="C46">
            <v>753</v>
          </cell>
          <cell r="D46">
            <v>2</v>
          </cell>
          <cell r="E46">
            <v>449</v>
          </cell>
          <cell r="F46">
            <v>303</v>
          </cell>
          <cell r="G46">
            <v>0.18</v>
          </cell>
          <cell r="H46">
            <v>120</v>
          </cell>
        </row>
        <row r="47">
          <cell r="A47" t="str">
            <v>Масло сливочное 72,5 % 180 гр.(10 шт) СЛАВЯНА  Останкино</v>
          </cell>
          <cell r="B47" t="str">
            <v>шт</v>
          </cell>
          <cell r="C47">
            <v>1037</v>
          </cell>
          <cell r="D47">
            <v>550</v>
          </cell>
          <cell r="E47">
            <v>13</v>
          </cell>
          <cell r="F47">
            <v>1554</v>
          </cell>
          <cell r="G47">
            <v>0.18</v>
          </cell>
          <cell r="H47">
            <v>120</v>
          </cell>
        </row>
        <row r="48">
          <cell r="A48" t="str">
            <v>4421577 Спред растительно-сливочный "Сливочный вкус" 82,5% 180гр  Останкино</v>
          </cell>
          <cell r="B48" t="str">
            <v>шт</v>
          </cell>
          <cell r="C48">
            <v>73</v>
          </cell>
          <cell r="D48">
            <v>108</v>
          </cell>
          <cell r="E48">
            <v>5</v>
          </cell>
          <cell r="F48">
            <v>176</v>
          </cell>
          <cell r="G48">
            <v>0.18</v>
          </cell>
          <cell r="I48">
            <v>4421577</v>
          </cell>
        </row>
        <row r="49">
          <cell r="A49" t="str">
            <v>4421584 Спред растительно-сливочный "Сливочный вкус" 72,5% 180гр  Останкино</v>
          </cell>
          <cell r="B49" t="str">
            <v>шт</v>
          </cell>
          <cell r="C49">
            <v>131</v>
          </cell>
          <cell r="E49">
            <v>7</v>
          </cell>
          <cell r="F49">
            <v>124</v>
          </cell>
          <cell r="G49">
            <v>0.18</v>
          </cell>
          <cell r="I49">
            <v>4421584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4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I27" sqref="I2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5" width="0.42578125" customWidth="1"/>
    <col min="16" max="17" width="7" customWidth="1"/>
    <col min="18" max="18" width="7" style="27" customWidth="1"/>
    <col min="19" max="19" width="7" customWidth="1"/>
    <col min="20" max="20" width="21" customWidth="1"/>
    <col min="21" max="22" width="5" customWidth="1"/>
    <col min="23" max="30" width="6" customWidth="1"/>
    <col min="31" max="31" width="47.140625" customWidth="1"/>
    <col min="32" max="32" width="7" customWidth="1"/>
    <col min="33" max="51" width="1" customWidth="1"/>
  </cols>
  <sheetData>
    <row r="1" spans="1:51" x14ac:dyDescent="0.25">
      <c r="A1" s="4"/>
      <c r="B1" s="4"/>
      <c r="C1" s="4"/>
      <c r="D1" s="4"/>
      <c r="E1" s="4"/>
      <c r="F1" s="4"/>
      <c r="G1" s="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1" x14ac:dyDescent="0.25">
      <c r="A2" s="4"/>
      <c r="B2" s="4"/>
      <c r="C2" s="4"/>
      <c r="D2" s="4"/>
      <c r="E2" s="4"/>
      <c r="F2" s="4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93</v>
      </c>
      <c r="R3" s="2" t="s">
        <v>94</v>
      </c>
      <c r="S3" s="6" t="s">
        <v>16</v>
      </c>
      <c r="T3" s="6" t="s">
        <v>17</v>
      </c>
      <c r="U3" s="1" t="s">
        <v>18</v>
      </c>
      <c r="V3" s="1" t="s">
        <v>19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x14ac:dyDescent="0.25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 t="s">
        <v>23</v>
      </c>
      <c r="P4" s="4" t="s">
        <v>24</v>
      </c>
      <c r="Q4" s="4"/>
      <c r="R4" s="4" t="s">
        <v>95</v>
      </c>
      <c r="S4" s="4"/>
      <c r="T4" s="4"/>
      <c r="U4" s="4"/>
      <c r="V4" s="4"/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x14ac:dyDescent="0.25">
      <c r="A5" s="4"/>
      <c r="B5" s="4"/>
      <c r="C5" s="4"/>
      <c r="D5" s="4"/>
      <c r="E5" s="3">
        <f>SUM(E6:E495)</f>
        <v>1219.8949999999998</v>
      </c>
      <c r="F5" s="3">
        <f>SUM(F6:F495)</f>
        <v>2672.8510000000006</v>
      </c>
      <c r="G5" s="7"/>
      <c r="H5" s="4"/>
      <c r="I5" s="4"/>
      <c r="J5" s="4"/>
      <c r="K5" s="3">
        <f t="shared" ref="K5:S5" si="0">SUM(K6:K495)</f>
        <v>1231.9279999999997</v>
      </c>
      <c r="L5" s="3">
        <f t="shared" si="0"/>
        <v>-12.032999999999999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243.97899999999998</v>
      </c>
      <c r="Q5" s="3">
        <f t="shared" si="0"/>
        <v>2349.8790000000004</v>
      </c>
      <c r="R5" s="3">
        <f t="shared" si="0"/>
        <v>2356</v>
      </c>
      <c r="S5" s="3">
        <f t="shared" si="0"/>
        <v>0</v>
      </c>
      <c r="T5" s="4"/>
      <c r="U5" s="4"/>
      <c r="V5" s="4"/>
      <c r="W5" s="3">
        <f t="shared" ref="W5:AD5" si="1">SUM(W6:W495)</f>
        <v>84.865200000000002</v>
      </c>
      <c r="X5" s="3">
        <f t="shared" si="1"/>
        <v>103.30040000000001</v>
      </c>
      <c r="Y5" s="3">
        <f t="shared" si="1"/>
        <v>116.2834</v>
      </c>
      <c r="Z5" s="3">
        <f t="shared" si="1"/>
        <v>156.83520000000001</v>
      </c>
      <c r="AA5" s="3">
        <f t="shared" si="1"/>
        <v>148.61800000000002</v>
      </c>
      <c r="AB5" s="3">
        <f t="shared" si="1"/>
        <v>100.97140000000002</v>
      </c>
      <c r="AC5" s="3">
        <f t="shared" si="1"/>
        <v>111.83159999999999</v>
      </c>
      <c r="AD5" s="3">
        <f t="shared" si="1"/>
        <v>122.2042</v>
      </c>
      <c r="AE5" s="4"/>
      <c r="AF5" s="3">
        <f>SUM(AF6:AF495)</f>
        <v>913.01199999999994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 spans="1:51" x14ac:dyDescent="0.25">
      <c r="A6" s="4" t="s">
        <v>37</v>
      </c>
      <c r="B6" s="4" t="s">
        <v>34</v>
      </c>
      <c r="C6" s="4"/>
      <c r="D6" s="4">
        <v>48</v>
      </c>
      <c r="E6" s="4">
        <v>35</v>
      </c>
      <c r="F6" s="4">
        <v>13</v>
      </c>
      <c r="G6" s="7">
        <f>VLOOKUP(A6,[1]Sheet!$A:$I,7,0)</f>
        <v>0.82450000000000001</v>
      </c>
      <c r="H6" s="4"/>
      <c r="I6" s="4">
        <f>VLOOKUP(A6,[1]Sheet!$A:$I,9,0)</f>
        <v>6948249</v>
      </c>
      <c r="J6" s="4"/>
      <c r="K6" s="4">
        <v>33</v>
      </c>
      <c r="L6" s="4">
        <f t="shared" ref="L6:L43" si="2">E6-K6</f>
        <v>2</v>
      </c>
      <c r="M6" s="4"/>
      <c r="N6" s="4"/>
      <c r="O6" s="4"/>
      <c r="P6" s="4">
        <f t="shared" ref="P6:P43" si="3">E6/5</f>
        <v>7</v>
      </c>
      <c r="Q6" s="9">
        <f>17*P6-F6</f>
        <v>106</v>
      </c>
      <c r="R6" s="9">
        <f>IFERROR(VLOOKUP(A6,заказ!A:B,2,0),0)</f>
        <v>108</v>
      </c>
      <c r="S6" s="9"/>
      <c r="T6" s="4"/>
      <c r="U6" s="4">
        <f t="shared" ref="U6:U43" si="4">(F6+Q6)/P6</f>
        <v>17</v>
      </c>
      <c r="V6" s="4">
        <f t="shared" ref="V6:V43" si="5">F6/P6</f>
        <v>1.8571428571428572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/>
      <c r="AF6" s="4">
        <f t="shared" ref="AF6:AF12" si="6">G6*Q6</f>
        <v>87.397000000000006</v>
      </c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 spans="1:51" x14ac:dyDescent="0.25">
      <c r="A7" s="4" t="s">
        <v>38</v>
      </c>
      <c r="B7" s="4" t="s">
        <v>34</v>
      </c>
      <c r="C7" s="4"/>
      <c r="D7" s="4">
        <v>408</v>
      </c>
      <c r="E7" s="4">
        <v>174</v>
      </c>
      <c r="F7" s="4">
        <v>234</v>
      </c>
      <c r="G7" s="7">
        <f>VLOOKUP(A7,[1]Sheet!$A:$I,7,0)</f>
        <v>0.372</v>
      </c>
      <c r="H7" s="4"/>
      <c r="I7" s="4">
        <f>VLOOKUP(A7,[1]Sheet!$A:$I,9,0)</f>
        <v>6948256</v>
      </c>
      <c r="J7" s="4"/>
      <c r="K7" s="4">
        <v>175</v>
      </c>
      <c r="L7" s="4">
        <f t="shared" si="2"/>
        <v>-1</v>
      </c>
      <c r="M7" s="4"/>
      <c r="N7" s="4"/>
      <c r="O7" s="4"/>
      <c r="P7" s="4">
        <f t="shared" si="3"/>
        <v>34.799999999999997</v>
      </c>
      <c r="Q7" s="9">
        <f t="shared" ref="Q7:Q10" si="7">20*P7-F7</f>
        <v>462</v>
      </c>
      <c r="R7" s="9">
        <f>IFERROR(VLOOKUP(A7,заказ!A:B,2,0),0)</f>
        <v>456</v>
      </c>
      <c r="S7" s="9"/>
      <c r="T7" s="4"/>
      <c r="U7" s="4">
        <f t="shared" si="4"/>
        <v>20</v>
      </c>
      <c r="V7" s="4">
        <f t="shared" si="5"/>
        <v>6.7241379310344831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/>
      <c r="AF7" s="4">
        <f t="shared" si="6"/>
        <v>171.864</v>
      </c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spans="1:51" x14ac:dyDescent="0.25">
      <c r="A8" s="4" t="s">
        <v>39</v>
      </c>
      <c r="B8" s="4" t="s">
        <v>34</v>
      </c>
      <c r="C8" s="4"/>
      <c r="D8" s="4">
        <v>300</v>
      </c>
      <c r="E8" s="4">
        <v>70</v>
      </c>
      <c r="F8" s="4">
        <v>230</v>
      </c>
      <c r="G8" s="7">
        <f>VLOOKUP(A8,[1]Sheet!$A:$I,7,0)</f>
        <v>0.74399999999999999</v>
      </c>
      <c r="H8" s="4"/>
      <c r="I8" s="4">
        <f>VLOOKUP(A8,[1]Sheet!$A:$I,9,0)</f>
        <v>6948263</v>
      </c>
      <c r="J8" s="4"/>
      <c r="K8" s="4">
        <v>70</v>
      </c>
      <c r="L8" s="4">
        <f t="shared" si="2"/>
        <v>0</v>
      </c>
      <c r="M8" s="4"/>
      <c r="N8" s="4"/>
      <c r="O8" s="4"/>
      <c r="P8" s="4">
        <f t="shared" si="3"/>
        <v>14</v>
      </c>
      <c r="Q8" s="9">
        <f t="shared" si="7"/>
        <v>50</v>
      </c>
      <c r="R8" s="9">
        <f>IFERROR(VLOOKUP(A8,заказ!A:B,2,0),0)</f>
        <v>48</v>
      </c>
      <c r="S8" s="9"/>
      <c r="T8" s="4"/>
      <c r="U8" s="4">
        <f t="shared" si="4"/>
        <v>20</v>
      </c>
      <c r="V8" s="4">
        <f t="shared" si="5"/>
        <v>16.428571428571427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/>
      <c r="AF8" s="4">
        <f t="shared" si="6"/>
        <v>37.200000000000003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spans="1:51" x14ac:dyDescent="0.25">
      <c r="A9" s="4" t="s">
        <v>40</v>
      </c>
      <c r="B9" s="4" t="s">
        <v>34</v>
      </c>
      <c r="C9" s="4"/>
      <c r="D9" s="4">
        <v>408</v>
      </c>
      <c r="E9" s="4">
        <v>240</v>
      </c>
      <c r="F9" s="4">
        <v>168</v>
      </c>
      <c r="G9" s="7">
        <f>VLOOKUP(A9,[1]Sheet!$A:$I,7,0)</f>
        <v>0.372</v>
      </c>
      <c r="H9" s="4"/>
      <c r="I9" s="4">
        <f>VLOOKUP(A9,[1]Sheet!$A:$I,9,0)</f>
        <v>6948270</v>
      </c>
      <c r="J9" s="4"/>
      <c r="K9" s="4">
        <v>240</v>
      </c>
      <c r="L9" s="4">
        <f t="shared" si="2"/>
        <v>0</v>
      </c>
      <c r="M9" s="4"/>
      <c r="N9" s="4"/>
      <c r="O9" s="4"/>
      <c r="P9" s="4">
        <f t="shared" si="3"/>
        <v>48</v>
      </c>
      <c r="Q9" s="9">
        <f>19*P9-F9</f>
        <v>744</v>
      </c>
      <c r="R9" s="9">
        <f>IFERROR(VLOOKUP(A9,заказ!A:B,2,0),0)</f>
        <v>744</v>
      </c>
      <c r="S9" s="9"/>
      <c r="T9" s="4"/>
      <c r="U9" s="4">
        <f t="shared" si="4"/>
        <v>19</v>
      </c>
      <c r="V9" s="4">
        <f t="shared" si="5"/>
        <v>3.5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/>
      <c r="AF9" s="4">
        <f t="shared" si="6"/>
        <v>276.76799999999997</v>
      </c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</row>
    <row r="10" spans="1:51" x14ac:dyDescent="0.25">
      <c r="A10" s="4" t="s">
        <v>41</v>
      </c>
      <c r="B10" s="4" t="s">
        <v>34</v>
      </c>
      <c r="C10" s="4"/>
      <c r="D10" s="4">
        <v>300</v>
      </c>
      <c r="E10" s="4">
        <v>108</v>
      </c>
      <c r="F10" s="4">
        <v>192</v>
      </c>
      <c r="G10" s="7">
        <f>VLOOKUP(A10,[1]Sheet!$A:$I,7,0)</f>
        <v>0.74399999999999999</v>
      </c>
      <c r="H10" s="4"/>
      <c r="I10" s="4">
        <f>VLOOKUP(A10,[1]Sheet!$A:$I,9,0)</f>
        <v>6948287</v>
      </c>
      <c r="J10" s="4"/>
      <c r="K10" s="4">
        <v>108</v>
      </c>
      <c r="L10" s="4">
        <f t="shared" si="2"/>
        <v>0</v>
      </c>
      <c r="M10" s="4"/>
      <c r="N10" s="4"/>
      <c r="O10" s="4"/>
      <c r="P10" s="4">
        <f t="shared" si="3"/>
        <v>21.6</v>
      </c>
      <c r="Q10" s="9">
        <f t="shared" si="7"/>
        <v>240</v>
      </c>
      <c r="R10" s="9">
        <f>IFERROR(VLOOKUP(A10,заказ!A:B,2,0),0)</f>
        <v>240</v>
      </c>
      <c r="S10" s="9"/>
      <c r="T10" s="4"/>
      <c r="U10" s="4">
        <f t="shared" si="4"/>
        <v>20</v>
      </c>
      <c r="V10" s="4">
        <f t="shared" si="5"/>
        <v>8.8888888888888875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/>
      <c r="AF10" s="4">
        <f t="shared" si="6"/>
        <v>178.56</v>
      </c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</row>
    <row r="11" spans="1:51" x14ac:dyDescent="0.25">
      <c r="A11" s="4" t="s">
        <v>42</v>
      </c>
      <c r="B11" s="4" t="s">
        <v>34</v>
      </c>
      <c r="C11" s="4">
        <v>125</v>
      </c>
      <c r="D11" s="4"/>
      <c r="E11" s="4">
        <v>21</v>
      </c>
      <c r="F11" s="4">
        <v>99</v>
      </c>
      <c r="G11" s="7">
        <v>0.18</v>
      </c>
      <c r="H11" s="4">
        <v>270</v>
      </c>
      <c r="I11" s="4">
        <v>9988438</v>
      </c>
      <c r="J11" s="4"/>
      <c r="K11" s="4">
        <v>21</v>
      </c>
      <c r="L11" s="4">
        <f t="shared" si="2"/>
        <v>0</v>
      </c>
      <c r="M11" s="4"/>
      <c r="N11" s="4"/>
      <c r="O11" s="4"/>
      <c r="P11" s="4">
        <f t="shared" si="3"/>
        <v>4.2</v>
      </c>
      <c r="Q11" s="9"/>
      <c r="R11" s="9">
        <f>IFERROR(VLOOKUP(A11,заказ!A:B,2,0),0)</f>
        <v>0</v>
      </c>
      <c r="S11" s="9"/>
      <c r="T11" s="4"/>
      <c r="U11" s="4">
        <f t="shared" si="4"/>
        <v>23.571428571428569</v>
      </c>
      <c r="V11" s="4">
        <f t="shared" si="5"/>
        <v>23.571428571428569</v>
      </c>
      <c r="W11" s="4">
        <v>2</v>
      </c>
      <c r="X11" s="4">
        <v>3</v>
      </c>
      <c r="Y11" s="4">
        <v>3</v>
      </c>
      <c r="Z11" s="4">
        <v>4.2</v>
      </c>
      <c r="AA11" s="4">
        <v>1.4</v>
      </c>
      <c r="AB11" s="4">
        <v>2.2000000000000002</v>
      </c>
      <c r="AC11" s="4">
        <v>11.4</v>
      </c>
      <c r="AD11" s="4">
        <v>0.8</v>
      </c>
      <c r="AE11" s="24" t="s">
        <v>55</v>
      </c>
      <c r="AF11" s="4">
        <f t="shared" si="6"/>
        <v>0</v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 spans="1:51" x14ac:dyDescent="0.25">
      <c r="A12" s="4" t="s">
        <v>44</v>
      </c>
      <c r="B12" s="4" t="s">
        <v>34</v>
      </c>
      <c r="C12" s="4">
        <v>162</v>
      </c>
      <c r="D12" s="4"/>
      <c r="E12" s="4">
        <v>23</v>
      </c>
      <c r="F12" s="4">
        <v>132</v>
      </c>
      <c r="G12" s="7">
        <v>0.18</v>
      </c>
      <c r="H12" s="4">
        <v>270</v>
      </c>
      <c r="I12" s="4">
        <v>9988445</v>
      </c>
      <c r="J12" s="4"/>
      <c r="K12" s="4">
        <v>23</v>
      </c>
      <c r="L12" s="4">
        <f t="shared" si="2"/>
        <v>0</v>
      </c>
      <c r="M12" s="4"/>
      <c r="N12" s="4"/>
      <c r="O12" s="4"/>
      <c r="P12" s="4">
        <f t="shared" si="3"/>
        <v>4.5999999999999996</v>
      </c>
      <c r="Q12" s="9"/>
      <c r="R12" s="9">
        <f>IFERROR(VLOOKUP(A12,заказ!A:B,2,0),0)</f>
        <v>0</v>
      </c>
      <c r="S12" s="9"/>
      <c r="T12" s="4"/>
      <c r="U12" s="4">
        <f t="shared" si="4"/>
        <v>28.695652173913047</v>
      </c>
      <c r="V12" s="4">
        <f t="shared" si="5"/>
        <v>28.695652173913047</v>
      </c>
      <c r="W12" s="4">
        <v>2.4</v>
      </c>
      <c r="X12" s="4">
        <v>2.6</v>
      </c>
      <c r="Y12" s="4">
        <v>2.8</v>
      </c>
      <c r="Z12" s="4">
        <v>3.8</v>
      </c>
      <c r="AA12" s="4">
        <v>1.4</v>
      </c>
      <c r="AB12" s="4">
        <v>2.2000000000000002</v>
      </c>
      <c r="AC12" s="4">
        <v>4.8</v>
      </c>
      <c r="AD12" s="4">
        <v>7.4</v>
      </c>
      <c r="AE12" s="25" t="s">
        <v>43</v>
      </c>
      <c r="AF12" s="4">
        <f t="shared" si="6"/>
        <v>0</v>
      </c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</row>
    <row r="13" spans="1:51" x14ac:dyDescent="0.25">
      <c r="A13" s="21" t="s">
        <v>48</v>
      </c>
      <c r="B13" s="21" t="s">
        <v>34</v>
      </c>
      <c r="C13" s="21"/>
      <c r="D13" s="21"/>
      <c r="E13" s="21"/>
      <c r="F13" s="21"/>
      <c r="G13" s="22">
        <v>0</v>
      </c>
      <c r="H13" s="21">
        <v>270</v>
      </c>
      <c r="I13" s="21">
        <v>9988452</v>
      </c>
      <c r="J13" s="21"/>
      <c r="K13" s="21"/>
      <c r="L13" s="21">
        <f t="shared" si="2"/>
        <v>0</v>
      </c>
      <c r="M13" s="21"/>
      <c r="N13" s="21"/>
      <c r="O13" s="21"/>
      <c r="P13" s="21">
        <f t="shared" si="3"/>
        <v>0</v>
      </c>
      <c r="Q13" s="23"/>
      <c r="R13" s="9">
        <f>IFERROR(VLOOKUP(A13,заказ!A:B,2,0),0)</f>
        <v>0</v>
      </c>
      <c r="S13" s="23"/>
      <c r="T13" s="21"/>
      <c r="U13" s="21" t="e">
        <f t="shared" si="4"/>
        <v>#DIV/0!</v>
      </c>
      <c r="V13" s="21" t="e">
        <f t="shared" si="5"/>
        <v>#DIV/0!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 t="s">
        <v>49</v>
      </c>
      <c r="AF13" s="21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</row>
    <row r="14" spans="1:51" x14ac:dyDescent="0.25">
      <c r="A14" s="4" t="s">
        <v>50</v>
      </c>
      <c r="B14" s="4" t="s">
        <v>34</v>
      </c>
      <c r="C14" s="4">
        <v>46</v>
      </c>
      <c r="D14" s="4"/>
      <c r="E14" s="4">
        <v>14</v>
      </c>
      <c r="F14" s="4">
        <v>32</v>
      </c>
      <c r="G14" s="7">
        <v>0.4</v>
      </c>
      <c r="H14" s="4">
        <v>270</v>
      </c>
      <c r="I14" s="4">
        <v>9988476</v>
      </c>
      <c r="J14" s="4"/>
      <c r="K14" s="4">
        <v>14</v>
      </c>
      <c r="L14" s="4">
        <f t="shared" si="2"/>
        <v>0</v>
      </c>
      <c r="M14" s="4"/>
      <c r="N14" s="4"/>
      <c r="O14" s="4"/>
      <c r="P14" s="4">
        <f t="shared" si="3"/>
        <v>2.8</v>
      </c>
      <c r="Q14" s="9">
        <f>20*P14-F14</f>
        <v>24</v>
      </c>
      <c r="R14" s="9">
        <f>IFERROR(VLOOKUP(A14,заказ!A:B,2,0),0)</f>
        <v>28</v>
      </c>
      <c r="S14" s="9"/>
      <c r="T14" s="4"/>
      <c r="U14" s="4">
        <f t="shared" si="4"/>
        <v>20</v>
      </c>
      <c r="V14" s="4">
        <f t="shared" si="5"/>
        <v>11.428571428571429</v>
      </c>
      <c r="W14" s="4">
        <v>1</v>
      </c>
      <c r="X14" s="4">
        <v>4</v>
      </c>
      <c r="Y14" s="4">
        <v>2.6</v>
      </c>
      <c r="Z14" s="4">
        <v>1.8</v>
      </c>
      <c r="AA14" s="4">
        <v>5</v>
      </c>
      <c r="AB14" s="4">
        <v>2</v>
      </c>
      <c r="AC14" s="4">
        <v>2.2000000000000002</v>
      </c>
      <c r="AD14" s="4">
        <v>0.4</v>
      </c>
      <c r="AE14" s="26" t="s">
        <v>91</v>
      </c>
      <c r="AF14" s="4">
        <f>G14*Q14</f>
        <v>9.6000000000000014</v>
      </c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</row>
    <row r="15" spans="1:51" x14ac:dyDescent="0.25">
      <c r="A15" s="21" t="s">
        <v>51</v>
      </c>
      <c r="B15" s="21" t="s">
        <v>34</v>
      </c>
      <c r="C15" s="21"/>
      <c r="D15" s="21"/>
      <c r="E15" s="21"/>
      <c r="F15" s="21"/>
      <c r="G15" s="22">
        <v>0</v>
      </c>
      <c r="H15" s="21">
        <v>150</v>
      </c>
      <c r="I15" s="21">
        <v>5034819</v>
      </c>
      <c r="J15" s="21"/>
      <c r="K15" s="21"/>
      <c r="L15" s="21">
        <f t="shared" si="2"/>
        <v>0</v>
      </c>
      <c r="M15" s="21"/>
      <c r="N15" s="21"/>
      <c r="O15" s="21"/>
      <c r="P15" s="21">
        <f t="shared" si="3"/>
        <v>0</v>
      </c>
      <c r="Q15" s="23"/>
      <c r="R15" s="9">
        <f>IFERROR(VLOOKUP(A15,заказ!A:B,2,0),0)</f>
        <v>0</v>
      </c>
      <c r="S15" s="23"/>
      <c r="T15" s="21"/>
      <c r="U15" s="21" t="e">
        <f t="shared" si="4"/>
        <v>#DIV/0!</v>
      </c>
      <c r="V15" s="21" t="e">
        <f t="shared" si="5"/>
        <v>#DIV/0!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 t="s">
        <v>35</v>
      </c>
      <c r="AF15" s="21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</row>
    <row r="16" spans="1:51" x14ac:dyDescent="0.25">
      <c r="A16" s="21" t="s">
        <v>52</v>
      </c>
      <c r="B16" s="21" t="s">
        <v>34</v>
      </c>
      <c r="C16" s="21"/>
      <c r="D16" s="21"/>
      <c r="E16" s="21"/>
      <c r="F16" s="21"/>
      <c r="G16" s="22">
        <v>0</v>
      </c>
      <c r="H16" s="21">
        <v>90</v>
      </c>
      <c r="I16" s="21">
        <v>8444163</v>
      </c>
      <c r="J16" s="21"/>
      <c r="K16" s="21"/>
      <c r="L16" s="21">
        <f t="shared" si="2"/>
        <v>0</v>
      </c>
      <c r="M16" s="21"/>
      <c r="N16" s="21"/>
      <c r="O16" s="21"/>
      <c r="P16" s="21">
        <f t="shared" si="3"/>
        <v>0</v>
      </c>
      <c r="Q16" s="23"/>
      <c r="R16" s="9">
        <f>IFERROR(VLOOKUP(A16,заказ!A:B,2,0),0)</f>
        <v>0</v>
      </c>
      <c r="S16" s="23"/>
      <c r="T16" s="21"/>
      <c r="U16" s="21" t="e">
        <f t="shared" si="4"/>
        <v>#DIV/0!</v>
      </c>
      <c r="V16" s="21" t="e">
        <f t="shared" si="5"/>
        <v>#DIV/0!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 t="s">
        <v>35</v>
      </c>
      <c r="AF16" s="21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</row>
    <row r="17" spans="1:51" x14ac:dyDescent="0.25">
      <c r="A17" s="4" t="s">
        <v>53</v>
      </c>
      <c r="B17" s="4" t="s">
        <v>34</v>
      </c>
      <c r="C17" s="4">
        <v>282</v>
      </c>
      <c r="D17" s="4"/>
      <c r="E17" s="4">
        <v>76</v>
      </c>
      <c r="F17" s="4">
        <v>189</v>
      </c>
      <c r="G17" s="7">
        <v>0.18</v>
      </c>
      <c r="H17" s="4">
        <v>150</v>
      </c>
      <c r="I17" s="4">
        <v>5038411</v>
      </c>
      <c r="J17" s="4"/>
      <c r="K17" s="4">
        <v>82</v>
      </c>
      <c r="L17" s="4">
        <f t="shared" si="2"/>
        <v>-6</v>
      </c>
      <c r="M17" s="4"/>
      <c r="N17" s="4"/>
      <c r="O17" s="4"/>
      <c r="P17" s="4">
        <f t="shared" si="3"/>
        <v>15.2</v>
      </c>
      <c r="Q17" s="9">
        <f t="shared" ref="Q17:Q18" si="8">20*P17-F17</f>
        <v>115</v>
      </c>
      <c r="R17" s="9">
        <f>IFERROR(VLOOKUP(A17,заказ!A:B,2,0),0)</f>
        <v>120</v>
      </c>
      <c r="S17" s="9"/>
      <c r="T17" s="4"/>
      <c r="U17" s="4">
        <f t="shared" si="4"/>
        <v>20</v>
      </c>
      <c r="V17" s="4">
        <f t="shared" si="5"/>
        <v>12.434210526315789</v>
      </c>
      <c r="W17" s="4">
        <v>9</v>
      </c>
      <c r="X17" s="4">
        <v>15</v>
      </c>
      <c r="Y17" s="4">
        <v>14.2</v>
      </c>
      <c r="Z17" s="4">
        <v>24</v>
      </c>
      <c r="AA17" s="4">
        <v>16.399999999999999</v>
      </c>
      <c r="AB17" s="4">
        <v>10.8</v>
      </c>
      <c r="AC17" s="4">
        <v>12</v>
      </c>
      <c r="AD17" s="4">
        <v>14</v>
      </c>
      <c r="AE17" s="4"/>
      <c r="AF17" s="4">
        <f>G17*Q17</f>
        <v>20.7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</row>
    <row r="18" spans="1:51" x14ac:dyDescent="0.25">
      <c r="A18" s="4" t="s">
        <v>54</v>
      </c>
      <c r="B18" s="4" t="s">
        <v>34</v>
      </c>
      <c r="C18" s="4">
        <v>240</v>
      </c>
      <c r="D18" s="4"/>
      <c r="E18" s="4">
        <v>92</v>
      </c>
      <c r="F18" s="4">
        <v>136</v>
      </c>
      <c r="G18" s="7">
        <v>0.18</v>
      </c>
      <c r="H18" s="4">
        <v>150</v>
      </c>
      <c r="I18" s="4">
        <v>5038459</v>
      </c>
      <c r="J18" s="4"/>
      <c r="K18" s="4">
        <v>93</v>
      </c>
      <c r="L18" s="4">
        <f t="shared" si="2"/>
        <v>-1</v>
      </c>
      <c r="M18" s="4"/>
      <c r="N18" s="4"/>
      <c r="O18" s="4"/>
      <c r="P18" s="4">
        <f t="shared" si="3"/>
        <v>18.399999999999999</v>
      </c>
      <c r="Q18" s="9">
        <f t="shared" si="8"/>
        <v>232</v>
      </c>
      <c r="R18" s="9">
        <f>IFERROR(VLOOKUP(A18,заказ!A:B,2,0),0)</f>
        <v>230</v>
      </c>
      <c r="S18" s="9"/>
      <c r="T18" s="4"/>
      <c r="U18" s="4">
        <f t="shared" si="4"/>
        <v>20</v>
      </c>
      <c r="V18" s="4">
        <f t="shared" si="5"/>
        <v>7.3913043478260878</v>
      </c>
      <c r="W18" s="4">
        <v>8.8000000000000007</v>
      </c>
      <c r="X18" s="4">
        <v>16.2</v>
      </c>
      <c r="Y18" s="4">
        <v>15.8</v>
      </c>
      <c r="Z18" s="4">
        <v>21.8</v>
      </c>
      <c r="AA18" s="4">
        <v>18</v>
      </c>
      <c r="AB18" s="4">
        <v>12.6</v>
      </c>
      <c r="AC18" s="4">
        <v>17.8</v>
      </c>
      <c r="AD18" s="4">
        <v>18.399999999999999</v>
      </c>
      <c r="AE18" s="4"/>
      <c r="AF18" s="4">
        <f>G18*Q18</f>
        <v>41.76</v>
      </c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</row>
    <row r="19" spans="1:51" x14ac:dyDescent="0.25">
      <c r="A19" s="21" t="s">
        <v>56</v>
      </c>
      <c r="B19" s="21" t="s">
        <v>34</v>
      </c>
      <c r="C19" s="21"/>
      <c r="D19" s="21"/>
      <c r="E19" s="21"/>
      <c r="F19" s="21"/>
      <c r="G19" s="22">
        <v>0</v>
      </c>
      <c r="H19" s="21">
        <v>150</v>
      </c>
      <c r="I19" s="21">
        <v>5038831</v>
      </c>
      <c r="J19" s="21"/>
      <c r="K19" s="21"/>
      <c r="L19" s="21">
        <f t="shared" si="2"/>
        <v>0</v>
      </c>
      <c r="M19" s="21"/>
      <c r="N19" s="21"/>
      <c r="O19" s="21"/>
      <c r="P19" s="21">
        <f t="shared" si="3"/>
        <v>0</v>
      </c>
      <c r="Q19" s="23"/>
      <c r="R19" s="9">
        <f>IFERROR(VLOOKUP(A19,заказ!A:B,2,0),0)</f>
        <v>0</v>
      </c>
      <c r="S19" s="23"/>
      <c r="T19" s="21"/>
      <c r="U19" s="21" t="e">
        <f t="shared" si="4"/>
        <v>#DIV/0!</v>
      </c>
      <c r="V19" s="21" t="e">
        <f t="shared" si="5"/>
        <v>#DIV/0!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 t="s">
        <v>35</v>
      </c>
      <c r="AF19" s="21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</row>
    <row r="20" spans="1:51" x14ac:dyDescent="0.25">
      <c r="A20" s="21" t="s">
        <v>57</v>
      </c>
      <c r="B20" s="21" t="s">
        <v>34</v>
      </c>
      <c r="C20" s="21"/>
      <c r="D20" s="21"/>
      <c r="E20" s="21"/>
      <c r="F20" s="21"/>
      <c r="G20" s="22">
        <v>0</v>
      </c>
      <c r="H20" s="21">
        <v>120</v>
      </c>
      <c r="I20" s="21">
        <v>5038855</v>
      </c>
      <c r="J20" s="21"/>
      <c r="K20" s="21"/>
      <c r="L20" s="21">
        <f t="shared" si="2"/>
        <v>0</v>
      </c>
      <c r="M20" s="21"/>
      <c r="N20" s="21"/>
      <c r="O20" s="21"/>
      <c r="P20" s="21">
        <f t="shared" si="3"/>
        <v>0</v>
      </c>
      <c r="Q20" s="23"/>
      <c r="R20" s="9">
        <f>IFERROR(VLOOKUP(A20,заказ!A:B,2,0),0)</f>
        <v>0</v>
      </c>
      <c r="S20" s="23"/>
      <c r="T20" s="21"/>
      <c r="U20" s="21" t="e">
        <f t="shared" si="4"/>
        <v>#DIV/0!</v>
      </c>
      <c r="V20" s="21" t="e">
        <f t="shared" si="5"/>
        <v>#DIV/0!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 t="s">
        <v>35</v>
      </c>
      <c r="AF20" s="21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</row>
    <row r="21" spans="1:51" x14ac:dyDescent="0.25">
      <c r="A21" s="4" t="s">
        <v>58</v>
      </c>
      <c r="B21" s="4" t="s">
        <v>34</v>
      </c>
      <c r="C21" s="4">
        <v>468</v>
      </c>
      <c r="D21" s="4"/>
      <c r="E21" s="4">
        <v>104</v>
      </c>
      <c r="F21" s="4">
        <v>354</v>
      </c>
      <c r="G21" s="7">
        <v>0.18</v>
      </c>
      <c r="H21" s="4">
        <v>150</v>
      </c>
      <c r="I21" s="4">
        <v>5038435</v>
      </c>
      <c r="J21" s="4"/>
      <c r="K21" s="4">
        <v>104</v>
      </c>
      <c r="L21" s="4">
        <f t="shared" si="2"/>
        <v>0</v>
      </c>
      <c r="M21" s="4"/>
      <c r="N21" s="4"/>
      <c r="O21" s="4"/>
      <c r="P21" s="4">
        <f t="shared" si="3"/>
        <v>20.8</v>
      </c>
      <c r="Q21" s="9">
        <f t="shared" ref="Q21" si="9">20*P21-F21</f>
        <v>62</v>
      </c>
      <c r="R21" s="9">
        <f>IFERROR(VLOOKUP(A21,заказ!A:B,2,0),0)</f>
        <v>60</v>
      </c>
      <c r="S21" s="9"/>
      <c r="T21" s="4"/>
      <c r="U21" s="4">
        <f t="shared" si="4"/>
        <v>20</v>
      </c>
      <c r="V21" s="4">
        <f t="shared" si="5"/>
        <v>17.01923076923077</v>
      </c>
      <c r="W21" s="4">
        <v>10.6</v>
      </c>
      <c r="X21" s="4">
        <v>23.2</v>
      </c>
      <c r="Y21" s="4">
        <v>13.4</v>
      </c>
      <c r="Z21" s="4">
        <v>36.200000000000003</v>
      </c>
      <c r="AA21" s="4">
        <v>25.4</v>
      </c>
      <c r="AB21" s="4">
        <v>15.6</v>
      </c>
      <c r="AC21" s="4">
        <v>15</v>
      </c>
      <c r="AD21" s="4">
        <v>20.399999999999999</v>
      </c>
      <c r="AE21" s="4"/>
      <c r="AF21" s="4">
        <f>G21*Q21</f>
        <v>11.16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</row>
    <row r="22" spans="1:51" ht="15.75" thickBot="1" x14ac:dyDescent="0.3">
      <c r="A22" s="4" t="s">
        <v>59</v>
      </c>
      <c r="B22" s="4" t="s">
        <v>34</v>
      </c>
      <c r="C22" s="4">
        <v>174</v>
      </c>
      <c r="D22" s="4"/>
      <c r="E22" s="4">
        <v>86</v>
      </c>
      <c r="F22" s="4">
        <v>75</v>
      </c>
      <c r="G22" s="7">
        <v>0.18</v>
      </c>
      <c r="H22" s="4">
        <v>120</v>
      </c>
      <c r="I22" s="4">
        <v>5038398</v>
      </c>
      <c r="J22" s="4"/>
      <c r="K22" s="4">
        <v>87</v>
      </c>
      <c r="L22" s="4">
        <f t="shared" si="2"/>
        <v>-1</v>
      </c>
      <c r="M22" s="4"/>
      <c r="N22" s="4"/>
      <c r="O22" s="4"/>
      <c r="P22" s="4">
        <f t="shared" si="3"/>
        <v>17.2</v>
      </c>
      <c r="Q22" s="9">
        <f>19*P22-F22</f>
        <v>251.8</v>
      </c>
      <c r="R22" s="9">
        <f>IFERROR(VLOOKUP(A22,заказ!A:B,2,0),0)</f>
        <v>250</v>
      </c>
      <c r="S22" s="9"/>
      <c r="T22" s="4"/>
      <c r="U22" s="4">
        <f t="shared" si="4"/>
        <v>19</v>
      </c>
      <c r="V22" s="4">
        <f t="shared" si="5"/>
        <v>4.3604651162790695</v>
      </c>
      <c r="W22" s="4">
        <v>5.8</v>
      </c>
      <c r="X22" s="4">
        <v>11.4</v>
      </c>
      <c r="Y22" s="4">
        <v>10.199999999999999</v>
      </c>
      <c r="Z22" s="4">
        <v>16.399999999999999</v>
      </c>
      <c r="AA22" s="4">
        <v>19.8</v>
      </c>
      <c r="AB22" s="4">
        <v>14.2</v>
      </c>
      <c r="AC22" s="4">
        <v>12.6</v>
      </c>
      <c r="AD22" s="4">
        <v>21.2</v>
      </c>
      <c r="AE22" s="4"/>
      <c r="AF22" s="4">
        <f>G22*Q22</f>
        <v>45.323999999999998</v>
      </c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</row>
    <row r="23" spans="1:51" x14ac:dyDescent="0.25">
      <c r="A23" s="12" t="s">
        <v>60</v>
      </c>
      <c r="B23" s="13" t="s">
        <v>61</v>
      </c>
      <c r="C23" s="13"/>
      <c r="D23" s="13"/>
      <c r="E23" s="13"/>
      <c r="F23" s="14"/>
      <c r="G23" s="7">
        <v>1</v>
      </c>
      <c r="H23" s="4">
        <v>150</v>
      </c>
      <c r="I23" s="4">
        <v>8785242</v>
      </c>
      <c r="J23" s="4"/>
      <c r="K23" s="4"/>
      <c r="L23" s="4">
        <f t="shared" si="2"/>
        <v>0</v>
      </c>
      <c r="M23" s="4"/>
      <c r="N23" s="4"/>
      <c r="O23" s="4"/>
      <c r="P23" s="4">
        <f t="shared" si="3"/>
        <v>0</v>
      </c>
      <c r="Q23" s="9">
        <f>20*(P23+P24)-L23-L24-F23-F24</f>
        <v>8.5400000000000027</v>
      </c>
      <c r="R23" s="9">
        <f>IFERROR(VLOOKUP(A23,заказ!A:B,2,0),0)</f>
        <v>16</v>
      </c>
      <c r="S23" s="9"/>
      <c r="T23" s="4"/>
      <c r="U23" s="4" t="e">
        <f t="shared" si="4"/>
        <v>#DIV/0!</v>
      </c>
      <c r="V23" s="4" t="e">
        <f t="shared" si="5"/>
        <v>#DIV/0!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/>
      <c r="AF23" s="4">
        <f>G23*Q23</f>
        <v>8.5400000000000027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</row>
    <row r="24" spans="1:51" ht="15.75" thickBot="1" x14ac:dyDescent="0.3">
      <c r="A24" s="15" t="s">
        <v>62</v>
      </c>
      <c r="B24" s="16" t="s">
        <v>61</v>
      </c>
      <c r="C24" s="16">
        <v>26.088000000000001</v>
      </c>
      <c r="D24" s="16"/>
      <c r="E24" s="16">
        <v>6.3780000000000001</v>
      </c>
      <c r="F24" s="17">
        <v>16.693999999999999</v>
      </c>
      <c r="G24" s="18">
        <v>0</v>
      </c>
      <c r="H24" s="19" t="e">
        <v>#N/A</v>
      </c>
      <c r="I24" s="19" t="s">
        <v>63</v>
      </c>
      <c r="J24" s="19" t="s">
        <v>60</v>
      </c>
      <c r="K24" s="19">
        <v>6.1</v>
      </c>
      <c r="L24" s="19">
        <f t="shared" si="2"/>
        <v>0.27800000000000047</v>
      </c>
      <c r="M24" s="19"/>
      <c r="N24" s="19"/>
      <c r="O24" s="19"/>
      <c r="P24" s="19">
        <f t="shared" si="3"/>
        <v>1.2756000000000001</v>
      </c>
      <c r="Q24" s="20"/>
      <c r="R24" s="9">
        <f>IFERROR(VLOOKUP(A24,заказ!A:B,2,0),0)</f>
        <v>0</v>
      </c>
      <c r="S24" s="20"/>
      <c r="T24" s="19"/>
      <c r="U24" s="19">
        <f t="shared" si="4"/>
        <v>13.087174662903729</v>
      </c>
      <c r="V24" s="19">
        <f t="shared" si="5"/>
        <v>13.087174662903729</v>
      </c>
      <c r="W24" s="19">
        <v>0.60319999999999996</v>
      </c>
      <c r="X24" s="19">
        <v>0.62880000000000003</v>
      </c>
      <c r="Y24" s="19">
        <v>0</v>
      </c>
      <c r="Z24" s="19">
        <v>0</v>
      </c>
      <c r="AA24" s="19">
        <v>1.3512</v>
      </c>
      <c r="AB24" s="19">
        <v>0.67720000000000002</v>
      </c>
      <c r="AC24" s="19">
        <v>0</v>
      </c>
      <c r="AD24" s="19">
        <v>0</v>
      </c>
      <c r="AE24" s="19"/>
      <c r="AF24" s="19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</row>
    <row r="25" spans="1:51" x14ac:dyDescent="0.25">
      <c r="A25" s="12" t="s">
        <v>64</v>
      </c>
      <c r="B25" s="13" t="s">
        <v>61</v>
      </c>
      <c r="C25" s="13"/>
      <c r="D25" s="13"/>
      <c r="E25" s="13"/>
      <c r="F25" s="14"/>
      <c r="G25" s="7">
        <v>0</v>
      </c>
      <c r="H25" s="4">
        <v>150</v>
      </c>
      <c r="I25" s="19" t="s">
        <v>92</v>
      </c>
      <c r="J25" s="4"/>
      <c r="K25" s="4"/>
      <c r="L25" s="4">
        <f t="shared" si="2"/>
        <v>0</v>
      </c>
      <c r="M25" s="4"/>
      <c r="N25" s="4"/>
      <c r="O25" s="4"/>
      <c r="P25" s="4">
        <f t="shared" si="3"/>
        <v>0</v>
      </c>
      <c r="Q25" s="20">
        <v>0</v>
      </c>
      <c r="R25" s="9">
        <f>IFERROR(VLOOKUP(A25,заказ!A:B,2,0),0)</f>
        <v>0</v>
      </c>
      <c r="S25" s="9"/>
      <c r="T25" s="4"/>
      <c r="U25" s="4" t="e">
        <f t="shared" si="4"/>
        <v>#DIV/0!</v>
      </c>
      <c r="V25" s="4" t="e">
        <f t="shared" si="5"/>
        <v>#DIV/0!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/>
      <c r="AF25" s="4">
        <f>G25*Q25</f>
        <v>0</v>
      </c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</row>
    <row r="26" spans="1:51" ht="15.75" thickBot="1" x14ac:dyDescent="0.3">
      <c r="A26" s="15" t="s">
        <v>65</v>
      </c>
      <c r="B26" s="16" t="s">
        <v>61</v>
      </c>
      <c r="C26" s="16">
        <v>30.54</v>
      </c>
      <c r="D26" s="16"/>
      <c r="E26" s="16">
        <v>6.375</v>
      </c>
      <c r="F26" s="17">
        <v>17.239999999999998</v>
      </c>
      <c r="G26" s="18">
        <v>0</v>
      </c>
      <c r="H26" s="19" t="e">
        <v>#N/A</v>
      </c>
      <c r="I26" s="19" t="s">
        <v>96</v>
      </c>
      <c r="J26" s="19" t="s">
        <v>64</v>
      </c>
      <c r="K26" s="19">
        <v>6.6</v>
      </c>
      <c r="L26" s="19">
        <f t="shared" si="2"/>
        <v>-0.22499999999999964</v>
      </c>
      <c r="M26" s="19"/>
      <c r="N26" s="19"/>
      <c r="O26" s="19"/>
      <c r="P26" s="19">
        <f t="shared" si="3"/>
        <v>1.2749999999999999</v>
      </c>
      <c r="Q26" s="20"/>
      <c r="R26" s="9">
        <f>IFERROR(VLOOKUP(A26,заказ!A:B,2,0),0)</f>
        <v>0</v>
      </c>
      <c r="S26" s="20"/>
      <c r="T26" s="19"/>
      <c r="U26" s="19">
        <f t="shared" si="4"/>
        <v>13.52156862745098</v>
      </c>
      <c r="V26" s="19">
        <f t="shared" si="5"/>
        <v>13.52156862745098</v>
      </c>
      <c r="W26" s="19">
        <v>2.0699999999999998</v>
      </c>
      <c r="X26" s="19">
        <v>-4.48E-2</v>
      </c>
      <c r="Y26" s="19">
        <v>0</v>
      </c>
      <c r="Z26" s="19">
        <v>0</v>
      </c>
      <c r="AA26" s="19">
        <v>1.3939999999999999</v>
      </c>
      <c r="AB26" s="19">
        <v>0.68899999999999995</v>
      </c>
      <c r="AC26" s="19">
        <v>0.72199999999999998</v>
      </c>
      <c r="AD26" s="19">
        <v>0.68499999999999994</v>
      </c>
      <c r="AE26" s="19"/>
      <c r="AF26" s="19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</row>
    <row r="27" spans="1:51" x14ac:dyDescent="0.25">
      <c r="A27" s="12" t="s">
        <v>66</v>
      </c>
      <c r="B27" s="13" t="s">
        <v>61</v>
      </c>
      <c r="C27" s="13"/>
      <c r="D27" s="13"/>
      <c r="E27" s="13"/>
      <c r="F27" s="14"/>
      <c r="G27" s="7">
        <v>1</v>
      </c>
      <c r="H27" s="4">
        <v>120</v>
      </c>
      <c r="I27" s="4">
        <v>8785204</v>
      </c>
      <c r="J27" s="4"/>
      <c r="K27" s="4"/>
      <c r="L27" s="4">
        <f t="shared" si="2"/>
        <v>0</v>
      </c>
      <c r="M27" s="4"/>
      <c r="N27" s="4"/>
      <c r="O27" s="4"/>
      <c r="P27" s="4">
        <f t="shared" si="3"/>
        <v>0</v>
      </c>
      <c r="Q27" s="9">
        <f>20*(P27+P28)-L27-L28-F27-F28</f>
        <v>16.538999999999994</v>
      </c>
      <c r="R27" s="9">
        <f>IFERROR(VLOOKUP(A27,заказ!A:B,2,0),0)</f>
        <v>16</v>
      </c>
      <c r="S27" s="9"/>
      <c r="T27" s="4"/>
      <c r="U27" s="4" t="e">
        <f t="shared" si="4"/>
        <v>#DIV/0!</v>
      </c>
      <c r="V27" s="4" t="e">
        <f t="shared" si="5"/>
        <v>#DIV/0!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/>
      <c r="AF27" s="4">
        <f>G27*Q27</f>
        <v>16.538999999999994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</row>
    <row r="28" spans="1:51" ht="15.75" thickBot="1" x14ac:dyDescent="0.3">
      <c r="A28" s="15" t="s">
        <v>67</v>
      </c>
      <c r="B28" s="16" t="s">
        <v>61</v>
      </c>
      <c r="C28" s="16">
        <v>39.716999999999999</v>
      </c>
      <c r="D28" s="16">
        <v>34.143999999999998</v>
      </c>
      <c r="E28" s="16">
        <v>16.57</v>
      </c>
      <c r="F28" s="17">
        <v>50.298999999999999</v>
      </c>
      <c r="G28" s="18">
        <v>0</v>
      </c>
      <c r="H28" s="19" t="e">
        <v>#N/A</v>
      </c>
      <c r="I28" s="19" t="s">
        <v>63</v>
      </c>
      <c r="J28" s="19" t="s">
        <v>66</v>
      </c>
      <c r="K28" s="19">
        <v>17.128</v>
      </c>
      <c r="L28" s="19">
        <f t="shared" si="2"/>
        <v>-0.55799999999999983</v>
      </c>
      <c r="M28" s="19"/>
      <c r="N28" s="19"/>
      <c r="O28" s="19"/>
      <c r="P28" s="19">
        <f t="shared" si="3"/>
        <v>3.3140000000000001</v>
      </c>
      <c r="Q28" s="20"/>
      <c r="R28" s="9">
        <f>IFERROR(VLOOKUP(A28,заказ!A:B,2,0),0)</f>
        <v>0</v>
      </c>
      <c r="S28" s="20"/>
      <c r="T28" s="19"/>
      <c r="U28" s="19">
        <f t="shared" si="4"/>
        <v>15.177730838865418</v>
      </c>
      <c r="V28" s="19">
        <f t="shared" si="5"/>
        <v>15.177730838865418</v>
      </c>
      <c r="W28" s="19">
        <v>3.448</v>
      </c>
      <c r="X28" s="19">
        <v>2.5415999999999999</v>
      </c>
      <c r="Y28" s="19">
        <v>3.1417999999999999</v>
      </c>
      <c r="Z28" s="19">
        <v>1.2856000000000001</v>
      </c>
      <c r="AA28" s="19">
        <v>2.0367999999999999</v>
      </c>
      <c r="AB28" s="19">
        <v>1.3335999999999999</v>
      </c>
      <c r="AC28" s="19">
        <v>0</v>
      </c>
      <c r="AD28" s="19">
        <v>2.6534</v>
      </c>
      <c r="AE28" s="19"/>
      <c r="AF28" s="19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</row>
    <row r="29" spans="1:51" x14ac:dyDescent="0.25">
      <c r="A29" s="21" t="s">
        <v>68</v>
      </c>
      <c r="B29" s="21" t="s">
        <v>34</v>
      </c>
      <c r="C29" s="21"/>
      <c r="D29" s="21"/>
      <c r="E29" s="21"/>
      <c r="F29" s="21"/>
      <c r="G29" s="22">
        <v>0</v>
      </c>
      <c r="H29" s="21">
        <v>180</v>
      </c>
      <c r="I29" s="21">
        <v>9988391</v>
      </c>
      <c r="J29" s="21"/>
      <c r="K29" s="21"/>
      <c r="L29" s="21">
        <f t="shared" si="2"/>
        <v>0</v>
      </c>
      <c r="M29" s="21"/>
      <c r="N29" s="21"/>
      <c r="O29" s="21"/>
      <c r="P29" s="21">
        <f t="shared" si="3"/>
        <v>0</v>
      </c>
      <c r="Q29" s="23"/>
      <c r="R29" s="9">
        <f>IFERROR(VLOOKUP(A29,заказ!A:B,2,0),0)</f>
        <v>0</v>
      </c>
      <c r="S29" s="23"/>
      <c r="T29" s="21"/>
      <c r="U29" s="21" t="e">
        <f t="shared" si="4"/>
        <v>#DIV/0!</v>
      </c>
      <c r="V29" s="21" t="e">
        <f t="shared" si="5"/>
        <v>#DIV/0!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 t="s">
        <v>35</v>
      </c>
      <c r="AF29" s="21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</row>
    <row r="30" spans="1:51" x14ac:dyDescent="0.25">
      <c r="A30" s="21" t="s">
        <v>69</v>
      </c>
      <c r="B30" s="21" t="s">
        <v>34</v>
      </c>
      <c r="C30" s="21"/>
      <c r="D30" s="21"/>
      <c r="E30" s="21"/>
      <c r="F30" s="21"/>
      <c r="G30" s="22">
        <v>0</v>
      </c>
      <c r="H30" s="21">
        <v>270</v>
      </c>
      <c r="I30" s="21">
        <v>9988681</v>
      </c>
      <c r="J30" s="21"/>
      <c r="K30" s="21"/>
      <c r="L30" s="21">
        <f t="shared" si="2"/>
        <v>0</v>
      </c>
      <c r="M30" s="21"/>
      <c r="N30" s="21"/>
      <c r="O30" s="21"/>
      <c r="P30" s="21">
        <f t="shared" si="3"/>
        <v>0</v>
      </c>
      <c r="Q30" s="23"/>
      <c r="R30" s="9">
        <f>IFERROR(VLOOKUP(A30,заказ!A:B,2,0),0)</f>
        <v>0</v>
      </c>
      <c r="S30" s="23"/>
      <c r="T30" s="21"/>
      <c r="U30" s="21" t="e">
        <f t="shared" si="4"/>
        <v>#DIV/0!</v>
      </c>
      <c r="V30" s="21" t="e">
        <f t="shared" si="5"/>
        <v>#DIV/0!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 t="s">
        <v>35</v>
      </c>
      <c r="AF30" s="21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</row>
    <row r="31" spans="1:51" x14ac:dyDescent="0.25">
      <c r="A31" s="21" t="s">
        <v>70</v>
      </c>
      <c r="B31" s="21" t="s">
        <v>61</v>
      </c>
      <c r="C31" s="21"/>
      <c r="D31" s="21"/>
      <c r="E31" s="21"/>
      <c r="F31" s="21"/>
      <c r="G31" s="22">
        <v>0</v>
      </c>
      <c r="H31" s="21">
        <v>120</v>
      </c>
      <c r="I31" s="21">
        <v>8785198</v>
      </c>
      <c r="J31" s="21"/>
      <c r="K31" s="21"/>
      <c r="L31" s="21">
        <f t="shared" si="2"/>
        <v>0</v>
      </c>
      <c r="M31" s="21"/>
      <c r="N31" s="21"/>
      <c r="O31" s="21"/>
      <c r="P31" s="21">
        <f t="shared" si="3"/>
        <v>0</v>
      </c>
      <c r="Q31" s="23"/>
      <c r="R31" s="9">
        <f>IFERROR(VLOOKUP(A31,заказ!A:B,2,0),0)</f>
        <v>0</v>
      </c>
      <c r="S31" s="23"/>
      <c r="T31" s="21"/>
      <c r="U31" s="21" t="e">
        <f t="shared" si="4"/>
        <v>#DIV/0!</v>
      </c>
      <c r="V31" s="21" t="e">
        <f t="shared" si="5"/>
        <v>#DIV/0!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 t="s">
        <v>35</v>
      </c>
      <c r="AF31" s="21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</row>
    <row r="32" spans="1:51" x14ac:dyDescent="0.25">
      <c r="A32" s="21" t="s">
        <v>71</v>
      </c>
      <c r="B32" s="21" t="s">
        <v>34</v>
      </c>
      <c r="C32" s="21"/>
      <c r="D32" s="21"/>
      <c r="E32" s="21"/>
      <c r="F32" s="21"/>
      <c r="G32" s="22">
        <v>0</v>
      </c>
      <c r="H32" s="21">
        <v>60</v>
      </c>
      <c r="I32" s="21">
        <v>8444187</v>
      </c>
      <c r="J32" s="21"/>
      <c r="K32" s="21"/>
      <c r="L32" s="21">
        <f t="shared" si="2"/>
        <v>0</v>
      </c>
      <c r="M32" s="21"/>
      <c r="N32" s="21"/>
      <c r="O32" s="21"/>
      <c r="P32" s="21">
        <f t="shared" si="3"/>
        <v>0</v>
      </c>
      <c r="Q32" s="23"/>
      <c r="R32" s="9">
        <f>IFERROR(VLOOKUP(A32,заказ!A:B,2,0),0)</f>
        <v>0</v>
      </c>
      <c r="S32" s="23"/>
      <c r="T32" s="21"/>
      <c r="U32" s="21" t="e">
        <f t="shared" si="4"/>
        <v>#DIV/0!</v>
      </c>
      <c r="V32" s="21" t="e">
        <f t="shared" si="5"/>
        <v>#DIV/0!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 t="s">
        <v>35</v>
      </c>
      <c r="AF32" s="21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</row>
    <row r="33" spans="1:51" x14ac:dyDescent="0.25">
      <c r="A33" s="21" t="s">
        <v>72</v>
      </c>
      <c r="B33" s="21" t="s">
        <v>34</v>
      </c>
      <c r="C33" s="21"/>
      <c r="D33" s="21"/>
      <c r="E33" s="21"/>
      <c r="F33" s="21"/>
      <c r="G33" s="22">
        <v>0</v>
      </c>
      <c r="H33" s="21">
        <v>90</v>
      </c>
      <c r="I33" s="21">
        <v>8444194</v>
      </c>
      <c r="J33" s="21"/>
      <c r="K33" s="21"/>
      <c r="L33" s="21">
        <f t="shared" si="2"/>
        <v>0</v>
      </c>
      <c r="M33" s="21"/>
      <c r="N33" s="21"/>
      <c r="O33" s="21"/>
      <c r="P33" s="21">
        <f t="shared" si="3"/>
        <v>0</v>
      </c>
      <c r="Q33" s="23"/>
      <c r="R33" s="9">
        <f>IFERROR(VLOOKUP(A33,заказ!A:B,2,0),0)</f>
        <v>0</v>
      </c>
      <c r="S33" s="23"/>
      <c r="T33" s="21"/>
      <c r="U33" s="21" t="e">
        <f t="shared" si="4"/>
        <v>#DIV/0!</v>
      </c>
      <c r="V33" s="21" t="e">
        <f t="shared" si="5"/>
        <v>#DIV/0!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 t="s">
        <v>35</v>
      </c>
      <c r="AF33" s="21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</row>
    <row r="34" spans="1:51" x14ac:dyDescent="0.25">
      <c r="A34" s="21" t="s">
        <v>73</v>
      </c>
      <c r="B34" s="21" t="s">
        <v>61</v>
      </c>
      <c r="C34" s="21"/>
      <c r="D34" s="21"/>
      <c r="E34" s="21"/>
      <c r="F34" s="21"/>
      <c r="G34" s="22">
        <v>0</v>
      </c>
      <c r="H34" s="21">
        <v>150</v>
      </c>
      <c r="I34" s="21">
        <v>8786928</v>
      </c>
      <c r="J34" s="21"/>
      <c r="K34" s="21"/>
      <c r="L34" s="21">
        <f t="shared" si="2"/>
        <v>0</v>
      </c>
      <c r="M34" s="21"/>
      <c r="N34" s="21"/>
      <c r="O34" s="21"/>
      <c r="P34" s="21">
        <f t="shared" si="3"/>
        <v>0</v>
      </c>
      <c r="Q34" s="23"/>
      <c r="R34" s="9">
        <f>IFERROR(VLOOKUP(A34,заказ!A:B,2,0),0)</f>
        <v>0</v>
      </c>
      <c r="S34" s="23"/>
      <c r="T34" s="21"/>
      <c r="U34" s="21" t="e">
        <f t="shared" si="4"/>
        <v>#DIV/0!</v>
      </c>
      <c r="V34" s="21" t="e">
        <f t="shared" si="5"/>
        <v>#DIV/0!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 t="s">
        <v>35</v>
      </c>
      <c r="AF34" s="21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</row>
    <row r="35" spans="1:51" ht="15.75" thickBot="1" x14ac:dyDescent="0.3">
      <c r="A35" s="21" t="s">
        <v>74</v>
      </c>
      <c r="B35" s="21" t="s">
        <v>34</v>
      </c>
      <c r="C35" s="21"/>
      <c r="D35" s="21"/>
      <c r="E35" s="21"/>
      <c r="F35" s="21"/>
      <c r="G35" s="22">
        <v>0</v>
      </c>
      <c r="H35" s="21">
        <v>180</v>
      </c>
      <c r="I35" s="21">
        <v>9988377</v>
      </c>
      <c r="J35" s="21"/>
      <c r="K35" s="21"/>
      <c r="L35" s="21">
        <f t="shared" si="2"/>
        <v>0</v>
      </c>
      <c r="M35" s="21"/>
      <c r="N35" s="21"/>
      <c r="O35" s="21"/>
      <c r="P35" s="21">
        <f t="shared" si="3"/>
        <v>0</v>
      </c>
      <c r="Q35" s="23"/>
      <c r="R35" s="9">
        <f>IFERROR(VLOOKUP(A35,заказ!A:B,2,0),0)</f>
        <v>0</v>
      </c>
      <c r="S35" s="23"/>
      <c r="T35" s="21"/>
      <c r="U35" s="21" t="e">
        <f t="shared" si="4"/>
        <v>#DIV/0!</v>
      </c>
      <c r="V35" s="21" t="e">
        <f t="shared" si="5"/>
        <v>#DIV/0!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 t="s">
        <v>35</v>
      </c>
      <c r="AF35" s="21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</row>
    <row r="36" spans="1:51" x14ac:dyDescent="0.25">
      <c r="A36" s="12" t="s">
        <v>75</v>
      </c>
      <c r="B36" s="13" t="s">
        <v>34</v>
      </c>
      <c r="C36" s="13"/>
      <c r="D36" s="13"/>
      <c r="E36" s="13"/>
      <c r="F36" s="14"/>
      <c r="G36" s="7">
        <v>0.2</v>
      </c>
      <c r="H36" s="4">
        <v>120</v>
      </c>
      <c r="I36" s="4" t="s">
        <v>76</v>
      </c>
      <c r="J36" s="4"/>
      <c r="K36" s="4"/>
      <c r="L36" s="4">
        <f t="shared" si="2"/>
        <v>0</v>
      </c>
      <c r="M36" s="4"/>
      <c r="N36" s="4"/>
      <c r="O36" s="4"/>
      <c r="P36" s="4">
        <f t="shared" si="3"/>
        <v>0</v>
      </c>
      <c r="Q36" s="9">
        <f>20*(P36+P37)-L36-L37-F36-F37</f>
        <v>38</v>
      </c>
      <c r="R36" s="9">
        <f>IFERROR(VLOOKUP(A36,заказ!A:B,2,0),0)</f>
        <v>40</v>
      </c>
      <c r="S36" s="9"/>
      <c r="T36" s="4"/>
      <c r="U36" s="4" t="e">
        <f t="shared" si="4"/>
        <v>#DIV/0!</v>
      </c>
      <c r="V36" s="4" t="e">
        <f t="shared" si="5"/>
        <v>#DIV/0!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-0.2</v>
      </c>
      <c r="AE36" s="4" t="s">
        <v>77</v>
      </c>
      <c r="AF36" s="4">
        <f>G36*Q36</f>
        <v>7.6000000000000005</v>
      </c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</row>
    <row r="37" spans="1:51" ht="15.75" thickBot="1" x14ac:dyDescent="0.3">
      <c r="A37" s="15" t="s">
        <v>78</v>
      </c>
      <c r="B37" s="16" t="s">
        <v>34</v>
      </c>
      <c r="C37" s="16">
        <v>360</v>
      </c>
      <c r="D37" s="16"/>
      <c r="E37" s="16">
        <v>70</v>
      </c>
      <c r="F37" s="17">
        <v>242</v>
      </c>
      <c r="G37" s="18">
        <v>0</v>
      </c>
      <c r="H37" s="19" t="e">
        <v>#N/A</v>
      </c>
      <c r="I37" s="19" t="s">
        <v>63</v>
      </c>
      <c r="J37" s="19" t="s">
        <v>75</v>
      </c>
      <c r="K37" s="19">
        <v>70</v>
      </c>
      <c r="L37" s="19">
        <f t="shared" si="2"/>
        <v>0</v>
      </c>
      <c r="M37" s="19"/>
      <c r="N37" s="19"/>
      <c r="O37" s="19"/>
      <c r="P37" s="19">
        <f t="shared" si="3"/>
        <v>14</v>
      </c>
      <c r="Q37" s="20"/>
      <c r="R37" s="9">
        <f>IFERROR(VLOOKUP(A37,заказ!A:B,2,0),0)</f>
        <v>0</v>
      </c>
      <c r="S37" s="20"/>
      <c r="T37" s="19"/>
      <c r="U37" s="19">
        <f t="shared" si="4"/>
        <v>17.285714285714285</v>
      </c>
      <c r="V37" s="19">
        <f t="shared" si="5"/>
        <v>17.285714285714285</v>
      </c>
      <c r="W37" s="19">
        <v>15.2</v>
      </c>
      <c r="X37" s="19">
        <v>8.6</v>
      </c>
      <c r="Y37" s="19">
        <v>23.8</v>
      </c>
      <c r="Z37" s="19">
        <v>20.2</v>
      </c>
      <c r="AA37" s="19">
        <v>24.6</v>
      </c>
      <c r="AB37" s="19">
        <v>13.2</v>
      </c>
      <c r="AC37" s="19">
        <v>19.399999999999999</v>
      </c>
      <c r="AD37" s="19">
        <v>12.2</v>
      </c>
      <c r="AE37" s="19"/>
      <c r="AF37" s="19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</row>
    <row r="38" spans="1:51" x14ac:dyDescent="0.25">
      <c r="A38" s="12" t="s">
        <v>79</v>
      </c>
      <c r="B38" s="13" t="s">
        <v>61</v>
      </c>
      <c r="C38" s="13"/>
      <c r="D38" s="13"/>
      <c r="E38" s="13"/>
      <c r="F38" s="14"/>
      <c r="G38" s="7">
        <v>1</v>
      </c>
      <c r="H38" s="4">
        <v>120</v>
      </c>
      <c r="I38" s="4" t="s">
        <v>80</v>
      </c>
      <c r="J38" s="4"/>
      <c r="K38" s="4"/>
      <c r="L38" s="4">
        <f t="shared" si="2"/>
        <v>0</v>
      </c>
      <c r="M38" s="4"/>
      <c r="N38" s="4"/>
      <c r="O38" s="4"/>
      <c r="P38" s="4">
        <f t="shared" si="3"/>
        <v>0</v>
      </c>
      <c r="Q38" s="9"/>
      <c r="R38" s="9">
        <f>IFERROR(VLOOKUP(A38,заказ!A:B,2,0),0)</f>
        <v>0</v>
      </c>
      <c r="S38" s="9"/>
      <c r="T38" s="4"/>
      <c r="U38" s="4" t="e">
        <f t="shared" si="4"/>
        <v>#DIV/0!</v>
      </c>
      <c r="V38" s="4" t="e">
        <f t="shared" si="5"/>
        <v>#DIV/0!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 t="s">
        <v>81</v>
      </c>
      <c r="AF38" s="4">
        <f>G38*Q38</f>
        <v>0</v>
      </c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</row>
    <row r="39" spans="1:51" ht="15.75" thickBot="1" x14ac:dyDescent="0.3">
      <c r="A39" s="15" t="s">
        <v>82</v>
      </c>
      <c r="B39" s="16" t="s">
        <v>61</v>
      </c>
      <c r="C39" s="16">
        <v>95.524000000000001</v>
      </c>
      <c r="D39" s="16"/>
      <c r="E39" s="16">
        <v>9.5719999999999992</v>
      </c>
      <c r="F39" s="17">
        <v>85.951999999999998</v>
      </c>
      <c r="G39" s="18">
        <v>0</v>
      </c>
      <c r="H39" s="19" t="e">
        <v>#N/A</v>
      </c>
      <c r="I39" s="19" t="s">
        <v>63</v>
      </c>
      <c r="J39" s="19" t="s">
        <v>79</v>
      </c>
      <c r="K39" s="19">
        <v>8.1</v>
      </c>
      <c r="L39" s="19">
        <f t="shared" si="2"/>
        <v>1.4719999999999995</v>
      </c>
      <c r="M39" s="19"/>
      <c r="N39" s="19"/>
      <c r="O39" s="19"/>
      <c r="P39" s="19">
        <f t="shared" si="3"/>
        <v>1.9143999999999999</v>
      </c>
      <c r="Q39" s="20"/>
      <c r="R39" s="9">
        <f>IFERROR(VLOOKUP(A39,заказ!A:B,2,0),0)</f>
        <v>0</v>
      </c>
      <c r="S39" s="20"/>
      <c r="T39" s="19"/>
      <c r="U39" s="19">
        <f t="shared" si="4"/>
        <v>44.897618052653577</v>
      </c>
      <c r="V39" s="19">
        <f t="shared" si="5"/>
        <v>44.897618052653577</v>
      </c>
      <c r="W39" s="19">
        <v>1.8688</v>
      </c>
      <c r="X39" s="19">
        <v>3.9748000000000001</v>
      </c>
      <c r="Y39" s="19">
        <v>6.4563999999999986</v>
      </c>
      <c r="Z39" s="19">
        <v>3.8504</v>
      </c>
      <c r="AA39" s="19">
        <v>2.6360000000000001</v>
      </c>
      <c r="AB39" s="19">
        <v>5.1280000000000001</v>
      </c>
      <c r="AC39" s="19">
        <v>0</v>
      </c>
      <c r="AD39" s="19">
        <v>1.2889999999999999</v>
      </c>
      <c r="AE39" s="25" t="s">
        <v>43</v>
      </c>
      <c r="AF39" s="19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</row>
    <row r="40" spans="1:51" x14ac:dyDescent="0.25">
      <c r="A40" s="12" t="s">
        <v>83</v>
      </c>
      <c r="B40" s="13" t="s">
        <v>34</v>
      </c>
      <c r="C40" s="13"/>
      <c r="D40" s="13"/>
      <c r="E40" s="13"/>
      <c r="F40" s="14"/>
      <c r="G40" s="7">
        <v>0.2</v>
      </c>
      <c r="H40" s="4">
        <v>120</v>
      </c>
      <c r="I40" s="4" t="s">
        <v>84</v>
      </c>
      <c r="J40" s="4"/>
      <c r="K40" s="4"/>
      <c r="L40" s="4">
        <f t="shared" si="2"/>
        <v>0</v>
      </c>
      <c r="M40" s="4"/>
      <c r="N40" s="4"/>
      <c r="O40" s="4"/>
      <c r="P40" s="4">
        <f t="shared" si="3"/>
        <v>0</v>
      </c>
      <c r="Q40" s="9"/>
      <c r="R40" s="9">
        <f>IFERROR(VLOOKUP(A40,заказ!A:B,2,0),0)</f>
        <v>0</v>
      </c>
      <c r="S40" s="9"/>
      <c r="T40" s="4"/>
      <c r="U40" s="4" t="e">
        <f t="shared" si="4"/>
        <v>#DIV/0!</v>
      </c>
      <c r="V40" s="4" t="e">
        <f t="shared" si="5"/>
        <v>#DIV/0!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 t="s">
        <v>85</v>
      </c>
      <c r="AF40" s="4">
        <f>G40*Q40</f>
        <v>0</v>
      </c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</row>
    <row r="41" spans="1:51" ht="15.75" thickBot="1" x14ac:dyDescent="0.3">
      <c r="A41" s="15" t="s">
        <v>86</v>
      </c>
      <c r="B41" s="16" t="s">
        <v>34</v>
      </c>
      <c r="C41" s="16">
        <v>318</v>
      </c>
      <c r="D41" s="16"/>
      <c r="E41" s="16">
        <v>51</v>
      </c>
      <c r="F41" s="17">
        <v>234</v>
      </c>
      <c r="G41" s="18">
        <v>0</v>
      </c>
      <c r="H41" s="19" t="e">
        <v>#N/A</v>
      </c>
      <c r="I41" s="19" t="s">
        <v>63</v>
      </c>
      <c r="J41" s="19" t="s">
        <v>83</v>
      </c>
      <c r="K41" s="19">
        <v>51</v>
      </c>
      <c r="L41" s="19">
        <f t="shared" si="2"/>
        <v>0</v>
      </c>
      <c r="M41" s="19"/>
      <c r="N41" s="19"/>
      <c r="O41" s="19"/>
      <c r="P41" s="19">
        <f t="shared" si="3"/>
        <v>10.199999999999999</v>
      </c>
      <c r="Q41" s="20"/>
      <c r="R41" s="9">
        <f>IFERROR(VLOOKUP(A41,заказ!A:B,2,0),0)</f>
        <v>0</v>
      </c>
      <c r="S41" s="20"/>
      <c r="T41" s="19"/>
      <c r="U41" s="19">
        <f t="shared" si="4"/>
        <v>22.941176470588236</v>
      </c>
      <c r="V41" s="19">
        <f t="shared" si="5"/>
        <v>22.941176470588236</v>
      </c>
      <c r="W41" s="19">
        <v>11.4</v>
      </c>
      <c r="X41" s="19">
        <v>6.2</v>
      </c>
      <c r="Y41" s="19">
        <v>15.8</v>
      </c>
      <c r="Z41" s="19">
        <v>14.8</v>
      </c>
      <c r="AA41" s="19">
        <v>17</v>
      </c>
      <c r="AB41" s="19">
        <v>14</v>
      </c>
      <c r="AC41" s="19">
        <v>11.6</v>
      </c>
      <c r="AD41" s="19">
        <v>11.2</v>
      </c>
      <c r="AE41" s="24" t="s">
        <v>55</v>
      </c>
      <c r="AF41" s="19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</row>
    <row r="42" spans="1:51" x14ac:dyDescent="0.25">
      <c r="A42" s="12" t="s">
        <v>87</v>
      </c>
      <c r="B42" s="13" t="s">
        <v>61</v>
      </c>
      <c r="C42" s="13"/>
      <c r="D42" s="13"/>
      <c r="E42" s="13"/>
      <c r="F42" s="14"/>
      <c r="G42" s="7">
        <v>1</v>
      </c>
      <c r="H42" s="4">
        <v>120</v>
      </c>
      <c r="I42" s="4" t="s">
        <v>88</v>
      </c>
      <c r="J42" s="4"/>
      <c r="K42" s="4"/>
      <c r="L42" s="4">
        <f t="shared" si="2"/>
        <v>0</v>
      </c>
      <c r="M42" s="4"/>
      <c r="N42" s="4"/>
      <c r="O42" s="4"/>
      <c r="P42" s="4">
        <f t="shared" si="3"/>
        <v>0</v>
      </c>
      <c r="Q42" s="9"/>
      <c r="R42" s="9">
        <f>IFERROR(VLOOKUP(A42,заказ!A:B,2,0),0)</f>
        <v>0</v>
      </c>
      <c r="S42" s="9"/>
      <c r="T42" s="4"/>
      <c r="U42" s="4" t="e">
        <f t="shared" si="4"/>
        <v>#DIV/0!</v>
      </c>
      <c r="V42" s="4" t="e">
        <f t="shared" si="5"/>
        <v>#DIV/0!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0.71440000000000003</v>
      </c>
      <c r="AD42" s="4">
        <v>0.72240000000000004</v>
      </c>
      <c r="AE42" s="4" t="s">
        <v>89</v>
      </c>
      <c r="AF42" s="4">
        <f>G42*Q42</f>
        <v>0</v>
      </c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</row>
    <row r="43" spans="1:51" ht="15.75" thickBot="1" x14ac:dyDescent="0.3">
      <c r="A43" s="15" t="s">
        <v>90</v>
      </c>
      <c r="B43" s="16" t="s">
        <v>61</v>
      </c>
      <c r="C43" s="16">
        <v>1.6240000000000001</v>
      </c>
      <c r="D43" s="16">
        <v>71.042000000000002</v>
      </c>
      <c r="E43" s="16"/>
      <c r="F43" s="17">
        <v>72.665999999999997</v>
      </c>
      <c r="G43" s="18">
        <v>0</v>
      </c>
      <c r="H43" s="19" t="e">
        <v>#N/A</v>
      </c>
      <c r="I43" s="19" t="s">
        <v>63</v>
      </c>
      <c r="J43" s="19" t="s">
        <v>87</v>
      </c>
      <c r="K43" s="19">
        <v>5</v>
      </c>
      <c r="L43" s="19">
        <f t="shared" si="2"/>
        <v>-5</v>
      </c>
      <c r="M43" s="19"/>
      <c r="N43" s="19"/>
      <c r="O43" s="19"/>
      <c r="P43" s="19">
        <f t="shared" si="3"/>
        <v>0</v>
      </c>
      <c r="Q43" s="20"/>
      <c r="R43" s="9">
        <f>IFERROR(VLOOKUP(A43,заказ!A:B,2,0),0)</f>
        <v>0</v>
      </c>
      <c r="S43" s="20"/>
      <c r="T43" s="19"/>
      <c r="U43" s="19" t="e">
        <f t="shared" si="4"/>
        <v>#DIV/0!</v>
      </c>
      <c r="V43" s="19" t="e">
        <f t="shared" si="5"/>
        <v>#DIV/0!</v>
      </c>
      <c r="W43" s="19">
        <v>5.6752000000000002</v>
      </c>
      <c r="X43" s="19">
        <v>0</v>
      </c>
      <c r="Y43" s="19">
        <v>2.0851999999999999</v>
      </c>
      <c r="Z43" s="19">
        <v>2.0992000000000002</v>
      </c>
      <c r="AA43" s="19">
        <v>0</v>
      </c>
      <c r="AB43" s="19">
        <v>4.1436000000000002</v>
      </c>
      <c r="AC43" s="19">
        <v>1.3952</v>
      </c>
      <c r="AD43" s="19">
        <v>1.4543999999999999</v>
      </c>
      <c r="AE43" s="19"/>
      <c r="AF43" s="19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</row>
    <row r="44" spans="1:51" x14ac:dyDescent="0.25">
      <c r="A44" s="10"/>
      <c r="B44" s="10"/>
      <c r="C44" s="10"/>
      <c r="D44" s="10"/>
      <c r="E44" s="10"/>
      <c r="F44" s="10"/>
      <c r="G44" s="11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</row>
    <row r="45" spans="1:51" x14ac:dyDescent="0.25">
      <c r="A45" s="4" t="s">
        <v>45</v>
      </c>
      <c r="B45" s="4" t="s">
        <v>34</v>
      </c>
      <c r="C45" s="4">
        <v>74</v>
      </c>
      <c r="D45" s="4"/>
      <c r="E45" s="4">
        <v>10</v>
      </c>
      <c r="F45" s="4">
        <v>60</v>
      </c>
      <c r="G45" s="7">
        <v>0.18</v>
      </c>
      <c r="H45" s="4">
        <v>120</v>
      </c>
      <c r="I45" s="4"/>
      <c r="J45" s="4"/>
      <c r="K45" s="4">
        <v>10</v>
      </c>
      <c r="L45" s="4">
        <f>E45-K45</f>
        <v>0</v>
      </c>
      <c r="M45" s="4"/>
      <c r="N45" s="4"/>
      <c r="O45" s="4"/>
      <c r="P45" s="4">
        <f>E45/5</f>
        <v>2</v>
      </c>
      <c r="Q45" s="9"/>
      <c r="R45" s="9"/>
      <c r="S45" s="9"/>
      <c r="T45" s="4"/>
      <c r="U45" s="4">
        <f>(F45+Q45)/P45</f>
        <v>30</v>
      </c>
      <c r="V45" s="4">
        <f>F45/P45</f>
        <v>30</v>
      </c>
      <c r="W45" s="4">
        <v>2.8</v>
      </c>
      <c r="X45" s="4">
        <v>2.4</v>
      </c>
      <c r="Y45" s="4">
        <v>1.6</v>
      </c>
      <c r="Z45" s="4">
        <v>2.8</v>
      </c>
      <c r="AA45" s="4">
        <v>7.8</v>
      </c>
      <c r="AB45" s="4">
        <v>1.4</v>
      </c>
      <c r="AC45" s="4">
        <v>1.4</v>
      </c>
      <c r="AD45" s="4">
        <v>5.6</v>
      </c>
      <c r="AE45" s="24" t="s">
        <v>46</v>
      </c>
      <c r="AF45" s="4">
        <f>G45*Q45</f>
        <v>0</v>
      </c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</row>
    <row r="46" spans="1:51" x14ac:dyDescent="0.25">
      <c r="A46" s="4" t="s">
        <v>47</v>
      </c>
      <c r="B46" s="4" t="s">
        <v>34</v>
      </c>
      <c r="C46" s="4">
        <v>9</v>
      </c>
      <c r="D46" s="4">
        <v>40</v>
      </c>
      <c r="E46" s="4">
        <v>7</v>
      </c>
      <c r="F46" s="4">
        <v>40</v>
      </c>
      <c r="G46" s="7">
        <v>0.18</v>
      </c>
      <c r="H46" s="4">
        <v>120</v>
      </c>
      <c r="I46" s="4"/>
      <c r="J46" s="4"/>
      <c r="K46" s="4">
        <v>8</v>
      </c>
      <c r="L46" s="4">
        <f>E46-K46</f>
        <v>-1</v>
      </c>
      <c r="M46" s="4"/>
      <c r="N46" s="4"/>
      <c r="O46" s="4"/>
      <c r="P46" s="4">
        <f>E46/5</f>
        <v>1.4</v>
      </c>
      <c r="Q46" s="9"/>
      <c r="R46" s="9"/>
      <c r="S46" s="9"/>
      <c r="T46" s="4"/>
      <c r="U46" s="4">
        <f>(F46+Q46)/P46</f>
        <v>28.571428571428573</v>
      </c>
      <c r="V46" s="4">
        <f>F46/P46</f>
        <v>28.571428571428573</v>
      </c>
      <c r="W46" s="4">
        <v>2.2000000000000002</v>
      </c>
      <c r="X46" s="4">
        <v>3.6</v>
      </c>
      <c r="Y46" s="4">
        <v>1.4</v>
      </c>
      <c r="Z46" s="4">
        <v>3.6</v>
      </c>
      <c r="AA46" s="4">
        <v>4.4000000000000004</v>
      </c>
      <c r="AB46" s="4">
        <v>0.8</v>
      </c>
      <c r="AC46" s="4">
        <v>0.8</v>
      </c>
      <c r="AD46" s="4">
        <v>4</v>
      </c>
      <c r="AE46" s="24" t="s">
        <v>46</v>
      </c>
      <c r="AF46" s="4">
        <f>G46*Q46</f>
        <v>0</v>
      </c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</row>
    <row r="47" spans="1:51" x14ac:dyDescent="0.25">
      <c r="A47" s="21" t="s">
        <v>33</v>
      </c>
      <c r="B47" s="21" t="s">
        <v>34</v>
      </c>
      <c r="C47" s="21"/>
      <c r="D47" s="21"/>
      <c r="E47" s="21"/>
      <c r="F47" s="21"/>
      <c r="G47" s="22">
        <v>0</v>
      </c>
      <c r="H47" s="21"/>
      <c r="I47" s="21">
        <v>4421577</v>
      </c>
      <c r="J47" s="21"/>
      <c r="K47" s="21"/>
      <c r="L47" s="21">
        <f>E47-K47</f>
        <v>0</v>
      </c>
      <c r="M47" s="21"/>
      <c r="N47" s="21"/>
      <c r="O47" s="21"/>
      <c r="P47" s="21">
        <f>E47/5</f>
        <v>0</v>
      </c>
      <c r="Q47" s="23"/>
      <c r="R47" s="23"/>
      <c r="S47" s="23"/>
      <c r="T47" s="21"/>
      <c r="U47" s="21" t="e">
        <f>(F47+Q47)/P47</f>
        <v>#DIV/0!</v>
      </c>
      <c r="V47" s="21" t="e">
        <f>F47/P47</f>
        <v>#DIV/0!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 t="s">
        <v>35</v>
      </c>
      <c r="AF47" s="21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</row>
    <row r="48" spans="1:51" x14ac:dyDescent="0.25">
      <c r="A48" s="21" t="s">
        <v>36</v>
      </c>
      <c r="B48" s="21" t="s">
        <v>34</v>
      </c>
      <c r="C48" s="21"/>
      <c r="D48" s="21"/>
      <c r="E48" s="21"/>
      <c r="F48" s="21"/>
      <c r="G48" s="22">
        <v>0</v>
      </c>
      <c r="H48" s="21"/>
      <c r="I48" s="21">
        <v>4421584</v>
      </c>
      <c r="J48" s="21"/>
      <c r="K48" s="21"/>
      <c r="L48" s="21">
        <f>E48-K48</f>
        <v>0</v>
      </c>
      <c r="M48" s="21"/>
      <c r="N48" s="21"/>
      <c r="O48" s="21"/>
      <c r="P48" s="21">
        <f>E48/5</f>
        <v>0</v>
      </c>
      <c r="Q48" s="23"/>
      <c r="R48" s="23"/>
      <c r="S48" s="23"/>
      <c r="T48" s="21"/>
      <c r="U48" s="21" t="e">
        <f>(F48+Q48)/P48</f>
        <v>#DIV/0!</v>
      </c>
      <c r="V48" s="21" t="e">
        <f>F48/P48</f>
        <v>#DIV/0!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 t="s">
        <v>35</v>
      </c>
      <c r="AF48" s="21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</row>
    <row r="49" spans="1:51" x14ac:dyDescent="0.25">
      <c r="A49" s="4"/>
      <c r="B49" s="4"/>
      <c r="C49" s="4"/>
      <c r="D49" s="4"/>
      <c r="E49" s="4"/>
      <c r="F49" s="4"/>
      <c r="G49" s="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</row>
    <row r="50" spans="1:51" x14ac:dyDescent="0.25">
      <c r="A50" s="4"/>
      <c r="B50" s="4"/>
      <c r="C50" s="4"/>
      <c r="D50" s="4"/>
      <c r="E50" s="4"/>
      <c r="F50" s="4"/>
      <c r="G50" s="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</row>
    <row r="51" spans="1:51" x14ac:dyDescent="0.25">
      <c r="A51" s="4"/>
      <c r="B51" s="4"/>
      <c r="C51" s="4"/>
      <c r="D51" s="4"/>
      <c r="E51" s="4"/>
      <c r="F51" s="4"/>
      <c r="G51" s="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</row>
    <row r="52" spans="1:51" x14ac:dyDescent="0.25">
      <c r="A52" s="4"/>
      <c r="B52" s="4"/>
      <c r="C52" s="4"/>
      <c r="D52" s="4"/>
      <c r="E52" s="4"/>
      <c r="F52" s="4"/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</row>
    <row r="53" spans="1:51" x14ac:dyDescent="0.25">
      <c r="A53" s="4"/>
      <c r="B53" s="4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</row>
    <row r="54" spans="1:51" x14ac:dyDescent="0.25">
      <c r="A54" s="4"/>
      <c r="B54" s="4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</row>
    <row r="55" spans="1:51" x14ac:dyDescent="0.25">
      <c r="A55" s="4"/>
      <c r="B55" s="4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</row>
    <row r="56" spans="1:51" x14ac:dyDescent="0.25">
      <c r="A56" s="4"/>
      <c r="B56" s="4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</row>
    <row r="57" spans="1:51" x14ac:dyDescent="0.25">
      <c r="A57" s="4"/>
      <c r="B57" s="4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spans="1:51" x14ac:dyDescent="0.25">
      <c r="A58" s="4"/>
      <c r="B58" s="4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</row>
    <row r="59" spans="1:51" x14ac:dyDescent="0.2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spans="1:51" x14ac:dyDescent="0.2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</row>
    <row r="61" spans="1:51" x14ac:dyDescent="0.2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</row>
    <row r="62" spans="1:51" x14ac:dyDescent="0.25">
      <c r="A62" s="4"/>
      <c r="B62" s="4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</row>
    <row r="63" spans="1:51" x14ac:dyDescent="0.25">
      <c r="A63" s="4"/>
      <c r="B63" s="4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</row>
    <row r="64" spans="1:51" x14ac:dyDescent="0.25">
      <c r="A64" s="4"/>
      <c r="B64" s="4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</row>
    <row r="65" spans="1:51" x14ac:dyDescent="0.25">
      <c r="A65" s="4"/>
      <c r="B65" s="4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</row>
    <row r="66" spans="1:51" x14ac:dyDescent="0.25">
      <c r="A66" s="4"/>
      <c r="B66" s="4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</row>
    <row r="67" spans="1:51" x14ac:dyDescent="0.25">
      <c r="A67" s="4"/>
      <c r="B67" s="4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</row>
    <row r="68" spans="1:51" x14ac:dyDescent="0.25">
      <c r="A68" s="4"/>
      <c r="B68" s="4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</row>
    <row r="69" spans="1:51" x14ac:dyDescent="0.25">
      <c r="A69" s="4"/>
      <c r="B69" s="4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</row>
    <row r="70" spans="1:51" x14ac:dyDescent="0.25">
      <c r="A70" s="4"/>
      <c r="B70" s="4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  <row r="71" spans="1:51" x14ac:dyDescent="0.25">
      <c r="A71" s="4"/>
      <c r="B71" s="4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</row>
    <row r="72" spans="1:51" x14ac:dyDescent="0.25">
      <c r="A72" s="4"/>
      <c r="B72" s="4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</row>
    <row r="73" spans="1:51" x14ac:dyDescent="0.25">
      <c r="A73" s="4"/>
      <c r="B73" s="4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</row>
    <row r="74" spans="1:51" x14ac:dyDescent="0.25">
      <c r="A74" s="4"/>
      <c r="B74" s="4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</row>
    <row r="75" spans="1:51" x14ac:dyDescent="0.25">
      <c r="A75" s="4"/>
      <c r="B75" s="4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</row>
    <row r="76" spans="1:51" x14ac:dyDescent="0.25">
      <c r="A76" s="4"/>
      <c r="B76" s="4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</row>
    <row r="77" spans="1:51" x14ac:dyDescent="0.25">
      <c r="A77" s="4"/>
      <c r="B77" s="4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</row>
    <row r="78" spans="1:51" x14ac:dyDescent="0.25">
      <c r="A78" s="4"/>
      <c r="B78" s="4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</row>
    <row r="79" spans="1:51" x14ac:dyDescent="0.25">
      <c r="A79" s="4"/>
      <c r="B79" s="4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</row>
    <row r="80" spans="1:51" x14ac:dyDescent="0.25">
      <c r="A80" s="4"/>
      <c r="B80" s="4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</row>
    <row r="81" spans="1:51" x14ac:dyDescent="0.25">
      <c r="A81" s="4"/>
      <c r="B81" s="4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</row>
    <row r="82" spans="1:51" x14ac:dyDescent="0.25">
      <c r="A82" s="4"/>
      <c r="B82" s="4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</row>
    <row r="83" spans="1:51" x14ac:dyDescent="0.25">
      <c r="A83" s="4"/>
      <c r="B83" s="4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</row>
    <row r="84" spans="1:51" x14ac:dyDescent="0.25">
      <c r="A84" s="4"/>
      <c r="B84" s="4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</row>
    <row r="85" spans="1:51" x14ac:dyDescent="0.25">
      <c r="A85" s="4"/>
      <c r="B85" s="4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</row>
    <row r="86" spans="1:51" x14ac:dyDescent="0.25">
      <c r="A86" s="4"/>
      <c r="B86" s="4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</row>
    <row r="87" spans="1:51" x14ac:dyDescent="0.25">
      <c r="A87" s="4"/>
      <c r="B87" s="4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</row>
    <row r="88" spans="1:51" x14ac:dyDescent="0.25">
      <c r="A88" s="4"/>
      <c r="B88" s="4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</row>
    <row r="89" spans="1:51" x14ac:dyDescent="0.25">
      <c r="A89" s="4"/>
      <c r="B89" s="4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</row>
    <row r="90" spans="1:51" x14ac:dyDescent="0.25">
      <c r="A90" s="4"/>
      <c r="B90" s="4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</row>
    <row r="91" spans="1:51" x14ac:dyDescent="0.25">
      <c r="A91" s="4"/>
      <c r="B91" s="4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</row>
    <row r="92" spans="1:51" x14ac:dyDescent="0.25">
      <c r="A92" s="4"/>
      <c r="B92" s="4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</row>
    <row r="93" spans="1:51" x14ac:dyDescent="0.25">
      <c r="A93" s="4"/>
      <c r="B93" s="4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</row>
    <row r="94" spans="1:51" x14ac:dyDescent="0.25">
      <c r="A94" s="4"/>
      <c r="B94" s="4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</row>
    <row r="95" spans="1:51" x14ac:dyDescent="0.25">
      <c r="A95" s="4"/>
      <c r="B95" s="4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</row>
    <row r="96" spans="1:51" x14ac:dyDescent="0.25">
      <c r="A96" s="4"/>
      <c r="B96" s="4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</row>
    <row r="97" spans="1:51" x14ac:dyDescent="0.25">
      <c r="A97" s="4"/>
      <c r="B97" s="4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</row>
    <row r="98" spans="1:51" x14ac:dyDescent="0.25">
      <c r="A98" s="4"/>
      <c r="B98" s="4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</row>
    <row r="99" spans="1:51" x14ac:dyDescent="0.25">
      <c r="A99" s="4"/>
      <c r="B99" s="4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</row>
    <row r="100" spans="1:51" x14ac:dyDescent="0.25">
      <c r="A100" s="4"/>
      <c r="B100" s="4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</row>
    <row r="101" spans="1:51" x14ac:dyDescent="0.25">
      <c r="A101" s="4"/>
      <c r="B101" s="4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</row>
    <row r="102" spans="1:51" x14ac:dyDescent="0.25">
      <c r="A102" s="4"/>
      <c r="B102" s="4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</row>
    <row r="103" spans="1:51" x14ac:dyDescent="0.25">
      <c r="A103" s="4"/>
      <c r="B103" s="4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</row>
    <row r="104" spans="1:51" x14ac:dyDescent="0.25">
      <c r="A104" s="4"/>
      <c r="B104" s="4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</row>
    <row r="105" spans="1:51" x14ac:dyDescent="0.25">
      <c r="A105" s="4"/>
      <c r="B105" s="4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</row>
    <row r="106" spans="1:51" x14ac:dyDescent="0.25">
      <c r="A106" s="4"/>
      <c r="B106" s="4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</row>
    <row r="107" spans="1:51" x14ac:dyDescent="0.25">
      <c r="A107" s="4"/>
      <c r="B107" s="4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</row>
    <row r="108" spans="1:51" x14ac:dyDescent="0.25">
      <c r="A108" s="4"/>
      <c r="B108" s="4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</row>
    <row r="109" spans="1:51" x14ac:dyDescent="0.25">
      <c r="A109" s="4"/>
      <c r="B109" s="4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</row>
    <row r="110" spans="1:51" x14ac:dyDescent="0.25">
      <c r="A110" s="4"/>
      <c r="B110" s="4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</row>
    <row r="111" spans="1:51" x14ac:dyDescent="0.25">
      <c r="A111" s="4"/>
      <c r="B111" s="4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</row>
    <row r="112" spans="1:51" x14ac:dyDescent="0.25">
      <c r="A112" s="4"/>
      <c r="B112" s="4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</row>
    <row r="113" spans="1:51" x14ac:dyDescent="0.25">
      <c r="A113" s="4"/>
      <c r="B113" s="4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</row>
    <row r="114" spans="1:51" x14ac:dyDescent="0.25">
      <c r="A114" s="4"/>
      <c r="B114" s="4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</row>
    <row r="115" spans="1:51" x14ac:dyDescent="0.25">
      <c r="A115" s="4"/>
      <c r="B115" s="4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</row>
    <row r="116" spans="1:51" x14ac:dyDescent="0.25">
      <c r="A116" s="4"/>
      <c r="B116" s="4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</row>
    <row r="117" spans="1:51" x14ac:dyDescent="0.25">
      <c r="A117" s="4"/>
      <c r="B117" s="4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</row>
    <row r="118" spans="1:51" x14ac:dyDescent="0.25">
      <c r="A118" s="4"/>
      <c r="B118" s="4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</row>
    <row r="119" spans="1:51" x14ac:dyDescent="0.25">
      <c r="A119" s="4"/>
      <c r="B119" s="4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</row>
    <row r="120" spans="1:51" x14ac:dyDescent="0.25">
      <c r="A120" s="4"/>
      <c r="B120" s="4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</row>
    <row r="121" spans="1:51" x14ac:dyDescent="0.25">
      <c r="A121" s="4"/>
      <c r="B121" s="4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</row>
    <row r="122" spans="1:51" x14ac:dyDescent="0.25">
      <c r="A122" s="4"/>
      <c r="B122" s="4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</row>
    <row r="123" spans="1:51" x14ac:dyDescent="0.25">
      <c r="A123" s="4"/>
      <c r="B123" s="4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</row>
    <row r="124" spans="1:51" x14ac:dyDescent="0.25">
      <c r="A124" s="4"/>
      <c r="B124" s="4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</row>
    <row r="125" spans="1:51" x14ac:dyDescent="0.25">
      <c r="A125" s="4"/>
      <c r="B125" s="4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</row>
    <row r="126" spans="1:51" x14ac:dyDescent="0.25">
      <c r="A126" s="4"/>
      <c r="B126" s="4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</row>
    <row r="127" spans="1:51" x14ac:dyDescent="0.25">
      <c r="A127" s="4"/>
      <c r="B127" s="4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</row>
    <row r="128" spans="1:51" x14ac:dyDescent="0.25">
      <c r="A128" s="4"/>
      <c r="B128" s="4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</row>
    <row r="129" spans="1:51" x14ac:dyDescent="0.25">
      <c r="A129" s="4"/>
      <c r="B129" s="4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</row>
    <row r="130" spans="1:51" x14ac:dyDescent="0.25">
      <c r="A130" s="4"/>
      <c r="B130" s="4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</row>
    <row r="131" spans="1:51" x14ac:dyDescent="0.25">
      <c r="A131" s="4"/>
      <c r="B131" s="4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</row>
    <row r="132" spans="1:51" x14ac:dyDescent="0.25">
      <c r="A132" s="4"/>
      <c r="B132" s="4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</row>
    <row r="133" spans="1:51" x14ac:dyDescent="0.25">
      <c r="A133" s="4"/>
      <c r="B133" s="4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</row>
    <row r="134" spans="1:51" x14ac:dyDescent="0.25">
      <c r="A134" s="4"/>
      <c r="B134" s="4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</row>
    <row r="135" spans="1:51" x14ac:dyDescent="0.25">
      <c r="A135" s="4"/>
      <c r="B135" s="4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</row>
    <row r="136" spans="1:51" x14ac:dyDescent="0.25">
      <c r="A136" s="4"/>
      <c r="B136" s="4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</row>
    <row r="137" spans="1:51" x14ac:dyDescent="0.25">
      <c r="A137" s="4"/>
      <c r="B137" s="4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</row>
    <row r="138" spans="1:51" x14ac:dyDescent="0.25">
      <c r="A138" s="4"/>
      <c r="B138" s="4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</row>
    <row r="139" spans="1:51" x14ac:dyDescent="0.25">
      <c r="A139" s="4"/>
      <c r="B139" s="4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</row>
    <row r="140" spans="1:51" x14ac:dyDescent="0.25">
      <c r="A140" s="4"/>
      <c r="B140" s="4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</row>
    <row r="141" spans="1:51" x14ac:dyDescent="0.25">
      <c r="A141" s="4"/>
      <c r="B141" s="4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</row>
    <row r="142" spans="1:51" x14ac:dyDescent="0.25">
      <c r="A142" s="4"/>
      <c r="B142" s="4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</row>
    <row r="143" spans="1:51" x14ac:dyDescent="0.25">
      <c r="A143" s="4"/>
      <c r="B143" s="4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</row>
    <row r="144" spans="1:51" x14ac:dyDescent="0.25">
      <c r="A144" s="4"/>
      <c r="B144" s="4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</row>
    <row r="145" spans="1:51" x14ac:dyDescent="0.25">
      <c r="A145" s="4"/>
      <c r="B145" s="4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</row>
    <row r="146" spans="1:51" x14ac:dyDescent="0.25">
      <c r="A146" s="4"/>
      <c r="B146" s="4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</row>
    <row r="147" spans="1:51" x14ac:dyDescent="0.25">
      <c r="A147" s="4"/>
      <c r="B147" s="4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</row>
    <row r="148" spans="1:51" x14ac:dyDescent="0.25">
      <c r="A148" s="4"/>
      <c r="B148" s="4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</row>
    <row r="149" spans="1:51" x14ac:dyDescent="0.25">
      <c r="A149" s="4"/>
      <c r="B149" s="4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</row>
    <row r="150" spans="1:51" x14ac:dyDescent="0.25">
      <c r="A150" s="4"/>
      <c r="B150" s="4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</row>
    <row r="151" spans="1:51" x14ac:dyDescent="0.25">
      <c r="A151" s="4"/>
      <c r="B151" s="4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</row>
    <row r="152" spans="1:51" x14ac:dyDescent="0.25">
      <c r="A152" s="4"/>
      <c r="B152" s="4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</row>
    <row r="153" spans="1:51" x14ac:dyDescent="0.25">
      <c r="A153" s="4"/>
      <c r="B153" s="4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</row>
    <row r="154" spans="1:51" x14ac:dyDescent="0.25">
      <c r="A154" s="4"/>
      <c r="B154" s="4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</row>
    <row r="155" spans="1:51" x14ac:dyDescent="0.25">
      <c r="A155" s="4"/>
      <c r="B155" s="4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</row>
    <row r="156" spans="1:51" x14ac:dyDescent="0.25">
      <c r="A156" s="4"/>
      <c r="B156" s="4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</row>
    <row r="157" spans="1:51" x14ac:dyDescent="0.25">
      <c r="A157" s="4"/>
      <c r="B157" s="4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</row>
    <row r="158" spans="1:51" x14ac:dyDescent="0.25">
      <c r="A158" s="4"/>
      <c r="B158" s="4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</row>
    <row r="159" spans="1:51" x14ac:dyDescent="0.25">
      <c r="A159" s="4"/>
      <c r="B159" s="4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</row>
    <row r="160" spans="1:51" x14ac:dyDescent="0.25">
      <c r="A160" s="4"/>
      <c r="B160" s="4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</row>
    <row r="161" spans="1:51" x14ac:dyDescent="0.25">
      <c r="A161" s="4"/>
      <c r="B161" s="4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</row>
    <row r="162" spans="1:51" x14ac:dyDescent="0.25">
      <c r="A162" s="4"/>
      <c r="B162" s="4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</row>
    <row r="163" spans="1:51" x14ac:dyDescent="0.25">
      <c r="A163" s="4"/>
      <c r="B163" s="4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</row>
    <row r="164" spans="1:51" x14ac:dyDescent="0.25">
      <c r="A164" s="4"/>
      <c r="B164" s="4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</row>
    <row r="165" spans="1:51" x14ac:dyDescent="0.25">
      <c r="A165" s="4"/>
      <c r="B165" s="4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</row>
    <row r="166" spans="1:51" x14ac:dyDescent="0.25">
      <c r="A166" s="4"/>
      <c r="B166" s="4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</row>
    <row r="167" spans="1:51" x14ac:dyDescent="0.25">
      <c r="A167" s="4"/>
      <c r="B167" s="4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</row>
    <row r="168" spans="1:51" x14ac:dyDescent="0.25">
      <c r="A168" s="4"/>
      <c r="B168" s="4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</row>
    <row r="169" spans="1:51" x14ac:dyDescent="0.25">
      <c r="A169" s="4"/>
      <c r="B169" s="4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</row>
    <row r="170" spans="1:51" x14ac:dyDescent="0.25">
      <c r="A170" s="4"/>
      <c r="B170" s="4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</row>
    <row r="171" spans="1:51" x14ac:dyDescent="0.25">
      <c r="A171" s="4"/>
      <c r="B171" s="4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</row>
    <row r="172" spans="1:51" x14ac:dyDescent="0.25">
      <c r="A172" s="4"/>
      <c r="B172" s="4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</row>
    <row r="173" spans="1:51" x14ac:dyDescent="0.25">
      <c r="A173" s="4"/>
      <c r="B173" s="4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</row>
    <row r="174" spans="1:51" x14ac:dyDescent="0.25">
      <c r="A174" s="4"/>
      <c r="B174" s="4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</row>
    <row r="175" spans="1:51" x14ac:dyDescent="0.25">
      <c r="A175" s="4"/>
      <c r="B175" s="4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</row>
    <row r="176" spans="1:51" x14ac:dyDescent="0.25">
      <c r="A176" s="4"/>
      <c r="B176" s="4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</row>
    <row r="177" spans="1:51" x14ac:dyDescent="0.25">
      <c r="A177" s="4"/>
      <c r="B177" s="4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</row>
    <row r="178" spans="1:51" x14ac:dyDescent="0.25">
      <c r="A178" s="4"/>
      <c r="B178" s="4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</row>
    <row r="179" spans="1:51" x14ac:dyDescent="0.25">
      <c r="A179" s="4"/>
      <c r="B179" s="4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</row>
    <row r="180" spans="1:51" x14ac:dyDescent="0.25">
      <c r="A180" s="4"/>
      <c r="B180" s="4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</row>
    <row r="181" spans="1:51" x14ac:dyDescent="0.25">
      <c r="A181" s="4"/>
      <c r="B181" s="4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</row>
    <row r="182" spans="1:51" x14ac:dyDescent="0.25">
      <c r="A182" s="4"/>
      <c r="B182" s="4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</row>
    <row r="183" spans="1:51" x14ac:dyDescent="0.25">
      <c r="A183" s="4"/>
      <c r="B183" s="4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</row>
    <row r="184" spans="1:51" x14ac:dyDescent="0.25">
      <c r="A184" s="4"/>
      <c r="B184" s="4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</row>
    <row r="185" spans="1:51" x14ac:dyDescent="0.25">
      <c r="A185" s="4"/>
      <c r="B185" s="4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</row>
    <row r="186" spans="1:51" x14ac:dyDescent="0.25">
      <c r="A186" s="4"/>
      <c r="B186" s="4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</row>
    <row r="187" spans="1:51" x14ac:dyDescent="0.25">
      <c r="A187" s="4"/>
      <c r="B187" s="4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</row>
    <row r="188" spans="1:51" x14ac:dyDescent="0.25">
      <c r="A188" s="4"/>
      <c r="B188" s="4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</row>
    <row r="189" spans="1:51" x14ac:dyDescent="0.25">
      <c r="A189" s="4"/>
      <c r="B189" s="4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</row>
    <row r="190" spans="1:51" x14ac:dyDescent="0.25">
      <c r="A190" s="4"/>
      <c r="B190" s="4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</row>
    <row r="191" spans="1:51" x14ac:dyDescent="0.25">
      <c r="A191" s="4"/>
      <c r="B191" s="4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</row>
    <row r="192" spans="1:51" x14ac:dyDescent="0.25">
      <c r="A192" s="4"/>
      <c r="B192" s="4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</row>
    <row r="193" spans="1:51" x14ac:dyDescent="0.25">
      <c r="A193" s="4"/>
      <c r="B193" s="4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</row>
    <row r="194" spans="1:51" x14ac:dyDescent="0.25">
      <c r="A194" s="4"/>
      <c r="B194" s="4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</row>
    <row r="195" spans="1:51" x14ac:dyDescent="0.25">
      <c r="A195" s="4"/>
      <c r="B195" s="4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</row>
    <row r="196" spans="1:51" x14ac:dyDescent="0.25">
      <c r="A196" s="4"/>
      <c r="B196" s="4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</row>
    <row r="197" spans="1:51" x14ac:dyDescent="0.25">
      <c r="A197" s="4"/>
      <c r="B197" s="4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</row>
    <row r="198" spans="1:51" x14ac:dyDescent="0.25">
      <c r="A198" s="4"/>
      <c r="B198" s="4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</row>
    <row r="199" spans="1:51" x14ac:dyDescent="0.25">
      <c r="A199" s="4"/>
      <c r="B199" s="4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</row>
    <row r="200" spans="1:51" x14ac:dyDescent="0.25">
      <c r="A200" s="4"/>
      <c r="B200" s="4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</row>
    <row r="201" spans="1:51" x14ac:dyDescent="0.25">
      <c r="A201" s="4"/>
      <c r="B201" s="4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</row>
    <row r="202" spans="1:51" x14ac:dyDescent="0.25">
      <c r="A202" s="4"/>
      <c r="B202" s="4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</row>
    <row r="203" spans="1:51" x14ac:dyDescent="0.25">
      <c r="A203" s="4"/>
      <c r="B203" s="4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</row>
    <row r="204" spans="1:51" x14ac:dyDescent="0.25">
      <c r="A204" s="4"/>
      <c r="B204" s="4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</row>
    <row r="205" spans="1:51" x14ac:dyDescent="0.25">
      <c r="A205" s="4"/>
      <c r="B205" s="4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</row>
    <row r="206" spans="1:51" x14ac:dyDescent="0.25">
      <c r="A206" s="4"/>
      <c r="B206" s="4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</row>
    <row r="207" spans="1:51" x14ac:dyDescent="0.25">
      <c r="A207" s="4"/>
      <c r="B207" s="4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</row>
    <row r="208" spans="1:51" x14ac:dyDescent="0.25">
      <c r="A208" s="4"/>
      <c r="B208" s="4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</row>
    <row r="209" spans="1:51" x14ac:dyDescent="0.25">
      <c r="A209" s="4"/>
      <c r="B209" s="4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</row>
    <row r="210" spans="1:51" x14ac:dyDescent="0.25">
      <c r="A210" s="4"/>
      <c r="B210" s="4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</row>
    <row r="211" spans="1:51" x14ac:dyDescent="0.25">
      <c r="A211" s="4"/>
      <c r="B211" s="4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</row>
    <row r="212" spans="1:51" x14ac:dyDescent="0.25">
      <c r="A212" s="4"/>
      <c r="B212" s="4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</row>
    <row r="213" spans="1:51" x14ac:dyDescent="0.25">
      <c r="A213" s="4"/>
      <c r="B213" s="4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</row>
    <row r="214" spans="1:51" x14ac:dyDescent="0.25">
      <c r="A214" s="4"/>
      <c r="B214" s="4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</row>
    <row r="215" spans="1:51" x14ac:dyDescent="0.25">
      <c r="A215" s="4"/>
      <c r="B215" s="4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</row>
    <row r="216" spans="1:51" x14ac:dyDescent="0.25">
      <c r="A216" s="4"/>
      <c r="B216" s="4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</row>
    <row r="217" spans="1:51" x14ac:dyDescent="0.25">
      <c r="A217" s="4"/>
      <c r="B217" s="4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</row>
    <row r="218" spans="1:51" x14ac:dyDescent="0.25">
      <c r="A218" s="4"/>
      <c r="B218" s="4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</row>
    <row r="219" spans="1:51" x14ac:dyDescent="0.25">
      <c r="A219" s="4"/>
      <c r="B219" s="4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</row>
    <row r="220" spans="1:51" x14ac:dyDescent="0.25">
      <c r="A220" s="4"/>
      <c r="B220" s="4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</row>
    <row r="221" spans="1:51" x14ac:dyDescent="0.25">
      <c r="A221" s="4"/>
      <c r="B221" s="4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</row>
    <row r="222" spans="1:51" x14ac:dyDescent="0.25">
      <c r="A222" s="4"/>
      <c r="B222" s="4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</row>
    <row r="223" spans="1:51" x14ac:dyDescent="0.25">
      <c r="A223" s="4"/>
      <c r="B223" s="4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</row>
    <row r="224" spans="1:51" x14ac:dyDescent="0.25">
      <c r="A224" s="4"/>
      <c r="B224" s="4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</row>
    <row r="225" spans="1:51" x14ac:dyDescent="0.25">
      <c r="A225" s="4"/>
      <c r="B225" s="4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</row>
    <row r="226" spans="1:51" x14ac:dyDescent="0.25">
      <c r="A226" s="4"/>
      <c r="B226" s="4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</row>
    <row r="227" spans="1:51" x14ac:dyDescent="0.25">
      <c r="A227" s="4"/>
      <c r="B227" s="4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</row>
    <row r="228" spans="1:51" x14ac:dyDescent="0.25">
      <c r="A228" s="4"/>
      <c r="B228" s="4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</row>
    <row r="229" spans="1:51" x14ac:dyDescent="0.25">
      <c r="A229" s="4"/>
      <c r="B229" s="4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</row>
    <row r="230" spans="1:51" x14ac:dyDescent="0.25">
      <c r="A230" s="4"/>
      <c r="B230" s="4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</row>
    <row r="231" spans="1:51" x14ac:dyDescent="0.25">
      <c r="A231" s="4"/>
      <c r="B231" s="4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</row>
    <row r="232" spans="1:51" x14ac:dyDescent="0.25">
      <c r="A232" s="4"/>
      <c r="B232" s="4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</row>
    <row r="233" spans="1:51" x14ac:dyDescent="0.25">
      <c r="A233" s="4"/>
      <c r="B233" s="4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</row>
    <row r="234" spans="1:51" x14ac:dyDescent="0.25">
      <c r="A234" s="4"/>
      <c r="B234" s="4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</row>
    <row r="235" spans="1:51" x14ac:dyDescent="0.25">
      <c r="A235" s="4"/>
      <c r="B235" s="4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</row>
    <row r="236" spans="1:51" x14ac:dyDescent="0.25">
      <c r="A236" s="4"/>
      <c r="B236" s="4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</row>
    <row r="237" spans="1:51" x14ac:dyDescent="0.25">
      <c r="A237" s="4"/>
      <c r="B237" s="4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</row>
    <row r="238" spans="1:51" x14ac:dyDescent="0.25">
      <c r="A238" s="4"/>
      <c r="B238" s="4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</row>
    <row r="239" spans="1:51" x14ac:dyDescent="0.25">
      <c r="A239" s="4"/>
      <c r="B239" s="4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</row>
    <row r="240" spans="1:51" x14ac:dyDescent="0.25">
      <c r="A240" s="4"/>
      <c r="B240" s="4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</row>
    <row r="241" spans="1:51" x14ac:dyDescent="0.25">
      <c r="A241" s="4"/>
      <c r="B241" s="4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</row>
    <row r="242" spans="1:51" x14ac:dyDescent="0.25">
      <c r="A242" s="4"/>
      <c r="B242" s="4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</row>
    <row r="243" spans="1:51" x14ac:dyDescent="0.25">
      <c r="A243" s="4"/>
      <c r="B243" s="4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</row>
    <row r="244" spans="1:51" x14ac:dyDescent="0.25">
      <c r="A244" s="4"/>
      <c r="B244" s="4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</row>
    <row r="245" spans="1:51" x14ac:dyDescent="0.25">
      <c r="A245" s="4"/>
      <c r="B245" s="4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</row>
    <row r="246" spans="1:51" x14ac:dyDescent="0.25">
      <c r="A246" s="4"/>
      <c r="B246" s="4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</row>
    <row r="247" spans="1:51" x14ac:dyDescent="0.25">
      <c r="A247" s="4"/>
      <c r="B247" s="4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</row>
    <row r="248" spans="1:51" x14ac:dyDescent="0.25">
      <c r="A248" s="4"/>
      <c r="B248" s="4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</row>
    <row r="249" spans="1:51" x14ac:dyDescent="0.25">
      <c r="A249" s="4"/>
      <c r="B249" s="4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</row>
    <row r="250" spans="1:51" x14ac:dyDescent="0.25">
      <c r="A250" s="4"/>
      <c r="B250" s="4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</row>
    <row r="251" spans="1:51" x14ac:dyDescent="0.25">
      <c r="A251" s="4"/>
      <c r="B251" s="4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</row>
    <row r="252" spans="1:51" x14ac:dyDescent="0.25">
      <c r="A252" s="4"/>
      <c r="B252" s="4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</row>
    <row r="253" spans="1:51" x14ac:dyDescent="0.25">
      <c r="A253" s="4"/>
      <c r="B253" s="4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</row>
    <row r="254" spans="1:51" x14ac:dyDescent="0.25">
      <c r="A254" s="4"/>
      <c r="B254" s="4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</row>
    <row r="255" spans="1:51" x14ac:dyDescent="0.25">
      <c r="A255" s="4"/>
      <c r="B255" s="4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</row>
    <row r="256" spans="1:51" x14ac:dyDescent="0.25">
      <c r="A256" s="4"/>
      <c r="B256" s="4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</row>
    <row r="257" spans="1:51" x14ac:dyDescent="0.25">
      <c r="A257" s="4"/>
      <c r="B257" s="4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</row>
    <row r="258" spans="1:51" x14ac:dyDescent="0.25">
      <c r="A258" s="4"/>
      <c r="B258" s="4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</row>
    <row r="259" spans="1:51" x14ac:dyDescent="0.25">
      <c r="A259" s="4"/>
      <c r="B259" s="4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</row>
    <row r="260" spans="1:51" x14ac:dyDescent="0.25">
      <c r="A260" s="4"/>
      <c r="B260" s="4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</row>
    <row r="261" spans="1:51" x14ac:dyDescent="0.25">
      <c r="A261" s="4"/>
      <c r="B261" s="4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</row>
    <row r="262" spans="1:51" x14ac:dyDescent="0.25">
      <c r="A262" s="4"/>
      <c r="B262" s="4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</row>
    <row r="263" spans="1:51" x14ac:dyDescent="0.25">
      <c r="A263" s="4"/>
      <c r="B263" s="4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</row>
    <row r="264" spans="1:51" x14ac:dyDescent="0.25">
      <c r="A264" s="4"/>
      <c r="B264" s="4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</row>
    <row r="265" spans="1:51" x14ac:dyDescent="0.25">
      <c r="A265" s="4"/>
      <c r="B265" s="4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</row>
    <row r="266" spans="1:51" x14ac:dyDescent="0.25">
      <c r="A266" s="4"/>
      <c r="B266" s="4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</row>
    <row r="267" spans="1:51" x14ac:dyDescent="0.25">
      <c r="A267" s="4"/>
      <c r="B267" s="4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</row>
    <row r="268" spans="1:51" x14ac:dyDescent="0.25">
      <c r="A268" s="4"/>
      <c r="B268" s="4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</row>
    <row r="269" spans="1:51" x14ac:dyDescent="0.25">
      <c r="A269" s="4"/>
      <c r="B269" s="4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</row>
    <row r="270" spans="1:51" x14ac:dyDescent="0.25">
      <c r="A270" s="4"/>
      <c r="B270" s="4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</row>
    <row r="271" spans="1:51" x14ac:dyDescent="0.25">
      <c r="A271" s="4"/>
      <c r="B271" s="4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</row>
    <row r="272" spans="1:51" x14ac:dyDescent="0.25">
      <c r="A272" s="4"/>
      <c r="B272" s="4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</row>
    <row r="273" spans="1:51" x14ac:dyDescent="0.25">
      <c r="A273" s="4"/>
      <c r="B273" s="4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</row>
    <row r="274" spans="1:51" x14ac:dyDescent="0.25">
      <c r="A274" s="4"/>
      <c r="B274" s="4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</row>
    <row r="275" spans="1:51" x14ac:dyDescent="0.25">
      <c r="A275" s="4"/>
      <c r="B275" s="4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</row>
    <row r="276" spans="1:51" x14ac:dyDescent="0.25">
      <c r="A276" s="4"/>
      <c r="B276" s="4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</row>
    <row r="277" spans="1:51" x14ac:dyDescent="0.25">
      <c r="A277" s="4"/>
      <c r="B277" s="4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</row>
    <row r="278" spans="1:51" x14ac:dyDescent="0.25">
      <c r="A278" s="4"/>
      <c r="B278" s="4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</row>
    <row r="279" spans="1:51" x14ac:dyDescent="0.25">
      <c r="A279" s="4"/>
      <c r="B279" s="4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</row>
    <row r="280" spans="1:51" x14ac:dyDescent="0.25">
      <c r="A280" s="4"/>
      <c r="B280" s="4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</row>
    <row r="281" spans="1:51" x14ac:dyDescent="0.25">
      <c r="A281" s="4"/>
      <c r="B281" s="4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</row>
    <row r="282" spans="1:51" x14ac:dyDescent="0.25">
      <c r="A282" s="4"/>
      <c r="B282" s="4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</row>
    <row r="283" spans="1:51" x14ac:dyDescent="0.25">
      <c r="A283" s="4"/>
      <c r="B283" s="4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</row>
    <row r="284" spans="1:51" x14ac:dyDescent="0.25">
      <c r="A284" s="4"/>
      <c r="B284" s="4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</row>
    <row r="285" spans="1:51" x14ac:dyDescent="0.25">
      <c r="A285" s="4"/>
      <c r="B285" s="4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</row>
    <row r="286" spans="1:51" x14ac:dyDescent="0.25">
      <c r="A286" s="4"/>
      <c r="B286" s="4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</row>
    <row r="287" spans="1:51" x14ac:dyDescent="0.25">
      <c r="A287" s="4"/>
      <c r="B287" s="4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</row>
    <row r="288" spans="1:51" x14ac:dyDescent="0.25">
      <c r="A288" s="4"/>
      <c r="B288" s="4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</row>
    <row r="289" spans="1:51" x14ac:dyDescent="0.25">
      <c r="A289" s="4"/>
      <c r="B289" s="4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</row>
    <row r="290" spans="1:51" x14ac:dyDescent="0.25">
      <c r="A290" s="4"/>
      <c r="B290" s="4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</row>
    <row r="291" spans="1:51" x14ac:dyDescent="0.25">
      <c r="A291" s="4"/>
      <c r="B291" s="4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</row>
    <row r="292" spans="1:51" x14ac:dyDescent="0.25">
      <c r="A292" s="4"/>
      <c r="B292" s="4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</row>
    <row r="293" spans="1:51" x14ac:dyDescent="0.25">
      <c r="A293" s="4"/>
      <c r="B293" s="4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</row>
    <row r="294" spans="1:51" x14ac:dyDescent="0.25">
      <c r="A294" s="4"/>
      <c r="B294" s="4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</row>
    <row r="295" spans="1:51" x14ac:dyDescent="0.25">
      <c r="A295" s="4"/>
      <c r="B295" s="4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</row>
    <row r="296" spans="1:51" x14ac:dyDescent="0.25">
      <c r="A296" s="4"/>
      <c r="B296" s="4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</row>
    <row r="297" spans="1:51" x14ac:dyDescent="0.25">
      <c r="A297" s="4"/>
      <c r="B297" s="4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</row>
    <row r="298" spans="1:51" x14ac:dyDescent="0.25">
      <c r="A298" s="4"/>
      <c r="B298" s="4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</row>
    <row r="299" spans="1:51" x14ac:dyDescent="0.25">
      <c r="A299" s="4"/>
      <c r="B299" s="4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</row>
    <row r="300" spans="1:51" x14ac:dyDescent="0.25">
      <c r="A300" s="4"/>
      <c r="B300" s="4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</row>
    <row r="301" spans="1:51" x14ac:dyDescent="0.25">
      <c r="A301" s="4"/>
      <c r="B301" s="4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</row>
    <row r="302" spans="1:51" x14ac:dyDescent="0.25">
      <c r="A302" s="4"/>
      <c r="B302" s="4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</row>
    <row r="303" spans="1:51" x14ac:dyDescent="0.25">
      <c r="A303" s="4"/>
      <c r="B303" s="4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</row>
    <row r="304" spans="1:51" x14ac:dyDescent="0.25">
      <c r="A304" s="4"/>
      <c r="B304" s="4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</row>
    <row r="305" spans="1:51" x14ac:dyDescent="0.25">
      <c r="A305" s="4"/>
      <c r="B305" s="4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</row>
    <row r="306" spans="1:51" x14ac:dyDescent="0.25">
      <c r="A306" s="4"/>
      <c r="B306" s="4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</row>
    <row r="307" spans="1:51" x14ac:dyDescent="0.25">
      <c r="A307" s="4"/>
      <c r="B307" s="4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</row>
    <row r="308" spans="1:51" x14ac:dyDescent="0.25">
      <c r="A308" s="4"/>
      <c r="B308" s="4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</row>
    <row r="309" spans="1:51" x14ac:dyDescent="0.25">
      <c r="A309" s="4"/>
      <c r="B309" s="4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</row>
    <row r="310" spans="1:51" x14ac:dyDescent="0.25">
      <c r="A310" s="4"/>
      <c r="B310" s="4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</row>
    <row r="311" spans="1:51" x14ac:dyDescent="0.25">
      <c r="A311" s="4"/>
      <c r="B311" s="4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</row>
    <row r="312" spans="1:51" x14ac:dyDescent="0.25">
      <c r="A312" s="4"/>
      <c r="B312" s="4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</row>
    <row r="313" spans="1:51" x14ac:dyDescent="0.25">
      <c r="A313" s="4"/>
      <c r="B313" s="4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</row>
    <row r="314" spans="1:51" x14ac:dyDescent="0.25">
      <c r="A314" s="4"/>
      <c r="B314" s="4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</row>
    <row r="315" spans="1:51" x14ac:dyDescent="0.25">
      <c r="A315" s="4"/>
      <c r="B315" s="4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</row>
    <row r="316" spans="1:51" x14ac:dyDescent="0.25">
      <c r="A316" s="4"/>
      <c r="B316" s="4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</row>
    <row r="317" spans="1:51" x14ac:dyDescent="0.25">
      <c r="A317" s="4"/>
      <c r="B317" s="4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</row>
    <row r="318" spans="1:51" x14ac:dyDescent="0.25">
      <c r="A318" s="4"/>
      <c r="B318" s="4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</row>
    <row r="319" spans="1:51" x14ac:dyDescent="0.25">
      <c r="A319" s="4"/>
      <c r="B319" s="4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</row>
    <row r="320" spans="1:51" x14ac:dyDescent="0.25">
      <c r="A320" s="4"/>
      <c r="B320" s="4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</row>
    <row r="321" spans="1:51" x14ac:dyDescent="0.25">
      <c r="A321" s="4"/>
      <c r="B321" s="4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</row>
    <row r="322" spans="1:51" x14ac:dyDescent="0.25">
      <c r="A322" s="4"/>
      <c r="B322" s="4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</row>
    <row r="323" spans="1:51" x14ac:dyDescent="0.25">
      <c r="A323" s="4"/>
      <c r="B323" s="4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</row>
    <row r="324" spans="1:51" x14ac:dyDescent="0.25">
      <c r="A324" s="4"/>
      <c r="B324" s="4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</row>
    <row r="325" spans="1:51" x14ac:dyDescent="0.25">
      <c r="A325" s="4"/>
      <c r="B325" s="4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</row>
    <row r="326" spans="1:51" x14ac:dyDescent="0.25">
      <c r="A326" s="4"/>
      <c r="B326" s="4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</row>
    <row r="327" spans="1:51" x14ac:dyDescent="0.25">
      <c r="A327" s="4"/>
      <c r="B327" s="4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</row>
    <row r="328" spans="1:51" x14ac:dyDescent="0.25">
      <c r="A328" s="4"/>
      <c r="B328" s="4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</row>
    <row r="329" spans="1:51" x14ac:dyDescent="0.25">
      <c r="A329" s="4"/>
      <c r="B329" s="4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</row>
    <row r="330" spans="1:51" x14ac:dyDescent="0.25">
      <c r="A330" s="4"/>
      <c r="B330" s="4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</row>
    <row r="331" spans="1:51" x14ac:dyDescent="0.25">
      <c r="A331" s="4"/>
      <c r="B331" s="4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</row>
    <row r="332" spans="1:51" x14ac:dyDescent="0.25">
      <c r="A332" s="4"/>
      <c r="B332" s="4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</row>
    <row r="333" spans="1:51" x14ac:dyDescent="0.25">
      <c r="A333" s="4"/>
      <c r="B333" s="4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</row>
    <row r="334" spans="1:51" x14ac:dyDescent="0.25">
      <c r="A334" s="4"/>
      <c r="B334" s="4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</row>
    <row r="335" spans="1:51" x14ac:dyDescent="0.25">
      <c r="A335" s="4"/>
      <c r="B335" s="4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</row>
    <row r="336" spans="1:51" x14ac:dyDescent="0.25">
      <c r="A336" s="4"/>
      <c r="B336" s="4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</row>
    <row r="337" spans="1:51" x14ac:dyDescent="0.25">
      <c r="A337" s="4"/>
      <c r="B337" s="4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</row>
    <row r="338" spans="1:51" x14ac:dyDescent="0.25">
      <c r="A338" s="4"/>
      <c r="B338" s="4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</row>
    <row r="339" spans="1:51" x14ac:dyDescent="0.25">
      <c r="A339" s="4"/>
      <c r="B339" s="4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</row>
    <row r="340" spans="1:51" x14ac:dyDescent="0.25">
      <c r="A340" s="4"/>
      <c r="B340" s="4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</row>
    <row r="341" spans="1:51" x14ac:dyDescent="0.25">
      <c r="A341" s="4"/>
      <c r="B341" s="4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</row>
    <row r="342" spans="1:51" x14ac:dyDescent="0.25">
      <c r="A342" s="4"/>
      <c r="B342" s="4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</row>
    <row r="343" spans="1:51" x14ac:dyDescent="0.25">
      <c r="A343" s="4"/>
      <c r="B343" s="4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</row>
    <row r="344" spans="1:51" x14ac:dyDescent="0.25">
      <c r="A344" s="4"/>
      <c r="B344" s="4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</row>
    <row r="345" spans="1:51" x14ac:dyDescent="0.25">
      <c r="A345" s="4"/>
      <c r="B345" s="4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</row>
    <row r="346" spans="1:51" x14ac:dyDescent="0.25">
      <c r="A346" s="4"/>
      <c r="B346" s="4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</row>
    <row r="347" spans="1:51" x14ac:dyDescent="0.25">
      <c r="A347" s="4"/>
      <c r="B347" s="4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</row>
    <row r="348" spans="1:51" x14ac:dyDescent="0.25">
      <c r="A348" s="4"/>
      <c r="B348" s="4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</row>
    <row r="349" spans="1:51" x14ac:dyDescent="0.25">
      <c r="A349" s="4"/>
      <c r="B349" s="4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</row>
    <row r="350" spans="1:51" x14ac:dyDescent="0.25">
      <c r="A350" s="4"/>
      <c r="B350" s="4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</row>
    <row r="351" spans="1:51" x14ac:dyDescent="0.25">
      <c r="A351" s="4"/>
      <c r="B351" s="4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</row>
    <row r="352" spans="1:51" x14ac:dyDescent="0.25">
      <c r="A352" s="4"/>
      <c r="B352" s="4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</row>
    <row r="353" spans="1:51" x14ac:dyDescent="0.25">
      <c r="A353" s="4"/>
      <c r="B353" s="4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</row>
    <row r="354" spans="1:51" x14ac:dyDescent="0.25">
      <c r="A354" s="4"/>
      <c r="B354" s="4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</row>
    <row r="355" spans="1:51" x14ac:dyDescent="0.25">
      <c r="A355" s="4"/>
      <c r="B355" s="4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</row>
    <row r="356" spans="1:51" x14ac:dyDescent="0.25">
      <c r="A356" s="4"/>
      <c r="B356" s="4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</row>
    <row r="357" spans="1:51" x14ac:dyDescent="0.25">
      <c r="A357" s="4"/>
      <c r="B357" s="4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</row>
    <row r="358" spans="1:51" x14ac:dyDescent="0.25">
      <c r="A358" s="4"/>
      <c r="B358" s="4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</row>
    <row r="359" spans="1:51" x14ac:dyDescent="0.25">
      <c r="A359" s="4"/>
      <c r="B359" s="4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</row>
    <row r="360" spans="1:51" x14ac:dyDescent="0.25">
      <c r="A360" s="4"/>
      <c r="B360" s="4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</row>
    <row r="361" spans="1:51" x14ac:dyDescent="0.25">
      <c r="A361" s="4"/>
      <c r="B361" s="4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</row>
    <row r="362" spans="1:51" x14ac:dyDescent="0.25">
      <c r="A362" s="4"/>
      <c r="B362" s="4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</row>
    <row r="363" spans="1:51" x14ac:dyDescent="0.25">
      <c r="A363" s="4"/>
      <c r="B363" s="4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</row>
    <row r="364" spans="1:51" x14ac:dyDescent="0.25">
      <c r="A364" s="4"/>
      <c r="B364" s="4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</row>
    <row r="365" spans="1:51" x14ac:dyDescent="0.25">
      <c r="A365" s="4"/>
      <c r="B365" s="4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</row>
    <row r="366" spans="1:51" x14ac:dyDescent="0.25">
      <c r="A366" s="4"/>
      <c r="B366" s="4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</row>
    <row r="367" spans="1:51" x14ac:dyDescent="0.25">
      <c r="A367" s="4"/>
      <c r="B367" s="4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</row>
    <row r="368" spans="1:51" x14ac:dyDescent="0.25">
      <c r="A368" s="4"/>
      <c r="B368" s="4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</row>
    <row r="369" spans="1:51" x14ac:dyDescent="0.25">
      <c r="A369" s="4"/>
      <c r="B369" s="4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</row>
    <row r="370" spans="1:51" x14ac:dyDescent="0.25">
      <c r="A370" s="4"/>
      <c r="B370" s="4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</row>
    <row r="371" spans="1:51" x14ac:dyDescent="0.25">
      <c r="A371" s="4"/>
      <c r="B371" s="4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</row>
    <row r="372" spans="1:51" x14ac:dyDescent="0.25">
      <c r="A372" s="4"/>
      <c r="B372" s="4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</row>
    <row r="373" spans="1:51" x14ac:dyDescent="0.25">
      <c r="A373" s="4"/>
      <c r="B373" s="4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</row>
    <row r="374" spans="1:51" x14ac:dyDescent="0.25">
      <c r="A374" s="4"/>
      <c r="B374" s="4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</row>
    <row r="375" spans="1:51" x14ac:dyDescent="0.25">
      <c r="A375" s="4"/>
      <c r="B375" s="4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</row>
    <row r="376" spans="1:51" x14ac:dyDescent="0.25">
      <c r="A376" s="4"/>
      <c r="B376" s="4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</row>
    <row r="377" spans="1:51" x14ac:dyDescent="0.25">
      <c r="A377" s="4"/>
      <c r="B377" s="4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</row>
    <row r="378" spans="1:51" x14ac:dyDescent="0.25">
      <c r="A378" s="4"/>
      <c r="B378" s="4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</row>
    <row r="379" spans="1:51" x14ac:dyDescent="0.25">
      <c r="A379" s="4"/>
      <c r="B379" s="4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</row>
    <row r="380" spans="1:51" x14ac:dyDescent="0.25">
      <c r="A380" s="4"/>
      <c r="B380" s="4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</row>
    <row r="381" spans="1:51" x14ac:dyDescent="0.25">
      <c r="A381" s="4"/>
      <c r="B381" s="4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</row>
    <row r="382" spans="1:51" x14ac:dyDescent="0.25">
      <c r="A382" s="4"/>
      <c r="B382" s="4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</row>
    <row r="383" spans="1:51" x14ac:dyDescent="0.25">
      <c r="A383" s="4"/>
      <c r="B383" s="4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</row>
    <row r="384" spans="1:51" x14ac:dyDescent="0.25">
      <c r="A384" s="4"/>
      <c r="B384" s="4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</row>
    <row r="385" spans="1:51" x14ac:dyDescent="0.25">
      <c r="A385" s="4"/>
      <c r="B385" s="4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</row>
    <row r="386" spans="1:51" x14ac:dyDescent="0.25">
      <c r="A386" s="4"/>
      <c r="B386" s="4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</row>
    <row r="387" spans="1:51" x14ac:dyDescent="0.25">
      <c r="A387" s="4"/>
      <c r="B387" s="4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</row>
    <row r="388" spans="1:51" x14ac:dyDescent="0.25">
      <c r="A388" s="4"/>
      <c r="B388" s="4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</row>
    <row r="389" spans="1:51" x14ac:dyDescent="0.25">
      <c r="A389" s="4"/>
      <c r="B389" s="4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</row>
    <row r="390" spans="1:51" x14ac:dyDescent="0.25">
      <c r="A390" s="4"/>
      <c r="B390" s="4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</row>
    <row r="391" spans="1:51" x14ac:dyDescent="0.25">
      <c r="A391" s="4"/>
      <c r="B391" s="4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</row>
    <row r="392" spans="1:51" x14ac:dyDescent="0.25">
      <c r="A392" s="4"/>
      <c r="B392" s="4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</row>
    <row r="393" spans="1:51" x14ac:dyDescent="0.25">
      <c r="A393" s="4"/>
      <c r="B393" s="4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</row>
    <row r="394" spans="1:51" x14ac:dyDescent="0.25">
      <c r="A394" s="4"/>
      <c r="B394" s="4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</row>
    <row r="395" spans="1:51" x14ac:dyDescent="0.25">
      <c r="A395" s="4"/>
      <c r="B395" s="4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</row>
    <row r="396" spans="1:51" x14ac:dyDescent="0.25">
      <c r="A396" s="4"/>
      <c r="B396" s="4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</row>
    <row r="397" spans="1:51" x14ac:dyDescent="0.25">
      <c r="A397" s="4"/>
      <c r="B397" s="4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</row>
    <row r="398" spans="1:51" x14ac:dyDescent="0.25">
      <c r="A398" s="4"/>
      <c r="B398" s="4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</row>
    <row r="399" spans="1:51" x14ac:dyDescent="0.25">
      <c r="A399" s="4"/>
      <c r="B399" s="4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</row>
    <row r="400" spans="1:51" x14ac:dyDescent="0.25">
      <c r="A400" s="4"/>
      <c r="B400" s="4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</row>
    <row r="401" spans="1:51" x14ac:dyDescent="0.25">
      <c r="A401" s="4"/>
      <c r="B401" s="4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</row>
    <row r="402" spans="1:51" x14ac:dyDescent="0.25">
      <c r="A402" s="4"/>
      <c r="B402" s="4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</row>
    <row r="403" spans="1:51" x14ac:dyDescent="0.25">
      <c r="A403" s="4"/>
      <c r="B403" s="4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</row>
    <row r="404" spans="1:51" x14ac:dyDescent="0.25">
      <c r="A404" s="4"/>
      <c r="B404" s="4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</row>
    <row r="405" spans="1:51" x14ac:dyDescent="0.25">
      <c r="A405" s="4"/>
      <c r="B405" s="4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</row>
    <row r="406" spans="1:51" x14ac:dyDescent="0.25">
      <c r="A406" s="4"/>
      <c r="B406" s="4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</row>
    <row r="407" spans="1:51" x14ac:dyDescent="0.25">
      <c r="A407" s="4"/>
      <c r="B407" s="4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</row>
    <row r="408" spans="1:51" x14ac:dyDescent="0.25">
      <c r="A408" s="4"/>
      <c r="B408" s="4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</row>
    <row r="409" spans="1:51" x14ac:dyDescent="0.25">
      <c r="A409" s="4"/>
      <c r="B409" s="4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</row>
    <row r="410" spans="1:51" x14ac:dyDescent="0.25">
      <c r="A410" s="4"/>
      <c r="B410" s="4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</row>
    <row r="411" spans="1:51" x14ac:dyDescent="0.25">
      <c r="A411" s="4"/>
      <c r="B411" s="4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</row>
    <row r="412" spans="1:51" x14ac:dyDescent="0.25">
      <c r="A412" s="4"/>
      <c r="B412" s="4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</row>
    <row r="413" spans="1:51" x14ac:dyDescent="0.25">
      <c r="A413" s="4"/>
      <c r="B413" s="4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</row>
    <row r="414" spans="1:51" x14ac:dyDescent="0.25">
      <c r="A414" s="4"/>
      <c r="B414" s="4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</row>
    <row r="415" spans="1:51" x14ac:dyDescent="0.25">
      <c r="A415" s="4"/>
      <c r="B415" s="4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</row>
    <row r="416" spans="1:51" x14ac:dyDescent="0.25">
      <c r="A416" s="4"/>
      <c r="B416" s="4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</row>
    <row r="417" spans="1:51" x14ac:dyDescent="0.25">
      <c r="A417" s="4"/>
      <c r="B417" s="4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</row>
    <row r="418" spans="1:51" x14ac:dyDescent="0.25">
      <c r="A418" s="4"/>
      <c r="B418" s="4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</row>
    <row r="419" spans="1:51" x14ac:dyDescent="0.25">
      <c r="A419" s="4"/>
      <c r="B419" s="4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</row>
    <row r="420" spans="1:51" x14ac:dyDescent="0.25">
      <c r="A420" s="4"/>
      <c r="B420" s="4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</row>
    <row r="421" spans="1:51" x14ac:dyDescent="0.25">
      <c r="A421" s="4"/>
      <c r="B421" s="4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</row>
    <row r="422" spans="1:51" x14ac:dyDescent="0.25">
      <c r="A422" s="4"/>
      <c r="B422" s="4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</row>
    <row r="423" spans="1:51" x14ac:dyDescent="0.25">
      <c r="A423" s="4"/>
      <c r="B423" s="4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</row>
    <row r="424" spans="1:51" x14ac:dyDescent="0.25">
      <c r="A424" s="4"/>
      <c r="B424" s="4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</row>
    <row r="425" spans="1:51" x14ac:dyDescent="0.25">
      <c r="A425" s="4"/>
      <c r="B425" s="4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</row>
    <row r="426" spans="1:51" x14ac:dyDescent="0.25">
      <c r="A426" s="4"/>
      <c r="B426" s="4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</row>
    <row r="427" spans="1:51" x14ac:dyDescent="0.25">
      <c r="A427" s="4"/>
      <c r="B427" s="4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</row>
    <row r="428" spans="1:51" x14ac:dyDescent="0.25">
      <c r="A428" s="4"/>
      <c r="B428" s="4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</row>
    <row r="429" spans="1:51" x14ac:dyDescent="0.25">
      <c r="A429" s="4"/>
      <c r="B429" s="4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</row>
    <row r="430" spans="1:51" x14ac:dyDescent="0.25">
      <c r="A430" s="4"/>
      <c r="B430" s="4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</row>
    <row r="431" spans="1:51" x14ac:dyDescent="0.25">
      <c r="A431" s="4"/>
      <c r="B431" s="4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</row>
    <row r="432" spans="1:51" x14ac:dyDescent="0.25">
      <c r="A432" s="4"/>
      <c r="B432" s="4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</row>
    <row r="433" spans="1:51" x14ac:dyDescent="0.25">
      <c r="A433" s="4"/>
      <c r="B433" s="4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</row>
    <row r="434" spans="1:51" x14ac:dyDescent="0.25">
      <c r="A434" s="4"/>
      <c r="B434" s="4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</row>
    <row r="435" spans="1:51" x14ac:dyDescent="0.25">
      <c r="A435" s="4"/>
      <c r="B435" s="4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</row>
    <row r="436" spans="1:51" x14ac:dyDescent="0.25">
      <c r="A436" s="4"/>
      <c r="B436" s="4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</row>
    <row r="437" spans="1:51" x14ac:dyDescent="0.25">
      <c r="A437" s="4"/>
      <c r="B437" s="4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</row>
    <row r="438" spans="1:51" x14ac:dyDescent="0.25">
      <c r="A438" s="4"/>
      <c r="B438" s="4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</row>
    <row r="439" spans="1:51" x14ac:dyDescent="0.25">
      <c r="A439" s="4"/>
      <c r="B439" s="4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</row>
    <row r="440" spans="1:51" x14ac:dyDescent="0.25">
      <c r="A440" s="4"/>
      <c r="B440" s="4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</row>
    <row r="441" spans="1:51" x14ac:dyDescent="0.25">
      <c r="A441" s="4"/>
      <c r="B441" s="4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</row>
    <row r="442" spans="1:51" x14ac:dyDescent="0.25">
      <c r="A442" s="4"/>
      <c r="B442" s="4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</row>
    <row r="443" spans="1:51" x14ac:dyDescent="0.25">
      <c r="A443" s="4"/>
      <c r="B443" s="4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</row>
    <row r="444" spans="1:51" x14ac:dyDescent="0.25">
      <c r="A444" s="4"/>
      <c r="B444" s="4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</row>
    <row r="445" spans="1:51" x14ac:dyDescent="0.25">
      <c r="A445" s="4"/>
      <c r="B445" s="4"/>
      <c r="C445" s="4"/>
      <c r="D445" s="4"/>
      <c r="E445" s="4"/>
      <c r="F445" s="4"/>
      <c r="G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</row>
    <row r="446" spans="1:51" x14ac:dyDescent="0.25">
      <c r="A446" s="4"/>
      <c r="B446" s="4"/>
      <c r="C446" s="4"/>
      <c r="D446" s="4"/>
      <c r="E446" s="4"/>
      <c r="F446" s="4"/>
      <c r="G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</row>
    <row r="447" spans="1:51" x14ac:dyDescent="0.25">
      <c r="A447" s="4"/>
      <c r="B447" s="4"/>
      <c r="C447" s="4"/>
      <c r="D447" s="4"/>
      <c r="E447" s="4"/>
      <c r="F447" s="4"/>
      <c r="G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</row>
    <row r="448" spans="1:51" x14ac:dyDescent="0.25">
      <c r="A448" s="4"/>
      <c r="B448" s="4"/>
      <c r="C448" s="4"/>
      <c r="D448" s="4"/>
      <c r="E448" s="4"/>
      <c r="F448" s="4"/>
      <c r="G448" s="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</row>
  </sheetData>
  <autoFilter ref="A3:AF43" xr:uid="{8233F407-A889-4A13-87E6-0F020BC2D67D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142D-24AC-45EB-9E72-F4B70592C14E}">
  <dimension ref="A1:B1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108</v>
      </c>
    </row>
    <row r="2" spans="1:2" x14ac:dyDescent="0.25">
      <c r="A2" t="s">
        <v>38</v>
      </c>
      <c r="B2">
        <v>456</v>
      </c>
    </row>
    <row r="3" spans="1:2" x14ac:dyDescent="0.25">
      <c r="A3" t="s">
        <v>39</v>
      </c>
      <c r="B3">
        <v>48</v>
      </c>
    </row>
    <row r="4" spans="1:2" x14ac:dyDescent="0.25">
      <c r="A4" t="s">
        <v>40</v>
      </c>
      <c r="B4">
        <v>744</v>
      </c>
    </row>
    <row r="5" spans="1:2" x14ac:dyDescent="0.25">
      <c r="A5" t="s">
        <v>41</v>
      </c>
      <c r="B5">
        <v>240</v>
      </c>
    </row>
    <row r="6" spans="1:2" x14ac:dyDescent="0.25">
      <c r="A6" t="s">
        <v>50</v>
      </c>
      <c r="B6">
        <v>28</v>
      </c>
    </row>
    <row r="7" spans="1:2" x14ac:dyDescent="0.25">
      <c r="A7" t="s">
        <v>53</v>
      </c>
      <c r="B7">
        <v>120</v>
      </c>
    </row>
    <row r="8" spans="1:2" x14ac:dyDescent="0.25">
      <c r="A8" t="s">
        <v>54</v>
      </c>
      <c r="B8">
        <v>230</v>
      </c>
    </row>
    <row r="9" spans="1:2" x14ac:dyDescent="0.25">
      <c r="A9" t="s">
        <v>58</v>
      </c>
      <c r="B9">
        <v>60</v>
      </c>
    </row>
    <row r="10" spans="1:2" x14ac:dyDescent="0.25">
      <c r="A10" t="s">
        <v>59</v>
      </c>
      <c r="B10">
        <v>250</v>
      </c>
    </row>
    <row r="11" spans="1:2" x14ac:dyDescent="0.25">
      <c r="A11" t="s">
        <v>60</v>
      </c>
      <c r="B11">
        <v>16</v>
      </c>
    </row>
    <row r="12" spans="1:2" x14ac:dyDescent="0.25">
      <c r="A12" t="s">
        <v>66</v>
      </c>
      <c r="B12">
        <v>16</v>
      </c>
    </row>
    <row r="13" spans="1:2" x14ac:dyDescent="0.25">
      <c r="A13" t="s">
        <v>75</v>
      </c>
      <c r="B1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2025-12-23T12:51:45Z</dcterms:created>
  <dcterms:modified xsi:type="dcterms:W3CDTF">2025-12-24T10:10:44Z</dcterms:modified>
</cp:coreProperties>
</file>