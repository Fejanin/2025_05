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Черкизово Ташкент\"/>
    </mc:Choice>
  </mc:AlternateContent>
  <xr:revisionPtr revIDLastSave="0" documentId="13_ncr:1_{85048554-D9B8-427C-A3CB-E5E05BDB13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<sst xmlns="http://schemas.openxmlformats.org/spreadsheetml/2006/main" count="19" uniqueCount="13">
  <si>
    <t>Номенклатура</t>
  </si>
  <si>
    <t>Ед. изм.</t>
  </si>
  <si>
    <t>вес</t>
  </si>
  <si>
    <t>ВК Серв с говяд/ЛТФ/ох/шт 0.4кг/гк329/KZ</t>
  </si>
  <si>
    <t>шт</t>
  </si>
  <si>
    <t>Клб ПолуКпч С говяд/ЛТФ/ТУ/охл/-/гк329</t>
  </si>
  <si>
    <t>Клб вар Мусул/ЛТФ/ТУ/охл/-/гк329</t>
  </si>
  <si>
    <t>СК АССОРТИ СЕРВ И ПРОШУТ 0.085КГ К 0,85</t>
  </si>
  <si>
    <t>СК КЛАССИКО ИТАЛИАНОНАР ЗА ШТ0.085 K0.85</t>
  </si>
  <si>
    <t>Сосиски Мусульм/ЛТФ/ТУ/охл/TF/гк254</t>
  </si>
  <si>
    <t>ЦБ/РУЛЕТ/-/НЕЖНЫЙ/ИВ/-/ОХЛ/-/-/0,4 K2.4</t>
  </si>
  <si>
    <t>заказ, шт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</si>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</sst>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1" fontId="0" fillId="2" borderId="12" xfId="0" applyNumberFormat="1" applyFill="1" applyBorder="1"/>
    <xf numFmtId="1" fontId="0" fillId="0" borderId="10" xfId="0" applyNumberFormat="1" applyBorder="1"/>
    <xf numFmtId="1" fontId="0" fillId="0" borderId="0" xfId="0" applyNumberFormat="1"/>
    <xf numFmtId="0" fontId="0" fillId="0" borderId="2" xfId="0" applyBorder="1"/>
    <xf numFmtId="0" fontId="0" fillId="0" borderId="3" xfId="0" applyBorder="1"/>
    <xf numFmtId="1" fontId="0" fillId="0" borderId="3" xfId="0" applyNumberFormat="1" applyBorder="1"/>
    <xf numFmtId="0" fontId="0" fillId="0" borderId="4" xfId="0" applyBorder="1"/>
    <xf numFmtId="1" fontId="0" fillId="0" borderId="14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5,12,25%20&#1090;&#1096;&#1088;&#1089;&#1095;%20&#1095;&#1088;&#1082;&#1079;&#1074;%20&#1076;&#1072;&#1085;&#1085;&#1099;&#1077;%20&#1086;&#1090;%20&#1064;&#1091;&#1074;&#1072;&#1083;&#1086;&#1074;&#1086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заказ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5659.268</v>
          </cell>
          <cell r="F5">
            <v>9.23599999999999</v>
          </cell>
        </row>
        <row r="6">
          <cell r="A6" t="str">
            <v>БОНУС_ВАР МОЛОЧНАЯ ПО-Ч НМО 1 КГ К3  ЧЕРКИЗОВО</v>
          </cell>
          <cell r="B6" t="str">
            <v>кг</v>
          </cell>
          <cell r="C6">
            <v>-3.0830000000000002</v>
          </cell>
          <cell r="D6">
            <v>7.1980000000000004</v>
          </cell>
          <cell r="E6">
            <v>23.776</v>
          </cell>
          <cell r="F6">
            <v>-19.661000000000001</v>
          </cell>
          <cell r="G6">
            <v>0</v>
          </cell>
          <cell r="I6" t="str">
            <v>бонус</v>
          </cell>
        </row>
        <row r="7">
          <cell r="A7" t="str">
            <v>БОНУС_ВЕТЧ МРАМОРНАЯ ПО-ЧЕРКИЗОВСКИ ШТ 0,4 КГ  ЧЕРКИЗОВО</v>
          </cell>
          <cell r="B7" t="str">
            <v>шт</v>
          </cell>
          <cell r="C7">
            <v>-2</v>
          </cell>
          <cell r="D7">
            <v>8</v>
          </cell>
          <cell r="E7">
            <v>6</v>
          </cell>
          <cell r="G7">
            <v>0</v>
          </cell>
          <cell r="I7" t="str">
            <v>бонус</v>
          </cell>
        </row>
        <row r="8">
          <cell r="A8" t="str">
            <v>БОНУС_КОПЧ БЕКОН НАР ВУ ШТ 0.18КГ К1.8  ЧЕРКИЗОВО</v>
          </cell>
          <cell r="B8" t="str">
            <v>шт</v>
          </cell>
          <cell r="D8">
            <v>9</v>
          </cell>
          <cell r="E8">
            <v>31</v>
          </cell>
          <cell r="F8">
            <v>-22</v>
          </cell>
          <cell r="G8">
            <v>0</v>
          </cell>
          <cell r="I8" t="str">
            <v>бонус</v>
          </cell>
        </row>
        <row r="9">
          <cell r="A9" t="str">
            <v>БОНУС_СК БОРОДИНСКАЯ СРЕЗ ФИБ ВУ 0.3КГ ШТ К3.6  ЧЕРКИЗОВО</v>
          </cell>
          <cell r="C9">
            <v>-3</v>
          </cell>
          <cell r="D9">
            <v>15</v>
          </cell>
          <cell r="E9">
            <v>12</v>
          </cell>
          <cell r="G9">
            <v>0</v>
          </cell>
          <cell r="I9" t="str">
            <v>бонус</v>
          </cell>
        </row>
        <row r="10">
          <cell r="A10" t="str">
            <v>БОНУС_СОС КОПЧ ПО-Ч ЛОТ ПМО ЗА ШТ 0.4КГ K1.6  ЧЕРКИЗОВО</v>
          </cell>
          <cell r="B10" t="str">
            <v>шт</v>
          </cell>
          <cell r="D10">
            <v>11</v>
          </cell>
          <cell r="E10">
            <v>21</v>
          </cell>
          <cell r="F10">
            <v>-10</v>
          </cell>
          <cell r="G10">
            <v>0</v>
          </cell>
          <cell r="I10" t="str">
            <v>бонус</v>
          </cell>
        </row>
        <row r="11">
          <cell r="A11" t="str">
            <v>ВАР АРОМАТНАЯ ПО-Ч ЦО ЗА 1.6КГ K3.2 ЧЕРКИЗОВО</v>
          </cell>
          <cell r="B11" t="str">
            <v>кг</v>
          </cell>
          <cell r="C11">
            <v>-0.161</v>
          </cell>
          <cell r="D11">
            <v>100.94199999999999</v>
          </cell>
          <cell r="E11">
            <v>96.123000000000005</v>
          </cell>
          <cell r="F11">
            <v>-0.191</v>
          </cell>
          <cell r="G11">
            <v>1</v>
          </cell>
          <cell r="H11">
            <v>30</v>
          </cell>
          <cell r="I11">
            <v>1030112235</v>
          </cell>
        </row>
        <row r="12">
          <cell r="A12" t="str">
            <v>ВАР КЛАССИЧЕСКАЯ ПО-Ч ЦО ЗА 1.6КГ K3.2 ЧЕРКИЗОВО</v>
          </cell>
          <cell r="B12" t="str">
            <v>кг</v>
          </cell>
          <cell r="C12">
            <v>4.0250000000000004</v>
          </cell>
          <cell r="D12">
            <v>163.43</v>
          </cell>
          <cell r="E12">
            <v>158.93899999999999</v>
          </cell>
          <cell r="F12">
            <v>4.0250000000000004</v>
          </cell>
          <cell r="G12">
            <v>1</v>
          </cell>
          <cell r="H12">
            <v>30</v>
          </cell>
          <cell r="I12">
            <v>1030112635</v>
          </cell>
        </row>
        <row r="13">
          <cell r="A13" t="str">
            <v>ВАР МОЛОЧНАЯ ПО-Ч НМО 1 КГ К3  ЧЕРКИЗОВО</v>
          </cell>
          <cell r="B13" t="str">
            <v>кг</v>
          </cell>
          <cell r="C13">
            <v>18.446000000000002</v>
          </cell>
          <cell r="D13">
            <v>258.31799999999998</v>
          </cell>
          <cell r="E13">
            <v>242.53300000000002</v>
          </cell>
          <cell r="F13">
            <v>23.961999999999996</v>
          </cell>
          <cell r="G13">
            <v>1</v>
          </cell>
          <cell r="H13">
            <v>75</v>
          </cell>
          <cell r="I13">
            <v>1030115552</v>
          </cell>
        </row>
        <row r="14">
          <cell r="A14" t="str">
            <v>ВАР МОЛОЧНАЯ ПО-ЧЕ НМО ШТ 0.4КГ К2.4  ЧЕРКИЗОВО</v>
          </cell>
          <cell r="B14" t="str">
            <v>шт</v>
          </cell>
          <cell r="C14">
            <v>84</v>
          </cell>
          <cell r="D14">
            <v>415</v>
          </cell>
          <cell r="E14">
            <v>496</v>
          </cell>
          <cell r="F14">
            <v>-3</v>
          </cell>
          <cell r="G14">
            <v>0.4</v>
          </cell>
          <cell r="H14">
            <v>75</v>
          </cell>
          <cell r="I14">
            <v>1030115404</v>
          </cell>
        </row>
        <row r="15">
          <cell r="A15" t="str">
            <v>ВЕТЧ МРАМОРНАЯ ПО-ЧЕРКИЗОВСКИ ШТ 0,4 КГ  ЧЕРКИЗОВО</v>
          </cell>
          <cell r="B15" t="str">
            <v>шт</v>
          </cell>
          <cell r="C15">
            <v>-6</v>
          </cell>
          <cell r="D15">
            <v>102</v>
          </cell>
          <cell r="E15">
            <v>55</v>
          </cell>
          <cell r="F15">
            <v>-10</v>
          </cell>
          <cell r="G15">
            <v>0.4</v>
          </cell>
          <cell r="H15">
            <v>75</v>
          </cell>
          <cell r="I15">
            <v>1030804004</v>
          </cell>
        </row>
        <row r="16">
          <cell r="A16" t="str">
            <v>ВК БАЛЫКОВАЯ ПО-ЧЕРКИЗ СРЕЗ ШТ0,3 К1,8  ЧЕРКИЗОВО</v>
          </cell>
          <cell r="B16" t="str">
            <v>шт</v>
          </cell>
          <cell r="C16">
            <v>1</v>
          </cell>
          <cell r="D16">
            <v>120</v>
          </cell>
          <cell r="E16">
            <v>110</v>
          </cell>
          <cell r="F16">
            <v>1</v>
          </cell>
          <cell r="G16">
            <v>0</v>
          </cell>
          <cell r="H16">
            <v>45</v>
          </cell>
          <cell r="I16">
            <v>1030419235</v>
          </cell>
        </row>
        <row r="17">
          <cell r="A17" t="str">
            <v>ВК СЕРВ ГОСТ СРЕЗ ФИБ ВУ ШТ 0.5КГ К2  ЧЕРКИЗОВО</v>
          </cell>
          <cell r="B17" t="str">
            <v>шт</v>
          </cell>
          <cell r="C17">
            <v>6</v>
          </cell>
          <cell r="D17">
            <v>256</v>
          </cell>
          <cell r="E17">
            <v>254</v>
          </cell>
          <cell r="G17">
            <v>0.5</v>
          </cell>
          <cell r="H17">
            <v>45</v>
          </cell>
          <cell r="I17">
            <v>1030412236</v>
          </cell>
        </row>
        <row r="18">
          <cell r="A18" t="str">
            <v>ВК СЕРВЕЛАТ ЗЕРНИСТЫЙ СРЕЗ ВУ ШТ К1.8</v>
          </cell>
          <cell r="B18" t="str">
            <v>шт</v>
          </cell>
          <cell r="G18">
            <v>0.3</v>
          </cell>
          <cell r="H18">
            <v>45</v>
          </cell>
          <cell r="I18">
            <v>1030419435</v>
          </cell>
        </row>
        <row r="19">
          <cell r="A19" t="str">
            <v>ВК Серв с говяд/ЛТФ/ох/шт 0.4кг/гк329/KZ</v>
          </cell>
          <cell r="B19" t="str">
            <v>шт</v>
          </cell>
          <cell r="G19">
            <v>0.4</v>
          </cell>
          <cell r="H19">
            <v>45</v>
          </cell>
          <cell r="I19">
            <v>1030503997</v>
          </cell>
        </row>
        <row r="20">
          <cell r="A20" t="str">
            <v>КОПЧ БЕКОН НАР ВУ ШТ 0.18КГ К1.8  ЧЕРКИЗОВО</v>
          </cell>
          <cell r="B20" t="str">
            <v>шт</v>
          </cell>
          <cell r="C20">
            <v>4</v>
          </cell>
          <cell r="D20">
            <v>800</v>
          </cell>
          <cell r="E20">
            <v>751</v>
          </cell>
          <cell r="F20">
            <v>5</v>
          </cell>
          <cell r="G20">
            <v>0.18</v>
          </cell>
          <cell r="H20">
            <v>90</v>
          </cell>
          <cell r="I20">
            <v>1030712385</v>
          </cell>
        </row>
        <row r="21">
          <cell r="A21" t="str">
            <v>КОПЧ ГРУДИНКА ПО-ЧЕРК ВУ ШТ 0.3КГ К1.8  ЧЕРКИЗОВО</v>
          </cell>
          <cell r="B21" t="str">
            <v>шт</v>
          </cell>
          <cell r="G21">
            <v>0.3</v>
          </cell>
          <cell r="H21">
            <v>60</v>
          </cell>
          <cell r="I21">
            <v>1030709904</v>
          </cell>
        </row>
        <row r="22">
          <cell r="A22" t="str">
            <v>Клб ПолуКпч С говяд/ЛТФ/ТУ/охл/-/гк329</v>
          </cell>
          <cell r="B22" t="str">
            <v>шт</v>
          </cell>
          <cell r="G22">
            <v>0.4</v>
          </cell>
          <cell r="H22">
            <v>60</v>
          </cell>
          <cell r="I22">
            <v>1030518197</v>
          </cell>
        </row>
        <row r="23">
          <cell r="A23" t="str">
            <v>Клб ПолуКпч Чесн/ТСБ/ТУ/охл/-/гк380т</v>
          </cell>
          <cell r="B23" t="str">
            <v>шт</v>
          </cell>
          <cell r="G23">
            <v>0.4</v>
          </cell>
          <cell r="H23">
            <v>60</v>
          </cell>
          <cell r="I23">
            <v>1030517871</v>
          </cell>
        </row>
        <row r="24">
          <cell r="A24" t="str">
            <v>Клб вар Мусул/ЛТФ/ТУ/охл/-/гк329</v>
          </cell>
          <cell r="B24" t="str">
            <v>шт</v>
          </cell>
          <cell r="G24">
            <v>0.4</v>
          </cell>
          <cell r="H24">
            <v>65</v>
          </cell>
          <cell r="I24">
            <v>1030129697</v>
          </cell>
        </row>
        <row r="25">
          <cell r="A25" t="str">
            <v>СК АССОРТИ СЕРВ И ПРОШУТ 0.085КГ К 0,85</v>
          </cell>
          <cell r="B25" t="str">
            <v>шт</v>
          </cell>
          <cell r="G25">
            <v>8.5000000000000006E-2</v>
          </cell>
          <cell r="H25">
            <v>90</v>
          </cell>
          <cell r="I25">
            <v>1030680328</v>
          </cell>
        </row>
        <row r="26">
          <cell r="A26" t="str">
            <v>СК БОГОРОДСКАЯ ПРЕСС ФИБ ВУ ШТ0.3КГ К3.6  ЧЕРКИЗОВО</v>
          </cell>
          <cell r="B26" t="str">
            <v>шт</v>
          </cell>
          <cell r="C26">
            <v>2</v>
          </cell>
          <cell r="D26">
            <v>606</v>
          </cell>
          <cell r="E26">
            <v>606</v>
          </cell>
          <cell r="F26">
            <v>1</v>
          </cell>
          <cell r="G26">
            <v>0.3</v>
          </cell>
          <cell r="H26">
            <v>150</v>
          </cell>
          <cell r="I26">
            <v>1030686740</v>
          </cell>
        </row>
        <row r="27">
          <cell r="A27" t="str">
            <v>СК БОРОДИНСКАЯ СРЕЗ ФИБ ВУ 0.3КГ ШТ К3.6  ЧЕРКИЗОВО</v>
          </cell>
          <cell r="B27" t="str">
            <v>шт</v>
          </cell>
          <cell r="C27">
            <v>16</v>
          </cell>
          <cell r="D27">
            <v>401</v>
          </cell>
          <cell r="E27">
            <v>427</v>
          </cell>
          <cell r="F27">
            <v>-16</v>
          </cell>
          <cell r="G27">
            <v>0.3</v>
          </cell>
          <cell r="H27">
            <v>135</v>
          </cell>
          <cell r="I27">
            <v>1030686857</v>
          </cell>
        </row>
        <row r="28">
          <cell r="A28" t="str">
            <v>СК БРАУНШВЕЙГСКАЯ ГОСТ БО СРЕЗ ШТ 0,2КГ  ЧЕРКИЗОВО</v>
          </cell>
          <cell r="B28" t="str">
            <v>шт</v>
          </cell>
          <cell r="C28">
            <v>3</v>
          </cell>
          <cell r="D28">
            <v>300</v>
          </cell>
          <cell r="E28">
            <v>272</v>
          </cell>
          <cell r="F28">
            <v>17</v>
          </cell>
          <cell r="G28">
            <v>0.2</v>
          </cell>
          <cell r="H28">
            <v>90</v>
          </cell>
          <cell r="I28">
            <v>1030654104</v>
          </cell>
        </row>
        <row r="29">
          <cell r="A29" t="str">
            <v>СК КЛАССИКО ИТАЛИАНОНАР ЗА ШТ0.085 K0.85</v>
          </cell>
          <cell r="B29" t="str">
            <v>шт</v>
          </cell>
          <cell r="G29">
            <v>8.5000000000000006E-2</v>
          </cell>
          <cell r="H29">
            <v>90</v>
          </cell>
          <cell r="I29">
            <v>1030683928</v>
          </cell>
        </row>
        <row r="30">
          <cell r="A30" t="str">
            <v>СК ОНЕЖСКАЯ СРЕЗ ФИБ ВУ ШТ 0.3КГ K1.8 ЧЕРКИЗОВО</v>
          </cell>
          <cell r="B30" t="str">
            <v>шт</v>
          </cell>
          <cell r="C30">
            <v>83</v>
          </cell>
          <cell r="D30">
            <v>90</v>
          </cell>
          <cell r="E30">
            <v>171</v>
          </cell>
          <cell r="F30">
            <v>-2</v>
          </cell>
          <cell r="G30">
            <v>0.3</v>
          </cell>
          <cell r="H30">
            <v>135</v>
          </cell>
          <cell r="I30">
            <v>1030686241</v>
          </cell>
        </row>
        <row r="31">
          <cell r="A31" t="str">
            <v>СК САЛЬЧИЧОН НАРЕЗ ФИБ ЗА ШТ 0.1КГ К1.2  ЧЕРКИЗОВО</v>
          </cell>
          <cell r="B31" t="str">
            <v>шт</v>
          </cell>
          <cell r="C31">
            <v>-24</v>
          </cell>
          <cell r="D31">
            <v>204</v>
          </cell>
          <cell r="E31">
            <v>196</v>
          </cell>
          <cell r="F31">
            <v>-16</v>
          </cell>
          <cell r="G31">
            <v>0.1</v>
          </cell>
          <cell r="H31">
            <v>90</v>
          </cell>
          <cell r="I31">
            <v>1030650028</v>
          </cell>
        </row>
        <row r="32">
          <cell r="A32" t="str">
            <v>СК САЛЬЧИЧОН С РОЗОВЫМ ПЕРЦ. СРЕЗ ШТ 0,3  ЧЕРКИЗОВО</v>
          </cell>
          <cell r="B32" t="str">
            <v>шт</v>
          </cell>
          <cell r="C32">
            <v>83</v>
          </cell>
          <cell r="D32">
            <v>62</v>
          </cell>
          <cell r="E32">
            <v>139</v>
          </cell>
          <cell r="G32">
            <v>0</v>
          </cell>
          <cell r="H32">
            <v>135</v>
          </cell>
          <cell r="I32">
            <v>1030657419</v>
          </cell>
        </row>
        <row r="33">
          <cell r="A33" t="str">
            <v>СК САЛЬЧИЧОН С РОЗОВЫМ ПЕРЦЕМ НАР ШТ 85Г  ЧЕРКИЗОВО</v>
          </cell>
          <cell r="B33" t="str">
            <v>шт</v>
          </cell>
          <cell r="D33">
            <v>204</v>
          </cell>
          <cell r="E33">
            <v>181</v>
          </cell>
          <cell r="F33">
            <v>22</v>
          </cell>
          <cell r="G33">
            <v>0</v>
          </cell>
          <cell r="H33">
            <v>90</v>
          </cell>
          <cell r="I33">
            <v>1030657628</v>
          </cell>
        </row>
        <row r="34">
          <cell r="A34" t="str">
            <v>СК САЛЬЧИЧОН СРЕЗ ФИБ ВУ ШТ 0,3 КГ ЧЕРКИЗОВО (ПРЕМИУМ)</v>
          </cell>
          <cell r="B34" t="str">
            <v>шт</v>
          </cell>
          <cell r="C34">
            <v>3</v>
          </cell>
          <cell r="D34">
            <v>52</v>
          </cell>
          <cell r="E34">
            <v>47</v>
          </cell>
          <cell r="F34">
            <v>1</v>
          </cell>
          <cell r="G34">
            <v>0.3</v>
          </cell>
          <cell r="H34">
            <v>135</v>
          </cell>
          <cell r="I34">
            <v>1030679319</v>
          </cell>
        </row>
        <row r="35">
          <cell r="A35" t="str">
            <v>СК САЛЯМИ АСТОРИЯ СРЕЗ ФИБ ВУ ШТ 0.225КГ (ТМ ЧЕРКИЗОВО) K1.35</v>
          </cell>
          <cell r="B35" t="str">
            <v>шт</v>
          </cell>
          <cell r="G35">
            <v>0.22500000000000001</v>
          </cell>
          <cell r="H35">
            <v>135</v>
          </cell>
          <cell r="I35">
            <v>1030671534</v>
          </cell>
        </row>
        <row r="36">
          <cell r="A36" t="str">
            <v>СК СВИНАЯ ПО-ЧЕРКИЗОВ СРЕЗ ШТ0,225 К1,35</v>
          </cell>
          <cell r="B36" t="str">
            <v>шт</v>
          </cell>
          <cell r="G36">
            <v>0.22500000000000001</v>
          </cell>
          <cell r="H36">
            <v>135</v>
          </cell>
          <cell r="I36">
            <v>1030688634</v>
          </cell>
        </row>
        <row r="37">
          <cell r="A37" t="str">
            <v>СК СЕРВЕЛЕТТИ ПРЕСС СРЕЗ БО ВУ ШТ 0.25КГ  ЧЕРКИЗОВО</v>
          </cell>
          <cell r="B37" t="str">
            <v>шт</v>
          </cell>
          <cell r="C37">
            <v>3</v>
          </cell>
          <cell r="D37">
            <v>563</v>
          </cell>
          <cell r="E37">
            <v>555</v>
          </cell>
          <cell r="F37">
            <v>6</v>
          </cell>
          <cell r="G37">
            <v>0.25</v>
          </cell>
          <cell r="H37">
            <v>120</v>
          </cell>
          <cell r="I37">
            <v>1030670803</v>
          </cell>
        </row>
        <row r="38">
          <cell r="A38" t="str">
            <v>СОС ВЕНСКИЕ БО ЗА ПАК 1.25КГ K5 ЧЕРКИЗОВО</v>
          </cell>
          <cell r="B38" t="str">
            <v>кг</v>
          </cell>
          <cell r="C38">
            <v>-4.4999999999999998E-2</v>
          </cell>
          <cell r="D38">
            <v>78.372</v>
          </cell>
          <cell r="E38">
            <v>65.968999999999994</v>
          </cell>
          <cell r="F38">
            <v>11.106999999999999</v>
          </cell>
          <cell r="G38">
            <v>0</v>
          </cell>
          <cell r="H38">
            <v>35</v>
          </cell>
          <cell r="I38">
            <v>1030228316</v>
          </cell>
        </row>
        <row r="39">
          <cell r="A39" t="str">
            <v>СОС КОПЧ ПО-Ч ЛОТ ПМО ЗА ШТ 0.4КГ K1.6  ЧЕРКИЗОВО</v>
          </cell>
          <cell r="B39" t="str">
            <v>шт</v>
          </cell>
          <cell r="C39">
            <v>-6</v>
          </cell>
          <cell r="D39">
            <v>405</v>
          </cell>
          <cell r="E39">
            <v>362</v>
          </cell>
          <cell r="F39">
            <v>32</v>
          </cell>
          <cell r="G39">
            <v>0.4</v>
          </cell>
          <cell r="H39">
            <v>41</v>
          </cell>
          <cell r="I39">
            <v>1030234120</v>
          </cell>
        </row>
        <row r="40">
          <cell r="A40" t="str">
            <v>СОС МОЛОЧНЫЕ ПО-Ч ПМО ЗА ЛОТ ШТ 0.45КГ K1.8 ЧЕРКИЗОВО</v>
          </cell>
          <cell r="B40" t="str">
            <v>шт</v>
          </cell>
          <cell r="C40">
            <v>4</v>
          </cell>
          <cell r="D40">
            <v>200</v>
          </cell>
          <cell r="E40">
            <v>172</v>
          </cell>
          <cell r="F40">
            <v>12</v>
          </cell>
          <cell r="G40">
            <v>0</v>
          </cell>
          <cell r="H40">
            <v>31</v>
          </cell>
          <cell r="I40">
            <v>1030228620</v>
          </cell>
        </row>
        <row r="41">
          <cell r="A41" t="str">
            <v>СОС СЛИВ ПО-ЧЕРК ПМО ЗА 1.5КГ К6</v>
          </cell>
          <cell r="B41" t="str">
            <v>кг</v>
          </cell>
          <cell r="G41">
            <v>1.5</v>
          </cell>
          <cell r="H41">
            <v>31</v>
          </cell>
          <cell r="I41">
            <v>1030228855</v>
          </cell>
        </row>
        <row r="42">
          <cell r="A42" t="str">
            <v>СОС СЛИВОЧНЫЕ ГОСТ ЦО ЗА ЛОТ ШТ 0.45КГ K1.8 ЧЕРКИЗОВО</v>
          </cell>
          <cell r="B42" t="str">
            <v>шт</v>
          </cell>
          <cell r="D42">
            <v>200</v>
          </cell>
          <cell r="E42">
            <v>198</v>
          </cell>
          <cell r="F42">
            <v>-4</v>
          </cell>
          <cell r="G42">
            <v>0.45</v>
          </cell>
          <cell r="H42">
            <v>30</v>
          </cell>
          <cell r="I42">
            <v>1030212603</v>
          </cell>
        </row>
        <row r="43">
          <cell r="A43" t="str">
            <v>Сосиски Мусульм/ЛТФ/ТУ/охл/TF/гк254</v>
          </cell>
          <cell r="B43" t="str">
            <v>шт</v>
          </cell>
          <cell r="G43">
            <v>0.35</v>
          </cell>
          <cell r="H43">
            <v>31</v>
          </cell>
          <cell r="I43">
            <v>1030236957</v>
          </cell>
        </row>
        <row r="44">
          <cell r="A44" t="str">
            <v>У_ВАР КЛАССИЧЕСКАЯ ПО-Ч ЦО ЗА 1.6КГ K3.2 ЧЕРКИЗОВО</v>
          </cell>
          <cell r="B44" t="str">
            <v>кг</v>
          </cell>
          <cell r="C44">
            <v>-4.8390000000000004</v>
          </cell>
          <cell r="F44">
            <v>-4.8390000000000004</v>
          </cell>
          <cell r="G44">
            <v>0</v>
          </cell>
          <cell r="I44" t="str">
            <v>уценка</v>
          </cell>
        </row>
        <row r="45">
          <cell r="A45" t="str">
            <v>У_СОС ВЕНСКИЕ БО ЗА ПАК 1.25КГ K5 ЧЕРКИЗОВО</v>
          </cell>
          <cell r="C45">
            <v>-1.2390000000000001</v>
          </cell>
          <cell r="E45">
            <v>9.9280000000000008</v>
          </cell>
          <cell r="F45">
            <v>-11.167</v>
          </cell>
          <cell r="G45">
            <v>0</v>
          </cell>
          <cell r="I45" t="str">
            <v>уценка</v>
          </cell>
        </row>
        <row r="46">
          <cell r="A46" t="str">
            <v>У_СОС КОПЧ ПО-Ч ЛОТ ПМО ЗА ШТ 0.4КГ K1.6  ЧЕРКИЗОВО</v>
          </cell>
          <cell r="B46" t="str">
            <v>шт</v>
          </cell>
          <cell r="C46">
            <v>-4</v>
          </cell>
          <cell r="F46">
            <v>-4</v>
          </cell>
          <cell r="G46">
            <v>0</v>
          </cell>
          <cell r="I46" t="str">
            <v>уценка</v>
          </cell>
        </row>
        <row r="47">
          <cell r="A47" t="str">
            <v>У_СОС МОЛОЧНЫЕ ПО-Ч ПМО ЗА ЛОТ ШТ 0.45КГ K1.8 ЧЕРКИЗОВО</v>
          </cell>
          <cell r="B47" t="str">
            <v>шт</v>
          </cell>
          <cell r="C47">
            <v>-4</v>
          </cell>
          <cell r="F47">
            <v>-4</v>
          </cell>
          <cell r="G47">
            <v>0</v>
          </cell>
          <cell r="I47" t="str">
            <v>уценка</v>
          </cell>
        </row>
        <row r="48">
          <cell r="A48" t="str">
            <v>ЦБ/РУЛЕТ/-/НЕЖНЫЙ/ИВ/-/ОХЛ/-/-/0,4 K2.4</v>
          </cell>
          <cell r="B48" t="str">
            <v>шт</v>
          </cell>
          <cell r="G48">
            <v>0.4</v>
          </cell>
          <cell r="H48">
            <v>40</v>
          </cell>
          <cell r="I48">
            <v>1030707697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14" sqref="G14"/>
    </sheetView>
  </sheetViews>
  <sheetFormatPr defaultRowHeight="15" x14ac:dyDescent="0.25"/>
  <cols>
    <col min="1" max="1" width="45.140625" bestFit="1" customWidth="1"/>
    <col min="2" max="2" width="8.140625" bestFit="1" customWidth="1"/>
    <col min="3" max="3" width="11" style="12" bestFit="1" customWidth="1"/>
    <col min="4" max="4" width="9.140625" bestFit="1" customWidth="1"/>
    <col min="5" max="5" width="4" bestFit="1" customWidth="1"/>
  </cols>
  <sheetData>
    <row r="1" spans="1:5" ht="15.75" thickBot="1" x14ac:dyDescent="0.3">
      <c r="A1" s="7" t="s">
        <v>0</v>
      </c>
      <c r="B1" s="8" t="s">
        <v>1</v>
      </c>
      <c r="C1" s="10" t="s">
        <v>12</v>
      </c>
      <c r="D1" s="8" t="s">
        <v>11</v>
      </c>
      <c r="E1" s="9" t="s">
        <v>2</v>
      </c>
    </row>
    <row r="2" spans="1:5" x14ac:dyDescent="0.25">
      <c r="A2" s="13" t="s">
        <v>3</v>
      </c>
      <c r="B2" s="14" t="s">
        <v>4</v>
      </c>
      <c r="C2" s="15">
        <f>VLOOKUP(A2,[1]Sheet!$A:$I,9,0)</f>
        <v>1030503997</v>
      </c>
      <c r="D2" s="14">
        <v>180</v>
      </c>
      <c r="E2" s="16">
        <v>72</v>
      </c>
    </row>
    <row r="3" spans="1:5" x14ac:dyDescent="0.25">
      <c r="A3" s="2" t="s">
        <v>5</v>
      </c>
      <c r="B3" s="1" t="s">
        <v>4</v>
      </c>
      <c r="C3" s="11">
        <f>VLOOKUP(A3,[1]Sheet!$A:$I,9,0)</f>
        <v>1030518197</v>
      </c>
      <c r="D3" s="1">
        <v>200</v>
      </c>
      <c r="E3" s="3">
        <v>80</v>
      </c>
    </row>
    <row r="4" spans="1:5" x14ac:dyDescent="0.25">
      <c r="A4" s="2" t="s">
        <v>6</v>
      </c>
      <c r="B4" s="1" t="s">
        <v>4</v>
      </c>
      <c r="C4" s="11">
        <f>VLOOKUP(A4,[1]Sheet!$A:$I,9,0)</f>
        <v>1030129697</v>
      </c>
      <c r="D4" s="1">
        <v>200</v>
      </c>
      <c r="E4" s="3">
        <v>80</v>
      </c>
    </row>
    <row r="5" spans="1:5" x14ac:dyDescent="0.25">
      <c r="A5" s="2" t="s">
        <v>7</v>
      </c>
      <c r="B5" s="1" t="s">
        <v>4</v>
      </c>
      <c r="C5" s="11">
        <f>VLOOKUP(A5,[1]Sheet!$A:$I,9,0)</f>
        <v>1030680328</v>
      </c>
      <c r="D5" s="1">
        <v>200</v>
      </c>
      <c r="E5" s="3">
        <v>17</v>
      </c>
    </row>
    <row r="6" spans="1:5" x14ac:dyDescent="0.25">
      <c r="A6" s="2" t="s">
        <v>8</v>
      </c>
      <c r="B6" s="1" t="s">
        <v>4</v>
      </c>
      <c r="C6" s="11">
        <f>VLOOKUP(A6,[1]Sheet!$A:$I,9,0)</f>
        <v>1030683928</v>
      </c>
      <c r="D6" s="1">
        <v>200</v>
      </c>
      <c r="E6" s="3">
        <v>17</v>
      </c>
    </row>
    <row r="7" spans="1:5" x14ac:dyDescent="0.25">
      <c r="A7" s="2" t="s">
        <v>9</v>
      </c>
      <c r="B7" s="1" t="s">
        <v>4</v>
      </c>
      <c r="C7" s="11">
        <f>VLOOKUP(A7,[1]Sheet!$A:$I,9,0)</f>
        <v>1030236957</v>
      </c>
      <c r="D7" s="1">
        <v>80</v>
      </c>
      <c r="E7" s="3">
        <v>28</v>
      </c>
    </row>
    <row r="8" spans="1:5" ht="15.75" thickBot="1" x14ac:dyDescent="0.3">
      <c r="A8" s="4" t="s">
        <v>10</v>
      </c>
      <c r="B8" s="5" t="s">
        <v>4</v>
      </c>
      <c r="C8" s="17">
        <f>VLOOKUP(A8,[1]Sheet!$A:$I,9,0)</f>
        <v>1030707697</v>
      </c>
      <c r="D8" s="5">
        <v>100</v>
      </c>
      <c r="E8" s="6">
        <v>40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2025-12-26T13:00:56Z</dcterms:modified>
</cp:coreProperties>
</file>