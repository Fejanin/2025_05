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5F3AF194-1776-4114-9F80-94A946B3C0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6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Z88" i="1"/>
  <c r="BP86" i="1"/>
  <c r="BN86" i="1"/>
  <c r="Z86" i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Z177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H9" i="1"/>
  <c r="Y24" i="1"/>
  <c r="Y44" i="1"/>
  <c r="Y57" i="1"/>
  <c r="Z63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257" i="1"/>
  <c r="BN257" i="1"/>
  <c r="Z257" i="1"/>
  <c r="Z259" i="1" s="1"/>
  <c r="BP266" i="1"/>
  <c r="BN266" i="1"/>
  <c r="Z266" i="1"/>
  <c r="Y268" i="1"/>
  <c r="O499" i="1"/>
  <c r="Y274" i="1"/>
  <c r="BP271" i="1"/>
  <c r="BN271" i="1"/>
  <c r="Z271" i="1"/>
  <c r="Z274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22" i="1"/>
  <c r="BN322" i="1"/>
  <c r="Z322" i="1"/>
  <c r="Z325" i="1" s="1"/>
  <c r="BP330" i="1"/>
  <c r="BN330" i="1"/>
  <c r="Z330" i="1"/>
  <c r="Y332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432" i="1"/>
  <c r="Z350" i="1"/>
  <c r="Z331" i="1"/>
  <c r="Z215" i="1"/>
  <c r="Z203" i="1"/>
  <c r="Z148" i="1"/>
  <c r="Z103" i="1"/>
  <c r="Z31" i="1"/>
  <c r="Y491" i="1"/>
  <c r="Z394" i="1"/>
  <c r="Z305" i="1"/>
  <c r="Z312" i="1"/>
  <c r="Z267" i="1"/>
  <c r="Z234" i="1"/>
  <c r="Y489" i="1"/>
  <c r="Z76" i="1"/>
  <c r="Z494" i="1" s="1"/>
  <c r="Y493" i="1"/>
  <c r="Y490" i="1"/>
  <c r="Y492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<sst xmlns="http://schemas.openxmlformats.org/spreadsheetml/2006/main" count="2337" uniqueCount="763">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</sst>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58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60.201851851851856</v>
      </c>
      <c r="BN40" s="64">
        <f>IFERROR(Y40*I40/H40,"0")</f>
        <v>67.260000000000005</v>
      </c>
      <c r="BO40" s="64">
        <f>IFERROR(1/J40*(X40/H40),"0")</f>
        <v>8.3912037037037035E-2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118</v>
      </c>
      <c r="Y41" s="542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123.60500000000002</v>
      </c>
      <c r="BN41" s="64">
        <f>IFERROR(Y41*I41/H41,"0")</f>
        <v>125.70000000000002</v>
      </c>
      <c r="BO41" s="64">
        <f>IFERROR(1/J41*(X41/H41),"0")</f>
        <v>0.22348484848484848</v>
      </c>
      <c r="BP41" s="64">
        <f>IFERROR(1/J41*(Y41/H41),"0")</f>
        <v>0.22727272727272729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34.870370370370367</v>
      </c>
      <c r="Y43" s="543">
        <f>IFERROR(Y40/H40,"0")+IFERROR(Y41/H41,"0")+IFERROR(Y42/H42,"0")</f>
        <v>36</v>
      </c>
      <c r="Z43" s="543">
        <f>IFERROR(IF(Z40="",0,Z40),"0")+IFERROR(IF(Z41="",0,Z41),"0")+IFERROR(IF(Z42="",0,Z42),"0")</f>
        <v>0.38448000000000004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176</v>
      </c>
      <c r="Y44" s="543">
        <f>IFERROR(SUM(Y40:Y42),"0")</f>
        <v>184.8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175</v>
      </c>
      <c r="Y56" s="542">
        <f t="shared" si="0"/>
        <v>175.5</v>
      </c>
      <c r="Z56" s="36">
        <f>IFERROR(IF(Y56=0,"",ROUNDUP(Y56/H56,0)*0.00902),"")</f>
        <v>0.35177999999999998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182.38888888888891</v>
      </c>
      <c r="BN56" s="64">
        <f t="shared" si="2"/>
        <v>182.91</v>
      </c>
      <c r="BO56" s="64">
        <f t="shared" si="3"/>
        <v>0.2946127946127946</v>
      </c>
      <c r="BP56" s="64">
        <f t="shared" si="4"/>
        <v>0.29545454545454547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38.888888888888886</v>
      </c>
      <c r="Y57" s="543">
        <f>IFERROR(Y51/H51,"0")+IFERROR(Y52/H52,"0")+IFERROR(Y53/H53,"0")+IFERROR(Y54/H54,"0")+IFERROR(Y55/H55,"0")+IFERROR(Y56/H56,"0")</f>
        <v>39</v>
      </c>
      <c r="Z57" s="543">
        <f>IFERROR(IF(Z51="",0,Z51),"0")+IFERROR(IF(Z52="",0,Z52),"0")+IFERROR(IF(Z53="",0,Z53),"0")+IFERROR(IF(Z54="",0,Z54),"0")+IFERROR(IF(Z55="",0,Z55),"0")+IFERROR(IF(Z56="",0,Z56),"0")</f>
        <v>0.35177999999999998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175</v>
      </c>
      <c r="Y58" s="543">
        <f>IFERROR(SUM(Y51:Y56),"0")</f>
        <v>175.5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180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186.83333333333334</v>
      </c>
      <c r="BN85" s="64">
        <f>IFERROR(Y85*I85/H85,"0")</f>
        <v>190.57000000000002</v>
      </c>
      <c r="BO85" s="64">
        <f>IFERROR(1/J85*(X85/H85),"0")</f>
        <v>0.26041666666666663</v>
      </c>
      <c r="BP85" s="64">
        <f>IFERROR(1/J85*(Y85/H85),"0")</f>
        <v>0.265625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61</v>
      </c>
      <c r="Y87" s="542">
        <f>IFERROR(IF(X87="",0,CEILING((X87/$H87),1)*$H87),"")</f>
        <v>63</v>
      </c>
      <c r="Z87" s="36">
        <f>IFERROR(IF(Y87=0,"",ROUNDUP(Y87/H87,0)*0.00902),"")</f>
        <v>0.12628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63.57555555555556</v>
      </c>
      <c r="BN87" s="64">
        <f>IFERROR(Y87*I87/H87,"0")</f>
        <v>65.660000000000011</v>
      </c>
      <c r="BO87" s="64">
        <f>IFERROR(1/J87*(X87/H87),"0")</f>
        <v>0.1026936026936027</v>
      </c>
      <c r="BP87" s="64">
        <f>IFERROR(1/J87*(Y87/H87),"0")</f>
        <v>0.10606060606060606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30.222222222222221</v>
      </c>
      <c r="Y88" s="543">
        <f>IFERROR(Y85/H85,"0")+IFERROR(Y86/H86,"0")+IFERROR(Y87/H87,"0")</f>
        <v>31</v>
      </c>
      <c r="Z88" s="543">
        <f>IFERROR(IF(Z85="",0,Z85),"0")+IFERROR(IF(Z86="",0,Z86),"0")+IFERROR(IF(Z87="",0,Z87),"0")</f>
        <v>0.44894000000000001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241</v>
      </c>
      <c r="Y89" s="543">
        <f>IFERROR(SUM(Y85:Y87),"0")</f>
        <v>246.60000000000002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78</v>
      </c>
      <c r="Y94" s="542">
        <f>IFERROR(IF(X94="",0,CEILING((X94/$H94),1)*$H94),"")</f>
        <v>79.2</v>
      </c>
      <c r="Z94" s="36">
        <f>IFERROR(IF(Y94=0,"",ROUNDUP(Y94/H94,0)*0.00651),"")</f>
        <v>0.26040000000000002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88.163636363636357</v>
      </c>
      <c r="BN94" s="64">
        <f>IFERROR(Y94*I94/H94,"0")</f>
        <v>89.52000000000001</v>
      </c>
      <c r="BO94" s="64">
        <f>IFERROR(1/J94*(X94/H94),"0")</f>
        <v>0.21645021645021645</v>
      </c>
      <c r="BP94" s="64">
        <f>IFERROR(1/J94*(Y94/H94),"0")</f>
        <v>0.2197802197802198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39.393939393939391</v>
      </c>
      <c r="Y95" s="543">
        <f>IFERROR(Y91/H91,"0")+IFERROR(Y92/H92,"0")+IFERROR(Y93/H93,"0")+IFERROR(Y94/H94,"0")</f>
        <v>40</v>
      </c>
      <c r="Z95" s="543">
        <f>IFERROR(IF(Z91="",0,Z91),"0")+IFERROR(IF(Z92="",0,Z92),"0")+IFERROR(IF(Z93="",0,Z93),"0")+IFERROR(IF(Z94="",0,Z94),"0")</f>
        <v>0.26040000000000002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78</v>
      </c>
      <c r="Y96" s="543">
        <f>IFERROR(SUM(Y91:Y94),"0")</f>
        <v>79.2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27</v>
      </c>
      <c r="Y100" s="542">
        <f>IFERROR(IF(X100="",0,CEILING((X100/$H100),1)*$H100),"")</f>
        <v>30</v>
      </c>
      <c r="Z100" s="36">
        <f>IFERROR(IF(Y100=0,"",ROUNDUP(Y100/H100,0)*0.00902),"")</f>
        <v>7.2160000000000002E-2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28.367999999999999</v>
      </c>
      <c r="BN100" s="64">
        <f>IFERROR(Y100*I100/H100,"0")</f>
        <v>31.52</v>
      </c>
      <c r="BO100" s="64">
        <f>IFERROR(1/J100*(X100/H100),"0")</f>
        <v>5.454545454545455E-2</v>
      </c>
      <c r="BP100" s="64">
        <f>IFERROR(1/J100*(Y100/H100),"0")</f>
        <v>6.0606060606060608E-2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12.755555555555556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0.18604000000000001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87</v>
      </c>
      <c r="Y104" s="543">
        <f>IFERROR(SUM(Y99:Y102),"0")</f>
        <v>94.800000000000011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21</v>
      </c>
      <c r="Y107" s="542">
        <f>IFERROR(IF(X107="",0,CEILING((X107/$H107),1)*$H107),"")</f>
        <v>21.599999999999998</v>
      </c>
      <c r="Z107" s="36">
        <f>IFERROR(IF(Y107=0,"",ROUNDUP(Y107/H107,0)*0.00502),"")</f>
        <v>4.5179999999999998E-2</v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21.875</v>
      </c>
      <c r="BN107" s="64">
        <f>IFERROR(Y107*I107/H107,"0")</f>
        <v>22.499999999999996</v>
      </c>
      <c r="BO107" s="64">
        <f>IFERROR(1/J107*(X107/H107),"0")</f>
        <v>3.7393162393162399E-2</v>
      </c>
      <c r="BP107" s="64">
        <f>IFERROR(1/J107*(Y107/H107),"0")</f>
        <v>3.8461538461538464E-2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8.75</v>
      </c>
      <c r="Y109" s="543">
        <f>IFERROR(Y106/H106,"0")+IFERROR(Y107/H107,"0")+IFERROR(Y108/H108,"0")</f>
        <v>9</v>
      </c>
      <c r="Z109" s="543">
        <f>IFERROR(IF(Z106="",0,Z106),"0")+IFERROR(IF(Z107="",0,Z107),"0")+IFERROR(IF(Z108="",0,Z108),"0")</f>
        <v>4.5179999999999998E-2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21</v>
      </c>
      <c r="Y110" s="543">
        <f>IFERROR(SUM(Y106:Y108),"0")</f>
        <v>21.599999999999998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103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109.20543209876543</v>
      </c>
      <c r="BN112" s="64">
        <f>IFERROR(Y112*I112/H112,"0")</f>
        <v>111.64399999999999</v>
      </c>
      <c r="BO112" s="64">
        <f>IFERROR(1/J112*(X112/H112),"0")</f>
        <v>0.19868827160493829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8</v>
      </c>
      <c r="Y113" s="542">
        <f>IFERROR(IF(X113="",0,CEILING((X113/$H113),1)*$H113),"")</f>
        <v>9.9</v>
      </c>
      <c r="Z113" s="36">
        <f>IFERROR(IF(Y113=0,"",ROUNDUP(Y113/H113,0)*0.00651),"")</f>
        <v>3.2550000000000003E-2</v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8.9939393939393941</v>
      </c>
      <c r="BN113" s="64">
        <f>IFERROR(Y113*I113/H113,"0")</f>
        <v>11.13</v>
      </c>
      <c r="BO113" s="64">
        <f>IFERROR(1/J113*(X113/H113),"0")</f>
        <v>2.2200022200022203E-2</v>
      </c>
      <c r="BP113" s="64">
        <f>IFERROR(1/J113*(Y113/H113),"0")</f>
        <v>2.7472527472527476E-2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40</v>
      </c>
      <c r="Y114" s="542">
        <f>IFERROR(IF(X114="",0,CEILING((X114/$H114),1)*$H114),"")</f>
        <v>40.5</v>
      </c>
      <c r="Z114" s="36">
        <f>IFERROR(IF(Y114=0,"",ROUNDUP(Y114/H114,0)*0.00651),"")</f>
        <v>9.7650000000000001E-2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43.733333333333327</v>
      </c>
      <c r="BN114" s="64">
        <f>IFERROR(Y114*I114/H114,"0")</f>
        <v>44.279999999999994</v>
      </c>
      <c r="BO114" s="64">
        <f>IFERROR(1/J114*(X114/H114),"0")</f>
        <v>8.1400081400081398E-2</v>
      </c>
      <c r="BP114" s="64">
        <f>IFERROR(1/J114*(Y114/H114),"0")</f>
        <v>8.2417582417582416E-2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31.571268237934905</v>
      </c>
      <c r="Y116" s="543">
        <f>IFERROR(Y112/H112,"0")+IFERROR(Y113/H113,"0")+IFERROR(Y114/H114,"0")+IFERROR(Y115/H115,"0")</f>
        <v>33</v>
      </c>
      <c r="Z116" s="543">
        <f>IFERROR(IF(Z112="",0,Z112),"0")+IFERROR(IF(Z113="",0,Z113),"0")+IFERROR(IF(Z114="",0,Z114),"0")+IFERROR(IF(Z115="",0,Z115),"0")</f>
        <v>0.37694000000000005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151</v>
      </c>
      <c r="Y117" s="543">
        <f>IFERROR(SUM(Y112:Y115),"0")</f>
        <v>155.69999999999999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21</v>
      </c>
      <c r="Y130" s="542">
        <f>IFERROR(IF(X130="",0,CEILING((X130/$H130),1)*$H130),"")</f>
        <v>22.4</v>
      </c>
      <c r="Z130" s="36">
        <f>IFERROR(IF(Y130=0,"",ROUNDUP(Y130/H130,0)*0.00651),"")</f>
        <v>5.2080000000000001E-2</v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23.01</v>
      </c>
      <c r="BN130" s="64">
        <f>IFERROR(Y130*I130/H130,"0")</f>
        <v>24.543999999999997</v>
      </c>
      <c r="BO130" s="64">
        <f>IFERROR(1/J130*(X130/H130),"0")</f>
        <v>4.1208791208791215E-2</v>
      </c>
      <c r="BP130" s="64">
        <f>IFERROR(1/J130*(Y130/H130),"0")</f>
        <v>4.3956043956043959E-2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7.5000000000000009</v>
      </c>
      <c r="Y131" s="543">
        <f>IFERROR(Y129/H129,"0")+IFERROR(Y130/H130,"0")</f>
        <v>8</v>
      </c>
      <c r="Z131" s="543">
        <f>IFERROR(IF(Z129="",0,Z129),"0")+IFERROR(IF(Z130="",0,Z130),"0")</f>
        <v>5.2080000000000001E-2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21</v>
      </c>
      <c r="Y132" s="543">
        <f>IFERROR(SUM(Y129:Y130),"0")</f>
        <v>22.4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6</v>
      </c>
      <c r="Y135" s="542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6.6090909090909093</v>
      </c>
      <c r="BN135" s="64">
        <f>IFERROR(Y135*I135/H135,"0")</f>
        <v>8.7240000000000002</v>
      </c>
      <c r="BO135" s="64">
        <f>IFERROR(1/J135*(X135/H135),"0")</f>
        <v>1.2487512487512488E-2</v>
      </c>
      <c r="BP135" s="64">
        <f>IFERROR(1/J135*(Y135/H135),"0")</f>
        <v>1.6483516483516484E-2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2.2727272727272725</v>
      </c>
      <c r="Y136" s="543">
        <f>IFERROR(Y134/H134,"0")+IFERROR(Y135/H135,"0")</f>
        <v>3</v>
      </c>
      <c r="Z136" s="543">
        <f>IFERROR(IF(Z134="",0,Z134),"0")+IFERROR(IF(Z135="",0,Z135),"0")</f>
        <v>1.9529999999999999E-2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6</v>
      </c>
      <c r="Y137" s="543">
        <f>IFERROR(SUM(Y134:Y135),"0")</f>
        <v>7.92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64</v>
      </c>
      <c r="Y141" s="542">
        <f>IFERROR(IF(X141="",0,CEILING((X141/$H141),1)*$H141),"")</f>
        <v>64</v>
      </c>
      <c r="Z141" s="36">
        <f>IFERROR(IF(Y141=0,"",ROUNDUP(Y141/H141,0)*0.00902),"")</f>
        <v>0.14432</v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67.040000000000006</v>
      </c>
      <c r="BN141" s="64">
        <f>IFERROR(Y141*I141/H141,"0")</f>
        <v>67.040000000000006</v>
      </c>
      <c r="BO141" s="64">
        <f>IFERROR(1/J141*(X141/H141),"0")</f>
        <v>0.12121212121212122</v>
      </c>
      <c r="BP141" s="64">
        <f>IFERROR(1/J141*(Y141/H141),"0")</f>
        <v>0.12121212121212122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16</v>
      </c>
      <c r="Y142" s="543">
        <f>IFERROR(Y140/H140,"0")+IFERROR(Y141/H141,"0")</f>
        <v>16</v>
      </c>
      <c r="Z142" s="543">
        <f>IFERROR(IF(Z140="",0,Z140),"0")+IFERROR(IF(Z141="",0,Z141),"0")</f>
        <v>0.14432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64</v>
      </c>
      <c r="Y143" s="543">
        <f>IFERROR(SUM(Y140:Y141),"0")</f>
        <v>64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4</v>
      </c>
      <c r="Y163" s="542">
        <f t="shared" si="5"/>
        <v>4.2</v>
      </c>
      <c r="Z163" s="36">
        <f>IFERROR(IF(Y163=0,"",ROUNDUP(Y163/H163,0)*0.00902),"")</f>
        <v>9.0200000000000002E-3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4.1809523809523803</v>
      </c>
      <c r="BN163" s="64">
        <f t="shared" si="7"/>
        <v>4.3899999999999997</v>
      </c>
      <c r="BO163" s="64">
        <f t="shared" si="8"/>
        <v>7.215007215007215E-3</v>
      </c>
      <c r="BP163" s="64">
        <f t="shared" si="9"/>
        <v>7.575757575757576E-3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55</v>
      </c>
      <c r="Y164" s="542">
        <f t="shared" si="5"/>
        <v>56.7</v>
      </c>
      <c r="Z164" s="36">
        <f>IFERROR(IF(Y164=0,"",ROUNDUP(Y164/H164,0)*0.00502),"")</f>
        <v>0.13553999999999999</v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58.404761904761905</v>
      </c>
      <c r="BN164" s="64">
        <f t="shared" si="7"/>
        <v>60.21</v>
      </c>
      <c r="BO164" s="64">
        <f t="shared" si="8"/>
        <v>0.11192511192511194</v>
      </c>
      <c r="BP164" s="64">
        <f t="shared" si="9"/>
        <v>0.11538461538461539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32</v>
      </c>
      <c r="Y166" s="542">
        <f t="shared" si="5"/>
        <v>33.6</v>
      </c>
      <c r="Z166" s="36">
        <f>IFERROR(IF(Y166=0,"",ROUNDUP(Y166/H166,0)*0.00502),"")</f>
        <v>8.0320000000000003E-2</v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33.980952380952381</v>
      </c>
      <c r="BN166" s="64">
        <f t="shared" si="7"/>
        <v>35.68</v>
      </c>
      <c r="BO166" s="64">
        <f t="shared" si="8"/>
        <v>6.5120065120065129E-2</v>
      </c>
      <c r="BP166" s="64">
        <f t="shared" si="9"/>
        <v>6.8376068376068383E-2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42.38095238095238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44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0.22488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91</v>
      </c>
      <c r="Y172" s="543">
        <f>IFERROR(SUM(Y161:Y170),"0")</f>
        <v>94.5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2</v>
      </c>
      <c r="Y174" s="542">
        <f>IFERROR(IF(X174="",0,CEILING((X174/$H174),1)*$H174),"")</f>
        <v>2.52</v>
      </c>
      <c r="Z174" s="36">
        <f>IFERROR(IF(Y174=0,"",ROUNDUP(Y174/H174,0)*0.0059),"")</f>
        <v>1.18E-2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2.3015873015873014</v>
      </c>
      <c r="BN174" s="64">
        <f>IFERROR(Y174*I174/H174,"0")</f>
        <v>2.9</v>
      </c>
      <c r="BO174" s="64">
        <f>IFERROR(1/J174*(X174/H174),"0")</f>
        <v>7.3486184597295699E-3</v>
      </c>
      <c r="BP174" s="64">
        <f>IFERROR(1/J174*(Y174/H174),"0")</f>
        <v>9.2592592592592587E-3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4</v>
      </c>
      <c r="Y176" s="542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4.6031746031746028</v>
      </c>
      <c r="BN176" s="64">
        <f>IFERROR(Y176*I176/H176,"0")</f>
        <v>5.8</v>
      </c>
      <c r="BO176" s="64">
        <f>IFERROR(1/J176*(X176/H176),"0")</f>
        <v>1.469723691945914E-2</v>
      </c>
      <c r="BP176" s="64">
        <f>IFERROR(1/J176*(Y176/H176),"0")</f>
        <v>1.8518518518518517E-2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4.7619047619047619</v>
      </c>
      <c r="Y177" s="543">
        <f>IFERROR(Y174/H174,"0")+IFERROR(Y175/H175,"0")+IFERROR(Y176/H176,"0")</f>
        <v>6</v>
      </c>
      <c r="Z177" s="543">
        <f>IFERROR(IF(Z174="",0,Z174),"0")+IFERROR(IF(Z175="",0,Z175),"0")+IFERROR(IF(Z176="",0,Z176),"0")</f>
        <v>3.5400000000000001E-2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6</v>
      </c>
      <c r="Y178" s="543">
        <f>IFERROR(SUM(Y174:Y176),"0")</f>
        <v>7.5600000000000005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4</v>
      </c>
      <c r="Y180" s="542">
        <f>IFERROR(IF(X180="",0,CEILING((X180/$H180),1)*$H180),"")</f>
        <v>5.04</v>
      </c>
      <c r="Z180" s="36">
        <f>IFERROR(IF(Y180=0,"",ROUNDUP(Y180/H180,0)*0.0059),"")</f>
        <v>2.3599999999999999E-2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4.6031746031746028</v>
      </c>
      <c r="BN180" s="64">
        <f>IFERROR(Y180*I180/H180,"0")</f>
        <v>5.8</v>
      </c>
      <c r="BO180" s="64">
        <f>IFERROR(1/J180*(X180/H180),"0")</f>
        <v>1.469723691945914E-2</v>
      </c>
      <c r="BP180" s="64">
        <f>IFERROR(1/J180*(Y180/H180),"0")</f>
        <v>1.8518518518518517E-2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3.1746031746031744</v>
      </c>
      <c r="Y181" s="543">
        <f>IFERROR(Y180/H180,"0")</f>
        <v>4</v>
      </c>
      <c r="Z181" s="543">
        <f>IFERROR(IF(Z180="",0,Z180),"0")</f>
        <v>2.3599999999999999E-2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4</v>
      </c>
      <c r="Y182" s="543">
        <f>IFERROR(SUM(Y180:Y180),"0")</f>
        <v>5.04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6</v>
      </c>
      <c r="Y195" s="542">
        <f t="shared" ref="Y195:Y202" si="10">IFERROR(IF(X195="",0,CEILING((X195/$H195),1)*$H195),"")</f>
        <v>10.8</v>
      </c>
      <c r="Z195" s="36">
        <f>IFERROR(IF(Y195=0,"",ROUNDUP(Y195/H195,0)*0.00902),"")</f>
        <v>1.804E-2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6.2111111111111104</v>
      </c>
      <c r="BN195" s="64">
        <f t="shared" ref="BN195:BN202" si="12">IFERROR(Y195*I195/H195,"0")</f>
        <v>11.18</v>
      </c>
      <c r="BO195" s="64">
        <f t="shared" ref="BO195:BO202" si="13">IFERROR(1/J195*(X195/H195),"0")</f>
        <v>8.4175084175084156E-3</v>
      </c>
      <c r="BP195" s="64">
        <f t="shared" ref="BP195:BP202" si="14">IFERROR(1/J195*(Y195/H195),"0")</f>
        <v>1.5151515151515152E-2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226</v>
      </c>
      <c r="Y197" s="542">
        <f t="shared" si="10"/>
        <v>226.8</v>
      </c>
      <c r="Z197" s="36">
        <f>IFERROR(IF(Y197=0,"",ROUNDUP(Y197/H197,0)*0.00902),"")</f>
        <v>0.37884000000000001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233.95185185185181</v>
      </c>
      <c r="BN197" s="64">
        <f t="shared" si="12"/>
        <v>234.78</v>
      </c>
      <c r="BO197" s="64">
        <f t="shared" si="13"/>
        <v>0.31705948372615039</v>
      </c>
      <c r="BP197" s="64">
        <f t="shared" si="14"/>
        <v>0.31818181818181818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75</v>
      </c>
      <c r="Y199" s="542">
        <f t="shared" si="10"/>
        <v>75.600000000000009</v>
      </c>
      <c r="Z199" s="36">
        <f>IFERROR(IF(Y199=0,"",ROUNDUP(Y199/H199,0)*0.00502),"")</f>
        <v>0.21084</v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80.416666666666671</v>
      </c>
      <c r="BN199" s="64">
        <f t="shared" si="12"/>
        <v>81.06</v>
      </c>
      <c r="BO199" s="64">
        <f t="shared" si="13"/>
        <v>0.17806267806267806</v>
      </c>
      <c r="BP199" s="64">
        <f t="shared" si="14"/>
        <v>0.17948717948717954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69</v>
      </c>
      <c r="Y200" s="542">
        <f t="shared" si="10"/>
        <v>70.2</v>
      </c>
      <c r="Z200" s="36">
        <f>IFERROR(IF(Y200=0,"",ROUNDUP(Y200/H200,0)*0.00502),"")</f>
        <v>0.19578000000000001</v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72.833333333333329</v>
      </c>
      <c r="BN200" s="64">
        <f t="shared" si="12"/>
        <v>74.099999999999994</v>
      </c>
      <c r="BO200" s="64">
        <f t="shared" si="13"/>
        <v>0.16381766381766386</v>
      </c>
      <c r="BP200" s="64">
        <f t="shared" si="14"/>
        <v>0.16666666666666669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122.96296296296296</v>
      </c>
      <c r="Y203" s="543">
        <f>IFERROR(Y195/H195,"0")+IFERROR(Y196/H196,"0")+IFERROR(Y197/H197,"0")+IFERROR(Y198/H198,"0")+IFERROR(Y199/H199,"0")+IFERROR(Y200/H200,"0")+IFERROR(Y201/H201,"0")+IFERROR(Y202/H202,"0")</f>
        <v>125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0.8035000000000001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376</v>
      </c>
      <c r="Y204" s="543">
        <f>IFERROR(SUM(Y195:Y202),"0")</f>
        <v>383.40000000000003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97</v>
      </c>
      <c r="Y209" s="542">
        <f t="shared" si="15"/>
        <v>98.399999999999991</v>
      </c>
      <c r="Z209" s="36">
        <f t="shared" ref="Z209:Z214" si="20">IFERROR(IF(Y209=0,"",ROUNDUP(Y209/H209,0)*0.00651),"")</f>
        <v>0.26690999999999998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107.91250000000001</v>
      </c>
      <c r="BN209" s="64">
        <f t="shared" si="17"/>
        <v>109.46999999999998</v>
      </c>
      <c r="BO209" s="64">
        <f t="shared" si="18"/>
        <v>0.22206959706959711</v>
      </c>
      <c r="BP209" s="64">
        <f t="shared" si="19"/>
        <v>0.22527472527472528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171</v>
      </c>
      <c r="Y211" s="542">
        <f t="shared" si="15"/>
        <v>172.79999999999998</v>
      </c>
      <c r="Z211" s="36">
        <f t="shared" si="20"/>
        <v>0.46872000000000003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188.95500000000001</v>
      </c>
      <c r="BN211" s="64">
        <f t="shared" si="17"/>
        <v>190.94400000000002</v>
      </c>
      <c r="BO211" s="64">
        <f t="shared" si="18"/>
        <v>0.39148351648351654</v>
      </c>
      <c r="BP211" s="64">
        <f t="shared" si="19"/>
        <v>0.39560439560439564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171</v>
      </c>
      <c r="Y212" s="542">
        <f t="shared" si="15"/>
        <v>172.79999999999998</v>
      </c>
      <c r="Z212" s="36">
        <f t="shared" si="20"/>
        <v>0.46872000000000003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188.95500000000001</v>
      </c>
      <c r="BN212" s="64">
        <f t="shared" si="17"/>
        <v>190.94400000000002</v>
      </c>
      <c r="BO212" s="64">
        <f t="shared" si="18"/>
        <v>0.39148351648351654</v>
      </c>
      <c r="BP212" s="64">
        <f t="shared" si="19"/>
        <v>0.39560439560439564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232.91666666666669</v>
      </c>
      <c r="Y215" s="543">
        <f>IFERROR(Y206/H206,"0")+IFERROR(Y207/H207,"0")+IFERROR(Y208/H208,"0")+IFERROR(Y209/H209,"0")+IFERROR(Y210/H210,"0")+IFERROR(Y211/H211,"0")+IFERROR(Y212/H212,"0")+IFERROR(Y213/H213,"0")+IFERROR(Y214/H214,"0")</f>
        <v>235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1.5298500000000002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559</v>
      </c>
      <c r="Y216" s="543">
        <f>IFERROR(SUM(Y206:Y214),"0")</f>
        <v>564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40</v>
      </c>
      <c r="Y219" s="542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16.666666666666668</v>
      </c>
      <c r="Y220" s="543">
        <f>IFERROR(Y218/H218,"0")+IFERROR(Y219/H219,"0")</f>
        <v>17</v>
      </c>
      <c r="Z220" s="543">
        <f>IFERROR(IF(Z218="",0,Z218),"0")+IFERROR(IF(Z219="",0,Z219),"0")</f>
        <v>0.11067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40</v>
      </c>
      <c r="Y221" s="543">
        <f>IFERROR(SUM(Y218:Y219),"0")</f>
        <v>40.799999999999997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12</v>
      </c>
      <c r="Y241" s="542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6.6666666666666661</v>
      </c>
      <c r="Y242" s="543">
        <f>IFERROR(Y241/H241,"0")</f>
        <v>7</v>
      </c>
      <c r="Z242" s="543">
        <f>IFERROR(IF(Z241="",0,Z241),"0")</f>
        <v>4.1299999999999996E-2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12</v>
      </c>
      <c r="Y243" s="543">
        <f>IFERROR(SUM(Y241:Y241),"0")</f>
        <v>12.6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4</v>
      </c>
      <c r="Y245" s="542">
        <f>IFERROR(IF(X245="",0,CEILING((X245/$H245),1)*$H245),"")</f>
        <v>4.95</v>
      </c>
      <c r="Z245" s="36">
        <f>IFERROR(IF(Y245=0,"",ROUNDUP(Y245/H245,0)*0.0059),"")</f>
        <v>2.9499999999999998E-2</v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4.7676767676767673</v>
      </c>
      <c r="BN245" s="64">
        <f>IFERROR(Y245*I245/H245,"0")</f>
        <v>5.9</v>
      </c>
      <c r="BO245" s="64">
        <f>IFERROR(1/J245*(X245/H245),"0")</f>
        <v>1.8705574261129818E-2</v>
      </c>
      <c r="BP245" s="64">
        <f>IFERROR(1/J245*(Y245/H245),"0")</f>
        <v>2.3148148148148147E-2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6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6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7.2666666666666675</v>
      </c>
      <c r="BN247" s="64">
        <f>IFERROR(Y247*I247/H247,"0")</f>
        <v>7.63</v>
      </c>
      <c r="BO247" s="64">
        <f>IFERROR(1/J247*(X247/H247),"0")</f>
        <v>3.0864197530864192E-2</v>
      </c>
      <c r="BP247" s="64">
        <f>IFERROR(1/J247*(Y247/H247),"0")</f>
        <v>3.2407407407407406E-2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16.060606060606059</v>
      </c>
      <c r="Y250" s="543">
        <f>IFERROR(Y245/H245,"0")+IFERROR(Y246/H246,"0")+IFERROR(Y247/H247,"0")+IFERROR(Y248/H248,"0")+IFERROR(Y249/H249,"0")</f>
        <v>19</v>
      </c>
      <c r="Z250" s="543">
        <f>IFERROR(IF(Z245="",0,Z245),"0")+IFERROR(IF(Z246="",0,Z246),"0")+IFERROR(IF(Z247="",0,Z247),"0")+IFERROR(IF(Z248="",0,Z248),"0")+IFERROR(IF(Z249="",0,Z249),"0")</f>
        <v>0.11209999999999998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18</v>
      </c>
      <c r="Y251" s="543">
        <f>IFERROR(SUM(Y245:Y249),"0")</f>
        <v>21.419999999999998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4</v>
      </c>
      <c r="Y256" s="542">
        <f>IFERROR(IF(X256="",0,CEILING((X256/$H256),1)*$H256),"")</f>
        <v>10.8</v>
      </c>
      <c r="Z256" s="36">
        <f>IFERROR(IF(Y256=0,"",ROUNDUP(Y256/H256,0)*0.01898),"")</f>
        <v>1.898E-2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4.1518518518518519</v>
      </c>
      <c r="BN256" s="64">
        <f>IFERROR(Y256*I256/H256,"0")</f>
        <v>11.21</v>
      </c>
      <c r="BO256" s="64">
        <f>IFERROR(1/J256*(X256/H256),"0")</f>
        <v>5.7870370370370367E-3</v>
      </c>
      <c r="BP256" s="64">
        <f>IFERROR(1/J256*(Y256/H256),"0")</f>
        <v>1.5625E-2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0.37037037037037035</v>
      </c>
      <c r="Y259" s="543">
        <f>IFERROR(Y254/H254,"0")+IFERROR(Y255/H255,"0")+IFERROR(Y256/H256,"0")+IFERROR(Y257/H257,"0")+IFERROR(Y258/H258,"0")</f>
        <v>1</v>
      </c>
      <c r="Z259" s="543">
        <f>IFERROR(IF(Z254="",0,Z254),"0")+IFERROR(IF(Z255="",0,Z255),"0")+IFERROR(IF(Z256="",0,Z256),"0")+IFERROR(IF(Z257="",0,Z257),"0")+IFERROR(IF(Z258="",0,Z258),"0")</f>
        <v>1.898E-2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4</v>
      </c>
      <c r="Y260" s="543">
        <f>IFERROR(SUM(Y254:Y258),"0")</f>
        <v>10.8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10</v>
      </c>
      <c r="Y272" s="542">
        <f>IFERROR(IF(X272="",0,CEILING((X272/$H272),1)*$H272),"")</f>
        <v>12</v>
      </c>
      <c r="Z272" s="36">
        <f>IFERROR(IF(Y272=0,"",ROUNDUP(Y272/H272,0)*0.00651),"")</f>
        <v>3.2550000000000003E-2</v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11.050000000000002</v>
      </c>
      <c r="BN272" s="64">
        <f>IFERROR(Y272*I272/H272,"0")</f>
        <v>13.260000000000002</v>
      </c>
      <c r="BO272" s="64">
        <f>IFERROR(1/J272*(X272/H272),"0")</f>
        <v>2.2893772893772896E-2</v>
      </c>
      <c r="BP272" s="64">
        <f>IFERROR(1/J272*(Y272/H272),"0")</f>
        <v>2.7472527472527476E-2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28</v>
      </c>
      <c r="Y273" s="542">
        <f>IFERROR(IF(X273="",0,CEILING((X273/$H273),1)*$H273),"")</f>
        <v>28.799999999999997</v>
      </c>
      <c r="Z273" s="36">
        <f>IFERROR(IF(Y273=0,"",ROUNDUP(Y273/H273,0)*0.00651),"")</f>
        <v>7.8119999999999995E-2</v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30.100000000000005</v>
      </c>
      <c r="BN273" s="64">
        <f>IFERROR(Y273*I273/H273,"0")</f>
        <v>30.959999999999997</v>
      </c>
      <c r="BO273" s="64">
        <f>IFERROR(1/J273*(X273/H273),"0")</f>
        <v>6.4102564102564111E-2</v>
      </c>
      <c r="BP273" s="64">
        <f>IFERROR(1/J273*(Y273/H273),"0")</f>
        <v>6.5934065934065936E-2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15.833333333333336</v>
      </c>
      <c r="Y274" s="543">
        <f>IFERROR(Y271/H271,"0")+IFERROR(Y272/H272,"0")+IFERROR(Y273/H273,"0")</f>
        <v>17</v>
      </c>
      <c r="Z274" s="543">
        <f>IFERROR(IF(Z271="",0,Z271),"0")+IFERROR(IF(Z272="",0,Z272),"0")+IFERROR(IF(Z273="",0,Z273),"0")</f>
        <v>0.11066999999999999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38</v>
      </c>
      <c r="Y275" s="543">
        <f>IFERROR(SUM(Y271:Y273),"0")</f>
        <v>40.799999999999997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200</v>
      </c>
      <c r="Y290" s="542">
        <f t="shared" si="26"/>
        <v>205.20000000000002</v>
      </c>
      <c r="Z290" s="36">
        <f>IFERROR(IF(Y290=0,"",ROUNDUP(Y290/H290,0)*0.01898),"")</f>
        <v>0.36062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207.59259259259258</v>
      </c>
      <c r="BN290" s="64">
        <f t="shared" si="28"/>
        <v>212.99</v>
      </c>
      <c r="BO290" s="64">
        <f t="shared" si="29"/>
        <v>0.28935185185185186</v>
      </c>
      <c r="BP290" s="64">
        <f t="shared" si="30"/>
        <v>0.296875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100</v>
      </c>
      <c r="Y291" s="542">
        <f t="shared" si="26"/>
        <v>108</v>
      </c>
      <c r="Z291" s="36">
        <f>IFERROR(IF(Y291=0,"",ROUNDUP(Y291/H291,0)*0.01898),"")</f>
        <v>0.1898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103.79629629629629</v>
      </c>
      <c r="BN291" s="64">
        <f t="shared" si="28"/>
        <v>112.1</v>
      </c>
      <c r="BO291" s="64">
        <f t="shared" si="29"/>
        <v>0.14467592592592593</v>
      </c>
      <c r="BP291" s="64">
        <f t="shared" si="30"/>
        <v>0.15625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200</v>
      </c>
      <c r="Y292" s="542">
        <f t="shared" si="26"/>
        <v>205.20000000000002</v>
      </c>
      <c r="Z292" s="36">
        <f>IFERROR(IF(Y292=0,"",ROUNDUP(Y292/H292,0)*0.01898),"")</f>
        <v>0.36062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207.59259259259258</v>
      </c>
      <c r="BN292" s="64">
        <f t="shared" si="28"/>
        <v>212.99</v>
      </c>
      <c r="BO292" s="64">
        <f t="shared" si="29"/>
        <v>0.28935185185185186</v>
      </c>
      <c r="BP292" s="64">
        <f t="shared" si="30"/>
        <v>0.296875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48</v>
      </c>
      <c r="Y293" s="542">
        <f t="shared" si="26"/>
        <v>48</v>
      </c>
      <c r="Z293" s="36">
        <f>IFERROR(IF(Y293=0,"",ROUNDUP(Y293/H293,0)*0.00902),"")</f>
        <v>0.10824</v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50.28</v>
      </c>
      <c r="BN293" s="64">
        <f t="shared" si="28"/>
        <v>50.28</v>
      </c>
      <c r="BO293" s="64">
        <f t="shared" si="29"/>
        <v>9.0909090909090912E-2</v>
      </c>
      <c r="BP293" s="64">
        <f t="shared" si="30"/>
        <v>9.0909090909090912E-2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48</v>
      </c>
      <c r="Y294" s="542">
        <f t="shared" si="26"/>
        <v>48</v>
      </c>
      <c r="Z294" s="36">
        <f>IFERROR(IF(Y294=0,"",ROUNDUP(Y294/H294,0)*0.00902),"")</f>
        <v>0.10824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50.28</v>
      </c>
      <c r="BN294" s="64">
        <f t="shared" si="28"/>
        <v>50.28</v>
      </c>
      <c r="BO294" s="64">
        <f t="shared" si="29"/>
        <v>9.0909090909090912E-2</v>
      </c>
      <c r="BP294" s="64">
        <f t="shared" si="30"/>
        <v>9.0909090909090912E-2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70.296296296296305</v>
      </c>
      <c r="Y295" s="543">
        <f>IFERROR(Y289/H289,"0")+IFERROR(Y290/H290,"0")+IFERROR(Y291/H291,"0")+IFERROR(Y292/H292,"0")+IFERROR(Y293/H293,"0")+IFERROR(Y294/H294,"0")</f>
        <v>72</v>
      </c>
      <c r="Z295" s="543">
        <f>IFERROR(IF(Z289="",0,Z289),"0")+IFERROR(IF(Z290="",0,Z290),"0")+IFERROR(IF(Z291="",0,Z291),"0")+IFERROR(IF(Z292="",0,Z292),"0")+IFERROR(IF(Z293="",0,Z293),"0")+IFERROR(IF(Z294="",0,Z294),"0")</f>
        <v>1.1275200000000001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596</v>
      </c>
      <c r="Y296" s="543">
        <f>IFERROR(SUM(Y289:Y294),"0")</f>
        <v>614.40000000000009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500</v>
      </c>
      <c r="Y299" s="542">
        <f t="shared" si="31"/>
        <v>504</v>
      </c>
      <c r="Z299" s="36">
        <f>IFERROR(IF(Y299=0,"",ROUNDUP(Y299/H299,0)*0.00902),"")</f>
        <v>1.0824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529.7619047619047</v>
      </c>
      <c r="BN299" s="64">
        <f t="shared" si="33"/>
        <v>534</v>
      </c>
      <c r="BO299" s="64">
        <f t="shared" si="34"/>
        <v>0.90187590187590183</v>
      </c>
      <c r="BP299" s="64">
        <f t="shared" si="35"/>
        <v>0.90909090909090917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43</v>
      </c>
      <c r="Y302" s="542">
        <f t="shared" si="31"/>
        <v>44.1</v>
      </c>
      <c r="Z302" s="36">
        <f>IFERROR(IF(Y302=0,"",ROUNDUP(Y302/H302,0)*0.00502),"")</f>
        <v>0.10542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45.047619047619051</v>
      </c>
      <c r="BN302" s="64">
        <f t="shared" si="33"/>
        <v>46.2</v>
      </c>
      <c r="BO302" s="64">
        <f t="shared" si="34"/>
        <v>8.7505087505087509E-2</v>
      </c>
      <c r="BP302" s="64">
        <f t="shared" si="35"/>
        <v>8.9743589743589758E-2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41</v>
      </c>
      <c r="Y304" s="542">
        <f t="shared" si="31"/>
        <v>41.4</v>
      </c>
      <c r="Z304" s="36">
        <f>IFERROR(IF(Y304=0,"",ROUNDUP(Y304/H304,0)*0.00651),"")</f>
        <v>0.14973</v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46.193333333333328</v>
      </c>
      <c r="BN304" s="64">
        <f t="shared" si="33"/>
        <v>46.643999999999998</v>
      </c>
      <c r="BO304" s="64">
        <f t="shared" si="34"/>
        <v>0.12515262515262518</v>
      </c>
      <c r="BP304" s="64">
        <f t="shared" si="35"/>
        <v>0.1263736263736264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162.30158730158729</v>
      </c>
      <c r="Y305" s="543">
        <f>IFERROR(Y298/H298,"0")+IFERROR(Y299/H299,"0")+IFERROR(Y300/H300,"0")+IFERROR(Y301/H301,"0")+IFERROR(Y302/H302,"0")+IFERROR(Y303/H303,"0")+IFERROR(Y304/H304,"0")</f>
        <v>164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1.33755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584</v>
      </c>
      <c r="Y306" s="543">
        <f>IFERROR(SUM(Y298:Y304),"0")</f>
        <v>589.5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1404</v>
      </c>
      <c r="Y308" s="542">
        <f>IFERROR(IF(X308="",0,CEILING((X308/$H308),1)*$H308),"")</f>
        <v>1404</v>
      </c>
      <c r="Z308" s="36">
        <f>IFERROR(IF(Y308=0,"",ROUNDUP(Y308/H308,0)*0.01898),"")</f>
        <v>3.4163999999999999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1491.8400000000001</v>
      </c>
      <c r="BN308" s="64">
        <f>IFERROR(Y308*I308/H308,"0")</f>
        <v>1491.8400000000001</v>
      </c>
      <c r="BO308" s="64">
        <f>IFERROR(1/J308*(X308/H308),"0")</f>
        <v>2.8125</v>
      </c>
      <c r="BP308" s="64">
        <f>IFERROR(1/J308*(Y308/H308),"0")</f>
        <v>2.8125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78</v>
      </c>
      <c r="Y311" s="542">
        <f>IFERROR(IF(X311="",0,CEILING((X311/$H311),1)*$H311),"")</f>
        <v>78</v>
      </c>
      <c r="Z311" s="36">
        <f>IFERROR(IF(Y311=0,"",ROUNDUP(Y311/H311,0)*0.00651),"")</f>
        <v>0.16925999999999999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84.396000000000001</v>
      </c>
      <c r="BN311" s="64">
        <f>IFERROR(Y311*I311/H311,"0")</f>
        <v>84.396000000000001</v>
      </c>
      <c r="BO311" s="64">
        <f>IFERROR(1/J311*(X311/H311),"0")</f>
        <v>0.14285714285714288</v>
      </c>
      <c r="BP311" s="64">
        <f>IFERROR(1/J311*(Y311/H311),"0")</f>
        <v>0.14285714285714288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206</v>
      </c>
      <c r="Y312" s="543">
        <f>IFERROR(Y308/H308,"0")+IFERROR(Y309/H309,"0")+IFERROR(Y310/H310,"0")+IFERROR(Y311/H311,"0")</f>
        <v>206</v>
      </c>
      <c r="Z312" s="543">
        <f>IFERROR(IF(Z308="",0,Z308),"0")+IFERROR(IF(Z309="",0,Z309),"0")+IFERROR(IF(Z310="",0,Z310),"0")+IFERROR(IF(Z311="",0,Z311),"0")</f>
        <v>3.5856599999999998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1482</v>
      </c>
      <c r="Y313" s="543">
        <f>IFERROR(SUM(Y308:Y311),"0")</f>
        <v>1482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64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67.763809523809527</v>
      </c>
      <c r="BN315" s="64">
        <f>IFERROR(Y315*I315/H315,"0")</f>
        <v>71.152000000000001</v>
      </c>
      <c r="BO315" s="64">
        <f>IFERROR(1/J315*(X315/H315),"0")</f>
        <v>0.11904761904761904</v>
      </c>
      <c r="BP315" s="64">
        <f>IFERROR(1/J315*(Y315/H315),"0")</f>
        <v>0.125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20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21.266666666666666</v>
      </c>
      <c r="BN316" s="64">
        <f>IFERROR(Y316*I316/H316,"0")</f>
        <v>24.882000000000001</v>
      </c>
      <c r="BO316" s="64">
        <f>IFERROR(1/J316*(X316/H316),"0")</f>
        <v>4.0064102564102567E-2</v>
      </c>
      <c r="BP316" s="64">
        <f>IFERROR(1/J316*(Y316/H316),"0")</f>
        <v>4.6875E-2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10.183150183150182</v>
      </c>
      <c r="Y318" s="543">
        <f>IFERROR(Y315/H315,"0")+IFERROR(Y316/H316,"0")+IFERROR(Y317/H317,"0")</f>
        <v>11</v>
      </c>
      <c r="Z318" s="543">
        <f>IFERROR(IF(Z315="",0,Z315),"0")+IFERROR(IF(Z316="",0,Z316),"0")+IFERROR(IF(Z317="",0,Z317),"0")</f>
        <v>0.20878000000000002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84</v>
      </c>
      <c r="Y319" s="543">
        <f>IFERROR(SUM(Y315:Y317),"0")</f>
        <v>90.6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14</v>
      </c>
      <c r="Y324" s="542">
        <f>IFERROR(IF(X324="",0,CEILING((X324/$H324),1)*$H324),"")</f>
        <v>15.299999999999999</v>
      </c>
      <c r="Z324" s="36">
        <f>IFERROR(IF(Y324=0,"",ROUNDUP(Y324/H324,0)*0.00651),"")</f>
        <v>3.9059999999999997E-2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15.811764705882354</v>
      </c>
      <c r="BN324" s="64">
        <f>IFERROR(Y324*I324/H324,"0")</f>
        <v>17.279999999999998</v>
      </c>
      <c r="BO324" s="64">
        <f>IFERROR(1/J324*(X324/H324),"0")</f>
        <v>3.0165912518853699E-2</v>
      </c>
      <c r="BP324" s="64">
        <f>IFERROR(1/J324*(Y324/H324),"0")</f>
        <v>3.2967032967032968E-2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5.4901960784313726</v>
      </c>
      <c r="Y325" s="543">
        <f>IFERROR(Y321/H321,"0")+IFERROR(Y322/H322,"0")+IFERROR(Y323/H323,"0")+IFERROR(Y324/H324,"0")</f>
        <v>6</v>
      </c>
      <c r="Z325" s="543">
        <f>IFERROR(IF(Z321="",0,Z321),"0")+IFERROR(IF(Z322="",0,Z322),"0")+IFERROR(IF(Z323="",0,Z323),"0")+IFERROR(IF(Z324="",0,Z324),"0")</f>
        <v>3.9059999999999997E-2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14</v>
      </c>
      <c r="Y326" s="543">
        <f>IFERROR(SUM(Y321:Y324),"0")</f>
        <v>15.299999999999999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26</v>
      </c>
      <c r="Y329" s="542">
        <f>IFERROR(IF(X329="",0,CEILING((X329/$H329),1)*$H329),"")</f>
        <v>26</v>
      </c>
      <c r="Z329" s="36">
        <f>IFERROR(IF(Y329=0,"",ROUNDUP(Y329/H329,0)*0.00474),"")</f>
        <v>6.1620000000000001E-2</v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29.120000000000005</v>
      </c>
      <c r="BN329" s="64">
        <f>IFERROR(Y329*I329/H329,"0")</f>
        <v>29.120000000000005</v>
      </c>
      <c r="BO329" s="64">
        <f>IFERROR(1/J329*(X329/H329),"0")</f>
        <v>5.4621848739495799E-2</v>
      </c>
      <c r="BP329" s="64">
        <f>IFERROR(1/J329*(Y329/H329),"0")</f>
        <v>5.4621848739495799E-2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185</v>
      </c>
      <c r="Y330" s="542">
        <f>IFERROR(IF(X330="",0,CEILING((X330/$H330),1)*$H330),"")</f>
        <v>186</v>
      </c>
      <c r="Z330" s="36">
        <f>IFERROR(IF(Y330=0,"",ROUNDUP(Y330/H330,0)*0.00474),"")</f>
        <v>0.44082000000000005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207.20000000000002</v>
      </c>
      <c r="BN330" s="64">
        <f>IFERROR(Y330*I330/H330,"0")</f>
        <v>208.32000000000002</v>
      </c>
      <c r="BO330" s="64">
        <f>IFERROR(1/J330*(X330/H330),"0")</f>
        <v>0.38865546218487396</v>
      </c>
      <c r="BP330" s="64">
        <f>IFERROR(1/J330*(Y330/H330),"0")</f>
        <v>0.3907563025210084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105.5</v>
      </c>
      <c r="Y331" s="543">
        <f>IFERROR(Y328/H328,"0")+IFERROR(Y329/H329,"0")+IFERROR(Y330/H330,"0")</f>
        <v>106</v>
      </c>
      <c r="Z331" s="543">
        <f>IFERROR(IF(Z328="",0,Z328),"0")+IFERROR(IF(Z329="",0,Z329),"0")+IFERROR(IF(Z330="",0,Z330),"0")</f>
        <v>0.50244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211</v>
      </c>
      <c r="Y332" s="543">
        <f>IFERROR(SUM(Y328:Y330),"0")</f>
        <v>212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244</v>
      </c>
      <c r="Y336" s="542">
        <f>IFERROR(IF(X336="",0,CEILING((X336/$H336),1)*$H336),"")</f>
        <v>245.70000000000002</v>
      </c>
      <c r="Z336" s="36">
        <f>IFERROR(IF(Y336=0,"",ROUNDUP(Y336/H336,0)*0.00651),"")</f>
        <v>0.76167000000000007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273.27999999999997</v>
      </c>
      <c r="BN336" s="64">
        <f>IFERROR(Y336*I336/H336,"0")</f>
        <v>275.18399999999997</v>
      </c>
      <c r="BO336" s="64">
        <f>IFERROR(1/J336*(X336/H336),"0")</f>
        <v>0.63840920983778127</v>
      </c>
      <c r="BP336" s="64">
        <f>IFERROR(1/J336*(Y336/H336),"0")</f>
        <v>0.6428571428571429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97</v>
      </c>
      <c r="Y337" s="542">
        <f>IFERROR(IF(X337="",0,CEILING((X337/$H337),1)*$H337),"")</f>
        <v>98.7</v>
      </c>
      <c r="Z337" s="36">
        <f>IFERROR(IF(Y337=0,"",ROUNDUP(Y337/H337,0)*0.00651),"")</f>
        <v>0.30597000000000002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108.08571428571427</v>
      </c>
      <c r="BN337" s="64">
        <f>IFERROR(Y337*I337/H337,"0")</f>
        <v>109.97999999999999</v>
      </c>
      <c r="BO337" s="64">
        <f>IFERROR(1/J337*(X337/H337),"0")</f>
        <v>0.25379382522239669</v>
      </c>
      <c r="BP337" s="64">
        <f>IFERROR(1/J337*(Y337/H337),"0")</f>
        <v>0.25824175824175827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162.38095238095238</v>
      </c>
      <c r="Y338" s="543">
        <f>IFERROR(Y335/H335,"0")+IFERROR(Y336/H336,"0")+IFERROR(Y337/H337,"0")</f>
        <v>164</v>
      </c>
      <c r="Z338" s="543">
        <f>IFERROR(IF(Z335="",0,Z335),"0")+IFERROR(IF(Z336="",0,Z336),"0")+IFERROR(IF(Z337="",0,Z337),"0")</f>
        <v>1.0676400000000001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341</v>
      </c>
      <c r="Y339" s="543">
        <f>IFERROR(SUM(Y335:Y337),"0")</f>
        <v>344.40000000000003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4</v>
      </c>
      <c r="Y343" s="542">
        <f t="shared" ref="Y343:Y349" si="36">IFERROR(IF(X343="",0,CEILING((X343/$H343),1)*$H343),"")</f>
        <v>15</v>
      </c>
      <c r="Z343" s="36">
        <f>IFERROR(IF(Y343=0,"",ROUNDUP(Y343/H343,0)*0.02175),"")</f>
        <v>2.1749999999999999E-2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4.1253333333333337</v>
      </c>
      <c r="BN343" s="64">
        <f t="shared" ref="BN343:BN349" si="38">IFERROR(Y343*I343/H343,"0")</f>
        <v>15.47</v>
      </c>
      <c r="BO343" s="64">
        <f t="shared" ref="BO343:BO349" si="39">IFERROR(1/J343*(X343/H343),"0")</f>
        <v>5.5555555555555549E-3</v>
      </c>
      <c r="BP343" s="64">
        <f t="shared" ref="BP343:BP349" si="40">IFERROR(1/J343*(Y343/H343),"0")</f>
        <v>2.0833333333333332E-2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439</v>
      </c>
      <c r="Y344" s="542">
        <f t="shared" si="36"/>
        <v>450</v>
      </c>
      <c r="Z344" s="36">
        <f>IFERROR(IF(Y344=0,"",ROUNDUP(Y344/H344,0)*0.02175),"")</f>
        <v>0.65249999999999997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452.75533333333334</v>
      </c>
      <c r="BN344" s="64">
        <f t="shared" si="38"/>
        <v>464.1</v>
      </c>
      <c r="BO344" s="64">
        <f t="shared" si="39"/>
        <v>0.60972222222222217</v>
      </c>
      <c r="BP344" s="64">
        <f t="shared" si="40"/>
        <v>0.625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300</v>
      </c>
      <c r="Y346" s="542">
        <f t="shared" si="36"/>
        <v>300</v>
      </c>
      <c r="Z346" s="36">
        <f>IFERROR(IF(Y346=0,"",ROUNDUP(Y346/H346,0)*0.02175),"")</f>
        <v>0.43499999999999994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309.39999999999998</v>
      </c>
      <c r="BN346" s="64">
        <f t="shared" si="38"/>
        <v>309.39999999999998</v>
      </c>
      <c r="BO346" s="64">
        <f t="shared" si="39"/>
        <v>0.41666666666666663</v>
      </c>
      <c r="BP346" s="64">
        <f t="shared" si="40"/>
        <v>0.41666666666666663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50</v>
      </c>
      <c r="Y348" s="542">
        <f t="shared" si="36"/>
        <v>50</v>
      </c>
      <c r="Z348" s="36">
        <f>IFERROR(IF(Y348=0,"",ROUNDUP(Y348/H348,0)*0.00902),"")</f>
        <v>9.0200000000000002E-2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51.9</v>
      </c>
      <c r="BN348" s="64">
        <f t="shared" si="38"/>
        <v>51.9</v>
      </c>
      <c r="BO348" s="64">
        <f t="shared" si="39"/>
        <v>7.575757575757576E-2</v>
      </c>
      <c r="BP348" s="64">
        <f t="shared" si="40"/>
        <v>7.575757575757576E-2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69.533333333333331</v>
      </c>
      <c r="Y350" s="543">
        <f>IFERROR(Y343/H343,"0")+IFERROR(Y344/H344,"0")+IFERROR(Y345/H345,"0")+IFERROR(Y346/H346,"0")+IFERROR(Y347/H347,"0")+IFERROR(Y348/H348,"0")+IFERROR(Y349/H349,"0")</f>
        <v>71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1.28965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843</v>
      </c>
      <c r="Y351" s="543">
        <f>IFERROR(SUM(Y343:Y349),"0")</f>
        <v>865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48</v>
      </c>
      <c r="Y354" s="542">
        <f>IFERROR(IF(X354="",0,CEILING((X354/$H354),1)*$H354),"")</f>
        <v>48</v>
      </c>
      <c r="Z354" s="36">
        <f>IFERROR(IF(Y354=0,"",ROUNDUP(Y354/H354,0)*0.00902),"")</f>
        <v>0.10824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50.28</v>
      </c>
      <c r="BN354" s="64">
        <f>IFERROR(Y354*I354/H354,"0")</f>
        <v>50.28</v>
      </c>
      <c r="BO354" s="64">
        <f>IFERROR(1/J354*(X354/H354),"0")</f>
        <v>9.0909090909090912E-2</v>
      </c>
      <c r="BP354" s="64">
        <f>IFERROR(1/J354*(Y354/H354),"0")</f>
        <v>9.0909090909090912E-2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32</v>
      </c>
      <c r="Y355" s="543">
        <f>IFERROR(Y353/H353,"0")+IFERROR(Y354/H354,"0")</f>
        <v>32</v>
      </c>
      <c r="Z355" s="543">
        <f>IFERROR(IF(Z353="",0,Z353),"0")+IFERROR(IF(Z354="",0,Z354),"0")</f>
        <v>0.54323999999999995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348</v>
      </c>
      <c r="Y356" s="543">
        <f>IFERROR(SUM(Y353:Y354),"0")</f>
        <v>348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50</v>
      </c>
      <c r="Y378" s="542">
        <f>IFERROR(IF(X378="",0,CEILING((X378/$H378),1)*$H378),"")</f>
        <v>54</v>
      </c>
      <c r="Z378" s="36">
        <f>IFERROR(IF(Y378=0,"",ROUNDUP(Y378/H378,0)*0.01898),"")</f>
        <v>0.11388000000000001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52.74444444444444</v>
      </c>
      <c r="BN378" s="64">
        <f>IFERROR(Y378*I378/H378,"0")</f>
        <v>56.963999999999992</v>
      </c>
      <c r="BO378" s="64">
        <f>IFERROR(1/J378*(X378/H378),"0")</f>
        <v>8.6805555555555552E-2</v>
      </c>
      <c r="BP378" s="64">
        <f>IFERROR(1/J378*(Y378/H378),"0")</f>
        <v>9.375E-2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51</v>
      </c>
      <c r="Y379" s="542">
        <f>IFERROR(IF(X379="",0,CEILING((X379/$H379),1)*$H379),"")</f>
        <v>52.8</v>
      </c>
      <c r="Z379" s="36">
        <f>IFERROR(IF(Y379=0,"",ROUNDUP(Y379/H379,0)*0.00651),"")</f>
        <v>0.14322000000000001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56.610000000000007</v>
      </c>
      <c r="BN379" s="64">
        <f>IFERROR(Y379*I379/H379,"0")</f>
        <v>58.608000000000004</v>
      </c>
      <c r="BO379" s="64">
        <f>IFERROR(1/J379*(X379/H379),"0")</f>
        <v>0.11675824175824177</v>
      </c>
      <c r="BP379" s="64">
        <f>IFERROR(1/J379*(Y379/H379),"0")</f>
        <v>0.12087912087912089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26.805555555555557</v>
      </c>
      <c r="Y380" s="543">
        <f>IFERROR(Y378/H378,"0")+IFERROR(Y379/H379,"0")</f>
        <v>28</v>
      </c>
      <c r="Z380" s="543">
        <f>IFERROR(IF(Z378="",0,Z378),"0")+IFERROR(IF(Z379="",0,Z379),"0")</f>
        <v>0.2571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101</v>
      </c>
      <c r="Y381" s="543">
        <f>IFERROR(SUM(Y378:Y379),"0")</f>
        <v>106.8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40</v>
      </c>
      <c r="Y421" s="542">
        <f t="shared" ref="Y421:Y431" si="47">IFERROR(IF(X421="",0,CEILING((X421/$H421),1)*$H421),"")</f>
        <v>42.24</v>
      </c>
      <c r="Z421" s="36">
        <f t="shared" ref="Z421:Z426" si="48">IFERROR(IF(Y421=0,"",ROUNDUP(Y421/H421,0)*0.01196),"")</f>
        <v>9.5680000000000001E-2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42.651515151515149</v>
      </c>
      <c r="BN421" s="64">
        <f t="shared" ref="BN421:BN431" si="50">IFERROR(Y421*I421/H421,"0")</f>
        <v>45.04</v>
      </c>
      <c r="BO421" s="64">
        <f t="shared" ref="BO421:BO431" si="51">IFERROR(1/J421*(X421/H421),"0")</f>
        <v>7.2843822843822847E-2</v>
      </c>
      <c r="BP421" s="64">
        <f t="shared" ref="BP421:BP431" si="52">IFERROR(1/J421*(Y421/H421),"0")</f>
        <v>7.6923076923076927E-2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4</v>
      </c>
      <c r="Y428" s="542">
        <f t="shared" si="47"/>
        <v>4.8</v>
      </c>
      <c r="Z428" s="36">
        <f>IFERROR(IF(Y428=0,"",ROUNDUP(Y428/H428,0)*0.00902),"")</f>
        <v>9.0200000000000002E-3</v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5.7583333333333337</v>
      </c>
      <c r="BN428" s="64">
        <f t="shared" si="50"/>
        <v>6.91</v>
      </c>
      <c r="BO428" s="64">
        <f t="shared" si="51"/>
        <v>6.3131313131313139E-3</v>
      </c>
      <c r="BP428" s="64">
        <f t="shared" si="52"/>
        <v>7.575757575757576E-3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8.4090909090909083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0.1047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44</v>
      </c>
      <c r="Y433" s="543">
        <f>IFERROR(SUM(Y421:Y431),"0")</f>
        <v>47.04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50</v>
      </c>
      <c r="Y435" s="542">
        <f>IFERROR(IF(X435="",0,CEILING((X435/$H435),1)*$H435),"")</f>
        <v>52.800000000000004</v>
      </c>
      <c r="Z435" s="36">
        <f>IFERROR(IF(Y435=0,"",ROUNDUP(Y435/H435,0)*0.01196),"")</f>
        <v>0.1196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53.314393939393938</v>
      </c>
      <c r="BN435" s="64">
        <f>IFERROR(Y435*I435/H435,"0")</f>
        <v>56.3</v>
      </c>
      <c r="BO435" s="64">
        <f>IFERROR(1/J435*(X435/H435),"0")</f>
        <v>9.1054778554778545E-2</v>
      </c>
      <c r="BP435" s="64">
        <f>IFERROR(1/J435*(Y435/H435),"0")</f>
        <v>9.6153846153846159E-2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9.4696969696969688</v>
      </c>
      <c r="Y438" s="543">
        <f>IFERROR(Y435/H435,"0")+IFERROR(Y436/H436,"0")+IFERROR(Y437/H437,"0")</f>
        <v>10</v>
      </c>
      <c r="Z438" s="543">
        <f>IFERROR(IF(Z435="",0,Z435),"0")+IFERROR(IF(Z436="",0,Z436),"0")+IFERROR(IF(Z437="",0,Z437),"0")</f>
        <v>0.1196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50</v>
      </c>
      <c r="Y439" s="543">
        <f>IFERROR(SUM(Y435:Y437),"0")</f>
        <v>52.800000000000004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</v>
      </c>
      <c r="Y441" s="542">
        <f t="shared" ref="Y441:Y446" si="53">IFERROR(IF(X441="",0,CEILING((X441/$H441),1)*$H441),"")</f>
        <v>5.28</v>
      </c>
      <c r="Z441" s="36">
        <f>IFERROR(IF(Y441=0,"",ROUNDUP(Y441/H441,0)*0.01196),"")</f>
        <v>1.196E-2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4.2651515151515147</v>
      </c>
      <c r="BN441" s="64">
        <f t="shared" ref="BN441:BN446" si="55">IFERROR(Y441*I441/H441,"0")</f>
        <v>5.63</v>
      </c>
      <c r="BO441" s="64">
        <f t="shared" ref="BO441:BO446" si="56">IFERROR(1/J441*(X441/H441),"0")</f>
        <v>7.2843822843822849E-3</v>
      </c>
      <c r="BP441" s="64">
        <f t="shared" ref="BP441:BP446" si="57">IFERROR(1/J441*(Y441/H441),"0")</f>
        <v>9.6153846153846159E-3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</v>
      </c>
      <c r="Y442" s="542">
        <f t="shared" si="53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53.314393939393938</v>
      </c>
      <c r="BN442" s="64">
        <f t="shared" si="55"/>
        <v>56.3</v>
      </c>
      <c r="BO442" s="64">
        <f t="shared" si="56"/>
        <v>9.1054778554778545E-2</v>
      </c>
      <c r="BP442" s="64">
        <f t="shared" si="57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73</v>
      </c>
      <c r="Y443" s="542">
        <f t="shared" si="53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77.839015151515156</v>
      </c>
      <c r="BN443" s="64">
        <f t="shared" si="55"/>
        <v>78.819999999999993</v>
      </c>
      <c r="BO443" s="64">
        <f t="shared" si="56"/>
        <v>0.13293997668997667</v>
      </c>
      <c r="BP443" s="64">
        <f t="shared" si="57"/>
        <v>0.13461538461538464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4</v>
      </c>
      <c r="Y444" s="542">
        <f t="shared" si="53"/>
        <v>4.8</v>
      </c>
      <c r="Z444" s="36">
        <f>IFERROR(IF(Y444=0,"",ROUNDUP(Y444/H444,0)*0.00902),"")</f>
        <v>9.0200000000000002E-3</v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5.7583333333333337</v>
      </c>
      <c r="BN444" s="64">
        <f t="shared" si="55"/>
        <v>6.91</v>
      </c>
      <c r="BO444" s="64">
        <f t="shared" si="56"/>
        <v>6.3131313131313139E-3</v>
      </c>
      <c r="BP444" s="64">
        <f t="shared" si="57"/>
        <v>7.575757575757576E-3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9</v>
      </c>
      <c r="Y445" s="542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12.506250000000001</v>
      </c>
      <c r="BN445" s="64">
        <f t="shared" si="55"/>
        <v>13.34</v>
      </c>
      <c r="BO445" s="64">
        <f t="shared" si="56"/>
        <v>1.4204545454545456E-2</v>
      </c>
      <c r="BP445" s="64">
        <f t="shared" si="57"/>
        <v>1.5151515151515152E-2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9</v>
      </c>
      <c r="Y446" s="542">
        <f t="shared" si="53"/>
        <v>9.6</v>
      </c>
      <c r="Z446" s="36">
        <f>IFERROR(IF(Y446=0,"",ROUNDUP(Y446/H446,0)*0.00902),"")</f>
        <v>1.804E-2</v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12.506250000000001</v>
      </c>
      <c r="BN446" s="64">
        <f t="shared" si="55"/>
        <v>13.34</v>
      </c>
      <c r="BO446" s="64">
        <f t="shared" si="56"/>
        <v>1.4204545454545456E-2</v>
      </c>
      <c r="BP446" s="64">
        <f t="shared" si="57"/>
        <v>1.5151515151515152E-2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28.636363636363633</v>
      </c>
      <c r="Y447" s="543">
        <f>IFERROR(Y441/H441,"0")+IFERROR(Y442/H442,"0")+IFERROR(Y443/H443,"0")+IFERROR(Y444/H444,"0")+IFERROR(Y445/H445,"0")+IFERROR(Y446/H446,"0")</f>
        <v>30</v>
      </c>
      <c r="Z447" s="543">
        <f>IFERROR(IF(Z441="",0,Z441),"0")+IFERROR(IF(Z442="",0,Z442),"0")+IFERROR(IF(Z443="",0,Z443),"0")+IFERROR(IF(Z444="",0,Z444),"0")+IFERROR(IF(Z445="",0,Z445),"0")+IFERROR(IF(Z446="",0,Z446),"0")</f>
        <v>0.34410000000000007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149</v>
      </c>
      <c r="Y448" s="543">
        <f>IFERROR(SUM(Y441:Y446),"0")</f>
        <v>156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80</v>
      </c>
      <c r="Y472" s="542">
        <f>IFERROR(IF(X472="",0,CEILING((X472/$H472),1)*$H472),"")</f>
        <v>84</v>
      </c>
      <c r="Z472" s="36">
        <f>IFERROR(IF(Y472=0,"",ROUNDUP(Y472/H472,0)*0.00902),"")</f>
        <v>0.1804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84.761904761904759</v>
      </c>
      <c r="BN472" s="64">
        <f>IFERROR(Y472*I472/H472,"0")</f>
        <v>89</v>
      </c>
      <c r="BO472" s="64">
        <f>IFERROR(1/J472*(X472/H472),"0")</f>
        <v>0.14430014430014429</v>
      </c>
      <c r="BP472" s="64">
        <f>IFERROR(1/J472*(Y472/H472),"0")</f>
        <v>0.15151515151515152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38.095238095238095</v>
      </c>
      <c r="Y473" s="543">
        <f>IFERROR(Y471/H471,"0")+IFERROR(Y472/H472,"0")</f>
        <v>40</v>
      </c>
      <c r="Z473" s="543">
        <f>IFERROR(IF(Z471="",0,Z471),"0")+IFERROR(IF(Z472="",0,Z472),"0")</f>
        <v>0.36080000000000001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160</v>
      </c>
      <c r="Y474" s="543">
        <f>IFERROR(SUM(Y471:Y472),"0")</f>
        <v>168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7175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7325.2800000000007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7635.6217901187401</v>
      </c>
      <c r="Y490" s="543">
        <f>IFERROR(SUM(BN22:BN486),"0")</f>
        <v>7795.9789999999975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14</v>
      </c>
      <c r="Y491" s="38">
        <f>ROUNDUP(SUM(BP22:BP486),0)</f>
        <v>14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7985.6217901187401</v>
      </c>
      <c r="Y492" s="543">
        <f>GrossWeightTotalR+PalletQtyTotalR*25</f>
        <v>8145.9789999999975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1619.1211657260678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1653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16.168479999999999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184.8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175.5</v>
      </c>
      <c r="E499" s="46">
        <f>IFERROR(Y85*1,"0")+IFERROR(Y86*1,"0")+IFERROR(Y87*1,"0")+IFERROR(Y91*1,"0")+IFERROR(Y92*1,"0")+IFERROR(Y93*1,"0")+IFERROR(Y94*1,"0")</f>
        <v>325.8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272.10000000000002</v>
      </c>
      <c r="G499" s="46">
        <f>IFERROR(Y124*1,"0")+IFERROR(Y125*1,"0")+IFERROR(Y129*1,"0")+IFERROR(Y130*1,"0")+IFERROR(Y134*1,"0")+IFERROR(Y135*1,"0")</f>
        <v>30.32</v>
      </c>
      <c r="H499" s="46">
        <f>IFERROR(Y140*1,"0")+IFERROR(Y141*1,"0")+IFERROR(Y145*1,"0")+IFERROR(Y146*1,"0")+IFERROR(Y147*1,"0")+IFERROR(Y151*1,"0")</f>
        <v>64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107.10000000000001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988.19999999999993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34.020000000000003</v>
      </c>
      <c r="L499" s="46">
        <f>IFERROR(Y254*1,"0")+IFERROR(Y255*1,"0")+IFERROR(Y256*1,"0")+IFERROR(Y257*1,"0")+IFERROR(Y258*1,"0")</f>
        <v>10.8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40.799999999999997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3003.8</v>
      </c>
      <c r="R499" s="46">
        <f>IFERROR(Y335*1,"0")+IFERROR(Y336*1,"0")+IFERROR(Y337*1,"0")</f>
        <v>344.40000000000003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1213</v>
      </c>
      <c r="T499" s="46">
        <f>IFERROR(Y368*1,"0")+IFERROR(Y369*1,"0")+IFERROR(Y373*1,"0")+IFERROR(Y374*1,"0")+IFERROR(Y378*1,"0")+IFERROR(Y379*1,"0")</f>
        <v>106.8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255.84000000000003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168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2025-11-25T10:33:42Z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