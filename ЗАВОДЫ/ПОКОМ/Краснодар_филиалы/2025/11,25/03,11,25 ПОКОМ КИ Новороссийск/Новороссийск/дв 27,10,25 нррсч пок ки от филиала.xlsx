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ПОКОМ КИ Новороссийск\Новороссийск\"/>
    </mc:Choice>
  </mc:AlternateContent>
  <xr:revisionPtr revIDLastSave="0" documentId="13_ncr:1_{B802B3C8-CECF-4FA8-804E-B33EFE92BD6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01" i="1" l="1"/>
  <c r="R99" i="1"/>
  <c r="R97" i="1"/>
  <c r="R91" i="1"/>
  <c r="R90" i="1"/>
  <c r="R83" i="1"/>
  <c r="T83" i="1" s="1"/>
  <c r="AI83" i="1" s="1"/>
  <c r="R81" i="1"/>
  <c r="R80" i="1"/>
  <c r="R77" i="1"/>
  <c r="R74" i="1"/>
  <c r="R69" i="1"/>
  <c r="R67" i="1"/>
  <c r="R66" i="1"/>
  <c r="R54" i="1"/>
  <c r="T54" i="1" s="1"/>
  <c r="AI54" i="1" s="1"/>
  <c r="R51" i="1"/>
  <c r="R49" i="1"/>
  <c r="R47" i="1"/>
  <c r="R46" i="1"/>
  <c r="R41" i="1"/>
  <c r="R36" i="1"/>
  <c r="R32" i="1"/>
  <c r="R30" i="1"/>
  <c r="T30" i="1" s="1"/>
  <c r="AI30" i="1" s="1"/>
  <c r="R29" i="1"/>
  <c r="T29" i="1" s="1"/>
  <c r="R28" i="1"/>
  <c r="R25" i="1"/>
  <c r="R23" i="1"/>
  <c r="R19" i="1"/>
  <c r="R18" i="1"/>
  <c r="R15" i="1"/>
  <c r="R7" i="1"/>
  <c r="R70" i="1"/>
  <c r="R107" i="1"/>
  <c r="T107" i="1" s="1"/>
  <c r="AI107" i="1" s="1"/>
  <c r="R105" i="1"/>
  <c r="T105" i="1" s="1"/>
  <c r="R102" i="1"/>
  <c r="T102" i="1" s="1"/>
  <c r="AI102" i="1" s="1"/>
  <c r="R93" i="1"/>
  <c r="T93" i="1" s="1"/>
  <c r="R86" i="1"/>
  <c r="T86" i="1" s="1"/>
  <c r="AI86" i="1" s="1"/>
  <c r="R72" i="1"/>
  <c r="T72" i="1" s="1"/>
  <c r="AI72" i="1" s="1"/>
  <c r="R68" i="1"/>
  <c r="T68" i="1" s="1"/>
  <c r="AI68" i="1" s="1"/>
  <c r="R64" i="1"/>
  <c r="T64" i="1" s="1"/>
  <c r="AI64" i="1" s="1"/>
  <c r="R62" i="1"/>
  <c r="T62" i="1" s="1"/>
  <c r="AI62" i="1" s="1"/>
  <c r="R61" i="1"/>
  <c r="T61" i="1" s="1"/>
  <c r="R58" i="1"/>
  <c r="T58" i="1" s="1"/>
  <c r="AI58" i="1" s="1"/>
  <c r="R56" i="1"/>
  <c r="T56" i="1" s="1"/>
  <c r="R53" i="1"/>
  <c r="T53" i="1" s="1"/>
  <c r="AI53" i="1" s="1"/>
  <c r="R43" i="1"/>
  <c r="T43" i="1" s="1"/>
  <c r="R33" i="1"/>
  <c r="T33" i="1" s="1"/>
  <c r="AI33" i="1" s="1"/>
  <c r="R27" i="1"/>
  <c r="T27" i="1" s="1"/>
  <c r="R26" i="1"/>
  <c r="T26" i="1" s="1"/>
  <c r="AI26" i="1" s="1"/>
  <c r="T25" i="1"/>
  <c r="R22" i="1"/>
  <c r="T22" i="1" s="1"/>
  <c r="AI22" i="1" s="1"/>
  <c r="R21" i="1"/>
  <c r="T21" i="1" s="1"/>
  <c r="R20" i="1"/>
  <c r="T20" i="1" s="1"/>
  <c r="AI20" i="1" s="1"/>
  <c r="S5" i="1"/>
  <c r="AI21" i="1" l="1"/>
  <c r="AI25" i="1"/>
  <c r="AI27" i="1"/>
  <c r="AI43" i="1"/>
  <c r="AI56" i="1"/>
  <c r="AI61" i="1"/>
  <c r="AI93" i="1"/>
  <c r="AI105" i="1"/>
  <c r="AI29" i="1"/>
  <c r="M116" i="1"/>
  <c r="P116" i="1" s="1"/>
  <c r="L116" i="1"/>
  <c r="M115" i="1"/>
  <c r="P115" i="1" s="1"/>
  <c r="X115" i="1" s="1"/>
  <c r="L115" i="1"/>
  <c r="M114" i="1"/>
  <c r="P114" i="1" s="1"/>
  <c r="L114" i="1"/>
  <c r="M113" i="1"/>
  <c r="P113" i="1" s="1"/>
  <c r="X113" i="1" s="1"/>
  <c r="L113" i="1"/>
  <c r="M112" i="1"/>
  <c r="P112" i="1" s="1"/>
  <c r="L112" i="1"/>
  <c r="M111" i="1"/>
  <c r="P111" i="1" s="1"/>
  <c r="X111" i="1" s="1"/>
  <c r="L111" i="1"/>
  <c r="M110" i="1"/>
  <c r="P110" i="1" s="1"/>
  <c r="L110" i="1"/>
  <c r="F109" i="1"/>
  <c r="E109" i="1"/>
  <c r="M109" i="1" s="1"/>
  <c r="P109" i="1" s="1"/>
  <c r="M108" i="1"/>
  <c r="P108" i="1" s="1"/>
  <c r="L108" i="1"/>
  <c r="M107" i="1"/>
  <c r="P107" i="1" s="1"/>
  <c r="X107" i="1" s="1"/>
  <c r="L107" i="1"/>
  <c r="M106" i="1"/>
  <c r="P106" i="1" s="1"/>
  <c r="Q106" i="1" s="1"/>
  <c r="R106" i="1" s="1"/>
  <c r="T106" i="1" s="1"/>
  <c r="L106" i="1"/>
  <c r="M105" i="1"/>
  <c r="P105" i="1" s="1"/>
  <c r="X105" i="1" s="1"/>
  <c r="L105" i="1"/>
  <c r="M104" i="1"/>
  <c r="P104" i="1" s="1"/>
  <c r="L104" i="1"/>
  <c r="M103" i="1"/>
  <c r="P103" i="1" s="1"/>
  <c r="Q103" i="1" s="1"/>
  <c r="R103" i="1" s="1"/>
  <c r="T103" i="1" s="1"/>
  <c r="L103" i="1"/>
  <c r="M102" i="1"/>
  <c r="P102" i="1" s="1"/>
  <c r="X102" i="1" s="1"/>
  <c r="L102" i="1"/>
  <c r="M101" i="1"/>
  <c r="P101" i="1" s="1"/>
  <c r="L101" i="1"/>
  <c r="M100" i="1"/>
  <c r="P100" i="1" s="1"/>
  <c r="L100" i="1"/>
  <c r="M99" i="1"/>
  <c r="P99" i="1" s="1"/>
  <c r="L99" i="1"/>
  <c r="M98" i="1"/>
  <c r="P98" i="1" s="1"/>
  <c r="Q98" i="1" s="1"/>
  <c r="R98" i="1" s="1"/>
  <c r="T98" i="1" s="1"/>
  <c r="L98" i="1"/>
  <c r="M97" i="1"/>
  <c r="P97" i="1" s="1"/>
  <c r="Q97" i="1" s="1"/>
  <c r="T97" i="1" s="1"/>
  <c r="L97" i="1"/>
  <c r="M96" i="1"/>
  <c r="P96" i="1" s="1"/>
  <c r="L96" i="1"/>
  <c r="M95" i="1"/>
  <c r="P95" i="1" s="1"/>
  <c r="L95" i="1"/>
  <c r="M94" i="1"/>
  <c r="P94" i="1" s="1"/>
  <c r="Q94" i="1" s="1"/>
  <c r="R94" i="1" s="1"/>
  <c r="T94" i="1" s="1"/>
  <c r="L94" i="1"/>
  <c r="M93" i="1"/>
  <c r="P93" i="1" s="1"/>
  <c r="X93" i="1" s="1"/>
  <c r="L93" i="1"/>
  <c r="M92" i="1"/>
  <c r="P92" i="1" s="1"/>
  <c r="L92" i="1"/>
  <c r="M91" i="1"/>
  <c r="P91" i="1" s="1"/>
  <c r="Q91" i="1" s="1"/>
  <c r="T91" i="1" s="1"/>
  <c r="L91" i="1"/>
  <c r="M90" i="1"/>
  <c r="P90" i="1" s="1"/>
  <c r="Q90" i="1" s="1"/>
  <c r="T90" i="1" s="1"/>
  <c r="L90" i="1"/>
  <c r="M89" i="1"/>
  <c r="P89" i="1" s="1"/>
  <c r="Q89" i="1" s="1"/>
  <c r="R89" i="1" s="1"/>
  <c r="T89" i="1" s="1"/>
  <c r="L89" i="1"/>
  <c r="M88" i="1"/>
  <c r="P88" i="1" s="1"/>
  <c r="L88" i="1"/>
  <c r="M87" i="1"/>
  <c r="P87" i="1" s="1"/>
  <c r="Q87" i="1" s="1"/>
  <c r="R87" i="1" s="1"/>
  <c r="T87" i="1" s="1"/>
  <c r="L87" i="1"/>
  <c r="M86" i="1"/>
  <c r="P86" i="1" s="1"/>
  <c r="X86" i="1" s="1"/>
  <c r="L86" i="1"/>
  <c r="M85" i="1"/>
  <c r="P85" i="1" s="1"/>
  <c r="Q85" i="1" s="1"/>
  <c r="R85" i="1" s="1"/>
  <c r="T85" i="1" s="1"/>
  <c r="L85" i="1"/>
  <c r="M84" i="1"/>
  <c r="P84" i="1" s="1"/>
  <c r="L84" i="1"/>
  <c r="M83" i="1"/>
  <c r="P83" i="1" s="1"/>
  <c r="X83" i="1" s="1"/>
  <c r="L83" i="1"/>
  <c r="M82" i="1"/>
  <c r="P82" i="1" s="1"/>
  <c r="Q82" i="1" s="1"/>
  <c r="R82" i="1" s="1"/>
  <c r="T82" i="1" s="1"/>
  <c r="L82" i="1"/>
  <c r="M81" i="1"/>
  <c r="P81" i="1" s="1"/>
  <c r="Q81" i="1" s="1"/>
  <c r="T81" i="1" s="1"/>
  <c r="L81" i="1"/>
  <c r="M80" i="1"/>
  <c r="P80" i="1" s="1"/>
  <c r="L80" i="1"/>
  <c r="F79" i="1"/>
  <c r="E79" i="1"/>
  <c r="M79" i="1" s="1"/>
  <c r="P79" i="1" s="1"/>
  <c r="M78" i="1"/>
  <c r="P78" i="1" s="1"/>
  <c r="L78" i="1"/>
  <c r="M77" i="1"/>
  <c r="P77" i="1" s="1"/>
  <c r="Q77" i="1" s="1"/>
  <c r="T77" i="1" s="1"/>
  <c r="L77" i="1"/>
  <c r="M76" i="1"/>
  <c r="P76" i="1" s="1"/>
  <c r="L76" i="1"/>
  <c r="M75" i="1"/>
  <c r="P75" i="1" s="1"/>
  <c r="L75" i="1"/>
  <c r="M74" i="1"/>
  <c r="P74" i="1" s="1"/>
  <c r="Y74" i="1" s="1"/>
  <c r="L74" i="1"/>
  <c r="E73" i="1"/>
  <c r="L73" i="1" s="1"/>
  <c r="M72" i="1"/>
  <c r="P72" i="1" s="1"/>
  <c r="X72" i="1" s="1"/>
  <c r="L72" i="1"/>
  <c r="M71" i="1"/>
  <c r="P71" i="1" s="1"/>
  <c r="L71" i="1"/>
  <c r="M70" i="1"/>
  <c r="P70" i="1" s="1"/>
  <c r="Q70" i="1" s="1"/>
  <c r="T70" i="1" s="1"/>
  <c r="L70" i="1"/>
  <c r="M69" i="1"/>
  <c r="P69" i="1" s="1"/>
  <c r="Q69" i="1" s="1"/>
  <c r="T69" i="1" s="1"/>
  <c r="L69" i="1"/>
  <c r="M68" i="1"/>
  <c r="P68" i="1" s="1"/>
  <c r="X68" i="1" s="1"/>
  <c r="L68" i="1"/>
  <c r="M67" i="1"/>
  <c r="P67" i="1" s="1"/>
  <c r="L67" i="1"/>
  <c r="M66" i="1"/>
  <c r="P66" i="1" s="1"/>
  <c r="Q66" i="1" s="1"/>
  <c r="T66" i="1" s="1"/>
  <c r="L66" i="1"/>
  <c r="M65" i="1"/>
  <c r="P65" i="1" s="1"/>
  <c r="L65" i="1"/>
  <c r="M64" i="1"/>
  <c r="P64" i="1" s="1"/>
  <c r="X64" i="1" s="1"/>
  <c r="L64" i="1"/>
  <c r="M63" i="1"/>
  <c r="P63" i="1" s="1"/>
  <c r="L63" i="1"/>
  <c r="M62" i="1"/>
  <c r="P62" i="1" s="1"/>
  <c r="X62" i="1" s="1"/>
  <c r="L62" i="1"/>
  <c r="M61" i="1"/>
  <c r="P61" i="1" s="1"/>
  <c r="X61" i="1" s="1"/>
  <c r="L61" i="1"/>
  <c r="M60" i="1"/>
  <c r="P60" i="1" s="1"/>
  <c r="Q60" i="1" s="1"/>
  <c r="R60" i="1" s="1"/>
  <c r="T60" i="1" s="1"/>
  <c r="L60" i="1"/>
  <c r="M59" i="1"/>
  <c r="P59" i="1" s="1"/>
  <c r="Q59" i="1" s="1"/>
  <c r="R59" i="1" s="1"/>
  <c r="T59" i="1" s="1"/>
  <c r="L59" i="1"/>
  <c r="M58" i="1"/>
  <c r="P58" i="1" s="1"/>
  <c r="X58" i="1" s="1"/>
  <c r="L58" i="1"/>
  <c r="M57" i="1"/>
  <c r="P57" i="1" s="1"/>
  <c r="L57" i="1"/>
  <c r="M56" i="1"/>
  <c r="P56" i="1" s="1"/>
  <c r="X56" i="1" s="1"/>
  <c r="L56" i="1"/>
  <c r="F55" i="1"/>
  <c r="E55" i="1"/>
  <c r="M55" i="1" s="1"/>
  <c r="P55" i="1" s="1"/>
  <c r="M54" i="1"/>
  <c r="P54" i="1" s="1"/>
  <c r="X54" i="1" s="1"/>
  <c r="L54" i="1"/>
  <c r="M53" i="1"/>
  <c r="P53" i="1" s="1"/>
  <c r="X53" i="1" s="1"/>
  <c r="L53" i="1"/>
  <c r="M52" i="1"/>
  <c r="P52" i="1" s="1"/>
  <c r="L52" i="1"/>
  <c r="M51" i="1"/>
  <c r="P51" i="1" s="1"/>
  <c r="Q51" i="1" s="1"/>
  <c r="T51" i="1" s="1"/>
  <c r="L51" i="1"/>
  <c r="F50" i="1"/>
  <c r="E50" i="1"/>
  <c r="M50" i="1" s="1"/>
  <c r="P50" i="1" s="1"/>
  <c r="M49" i="1"/>
  <c r="P49" i="1" s="1"/>
  <c r="L49" i="1"/>
  <c r="F48" i="1"/>
  <c r="E48" i="1"/>
  <c r="M48" i="1" s="1"/>
  <c r="P48" i="1" s="1"/>
  <c r="M47" i="1"/>
  <c r="P47" i="1" s="1"/>
  <c r="Q47" i="1" s="1"/>
  <c r="T47" i="1" s="1"/>
  <c r="L47" i="1"/>
  <c r="M46" i="1"/>
  <c r="P46" i="1" s="1"/>
  <c r="L46" i="1"/>
  <c r="M45" i="1"/>
  <c r="P45" i="1" s="1"/>
  <c r="Q45" i="1" s="1"/>
  <c r="R45" i="1" s="1"/>
  <c r="T45" i="1" s="1"/>
  <c r="L45" i="1"/>
  <c r="M44" i="1"/>
  <c r="P44" i="1" s="1"/>
  <c r="Q44" i="1" s="1"/>
  <c r="R44" i="1" s="1"/>
  <c r="T44" i="1" s="1"/>
  <c r="L44" i="1"/>
  <c r="M43" i="1"/>
  <c r="P43" i="1" s="1"/>
  <c r="X43" i="1" s="1"/>
  <c r="L43" i="1"/>
  <c r="M42" i="1"/>
  <c r="P42" i="1" s="1"/>
  <c r="Q42" i="1" s="1"/>
  <c r="R42" i="1" s="1"/>
  <c r="T42" i="1" s="1"/>
  <c r="L42" i="1"/>
  <c r="M41" i="1"/>
  <c r="P41" i="1" s="1"/>
  <c r="Q41" i="1" s="1"/>
  <c r="T41" i="1" s="1"/>
  <c r="L41" i="1"/>
  <c r="M40" i="1"/>
  <c r="P40" i="1" s="1"/>
  <c r="Q40" i="1" s="1"/>
  <c r="R40" i="1" s="1"/>
  <c r="T40" i="1" s="1"/>
  <c r="L40" i="1"/>
  <c r="M39" i="1"/>
  <c r="P39" i="1" s="1"/>
  <c r="Q39" i="1" s="1"/>
  <c r="R39" i="1" s="1"/>
  <c r="T39" i="1" s="1"/>
  <c r="L39" i="1"/>
  <c r="M38" i="1"/>
  <c r="P38" i="1" s="1"/>
  <c r="Q38" i="1" s="1"/>
  <c r="R38" i="1" s="1"/>
  <c r="T38" i="1" s="1"/>
  <c r="L38" i="1"/>
  <c r="M37" i="1"/>
  <c r="P37" i="1" s="1"/>
  <c r="Q37" i="1" s="1"/>
  <c r="R37" i="1" s="1"/>
  <c r="T37" i="1" s="1"/>
  <c r="L37" i="1"/>
  <c r="M36" i="1"/>
  <c r="P36" i="1" s="1"/>
  <c r="Q36" i="1" s="1"/>
  <c r="T36" i="1" s="1"/>
  <c r="L36" i="1"/>
  <c r="M35" i="1"/>
  <c r="P35" i="1" s="1"/>
  <c r="Q35" i="1" s="1"/>
  <c r="R35" i="1" s="1"/>
  <c r="T35" i="1" s="1"/>
  <c r="L35" i="1"/>
  <c r="M34" i="1"/>
  <c r="P34" i="1" s="1"/>
  <c r="Q34" i="1" s="1"/>
  <c r="R34" i="1" s="1"/>
  <c r="T34" i="1" s="1"/>
  <c r="L34" i="1"/>
  <c r="M33" i="1"/>
  <c r="P33" i="1" s="1"/>
  <c r="X33" i="1" s="1"/>
  <c r="L33" i="1"/>
  <c r="M32" i="1"/>
  <c r="P32" i="1" s="1"/>
  <c r="Q32" i="1" s="1"/>
  <c r="T32" i="1" s="1"/>
  <c r="L32" i="1"/>
  <c r="M31" i="1"/>
  <c r="P31" i="1" s="1"/>
  <c r="Q31" i="1" s="1"/>
  <c r="R31" i="1" s="1"/>
  <c r="T31" i="1" s="1"/>
  <c r="L31" i="1"/>
  <c r="M30" i="1"/>
  <c r="P30" i="1" s="1"/>
  <c r="X30" i="1" s="1"/>
  <c r="L30" i="1"/>
  <c r="M29" i="1"/>
  <c r="P29" i="1" s="1"/>
  <c r="X29" i="1" s="1"/>
  <c r="L29" i="1"/>
  <c r="M28" i="1"/>
  <c r="P28" i="1" s="1"/>
  <c r="Q28" i="1" s="1"/>
  <c r="T28" i="1" s="1"/>
  <c r="L28" i="1"/>
  <c r="M27" i="1"/>
  <c r="P27" i="1" s="1"/>
  <c r="X27" i="1" s="1"/>
  <c r="L27" i="1"/>
  <c r="M26" i="1"/>
  <c r="P26" i="1" s="1"/>
  <c r="X26" i="1" s="1"/>
  <c r="L26" i="1"/>
  <c r="M25" i="1"/>
  <c r="P25" i="1" s="1"/>
  <c r="X25" i="1" s="1"/>
  <c r="L25" i="1"/>
  <c r="F24" i="1"/>
  <c r="E24" i="1"/>
  <c r="L24" i="1" s="1"/>
  <c r="M23" i="1"/>
  <c r="P23" i="1" s="1"/>
  <c r="Q23" i="1" s="1"/>
  <c r="T23" i="1" s="1"/>
  <c r="L23" i="1"/>
  <c r="M22" i="1"/>
  <c r="P22" i="1" s="1"/>
  <c r="X22" i="1" s="1"/>
  <c r="L22" i="1"/>
  <c r="M21" i="1"/>
  <c r="P21" i="1" s="1"/>
  <c r="X21" i="1" s="1"/>
  <c r="L21" i="1"/>
  <c r="M20" i="1"/>
  <c r="P20" i="1" s="1"/>
  <c r="X20" i="1" s="1"/>
  <c r="L20" i="1"/>
  <c r="M19" i="1"/>
  <c r="P19" i="1" s="1"/>
  <c r="Q19" i="1" s="1"/>
  <c r="T19" i="1" s="1"/>
  <c r="L19" i="1"/>
  <c r="M18" i="1"/>
  <c r="P18" i="1" s="1"/>
  <c r="Q18" i="1" s="1"/>
  <c r="T18" i="1" s="1"/>
  <c r="L18" i="1"/>
  <c r="M17" i="1"/>
  <c r="P17" i="1" s="1"/>
  <c r="Q17" i="1" s="1"/>
  <c r="R17" i="1" s="1"/>
  <c r="T17" i="1" s="1"/>
  <c r="L17" i="1"/>
  <c r="M16" i="1"/>
  <c r="P16" i="1" s="1"/>
  <c r="Q16" i="1" s="1"/>
  <c r="R16" i="1" s="1"/>
  <c r="T16" i="1" s="1"/>
  <c r="L16" i="1"/>
  <c r="M15" i="1"/>
  <c r="P15" i="1" s="1"/>
  <c r="L15" i="1"/>
  <c r="M14" i="1"/>
  <c r="P14" i="1" s="1"/>
  <c r="Q14" i="1" s="1"/>
  <c r="R14" i="1" s="1"/>
  <c r="T14" i="1" s="1"/>
  <c r="L14" i="1"/>
  <c r="M13" i="1"/>
  <c r="P13" i="1" s="1"/>
  <c r="X13" i="1" s="1"/>
  <c r="L13" i="1"/>
  <c r="M12" i="1"/>
  <c r="P12" i="1" s="1"/>
  <c r="L12" i="1"/>
  <c r="M11" i="1"/>
  <c r="P11" i="1" s="1"/>
  <c r="L11" i="1"/>
  <c r="F11" i="1"/>
  <c r="M10" i="1"/>
  <c r="P10" i="1" s="1"/>
  <c r="Q10" i="1" s="1"/>
  <c r="R10" i="1" s="1"/>
  <c r="T10" i="1" s="1"/>
  <c r="L10" i="1"/>
  <c r="M9" i="1"/>
  <c r="P9" i="1" s="1"/>
  <c r="Q9" i="1" s="1"/>
  <c r="R9" i="1" s="1"/>
  <c r="T9" i="1" s="1"/>
  <c r="L9" i="1"/>
  <c r="M8" i="1"/>
  <c r="P8" i="1" s="1"/>
  <c r="Q8" i="1" s="1"/>
  <c r="R8" i="1" s="1"/>
  <c r="T8" i="1" s="1"/>
  <c r="L8" i="1"/>
  <c r="M7" i="1"/>
  <c r="P7" i="1" s="1"/>
  <c r="Q7" i="1" s="1"/>
  <c r="T7" i="1" s="1"/>
  <c r="L7" i="1"/>
  <c r="M6" i="1"/>
  <c r="P6" i="1" s="1"/>
  <c r="Q6" i="1" s="1"/>
  <c r="R6" i="1" s="1"/>
  <c r="L6" i="1"/>
  <c r="AG5" i="1"/>
  <c r="AF5" i="1"/>
  <c r="AE5" i="1"/>
  <c r="AD5" i="1"/>
  <c r="AC5" i="1"/>
  <c r="AB5" i="1"/>
  <c r="AA5" i="1"/>
  <c r="Z5" i="1"/>
  <c r="W5" i="1"/>
  <c r="U5" i="1"/>
  <c r="O5" i="1"/>
  <c r="N5" i="1"/>
  <c r="K5" i="1"/>
  <c r="O1" i="1"/>
  <c r="AI7" i="1" l="1"/>
  <c r="X7" i="1"/>
  <c r="AI8" i="1"/>
  <c r="X8" i="1"/>
  <c r="AI9" i="1"/>
  <c r="X9" i="1"/>
  <c r="AI10" i="1"/>
  <c r="X10" i="1"/>
  <c r="Y76" i="1"/>
  <c r="X76" i="1"/>
  <c r="AI77" i="1"/>
  <c r="X77" i="1"/>
  <c r="AI81" i="1"/>
  <c r="X81" i="1"/>
  <c r="AI82" i="1"/>
  <c r="X82" i="1"/>
  <c r="AI85" i="1"/>
  <c r="X85" i="1"/>
  <c r="AI87" i="1"/>
  <c r="X87" i="1"/>
  <c r="AI89" i="1"/>
  <c r="X89" i="1"/>
  <c r="AI90" i="1"/>
  <c r="X90" i="1"/>
  <c r="AI91" i="1"/>
  <c r="X91" i="1"/>
  <c r="AI94" i="1"/>
  <c r="X94" i="1"/>
  <c r="AI97" i="1"/>
  <c r="X97" i="1"/>
  <c r="AI98" i="1"/>
  <c r="X98" i="1"/>
  <c r="AI103" i="1"/>
  <c r="X103" i="1"/>
  <c r="AI106" i="1"/>
  <c r="X106" i="1"/>
  <c r="Y112" i="1"/>
  <c r="X112" i="1"/>
  <c r="Y114" i="1"/>
  <c r="X114" i="1"/>
  <c r="Y116" i="1"/>
  <c r="X116" i="1"/>
  <c r="AI14" i="1"/>
  <c r="X14" i="1"/>
  <c r="AI16" i="1"/>
  <c r="X16" i="1"/>
  <c r="AI17" i="1"/>
  <c r="X17" i="1"/>
  <c r="AI18" i="1"/>
  <c r="X18" i="1"/>
  <c r="AI19" i="1"/>
  <c r="X19" i="1"/>
  <c r="AI23" i="1"/>
  <c r="X23" i="1"/>
  <c r="AI28" i="1"/>
  <c r="X28" i="1"/>
  <c r="AI31" i="1"/>
  <c r="X31" i="1"/>
  <c r="AI32" i="1"/>
  <c r="X32" i="1"/>
  <c r="AI34" i="1"/>
  <c r="X34" i="1"/>
  <c r="AI35" i="1"/>
  <c r="X35" i="1"/>
  <c r="AI36" i="1"/>
  <c r="X36" i="1"/>
  <c r="AI37" i="1"/>
  <c r="X37" i="1"/>
  <c r="AI38" i="1"/>
  <c r="X38" i="1"/>
  <c r="AI39" i="1"/>
  <c r="X39" i="1"/>
  <c r="AI40" i="1"/>
  <c r="X40" i="1"/>
  <c r="AI41" i="1"/>
  <c r="X41" i="1"/>
  <c r="AI42" i="1"/>
  <c r="X42" i="1"/>
  <c r="AI44" i="1"/>
  <c r="X44" i="1"/>
  <c r="AI45" i="1"/>
  <c r="X45" i="1"/>
  <c r="AI47" i="1"/>
  <c r="X47" i="1"/>
  <c r="AI51" i="1"/>
  <c r="X51" i="1"/>
  <c r="AI59" i="1"/>
  <c r="X59" i="1"/>
  <c r="AI60" i="1"/>
  <c r="X60" i="1"/>
  <c r="AI66" i="1"/>
  <c r="X66" i="1"/>
  <c r="AI69" i="1"/>
  <c r="X69" i="1"/>
  <c r="AI70" i="1"/>
  <c r="X70" i="1"/>
  <c r="T6" i="1"/>
  <c r="X6" i="1" s="1"/>
  <c r="Y11" i="1"/>
  <c r="Q46" i="1"/>
  <c r="T46" i="1" s="1"/>
  <c r="Q74" i="1"/>
  <c r="T74" i="1" s="1"/>
  <c r="Q101" i="1"/>
  <c r="T101" i="1" s="1"/>
  <c r="Q11" i="1"/>
  <c r="R11" i="1" s="1"/>
  <c r="T11" i="1" s="1"/>
  <c r="Q15" i="1"/>
  <c r="Q79" i="1"/>
  <c r="R79" i="1" s="1"/>
  <c r="T79" i="1" s="1"/>
  <c r="AI79" i="1" s="1"/>
  <c r="Q50" i="1"/>
  <c r="R50" i="1" s="1"/>
  <c r="T50" i="1" s="1"/>
  <c r="AI50" i="1" s="1"/>
  <c r="Q109" i="1"/>
  <c r="R109" i="1" s="1"/>
  <c r="T109" i="1" s="1"/>
  <c r="AI109" i="1" s="1"/>
  <c r="Q63" i="1"/>
  <c r="R63" i="1" s="1"/>
  <c r="T63" i="1" s="1"/>
  <c r="Q67" i="1"/>
  <c r="T67" i="1" s="1"/>
  <c r="Q71" i="1"/>
  <c r="R71" i="1" s="1"/>
  <c r="T71" i="1" s="1"/>
  <c r="Q80" i="1"/>
  <c r="T80" i="1" s="1"/>
  <c r="Q92" i="1"/>
  <c r="R92" i="1" s="1"/>
  <c r="T92" i="1" s="1"/>
  <c r="Q96" i="1"/>
  <c r="R96" i="1" s="1"/>
  <c r="T96" i="1" s="1"/>
  <c r="Q108" i="1"/>
  <c r="R108" i="1" s="1"/>
  <c r="T108" i="1" s="1"/>
  <c r="Q95" i="1"/>
  <c r="R95" i="1" s="1"/>
  <c r="T95" i="1" s="1"/>
  <c r="Q99" i="1"/>
  <c r="T99" i="1" s="1"/>
  <c r="Q12" i="1"/>
  <c r="R12" i="1" s="1"/>
  <c r="T12" i="1" s="1"/>
  <c r="Y48" i="1"/>
  <c r="Q49" i="1"/>
  <c r="T49" i="1" s="1"/>
  <c r="Y50" i="1"/>
  <c r="Q55" i="1"/>
  <c r="R55" i="1" s="1"/>
  <c r="T55" i="1" s="1"/>
  <c r="AI55" i="1" s="1"/>
  <c r="Q57" i="1"/>
  <c r="R57" i="1" s="1"/>
  <c r="T57" i="1" s="1"/>
  <c r="Q65" i="1"/>
  <c r="R65" i="1" s="1"/>
  <c r="T65" i="1" s="1"/>
  <c r="Y75" i="1"/>
  <c r="Q75" i="1"/>
  <c r="R75" i="1" s="1"/>
  <c r="T75" i="1" s="1"/>
  <c r="Q84" i="1"/>
  <c r="R84" i="1" s="1"/>
  <c r="T84" i="1" s="1"/>
  <c r="Q88" i="1"/>
  <c r="R88" i="1" s="1"/>
  <c r="T88" i="1" s="1"/>
  <c r="Q100" i="1"/>
  <c r="R100" i="1" s="1"/>
  <c r="T100" i="1" s="1"/>
  <c r="Q104" i="1"/>
  <c r="R104" i="1" s="1"/>
  <c r="T104" i="1" s="1"/>
  <c r="Q110" i="1"/>
  <c r="R110" i="1" s="1"/>
  <c r="T110" i="1" s="1"/>
  <c r="Q48" i="1"/>
  <c r="R48" i="1" s="1"/>
  <c r="T48" i="1" s="1"/>
  <c r="AI48" i="1" s="1"/>
  <c r="Q52" i="1"/>
  <c r="R52" i="1" s="1"/>
  <c r="T52" i="1" s="1"/>
  <c r="Q78" i="1"/>
  <c r="R78" i="1" s="1"/>
  <c r="T78" i="1" s="1"/>
  <c r="Y55" i="1"/>
  <c r="Y79" i="1"/>
  <c r="Y47" i="1"/>
  <c r="Y51" i="1"/>
  <c r="Y82" i="1"/>
  <c r="Y86" i="1"/>
  <c r="Y90" i="1"/>
  <c r="Y94" i="1"/>
  <c r="Y98" i="1"/>
  <c r="Y102" i="1"/>
  <c r="Y106" i="1"/>
  <c r="Y56" i="1"/>
  <c r="Y60" i="1"/>
  <c r="Y64" i="1"/>
  <c r="Y68" i="1"/>
  <c r="Y72" i="1"/>
  <c r="Y77" i="1"/>
  <c r="M24" i="1"/>
  <c r="P24" i="1" s="1"/>
  <c r="Q24" i="1" s="1"/>
  <c r="R24" i="1" s="1"/>
  <c r="T24" i="1" s="1"/>
  <c r="AI24" i="1" s="1"/>
  <c r="F5" i="1"/>
  <c r="Y53" i="1"/>
  <c r="Y58" i="1"/>
  <c r="Y62" i="1"/>
  <c r="Y66" i="1"/>
  <c r="Y70" i="1"/>
  <c r="Y80" i="1"/>
  <c r="Y84" i="1"/>
  <c r="Y88" i="1"/>
  <c r="Y92" i="1"/>
  <c r="Y96" i="1"/>
  <c r="Y100" i="1"/>
  <c r="Y104" i="1"/>
  <c r="Y108" i="1"/>
  <c r="Y109" i="1"/>
  <c r="Y111" i="1"/>
  <c r="Y115" i="1"/>
  <c r="Y6" i="1"/>
  <c r="Y8" i="1"/>
  <c r="Y10" i="1"/>
  <c r="Y15" i="1"/>
  <c r="Y17" i="1"/>
  <c r="Y19" i="1"/>
  <c r="Y21" i="1"/>
  <c r="Y23" i="1"/>
  <c r="Y26" i="1"/>
  <c r="Y28" i="1"/>
  <c r="Y30" i="1"/>
  <c r="Y32" i="1"/>
  <c r="Y34" i="1"/>
  <c r="Y36" i="1"/>
  <c r="Y38" i="1"/>
  <c r="Y40" i="1"/>
  <c r="Y42" i="1"/>
  <c r="Y44" i="1"/>
  <c r="Y7" i="1"/>
  <c r="Y9" i="1"/>
  <c r="Y14" i="1"/>
  <c r="Y16" i="1"/>
  <c r="Y18" i="1"/>
  <c r="Y20" i="1"/>
  <c r="Y22" i="1"/>
  <c r="Y25" i="1"/>
  <c r="Y27" i="1"/>
  <c r="Y29" i="1"/>
  <c r="Y31" i="1"/>
  <c r="Y33" i="1"/>
  <c r="Y35" i="1"/>
  <c r="Y37" i="1"/>
  <c r="Y39" i="1"/>
  <c r="Y41" i="1"/>
  <c r="Y43" i="1"/>
  <c r="Y45" i="1"/>
  <c r="Y12" i="1"/>
  <c r="Y13" i="1"/>
  <c r="L48" i="1"/>
  <c r="L109" i="1"/>
  <c r="E5" i="1"/>
  <c r="Y46" i="1"/>
  <c r="Y49" i="1"/>
  <c r="L50" i="1"/>
  <c r="Y52" i="1"/>
  <c r="Y54" i="1"/>
  <c r="L55" i="1"/>
  <c r="Y57" i="1"/>
  <c r="Y59" i="1"/>
  <c r="Y61" i="1"/>
  <c r="Y63" i="1"/>
  <c r="Y65" i="1"/>
  <c r="Y67" i="1"/>
  <c r="Y69" i="1"/>
  <c r="Y71" i="1"/>
  <c r="M73" i="1"/>
  <c r="P73" i="1" s="1"/>
  <c r="Q73" i="1" s="1"/>
  <c r="R73" i="1" s="1"/>
  <c r="T73" i="1" s="1"/>
  <c r="Y78" i="1"/>
  <c r="L79" i="1"/>
  <c r="Y81" i="1"/>
  <c r="Y83" i="1"/>
  <c r="Y85" i="1"/>
  <c r="Y87" i="1"/>
  <c r="Y89" i="1"/>
  <c r="Y91" i="1"/>
  <c r="Y93" i="1"/>
  <c r="Y95" i="1"/>
  <c r="Y97" i="1"/>
  <c r="Y99" i="1"/>
  <c r="Y101" i="1"/>
  <c r="Y103" i="1"/>
  <c r="Y105" i="1"/>
  <c r="Y107" i="1"/>
  <c r="Y110" i="1"/>
  <c r="Y113" i="1"/>
  <c r="AI78" i="1" l="1"/>
  <c r="X78" i="1"/>
  <c r="AI104" i="1"/>
  <c r="X104" i="1"/>
  <c r="AI88" i="1"/>
  <c r="X88" i="1"/>
  <c r="AI75" i="1"/>
  <c r="X75" i="1"/>
  <c r="AI65" i="1"/>
  <c r="X65" i="1"/>
  <c r="AI49" i="1"/>
  <c r="X49" i="1"/>
  <c r="AI12" i="1"/>
  <c r="X12" i="1"/>
  <c r="AI95" i="1"/>
  <c r="X95" i="1"/>
  <c r="AI96" i="1"/>
  <c r="X96" i="1"/>
  <c r="AI80" i="1"/>
  <c r="X80" i="1"/>
  <c r="AI67" i="1"/>
  <c r="X67" i="1"/>
  <c r="AI11" i="1"/>
  <c r="X11" i="1"/>
  <c r="AI74" i="1"/>
  <c r="X74" i="1"/>
  <c r="X55" i="1"/>
  <c r="X48" i="1"/>
  <c r="X109" i="1"/>
  <c r="AI73" i="1"/>
  <c r="X73" i="1"/>
  <c r="AI52" i="1"/>
  <c r="X52" i="1"/>
  <c r="AI110" i="1"/>
  <c r="X110" i="1"/>
  <c r="AI100" i="1"/>
  <c r="X100" i="1"/>
  <c r="AI84" i="1"/>
  <c r="X84" i="1"/>
  <c r="AI57" i="1"/>
  <c r="X57" i="1"/>
  <c r="AI99" i="1"/>
  <c r="X99" i="1"/>
  <c r="AI108" i="1"/>
  <c r="X108" i="1"/>
  <c r="AI92" i="1"/>
  <c r="X92" i="1"/>
  <c r="AI71" i="1"/>
  <c r="X71" i="1"/>
  <c r="AI63" i="1"/>
  <c r="X63" i="1"/>
  <c r="AI101" i="1"/>
  <c r="X101" i="1"/>
  <c r="AI46" i="1"/>
  <c r="X46" i="1"/>
  <c r="X50" i="1"/>
  <c r="X24" i="1"/>
  <c r="X79" i="1"/>
  <c r="AI6" i="1"/>
  <c r="T15" i="1"/>
  <c r="Y24" i="1"/>
  <c r="L5" i="1"/>
  <c r="Y73" i="1"/>
  <c r="M5" i="1"/>
  <c r="P5" i="1"/>
  <c r="AI15" i="1" l="1"/>
  <c r="X15" i="1"/>
  <c r="T5" i="1"/>
  <c r="R5" i="1"/>
  <c r="AI5" i="1"/>
  <c r="Q5" i="1"/>
</calcChain>
</file>

<file path=xl/sharedStrings.xml><?xml version="1.0" encoding="utf-8"?>
<sst xmlns="http://schemas.openxmlformats.org/spreadsheetml/2006/main" count="447" uniqueCount="175">
  <si>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</si>
  <si>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</si>
  <si>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</si>
  <si>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</si>
  <si>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</si>
  <si>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</si>
  <si>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</si>
  <si>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</si>
  <si>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</si>
  <si>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</si>
  <si>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</si>
  <si>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</si>
  <si>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</si>
  <si>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</si>
  <si>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</si>
  <si>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</si>
  <si>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</si>
  <si>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</si>
  <si>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</si>
  <si>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</si>
  <si>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</si>
  <si>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</si>
  <si>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</si>
  <si>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</si>
  <si>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</si>
  <si>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23,10,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</si>
  <si>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</si>
  <si>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</si>
  <si>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</si>
  <si>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</si>
  <si>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</si>
  <si>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</si>
  <si>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</si>
  <si>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</si>
  <si>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</si>
  <si>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</si>
  <si>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</si>
  <si>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</si>
  <si>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</si>
  <si>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</si>
  <si>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</si>
  <si>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</si>
  <si>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</si>
  <si>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для Сочи</t>
  </si>
  <si>
    <t xml:space="preserve"> 031  Сосиски Вязанка Сливочные, Вязанка амицел МГС, 0.33кг, ТМ Стародворские колбасы</t>
  </si>
  <si>
    <t>20,10,25 не правильно оприходована накладная от 16,10,25 (оприходовали на 294шт. больше)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</si>
  <si>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</si>
  <si>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</si>
  <si>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</si>
  <si>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</si>
  <si>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</si>
  <si>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</si>
  <si>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</si>
  <si>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</si>
  <si>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</si>
  <si>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</si>
  <si>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>для Сочи / с 07,10,25 снова в бланке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</si>
  <si>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</si>
  <si>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</si>
  <si>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</si>
  <si>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>нужно увеличить продажи!!!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</si>
  <si>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</si>
  <si>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</si>
  <si>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</si>
  <si>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</si>
  <si>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</si>
  <si>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</si>
  <si>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</si>
  <si>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новинка + Сочи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</si>
  <si>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</si>
  <si>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</si>
  <si>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</si>
  <si>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</si>
  <si>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</si>
  <si>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</si>
  <si>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</si>
  <si>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</si>
  <si>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</si>
  <si>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</si>
  <si>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</si>
  <si>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</si>
  <si>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</si>
  <si>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</si>
  <si>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</si>
  <si>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</si>
  <si>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</si>
  <si>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</si>
  <si>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</si>
  <si>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</si>
  <si>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</si>
  <si>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</si>
  <si>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</si>
  <si>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</si>
  <si>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</si>
  <si>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</si>
  <si>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</si>
  <si>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</si>
  <si>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</si>
  <si>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</si>
  <si>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</si>
  <si>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</si>
  <si>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</si>
  <si>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</si>
  <si>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</si>
  <si>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</si>
  <si>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</si>
  <si>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</si>
  <si>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</si>
  <si>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</si>
  <si>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</si>
  <si>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</si>
  <si>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</si>
  <si>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</si>
  <si>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</si>
  <si>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</si>
  <si>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</si>
  <si>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</si>
  <si>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</si>
  <si>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</si>
  <si>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>не в матрице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</si>
  <si>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</si>
  <si>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</si>
  <si>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</si>
  <si>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</si>
  <si>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</si>
  <si>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>14,10,25 филиал обнулил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</si>
  <si>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</si>
  <si>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</si>
  <si>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</si>
  <si>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</si>
  <si>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</si>
  <si>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</si>
  <si>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</si>
  <si>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</si>
  <si>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</si>
  <si>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</si>
  <si>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</si>
  <si>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</si>
  <si>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</si>
  <si>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</si>
  <si>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</si>
  <si>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</si>
  <si>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</si>
  <si>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</si>
  <si>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</si>
  <si>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</si>
  <si>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</si>
  <si>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</si>
  <si>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</si>
  <si>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</si>
  <si>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</si>
  <si>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с 07,10,25 снова в бланке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</si>
  <si>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</si>
  <si>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</si>
  <si>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</si>
  <si>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</si>
  <si>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</si>
  <si>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</si>
  <si>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</si>
  <si>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</si>
  <si>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</si>
  <si>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</si>
  <si>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</si>
  <si>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</si>
  <si>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опт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</si>
  <si>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для Сочи</t>
    </r>
  </si>
  <si>
    <t>Карат 1/Зозуля</t>
  </si>
  <si>
    <t>Товарный запас</t>
  </si>
  <si>
    <t>Снижение продаж</t>
  </si>
  <si>
    <t>Карат1/Привевзенцева</t>
  </si>
  <si>
    <t>заказ</t>
  </si>
  <si>
    <t>до полной машины</t>
  </si>
  <si>
    <t>итого</t>
  </si>
  <si>
    <t>30,10,</t>
  </si>
  <si>
    <t>28,10,25 филиал обнулил / для Сочи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</si>
</sst>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164" fontId="1" fillId="6" borderId="1" xfId="1" applyNumberFormat="1" applyFill="1"/>
    <xf numFmtId="164" fontId="5" fillId="5" borderId="1" xfId="1" applyNumberFormat="1" applyFont="1" applyFill="1"/>
    <xf numFmtId="164" fontId="1" fillId="7" borderId="1" xfId="1" applyNumberFormat="1" applyFill="1"/>
    <xf numFmtId="164" fontId="4" fillId="5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6" fillId="10" borderId="1" xfId="1" applyNumberFormat="1" applyFon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.140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20" width="7" style="24" customWidth="1"/>
    <col min="21" max="21" width="7" customWidth="1"/>
    <col min="22" max="22" width="18.42578125" customWidth="1"/>
    <col min="23" max="23" width="7" customWidth="1"/>
    <col min="24" max="24" width="5.85546875" customWidth="1"/>
    <col min="25" max="25" width="5" customWidth="1"/>
    <col min="26" max="33" width="6" customWidth="1"/>
    <col min="34" max="34" width="26.42578125" customWidth="1"/>
    <col min="35" max="35" width="7" customWidth="1"/>
    <col min="36" max="52" width="3" customWidth="1"/>
  </cols>
  <sheetData>
    <row r="1" spans="1:52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>
        <f>672-378</f>
        <v>294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172</v>
      </c>
      <c r="S3" s="2" t="s">
        <v>171</v>
      </c>
      <c r="T3" s="2" t="s">
        <v>170</v>
      </c>
      <c r="U3" s="6" t="s">
        <v>17</v>
      </c>
      <c r="V3" s="6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25</v>
      </c>
      <c r="P4" s="9" t="s">
        <v>26</v>
      </c>
      <c r="Q4" s="9"/>
      <c r="R4" s="9"/>
      <c r="S4" s="9"/>
      <c r="T4" s="9" t="s">
        <v>173</v>
      </c>
      <c r="U4" s="9"/>
      <c r="V4" s="9"/>
      <c r="W4" s="9"/>
      <c r="X4" s="9"/>
      <c r="Y4" s="9"/>
      <c r="Z4" s="9" t="s">
        <v>27</v>
      </c>
      <c r="AA4" s="9" t="s">
        <v>28</v>
      </c>
      <c r="AB4" s="9" t="s">
        <v>29</v>
      </c>
      <c r="AC4" s="9" t="s">
        <v>30</v>
      </c>
      <c r="AD4" s="9" t="s">
        <v>31</v>
      </c>
      <c r="AE4" s="9" t="s">
        <v>32</v>
      </c>
      <c r="AF4" s="9" t="s">
        <v>33</v>
      </c>
      <c r="AG4" s="9" t="s">
        <v>34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 x14ac:dyDescent="0.25">
      <c r="A5" s="9"/>
      <c r="B5" s="9"/>
      <c r="C5" s="9"/>
      <c r="D5" s="9"/>
      <c r="E5" s="3">
        <f>SUM(E6:E494)</f>
        <v>19243.465999999997</v>
      </c>
      <c r="F5" s="3">
        <f>SUM(F6:F494)</f>
        <v>17564.946</v>
      </c>
      <c r="G5" s="7"/>
      <c r="H5" s="9"/>
      <c r="I5" s="9"/>
      <c r="J5" s="9"/>
      <c r="K5" s="3">
        <f t="shared" ref="K5:U5" si="0">SUM(K6:K494)</f>
        <v>21014.385999999999</v>
      </c>
      <c r="L5" s="3">
        <f t="shared" si="0"/>
        <v>-1770.9200000000005</v>
      </c>
      <c r="M5" s="3">
        <f t="shared" si="0"/>
        <v>16054.509999999998</v>
      </c>
      <c r="N5" s="3">
        <f t="shared" si="0"/>
        <v>3188.9559999999997</v>
      </c>
      <c r="O5" s="3">
        <f t="shared" si="0"/>
        <v>10713.405200000001</v>
      </c>
      <c r="P5" s="3">
        <f t="shared" si="0"/>
        <v>3210.902</v>
      </c>
      <c r="Q5" s="3">
        <f t="shared" si="0"/>
        <v>13704.856600000006</v>
      </c>
      <c r="R5" s="3">
        <f t="shared" si="0"/>
        <v>14973.467600000004</v>
      </c>
      <c r="S5" s="3">
        <f t="shared" si="0"/>
        <v>0</v>
      </c>
      <c r="T5" s="3">
        <f t="shared" si="0"/>
        <v>14973.467600000004</v>
      </c>
      <c r="U5" s="3">
        <f t="shared" si="0"/>
        <v>4620</v>
      </c>
      <c r="V5" s="9"/>
      <c r="W5" s="3">
        <f>SUM(W6:W494)</f>
        <v>0</v>
      </c>
      <c r="X5" s="9"/>
      <c r="Y5" s="9"/>
      <c r="Z5" s="3">
        <f t="shared" ref="Z5:AG5" si="1">SUM(Z6:Z494)</f>
        <v>3588.8320000000003</v>
      </c>
      <c r="AA5" s="3">
        <f t="shared" si="1"/>
        <v>3720.2643999999987</v>
      </c>
      <c r="AB5" s="3">
        <f t="shared" si="1"/>
        <v>4461.9827999999998</v>
      </c>
      <c r="AC5" s="3">
        <f t="shared" si="1"/>
        <v>4554.6831999999986</v>
      </c>
      <c r="AD5" s="3">
        <f t="shared" si="1"/>
        <v>4879.2917999999981</v>
      </c>
      <c r="AE5" s="3">
        <f t="shared" si="1"/>
        <v>5816.3498000000018</v>
      </c>
      <c r="AF5" s="3">
        <f t="shared" si="1"/>
        <v>5246.4001999999973</v>
      </c>
      <c r="AG5" s="3">
        <f t="shared" si="1"/>
        <v>6104.3354000000018</v>
      </c>
      <c r="AH5" s="9"/>
      <c r="AI5" s="3">
        <f>SUM(AI6:AI494)</f>
        <v>9613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 x14ac:dyDescent="0.25">
      <c r="A6" s="9" t="s">
        <v>35</v>
      </c>
      <c r="B6" s="9" t="s">
        <v>36</v>
      </c>
      <c r="C6" s="9">
        <v>221.161</v>
      </c>
      <c r="D6" s="9">
        <v>513.98199999999997</v>
      </c>
      <c r="E6" s="9">
        <v>154.22300000000001</v>
      </c>
      <c r="F6" s="9">
        <v>128.55500000000001</v>
      </c>
      <c r="G6" s="7">
        <v>1</v>
      </c>
      <c r="H6" s="9">
        <v>50</v>
      </c>
      <c r="I6" s="9" t="s">
        <v>37</v>
      </c>
      <c r="J6" s="9"/>
      <c r="K6" s="9">
        <v>158.9</v>
      </c>
      <c r="L6" s="9">
        <f t="shared" ref="L6:L37" si="2">E6-K6</f>
        <v>-4.6769999999999925</v>
      </c>
      <c r="M6" s="9">
        <f t="shared" ref="M6:M37" si="3">E6-N6</f>
        <v>154.22300000000001</v>
      </c>
      <c r="N6" s="9"/>
      <c r="O6" s="9">
        <v>60</v>
      </c>
      <c r="P6" s="9">
        <f t="shared" ref="P6:P37" si="4">M6/5</f>
        <v>30.844600000000003</v>
      </c>
      <c r="Q6" s="4">
        <f>13*P6-O6-F6</f>
        <v>212.42480000000006</v>
      </c>
      <c r="R6" s="4">
        <f>Q6</f>
        <v>212.42480000000006</v>
      </c>
      <c r="S6" s="4"/>
      <c r="T6" s="4">
        <f>S6+R6</f>
        <v>212.42480000000006</v>
      </c>
      <c r="U6" s="4"/>
      <c r="V6" s="9"/>
      <c r="W6" s="9"/>
      <c r="X6" s="9">
        <f>(F6+O6+T6)/P6</f>
        <v>13</v>
      </c>
      <c r="Y6" s="9">
        <f t="shared" ref="Y6:Y37" si="5">(F6+O6)/P6</f>
        <v>6.1130635508322362</v>
      </c>
      <c r="Z6" s="9">
        <v>27.9924</v>
      </c>
      <c r="AA6" s="9">
        <v>31.0626</v>
      </c>
      <c r="AB6" s="9">
        <v>38.482399999999998</v>
      </c>
      <c r="AC6" s="9">
        <v>33.279800000000002</v>
      </c>
      <c r="AD6" s="9">
        <v>35.795999999999999</v>
      </c>
      <c r="AE6" s="9">
        <v>46.63</v>
      </c>
      <c r="AF6" s="9">
        <v>40.2986</v>
      </c>
      <c r="AG6" s="9">
        <v>37.677599999999998</v>
      </c>
      <c r="AH6" s="9"/>
      <c r="AI6" s="9">
        <f>ROUND(G6*T6,0)</f>
        <v>212</v>
      </c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x14ac:dyDescent="0.25">
      <c r="A7" s="9" t="s">
        <v>38</v>
      </c>
      <c r="B7" s="9" t="s">
        <v>36</v>
      </c>
      <c r="C7" s="9"/>
      <c r="D7" s="9">
        <v>202.227</v>
      </c>
      <c r="E7" s="9">
        <v>151.51499999999999</v>
      </c>
      <c r="F7" s="9">
        <v>23.234000000000002</v>
      </c>
      <c r="G7" s="7">
        <v>1</v>
      </c>
      <c r="H7" s="9">
        <v>45</v>
      </c>
      <c r="I7" s="9" t="s">
        <v>37</v>
      </c>
      <c r="J7" s="9"/>
      <c r="K7" s="9">
        <v>170.47200000000001</v>
      </c>
      <c r="L7" s="9">
        <f t="shared" si="2"/>
        <v>-18.957000000000022</v>
      </c>
      <c r="M7" s="9">
        <f t="shared" si="3"/>
        <v>140.59099999999998</v>
      </c>
      <c r="N7" s="9">
        <v>10.923999999999999</v>
      </c>
      <c r="O7" s="9">
        <v>40</v>
      </c>
      <c r="P7" s="9">
        <f t="shared" si="4"/>
        <v>28.118199999999995</v>
      </c>
      <c r="Q7" s="4">
        <f>10*P7-O7-F7</f>
        <v>217.94799999999995</v>
      </c>
      <c r="R7" s="4">
        <f>U7</f>
        <v>260</v>
      </c>
      <c r="S7" s="4"/>
      <c r="T7" s="4">
        <f t="shared" ref="T7:T12" si="6">S7+R7</f>
        <v>260</v>
      </c>
      <c r="U7" s="4">
        <v>260</v>
      </c>
      <c r="V7" s="9" t="s">
        <v>167</v>
      </c>
      <c r="W7" s="9"/>
      <c r="X7" s="9">
        <f t="shared" ref="X7:X70" si="7">(F7+O7+T7)/P7</f>
        <v>11.495543811481532</v>
      </c>
      <c r="Y7" s="9">
        <f t="shared" si="5"/>
        <v>2.2488637252740222</v>
      </c>
      <c r="Z7" s="9">
        <v>17.8688</v>
      </c>
      <c r="AA7" s="9">
        <v>22.6038</v>
      </c>
      <c r="AB7" s="9">
        <v>13.161</v>
      </c>
      <c r="AC7" s="9">
        <v>20.943200000000001</v>
      </c>
      <c r="AD7" s="9">
        <v>23.485600000000002</v>
      </c>
      <c r="AE7" s="9">
        <v>23.595600000000001</v>
      </c>
      <c r="AF7" s="9">
        <v>17.976400000000002</v>
      </c>
      <c r="AG7" s="9">
        <v>23.247199999999999</v>
      </c>
      <c r="AH7" s="9"/>
      <c r="AI7" s="9">
        <f t="shared" ref="AI7:AI12" si="8">ROUND(G7*T7,0)</f>
        <v>260</v>
      </c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x14ac:dyDescent="0.25">
      <c r="A8" s="9" t="s">
        <v>39</v>
      </c>
      <c r="B8" s="9" t="s">
        <v>36</v>
      </c>
      <c r="C8" s="9">
        <v>1.3360000000000001</v>
      </c>
      <c r="D8" s="9">
        <v>196.03200000000001</v>
      </c>
      <c r="E8" s="9">
        <v>94.57</v>
      </c>
      <c r="F8" s="9">
        <v>42.451999999999998</v>
      </c>
      <c r="G8" s="7">
        <v>1</v>
      </c>
      <c r="H8" s="9">
        <v>45</v>
      </c>
      <c r="I8" s="9" t="s">
        <v>37</v>
      </c>
      <c r="J8" s="9"/>
      <c r="K8" s="9">
        <v>110.464</v>
      </c>
      <c r="L8" s="9">
        <f t="shared" si="2"/>
        <v>-15.894000000000005</v>
      </c>
      <c r="M8" s="9">
        <f t="shared" si="3"/>
        <v>94.57</v>
      </c>
      <c r="N8" s="9"/>
      <c r="O8" s="9">
        <v>55</v>
      </c>
      <c r="P8" s="9">
        <f t="shared" si="4"/>
        <v>18.913999999999998</v>
      </c>
      <c r="Q8" s="4">
        <f t="shared" ref="Q8:Q12" si="9">13*P8-O8-F8</f>
        <v>148.42999999999998</v>
      </c>
      <c r="R8" s="4">
        <f t="shared" ref="R8:R12" si="10">Q8</f>
        <v>148.42999999999998</v>
      </c>
      <c r="S8" s="4"/>
      <c r="T8" s="4">
        <f t="shared" si="6"/>
        <v>148.42999999999998</v>
      </c>
      <c r="U8" s="4"/>
      <c r="V8" s="9"/>
      <c r="W8" s="9"/>
      <c r="X8" s="9">
        <f t="shared" si="7"/>
        <v>13</v>
      </c>
      <c r="Y8" s="9">
        <f t="shared" si="5"/>
        <v>5.1523739029290478</v>
      </c>
      <c r="Z8" s="9">
        <v>15.503399999999999</v>
      </c>
      <c r="AA8" s="9">
        <v>16.372599999999998</v>
      </c>
      <c r="AB8" s="9">
        <v>11.789199999999999</v>
      </c>
      <c r="AC8" s="9">
        <v>18.107199999999999</v>
      </c>
      <c r="AD8" s="9">
        <v>12.352600000000001</v>
      </c>
      <c r="AE8" s="9">
        <v>14.5908</v>
      </c>
      <c r="AF8" s="9">
        <v>14.163600000000001</v>
      </c>
      <c r="AG8" s="9">
        <v>15.059200000000001</v>
      </c>
      <c r="AH8" s="9"/>
      <c r="AI8" s="9">
        <f t="shared" si="8"/>
        <v>148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 x14ac:dyDescent="0.25">
      <c r="A9" s="9" t="s">
        <v>40</v>
      </c>
      <c r="B9" s="9" t="s">
        <v>41</v>
      </c>
      <c r="C9" s="9">
        <v>637</v>
      </c>
      <c r="D9" s="9">
        <v>824</v>
      </c>
      <c r="E9" s="9">
        <v>332</v>
      </c>
      <c r="F9" s="9">
        <v>424</v>
      </c>
      <c r="G9" s="7">
        <v>0.4</v>
      </c>
      <c r="H9" s="9">
        <v>50</v>
      </c>
      <c r="I9" s="9" t="s">
        <v>37</v>
      </c>
      <c r="J9" s="9"/>
      <c r="K9" s="9">
        <v>396</v>
      </c>
      <c r="L9" s="9">
        <f t="shared" si="2"/>
        <v>-64</v>
      </c>
      <c r="M9" s="9">
        <f t="shared" si="3"/>
        <v>332</v>
      </c>
      <c r="N9" s="9"/>
      <c r="O9" s="9">
        <v>240</v>
      </c>
      <c r="P9" s="9">
        <f t="shared" si="4"/>
        <v>66.400000000000006</v>
      </c>
      <c r="Q9" s="4">
        <f t="shared" si="9"/>
        <v>199.20000000000005</v>
      </c>
      <c r="R9" s="4">
        <f t="shared" si="10"/>
        <v>199.20000000000005</v>
      </c>
      <c r="S9" s="4"/>
      <c r="T9" s="4">
        <f t="shared" si="6"/>
        <v>199.20000000000005</v>
      </c>
      <c r="U9" s="4"/>
      <c r="V9" s="9"/>
      <c r="W9" s="9"/>
      <c r="X9" s="9">
        <f t="shared" si="7"/>
        <v>13</v>
      </c>
      <c r="Y9" s="9">
        <f t="shared" si="5"/>
        <v>10</v>
      </c>
      <c r="Z9" s="9">
        <v>86.2</v>
      </c>
      <c r="AA9" s="9">
        <v>75.599999999999994</v>
      </c>
      <c r="AB9" s="9">
        <v>101.4</v>
      </c>
      <c r="AC9" s="9">
        <v>97</v>
      </c>
      <c r="AD9" s="9">
        <v>104.6</v>
      </c>
      <c r="AE9" s="9">
        <v>116</v>
      </c>
      <c r="AF9" s="9">
        <v>110.6</v>
      </c>
      <c r="AG9" s="9">
        <v>131.86539999999999</v>
      </c>
      <c r="AH9" s="9"/>
      <c r="AI9" s="9">
        <f t="shared" si="8"/>
        <v>80</v>
      </c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x14ac:dyDescent="0.25">
      <c r="A10" s="9" t="s">
        <v>42</v>
      </c>
      <c r="B10" s="9" t="s">
        <v>41</v>
      </c>
      <c r="C10" s="9">
        <v>206</v>
      </c>
      <c r="D10" s="9">
        <v>1390</v>
      </c>
      <c r="E10" s="9">
        <v>210</v>
      </c>
      <c r="F10" s="9">
        <v>89</v>
      </c>
      <c r="G10" s="7">
        <v>0.45</v>
      </c>
      <c r="H10" s="9">
        <v>45</v>
      </c>
      <c r="I10" s="9" t="s">
        <v>37</v>
      </c>
      <c r="J10" s="9"/>
      <c r="K10" s="9">
        <v>269</v>
      </c>
      <c r="L10" s="9">
        <f t="shared" si="2"/>
        <v>-59</v>
      </c>
      <c r="M10" s="9">
        <f t="shared" si="3"/>
        <v>210</v>
      </c>
      <c r="N10" s="9"/>
      <c r="O10" s="9">
        <v>280</v>
      </c>
      <c r="P10" s="9">
        <f t="shared" si="4"/>
        <v>42</v>
      </c>
      <c r="Q10" s="4">
        <f t="shared" si="9"/>
        <v>177</v>
      </c>
      <c r="R10" s="4">
        <f t="shared" si="10"/>
        <v>177</v>
      </c>
      <c r="S10" s="4"/>
      <c r="T10" s="4">
        <f t="shared" si="6"/>
        <v>177</v>
      </c>
      <c r="U10" s="4"/>
      <c r="V10" s="9"/>
      <c r="W10" s="9"/>
      <c r="X10" s="9">
        <f t="shared" si="7"/>
        <v>13</v>
      </c>
      <c r="Y10" s="9">
        <f t="shared" si="5"/>
        <v>8.7857142857142865</v>
      </c>
      <c r="Z10" s="9">
        <v>51.6</v>
      </c>
      <c r="AA10" s="9">
        <v>48</v>
      </c>
      <c r="AB10" s="9">
        <v>56.8</v>
      </c>
      <c r="AC10" s="9">
        <v>58.4</v>
      </c>
      <c r="AD10" s="9">
        <v>45.2</v>
      </c>
      <c r="AE10" s="9">
        <v>60.8</v>
      </c>
      <c r="AF10" s="9">
        <v>75</v>
      </c>
      <c r="AG10" s="9">
        <v>31</v>
      </c>
      <c r="AH10" s="9" t="s">
        <v>43</v>
      </c>
      <c r="AI10" s="9">
        <f t="shared" si="8"/>
        <v>80</v>
      </c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 x14ac:dyDescent="0.25">
      <c r="A11" s="9" t="s">
        <v>44</v>
      </c>
      <c r="B11" s="9" t="s">
        <v>41</v>
      </c>
      <c r="C11" s="9">
        <v>203</v>
      </c>
      <c r="D11" s="9">
        <v>1322</v>
      </c>
      <c r="E11" s="9">
        <v>226</v>
      </c>
      <c r="F11" s="10">
        <f>332-294</f>
        <v>38</v>
      </c>
      <c r="G11" s="7">
        <v>0.33</v>
      </c>
      <c r="H11" s="9">
        <v>45</v>
      </c>
      <c r="I11" s="9" t="s">
        <v>37</v>
      </c>
      <c r="J11" s="9"/>
      <c r="K11" s="9">
        <v>251</v>
      </c>
      <c r="L11" s="9">
        <f t="shared" si="2"/>
        <v>-25</v>
      </c>
      <c r="M11" s="9">
        <f t="shared" si="3"/>
        <v>226</v>
      </c>
      <c r="N11" s="9"/>
      <c r="O11" s="9">
        <v>70</v>
      </c>
      <c r="P11" s="9">
        <f t="shared" si="4"/>
        <v>45.2</v>
      </c>
      <c r="Q11" s="4">
        <f>10*P11-O11-F11</f>
        <v>344</v>
      </c>
      <c r="R11" s="4">
        <f t="shared" si="10"/>
        <v>344</v>
      </c>
      <c r="S11" s="4"/>
      <c r="T11" s="4">
        <f t="shared" si="6"/>
        <v>344</v>
      </c>
      <c r="U11" s="4"/>
      <c r="V11" s="9"/>
      <c r="W11" s="9"/>
      <c r="X11" s="9">
        <f t="shared" si="7"/>
        <v>10</v>
      </c>
      <c r="Y11" s="9">
        <f t="shared" si="5"/>
        <v>2.389380530973451</v>
      </c>
      <c r="Z11" s="9">
        <v>53.2</v>
      </c>
      <c r="AA11" s="9">
        <v>56.6</v>
      </c>
      <c r="AB11" s="9">
        <v>61.4</v>
      </c>
      <c r="AC11" s="9">
        <v>64.400000000000006</v>
      </c>
      <c r="AD11" s="9">
        <v>75.671599999999998</v>
      </c>
      <c r="AE11" s="9">
        <v>92.8</v>
      </c>
      <c r="AF11" s="9">
        <v>95</v>
      </c>
      <c r="AG11" s="9">
        <v>112</v>
      </c>
      <c r="AH11" s="10" t="s">
        <v>45</v>
      </c>
      <c r="AI11" s="9">
        <f t="shared" si="8"/>
        <v>114</v>
      </c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 x14ac:dyDescent="0.25">
      <c r="A12" s="9" t="s">
        <v>46</v>
      </c>
      <c r="B12" s="9" t="s">
        <v>41</v>
      </c>
      <c r="C12" s="9">
        <v>198</v>
      </c>
      <c r="D12" s="9">
        <v>621</v>
      </c>
      <c r="E12" s="9">
        <v>154</v>
      </c>
      <c r="F12" s="9">
        <v>35</v>
      </c>
      <c r="G12" s="7">
        <v>0.45</v>
      </c>
      <c r="H12" s="9">
        <v>45</v>
      </c>
      <c r="I12" s="9" t="s">
        <v>37</v>
      </c>
      <c r="J12" s="9"/>
      <c r="K12" s="9">
        <v>175</v>
      </c>
      <c r="L12" s="9">
        <f t="shared" si="2"/>
        <v>-21</v>
      </c>
      <c r="M12" s="9">
        <f t="shared" si="3"/>
        <v>154</v>
      </c>
      <c r="N12" s="9"/>
      <c r="O12" s="9">
        <v>230</v>
      </c>
      <c r="P12" s="9">
        <f t="shared" si="4"/>
        <v>30.8</v>
      </c>
      <c r="Q12" s="4">
        <f t="shared" si="9"/>
        <v>135.40000000000003</v>
      </c>
      <c r="R12" s="4">
        <f t="shared" si="10"/>
        <v>135.40000000000003</v>
      </c>
      <c r="S12" s="4"/>
      <c r="T12" s="4">
        <f t="shared" si="6"/>
        <v>135.40000000000003</v>
      </c>
      <c r="U12" s="4"/>
      <c r="V12" s="9"/>
      <c r="W12" s="9"/>
      <c r="X12" s="9">
        <f t="shared" si="7"/>
        <v>13</v>
      </c>
      <c r="Y12" s="9">
        <f t="shared" si="5"/>
        <v>8.603896103896103</v>
      </c>
      <c r="Z12" s="9">
        <v>36.200000000000003</v>
      </c>
      <c r="AA12" s="9">
        <v>32</v>
      </c>
      <c r="AB12" s="9">
        <v>43.2</v>
      </c>
      <c r="AC12" s="9">
        <v>39.799999999999997</v>
      </c>
      <c r="AD12" s="9">
        <v>45.6</v>
      </c>
      <c r="AE12" s="9">
        <v>53</v>
      </c>
      <c r="AF12" s="9">
        <v>53.8</v>
      </c>
      <c r="AG12" s="9">
        <v>30.6</v>
      </c>
      <c r="AH12" s="9" t="s">
        <v>43</v>
      </c>
      <c r="AI12" s="9">
        <f t="shared" si="8"/>
        <v>61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x14ac:dyDescent="0.25">
      <c r="A13" s="18" t="s">
        <v>47</v>
      </c>
      <c r="B13" s="18" t="s">
        <v>41</v>
      </c>
      <c r="C13" s="18"/>
      <c r="D13" s="18"/>
      <c r="E13" s="18"/>
      <c r="F13" s="18"/>
      <c r="G13" s="19">
        <v>0</v>
      </c>
      <c r="H13" s="18">
        <v>40</v>
      </c>
      <c r="I13" s="18" t="s">
        <v>37</v>
      </c>
      <c r="J13" s="18"/>
      <c r="K13" s="18"/>
      <c r="L13" s="18">
        <f t="shared" si="2"/>
        <v>0</v>
      </c>
      <c r="M13" s="18">
        <f t="shared" si="3"/>
        <v>0</v>
      </c>
      <c r="N13" s="18"/>
      <c r="O13" s="18"/>
      <c r="P13" s="18">
        <f t="shared" si="4"/>
        <v>0</v>
      </c>
      <c r="Q13" s="20"/>
      <c r="R13" s="20"/>
      <c r="S13" s="20"/>
      <c r="T13" s="20"/>
      <c r="U13" s="20"/>
      <c r="V13" s="18"/>
      <c r="W13" s="18"/>
      <c r="X13" s="9" t="e">
        <f t="shared" si="7"/>
        <v>#DIV/0!</v>
      </c>
      <c r="Y13" s="18" t="e">
        <f t="shared" si="5"/>
        <v>#DIV/0!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 t="s">
        <v>48</v>
      </c>
      <c r="AI13" s="18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 x14ac:dyDescent="0.25">
      <c r="A14" s="9" t="s">
        <v>49</v>
      </c>
      <c r="B14" s="9" t="s">
        <v>41</v>
      </c>
      <c r="C14" s="9">
        <v>8</v>
      </c>
      <c r="D14" s="9">
        <v>105</v>
      </c>
      <c r="E14" s="9">
        <v>33</v>
      </c>
      <c r="F14" s="9">
        <v>35</v>
      </c>
      <c r="G14" s="7">
        <v>0.4</v>
      </c>
      <c r="H14" s="9" t="e">
        <v>#N/A</v>
      </c>
      <c r="I14" s="9" t="s">
        <v>37</v>
      </c>
      <c r="J14" s="9"/>
      <c r="K14" s="9">
        <v>34</v>
      </c>
      <c r="L14" s="9">
        <f t="shared" si="2"/>
        <v>-1</v>
      </c>
      <c r="M14" s="9">
        <f t="shared" si="3"/>
        <v>33</v>
      </c>
      <c r="N14" s="9"/>
      <c r="O14" s="9"/>
      <c r="P14" s="9">
        <f t="shared" si="4"/>
        <v>6.6</v>
      </c>
      <c r="Q14" s="4">
        <f t="shared" ref="Q14:Q75" si="11">13*P14-O14-F14</f>
        <v>50.8</v>
      </c>
      <c r="R14" s="4">
        <f t="shared" ref="R14:R75" si="12">Q14</f>
        <v>50.8</v>
      </c>
      <c r="S14" s="4"/>
      <c r="T14" s="4">
        <f t="shared" ref="T14:T75" si="13">S14+R14</f>
        <v>50.8</v>
      </c>
      <c r="U14" s="4"/>
      <c r="V14" s="9"/>
      <c r="W14" s="9"/>
      <c r="X14" s="9">
        <f t="shared" si="7"/>
        <v>13</v>
      </c>
      <c r="Y14" s="9">
        <f t="shared" si="5"/>
        <v>5.3030303030303036</v>
      </c>
      <c r="Z14" s="9">
        <v>5.2</v>
      </c>
      <c r="AA14" s="9">
        <v>7.2</v>
      </c>
      <c r="AB14" s="9">
        <v>3.8</v>
      </c>
      <c r="AC14" s="9">
        <v>8.1999999999999993</v>
      </c>
      <c r="AD14" s="9">
        <v>0</v>
      </c>
      <c r="AE14" s="9">
        <v>6.6</v>
      </c>
      <c r="AF14" s="9">
        <v>0</v>
      </c>
      <c r="AG14" s="9">
        <v>1.4</v>
      </c>
      <c r="AH14" s="9" t="s">
        <v>43</v>
      </c>
      <c r="AI14" s="9">
        <f t="shared" ref="AI14:AI75" si="14">ROUND(G14*T14,0)</f>
        <v>20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x14ac:dyDescent="0.25">
      <c r="A15" s="9" t="s">
        <v>50</v>
      </c>
      <c r="B15" s="9" t="s">
        <v>41</v>
      </c>
      <c r="C15" s="9">
        <v>78</v>
      </c>
      <c r="D15" s="9">
        <v>35</v>
      </c>
      <c r="E15" s="9">
        <v>69</v>
      </c>
      <c r="F15" s="9">
        <v>4</v>
      </c>
      <c r="G15" s="7">
        <v>0.17</v>
      </c>
      <c r="H15" s="9">
        <v>180</v>
      </c>
      <c r="I15" s="9" t="s">
        <v>37</v>
      </c>
      <c r="J15" s="9"/>
      <c r="K15" s="9">
        <v>75</v>
      </c>
      <c r="L15" s="9">
        <f t="shared" si="2"/>
        <v>-6</v>
      </c>
      <c r="M15" s="9">
        <f t="shared" si="3"/>
        <v>69</v>
      </c>
      <c r="N15" s="9"/>
      <c r="O15" s="9">
        <v>30</v>
      </c>
      <c r="P15" s="9">
        <f t="shared" si="4"/>
        <v>13.8</v>
      </c>
      <c r="Q15" s="4">
        <f>10*P15-O15-F15</f>
        <v>104</v>
      </c>
      <c r="R15" s="4">
        <f>U15</f>
        <v>200</v>
      </c>
      <c r="S15" s="4"/>
      <c r="T15" s="4">
        <f t="shared" si="13"/>
        <v>200</v>
      </c>
      <c r="U15" s="4">
        <v>200</v>
      </c>
      <c r="V15" s="9" t="s">
        <v>167</v>
      </c>
      <c r="W15" s="9"/>
      <c r="X15" s="9">
        <f t="shared" si="7"/>
        <v>16.956521739130434</v>
      </c>
      <c r="Y15" s="9">
        <f t="shared" si="5"/>
        <v>2.4637681159420288</v>
      </c>
      <c r="Z15" s="9">
        <v>10.8</v>
      </c>
      <c r="AA15" s="9">
        <v>13.6</v>
      </c>
      <c r="AB15" s="9">
        <v>14.2</v>
      </c>
      <c r="AC15" s="9">
        <v>16.8</v>
      </c>
      <c r="AD15" s="9">
        <v>13.6</v>
      </c>
      <c r="AE15" s="9">
        <v>18</v>
      </c>
      <c r="AF15" s="9">
        <v>18.2</v>
      </c>
      <c r="AG15" s="9">
        <v>23.8</v>
      </c>
      <c r="AH15" s="9"/>
      <c r="AI15" s="9">
        <f t="shared" si="14"/>
        <v>34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x14ac:dyDescent="0.25">
      <c r="A16" s="9" t="s">
        <v>51</v>
      </c>
      <c r="B16" s="9" t="s">
        <v>41</v>
      </c>
      <c r="C16" s="9">
        <v>132</v>
      </c>
      <c r="D16" s="9">
        <v>233</v>
      </c>
      <c r="E16" s="9">
        <v>168</v>
      </c>
      <c r="F16" s="9">
        <v>56</v>
      </c>
      <c r="G16" s="7">
        <v>0.3</v>
      </c>
      <c r="H16" s="9">
        <v>40</v>
      </c>
      <c r="I16" s="9" t="s">
        <v>37</v>
      </c>
      <c r="J16" s="9"/>
      <c r="K16" s="9">
        <v>186</v>
      </c>
      <c r="L16" s="9">
        <f t="shared" si="2"/>
        <v>-18</v>
      </c>
      <c r="M16" s="9">
        <f t="shared" si="3"/>
        <v>168</v>
      </c>
      <c r="N16" s="9"/>
      <c r="O16" s="9">
        <v>320</v>
      </c>
      <c r="P16" s="9">
        <f t="shared" si="4"/>
        <v>33.6</v>
      </c>
      <c r="Q16" s="4">
        <f t="shared" si="11"/>
        <v>60.800000000000011</v>
      </c>
      <c r="R16" s="4">
        <f t="shared" si="12"/>
        <v>60.800000000000011</v>
      </c>
      <c r="S16" s="4"/>
      <c r="T16" s="4">
        <f t="shared" si="13"/>
        <v>60.800000000000011</v>
      </c>
      <c r="U16" s="4"/>
      <c r="V16" s="9"/>
      <c r="W16" s="9"/>
      <c r="X16" s="9">
        <f t="shared" si="7"/>
        <v>13</v>
      </c>
      <c r="Y16" s="9">
        <f t="shared" si="5"/>
        <v>11.19047619047619</v>
      </c>
      <c r="Z16" s="9">
        <v>45.4</v>
      </c>
      <c r="AA16" s="9">
        <v>37.200000000000003</v>
      </c>
      <c r="AB16" s="9">
        <v>45.8</v>
      </c>
      <c r="AC16" s="9">
        <v>42</v>
      </c>
      <c r="AD16" s="9">
        <v>39.200000000000003</v>
      </c>
      <c r="AE16" s="9">
        <v>49.8</v>
      </c>
      <c r="AF16" s="9">
        <v>45.2</v>
      </c>
      <c r="AG16" s="9">
        <v>49.4</v>
      </c>
      <c r="AH16" s="9"/>
      <c r="AI16" s="9">
        <f t="shared" si="14"/>
        <v>18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x14ac:dyDescent="0.25">
      <c r="A17" s="9" t="s">
        <v>52</v>
      </c>
      <c r="B17" s="9" t="s">
        <v>41</v>
      </c>
      <c r="C17" s="9">
        <v>26</v>
      </c>
      <c r="D17" s="9">
        <v>23</v>
      </c>
      <c r="E17" s="9">
        <v>11</v>
      </c>
      <c r="F17" s="9">
        <v>13</v>
      </c>
      <c r="G17" s="7">
        <v>0.4</v>
      </c>
      <c r="H17" s="9" t="e">
        <v>#N/A</v>
      </c>
      <c r="I17" s="9" t="s">
        <v>37</v>
      </c>
      <c r="J17" s="9"/>
      <c r="K17" s="9">
        <v>11</v>
      </c>
      <c r="L17" s="9">
        <f t="shared" si="2"/>
        <v>0</v>
      </c>
      <c r="M17" s="9">
        <f t="shared" si="3"/>
        <v>11</v>
      </c>
      <c r="N17" s="9"/>
      <c r="O17" s="9"/>
      <c r="P17" s="9">
        <f t="shared" si="4"/>
        <v>2.2000000000000002</v>
      </c>
      <c r="Q17" s="4">
        <f t="shared" si="11"/>
        <v>15.600000000000001</v>
      </c>
      <c r="R17" s="4">
        <f t="shared" si="12"/>
        <v>15.600000000000001</v>
      </c>
      <c r="S17" s="4"/>
      <c r="T17" s="4">
        <f t="shared" si="13"/>
        <v>15.600000000000001</v>
      </c>
      <c r="U17" s="4"/>
      <c r="V17" s="9"/>
      <c r="W17" s="9"/>
      <c r="X17" s="9">
        <f t="shared" si="7"/>
        <v>13</v>
      </c>
      <c r="Y17" s="9">
        <f t="shared" si="5"/>
        <v>5.9090909090909083</v>
      </c>
      <c r="Z17" s="9">
        <v>1.4</v>
      </c>
      <c r="AA17" s="9">
        <v>1.4</v>
      </c>
      <c r="AB17" s="9">
        <v>3</v>
      </c>
      <c r="AC17" s="9">
        <v>3.8</v>
      </c>
      <c r="AD17" s="9">
        <v>1.4</v>
      </c>
      <c r="AE17" s="9">
        <v>4</v>
      </c>
      <c r="AF17" s="9">
        <v>2.4</v>
      </c>
      <c r="AG17" s="9">
        <v>1</v>
      </c>
      <c r="AH17" s="23" t="s">
        <v>43</v>
      </c>
      <c r="AI17" s="9">
        <f t="shared" si="14"/>
        <v>6</v>
      </c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x14ac:dyDescent="0.25">
      <c r="A18" s="9" t="s">
        <v>53</v>
      </c>
      <c r="B18" s="9" t="s">
        <v>41</v>
      </c>
      <c r="C18" s="9">
        <v>62</v>
      </c>
      <c r="D18" s="9">
        <v>158</v>
      </c>
      <c r="E18" s="9">
        <v>60</v>
      </c>
      <c r="F18" s="9"/>
      <c r="G18" s="7">
        <v>0.35</v>
      </c>
      <c r="H18" s="9">
        <v>40</v>
      </c>
      <c r="I18" s="9" t="s">
        <v>37</v>
      </c>
      <c r="J18" s="9"/>
      <c r="K18" s="9">
        <v>82</v>
      </c>
      <c r="L18" s="9">
        <f t="shared" si="2"/>
        <v>-22</v>
      </c>
      <c r="M18" s="9">
        <f t="shared" si="3"/>
        <v>60</v>
      </c>
      <c r="N18" s="9"/>
      <c r="O18" s="9">
        <v>100</v>
      </c>
      <c r="P18" s="9">
        <f t="shared" si="4"/>
        <v>12</v>
      </c>
      <c r="Q18" s="4">
        <f t="shared" si="11"/>
        <v>56</v>
      </c>
      <c r="R18" s="4">
        <f t="shared" ref="R18:R19" si="15">U18</f>
        <v>130</v>
      </c>
      <c r="S18" s="4"/>
      <c r="T18" s="4">
        <f t="shared" si="13"/>
        <v>130</v>
      </c>
      <c r="U18" s="4">
        <v>130</v>
      </c>
      <c r="V18" s="9" t="s">
        <v>167</v>
      </c>
      <c r="W18" s="9"/>
      <c r="X18" s="9">
        <f t="shared" si="7"/>
        <v>19.166666666666668</v>
      </c>
      <c r="Y18" s="9">
        <f t="shared" si="5"/>
        <v>8.3333333333333339</v>
      </c>
      <c r="Z18" s="9">
        <v>13.6</v>
      </c>
      <c r="AA18" s="9">
        <v>-0.4</v>
      </c>
      <c r="AB18" s="9">
        <v>10.8</v>
      </c>
      <c r="AC18" s="9">
        <v>3.4</v>
      </c>
      <c r="AD18" s="9">
        <v>6</v>
      </c>
      <c r="AE18" s="9">
        <v>3.6</v>
      </c>
      <c r="AF18" s="9">
        <v>3.6</v>
      </c>
      <c r="AG18" s="9">
        <v>1.8</v>
      </c>
      <c r="AH18" s="9" t="s">
        <v>43</v>
      </c>
      <c r="AI18" s="9">
        <f t="shared" si="14"/>
        <v>46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x14ac:dyDescent="0.25">
      <c r="A19" s="9" t="s">
        <v>54</v>
      </c>
      <c r="B19" s="9" t="s">
        <v>41</v>
      </c>
      <c r="C19" s="9">
        <v>113</v>
      </c>
      <c r="D19" s="9">
        <v>375</v>
      </c>
      <c r="E19" s="9">
        <v>125</v>
      </c>
      <c r="F19" s="9">
        <v>30</v>
      </c>
      <c r="G19" s="7">
        <v>0.17</v>
      </c>
      <c r="H19" s="9">
        <v>180</v>
      </c>
      <c r="I19" s="9" t="s">
        <v>37</v>
      </c>
      <c r="J19" s="9"/>
      <c r="K19" s="9">
        <v>163</v>
      </c>
      <c r="L19" s="9">
        <f t="shared" si="2"/>
        <v>-38</v>
      </c>
      <c r="M19" s="9">
        <f t="shared" si="3"/>
        <v>125</v>
      </c>
      <c r="N19" s="9"/>
      <c r="O19" s="9">
        <v>150</v>
      </c>
      <c r="P19" s="9">
        <f t="shared" si="4"/>
        <v>25</v>
      </c>
      <c r="Q19" s="4">
        <f t="shared" si="11"/>
        <v>145</v>
      </c>
      <c r="R19" s="4">
        <f t="shared" si="15"/>
        <v>200</v>
      </c>
      <c r="S19" s="4"/>
      <c r="T19" s="4">
        <f t="shared" si="13"/>
        <v>200</v>
      </c>
      <c r="U19" s="4">
        <v>200</v>
      </c>
      <c r="V19" s="9" t="s">
        <v>167</v>
      </c>
      <c r="W19" s="9"/>
      <c r="X19" s="9">
        <f t="shared" si="7"/>
        <v>15.2</v>
      </c>
      <c r="Y19" s="9">
        <f t="shared" si="5"/>
        <v>7.2</v>
      </c>
      <c r="Z19" s="9">
        <v>20.6</v>
      </c>
      <c r="AA19" s="9">
        <v>19.399999999999999</v>
      </c>
      <c r="AB19" s="9">
        <v>23.2</v>
      </c>
      <c r="AC19" s="9">
        <v>24.6</v>
      </c>
      <c r="AD19" s="9">
        <v>21</v>
      </c>
      <c r="AE19" s="9">
        <v>31</v>
      </c>
      <c r="AF19" s="9">
        <v>24.6</v>
      </c>
      <c r="AG19" s="9">
        <v>32.4</v>
      </c>
      <c r="AH19" s="9"/>
      <c r="AI19" s="9">
        <f t="shared" si="14"/>
        <v>34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x14ac:dyDescent="0.25">
      <c r="A20" s="9" t="s">
        <v>55</v>
      </c>
      <c r="B20" s="9" t="s">
        <v>41</v>
      </c>
      <c r="C20" s="9">
        <v>6</v>
      </c>
      <c r="D20" s="9">
        <v>9</v>
      </c>
      <c r="E20" s="9">
        <v>4</v>
      </c>
      <c r="F20" s="9">
        <v>7</v>
      </c>
      <c r="G20" s="7">
        <v>0.35</v>
      </c>
      <c r="H20" s="9" t="e">
        <v>#N/A</v>
      </c>
      <c r="I20" s="9" t="s">
        <v>37</v>
      </c>
      <c r="J20" s="9"/>
      <c r="K20" s="9">
        <v>5</v>
      </c>
      <c r="L20" s="9">
        <f t="shared" si="2"/>
        <v>-1</v>
      </c>
      <c r="M20" s="9">
        <f t="shared" si="3"/>
        <v>4</v>
      </c>
      <c r="N20" s="9"/>
      <c r="O20" s="9">
        <v>6</v>
      </c>
      <c r="P20" s="9">
        <f t="shared" si="4"/>
        <v>0.8</v>
      </c>
      <c r="Q20" s="4"/>
      <c r="R20" s="4">
        <f t="shared" si="12"/>
        <v>0</v>
      </c>
      <c r="S20" s="4"/>
      <c r="T20" s="4">
        <f t="shared" si="13"/>
        <v>0</v>
      </c>
      <c r="U20" s="4"/>
      <c r="V20" s="9"/>
      <c r="W20" s="9"/>
      <c r="X20" s="9">
        <f t="shared" si="7"/>
        <v>16.25</v>
      </c>
      <c r="Y20" s="9">
        <f t="shared" si="5"/>
        <v>16.25</v>
      </c>
      <c r="Z20" s="9">
        <v>1.4</v>
      </c>
      <c r="AA20" s="9">
        <v>1.4</v>
      </c>
      <c r="AB20" s="9">
        <v>1.6</v>
      </c>
      <c r="AC20" s="9">
        <v>2.8</v>
      </c>
      <c r="AD20" s="9">
        <v>0</v>
      </c>
      <c r="AE20" s="9">
        <v>4.4000000000000004</v>
      </c>
      <c r="AF20" s="9">
        <v>0</v>
      </c>
      <c r="AG20" s="9">
        <v>0.8</v>
      </c>
      <c r="AH20" s="9" t="s">
        <v>56</v>
      </c>
      <c r="AI20" s="9">
        <f t="shared" si="14"/>
        <v>0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x14ac:dyDescent="0.25">
      <c r="A21" s="9" t="s">
        <v>57</v>
      </c>
      <c r="B21" s="9" t="s">
        <v>36</v>
      </c>
      <c r="C21" s="9">
        <v>8.5069999999999997</v>
      </c>
      <c r="D21" s="9">
        <v>48.609000000000002</v>
      </c>
      <c r="E21" s="9">
        <v>23.715</v>
      </c>
      <c r="F21" s="9"/>
      <c r="G21" s="7">
        <v>1</v>
      </c>
      <c r="H21" s="9">
        <v>55</v>
      </c>
      <c r="I21" s="9" t="s">
        <v>37</v>
      </c>
      <c r="J21" s="9"/>
      <c r="K21" s="9">
        <v>33.39</v>
      </c>
      <c r="L21" s="9">
        <f t="shared" si="2"/>
        <v>-9.6750000000000007</v>
      </c>
      <c r="M21" s="9">
        <f t="shared" si="3"/>
        <v>18.452999999999999</v>
      </c>
      <c r="N21" s="9">
        <v>5.2619999999999996</v>
      </c>
      <c r="O21" s="9">
        <v>130</v>
      </c>
      <c r="P21" s="9">
        <f t="shared" si="4"/>
        <v>3.6905999999999999</v>
      </c>
      <c r="Q21" s="4"/>
      <c r="R21" s="4">
        <f t="shared" si="12"/>
        <v>0</v>
      </c>
      <c r="S21" s="4"/>
      <c r="T21" s="4">
        <f t="shared" si="13"/>
        <v>0</v>
      </c>
      <c r="U21" s="4"/>
      <c r="V21" s="9"/>
      <c r="W21" s="9"/>
      <c r="X21" s="9">
        <f t="shared" si="7"/>
        <v>35.224624722267386</v>
      </c>
      <c r="Y21" s="9">
        <f t="shared" si="5"/>
        <v>35.224624722267386</v>
      </c>
      <c r="Z21" s="9">
        <v>13.3066</v>
      </c>
      <c r="AA21" s="9">
        <v>6.6772000000000009</v>
      </c>
      <c r="AB21" s="9">
        <v>8.468</v>
      </c>
      <c r="AC21" s="9">
        <v>3.3534000000000002</v>
      </c>
      <c r="AD21" s="9">
        <v>11.230399999999999</v>
      </c>
      <c r="AE21" s="9">
        <v>9.5751999999999988</v>
      </c>
      <c r="AF21" s="9">
        <v>11.478</v>
      </c>
      <c r="AG21" s="9">
        <v>9.0327999999999999</v>
      </c>
      <c r="AH21" s="9"/>
      <c r="AI21" s="9">
        <f t="shared" si="14"/>
        <v>0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x14ac:dyDescent="0.25">
      <c r="A22" s="23" t="s">
        <v>58</v>
      </c>
      <c r="B22" s="9" t="s">
        <v>36</v>
      </c>
      <c r="C22" s="9">
        <v>4189.5479999999998</v>
      </c>
      <c r="D22" s="9">
        <v>882.28200000000004</v>
      </c>
      <c r="E22" s="9">
        <v>2181.5509999999999</v>
      </c>
      <c r="F22" s="9">
        <v>2083.4299999999998</v>
      </c>
      <c r="G22" s="7">
        <v>1</v>
      </c>
      <c r="H22" s="9">
        <v>50</v>
      </c>
      <c r="I22" s="13" t="s">
        <v>59</v>
      </c>
      <c r="J22" s="9"/>
      <c r="K22" s="9">
        <v>940.21600000000001</v>
      </c>
      <c r="L22" s="9">
        <f t="shared" si="2"/>
        <v>1241.335</v>
      </c>
      <c r="M22" s="9">
        <f t="shared" si="3"/>
        <v>630.52199999999993</v>
      </c>
      <c r="N22" s="9">
        <v>1551.029</v>
      </c>
      <c r="O22" s="9"/>
      <c r="P22" s="9">
        <f t="shared" si="4"/>
        <v>126.10439999999998</v>
      </c>
      <c r="Q22" s="4"/>
      <c r="R22" s="4">
        <f t="shared" si="12"/>
        <v>0</v>
      </c>
      <c r="S22" s="4"/>
      <c r="T22" s="4">
        <f t="shared" si="13"/>
        <v>0</v>
      </c>
      <c r="U22" s="4"/>
      <c r="V22" s="9"/>
      <c r="W22" s="9"/>
      <c r="X22" s="9">
        <f t="shared" si="7"/>
        <v>16.521469512562607</v>
      </c>
      <c r="Y22" s="9">
        <f t="shared" si="5"/>
        <v>16.521469512562607</v>
      </c>
      <c r="Z22" s="9">
        <v>142.0652</v>
      </c>
      <c r="AA22" s="9">
        <v>118.2788</v>
      </c>
      <c r="AB22" s="9">
        <v>377.36439999999999</v>
      </c>
      <c r="AC22" s="9">
        <v>238.64619999999999</v>
      </c>
      <c r="AD22" s="9">
        <v>253.4066</v>
      </c>
      <c r="AE22" s="9">
        <v>305.4674</v>
      </c>
      <c r="AF22" s="9">
        <v>266.25979999999998</v>
      </c>
      <c r="AG22" s="9">
        <v>503.15219999999999</v>
      </c>
      <c r="AH22" s="14" t="s">
        <v>60</v>
      </c>
      <c r="AI22" s="9">
        <f t="shared" si="14"/>
        <v>0</v>
      </c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x14ac:dyDescent="0.25">
      <c r="A23" s="9" t="s">
        <v>61</v>
      </c>
      <c r="B23" s="9" t="s">
        <v>36</v>
      </c>
      <c r="C23" s="9">
        <v>46.511000000000003</v>
      </c>
      <c r="D23" s="9">
        <v>88.947999999999993</v>
      </c>
      <c r="E23" s="9">
        <v>41.445</v>
      </c>
      <c r="F23" s="9"/>
      <c r="G23" s="7">
        <v>1</v>
      </c>
      <c r="H23" s="9">
        <v>60</v>
      </c>
      <c r="I23" s="9" t="s">
        <v>37</v>
      </c>
      <c r="J23" s="9"/>
      <c r="K23" s="9">
        <v>54.286000000000001</v>
      </c>
      <c r="L23" s="9">
        <f t="shared" si="2"/>
        <v>-12.841000000000001</v>
      </c>
      <c r="M23" s="9">
        <f t="shared" si="3"/>
        <v>30.811</v>
      </c>
      <c r="N23" s="9">
        <v>10.634</v>
      </c>
      <c r="O23" s="9">
        <v>70</v>
      </c>
      <c r="P23" s="9">
        <f t="shared" si="4"/>
        <v>6.1622000000000003</v>
      </c>
      <c r="Q23" s="4">
        <f t="shared" si="11"/>
        <v>10.10860000000001</v>
      </c>
      <c r="R23" s="4">
        <f>U23</f>
        <v>30</v>
      </c>
      <c r="S23" s="4"/>
      <c r="T23" s="4">
        <f t="shared" si="13"/>
        <v>30</v>
      </c>
      <c r="U23" s="4">
        <v>30</v>
      </c>
      <c r="V23" s="9" t="s">
        <v>167</v>
      </c>
      <c r="W23" s="9"/>
      <c r="X23" s="9">
        <f t="shared" si="7"/>
        <v>16.227970530005518</v>
      </c>
      <c r="Y23" s="9">
        <f t="shared" si="5"/>
        <v>11.359579371003862</v>
      </c>
      <c r="Z23" s="9">
        <v>9.7728000000000002</v>
      </c>
      <c r="AA23" s="9">
        <v>4.3704000000000001</v>
      </c>
      <c r="AB23" s="9">
        <v>7.8529999999999998</v>
      </c>
      <c r="AC23" s="9">
        <v>6.1457999999999986</v>
      </c>
      <c r="AD23" s="9">
        <v>4.4868000000000006</v>
      </c>
      <c r="AE23" s="9">
        <v>6.3857999999999997</v>
      </c>
      <c r="AF23" s="9">
        <v>7.530800000000001</v>
      </c>
      <c r="AG23" s="9">
        <v>6.8902000000000001</v>
      </c>
      <c r="AH23" s="9"/>
      <c r="AI23" s="9">
        <f t="shared" si="14"/>
        <v>30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x14ac:dyDescent="0.25">
      <c r="A24" s="9" t="s">
        <v>62</v>
      </c>
      <c r="B24" s="9" t="s">
        <v>36</v>
      </c>
      <c r="C24" s="9">
        <v>2007.74</v>
      </c>
      <c r="D24" s="9">
        <v>2299.123</v>
      </c>
      <c r="E24" s="22">
        <f>516.989+E115</f>
        <v>734.88499999999999</v>
      </c>
      <c r="F24" s="22">
        <f>600+F115</f>
        <v>827.55600000000004</v>
      </c>
      <c r="G24" s="7">
        <v>1</v>
      </c>
      <c r="H24" s="9">
        <v>60</v>
      </c>
      <c r="I24" s="13" t="s">
        <v>59</v>
      </c>
      <c r="J24" s="9"/>
      <c r="K24" s="9">
        <v>661.30600000000004</v>
      </c>
      <c r="L24" s="9">
        <f t="shared" si="2"/>
        <v>73.578999999999951</v>
      </c>
      <c r="M24" s="9">
        <f t="shared" si="3"/>
        <v>660.55700000000002</v>
      </c>
      <c r="N24" s="9">
        <v>74.328000000000003</v>
      </c>
      <c r="O24" s="9">
        <v>300</v>
      </c>
      <c r="P24" s="9">
        <f t="shared" si="4"/>
        <v>132.1114</v>
      </c>
      <c r="Q24" s="4">
        <f>14*P24-O24-F24</f>
        <v>722.00360000000001</v>
      </c>
      <c r="R24" s="4">
        <f t="shared" si="12"/>
        <v>722.00360000000001</v>
      </c>
      <c r="S24" s="4"/>
      <c r="T24" s="4">
        <f t="shared" si="13"/>
        <v>722.00360000000001</v>
      </c>
      <c r="U24" s="4"/>
      <c r="V24" s="9"/>
      <c r="W24" s="9"/>
      <c r="X24" s="9">
        <f t="shared" si="7"/>
        <v>14</v>
      </c>
      <c r="Y24" s="9">
        <f t="shared" si="5"/>
        <v>8.534887980900967</v>
      </c>
      <c r="Z24" s="9">
        <v>146.00540000000001</v>
      </c>
      <c r="AA24" s="9">
        <v>121.8964</v>
      </c>
      <c r="AB24" s="9">
        <v>173.1086</v>
      </c>
      <c r="AC24" s="9">
        <v>180.24780000000001</v>
      </c>
      <c r="AD24" s="9">
        <v>220.227</v>
      </c>
      <c r="AE24" s="9">
        <v>241.9282</v>
      </c>
      <c r="AF24" s="9">
        <v>295.30180000000001</v>
      </c>
      <c r="AG24" s="9">
        <v>351.5086</v>
      </c>
      <c r="AH24" s="9"/>
      <c r="AI24" s="9">
        <f t="shared" si="14"/>
        <v>722</v>
      </c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x14ac:dyDescent="0.25">
      <c r="A25" s="9" t="s">
        <v>63</v>
      </c>
      <c r="B25" s="9" t="s">
        <v>36</v>
      </c>
      <c r="C25" s="9">
        <v>10.159000000000001</v>
      </c>
      <c r="D25" s="9">
        <v>7.0460000000000003</v>
      </c>
      <c r="E25" s="9">
        <v>4.3540000000000001</v>
      </c>
      <c r="F25" s="9">
        <v>5.5030000000000001</v>
      </c>
      <c r="G25" s="7">
        <v>1</v>
      </c>
      <c r="H25" s="9">
        <v>180</v>
      </c>
      <c r="I25" s="9" t="s">
        <v>37</v>
      </c>
      <c r="J25" s="9"/>
      <c r="K25" s="9">
        <v>4.82</v>
      </c>
      <c r="L25" s="9">
        <f t="shared" si="2"/>
        <v>-0.46600000000000019</v>
      </c>
      <c r="M25" s="9">
        <f t="shared" si="3"/>
        <v>4.3540000000000001</v>
      </c>
      <c r="N25" s="9"/>
      <c r="O25" s="9">
        <v>4</v>
      </c>
      <c r="P25" s="9">
        <f t="shared" si="4"/>
        <v>0.87080000000000002</v>
      </c>
      <c r="Q25" s="4">
        <v>4</v>
      </c>
      <c r="R25" s="4">
        <f>U25</f>
        <v>50</v>
      </c>
      <c r="S25" s="4"/>
      <c r="T25" s="4">
        <f t="shared" si="13"/>
        <v>50</v>
      </c>
      <c r="U25" s="4">
        <v>50</v>
      </c>
      <c r="V25" s="9" t="s">
        <v>167</v>
      </c>
      <c r="W25" s="9"/>
      <c r="X25" s="9">
        <f t="shared" si="7"/>
        <v>68.331419384474046</v>
      </c>
      <c r="Y25" s="9">
        <f t="shared" si="5"/>
        <v>10.91295360587965</v>
      </c>
      <c r="Z25" s="9">
        <v>0.87240000000000006</v>
      </c>
      <c r="AA25" s="9">
        <v>0.72220000000000006</v>
      </c>
      <c r="AB25" s="9">
        <v>0.58600000000000008</v>
      </c>
      <c r="AC25" s="9">
        <v>1.2427999999999999</v>
      </c>
      <c r="AD25" s="9">
        <v>0.94420000000000004</v>
      </c>
      <c r="AE25" s="9">
        <v>0</v>
      </c>
      <c r="AF25" s="9">
        <v>2.9472</v>
      </c>
      <c r="AG25" s="9">
        <v>0</v>
      </c>
      <c r="AH25" s="9"/>
      <c r="AI25" s="9">
        <f t="shared" si="14"/>
        <v>50</v>
      </c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x14ac:dyDescent="0.25">
      <c r="A26" s="9" t="s">
        <v>64</v>
      </c>
      <c r="B26" s="9" t="s">
        <v>36</v>
      </c>
      <c r="C26" s="9">
        <v>7.8680000000000003</v>
      </c>
      <c r="D26" s="9">
        <v>55.33</v>
      </c>
      <c r="E26" s="9">
        <v>7.0090000000000003</v>
      </c>
      <c r="F26" s="9">
        <v>37.552</v>
      </c>
      <c r="G26" s="7">
        <v>1</v>
      </c>
      <c r="H26" s="9">
        <v>60</v>
      </c>
      <c r="I26" s="9" t="s">
        <v>37</v>
      </c>
      <c r="J26" s="9"/>
      <c r="K26" s="9">
        <v>6.2</v>
      </c>
      <c r="L26" s="9">
        <f t="shared" si="2"/>
        <v>0.80900000000000016</v>
      </c>
      <c r="M26" s="9">
        <f t="shared" si="3"/>
        <v>7.0090000000000003</v>
      </c>
      <c r="N26" s="9"/>
      <c r="O26" s="9">
        <v>10</v>
      </c>
      <c r="P26" s="9">
        <f t="shared" si="4"/>
        <v>1.4018000000000002</v>
      </c>
      <c r="Q26" s="4"/>
      <c r="R26" s="4">
        <f t="shared" si="12"/>
        <v>0</v>
      </c>
      <c r="S26" s="4"/>
      <c r="T26" s="4">
        <f t="shared" si="13"/>
        <v>0</v>
      </c>
      <c r="U26" s="4"/>
      <c r="V26" s="9"/>
      <c r="W26" s="9"/>
      <c r="X26" s="9">
        <f t="shared" si="7"/>
        <v>33.92210015694107</v>
      </c>
      <c r="Y26" s="9">
        <f t="shared" si="5"/>
        <v>33.92210015694107</v>
      </c>
      <c r="Z26" s="9">
        <v>4.0380000000000003</v>
      </c>
      <c r="AA26" s="9">
        <v>4.7572000000000001</v>
      </c>
      <c r="AB26" s="9">
        <v>3.8738000000000001</v>
      </c>
      <c r="AC26" s="9">
        <v>3.3435999999999999</v>
      </c>
      <c r="AD26" s="9">
        <v>4.9314</v>
      </c>
      <c r="AE26" s="9">
        <v>2.4542000000000002</v>
      </c>
      <c r="AF26" s="9">
        <v>5.3697999999999997</v>
      </c>
      <c r="AG26" s="9">
        <v>6.4955999999999996</v>
      </c>
      <c r="AH26" s="9"/>
      <c r="AI26" s="9">
        <f t="shared" si="14"/>
        <v>0</v>
      </c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x14ac:dyDescent="0.25">
      <c r="A27" s="9" t="s">
        <v>65</v>
      </c>
      <c r="B27" s="9" t="s">
        <v>36</v>
      </c>
      <c r="C27" s="9">
        <v>1.4279999999999999</v>
      </c>
      <c r="D27" s="9">
        <v>48.752000000000002</v>
      </c>
      <c r="E27" s="9">
        <v>7.0670000000000002</v>
      </c>
      <c r="F27" s="9">
        <v>37.299999999999997</v>
      </c>
      <c r="G27" s="7">
        <v>1</v>
      </c>
      <c r="H27" s="9">
        <v>70</v>
      </c>
      <c r="I27" s="9" t="s">
        <v>37</v>
      </c>
      <c r="J27" s="9"/>
      <c r="K27" s="9">
        <v>6.2</v>
      </c>
      <c r="L27" s="9">
        <f t="shared" si="2"/>
        <v>0.86699999999999999</v>
      </c>
      <c r="M27" s="9">
        <f t="shared" si="3"/>
        <v>7.0670000000000002</v>
      </c>
      <c r="N27" s="9"/>
      <c r="O27" s="9"/>
      <c r="P27" s="9">
        <f t="shared" si="4"/>
        <v>1.4134</v>
      </c>
      <c r="Q27" s="4"/>
      <c r="R27" s="4">
        <f t="shared" si="12"/>
        <v>0</v>
      </c>
      <c r="S27" s="4"/>
      <c r="T27" s="4">
        <f t="shared" si="13"/>
        <v>0</v>
      </c>
      <c r="U27" s="4"/>
      <c r="V27" s="9"/>
      <c r="W27" s="9"/>
      <c r="X27" s="9">
        <f t="shared" si="7"/>
        <v>26.390264610159896</v>
      </c>
      <c r="Y27" s="9">
        <f t="shared" si="5"/>
        <v>26.390264610159896</v>
      </c>
      <c r="Z27" s="9">
        <v>2.629</v>
      </c>
      <c r="AA27" s="9">
        <v>4.6520000000000001</v>
      </c>
      <c r="AB27" s="9">
        <v>2.1133999999999999</v>
      </c>
      <c r="AC27" s="9">
        <v>3.3738000000000001</v>
      </c>
      <c r="AD27" s="9">
        <v>3.8576000000000001</v>
      </c>
      <c r="AE27" s="9">
        <v>1.5871999999999999</v>
      </c>
      <c r="AF27" s="9">
        <v>3.3328000000000002</v>
      </c>
      <c r="AG27" s="9">
        <v>3.3494000000000002</v>
      </c>
      <c r="AH27" s="9"/>
      <c r="AI27" s="9">
        <f t="shared" si="14"/>
        <v>0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x14ac:dyDescent="0.25">
      <c r="A28" s="9" t="s">
        <v>66</v>
      </c>
      <c r="B28" s="9" t="s">
        <v>36</v>
      </c>
      <c r="C28" s="9">
        <v>-1.7000000000000001E-2</v>
      </c>
      <c r="D28" s="9">
        <v>52.718000000000004</v>
      </c>
      <c r="E28" s="9">
        <v>21.091999999999999</v>
      </c>
      <c r="F28" s="9">
        <v>20.181000000000001</v>
      </c>
      <c r="G28" s="7">
        <v>1</v>
      </c>
      <c r="H28" s="9" t="e">
        <v>#N/A</v>
      </c>
      <c r="I28" s="9" t="s">
        <v>37</v>
      </c>
      <c r="J28" s="9"/>
      <c r="K28" s="9">
        <v>30.158000000000001</v>
      </c>
      <c r="L28" s="9">
        <f t="shared" si="2"/>
        <v>-9.0660000000000025</v>
      </c>
      <c r="M28" s="9">
        <f t="shared" si="3"/>
        <v>10.533999999999999</v>
      </c>
      <c r="N28" s="9">
        <v>10.558</v>
      </c>
      <c r="O28" s="9"/>
      <c r="P28" s="9">
        <f t="shared" si="4"/>
        <v>2.1067999999999998</v>
      </c>
      <c r="Q28" s="4">
        <f t="shared" si="11"/>
        <v>7.2073999999999963</v>
      </c>
      <c r="R28" s="4">
        <f t="shared" ref="R28:R30" si="16">U28</f>
        <v>20</v>
      </c>
      <c r="S28" s="4"/>
      <c r="T28" s="4">
        <f t="shared" si="13"/>
        <v>20</v>
      </c>
      <c r="U28" s="4">
        <v>20</v>
      </c>
      <c r="V28" s="9" t="s">
        <v>167</v>
      </c>
      <c r="W28" s="9"/>
      <c r="X28" s="9">
        <f t="shared" si="7"/>
        <v>19.072052401746724</v>
      </c>
      <c r="Y28" s="9">
        <f t="shared" si="5"/>
        <v>9.5789823428896916</v>
      </c>
      <c r="Z28" s="9">
        <v>2.9201999999999999</v>
      </c>
      <c r="AA28" s="9">
        <v>4.7431999999999999</v>
      </c>
      <c r="AB28" s="9">
        <v>2.8306</v>
      </c>
      <c r="AC28" s="9">
        <v>3.1766000000000001</v>
      </c>
      <c r="AD28" s="9">
        <v>2.4588000000000001</v>
      </c>
      <c r="AE28" s="9">
        <v>3.0939999999999999</v>
      </c>
      <c r="AF28" s="9">
        <v>8.0828000000000007</v>
      </c>
      <c r="AG28" s="9">
        <v>2.2867999999999999</v>
      </c>
      <c r="AH28" s="9"/>
      <c r="AI28" s="9">
        <f t="shared" si="14"/>
        <v>20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x14ac:dyDescent="0.25">
      <c r="A29" s="9" t="s">
        <v>67</v>
      </c>
      <c r="B29" s="9" t="s">
        <v>36</v>
      </c>
      <c r="C29" s="9">
        <v>9.3290000000000006</v>
      </c>
      <c r="D29" s="9">
        <v>5.7770000000000001</v>
      </c>
      <c r="E29" s="9">
        <v>6.5179999999999998</v>
      </c>
      <c r="F29" s="9">
        <v>2.8679999999999999</v>
      </c>
      <c r="G29" s="7">
        <v>1</v>
      </c>
      <c r="H29" s="9">
        <v>180</v>
      </c>
      <c r="I29" s="9" t="s">
        <v>37</v>
      </c>
      <c r="J29" s="9"/>
      <c r="K29" s="9">
        <v>6.56</v>
      </c>
      <c r="L29" s="9">
        <f t="shared" si="2"/>
        <v>-4.1999999999999815E-2</v>
      </c>
      <c r="M29" s="9">
        <f t="shared" si="3"/>
        <v>6.5179999999999998</v>
      </c>
      <c r="N29" s="9"/>
      <c r="O29" s="9">
        <v>15</v>
      </c>
      <c r="P29" s="9">
        <f t="shared" si="4"/>
        <v>1.3035999999999999</v>
      </c>
      <c r="Q29" s="4"/>
      <c r="R29" s="4">
        <f t="shared" si="16"/>
        <v>50</v>
      </c>
      <c r="S29" s="4"/>
      <c r="T29" s="4">
        <f t="shared" si="13"/>
        <v>50</v>
      </c>
      <c r="U29" s="4">
        <v>50</v>
      </c>
      <c r="V29" s="9" t="s">
        <v>167</v>
      </c>
      <c r="W29" s="9"/>
      <c r="X29" s="9">
        <f t="shared" si="7"/>
        <v>52.061982203129794</v>
      </c>
      <c r="Y29" s="9">
        <f t="shared" si="5"/>
        <v>13.706658484197607</v>
      </c>
      <c r="Z29" s="9">
        <v>1.8828</v>
      </c>
      <c r="AA29" s="9">
        <v>1.3660000000000001</v>
      </c>
      <c r="AB29" s="9">
        <v>0.64839999999999998</v>
      </c>
      <c r="AC29" s="9">
        <v>1.819</v>
      </c>
      <c r="AD29" s="9">
        <v>0.78959999999999997</v>
      </c>
      <c r="AE29" s="9">
        <v>2.8506</v>
      </c>
      <c r="AF29" s="9">
        <v>4.4009999999999998</v>
      </c>
      <c r="AG29" s="9">
        <v>0</v>
      </c>
      <c r="AH29" s="9" t="s">
        <v>68</v>
      </c>
      <c r="AI29" s="9">
        <f t="shared" si="14"/>
        <v>50</v>
      </c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 x14ac:dyDescent="0.25">
      <c r="A30" s="9" t="s">
        <v>69</v>
      </c>
      <c r="B30" s="9" t="s">
        <v>36</v>
      </c>
      <c r="C30" s="9">
        <v>16.683</v>
      </c>
      <c r="D30" s="9">
        <v>43.182000000000002</v>
      </c>
      <c r="E30" s="9">
        <v>26.28</v>
      </c>
      <c r="F30" s="9">
        <v>26.425000000000001</v>
      </c>
      <c r="G30" s="7">
        <v>1</v>
      </c>
      <c r="H30" s="9">
        <v>70</v>
      </c>
      <c r="I30" s="9" t="s">
        <v>37</v>
      </c>
      <c r="J30" s="9"/>
      <c r="K30" s="9">
        <v>23.15</v>
      </c>
      <c r="L30" s="9">
        <f t="shared" si="2"/>
        <v>3.1300000000000026</v>
      </c>
      <c r="M30" s="9">
        <f t="shared" si="3"/>
        <v>26.28</v>
      </c>
      <c r="N30" s="9"/>
      <c r="O30" s="9">
        <v>45.405200000000001</v>
      </c>
      <c r="P30" s="9">
        <f t="shared" si="4"/>
        <v>5.2560000000000002</v>
      </c>
      <c r="Q30" s="4"/>
      <c r="R30" s="4">
        <f t="shared" si="16"/>
        <v>30</v>
      </c>
      <c r="S30" s="4"/>
      <c r="T30" s="4">
        <f t="shared" si="13"/>
        <v>30</v>
      </c>
      <c r="U30" s="4">
        <v>30</v>
      </c>
      <c r="V30" s="9" t="s">
        <v>167</v>
      </c>
      <c r="W30" s="9"/>
      <c r="X30" s="9">
        <f t="shared" si="7"/>
        <v>19.374086757990867</v>
      </c>
      <c r="Y30" s="9">
        <f t="shared" si="5"/>
        <v>13.666324200913243</v>
      </c>
      <c r="Z30" s="9">
        <v>8.4578000000000007</v>
      </c>
      <c r="AA30" s="9">
        <v>6.8742000000000001</v>
      </c>
      <c r="AB30" s="9">
        <v>7.7189999999999994</v>
      </c>
      <c r="AC30" s="9">
        <v>6.1387999999999998</v>
      </c>
      <c r="AD30" s="9">
        <v>7.0296000000000003</v>
      </c>
      <c r="AE30" s="9">
        <v>8.9306000000000001</v>
      </c>
      <c r="AF30" s="9">
        <v>8.4138000000000002</v>
      </c>
      <c r="AG30" s="9">
        <v>5.2786</v>
      </c>
      <c r="AH30" s="9"/>
      <c r="AI30" s="9">
        <f t="shared" si="14"/>
        <v>30</v>
      </c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x14ac:dyDescent="0.25">
      <c r="A31" s="9" t="s">
        <v>70</v>
      </c>
      <c r="B31" s="9" t="s">
        <v>36</v>
      </c>
      <c r="C31" s="9">
        <v>48.203000000000003</v>
      </c>
      <c r="D31" s="9">
        <v>435.54599999999999</v>
      </c>
      <c r="E31" s="9">
        <v>117.074</v>
      </c>
      <c r="F31" s="9">
        <v>160.88999999999999</v>
      </c>
      <c r="G31" s="7">
        <v>1</v>
      </c>
      <c r="H31" s="9">
        <v>35</v>
      </c>
      <c r="I31" s="9" t="s">
        <v>37</v>
      </c>
      <c r="J31" s="9"/>
      <c r="K31" s="9">
        <v>152.03700000000001</v>
      </c>
      <c r="L31" s="9">
        <f t="shared" si="2"/>
        <v>-34.963000000000008</v>
      </c>
      <c r="M31" s="9">
        <f t="shared" si="3"/>
        <v>91.980999999999995</v>
      </c>
      <c r="N31" s="9">
        <v>25.093</v>
      </c>
      <c r="O31" s="9">
        <v>50</v>
      </c>
      <c r="P31" s="9">
        <f t="shared" si="4"/>
        <v>18.3962</v>
      </c>
      <c r="Q31" s="4">
        <f t="shared" si="11"/>
        <v>28.260600000000011</v>
      </c>
      <c r="R31" s="4">
        <f t="shared" si="12"/>
        <v>28.260600000000011</v>
      </c>
      <c r="S31" s="4"/>
      <c r="T31" s="4">
        <f t="shared" si="13"/>
        <v>28.260600000000011</v>
      </c>
      <c r="U31" s="4"/>
      <c r="V31" s="9"/>
      <c r="W31" s="9"/>
      <c r="X31" s="9">
        <f t="shared" si="7"/>
        <v>13</v>
      </c>
      <c r="Y31" s="9">
        <f t="shared" si="5"/>
        <v>11.463780563377219</v>
      </c>
      <c r="Z31" s="9">
        <v>26.292000000000002</v>
      </c>
      <c r="AA31" s="9">
        <v>31.499400000000001</v>
      </c>
      <c r="AB31" s="9">
        <v>27.169799999999999</v>
      </c>
      <c r="AC31" s="9">
        <v>30.228200000000001</v>
      </c>
      <c r="AD31" s="9">
        <v>29.9816</v>
      </c>
      <c r="AE31" s="9">
        <v>33.077199999999998</v>
      </c>
      <c r="AF31" s="9">
        <v>23.4818</v>
      </c>
      <c r="AG31" s="9">
        <v>34.662999999999997</v>
      </c>
      <c r="AH31" s="9"/>
      <c r="AI31" s="9">
        <f t="shared" si="14"/>
        <v>28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x14ac:dyDescent="0.25">
      <c r="A32" s="9" t="s">
        <v>71</v>
      </c>
      <c r="B32" s="9" t="s">
        <v>36</v>
      </c>
      <c r="C32" s="9">
        <v>36.389000000000003</v>
      </c>
      <c r="D32" s="9">
        <v>299.738</v>
      </c>
      <c r="E32" s="9">
        <v>117.252</v>
      </c>
      <c r="F32" s="9"/>
      <c r="G32" s="7">
        <v>1</v>
      </c>
      <c r="H32" s="9">
        <v>30</v>
      </c>
      <c r="I32" s="9" t="s">
        <v>37</v>
      </c>
      <c r="J32" s="9"/>
      <c r="K32" s="9">
        <v>127.5</v>
      </c>
      <c r="L32" s="9">
        <f t="shared" si="2"/>
        <v>-10.248000000000005</v>
      </c>
      <c r="M32" s="9">
        <f t="shared" si="3"/>
        <v>117.252</v>
      </c>
      <c r="N32" s="9"/>
      <c r="O32" s="9">
        <v>60</v>
      </c>
      <c r="P32" s="9">
        <f t="shared" si="4"/>
        <v>23.450399999999998</v>
      </c>
      <c r="Q32" s="4">
        <f>11*P32-O32-F32</f>
        <v>197.95439999999996</v>
      </c>
      <c r="R32" s="4">
        <f>U32</f>
        <v>80</v>
      </c>
      <c r="S32" s="4"/>
      <c r="T32" s="4">
        <f t="shared" si="13"/>
        <v>80</v>
      </c>
      <c r="U32" s="4">
        <v>80</v>
      </c>
      <c r="V32" s="9" t="s">
        <v>168</v>
      </c>
      <c r="W32" s="9"/>
      <c r="X32" s="9">
        <f t="shared" si="7"/>
        <v>5.9700474192337873</v>
      </c>
      <c r="Y32" s="9">
        <f t="shared" si="5"/>
        <v>2.5585917511001948</v>
      </c>
      <c r="Z32" s="9">
        <v>33.112400000000001</v>
      </c>
      <c r="AA32" s="9">
        <v>35.449800000000003</v>
      </c>
      <c r="AB32" s="9">
        <v>38.841799999999999</v>
      </c>
      <c r="AC32" s="9">
        <v>37.077599999999997</v>
      </c>
      <c r="AD32" s="9">
        <v>32.164000000000001</v>
      </c>
      <c r="AE32" s="9">
        <v>44.117199999999997</v>
      </c>
      <c r="AF32" s="9">
        <v>31.46</v>
      </c>
      <c r="AG32" s="9">
        <v>7.8272000000000004</v>
      </c>
      <c r="AH32" s="9"/>
      <c r="AI32" s="9">
        <f t="shared" si="14"/>
        <v>80</v>
      </c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 x14ac:dyDescent="0.25">
      <c r="A33" s="9" t="s">
        <v>72</v>
      </c>
      <c r="B33" s="9" t="s">
        <v>36</v>
      </c>
      <c r="C33" s="9">
        <v>-6.3659999999999997</v>
      </c>
      <c r="D33" s="9">
        <v>106.32899999999999</v>
      </c>
      <c r="E33" s="9">
        <v>30.030999999999999</v>
      </c>
      <c r="F33" s="9">
        <v>18.655999999999999</v>
      </c>
      <c r="G33" s="7">
        <v>1</v>
      </c>
      <c r="H33" s="9">
        <v>30</v>
      </c>
      <c r="I33" s="9" t="s">
        <v>37</v>
      </c>
      <c r="J33" s="9"/>
      <c r="K33" s="9">
        <v>37.228000000000002</v>
      </c>
      <c r="L33" s="9">
        <f t="shared" si="2"/>
        <v>-7.1970000000000027</v>
      </c>
      <c r="M33" s="9">
        <f t="shared" si="3"/>
        <v>30.030999999999999</v>
      </c>
      <c r="N33" s="9"/>
      <c r="O33" s="9">
        <v>100</v>
      </c>
      <c r="P33" s="9">
        <f t="shared" si="4"/>
        <v>6.0061999999999998</v>
      </c>
      <c r="Q33" s="4"/>
      <c r="R33" s="4">
        <f t="shared" si="12"/>
        <v>0</v>
      </c>
      <c r="S33" s="4"/>
      <c r="T33" s="4">
        <f t="shared" si="13"/>
        <v>0</v>
      </c>
      <c r="U33" s="4"/>
      <c r="V33" s="9"/>
      <c r="W33" s="9"/>
      <c r="X33" s="9">
        <f t="shared" si="7"/>
        <v>19.755585894575606</v>
      </c>
      <c r="Y33" s="9">
        <f t="shared" si="5"/>
        <v>19.755585894575606</v>
      </c>
      <c r="Z33" s="9">
        <v>33.711200000000012</v>
      </c>
      <c r="AA33" s="9">
        <v>13.926399999999999</v>
      </c>
      <c r="AB33" s="9">
        <v>34.874600000000001</v>
      </c>
      <c r="AC33" s="9">
        <v>9.5329999999999995</v>
      </c>
      <c r="AD33" s="9">
        <v>41.933599999999998</v>
      </c>
      <c r="AE33" s="9">
        <v>53.389400000000002</v>
      </c>
      <c r="AF33" s="9">
        <v>63.305799999999998</v>
      </c>
      <c r="AG33" s="9">
        <v>82.73060000000001</v>
      </c>
      <c r="AH33" s="9"/>
      <c r="AI33" s="9">
        <f t="shared" si="14"/>
        <v>0</v>
      </c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x14ac:dyDescent="0.25">
      <c r="A34" s="9" t="s">
        <v>73</v>
      </c>
      <c r="B34" s="9" t="s">
        <v>36</v>
      </c>
      <c r="C34" s="9">
        <v>831.37599999999998</v>
      </c>
      <c r="D34" s="9">
        <v>4439.9579999999996</v>
      </c>
      <c r="E34" s="9">
        <v>2130.5129999999999</v>
      </c>
      <c r="F34" s="9">
        <v>1163.68</v>
      </c>
      <c r="G34" s="7">
        <v>1</v>
      </c>
      <c r="H34" s="9">
        <v>40</v>
      </c>
      <c r="I34" s="9" t="s">
        <v>37</v>
      </c>
      <c r="J34" s="9"/>
      <c r="K34" s="9">
        <v>3146.326</v>
      </c>
      <c r="L34" s="9">
        <f t="shared" si="2"/>
        <v>-1015.8130000000001</v>
      </c>
      <c r="M34" s="9">
        <f t="shared" si="3"/>
        <v>1588.049</v>
      </c>
      <c r="N34" s="9">
        <v>542.46400000000006</v>
      </c>
      <c r="O34" s="9">
        <v>1300</v>
      </c>
      <c r="P34" s="9">
        <f t="shared" si="4"/>
        <v>317.60980000000001</v>
      </c>
      <c r="Q34" s="4">
        <f t="shared" si="11"/>
        <v>1665.2474000000004</v>
      </c>
      <c r="R34" s="4">
        <f t="shared" si="12"/>
        <v>1665.2474000000004</v>
      </c>
      <c r="S34" s="4"/>
      <c r="T34" s="4">
        <f t="shared" si="13"/>
        <v>1665.2474000000004</v>
      </c>
      <c r="U34" s="4"/>
      <c r="V34" s="9"/>
      <c r="W34" s="9"/>
      <c r="X34" s="9">
        <f t="shared" si="7"/>
        <v>13.000000000000002</v>
      </c>
      <c r="Y34" s="9">
        <f t="shared" si="5"/>
        <v>7.7569394899023907</v>
      </c>
      <c r="Z34" s="9">
        <v>382.2022</v>
      </c>
      <c r="AA34" s="9">
        <v>433.51339999999999</v>
      </c>
      <c r="AB34" s="9">
        <v>495.10059999999999</v>
      </c>
      <c r="AC34" s="9">
        <v>535.64940000000001</v>
      </c>
      <c r="AD34" s="9">
        <v>646.53019999999992</v>
      </c>
      <c r="AE34" s="9">
        <v>752.69620000000009</v>
      </c>
      <c r="AF34" s="9">
        <v>710.88</v>
      </c>
      <c r="AG34" s="9">
        <v>970.13799999999992</v>
      </c>
      <c r="AH34" s="9"/>
      <c r="AI34" s="9">
        <f t="shared" si="14"/>
        <v>1665</v>
      </c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 x14ac:dyDescent="0.25">
      <c r="A35" s="9" t="s">
        <v>74</v>
      </c>
      <c r="B35" s="9" t="s">
        <v>36</v>
      </c>
      <c r="C35" s="9">
        <v>14.663</v>
      </c>
      <c r="D35" s="9">
        <v>175.34700000000001</v>
      </c>
      <c r="E35" s="9">
        <v>46.966999999999999</v>
      </c>
      <c r="F35" s="9">
        <v>83.751999999999995</v>
      </c>
      <c r="G35" s="7">
        <v>1</v>
      </c>
      <c r="H35" s="9">
        <v>40</v>
      </c>
      <c r="I35" s="9" t="s">
        <v>37</v>
      </c>
      <c r="J35" s="9"/>
      <c r="K35" s="9">
        <v>50.5</v>
      </c>
      <c r="L35" s="9">
        <f t="shared" si="2"/>
        <v>-3.5330000000000013</v>
      </c>
      <c r="M35" s="9">
        <f t="shared" si="3"/>
        <v>46.966999999999999</v>
      </c>
      <c r="N35" s="9"/>
      <c r="O35" s="9"/>
      <c r="P35" s="9">
        <f t="shared" si="4"/>
        <v>9.3933999999999997</v>
      </c>
      <c r="Q35" s="4">
        <f t="shared" si="11"/>
        <v>38.362200000000001</v>
      </c>
      <c r="R35" s="4">
        <f t="shared" si="12"/>
        <v>38.362200000000001</v>
      </c>
      <c r="S35" s="4"/>
      <c r="T35" s="4">
        <f t="shared" si="13"/>
        <v>38.362200000000001</v>
      </c>
      <c r="U35" s="4"/>
      <c r="V35" s="9"/>
      <c r="W35" s="9"/>
      <c r="X35" s="9">
        <f t="shared" si="7"/>
        <v>13</v>
      </c>
      <c r="Y35" s="9">
        <f t="shared" si="5"/>
        <v>8.9160474375625434</v>
      </c>
      <c r="Z35" s="9">
        <v>7.8487999999999998</v>
      </c>
      <c r="AA35" s="9">
        <v>14.1966</v>
      </c>
      <c r="AB35" s="9">
        <v>9.7634000000000007</v>
      </c>
      <c r="AC35" s="9">
        <v>14.838200000000001</v>
      </c>
      <c r="AD35" s="9">
        <v>8.8414000000000001</v>
      </c>
      <c r="AE35" s="9">
        <v>10.884</v>
      </c>
      <c r="AF35" s="9">
        <v>15.4686</v>
      </c>
      <c r="AG35" s="9">
        <v>9.6414000000000009</v>
      </c>
      <c r="AH35" s="9"/>
      <c r="AI35" s="9">
        <f t="shared" si="14"/>
        <v>38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x14ac:dyDescent="0.25">
      <c r="A36" s="9" t="s">
        <v>75</v>
      </c>
      <c r="B36" s="9" t="s">
        <v>36</v>
      </c>
      <c r="C36" s="9">
        <v>-3.1429999999999998</v>
      </c>
      <c r="D36" s="9">
        <v>213.58199999999999</v>
      </c>
      <c r="E36" s="9">
        <v>92.578000000000003</v>
      </c>
      <c r="F36" s="9">
        <v>56.69</v>
      </c>
      <c r="G36" s="7">
        <v>1</v>
      </c>
      <c r="H36" s="9">
        <v>30</v>
      </c>
      <c r="I36" s="9" t="s">
        <v>37</v>
      </c>
      <c r="J36" s="9"/>
      <c r="K36" s="9">
        <v>92.9</v>
      </c>
      <c r="L36" s="9">
        <f t="shared" si="2"/>
        <v>-0.32200000000000273</v>
      </c>
      <c r="M36" s="9">
        <f t="shared" si="3"/>
        <v>92.578000000000003</v>
      </c>
      <c r="N36" s="9"/>
      <c r="O36" s="9">
        <v>20</v>
      </c>
      <c r="P36" s="9">
        <f t="shared" si="4"/>
        <v>18.515599999999999</v>
      </c>
      <c r="Q36" s="4">
        <f>12*P36-O36-F36</f>
        <v>145.49719999999999</v>
      </c>
      <c r="R36" s="4">
        <f>U36</f>
        <v>60</v>
      </c>
      <c r="S36" s="4"/>
      <c r="T36" s="4">
        <f t="shared" si="13"/>
        <v>60</v>
      </c>
      <c r="U36" s="4">
        <v>60</v>
      </c>
      <c r="V36" s="9" t="s">
        <v>168</v>
      </c>
      <c r="W36" s="9"/>
      <c r="X36" s="9">
        <f t="shared" si="7"/>
        <v>7.3824234699388622</v>
      </c>
      <c r="Y36" s="9">
        <f t="shared" si="5"/>
        <v>4.1419127654518348</v>
      </c>
      <c r="Z36" s="9">
        <v>12.9604</v>
      </c>
      <c r="AA36" s="9">
        <v>18.5122</v>
      </c>
      <c r="AB36" s="9">
        <v>13.782400000000001</v>
      </c>
      <c r="AC36" s="9">
        <v>24.290800000000001</v>
      </c>
      <c r="AD36" s="9">
        <v>16.6492</v>
      </c>
      <c r="AE36" s="9">
        <v>19.946200000000001</v>
      </c>
      <c r="AF36" s="9">
        <v>21.203800000000001</v>
      </c>
      <c r="AG36" s="9">
        <v>18.301600000000001</v>
      </c>
      <c r="AH36" s="9"/>
      <c r="AI36" s="9">
        <f t="shared" si="14"/>
        <v>60</v>
      </c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x14ac:dyDescent="0.25">
      <c r="A37" s="9" t="s">
        <v>76</v>
      </c>
      <c r="B37" s="9" t="s">
        <v>41</v>
      </c>
      <c r="C37" s="9">
        <v>31</v>
      </c>
      <c r="D37" s="9">
        <v>685</v>
      </c>
      <c r="E37" s="9">
        <v>108</v>
      </c>
      <c r="F37" s="9">
        <v>5</v>
      </c>
      <c r="G37" s="7">
        <v>0.35</v>
      </c>
      <c r="H37" s="9">
        <v>40</v>
      </c>
      <c r="I37" s="9" t="s">
        <v>37</v>
      </c>
      <c r="J37" s="9"/>
      <c r="K37" s="9">
        <v>125</v>
      </c>
      <c r="L37" s="9">
        <f t="shared" si="2"/>
        <v>-17</v>
      </c>
      <c r="M37" s="9">
        <f t="shared" si="3"/>
        <v>108</v>
      </c>
      <c r="N37" s="9"/>
      <c r="O37" s="9">
        <v>170</v>
      </c>
      <c r="P37" s="9">
        <f t="shared" si="4"/>
        <v>21.6</v>
      </c>
      <c r="Q37" s="4">
        <f t="shared" si="11"/>
        <v>105.80000000000001</v>
      </c>
      <c r="R37" s="4">
        <f t="shared" si="12"/>
        <v>105.80000000000001</v>
      </c>
      <c r="S37" s="4"/>
      <c r="T37" s="4">
        <f t="shared" si="13"/>
        <v>105.80000000000001</v>
      </c>
      <c r="U37" s="4"/>
      <c r="V37" s="9"/>
      <c r="W37" s="9"/>
      <c r="X37" s="9">
        <f t="shared" si="7"/>
        <v>13</v>
      </c>
      <c r="Y37" s="9">
        <f t="shared" si="5"/>
        <v>8.1018518518518512</v>
      </c>
      <c r="Z37" s="9">
        <v>24.4</v>
      </c>
      <c r="AA37" s="9">
        <v>20.8</v>
      </c>
      <c r="AB37" s="9">
        <v>22.6</v>
      </c>
      <c r="AC37" s="9">
        <v>27</v>
      </c>
      <c r="AD37" s="9">
        <v>30.6</v>
      </c>
      <c r="AE37" s="9">
        <v>37.4</v>
      </c>
      <c r="AF37" s="9">
        <v>35</v>
      </c>
      <c r="AG37" s="9">
        <v>27.8</v>
      </c>
      <c r="AH37" s="9"/>
      <c r="AI37" s="9">
        <f t="shared" si="14"/>
        <v>37</v>
      </c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x14ac:dyDescent="0.25">
      <c r="A38" s="9" t="s">
        <v>77</v>
      </c>
      <c r="B38" s="9" t="s">
        <v>41</v>
      </c>
      <c r="C38" s="9">
        <v>267</v>
      </c>
      <c r="D38" s="9">
        <v>3000</v>
      </c>
      <c r="E38" s="9">
        <v>361</v>
      </c>
      <c r="F38" s="9">
        <v>408</v>
      </c>
      <c r="G38" s="7">
        <v>0.4</v>
      </c>
      <c r="H38" s="9">
        <v>45</v>
      </c>
      <c r="I38" s="9" t="s">
        <v>37</v>
      </c>
      <c r="J38" s="9"/>
      <c r="K38" s="9">
        <v>415</v>
      </c>
      <c r="L38" s="9">
        <f t="shared" ref="L38:L69" si="17">E38-K38</f>
        <v>-54</v>
      </c>
      <c r="M38" s="9">
        <f t="shared" ref="M38:M69" si="18">E38-N38</f>
        <v>361</v>
      </c>
      <c r="N38" s="9"/>
      <c r="O38" s="9">
        <v>270</v>
      </c>
      <c r="P38" s="9">
        <f t="shared" ref="P38:P69" si="19">M38/5</f>
        <v>72.2</v>
      </c>
      <c r="Q38" s="4">
        <f t="shared" si="11"/>
        <v>260.60000000000002</v>
      </c>
      <c r="R38" s="4">
        <f t="shared" si="12"/>
        <v>260.60000000000002</v>
      </c>
      <c r="S38" s="4"/>
      <c r="T38" s="4">
        <f t="shared" si="13"/>
        <v>260.60000000000002</v>
      </c>
      <c r="U38" s="4"/>
      <c r="V38" s="9"/>
      <c r="W38" s="9"/>
      <c r="X38" s="9">
        <f t="shared" si="7"/>
        <v>13</v>
      </c>
      <c r="Y38" s="9">
        <f t="shared" ref="Y38:Y69" si="20">(F38+O38)/P38</f>
        <v>9.3905817174515231</v>
      </c>
      <c r="Z38" s="9">
        <v>89</v>
      </c>
      <c r="AA38" s="9">
        <v>84.6</v>
      </c>
      <c r="AB38" s="9">
        <v>92.2</v>
      </c>
      <c r="AC38" s="9">
        <v>98.4</v>
      </c>
      <c r="AD38" s="9">
        <v>94.8</v>
      </c>
      <c r="AE38" s="9">
        <v>129.4</v>
      </c>
      <c r="AF38" s="9">
        <v>124.6</v>
      </c>
      <c r="AG38" s="9">
        <v>140.4</v>
      </c>
      <c r="AH38" s="9"/>
      <c r="AI38" s="9">
        <f t="shared" si="14"/>
        <v>104</v>
      </c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x14ac:dyDescent="0.25">
      <c r="A39" s="9" t="s">
        <v>78</v>
      </c>
      <c r="B39" s="9" t="s">
        <v>41</v>
      </c>
      <c r="C39" s="9">
        <v>178</v>
      </c>
      <c r="D39" s="9">
        <v>291</v>
      </c>
      <c r="E39" s="9">
        <v>133</v>
      </c>
      <c r="F39" s="9">
        <v>44</v>
      </c>
      <c r="G39" s="7">
        <v>0.45</v>
      </c>
      <c r="H39" s="9">
        <v>50</v>
      </c>
      <c r="I39" s="9" t="s">
        <v>37</v>
      </c>
      <c r="J39" s="9"/>
      <c r="K39" s="9">
        <v>164</v>
      </c>
      <c r="L39" s="9">
        <f t="shared" si="17"/>
        <v>-31</v>
      </c>
      <c r="M39" s="9">
        <f t="shared" si="18"/>
        <v>133</v>
      </c>
      <c r="N39" s="9"/>
      <c r="O39" s="9">
        <v>260</v>
      </c>
      <c r="P39" s="9">
        <f t="shared" si="19"/>
        <v>26.6</v>
      </c>
      <c r="Q39" s="4">
        <f t="shared" si="11"/>
        <v>41.800000000000011</v>
      </c>
      <c r="R39" s="4">
        <f t="shared" si="12"/>
        <v>41.800000000000011</v>
      </c>
      <c r="S39" s="4"/>
      <c r="T39" s="4">
        <f t="shared" si="13"/>
        <v>41.800000000000011</v>
      </c>
      <c r="U39" s="4"/>
      <c r="V39" s="9"/>
      <c r="W39" s="9"/>
      <c r="X39" s="9">
        <f t="shared" si="7"/>
        <v>13</v>
      </c>
      <c r="Y39" s="9">
        <f t="shared" si="20"/>
        <v>11.428571428571429</v>
      </c>
      <c r="Z39" s="9">
        <v>37.4</v>
      </c>
      <c r="AA39" s="9">
        <v>29.4</v>
      </c>
      <c r="AB39" s="9">
        <v>39</v>
      </c>
      <c r="AC39" s="9">
        <v>42.6</v>
      </c>
      <c r="AD39" s="9">
        <v>47</v>
      </c>
      <c r="AE39" s="9">
        <v>47</v>
      </c>
      <c r="AF39" s="9">
        <v>45.2</v>
      </c>
      <c r="AG39" s="9">
        <v>21.8</v>
      </c>
      <c r="AH39" s="9" t="s">
        <v>43</v>
      </c>
      <c r="AI39" s="9">
        <f t="shared" si="14"/>
        <v>19</v>
      </c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 x14ac:dyDescent="0.25">
      <c r="A40" s="9" t="s">
        <v>79</v>
      </c>
      <c r="B40" s="9" t="s">
        <v>41</v>
      </c>
      <c r="C40" s="9">
        <v>221</v>
      </c>
      <c r="D40" s="9">
        <v>2596</v>
      </c>
      <c r="E40" s="9">
        <v>354</v>
      </c>
      <c r="F40" s="9">
        <v>407</v>
      </c>
      <c r="G40" s="7">
        <v>0.4</v>
      </c>
      <c r="H40" s="9">
        <v>45</v>
      </c>
      <c r="I40" s="9" t="s">
        <v>37</v>
      </c>
      <c r="J40" s="9"/>
      <c r="K40" s="9">
        <v>404</v>
      </c>
      <c r="L40" s="9">
        <f t="shared" si="17"/>
        <v>-50</v>
      </c>
      <c r="M40" s="9">
        <f t="shared" si="18"/>
        <v>354</v>
      </c>
      <c r="N40" s="9"/>
      <c r="O40" s="9">
        <v>110</v>
      </c>
      <c r="P40" s="9">
        <f t="shared" si="19"/>
        <v>70.8</v>
      </c>
      <c r="Q40" s="4">
        <f t="shared" si="11"/>
        <v>403.4</v>
      </c>
      <c r="R40" s="4">
        <f t="shared" si="12"/>
        <v>403.4</v>
      </c>
      <c r="S40" s="4"/>
      <c r="T40" s="4">
        <f t="shared" si="13"/>
        <v>403.4</v>
      </c>
      <c r="U40" s="4"/>
      <c r="V40" s="9"/>
      <c r="W40" s="9"/>
      <c r="X40" s="9">
        <f t="shared" si="7"/>
        <v>13</v>
      </c>
      <c r="Y40" s="9">
        <f t="shared" si="20"/>
        <v>7.3022598870056497</v>
      </c>
      <c r="Z40" s="9">
        <v>75.400000000000006</v>
      </c>
      <c r="AA40" s="9">
        <v>82</v>
      </c>
      <c r="AB40" s="9">
        <v>87.8</v>
      </c>
      <c r="AC40" s="9">
        <v>89.4</v>
      </c>
      <c r="AD40" s="9">
        <v>96</v>
      </c>
      <c r="AE40" s="9">
        <v>120.2</v>
      </c>
      <c r="AF40" s="9">
        <v>122.2</v>
      </c>
      <c r="AG40" s="9">
        <v>137</v>
      </c>
      <c r="AH40" s="9"/>
      <c r="AI40" s="9">
        <f t="shared" si="14"/>
        <v>161</v>
      </c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 x14ac:dyDescent="0.25">
      <c r="A41" s="9" t="s">
        <v>80</v>
      </c>
      <c r="B41" s="9" t="s">
        <v>41</v>
      </c>
      <c r="C41" s="9">
        <v>384</v>
      </c>
      <c r="D41" s="9">
        <v>651</v>
      </c>
      <c r="E41" s="9">
        <v>234</v>
      </c>
      <c r="F41" s="9">
        <v>241</v>
      </c>
      <c r="G41" s="7">
        <v>0.4</v>
      </c>
      <c r="H41" s="9">
        <v>50</v>
      </c>
      <c r="I41" s="9" t="s">
        <v>37</v>
      </c>
      <c r="J41" s="9"/>
      <c r="K41" s="9">
        <v>290</v>
      </c>
      <c r="L41" s="9">
        <f t="shared" si="17"/>
        <v>-56</v>
      </c>
      <c r="M41" s="9">
        <f t="shared" si="18"/>
        <v>234</v>
      </c>
      <c r="N41" s="9"/>
      <c r="O41" s="9">
        <v>140</v>
      </c>
      <c r="P41" s="9">
        <f t="shared" si="19"/>
        <v>46.8</v>
      </c>
      <c r="Q41" s="4">
        <f t="shared" si="11"/>
        <v>227.39999999999998</v>
      </c>
      <c r="R41" s="4">
        <f>U41</f>
        <v>180</v>
      </c>
      <c r="S41" s="4"/>
      <c r="T41" s="4">
        <f t="shared" si="13"/>
        <v>180</v>
      </c>
      <c r="U41" s="4">
        <v>180</v>
      </c>
      <c r="V41" s="9" t="s">
        <v>168</v>
      </c>
      <c r="W41" s="9"/>
      <c r="X41" s="9">
        <f t="shared" si="7"/>
        <v>11.987179487179487</v>
      </c>
      <c r="Y41" s="9">
        <f t="shared" si="20"/>
        <v>8.1410256410256423</v>
      </c>
      <c r="Z41" s="9">
        <v>54</v>
      </c>
      <c r="AA41" s="9">
        <v>53.4</v>
      </c>
      <c r="AB41" s="9">
        <v>64.599999999999994</v>
      </c>
      <c r="AC41" s="9">
        <v>62.6</v>
      </c>
      <c r="AD41" s="9">
        <v>73.599999999999994</v>
      </c>
      <c r="AE41" s="9">
        <v>76.599999999999994</v>
      </c>
      <c r="AF41" s="9">
        <v>82.2</v>
      </c>
      <c r="AG41" s="9">
        <v>85</v>
      </c>
      <c r="AH41" s="9"/>
      <c r="AI41" s="9">
        <f t="shared" si="14"/>
        <v>72</v>
      </c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 x14ac:dyDescent="0.25">
      <c r="A42" s="9" t="s">
        <v>81</v>
      </c>
      <c r="B42" s="9" t="s">
        <v>41</v>
      </c>
      <c r="C42" s="9">
        <v>61</v>
      </c>
      <c r="D42" s="9">
        <v>1084</v>
      </c>
      <c r="E42" s="9">
        <v>121</v>
      </c>
      <c r="F42" s="9">
        <v>81</v>
      </c>
      <c r="G42" s="7">
        <v>0.4</v>
      </c>
      <c r="H42" s="9">
        <v>40</v>
      </c>
      <c r="I42" s="9" t="s">
        <v>37</v>
      </c>
      <c r="J42" s="9"/>
      <c r="K42" s="9">
        <v>149</v>
      </c>
      <c r="L42" s="9">
        <f t="shared" si="17"/>
        <v>-28</v>
      </c>
      <c r="M42" s="9">
        <f t="shared" si="18"/>
        <v>121</v>
      </c>
      <c r="N42" s="9"/>
      <c r="O42" s="9">
        <v>120</v>
      </c>
      <c r="P42" s="9">
        <f t="shared" si="19"/>
        <v>24.2</v>
      </c>
      <c r="Q42" s="4">
        <f t="shared" si="11"/>
        <v>113.59999999999997</v>
      </c>
      <c r="R42" s="4">
        <f t="shared" si="12"/>
        <v>113.59999999999997</v>
      </c>
      <c r="S42" s="4"/>
      <c r="T42" s="4">
        <f t="shared" si="13"/>
        <v>113.59999999999997</v>
      </c>
      <c r="U42" s="4"/>
      <c r="V42" s="9"/>
      <c r="W42" s="9"/>
      <c r="X42" s="9">
        <f t="shared" si="7"/>
        <v>12.999999999999998</v>
      </c>
      <c r="Y42" s="9">
        <f t="shared" si="20"/>
        <v>8.3057851239669418</v>
      </c>
      <c r="Z42" s="9">
        <v>28.6</v>
      </c>
      <c r="AA42" s="9">
        <v>30.6</v>
      </c>
      <c r="AB42" s="9">
        <v>30.8</v>
      </c>
      <c r="AC42" s="9">
        <v>32.799999999999997</v>
      </c>
      <c r="AD42" s="9">
        <v>35.6</v>
      </c>
      <c r="AE42" s="9">
        <v>34.4</v>
      </c>
      <c r="AF42" s="9">
        <v>56.2</v>
      </c>
      <c r="AG42" s="9">
        <v>45.8</v>
      </c>
      <c r="AH42" s="9"/>
      <c r="AI42" s="9">
        <f t="shared" si="14"/>
        <v>45</v>
      </c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 x14ac:dyDescent="0.25">
      <c r="A43" s="9" t="s">
        <v>82</v>
      </c>
      <c r="B43" s="9" t="s">
        <v>41</v>
      </c>
      <c r="C43" s="9">
        <v>1203</v>
      </c>
      <c r="D43" s="9">
        <v>1042</v>
      </c>
      <c r="E43" s="9">
        <v>218</v>
      </c>
      <c r="F43" s="9">
        <v>989</v>
      </c>
      <c r="G43" s="7">
        <v>0.1</v>
      </c>
      <c r="H43" s="9">
        <v>730</v>
      </c>
      <c r="I43" s="9" t="s">
        <v>37</v>
      </c>
      <c r="J43" s="9"/>
      <c r="K43" s="9">
        <v>220</v>
      </c>
      <c r="L43" s="9">
        <f t="shared" si="17"/>
        <v>-2</v>
      </c>
      <c r="M43" s="9">
        <f t="shared" si="18"/>
        <v>218</v>
      </c>
      <c r="N43" s="9"/>
      <c r="O43" s="9"/>
      <c r="P43" s="9">
        <f t="shared" si="19"/>
        <v>43.6</v>
      </c>
      <c r="Q43" s="4"/>
      <c r="R43" s="4">
        <f t="shared" si="12"/>
        <v>0</v>
      </c>
      <c r="S43" s="4"/>
      <c r="T43" s="4">
        <f t="shared" si="13"/>
        <v>0</v>
      </c>
      <c r="U43" s="4"/>
      <c r="V43" s="9"/>
      <c r="W43" s="9"/>
      <c r="X43" s="9">
        <f t="shared" si="7"/>
        <v>22.683486238532108</v>
      </c>
      <c r="Y43" s="9">
        <f t="shared" si="20"/>
        <v>22.683486238532108</v>
      </c>
      <c r="Z43" s="9">
        <v>57.4</v>
      </c>
      <c r="AA43" s="9">
        <v>49.6</v>
      </c>
      <c r="AB43" s="9">
        <v>59.4</v>
      </c>
      <c r="AC43" s="9">
        <v>156.80000000000001</v>
      </c>
      <c r="AD43" s="9">
        <v>0</v>
      </c>
      <c r="AE43" s="9">
        <v>203.6</v>
      </c>
      <c r="AF43" s="9">
        <v>67.8</v>
      </c>
      <c r="AG43" s="9">
        <v>105.6</v>
      </c>
      <c r="AH43" s="9"/>
      <c r="AI43" s="9">
        <f t="shared" si="14"/>
        <v>0</v>
      </c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 x14ac:dyDescent="0.25">
      <c r="A44" s="9" t="s">
        <v>84</v>
      </c>
      <c r="B44" s="9" t="s">
        <v>41</v>
      </c>
      <c r="C44" s="9">
        <v>99</v>
      </c>
      <c r="D44" s="9">
        <v>532</v>
      </c>
      <c r="E44" s="9">
        <v>157</v>
      </c>
      <c r="F44" s="9">
        <v>66</v>
      </c>
      <c r="G44" s="7">
        <v>0.33</v>
      </c>
      <c r="H44" s="9">
        <v>45</v>
      </c>
      <c r="I44" s="9" t="s">
        <v>37</v>
      </c>
      <c r="J44" s="9"/>
      <c r="K44" s="9">
        <v>188</v>
      </c>
      <c r="L44" s="9">
        <f t="shared" si="17"/>
        <v>-31</v>
      </c>
      <c r="M44" s="9">
        <f t="shared" si="18"/>
        <v>157</v>
      </c>
      <c r="N44" s="9"/>
      <c r="O44" s="9">
        <v>210</v>
      </c>
      <c r="P44" s="9">
        <f t="shared" si="19"/>
        <v>31.4</v>
      </c>
      <c r="Q44" s="4">
        <f t="shared" si="11"/>
        <v>132.19999999999999</v>
      </c>
      <c r="R44" s="4">
        <f t="shared" si="12"/>
        <v>132.19999999999999</v>
      </c>
      <c r="S44" s="4"/>
      <c r="T44" s="4">
        <f t="shared" si="13"/>
        <v>132.19999999999999</v>
      </c>
      <c r="U44" s="4"/>
      <c r="V44" s="9"/>
      <c r="W44" s="9"/>
      <c r="X44" s="9">
        <f t="shared" si="7"/>
        <v>13</v>
      </c>
      <c r="Y44" s="9">
        <f t="shared" si="20"/>
        <v>8.7898089171974529</v>
      </c>
      <c r="Z44" s="9">
        <v>38</v>
      </c>
      <c r="AA44" s="9">
        <v>35.799999999999997</v>
      </c>
      <c r="AB44" s="9">
        <v>41</v>
      </c>
      <c r="AC44" s="9">
        <v>38</v>
      </c>
      <c r="AD44" s="9">
        <v>55.2</v>
      </c>
      <c r="AE44" s="9">
        <v>61</v>
      </c>
      <c r="AF44" s="9">
        <v>78</v>
      </c>
      <c r="AG44" s="9">
        <v>68.400000000000006</v>
      </c>
      <c r="AH44" s="9"/>
      <c r="AI44" s="9">
        <f t="shared" si="14"/>
        <v>44</v>
      </c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 x14ac:dyDescent="0.25">
      <c r="A45" s="9" t="s">
        <v>85</v>
      </c>
      <c r="B45" s="9" t="s">
        <v>41</v>
      </c>
      <c r="C45" s="9">
        <v>152</v>
      </c>
      <c r="D45" s="9">
        <v>987</v>
      </c>
      <c r="E45" s="9">
        <v>190</v>
      </c>
      <c r="F45" s="9">
        <v>143</v>
      </c>
      <c r="G45" s="7">
        <v>0.35</v>
      </c>
      <c r="H45" s="9">
        <v>40</v>
      </c>
      <c r="I45" s="9" t="s">
        <v>37</v>
      </c>
      <c r="J45" s="9"/>
      <c r="K45" s="9">
        <v>240</v>
      </c>
      <c r="L45" s="9">
        <f t="shared" si="17"/>
        <v>-50</v>
      </c>
      <c r="M45" s="9">
        <f t="shared" si="18"/>
        <v>190</v>
      </c>
      <c r="N45" s="9"/>
      <c r="O45" s="9">
        <v>110</v>
      </c>
      <c r="P45" s="9">
        <f t="shared" si="19"/>
        <v>38</v>
      </c>
      <c r="Q45" s="4">
        <f t="shared" si="11"/>
        <v>241</v>
      </c>
      <c r="R45" s="4">
        <f t="shared" si="12"/>
        <v>241</v>
      </c>
      <c r="S45" s="4"/>
      <c r="T45" s="4">
        <f t="shared" si="13"/>
        <v>241</v>
      </c>
      <c r="U45" s="4"/>
      <c r="V45" s="9"/>
      <c r="W45" s="9"/>
      <c r="X45" s="9">
        <f t="shared" si="7"/>
        <v>13</v>
      </c>
      <c r="Y45" s="9">
        <f t="shared" si="20"/>
        <v>6.6578947368421053</v>
      </c>
      <c r="Z45" s="9">
        <v>38.799999999999997</v>
      </c>
      <c r="AA45" s="9">
        <v>46</v>
      </c>
      <c r="AB45" s="9">
        <v>51.4</v>
      </c>
      <c r="AC45" s="9">
        <v>42.8</v>
      </c>
      <c r="AD45" s="9">
        <v>58.2</v>
      </c>
      <c r="AE45" s="9">
        <v>61.4</v>
      </c>
      <c r="AF45" s="9">
        <v>66</v>
      </c>
      <c r="AG45" s="9">
        <v>80</v>
      </c>
      <c r="AH45" s="9"/>
      <c r="AI45" s="9">
        <f t="shared" si="14"/>
        <v>84</v>
      </c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x14ac:dyDescent="0.25">
      <c r="A46" s="9" t="s">
        <v>86</v>
      </c>
      <c r="B46" s="9" t="s">
        <v>41</v>
      </c>
      <c r="C46" s="9">
        <v>49</v>
      </c>
      <c r="D46" s="9">
        <v>182</v>
      </c>
      <c r="E46" s="9">
        <v>31</v>
      </c>
      <c r="F46" s="9">
        <v>26</v>
      </c>
      <c r="G46" s="7">
        <v>0.4</v>
      </c>
      <c r="H46" s="9">
        <v>40</v>
      </c>
      <c r="I46" s="9" t="s">
        <v>37</v>
      </c>
      <c r="J46" s="9"/>
      <c r="K46" s="9">
        <v>36</v>
      </c>
      <c r="L46" s="9">
        <f t="shared" si="17"/>
        <v>-5</v>
      </c>
      <c r="M46" s="9">
        <f t="shared" si="18"/>
        <v>31</v>
      </c>
      <c r="N46" s="9"/>
      <c r="O46" s="9"/>
      <c r="P46" s="9">
        <f t="shared" si="19"/>
        <v>6.2</v>
      </c>
      <c r="Q46" s="4">
        <f>12*P46-O46-F46</f>
        <v>48.400000000000006</v>
      </c>
      <c r="R46" s="4">
        <f t="shared" ref="R46:R47" si="21">U46</f>
        <v>70</v>
      </c>
      <c r="S46" s="4"/>
      <c r="T46" s="4">
        <f t="shared" si="13"/>
        <v>70</v>
      </c>
      <c r="U46" s="4">
        <v>70</v>
      </c>
      <c r="V46" s="9" t="s">
        <v>167</v>
      </c>
      <c r="W46" s="9"/>
      <c r="X46" s="9">
        <f t="shared" si="7"/>
        <v>15.483870967741934</v>
      </c>
      <c r="Y46" s="9">
        <f t="shared" si="20"/>
        <v>4.193548387096774</v>
      </c>
      <c r="Z46" s="9">
        <v>4.4000000000000004</v>
      </c>
      <c r="AA46" s="9">
        <v>6.6</v>
      </c>
      <c r="AB46" s="9">
        <v>8.8000000000000007</v>
      </c>
      <c r="AC46" s="9">
        <v>1.6</v>
      </c>
      <c r="AD46" s="9">
        <v>11.6</v>
      </c>
      <c r="AE46" s="9">
        <v>5.4</v>
      </c>
      <c r="AF46" s="9">
        <v>3.6</v>
      </c>
      <c r="AG46" s="9">
        <v>3</v>
      </c>
      <c r="AH46" s="9" t="s">
        <v>43</v>
      </c>
      <c r="AI46" s="9">
        <f t="shared" si="14"/>
        <v>28</v>
      </c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x14ac:dyDescent="0.25">
      <c r="A47" s="9" t="s">
        <v>87</v>
      </c>
      <c r="B47" s="9" t="s">
        <v>41</v>
      </c>
      <c r="C47" s="9">
        <v>69</v>
      </c>
      <c r="D47" s="9">
        <v>224</v>
      </c>
      <c r="E47" s="9">
        <v>30</v>
      </c>
      <c r="F47" s="9">
        <v>43</v>
      </c>
      <c r="G47" s="7">
        <v>0.4</v>
      </c>
      <c r="H47" s="9">
        <v>45</v>
      </c>
      <c r="I47" s="9" t="s">
        <v>37</v>
      </c>
      <c r="J47" s="9"/>
      <c r="K47" s="9">
        <v>36</v>
      </c>
      <c r="L47" s="9">
        <f t="shared" si="17"/>
        <v>-6</v>
      </c>
      <c r="M47" s="9">
        <f t="shared" si="18"/>
        <v>30</v>
      </c>
      <c r="N47" s="9"/>
      <c r="O47" s="9">
        <v>20</v>
      </c>
      <c r="P47" s="9">
        <f t="shared" si="19"/>
        <v>6</v>
      </c>
      <c r="Q47" s="4">
        <f t="shared" si="11"/>
        <v>15</v>
      </c>
      <c r="R47" s="4">
        <f t="shared" si="21"/>
        <v>30</v>
      </c>
      <c r="S47" s="4"/>
      <c r="T47" s="4">
        <f t="shared" si="13"/>
        <v>30</v>
      </c>
      <c r="U47" s="4">
        <v>30</v>
      </c>
      <c r="V47" s="9" t="s">
        <v>167</v>
      </c>
      <c r="W47" s="9"/>
      <c r="X47" s="9">
        <f t="shared" si="7"/>
        <v>15.5</v>
      </c>
      <c r="Y47" s="9">
        <f t="shared" si="20"/>
        <v>10.5</v>
      </c>
      <c r="Z47" s="9">
        <v>7.8</v>
      </c>
      <c r="AA47" s="9">
        <v>5.4</v>
      </c>
      <c r="AB47" s="9">
        <v>13.4</v>
      </c>
      <c r="AC47" s="9">
        <v>7.8</v>
      </c>
      <c r="AD47" s="9">
        <v>11.6</v>
      </c>
      <c r="AE47" s="9">
        <v>7.8</v>
      </c>
      <c r="AF47" s="9">
        <v>11.6</v>
      </c>
      <c r="AG47" s="9">
        <v>2.6</v>
      </c>
      <c r="AH47" s="9" t="s">
        <v>43</v>
      </c>
      <c r="AI47" s="9">
        <f t="shared" si="14"/>
        <v>12</v>
      </c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x14ac:dyDescent="0.25">
      <c r="A48" s="9" t="s">
        <v>88</v>
      </c>
      <c r="B48" s="9" t="s">
        <v>36</v>
      </c>
      <c r="C48" s="9">
        <v>197.69900000000001</v>
      </c>
      <c r="D48" s="9">
        <v>223.738</v>
      </c>
      <c r="E48" s="22">
        <f>19.361+E116</f>
        <v>84.031000000000006</v>
      </c>
      <c r="F48" s="22">
        <f>140+F116</f>
        <v>185.691</v>
      </c>
      <c r="G48" s="7">
        <v>1</v>
      </c>
      <c r="H48" s="9">
        <v>40</v>
      </c>
      <c r="I48" s="9" t="s">
        <v>37</v>
      </c>
      <c r="J48" s="9"/>
      <c r="K48" s="9">
        <v>24.285</v>
      </c>
      <c r="L48" s="9">
        <f t="shared" si="17"/>
        <v>59.746000000000009</v>
      </c>
      <c r="M48" s="9">
        <f t="shared" si="18"/>
        <v>84.031000000000006</v>
      </c>
      <c r="N48" s="9"/>
      <c r="O48" s="9"/>
      <c r="P48" s="9">
        <f t="shared" si="19"/>
        <v>16.8062</v>
      </c>
      <c r="Q48" s="4">
        <f t="shared" si="11"/>
        <v>32.789600000000007</v>
      </c>
      <c r="R48" s="4">
        <f t="shared" si="12"/>
        <v>32.789600000000007</v>
      </c>
      <c r="S48" s="4"/>
      <c r="T48" s="4">
        <f t="shared" si="13"/>
        <v>32.789600000000007</v>
      </c>
      <c r="U48" s="4"/>
      <c r="V48" s="9"/>
      <c r="W48" s="9"/>
      <c r="X48" s="9">
        <f t="shared" si="7"/>
        <v>13</v>
      </c>
      <c r="Y48" s="9">
        <f t="shared" si="20"/>
        <v>11.048958122597613</v>
      </c>
      <c r="Z48" s="9">
        <v>4.1639999999999997</v>
      </c>
      <c r="AA48" s="9">
        <v>22.227</v>
      </c>
      <c r="AB48" s="9">
        <v>23.048999999999999</v>
      </c>
      <c r="AC48" s="9">
        <v>17.391200000000001</v>
      </c>
      <c r="AD48" s="9">
        <v>10.954000000000001</v>
      </c>
      <c r="AE48" s="9">
        <v>26.326000000000001</v>
      </c>
      <c r="AF48" s="9">
        <v>9.1686000000000014</v>
      </c>
      <c r="AG48" s="9">
        <v>13.5258</v>
      </c>
      <c r="AH48" s="12" t="s">
        <v>83</v>
      </c>
      <c r="AI48" s="9">
        <f t="shared" si="14"/>
        <v>33</v>
      </c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x14ac:dyDescent="0.25">
      <c r="A49" s="9" t="s">
        <v>89</v>
      </c>
      <c r="B49" s="9" t="s">
        <v>41</v>
      </c>
      <c r="C49" s="9">
        <v>117</v>
      </c>
      <c r="D49" s="9">
        <v>1072</v>
      </c>
      <c r="E49" s="9">
        <v>181</v>
      </c>
      <c r="F49" s="9">
        <v>39</v>
      </c>
      <c r="G49" s="7">
        <v>0.35</v>
      </c>
      <c r="H49" s="9">
        <v>40</v>
      </c>
      <c r="I49" s="9" t="s">
        <v>37</v>
      </c>
      <c r="J49" s="9"/>
      <c r="K49" s="9">
        <v>201</v>
      </c>
      <c r="L49" s="9">
        <f t="shared" si="17"/>
        <v>-20</v>
      </c>
      <c r="M49" s="9">
        <f t="shared" si="18"/>
        <v>181</v>
      </c>
      <c r="N49" s="9"/>
      <c r="O49" s="9">
        <v>160</v>
      </c>
      <c r="P49" s="9">
        <f t="shared" si="19"/>
        <v>36.200000000000003</v>
      </c>
      <c r="Q49" s="4">
        <f t="shared" si="11"/>
        <v>271.60000000000002</v>
      </c>
      <c r="R49" s="4">
        <f>U49</f>
        <v>250</v>
      </c>
      <c r="S49" s="4"/>
      <c r="T49" s="4">
        <f t="shared" si="13"/>
        <v>250</v>
      </c>
      <c r="U49" s="4">
        <v>250</v>
      </c>
      <c r="V49" s="9" t="s">
        <v>168</v>
      </c>
      <c r="W49" s="9"/>
      <c r="X49" s="9">
        <f t="shared" si="7"/>
        <v>12.403314917127071</v>
      </c>
      <c r="Y49" s="9">
        <f t="shared" si="20"/>
        <v>5.4972375690607729</v>
      </c>
      <c r="Z49" s="9">
        <v>32.799999999999997</v>
      </c>
      <c r="AA49" s="9">
        <v>33.4</v>
      </c>
      <c r="AB49" s="9">
        <v>38.799999999999997</v>
      </c>
      <c r="AC49" s="9">
        <v>40.4</v>
      </c>
      <c r="AD49" s="9">
        <v>48</v>
      </c>
      <c r="AE49" s="9">
        <v>50.6</v>
      </c>
      <c r="AF49" s="9">
        <v>52.4</v>
      </c>
      <c r="AG49" s="9">
        <v>58.4</v>
      </c>
      <c r="AH49" s="9"/>
      <c r="AI49" s="9">
        <f t="shared" si="14"/>
        <v>88</v>
      </c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 x14ac:dyDescent="0.25">
      <c r="A50" s="9" t="s">
        <v>90</v>
      </c>
      <c r="B50" s="9" t="s">
        <v>41</v>
      </c>
      <c r="C50" s="9">
        <v>251</v>
      </c>
      <c r="D50" s="9">
        <v>1341</v>
      </c>
      <c r="E50" s="22">
        <f>278+E111</f>
        <v>289</v>
      </c>
      <c r="F50" s="22">
        <f>200+F111</f>
        <v>233</v>
      </c>
      <c r="G50" s="7">
        <v>0.35</v>
      </c>
      <c r="H50" s="9">
        <v>40</v>
      </c>
      <c r="I50" s="9" t="s">
        <v>37</v>
      </c>
      <c r="J50" s="9"/>
      <c r="K50" s="9">
        <v>307</v>
      </c>
      <c r="L50" s="9">
        <f t="shared" si="17"/>
        <v>-18</v>
      </c>
      <c r="M50" s="9">
        <f t="shared" si="18"/>
        <v>289</v>
      </c>
      <c r="N50" s="9"/>
      <c r="O50" s="9">
        <v>220</v>
      </c>
      <c r="P50" s="9">
        <f t="shared" si="19"/>
        <v>57.8</v>
      </c>
      <c r="Q50" s="4">
        <f t="shared" si="11"/>
        <v>298.39999999999998</v>
      </c>
      <c r="R50" s="4">
        <f t="shared" si="12"/>
        <v>298.39999999999998</v>
      </c>
      <c r="S50" s="4"/>
      <c r="T50" s="4">
        <f t="shared" si="13"/>
        <v>298.39999999999998</v>
      </c>
      <c r="U50" s="4"/>
      <c r="V50" s="9"/>
      <c r="W50" s="9"/>
      <c r="X50" s="9">
        <f t="shared" si="7"/>
        <v>13</v>
      </c>
      <c r="Y50" s="9">
        <f t="shared" si="20"/>
        <v>7.8373702422145328</v>
      </c>
      <c r="Z50" s="9">
        <v>62.6</v>
      </c>
      <c r="AA50" s="9">
        <v>58.2</v>
      </c>
      <c r="AB50" s="9">
        <v>70.400000000000006</v>
      </c>
      <c r="AC50" s="9">
        <v>64.599999999999994</v>
      </c>
      <c r="AD50" s="9">
        <v>69.2</v>
      </c>
      <c r="AE50" s="9">
        <v>87</v>
      </c>
      <c r="AF50" s="9">
        <v>89.6</v>
      </c>
      <c r="AG50" s="9">
        <v>70.2</v>
      </c>
      <c r="AH50" s="9"/>
      <c r="AI50" s="9">
        <f t="shared" si="14"/>
        <v>104</v>
      </c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 x14ac:dyDescent="0.25">
      <c r="A51" s="9" t="s">
        <v>91</v>
      </c>
      <c r="B51" s="9" t="s">
        <v>36</v>
      </c>
      <c r="C51" s="9">
        <v>994.52200000000005</v>
      </c>
      <c r="D51" s="9">
        <v>1204.8009999999999</v>
      </c>
      <c r="E51" s="9">
        <v>540.84699999999998</v>
      </c>
      <c r="F51" s="9">
        <v>570.53099999999995</v>
      </c>
      <c r="G51" s="7">
        <v>1</v>
      </c>
      <c r="H51" s="9">
        <v>50</v>
      </c>
      <c r="I51" s="13" t="s">
        <v>59</v>
      </c>
      <c r="J51" s="9"/>
      <c r="K51" s="9">
        <v>922.78300000000002</v>
      </c>
      <c r="L51" s="9">
        <f t="shared" si="17"/>
        <v>-381.93600000000004</v>
      </c>
      <c r="M51" s="9">
        <f t="shared" si="18"/>
        <v>258.35999999999996</v>
      </c>
      <c r="N51" s="9">
        <v>282.48700000000002</v>
      </c>
      <c r="O51" s="9"/>
      <c r="P51" s="9">
        <f t="shared" si="19"/>
        <v>51.67199999999999</v>
      </c>
      <c r="Q51" s="4">
        <f>14*P51-O51-F51</f>
        <v>152.87699999999995</v>
      </c>
      <c r="R51" s="4">
        <f>U51</f>
        <v>450</v>
      </c>
      <c r="S51" s="4"/>
      <c r="T51" s="4">
        <f t="shared" si="13"/>
        <v>450</v>
      </c>
      <c r="U51" s="4">
        <v>450</v>
      </c>
      <c r="V51" s="9" t="s">
        <v>167</v>
      </c>
      <c r="W51" s="9"/>
      <c r="X51" s="9">
        <f t="shared" si="7"/>
        <v>19.750174175568976</v>
      </c>
      <c r="Y51" s="9">
        <f t="shared" si="20"/>
        <v>11.041395726892709</v>
      </c>
      <c r="Z51" s="9">
        <v>77.430399999999992</v>
      </c>
      <c r="AA51" s="9">
        <v>96.968400000000003</v>
      </c>
      <c r="AB51" s="9">
        <v>71.672600000000003</v>
      </c>
      <c r="AC51" s="9">
        <v>130.85059999999999</v>
      </c>
      <c r="AD51" s="9">
        <v>119.2816</v>
      </c>
      <c r="AE51" s="9">
        <v>131.9444</v>
      </c>
      <c r="AF51" s="9">
        <v>92.121799999999993</v>
      </c>
      <c r="AG51" s="9">
        <v>129.41659999999999</v>
      </c>
      <c r="AH51" s="9"/>
      <c r="AI51" s="9">
        <f t="shared" si="14"/>
        <v>450</v>
      </c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 x14ac:dyDescent="0.25">
      <c r="A52" s="9" t="s">
        <v>92</v>
      </c>
      <c r="B52" s="9" t="s">
        <v>36</v>
      </c>
      <c r="C52" s="9">
        <v>133.36799999999999</v>
      </c>
      <c r="D52" s="9">
        <v>144.874</v>
      </c>
      <c r="E52" s="9">
        <v>115.726</v>
      </c>
      <c r="F52" s="9">
        <v>76.385999999999996</v>
      </c>
      <c r="G52" s="7">
        <v>1</v>
      </c>
      <c r="H52" s="9">
        <v>50</v>
      </c>
      <c r="I52" s="9" t="s">
        <v>37</v>
      </c>
      <c r="J52" s="9"/>
      <c r="K52" s="9">
        <v>135.239</v>
      </c>
      <c r="L52" s="9">
        <f t="shared" si="17"/>
        <v>-19.513000000000005</v>
      </c>
      <c r="M52" s="9">
        <f t="shared" si="18"/>
        <v>115.726</v>
      </c>
      <c r="N52" s="9"/>
      <c r="O52" s="9">
        <v>40</v>
      </c>
      <c r="P52" s="9">
        <f t="shared" si="19"/>
        <v>23.145199999999999</v>
      </c>
      <c r="Q52" s="4">
        <f t="shared" si="11"/>
        <v>184.50159999999997</v>
      </c>
      <c r="R52" s="4">
        <f t="shared" si="12"/>
        <v>184.50159999999997</v>
      </c>
      <c r="S52" s="4"/>
      <c r="T52" s="4">
        <f t="shared" si="13"/>
        <v>184.50159999999997</v>
      </c>
      <c r="U52" s="4"/>
      <c r="V52" s="9"/>
      <c r="W52" s="9"/>
      <c r="X52" s="9">
        <f t="shared" si="7"/>
        <v>12.999999999999998</v>
      </c>
      <c r="Y52" s="9">
        <f t="shared" si="20"/>
        <v>5.0285156317508601</v>
      </c>
      <c r="Z52" s="9">
        <v>19.932200000000002</v>
      </c>
      <c r="AA52" s="9">
        <v>16.100000000000001</v>
      </c>
      <c r="AB52" s="9">
        <v>25.444800000000001</v>
      </c>
      <c r="AC52" s="9">
        <v>18.702400000000001</v>
      </c>
      <c r="AD52" s="9">
        <v>29.655799999999999</v>
      </c>
      <c r="AE52" s="9">
        <v>24.0916</v>
      </c>
      <c r="AF52" s="9">
        <v>24.402000000000001</v>
      </c>
      <c r="AG52" s="9">
        <v>26.760200000000001</v>
      </c>
      <c r="AH52" s="9"/>
      <c r="AI52" s="9">
        <f t="shared" si="14"/>
        <v>185</v>
      </c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 x14ac:dyDescent="0.25">
      <c r="A53" s="9" t="s">
        <v>93</v>
      </c>
      <c r="B53" s="9" t="s">
        <v>36</v>
      </c>
      <c r="C53" s="9">
        <v>118.473</v>
      </c>
      <c r="D53" s="9">
        <v>5.0000000000000001E-3</v>
      </c>
      <c r="E53" s="9">
        <v>12.901999999999999</v>
      </c>
      <c r="F53" s="9">
        <v>105.01600000000001</v>
      </c>
      <c r="G53" s="7">
        <v>1</v>
      </c>
      <c r="H53" s="9" t="e">
        <v>#N/A</v>
      </c>
      <c r="I53" s="9" t="s">
        <v>37</v>
      </c>
      <c r="J53" s="9"/>
      <c r="K53" s="9">
        <v>28.466000000000001</v>
      </c>
      <c r="L53" s="9">
        <f t="shared" si="17"/>
        <v>-15.564000000000002</v>
      </c>
      <c r="M53" s="9">
        <f t="shared" si="18"/>
        <v>12.901999999999999</v>
      </c>
      <c r="N53" s="9"/>
      <c r="O53" s="9"/>
      <c r="P53" s="9">
        <f t="shared" si="19"/>
        <v>2.5804</v>
      </c>
      <c r="Q53" s="4"/>
      <c r="R53" s="4">
        <f t="shared" si="12"/>
        <v>0</v>
      </c>
      <c r="S53" s="4"/>
      <c r="T53" s="4">
        <f t="shared" si="13"/>
        <v>0</v>
      </c>
      <c r="U53" s="4"/>
      <c r="V53" s="9"/>
      <c r="W53" s="9"/>
      <c r="X53" s="9">
        <f t="shared" si="7"/>
        <v>40.697566268795541</v>
      </c>
      <c r="Y53" s="9">
        <f t="shared" si="20"/>
        <v>40.697566268795541</v>
      </c>
      <c r="Z53" s="9">
        <v>2.6907999999999999</v>
      </c>
      <c r="AA53" s="9">
        <v>7.1821999999999999</v>
      </c>
      <c r="AB53" s="9">
        <v>0</v>
      </c>
      <c r="AC53" s="9">
        <v>0</v>
      </c>
      <c r="AD53" s="9">
        <v>14.995200000000001</v>
      </c>
      <c r="AE53" s="9">
        <v>21.6282</v>
      </c>
      <c r="AF53" s="9">
        <v>9.6508000000000003</v>
      </c>
      <c r="AG53" s="9">
        <v>9.5650000000000013</v>
      </c>
      <c r="AH53" s="14" t="s">
        <v>60</v>
      </c>
      <c r="AI53" s="9">
        <f t="shared" si="14"/>
        <v>0</v>
      </c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 x14ac:dyDescent="0.25">
      <c r="A54" s="9" t="s">
        <v>94</v>
      </c>
      <c r="B54" s="9" t="s">
        <v>36</v>
      </c>
      <c r="C54" s="9">
        <v>348.18</v>
      </c>
      <c r="D54" s="9">
        <v>27.189</v>
      </c>
      <c r="E54" s="9">
        <v>30.722000000000001</v>
      </c>
      <c r="F54" s="9">
        <v>330.40600000000001</v>
      </c>
      <c r="G54" s="7">
        <v>1</v>
      </c>
      <c r="H54" s="9">
        <v>40</v>
      </c>
      <c r="I54" s="11" t="s">
        <v>95</v>
      </c>
      <c r="J54" s="9"/>
      <c r="K54" s="9">
        <v>37.965000000000003</v>
      </c>
      <c r="L54" s="9">
        <f t="shared" si="17"/>
        <v>-7.2430000000000021</v>
      </c>
      <c r="M54" s="9">
        <f t="shared" si="18"/>
        <v>26.452000000000002</v>
      </c>
      <c r="N54" s="9">
        <v>4.2699999999999996</v>
      </c>
      <c r="O54" s="9"/>
      <c r="P54" s="9">
        <f t="shared" si="19"/>
        <v>5.2904</v>
      </c>
      <c r="Q54" s="4"/>
      <c r="R54" s="4">
        <f>U54</f>
        <v>50</v>
      </c>
      <c r="S54" s="4"/>
      <c r="T54" s="4">
        <f t="shared" si="13"/>
        <v>50</v>
      </c>
      <c r="U54" s="4">
        <v>50</v>
      </c>
      <c r="V54" s="9" t="s">
        <v>167</v>
      </c>
      <c r="W54" s="9"/>
      <c r="X54" s="9">
        <f t="shared" si="7"/>
        <v>71.904959927415703</v>
      </c>
      <c r="Y54" s="9">
        <f t="shared" si="20"/>
        <v>62.453878723725992</v>
      </c>
      <c r="Z54" s="9">
        <v>3.3062</v>
      </c>
      <c r="AA54" s="9">
        <v>4.1543999999999999</v>
      </c>
      <c r="AB54" s="9">
        <v>7.0548000000000002</v>
      </c>
      <c r="AC54" s="9">
        <v>38.9998</v>
      </c>
      <c r="AD54" s="9">
        <v>5.7732000000000001</v>
      </c>
      <c r="AE54" s="9">
        <v>47.736199999999997</v>
      </c>
      <c r="AF54" s="9">
        <v>24.135200000000001</v>
      </c>
      <c r="AG54" s="9">
        <v>29.631799999999998</v>
      </c>
      <c r="AH54" s="12" t="s">
        <v>164</v>
      </c>
      <c r="AI54" s="9">
        <f t="shared" si="14"/>
        <v>50</v>
      </c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 x14ac:dyDescent="0.25">
      <c r="A55" s="9" t="s">
        <v>96</v>
      </c>
      <c r="B55" s="9" t="s">
        <v>41</v>
      </c>
      <c r="C55" s="9">
        <v>1379</v>
      </c>
      <c r="D55" s="9">
        <v>963</v>
      </c>
      <c r="E55" s="22">
        <f>334+E112</f>
        <v>647</v>
      </c>
      <c r="F55" s="22">
        <f>400+F112</f>
        <v>582</v>
      </c>
      <c r="G55" s="7">
        <v>0.45</v>
      </c>
      <c r="H55" s="9">
        <v>50</v>
      </c>
      <c r="I55" s="9" t="s">
        <v>37</v>
      </c>
      <c r="J55" s="9"/>
      <c r="K55" s="9">
        <v>412</v>
      </c>
      <c r="L55" s="9">
        <f t="shared" si="17"/>
        <v>235</v>
      </c>
      <c r="M55" s="9">
        <f t="shared" si="18"/>
        <v>647</v>
      </c>
      <c r="N55" s="9"/>
      <c r="O55" s="9">
        <v>550</v>
      </c>
      <c r="P55" s="9">
        <f t="shared" si="19"/>
        <v>129.4</v>
      </c>
      <c r="Q55" s="4">
        <f t="shared" si="11"/>
        <v>550.20000000000005</v>
      </c>
      <c r="R55" s="4">
        <f t="shared" si="12"/>
        <v>550.20000000000005</v>
      </c>
      <c r="S55" s="4"/>
      <c r="T55" s="4">
        <f t="shared" si="13"/>
        <v>550.20000000000005</v>
      </c>
      <c r="U55" s="4"/>
      <c r="V55" s="9"/>
      <c r="W55" s="9"/>
      <c r="X55" s="9">
        <f t="shared" si="7"/>
        <v>13</v>
      </c>
      <c r="Y55" s="9">
        <f t="shared" si="20"/>
        <v>8.748068006182379</v>
      </c>
      <c r="Z55" s="9">
        <v>150.19999999999999</v>
      </c>
      <c r="AA55" s="9">
        <v>134.4</v>
      </c>
      <c r="AB55" s="9">
        <v>146.4</v>
      </c>
      <c r="AC55" s="9">
        <v>163.80000000000001</v>
      </c>
      <c r="AD55" s="9">
        <v>175.4</v>
      </c>
      <c r="AE55" s="9">
        <v>180.2</v>
      </c>
      <c r="AF55" s="9">
        <v>166.8</v>
      </c>
      <c r="AG55" s="9">
        <v>203.8</v>
      </c>
      <c r="AH55" s="9"/>
      <c r="AI55" s="9">
        <f t="shared" si="14"/>
        <v>248</v>
      </c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x14ac:dyDescent="0.25">
      <c r="A56" s="9" t="s">
        <v>97</v>
      </c>
      <c r="B56" s="9" t="s">
        <v>36</v>
      </c>
      <c r="C56" s="9">
        <v>223.465</v>
      </c>
      <c r="D56" s="9">
        <v>38.646999999999998</v>
      </c>
      <c r="E56" s="9">
        <v>37.93</v>
      </c>
      <c r="F56" s="9">
        <v>188.58799999999999</v>
      </c>
      <c r="G56" s="7">
        <v>1</v>
      </c>
      <c r="H56" s="9">
        <v>40</v>
      </c>
      <c r="I56" s="9" t="s">
        <v>37</v>
      </c>
      <c r="J56" s="9"/>
      <c r="K56" s="9">
        <v>66.933999999999997</v>
      </c>
      <c r="L56" s="9">
        <f t="shared" si="17"/>
        <v>-29.003999999999998</v>
      </c>
      <c r="M56" s="9">
        <f t="shared" si="18"/>
        <v>12.187000000000001</v>
      </c>
      <c r="N56" s="9">
        <v>25.742999999999999</v>
      </c>
      <c r="O56" s="9"/>
      <c r="P56" s="9">
        <f t="shared" si="19"/>
        <v>2.4374000000000002</v>
      </c>
      <c r="Q56" s="4"/>
      <c r="R56" s="4">
        <f t="shared" si="12"/>
        <v>0</v>
      </c>
      <c r="S56" s="4"/>
      <c r="T56" s="4">
        <f t="shared" si="13"/>
        <v>0</v>
      </c>
      <c r="U56" s="4"/>
      <c r="V56" s="9"/>
      <c r="W56" s="9"/>
      <c r="X56" s="9">
        <f t="shared" si="7"/>
        <v>77.372610158365461</v>
      </c>
      <c r="Y56" s="9">
        <f t="shared" si="20"/>
        <v>77.372610158365461</v>
      </c>
      <c r="Z56" s="9">
        <v>12.1904</v>
      </c>
      <c r="AA56" s="9">
        <v>7.8947999999999992</v>
      </c>
      <c r="AB56" s="9">
        <v>8.3186</v>
      </c>
      <c r="AC56" s="9">
        <v>28.306799999999999</v>
      </c>
      <c r="AD56" s="9">
        <v>17.661200000000001</v>
      </c>
      <c r="AE56" s="9">
        <v>50.070399999999999</v>
      </c>
      <c r="AF56" s="9">
        <v>28.796199999999999</v>
      </c>
      <c r="AG56" s="9">
        <v>23.560600000000001</v>
      </c>
      <c r="AH56" s="14" t="s">
        <v>60</v>
      </c>
      <c r="AI56" s="9">
        <f t="shared" si="14"/>
        <v>0</v>
      </c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x14ac:dyDescent="0.25">
      <c r="A57" s="9" t="s">
        <v>98</v>
      </c>
      <c r="B57" s="9" t="s">
        <v>41</v>
      </c>
      <c r="C57" s="9">
        <v>645</v>
      </c>
      <c r="D57" s="9">
        <v>1880</v>
      </c>
      <c r="E57" s="9">
        <v>384</v>
      </c>
      <c r="F57" s="9">
        <v>413</v>
      </c>
      <c r="G57" s="7">
        <v>0.45</v>
      </c>
      <c r="H57" s="9">
        <v>50</v>
      </c>
      <c r="I57" s="9" t="s">
        <v>37</v>
      </c>
      <c r="J57" s="9"/>
      <c r="K57" s="9">
        <v>460</v>
      </c>
      <c r="L57" s="9">
        <f t="shared" si="17"/>
        <v>-76</v>
      </c>
      <c r="M57" s="9">
        <f t="shared" si="18"/>
        <v>384</v>
      </c>
      <c r="N57" s="9"/>
      <c r="O57" s="9">
        <v>280</v>
      </c>
      <c r="P57" s="9">
        <f t="shared" si="19"/>
        <v>76.8</v>
      </c>
      <c r="Q57" s="4">
        <f t="shared" si="11"/>
        <v>305.39999999999998</v>
      </c>
      <c r="R57" s="4">
        <f t="shared" si="12"/>
        <v>305.39999999999998</v>
      </c>
      <c r="S57" s="4"/>
      <c r="T57" s="4">
        <f t="shared" si="13"/>
        <v>305.39999999999998</v>
      </c>
      <c r="U57" s="4"/>
      <c r="V57" s="9"/>
      <c r="W57" s="9"/>
      <c r="X57" s="9">
        <f t="shared" si="7"/>
        <v>13</v>
      </c>
      <c r="Y57" s="9">
        <f t="shared" si="20"/>
        <v>9.0234375</v>
      </c>
      <c r="Z57" s="9">
        <v>94.2</v>
      </c>
      <c r="AA57" s="9">
        <v>87.8</v>
      </c>
      <c r="AB57" s="9">
        <v>107.8</v>
      </c>
      <c r="AC57" s="9">
        <v>108</v>
      </c>
      <c r="AD57" s="9">
        <v>118</v>
      </c>
      <c r="AE57" s="9">
        <v>127.6</v>
      </c>
      <c r="AF57" s="9">
        <v>129.80000000000001</v>
      </c>
      <c r="AG57" s="9">
        <v>144.19999999999999</v>
      </c>
      <c r="AH57" s="9"/>
      <c r="AI57" s="9">
        <f t="shared" si="14"/>
        <v>137</v>
      </c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x14ac:dyDescent="0.25">
      <c r="A58" s="9" t="s">
        <v>99</v>
      </c>
      <c r="B58" s="9" t="s">
        <v>41</v>
      </c>
      <c r="C58" s="9">
        <v>212</v>
      </c>
      <c r="D58" s="9">
        <v>422</v>
      </c>
      <c r="E58" s="9">
        <v>162</v>
      </c>
      <c r="F58" s="9"/>
      <c r="G58" s="7">
        <v>0.45</v>
      </c>
      <c r="H58" s="9">
        <v>50</v>
      </c>
      <c r="I58" s="9" t="s">
        <v>37</v>
      </c>
      <c r="J58" s="9"/>
      <c r="K58" s="9">
        <v>244</v>
      </c>
      <c r="L58" s="9">
        <f t="shared" si="17"/>
        <v>-82</v>
      </c>
      <c r="M58" s="9">
        <f t="shared" si="18"/>
        <v>162</v>
      </c>
      <c r="N58" s="9"/>
      <c r="O58" s="9">
        <v>510</v>
      </c>
      <c r="P58" s="9">
        <f t="shared" si="19"/>
        <v>32.4</v>
      </c>
      <c r="Q58" s="4"/>
      <c r="R58" s="4">
        <f t="shared" si="12"/>
        <v>0</v>
      </c>
      <c r="S58" s="4"/>
      <c r="T58" s="4">
        <f t="shared" si="13"/>
        <v>0</v>
      </c>
      <c r="U58" s="4"/>
      <c r="V58" s="9"/>
      <c r="W58" s="9"/>
      <c r="X58" s="9">
        <f t="shared" si="7"/>
        <v>15.740740740740742</v>
      </c>
      <c r="Y58" s="9">
        <f t="shared" si="20"/>
        <v>15.740740740740742</v>
      </c>
      <c r="Z58" s="9">
        <v>61</v>
      </c>
      <c r="AA58" s="9">
        <v>42.2</v>
      </c>
      <c r="AB58" s="9">
        <v>59.2</v>
      </c>
      <c r="AC58" s="9">
        <v>60.4</v>
      </c>
      <c r="AD58" s="9">
        <v>63</v>
      </c>
      <c r="AE58" s="9">
        <v>70.8</v>
      </c>
      <c r="AF58" s="9">
        <v>70</v>
      </c>
      <c r="AG58" s="9">
        <v>81.400000000000006</v>
      </c>
      <c r="AH58" s="9"/>
      <c r="AI58" s="9">
        <f t="shared" si="14"/>
        <v>0</v>
      </c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x14ac:dyDescent="0.25">
      <c r="A59" s="9" t="s">
        <v>100</v>
      </c>
      <c r="B59" s="9" t="s">
        <v>41</v>
      </c>
      <c r="C59" s="9"/>
      <c r="D59" s="9">
        <v>292</v>
      </c>
      <c r="E59" s="9">
        <v>74</v>
      </c>
      <c r="F59" s="9">
        <v>56</v>
      </c>
      <c r="G59" s="7">
        <v>0.4</v>
      </c>
      <c r="H59" s="9" t="e">
        <v>#N/A</v>
      </c>
      <c r="I59" s="9" t="s">
        <v>37</v>
      </c>
      <c r="J59" s="9"/>
      <c r="K59" s="9">
        <v>77</v>
      </c>
      <c r="L59" s="9">
        <f t="shared" si="17"/>
        <v>-3</v>
      </c>
      <c r="M59" s="9">
        <f t="shared" si="18"/>
        <v>74</v>
      </c>
      <c r="N59" s="9"/>
      <c r="O59" s="9"/>
      <c r="P59" s="9">
        <f t="shared" si="19"/>
        <v>14.8</v>
      </c>
      <c r="Q59" s="4">
        <f>12*P59-O59-F59</f>
        <v>121.60000000000002</v>
      </c>
      <c r="R59" s="4">
        <f t="shared" si="12"/>
        <v>121.60000000000002</v>
      </c>
      <c r="S59" s="4"/>
      <c r="T59" s="4">
        <f t="shared" si="13"/>
        <v>121.60000000000002</v>
      </c>
      <c r="U59" s="4"/>
      <c r="V59" s="9"/>
      <c r="W59" s="9"/>
      <c r="X59" s="9">
        <f t="shared" si="7"/>
        <v>12.000000000000002</v>
      </c>
      <c r="Y59" s="9">
        <f t="shared" si="20"/>
        <v>3.7837837837837838</v>
      </c>
      <c r="Z59" s="9">
        <v>4.8</v>
      </c>
      <c r="AA59" s="9">
        <v>15.8</v>
      </c>
      <c r="AB59" s="9">
        <v>0.2</v>
      </c>
      <c r="AC59" s="9">
        <v>14.6</v>
      </c>
      <c r="AD59" s="9">
        <v>0</v>
      </c>
      <c r="AE59" s="9">
        <v>11.4</v>
      </c>
      <c r="AF59" s="9">
        <v>0</v>
      </c>
      <c r="AG59" s="9">
        <v>2</v>
      </c>
      <c r="AH59" s="9" t="s">
        <v>43</v>
      </c>
      <c r="AI59" s="9">
        <f t="shared" si="14"/>
        <v>49</v>
      </c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 x14ac:dyDescent="0.25">
      <c r="A60" s="9" t="s">
        <v>101</v>
      </c>
      <c r="B60" s="9" t="s">
        <v>36</v>
      </c>
      <c r="C60" s="9">
        <v>142.89099999999999</v>
      </c>
      <c r="D60" s="9">
        <v>456.27100000000002</v>
      </c>
      <c r="E60" s="9">
        <v>180.83699999999999</v>
      </c>
      <c r="F60" s="9">
        <v>261.10700000000003</v>
      </c>
      <c r="G60" s="7">
        <v>1</v>
      </c>
      <c r="H60" s="9">
        <v>50</v>
      </c>
      <c r="I60" s="9" t="s">
        <v>37</v>
      </c>
      <c r="J60" s="9"/>
      <c r="K60" s="9">
        <v>232.53700000000001</v>
      </c>
      <c r="L60" s="9">
        <f t="shared" si="17"/>
        <v>-51.700000000000017</v>
      </c>
      <c r="M60" s="9">
        <f t="shared" si="18"/>
        <v>170.14999999999998</v>
      </c>
      <c r="N60" s="9">
        <v>10.686999999999999</v>
      </c>
      <c r="O60" s="9">
        <v>30</v>
      </c>
      <c r="P60" s="9">
        <f t="shared" si="19"/>
        <v>34.029999999999994</v>
      </c>
      <c r="Q60" s="4">
        <f t="shared" si="11"/>
        <v>151.2829999999999</v>
      </c>
      <c r="R60" s="4">
        <f t="shared" si="12"/>
        <v>151.2829999999999</v>
      </c>
      <c r="S60" s="4"/>
      <c r="T60" s="4">
        <f t="shared" si="13"/>
        <v>151.2829999999999</v>
      </c>
      <c r="U60" s="4"/>
      <c r="V60" s="9"/>
      <c r="W60" s="9"/>
      <c r="X60" s="9">
        <f t="shared" si="7"/>
        <v>13</v>
      </c>
      <c r="Y60" s="9">
        <f t="shared" si="20"/>
        <v>8.5544225683220709</v>
      </c>
      <c r="Z60" s="9">
        <v>38.4084</v>
      </c>
      <c r="AA60" s="9">
        <v>57.887999999999998</v>
      </c>
      <c r="AB60" s="9">
        <v>42.851199999999999</v>
      </c>
      <c r="AC60" s="9">
        <v>37.559199999999997</v>
      </c>
      <c r="AD60" s="9">
        <v>73.186400000000006</v>
      </c>
      <c r="AE60" s="9">
        <v>50.723999999999997</v>
      </c>
      <c r="AF60" s="9">
        <v>55.991200000000013</v>
      </c>
      <c r="AG60" s="9">
        <v>51.560199999999988</v>
      </c>
      <c r="AH60" s="9"/>
      <c r="AI60" s="9">
        <f t="shared" si="14"/>
        <v>151</v>
      </c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 x14ac:dyDescent="0.25">
      <c r="A61" s="9" t="s">
        <v>102</v>
      </c>
      <c r="B61" s="9" t="s">
        <v>36</v>
      </c>
      <c r="C61" s="9">
        <v>54.584000000000003</v>
      </c>
      <c r="D61" s="9">
        <v>27.219000000000001</v>
      </c>
      <c r="E61" s="9">
        <v>15.631</v>
      </c>
      <c r="F61" s="9">
        <v>39.905999999999999</v>
      </c>
      <c r="G61" s="7">
        <v>1</v>
      </c>
      <c r="H61" s="9">
        <v>40</v>
      </c>
      <c r="I61" s="9" t="s">
        <v>37</v>
      </c>
      <c r="J61" s="9"/>
      <c r="K61" s="9">
        <v>19.757000000000001</v>
      </c>
      <c r="L61" s="9">
        <f t="shared" si="17"/>
        <v>-4.1260000000000012</v>
      </c>
      <c r="M61" s="9">
        <f t="shared" si="18"/>
        <v>15.631</v>
      </c>
      <c r="N61" s="9"/>
      <c r="O61" s="9">
        <v>1</v>
      </c>
      <c r="P61" s="9">
        <f t="shared" si="19"/>
        <v>3.1261999999999999</v>
      </c>
      <c r="Q61" s="4"/>
      <c r="R61" s="4">
        <f t="shared" si="12"/>
        <v>0</v>
      </c>
      <c r="S61" s="4"/>
      <c r="T61" s="4">
        <f t="shared" si="13"/>
        <v>0</v>
      </c>
      <c r="U61" s="4"/>
      <c r="V61" s="9"/>
      <c r="W61" s="9"/>
      <c r="X61" s="9">
        <f t="shared" si="7"/>
        <v>13.084895400166337</v>
      </c>
      <c r="Y61" s="9">
        <f t="shared" si="20"/>
        <v>13.084895400166337</v>
      </c>
      <c r="Z61" s="9">
        <v>4.5987999999999998</v>
      </c>
      <c r="AA61" s="9">
        <v>1.4334</v>
      </c>
      <c r="AB61" s="9">
        <v>6.4248000000000003</v>
      </c>
      <c r="AC61" s="9">
        <v>9.5671999999999997</v>
      </c>
      <c r="AD61" s="9">
        <v>6.0990000000000002</v>
      </c>
      <c r="AE61" s="9">
        <v>3.0375999999999999</v>
      </c>
      <c r="AF61" s="9">
        <v>7.4992000000000001</v>
      </c>
      <c r="AG61" s="9">
        <v>4.6121999999999996</v>
      </c>
      <c r="AH61" s="9"/>
      <c r="AI61" s="9">
        <f t="shared" si="14"/>
        <v>0</v>
      </c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 x14ac:dyDescent="0.25">
      <c r="A62" s="9" t="s">
        <v>103</v>
      </c>
      <c r="B62" s="9" t="s">
        <v>41</v>
      </c>
      <c r="C62" s="9">
        <v>539</v>
      </c>
      <c r="D62" s="9">
        <v>1133</v>
      </c>
      <c r="E62" s="9">
        <v>167</v>
      </c>
      <c r="F62" s="9">
        <v>371</v>
      </c>
      <c r="G62" s="7">
        <v>0.1</v>
      </c>
      <c r="H62" s="9">
        <v>730</v>
      </c>
      <c r="I62" s="9" t="s">
        <v>37</v>
      </c>
      <c r="J62" s="9"/>
      <c r="K62" s="9">
        <v>169</v>
      </c>
      <c r="L62" s="9">
        <f t="shared" si="17"/>
        <v>-2</v>
      </c>
      <c r="M62" s="9">
        <f t="shared" si="18"/>
        <v>167</v>
      </c>
      <c r="N62" s="9"/>
      <c r="O62" s="9">
        <v>300</v>
      </c>
      <c r="P62" s="9">
        <f t="shared" si="19"/>
        <v>33.4</v>
      </c>
      <c r="Q62" s="4"/>
      <c r="R62" s="4">
        <f t="shared" si="12"/>
        <v>0</v>
      </c>
      <c r="S62" s="4"/>
      <c r="T62" s="4">
        <f t="shared" si="13"/>
        <v>0</v>
      </c>
      <c r="U62" s="4"/>
      <c r="V62" s="9"/>
      <c r="W62" s="9"/>
      <c r="X62" s="9">
        <f t="shared" si="7"/>
        <v>20.08982035928144</v>
      </c>
      <c r="Y62" s="9">
        <f t="shared" si="20"/>
        <v>20.08982035928144</v>
      </c>
      <c r="Z62" s="9">
        <v>45.2</v>
      </c>
      <c r="AA62" s="9">
        <v>35.200000000000003</v>
      </c>
      <c r="AB62" s="9">
        <v>36</v>
      </c>
      <c r="AC62" s="9">
        <v>31.4</v>
      </c>
      <c r="AD62" s="9">
        <v>140.80000000000001</v>
      </c>
      <c r="AE62" s="9">
        <v>61.6</v>
      </c>
      <c r="AF62" s="9">
        <v>44</v>
      </c>
      <c r="AG62" s="9">
        <v>94.2</v>
      </c>
      <c r="AH62" s="9"/>
      <c r="AI62" s="9">
        <f t="shared" si="14"/>
        <v>0</v>
      </c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 x14ac:dyDescent="0.25">
      <c r="A63" s="9" t="s">
        <v>104</v>
      </c>
      <c r="B63" s="9" t="s">
        <v>36</v>
      </c>
      <c r="C63" s="9">
        <v>9.1539999999999999</v>
      </c>
      <c r="D63" s="9">
        <v>83.100999999999999</v>
      </c>
      <c r="E63" s="9">
        <v>61.398000000000003</v>
      </c>
      <c r="F63" s="9">
        <v>20.048999999999999</v>
      </c>
      <c r="G63" s="7">
        <v>1</v>
      </c>
      <c r="H63" s="9">
        <v>50</v>
      </c>
      <c r="I63" s="9" t="s">
        <v>37</v>
      </c>
      <c r="J63" s="9"/>
      <c r="K63" s="9">
        <v>77.983000000000004</v>
      </c>
      <c r="L63" s="9">
        <f t="shared" si="17"/>
        <v>-16.585000000000001</v>
      </c>
      <c r="M63" s="9">
        <f t="shared" si="18"/>
        <v>61.398000000000003</v>
      </c>
      <c r="N63" s="9"/>
      <c r="O63" s="9">
        <v>52</v>
      </c>
      <c r="P63" s="9">
        <f t="shared" si="19"/>
        <v>12.2796</v>
      </c>
      <c r="Q63" s="4">
        <f t="shared" si="11"/>
        <v>87.585800000000006</v>
      </c>
      <c r="R63" s="4">
        <f t="shared" si="12"/>
        <v>87.585800000000006</v>
      </c>
      <c r="S63" s="4"/>
      <c r="T63" s="4">
        <f t="shared" si="13"/>
        <v>87.585800000000006</v>
      </c>
      <c r="U63" s="4"/>
      <c r="V63" s="9"/>
      <c r="W63" s="9"/>
      <c r="X63" s="9">
        <f t="shared" si="7"/>
        <v>13</v>
      </c>
      <c r="Y63" s="9">
        <f t="shared" si="20"/>
        <v>5.8673735300824132</v>
      </c>
      <c r="Z63" s="9">
        <v>8.9890000000000008</v>
      </c>
      <c r="AA63" s="9">
        <v>7.6745999999999999</v>
      </c>
      <c r="AB63" s="9">
        <v>8.391</v>
      </c>
      <c r="AC63" s="9">
        <v>8.8355999999999995</v>
      </c>
      <c r="AD63" s="9">
        <v>12.0486</v>
      </c>
      <c r="AE63" s="9">
        <v>10.845800000000001</v>
      </c>
      <c r="AF63" s="9">
        <v>12.7346</v>
      </c>
      <c r="AG63" s="9">
        <v>11.509399999999999</v>
      </c>
      <c r="AH63" s="9"/>
      <c r="AI63" s="9">
        <f t="shared" si="14"/>
        <v>88</v>
      </c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 x14ac:dyDescent="0.25">
      <c r="A64" s="9" t="s">
        <v>105</v>
      </c>
      <c r="B64" s="9" t="s">
        <v>41</v>
      </c>
      <c r="C64" s="9">
        <v>213</v>
      </c>
      <c r="D64" s="9">
        <v>79</v>
      </c>
      <c r="E64" s="9">
        <v>120</v>
      </c>
      <c r="F64" s="9">
        <v>88</v>
      </c>
      <c r="G64" s="7">
        <v>0.1</v>
      </c>
      <c r="H64" s="9">
        <v>730</v>
      </c>
      <c r="I64" s="9" t="s">
        <v>37</v>
      </c>
      <c r="J64" s="9"/>
      <c r="K64" s="9">
        <v>129</v>
      </c>
      <c r="L64" s="9">
        <f t="shared" si="17"/>
        <v>-9</v>
      </c>
      <c r="M64" s="9">
        <f t="shared" si="18"/>
        <v>120</v>
      </c>
      <c r="N64" s="9"/>
      <c r="O64" s="9">
        <v>300</v>
      </c>
      <c r="P64" s="9">
        <f t="shared" si="19"/>
        <v>24</v>
      </c>
      <c r="Q64" s="4"/>
      <c r="R64" s="4">
        <f t="shared" si="12"/>
        <v>0</v>
      </c>
      <c r="S64" s="4"/>
      <c r="T64" s="4">
        <f t="shared" si="13"/>
        <v>0</v>
      </c>
      <c r="U64" s="4"/>
      <c r="V64" s="9"/>
      <c r="W64" s="9"/>
      <c r="X64" s="9">
        <f t="shared" si="7"/>
        <v>16.166666666666668</v>
      </c>
      <c r="Y64" s="9">
        <f t="shared" si="20"/>
        <v>16.166666666666668</v>
      </c>
      <c r="Z64" s="9">
        <v>32</v>
      </c>
      <c r="AA64" s="9">
        <v>27.6</v>
      </c>
      <c r="AB64" s="9">
        <v>37.6</v>
      </c>
      <c r="AC64" s="9">
        <v>39.4</v>
      </c>
      <c r="AD64" s="9">
        <v>50.2</v>
      </c>
      <c r="AE64" s="9">
        <v>45.8</v>
      </c>
      <c r="AF64" s="9">
        <v>40.200000000000003</v>
      </c>
      <c r="AG64" s="9">
        <v>33.200000000000003</v>
      </c>
      <c r="AH64" s="9"/>
      <c r="AI64" s="9">
        <f t="shared" si="14"/>
        <v>0</v>
      </c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 x14ac:dyDescent="0.25">
      <c r="A65" s="9" t="s">
        <v>106</v>
      </c>
      <c r="B65" s="9" t="s">
        <v>41</v>
      </c>
      <c r="C65" s="9">
        <v>183</v>
      </c>
      <c r="D65" s="9">
        <v>1151</v>
      </c>
      <c r="E65" s="9">
        <v>244</v>
      </c>
      <c r="F65" s="9">
        <v>313</v>
      </c>
      <c r="G65" s="7">
        <v>0.4</v>
      </c>
      <c r="H65" s="9">
        <v>40</v>
      </c>
      <c r="I65" s="9" t="s">
        <v>37</v>
      </c>
      <c r="J65" s="9"/>
      <c r="K65" s="9">
        <v>295</v>
      </c>
      <c r="L65" s="9">
        <f t="shared" si="17"/>
        <v>-51</v>
      </c>
      <c r="M65" s="9">
        <f t="shared" si="18"/>
        <v>244</v>
      </c>
      <c r="N65" s="9"/>
      <c r="O65" s="9"/>
      <c r="P65" s="9">
        <f t="shared" si="19"/>
        <v>48.8</v>
      </c>
      <c r="Q65" s="4">
        <f t="shared" si="11"/>
        <v>321.39999999999998</v>
      </c>
      <c r="R65" s="4">
        <f t="shared" si="12"/>
        <v>321.39999999999998</v>
      </c>
      <c r="S65" s="4"/>
      <c r="T65" s="4">
        <f t="shared" si="13"/>
        <v>321.39999999999998</v>
      </c>
      <c r="U65" s="4"/>
      <c r="V65" s="9"/>
      <c r="W65" s="9"/>
      <c r="X65" s="9">
        <f t="shared" si="7"/>
        <v>13</v>
      </c>
      <c r="Y65" s="9">
        <f t="shared" si="20"/>
        <v>6.4139344262295088</v>
      </c>
      <c r="Z65" s="9">
        <v>47</v>
      </c>
      <c r="AA65" s="9">
        <v>53.8</v>
      </c>
      <c r="AB65" s="9">
        <v>55.8</v>
      </c>
      <c r="AC65" s="9">
        <v>59.6</v>
      </c>
      <c r="AD65" s="9">
        <v>61.2</v>
      </c>
      <c r="AE65" s="9">
        <v>76.599999999999994</v>
      </c>
      <c r="AF65" s="9">
        <v>77.2</v>
      </c>
      <c r="AG65" s="9">
        <v>71.8</v>
      </c>
      <c r="AH65" s="9"/>
      <c r="AI65" s="9">
        <f t="shared" si="14"/>
        <v>129</v>
      </c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x14ac:dyDescent="0.25">
      <c r="A66" s="9" t="s">
        <v>107</v>
      </c>
      <c r="B66" s="9" t="s">
        <v>41</v>
      </c>
      <c r="C66" s="9">
        <v>181</v>
      </c>
      <c r="D66" s="9">
        <v>566</v>
      </c>
      <c r="E66" s="9">
        <v>217</v>
      </c>
      <c r="F66" s="9">
        <v>89</v>
      </c>
      <c r="G66" s="7">
        <v>0.4</v>
      </c>
      <c r="H66" s="9">
        <v>40</v>
      </c>
      <c r="I66" s="9" t="s">
        <v>37</v>
      </c>
      <c r="J66" s="9"/>
      <c r="K66" s="9">
        <v>243</v>
      </c>
      <c r="L66" s="9">
        <f t="shared" si="17"/>
        <v>-26</v>
      </c>
      <c r="M66" s="9">
        <f t="shared" si="18"/>
        <v>217</v>
      </c>
      <c r="N66" s="9"/>
      <c r="O66" s="9">
        <v>120</v>
      </c>
      <c r="P66" s="9">
        <f t="shared" si="19"/>
        <v>43.4</v>
      </c>
      <c r="Q66" s="4">
        <f t="shared" si="11"/>
        <v>355.19999999999993</v>
      </c>
      <c r="R66" s="4">
        <f t="shared" ref="R66:R67" si="22">U66</f>
        <v>300</v>
      </c>
      <c r="S66" s="4"/>
      <c r="T66" s="4">
        <f t="shared" si="13"/>
        <v>300</v>
      </c>
      <c r="U66" s="4">
        <v>300</v>
      </c>
      <c r="V66" s="9" t="s">
        <v>168</v>
      </c>
      <c r="W66" s="9"/>
      <c r="X66" s="9">
        <f t="shared" si="7"/>
        <v>11.728110599078342</v>
      </c>
      <c r="Y66" s="9">
        <f t="shared" si="20"/>
        <v>4.8156682027649769</v>
      </c>
      <c r="Z66" s="9">
        <v>37.4</v>
      </c>
      <c r="AA66" s="9">
        <v>42.6</v>
      </c>
      <c r="AB66" s="9">
        <v>50.2</v>
      </c>
      <c r="AC66" s="9">
        <v>55</v>
      </c>
      <c r="AD66" s="9">
        <v>56.6</v>
      </c>
      <c r="AE66" s="9">
        <v>67.8</v>
      </c>
      <c r="AF66" s="9">
        <v>71.2</v>
      </c>
      <c r="AG66" s="9">
        <v>67.400000000000006</v>
      </c>
      <c r="AH66" s="9"/>
      <c r="AI66" s="9">
        <f t="shared" si="14"/>
        <v>120</v>
      </c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x14ac:dyDescent="0.25">
      <c r="A67" s="9" t="s">
        <v>108</v>
      </c>
      <c r="B67" s="9" t="s">
        <v>36</v>
      </c>
      <c r="C67" s="9">
        <v>67.623000000000005</v>
      </c>
      <c r="D67" s="9">
        <v>12.760999999999999</v>
      </c>
      <c r="E67" s="9">
        <v>21.911999999999999</v>
      </c>
      <c r="F67" s="9">
        <v>43.31</v>
      </c>
      <c r="G67" s="7">
        <v>1</v>
      </c>
      <c r="H67" s="9">
        <v>40</v>
      </c>
      <c r="I67" s="9" t="s">
        <v>37</v>
      </c>
      <c r="J67" s="9"/>
      <c r="K67" s="9">
        <v>21.3</v>
      </c>
      <c r="L67" s="9">
        <f t="shared" si="17"/>
        <v>0.61199999999999832</v>
      </c>
      <c r="M67" s="9">
        <f t="shared" si="18"/>
        <v>21.911999999999999</v>
      </c>
      <c r="N67" s="9"/>
      <c r="O67" s="9"/>
      <c r="P67" s="9">
        <f t="shared" si="19"/>
        <v>4.3823999999999996</v>
      </c>
      <c r="Q67" s="4">
        <f t="shared" si="11"/>
        <v>13.661199999999994</v>
      </c>
      <c r="R67" s="4">
        <f t="shared" si="22"/>
        <v>20</v>
      </c>
      <c r="S67" s="4"/>
      <c r="T67" s="4">
        <f t="shared" si="13"/>
        <v>20</v>
      </c>
      <c r="U67" s="4">
        <v>20</v>
      </c>
      <c r="V67" s="9" t="s">
        <v>167</v>
      </c>
      <c r="W67" s="9"/>
      <c r="X67" s="9">
        <f t="shared" si="7"/>
        <v>14.44642205184374</v>
      </c>
      <c r="Y67" s="9">
        <f t="shared" si="20"/>
        <v>9.8827126688572484</v>
      </c>
      <c r="Z67" s="9">
        <v>4.0674000000000001</v>
      </c>
      <c r="AA67" s="9">
        <v>3.2837999999999998</v>
      </c>
      <c r="AB67" s="9">
        <v>2.1707999999999998</v>
      </c>
      <c r="AC67" s="9">
        <v>1.0902000000000001</v>
      </c>
      <c r="AD67" s="9">
        <v>9.2645999999999997</v>
      </c>
      <c r="AE67" s="9">
        <v>5.7203999999999997</v>
      </c>
      <c r="AF67" s="9">
        <v>8.7126000000000001</v>
      </c>
      <c r="AG67" s="9">
        <v>0.73719999999999997</v>
      </c>
      <c r="AH67" s="23" t="s">
        <v>43</v>
      </c>
      <c r="AI67" s="9">
        <f t="shared" si="14"/>
        <v>20</v>
      </c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x14ac:dyDescent="0.25">
      <c r="A68" s="9" t="s">
        <v>109</v>
      </c>
      <c r="B68" s="9" t="s">
        <v>36</v>
      </c>
      <c r="C68" s="9"/>
      <c r="D68" s="9"/>
      <c r="E68" s="9"/>
      <c r="F68" s="9"/>
      <c r="G68" s="7">
        <v>1</v>
      </c>
      <c r="H68" s="9">
        <v>40</v>
      </c>
      <c r="I68" s="11" t="s">
        <v>95</v>
      </c>
      <c r="J68" s="9"/>
      <c r="K68" s="9"/>
      <c r="L68" s="9">
        <f t="shared" si="17"/>
        <v>0</v>
      </c>
      <c r="M68" s="9">
        <f t="shared" si="18"/>
        <v>0</v>
      </c>
      <c r="N68" s="9"/>
      <c r="O68" s="9"/>
      <c r="P68" s="9">
        <f t="shared" si="19"/>
        <v>0</v>
      </c>
      <c r="Q68" s="4">
        <v>0</v>
      </c>
      <c r="R68" s="4">
        <f t="shared" si="12"/>
        <v>0</v>
      </c>
      <c r="S68" s="4"/>
      <c r="T68" s="4">
        <f t="shared" si="13"/>
        <v>0</v>
      </c>
      <c r="U68" s="4"/>
      <c r="V68" s="9"/>
      <c r="W68" s="9"/>
      <c r="X68" s="9" t="e">
        <f t="shared" si="7"/>
        <v>#DIV/0!</v>
      </c>
      <c r="Y68" s="9" t="e">
        <f t="shared" si="20"/>
        <v>#DIV/0!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 t="s">
        <v>110</v>
      </c>
      <c r="AI68" s="9">
        <f t="shared" si="14"/>
        <v>0</v>
      </c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x14ac:dyDescent="0.25">
      <c r="A69" s="9" t="s">
        <v>111</v>
      </c>
      <c r="B69" s="9" t="s">
        <v>36</v>
      </c>
      <c r="C69" s="9">
        <v>155.69200000000001</v>
      </c>
      <c r="D69" s="9">
        <v>93.691000000000003</v>
      </c>
      <c r="E69" s="9">
        <v>158.392</v>
      </c>
      <c r="F69" s="9">
        <v>10.632999999999999</v>
      </c>
      <c r="G69" s="7">
        <v>1</v>
      </c>
      <c r="H69" s="9">
        <v>40</v>
      </c>
      <c r="I69" s="9" t="s">
        <v>37</v>
      </c>
      <c r="J69" s="9"/>
      <c r="K69" s="9">
        <v>147.69999999999999</v>
      </c>
      <c r="L69" s="9">
        <f t="shared" si="17"/>
        <v>10.692000000000007</v>
      </c>
      <c r="M69" s="9">
        <f t="shared" si="18"/>
        <v>158.392</v>
      </c>
      <c r="N69" s="9"/>
      <c r="O69" s="9">
        <v>100</v>
      </c>
      <c r="P69" s="9">
        <f t="shared" si="19"/>
        <v>31.6784</v>
      </c>
      <c r="Q69" s="4">
        <f>11*P69-O69-F69</f>
        <v>237.82939999999999</v>
      </c>
      <c r="R69" s="4">
        <f>U69</f>
        <v>160</v>
      </c>
      <c r="S69" s="4"/>
      <c r="T69" s="4">
        <f t="shared" si="13"/>
        <v>160</v>
      </c>
      <c r="U69" s="4">
        <v>160</v>
      </c>
      <c r="V69" s="9" t="s">
        <v>168</v>
      </c>
      <c r="W69" s="9"/>
      <c r="X69" s="9">
        <f t="shared" si="7"/>
        <v>8.5431398050406582</v>
      </c>
      <c r="Y69" s="9">
        <f t="shared" si="20"/>
        <v>3.4923796656396786</v>
      </c>
      <c r="Z69" s="9">
        <v>22.737200000000001</v>
      </c>
      <c r="AA69" s="9">
        <v>21.8306</v>
      </c>
      <c r="AB69" s="9">
        <v>29.397200000000002</v>
      </c>
      <c r="AC69" s="9">
        <v>28.024999999999999</v>
      </c>
      <c r="AD69" s="9">
        <v>34.9694</v>
      </c>
      <c r="AE69" s="9">
        <v>31.658999999999999</v>
      </c>
      <c r="AF69" s="9">
        <v>29.392399999999999</v>
      </c>
      <c r="AG69" s="9">
        <v>32.373399999999997</v>
      </c>
      <c r="AH69" s="9"/>
      <c r="AI69" s="9">
        <f t="shared" si="14"/>
        <v>160</v>
      </c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 x14ac:dyDescent="0.25">
      <c r="A70" s="9" t="s">
        <v>112</v>
      </c>
      <c r="B70" s="9" t="s">
        <v>41</v>
      </c>
      <c r="C70" s="9">
        <v>11</v>
      </c>
      <c r="D70" s="9">
        <v>38</v>
      </c>
      <c r="E70" s="9">
        <v>9</v>
      </c>
      <c r="F70" s="9">
        <v>19</v>
      </c>
      <c r="G70" s="7">
        <v>0.6</v>
      </c>
      <c r="H70" s="9">
        <v>60</v>
      </c>
      <c r="I70" s="9" t="s">
        <v>37</v>
      </c>
      <c r="J70" s="9"/>
      <c r="K70" s="9">
        <v>9</v>
      </c>
      <c r="L70" s="9">
        <f t="shared" ref="L70:L101" si="23">E70-K70</f>
        <v>0</v>
      </c>
      <c r="M70" s="9">
        <f t="shared" ref="M70:M101" si="24">E70-N70</f>
        <v>9</v>
      </c>
      <c r="N70" s="9"/>
      <c r="O70" s="9"/>
      <c r="P70" s="9">
        <f t="shared" ref="P70:P101" si="25">M70/5</f>
        <v>1.8</v>
      </c>
      <c r="Q70" s="4">
        <f t="shared" si="11"/>
        <v>4.4000000000000021</v>
      </c>
      <c r="R70" s="4">
        <f>U70</f>
        <v>0</v>
      </c>
      <c r="S70" s="4"/>
      <c r="T70" s="4">
        <f t="shared" si="13"/>
        <v>0</v>
      </c>
      <c r="U70" s="4">
        <v>0</v>
      </c>
      <c r="V70" s="9"/>
      <c r="W70" s="9"/>
      <c r="X70" s="9">
        <f t="shared" si="7"/>
        <v>10.555555555555555</v>
      </c>
      <c r="Y70" s="9">
        <f t="shared" ref="Y70:Y101" si="26">(F70+O70)/P70</f>
        <v>10.555555555555555</v>
      </c>
      <c r="Z70" s="9">
        <v>1.8</v>
      </c>
      <c r="AA70" s="9">
        <v>2.4</v>
      </c>
      <c r="AB70" s="9">
        <v>2</v>
      </c>
      <c r="AC70" s="9">
        <v>1.8</v>
      </c>
      <c r="AD70" s="9">
        <v>1.8</v>
      </c>
      <c r="AE70" s="9">
        <v>1.8</v>
      </c>
      <c r="AF70" s="9">
        <v>3.4</v>
      </c>
      <c r="AG70" s="9">
        <v>0.6</v>
      </c>
      <c r="AH70" s="9" t="s">
        <v>174</v>
      </c>
      <c r="AI70" s="9">
        <f t="shared" si="14"/>
        <v>0</v>
      </c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 x14ac:dyDescent="0.25">
      <c r="A71" s="9" t="s">
        <v>113</v>
      </c>
      <c r="B71" s="9" t="s">
        <v>41</v>
      </c>
      <c r="C71" s="9">
        <v>23</v>
      </c>
      <c r="D71" s="9">
        <v>2</v>
      </c>
      <c r="E71" s="9">
        <v>14</v>
      </c>
      <c r="F71" s="9">
        <v>9</v>
      </c>
      <c r="G71" s="7">
        <v>0.6</v>
      </c>
      <c r="H71" s="9">
        <v>60</v>
      </c>
      <c r="I71" s="9" t="s">
        <v>37</v>
      </c>
      <c r="J71" s="9"/>
      <c r="K71" s="9">
        <v>14</v>
      </c>
      <c r="L71" s="9">
        <f t="shared" si="23"/>
        <v>0</v>
      </c>
      <c r="M71" s="9">
        <f t="shared" si="24"/>
        <v>14</v>
      </c>
      <c r="N71" s="9"/>
      <c r="O71" s="9">
        <v>15</v>
      </c>
      <c r="P71" s="9">
        <f t="shared" si="25"/>
        <v>2.8</v>
      </c>
      <c r="Q71" s="4">
        <f t="shared" si="11"/>
        <v>12.399999999999999</v>
      </c>
      <c r="R71" s="4">
        <f t="shared" si="12"/>
        <v>12.399999999999999</v>
      </c>
      <c r="S71" s="4"/>
      <c r="T71" s="4">
        <f t="shared" si="13"/>
        <v>12.399999999999999</v>
      </c>
      <c r="U71" s="4"/>
      <c r="V71" s="9"/>
      <c r="W71" s="9"/>
      <c r="X71" s="9">
        <f t="shared" ref="X71:X116" si="27">(F71+O71+T71)/P71</f>
        <v>13</v>
      </c>
      <c r="Y71" s="9">
        <f t="shared" si="26"/>
        <v>8.5714285714285712</v>
      </c>
      <c r="Z71" s="9">
        <v>3.2</v>
      </c>
      <c r="AA71" s="9">
        <v>2.4</v>
      </c>
      <c r="AB71" s="9">
        <v>3.6</v>
      </c>
      <c r="AC71" s="9">
        <v>2.6</v>
      </c>
      <c r="AD71" s="9">
        <v>1.2</v>
      </c>
      <c r="AE71" s="9">
        <v>2.2000000000000002</v>
      </c>
      <c r="AF71" s="9">
        <v>4.4000000000000004</v>
      </c>
      <c r="AG71" s="9">
        <v>0</v>
      </c>
      <c r="AH71" s="9" t="s">
        <v>43</v>
      </c>
      <c r="AI71" s="9">
        <f t="shared" si="14"/>
        <v>7</v>
      </c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 x14ac:dyDescent="0.25">
      <c r="A72" s="9" t="s">
        <v>114</v>
      </c>
      <c r="B72" s="9" t="s">
        <v>41</v>
      </c>
      <c r="C72" s="9">
        <v>23</v>
      </c>
      <c r="D72" s="9">
        <v>43</v>
      </c>
      <c r="E72" s="9">
        <v>13</v>
      </c>
      <c r="F72" s="9">
        <v>34</v>
      </c>
      <c r="G72" s="7">
        <v>0.6</v>
      </c>
      <c r="H72" s="9">
        <v>60</v>
      </c>
      <c r="I72" s="9" t="s">
        <v>37</v>
      </c>
      <c r="J72" s="9"/>
      <c r="K72" s="9">
        <v>15</v>
      </c>
      <c r="L72" s="9">
        <f t="shared" si="23"/>
        <v>-2</v>
      </c>
      <c r="M72" s="9">
        <f t="shared" si="24"/>
        <v>13</v>
      </c>
      <c r="N72" s="9"/>
      <c r="O72" s="9"/>
      <c r="P72" s="9">
        <f t="shared" si="25"/>
        <v>2.6</v>
      </c>
      <c r="Q72" s="4"/>
      <c r="R72" s="4">
        <f t="shared" si="12"/>
        <v>0</v>
      </c>
      <c r="S72" s="4"/>
      <c r="T72" s="4">
        <f t="shared" si="13"/>
        <v>0</v>
      </c>
      <c r="U72" s="4"/>
      <c r="V72" s="9"/>
      <c r="W72" s="9"/>
      <c r="X72" s="9">
        <f t="shared" si="27"/>
        <v>13.076923076923077</v>
      </c>
      <c r="Y72" s="9">
        <f t="shared" si="26"/>
        <v>13.076923076923077</v>
      </c>
      <c r="Z72" s="9">
        <v>1.8</v>
      </c>
      <c r="AA72" s="9">
        <v>3.2</v>
      </c>
      <c r="AB72" s="9">
        <v>3</v>
      </c>
      <c r="AC72" s="9">
        <v>2.8</v>
      </c>
      <c r="AD72" s="9">
        <v>2</v>
      </c>
      <c r="AE72" s="9">
        <v>1.6</v>
      </c>
      <c r="AF72" s="9">
        <v>4.5999999999999996</v>
      </c>
      <c r="AG72" s="9">
        <v>1.4</v>
      </c>
      <c r="AH72" s="9" t="s">
        <v>43</v>
      </c>
      <c r="AI72" s="9">
        <f t="shared" si="14"/>
        <v>0</v>
      </c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 x14ac:dyDescent="0.25">
      <c r="A73" s="9" t="s">
        <v>115</v>
      </c>
      <c r="B73" s="9" t="s">
        <v>41</v>
      </c>
      <c r="C73" s="9">
        <v>37</v>
      </c>
      <c r="D73" s="9">
        <v>55</v>
      </c>
      <c r="E73" s="22">
        <f>12+E76</f>
        <v>14</v>
      </c>
      <c r="F73" s="9">
        <v>30</v>
      </c>
      <c r="G73" s="7">
        <v>0.6</v>
      </c>
      <c r="H73" s="9">
        <v>55</v>
      </c>
      <c r="I73" s="9" t="s">
        <v>37</v>
      </c>
      <c r="J73" s="9"/>
      <c r="K73" s="9">
        <v>21</v>
      </c>
      <c r="L73" s="9">
        <f t="shared" si="23"/>
        <v>-7</v>
      </c>
      <c r="M73" s="9">
        <f t="shared" si="24"/>
        <v>14</v>
      </c>
      <c r="N73" s="9"/>
      <c r="O73" s="9"/>
      <c r="P73" s="9">
        <f t="shared" si="25"/>
        <v>2.8</v>
      </c>
      <c r="Q73" s="4">
        <f t="shared" si="11"/>
        <v>6.3999999999999986</v>
      </c>
      <c r="R73" s="4">
        <f t="shared" si="12"/>
        <v>6.3999999999999986</v>
      </c>
      <c r="S73" s="4"/>
      <c r="T73" s="4">
        <f t="shared" si="13"/>
        <v>6.3999999999999986</v>
      </c>
      <c r="U73" s="4"/>
      <c r="V73" s="9"/>
      <c r="W73" s="9"/>
      <c r="X73" s="9">
        <f t="shared" si="27"/>
        <v>13</v>
      </c>
      <c r="Y73" s="9">
        <f t="shared" si="26"/>
        <v>10.714285714285715</v>
      </c>
      <c r="Z73" s="9">
        <v>3</v>
      </c>
      <c r="AA73" s="9">
        <v>5.2</v>
      </c>
      <c r="AB73" s="9">
        <v>4.8</v>
      </c>
      <c r="AC73" s="9">
        <v>4.5999999999999996</v>
      </c>
      <c r="AD73" s="9">
        <v>3.4</v>
      </c>
      <c r="AE73" s="9">
        <v>0.4</v>
      </c>
      <c r="AF73" s="9">
        <v>6.4</v>
      </c>
      <c r="AG73" s="9">
        <v>1.2</v>
      </c>
      <c r="AH73" s="23" t="s">
        <v>43</v>
      </c>
      <c r="AI73" s="9">
        <f t="shared" si="14"/>
        <v>4</v>
      </c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 x14ac:dyDescent="0.25">
      <c r="A74" s="9" t="s">
        <v>116</v>
      </c>
      <c r="B74" s="9" t="s">
        <v>41</v>
      </c>
      <c r="C74" s="9">
        <v>113</v>
      </c>
      <c r="D74" s="9">
        <v>258</v>
      </c>
      <c r="E74" s="9">
        <v>138</v>
      </c>
      <c r="F74" s="9">
        <v>40</v>
      </c>
      <c r="G74" s="7">
        <v>0.4</v>
      </c>
      <c r="H74" s="9" t="e">
        <v>#N/A</v>
      </c>
      <c r="I74" s="9" t="s">
        <v>37</v>
      </c>
      <c r="J74" s="9"/>
      <c r="K74" s="9">
        <v>140</v>
      </c>
      <c r="L74" s="9">
        <f t="shared" si="23"/>
        <v>-2</v>
      </c>
      <c r="M74" s="9">
        <f t="shared" si="24"/>
        <v>138</v>
      </c>
      <c r="N74" s="9"/>
      <c r="O74" s="9">
        <v>70</v>
      </c>
      <c r="P74" s="9">
        <f t="shared" si="25"/>
        <v>27.6</v>
      </c>
      <c r="Q74" s="4">
        <f>12*P74-O74-F74</f>
        <v>221.20000000000005</v>
      </c>
      <c r="R74" s="4">
        <f>U74</f>
        <v>160</v>
      </c>
      <c r="S74" s="4"/>
      <c r="T74" s="4">
        <f t="shared" si="13"/>
        <v>160</v>
      </c>
      <c r="U74" s="4">
        <v>160</v>
      </c>
      <c r="V74" s="9" t="s">
        <v>168</v>
      </c>
      <c r="W74" s="9"/>
      <c r="X74" s="9">
        <f t="shared" si="27"/>
        <v>9.7826086956521738</v>
      </c>
      <c r="Y74" s="9">
        <f t="shared" si="26"/>
        <v>3.9855072463768115</v>
      </c>
      <c r="Z74" s="9">
        <v>20</v>
      </c>
      <c r="AA74" s="9">
        <v>21</v>
      </c>
      <c r="AB74" s="9">
        <v>24</v>
      </c>
      <c r="AC74" s="9">
        <v>30.2</v>
      </c>
      <c r="AD74" s="9">
        <v>25</v>
      </c>
      <c r="AE74" s="9">
        <v>28.2</v>
      </c>
      <c r="AF74" s="9">
        <v>37.799999999999997</v>
      </c>
      <c r="AG74" s="9">
        <v>22.6</v>
      </c>
      <c r="AH74" s="9"/>
      <c r="AI74" s="9">
        <f t="shared" si="14"/>
        <v>64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 x14ac:dyDescent="0.25">
      <c r="A75" s="9" t="s">
        <v>117</v>
      </c>
      <c r="B75" s="9" t="s">
        <v>41</v>
      </c>
      <c r="C75" s="9">
        <v>102</v>
      </c>
      <c r="D75" s="9">
        <v>441</v>
      </c>
      <c r="E75" s="9">
        <v>145</v>
      </c>
      <c r="F75" s="9">
        <v>3</v>
      </c>
      <c r="G75" s="7">
        <v>0.33</v>
      </c>
      <c r="H75" s="9" t="e">
        <v>#N/A</v>
      </c>
      <c r="I75" s="9" t="s">
        <v>37</v>
      </c>
      <c r="J75" s="9"/>
      <c r="K75" s="9">
        <v>158</v>
      </c>
      <c r="L75" s="9">
        <f t="shared" si="23"/>
        <v>-13</v>
      </c>
      <c r="M75" s="9">
        <f t="shared" si="24"/>
        <v>145</v>
      </c>
      <c r="N75" s="9"/>
      <c r="O75" s="9">
        <v>200</v>
      </c>
      <c r="P75" s="9">
        <f t="shared" si="25"/>
        <v>29</v>
      </c>
      <c r="Q75" s="4">
        <f t="shared" si="11"/>
        <v>174</v>
      </c>
      <c r="R75" s="4">
        <f t="shared" si="12"/>
        <v>174</v>
      </c>
      <c r="S75" s="4"/>
      <c r="T75" s="4">
        <f t="shared" si="13"/>
        <v>174</v>
      </c>
      <c r="U75" s="4"/>
      <c r="V75" s="9"/>
      <c r="W75" s="9"/>
      <c r="X75" s="9">
        <f t="shared" si="27"/>
        <v>13</v>
      </c>
      <c r="Y75" s="9">
        <f t="shared" si="26"/>
        <v>7</v>
      </c>
      <c r="Z75" s="9">
        <v>29.4</v>
      </c>
      <c r="AA75" s="9">
        <v>24</v>
      </c>
      <c r="AB75" s="9">
        <v>30.4</v>
      </c>
      <c r="AC75" s="9">
        <v>39</v>
      </c>
      <c r="AD75" s="9">
        <v>35.200000000000003</v>
      </c>
      <c r="AE75" s="9">
        <v>42.6</v>
      </c>
      <c r="AF75" s="9">
        <v>41.4</v>
      </c>
      <c r="AG75" s="9">
        <v>37.200000000000003</v>
      </c>
      <c r="AH75" s="9"/>
      <c r="AI75" s="9">
        <f t="shared" si="14"/>
        <v>57</v>
      </c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x14ac:dyDescent="0.25">
      <c r="A76" s="15" t="s">
        <v>118</v>
      </c>
      <c r="B76" s="15" t="s">
        <v>41</v>
      </c>
      <c r="C76" s="15">
        <v>39</v>
      </c>
      <c r="D76" s="15">
        <v>2</v>
      </c>
      <c r="E76" s="22">
        <v>2</v>
      </c>
      <c r="F76" s="15"/>
      <c r="G76" s="16">
        <v>0</v>
      </c>
      <c r="H76" s="15" t="e">
        <v>#N/A</v>
      </c>
      <c r="I76" s="15" t="s">
        <v>119</v>
      </c>
      <c r="J76" s="15" t="s">
        <v>115</v>
      </c>
      <c r="K76" s="15">
        <v>2</v>
      </c>
      <c r="L76" s="15">
        <f t="shared" si="23"/>
        <v>0</v>
      </c>
      <c r="M76" s="15">
        <f t="shared" si="24"/>
        <v>2</v>
      </c>
      <c r="N76" s="15"/>
      <c r="O76" s="15"/>
      <c r="P76" s="15">
        <f t="shared" si="25"/>
        <v>0.4</v>
      </c>
      <c r="Q76" s="17"/>
      <c r="R76" s="17"/>
      <c r="S76" s="17"/>
      <c r="T76" s="17"/>
      <c r="U76" s="17"/>
      <c r="V76" s="15"/>
      <c r="W76" s="15"/>
      <c r="X76" s="9">
        <f t="shared" si="27"/>
        <v>0</v>
      </c>
      <c r="Y76" s="15">
        <f t="shared" si="26"/>
        <v>0</v>
      </c>
      <c r="Z76" s="15">
        <v>0.8</v>
      </c>
      <c r="AA76" s="15">
        <v>1.8</v>
      </c>
      <c r="AB76" s="15">
        <v>1.8</v>
      </c>
      <c r="AC76" s="15">
        <v>0.2</v>
      </c>
      <c r="AD76" s="15">
        <v>0</v>
      </c>
      <c r="AE76" s="15">
        <v>0</v>
      </c>
      <c r="AF76" s="15">
        <v>0</v>
      </c>
      <c r="AG76" s="15">
        <v>0</v>
      </c>
      <c r="AH76" s="15"/>
      <c r="AI76" s="15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x14ac:dyDescent="0.25">
      <c r="A77" s="9" t="s">
        <v>120</v>
      </c>
      <c r="B77" s="9" t="s">
        <v>41</v>
      </c>
      <c r="C77" s="9">
        <v>137</v>
      </c>
      <c r="D77" s="9">
        <v>344</v>
      </c>
      <c r="E77" s="9">
        <v>132</v>
      </c>
      <c r="F77" s="9">
        <v>33</v>
      </c>
      <c r="G77" s="7">
        <v>0.35</v>
      </c>
      <c r="H77" s="9" t="e">
        <v>#N/A</v>
      </c>
      <c r="I77" s="9" t="s">
        <v>37</v>
      </c>
      <c r="J77" s="9"/>
      <c r="K77" s="9">
        <v>134</v>
      </c>
      <c r="L77" s="9">
        <f t="shared" si="23"/>
        <v>-2</v>
      </c>
      <c r="M77" s="9">
        <f t="shared" si="24"/>
        <v>132</v>
      </c>
      <c r="N77" s="9"/>
      <c r="O77" s="9">
        <v>110</v>
      </c>
      <c r="P77" s="9">
        <f t="shared" si="25"/>
        <v>26.4</v>
      </c>
      <c r="Q77" s="4">
        <f t="shared" ref="Q77:Q110" si="28">13*P77-O77-F77</f>
        <v>200.2</v>
      </c>
      <c r="R77" s="4">
        <f>U77</f>
        <v>160</v>
      </c>
      <c r="S77" s="4"/>
      <c r="T77" s="4">
        <f t="shared" ref="T77:T110" si="29">S77+R77</f>
        <v>160</v>
      </c>
      <c r="U77" s="4">
        <v>160</v>
      </c>
      <c r="V77" s="9" t="s">
        <v>168</v>
      </c>
      <c r="W77" s="9"/>
      <c r="X77" s="9">
        <f t="shared" si="27"/>
        <v>11.477272727272728</v>
      </c>
      <c r="Y77" s="9">
        <f t="shared" si="26"/>
        <v>5.416666666666667</v>
      </c>
      <c r="Z77" s="9">
        <v>22.2</v>
      </c>
      <c r="AA77" s="9">
        <v>20.8</v>
      </c>
      <c r="AB77" s="9">
        <v>26</v>
      </c>
      <c r="AC77" s="9">
        <v>27</v>
      </c>
      <c r="AD77" s="9">
        <v>26.4</v>
      </c>
      <c r="AE77" s="9">
        <v>32.799999999999997</v>
      </c>
      <c r="AF77" s="9">
        <v>27.8</v>
      </c>
      <c r="AG77" s="9">
        <v>28.4</v>
      </c>
      <c r="AH77" s="9"/>
      <c r="AI77" s="9">
        <f t="shared" ref="AI77:AI110" si="30">ROUND(G77*T77,0)</f>
        <v>56</v>
      </c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x14ac:dyDescent="0.25">
      <c r="A78" s="9" t="s">
        <v>121</v>
      </c>
      <c r="B78" s="9" t="s">
        <v>41</v>
      </c>
      <c r="C78" s="9">
        <v>349</v>
      </c>
      <c r="D78" s="9">
        <v>105</v>
      </c>
      <c r="E78" s="9">
        <v>187</v>
      </c>
      <c r="F78" s="9">
        <v>96</v>
      </c>
      <c r="G78" s="7">
        <v>0.35</v>
      </c>
      <c r="H78" s="9">
        <v>40</v>
      </c>
      <c r="I78" s="9" t="s">
        <v>37</v>
      </c>
      <c r="J78" s="9"/>
      <c r="K78" s="9">
        <v>252</v>
      </c>
      <c r="L78" s="9">
        <f t="shared" si="23"/>
        <v>-65</v>
      </c>
      <c r="M78" s="9">
        <f t="shared" si="24"/>
        <v>187</v>
      </c>
      <c r="N78" s="9"/>
      <c r="O78" s="9">
        <v>290</v>
      </c>
      <c r="P78" s="9">
        <f t="shared" si="25"/>
        <v>37.4</v>
      </c>
      <c r="Q78" s="4">
        <f t="shared" si="28"/>
        <v>100.19999999999999</v>
      </c>
      <c r="R78" s="4">
        <f t="shared" ref="R78:R110" si="31">Q78</f>
        <v>100.19999999999999</v>
      </c>
      <c r="S78" s="4"/>
      <c r="T78" s="4">
        <f t="shared" si="29"/>
        <v>100.19999999999999</v>
      </c>
      <c r="U78" s="4"/>
      <c r="V78" s="9"/>
      <c r="W78" s="9"/>
      <c r="X78" s="9">
        <f t="shared" si="27"/>
        <v>13</v>
      </c>
      <c r="Y78" s="9">
        <f t="shared" si="26"/>
        <v>10.320855614973262</v>
      </c>
      <c r="Z78" s="9">
        <v>52.6</v>
      </c>
      <c r="AA78" s="9">
        <v>39.799999999999997</v>
      </c>
      <c r="AB78" s="9">
        <v>68.2</v>
      </c>
      <c r="AC78" s="9">
        <v>64.599999999999994</v>
      </c>
      <c r="AD78" s="9">
        <v>62.4</v>
      </c>
      <c r="AE78" s="9">
        <v>77.599999999999994</v>
      </c>
      <c r="AF78" s="9">
        <v>86</v>
      </c>
      <c r="AG78" s="9">
        <v>64.2</v>
      </c>
      <c r="AH78" s="9"/>
      <c r="AI78" s="9">
        <f t="shared" si="30"/>
        <v>35</v>
      </c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x14ac:dyDescent="0.25">
      <c r="A79" s="9" t="s">
        <v>122</v>
      </c>
      <c r="B79" s="9" t="s">
        <v>41</v>
      </c>
      <c r="C79" s="9">
        <v>971</v>
      </c>
      <c r="D79" s="9">
        <v>940</v>
      </c>
      <c r="E79" s="22">
        <f>271+E113</f>
        <v>645</v>
      </c>
      <c r="F79" s="22">
        <f>401+F113</f>
        <v>681</v>
      </c>
      <c r="G79" s="7">
        <v>0.35</v>
      </c>
      <c r="H79" s="9">
        <v>45</v>
      </c>
      <c r="I79" s="9" t="s">
        <v>37</v>
      </c>
      <c r="J79" s="9"/>
      <c r="K79" s="9">
        <v>307</v>
      </c>
      <c r="L79" s="9">
        <f t="shared" si="23"/>
        <v>338</v>
      </c>
      <c r="M79" s="9">
        <f t="shared" si="24"/>
        <v>645</v>
      </c>
      <c r="N79" s="9"/>
      <c r="O79" s="9">
        <v>600</v>
      </c>
      <c r="P79" s="9">
        <f t="shared" si="25"/>
        <v>129</v>
      </c>
      <c r="Q79" s="4">
        <f t="shared" si="28"/>
        <v>396</v>
      </c>
      <c r="R79" s="4">
        <f t="shared" si="31"/>
        <v>396</v>
      </c>
      <c r="S79" s="4"/>
      <c r="T79" s="4">
        <f t="shared" si="29"/>
        <v>396</v>
      </c>
      <c r="U79" s="4"/>
      <c r="V79" s="9"/>
      <c r="W79" s="9"/>
      <c r="X79" s="9">
        <f t="shared" si="27"/>
        <v>13</v>
      </c>
      <c r="Y79" s="9">
        <f t="shared" si="26"/>
        <v>9.9302325581395348</v>
      </c>
      <c r="Z79" s="9">
        <v>160.19999999999999</v>
      </c>
      <c r="AA79" s="9">
        <v>142.19999999999999</v>
      </c>
      <c r="AB79" s="9">
        <v>175.6</v>
      </c>
      <c r="AC79" s="9">
        <v>173.2</v>
      </c>
      <c r="AD79" s="9">
        <v>183.6</v>
      </c>
      <c r="AE79" s="9">
        <v>226</v>
      </c>
      <c r="AF79" s="9">
        <v>152.19999999999999</v>
      </c>
      <c r="AG79" s="9">
        <v>188.4</v>
      </c>
      <c r="AH79" s="9"/>
      <c r="AI79" s="9">
        <f t="shared" si="30"/>
        <v>139</v>
      </c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 x14ac:dyDescent="0.25">
      <c r="A80" s="9" t="s">
        <v>123</v>
      </c>
      <c r="B80" s="9" t="s">
        <v>41</v>
      </c>
      <c r="C80" s="9">
        <v>41</v>
      </c>
      <c r="D80" s="9">
        <v>194</v>
      </c>
      <c r="E80" s="9">
        <v>44</v>
      </c>
      <c r="F80" s="9">
        <v>62</v>
      </c>
      <c r="G80" s="7">
        <v>0.3</v>
      </c>
      <c r="H80" s="9">
        <v>50</v>
      </c>
      <c r="I80" s="9" t="s">
        <v>37</v>
      </c>
      <c r="J80" s="9"/>
      <c r="K80" s="9">
        <v>60</v>
      </c>
      <c r="L80" s="9">
        <f t="shared" si="23"/>
        <v>-16</v>
      </c>
      <c r="M80" s="9">
        <f t="shared" si="24"/>
        <v>44</v>
      </c>
      <c r="N80" s="9"/>
      <c r="O80" s="9"/>
      <c r="P80" s="9">
        <f t="shared" si="25"/>
        <v>8.8000000000000007</v>
      </c>
      <c r="Q80" s="4">
        <f t="shared" si="28"/>
        <v>52.400000000000006</v>
      </c>
      <c r="R80" s="4">
        <f t="shared" ref="R80:R81" si="32">U80</f>
        <v>30</v>
      </c>
      <c r="S80" s="4"/>
      <c r="T80" s="4">
        <f t="shared" si="29"/>
        <v>30</v>
      </c>
      <c r="U80" s="4">
        <v>30</v>
      </c>
      <c r="V80" s="9" t="s">
        <v>168</v>
      </c>
      <c r="W80" s="9"/>
      <c r="X80" s="9">
        <f t="shared" si="27"/>
        <v>10.454545454545453</v>
      </c>
      <c r="Y80" s="9">
        <f t="shared" si="26"/>
        <v>7.045454545454545</v>
      </c>
      <c r="Z80" s="9">
        <v>4.4000000000000004</v>
      </c>
      <c r="AA80" s="9">
        <v>10.6</v>
      </c>
      <c r="AB80" s="9">
        <v>9</v>
      </c>
      <c r="AC80" s="9">
        <v>6.2</v>
      </c>
      <c r="AD80" s="9">
        <v>9.1999999999999993</v>
      </c>
      <c r="AE80" s="9">
        <v>6.6</v>
      </c>
      <c r="AF80" s="9">
        <v>4.8</v>
      </c>
      <c r="AG80" s="9">
        <v>4</v>
      </c>
      <c r="AH80" s="9" t="s">
        <v>43</v>
      </c>
      <c r="AI80" s="9">
        <f t="shared" si="30"/>
        <v>9</v>
      </c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 x14ac:dyDescent="0.25">
      <c r="A81" s="9" t="s">
        <v>124</v>
      </c>
      <c r="B81" s="9" t="s">
        <v>36</v>
      </c>
      <c r="C81" s="9">
        <v>714.63300000000004</v>
      </c>
      <c r="D81" s="9">
        <v>989.18799999999999</v>
      </c>
      <c r="E81" s="9">
        <v>523.524</v>
      </c>
      <c r="F81" s="9">
        <v>133.19300000000001</v>
      </c>
      <c r="G81" s="7">
        <v>1</v>
      </c>
      <c r="H81" s="9">
        <v>40</v>
      </c>
      <c r="I81" s="11" t="s">
        <v>95</v>
      </c>
      <c r="J81" s="9"/>
      <c r="K81" s="9">
        <v>987.59</v>
      </c>
      <c r="L81" s="9">
        <f t="shared" si="23"/>
        <v>-464.06600000000003</v>
      </c>
      <c r="M81" s="9">
        <f t="shared" si="24"/>
        <v>113.03800000000001</v>
      </c>
      <c r="N81" s="9">
        <v>410.48599999999999</v>
      </c>
      <c r="O81" s="9"/>
      <c r="P81" s="9">
        <f t="shared" si="25"/>
        <v>22.607600000000001</v>
      </c>
      <c r="Q81" s="4">
        <f t="shared" si="28"/>
        <v>160.70579999999998</v>
      </c>
      <c r="R81" s="4">
        <f t="shared" si="32"/>
        <v>800</v>
      </c>
      <c r="S81" s="4"/>
      <c r="T81" s="4">
        <f t="shared" si="29"/>
        <v>800</v>
      </c>
      <c r="U81" s="4">
        <v>800</v>
      </c>
      <c r="V81" s="9" t="s">
        <v>166</v>
      </c>
      <c r="W81" s="9"/>
      <c r="X81" s="9">
        <f t="shared" si="27"/>
        <v>41.277844618623824</v>
      </c>
      <c r="Y81" s="9">
        <f t="shared" si="26"/>
        <v>5.8915143580035032</v>
      </c>
      <c r="Z81" s="9">
        <v>27.27</v>
      </c>
      <c r="AA81" s="9">
        <v>82.043399999999991</v>
      </c>
      <c r="AB81" s="9">
        <v>161.35560000000001</v>
      </c>
      <c r="AC81" s="9">
        <v>96.43480000000001</v>
      </c>
      <c r="AD81" s="9">
        <v>91.641599999999997</v>
      </c>
      <c r="AE81" s="9">
        <v>135.81120000000001</v>
      </c>
      <c r="AF81" s="9">
        <v>109.2616</v>
      </c>
      <c r="AG81" s="9">
        <v>88.082799999999992</v>
      </c>
      <c r="AH81" s="9" t="s">
        <v>125</v>
      </c>
      <c r="AI81" s="9">
        <f t="shared" si="30"/>
        <v>800</v>
      </c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 x14ac:dyDescent="0.25">
      <c r="A82" s="9" t="s">
        <v>126</v>
      </c>
      <c r="B82" s="9" t="s">
        <v>36</v>
      </c>
      <c r="C82" s="9">
        <v>336.505</v>
      </c>
      <c r="D82" s="9">
        <v>1673.347</v>
      </c>
      <c r="E82" s="9">
        <v>403.95699999999999</v>
      </c>
      <c r="F82" s="9">
        <v>720.47</v>
      </c>
      <c r="G82" s="7">
        <v>1</v>
      </c>
      <c r="H82" s="9">
        <v>60</v>
      </c>
      <c r="I82" s="9" t="s">
        <v>37</v>
      </c>
      <c r="J82" s="9"/>
      <c r="K82" s="9">
        <v>417.8</v>
      </c>
      <c r="L82" s="9">
        <f t="shared" si="23"/>
        <v>-13.843000000000018</v>
      </c>
      <c r="M82" s="9">
        <f t="shared" si="24"/>
        <v>403.95699999999999</v>
      </c>
      <c r="N82" s="9"/>
      <c r="O82" s="9"/>
      <c r="P82" s="9">
        <f t="shared" si="25"/>
        <v>80.791399999999996</v>
      </c>
      <c r="Q82" s="4">
        <f t="shared" si="28"/>
        <v>329.81819999999993</v>
      </c>
      <c r="R82" s="4">
        <f t="shared" si="31"/>
        <v>329.81819999999993</v>
      </c>
      <c r="S82" s="4"/>
      <c r="T82" s="4">
        <f t="shared" si="29"/>
        <v>329.81819999999993</v>
      </c>
      <c r="U82" s="4"/>
      <c r="V82" s="9"/>
      <c r="W82" s="9"/>
      <c r="X82" s="9">
        <f t="shared" si="27"/>
        <v>13</v>
      </c>
      <c r="Y82" s="9">
        <f t="shared" si="26"/>
        <v>8.917657077362195</v>
      </c>
      <c r="Z82" s="9">
        <v>66.78</v>
      </c>
      <c r="AA82" s="9">
        <v>94.754400000000004</v>
      </c>
      <c r="AB82" s="9">
        <v>74.610199999999992</v>
      </c>
      <c r="AC82" s="9">
        <v>75.794799999999995</v>
      </c>
      <c r="AD82" s="9">
        <v>76.8142</v>
      </c>
      <c r="AE82" s="9">
        <v>73.828400000000002</v>
      </c>
      <c r="AF82" s="9">
        <v>87.861199999999997</v>
      </c>
      <c r="AG82" s="9">
        <v>76.791399999999996</v>
      </c>
      <c r="AH82" s="9"/>
      <c r="AI82" s="9">
        <f t="shared" si="30"/>
        <v>330</v>
      </c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 x14ac:dyDescent="0.25">
      <c r="A83" s="23" t="s">
        <v>127</v>
      </c>
      <c r="B83" s="9" t="s">
        <v>36</v>
      </c>
      <c r="C83" s="9">
        <v>23.439</v>
      </c>
      <c r="D83" s="9">
        <v>1058.49</v>
      </c>
      <c r="E83" s="9">
        <v>208.74</v>
      </c>
      <c r="F83" s="9">
        <v>543.93299999999999</v>
      </c>
      <c r="G83" s="7">
        <v>1</v>
      </c>
      <c r="H83" s="9">
        <v>60</v>
      </c>
      <c r="I83" s="11" t="s">
        <v>95</v>
      </c>
      <c r="J83" s="9"/>
      <c r="K83" s="9">
        <v>309.32600000000002</v>
      </c>
      <c r="L83" s="9">
        <f t="shared" si="23"/>
        <v>-100.58600000000001</v>
      </c>
      <c r="M83" s="9">
        <f t="shared" si="24"/>
        <v>103.01400000000001</v>
      </c>
      <c r="N83" s="9">
        <v>105.726</v>
      </c>
      <c r="O83" s="9"/>
      <c r="P83" s="9">
        <f t="shared" si="25"/>
        <v>20.602800000000002</v>
      </c>
      <c r="Q83" s="4"/>
      <c r="R83" s="4">
        <f>U83</f>
        <v>300</v>
      </c>
      <c r="S83" s="4"/>
      <c r="T83" s="4">
        <f t="shared" si="29"/>
        <v>300</v>
      </c>
      <c r="U83" s="4">
        <v>300</v>
      </c>
      <c r="V83" s="9" t="s">
        <v>169</v>
      </c>
      <c r="W83" s="9"/>
      <c r="X83" s="9">
        <f t="shared" si="27"/>
        <v>40.962053701438634</v>
      </c>
      <c r="Y83" s="9">
        <f t="shared" si="26"/>
        <v>26.400926087716229</v>
      </c>
      <c r="Z83" s="9">
        <v>25.015000000000001</v>
      </c>
      <c r="AA83" s="9">
        <v>70.366399999999999</v>
      </c>
      <c r="AB83" s="9">
        <v>33.340000000000003</v>
      </c>
      <c r="AC83" s="9">
        <v>63.229799999999997</v>
      </c>
      <c r="AD83" s="9">
        <v>40.603200000000001</v>
      </c>
      <c r="AE83" s="9">
        <v>62.582000000000008</v>
      </c>
      <c r="AF83" s="9">
        <v>21.574999999999999</v>
      </c>
      <c r="AG83" s="9">
        <v>21.648599999999998</v>
      </c>
      <c r="AH83" s="12" t="s">
        <v>165</v>
      </c>
      <c r="AI83" s="9">
        <f t="shared" si="30"/>
        <v>300</v>
      </c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 x14ac:dyDescent="0.25">
      <c r="A84" s="9" t="s">
        <v>128</v>
      </c>
      <c r="B84" s="9" t="s">
        <v>36</v>
      </c>
      <c r="C84" s="9">
        <v>49.619</v>
      </c>
      <c r="D84" s="9">
        <v>369.19099999999997</v>
      </c>
      <c r="E84" s="9">
        <v>186.923</v>
      </c>
      <c r="F84" s="9">
        <v>159.69499999999999</v>
      </c>
      <c r="G84" s="7">
        <v>1</v>
      </c>
      <c r="H84" s="9">
        <v>60</v>
      </c>
      <c r="I84" s="9" t="s">
        <v>37</v>
      </c>
      <c r="J84" s="9"/>
      <c r="K84" s="9">
        <v>192.1</v>
      </c>
      <c r="L84" s="9">
        <f t="shared" si="23"/>
        <v>-5.1769999999999925</v>
      </c>
      <c r="M84" s="9">
        <f t="shared" si="24"/>
        <v>186.923</v>
      </c>
      <c r="N84" s="9"/>
      <c r="O84" s="9">
        <v>120</v>
      </c>
      <c r="P84" s="9">
        <f t="shared" si="25"/>
        <v>37.384599999999999</v>
      </c>
      <c r="Q84" s="4">
        <f t="shared" si="28"/>
        <v>206.3048</v>
      </c>
      <c r="R84" s="4">
        <f t="shared" si="31"/>
        <v>206.3048</v>
      </c>
      <c r="S84" s="4"/>
      <c r="T84" s="4">
        <f t="shared" si="29"/>
        <v>206.3048</v>
      </c>
      <c r="U84" s="4"/>
      <c r="V84" s="9"/>
      <c r="W84" s="9"/>
      <c r="X84" s="9">
        <f t="shared" si="27"/>
        <v>13</v>
      </c>
      <c r="Y84" s="9">
        <f t="shared" si="26"/>
        <v>7.4815565767722543</v>
      </c>
      <c r="Z84" s="9">
        <v>35.623199999999997</v>
      </c>
      <c r="AA84" s="9">
        <v>39.785400000000003</v>
      </c>
      <c r="AB84" s="9">
        <v>31.852399999999999</v>
      </c>
      <c r="AC84" s="9">
        <v>33.627400000000002</v>
      </c>
      <c r="AD84" s="9">
        <v>36.026200000000003</v>
      </c>
      <c r="AE84" s="9">
        <v>42.997</v>
      </c>
      <c r="AF84" s="9">
        <v>38.723999999999997</v>
      </c>
      <c r="AG84" s="9">
        <v>39.978400000000001</v>
      </c>
      <c r="AH84" s="9"/>
      <c r="AI84" s="9">
        <f t="shared" si="30"/>
        <v>206</v>
      </c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 x14ac:dyDescent="0.25">
      <c r="A85" s="9" t="s">
        <v>129</v>
      </c>
      <c r="B85" s="9" t="s">
        <v>36</v>
      </c>
      <c r="C85" s="9">
        <v>935.28700000000003</v>
      </c>
      <c r="D85" s="9">
        <v>1064.1469999999999</v>
      </c>
      <c r="E85" s="9">
        <v>392.83100000000002</v>
      </c>
      <c r="F85" s="9">
        <v>733.50099999999998</v>
      </c>
      <c r="G85" s="7">
        <v>1</v>
      </c>
      <c r="H85" s="9">
        <v>55</v>
      </c>
      <c r="I85" s="9" t="s">
        <v>37</v>
      </c>
      <c r="J85" s="9"/>
      <c r="K85" s="9">
        <v>568.63300000000004</v>
      </c>
      <c r="L85" s="9">
        <f t="shared" si="23"/>
        <v>-175.80200000000002</v>
      </c>
      <c r="M85" s="9">
        <f t="shared" si="24"/>
        <v>349.59100000000001</v>
      </c>
      <c r="N85" s="9">
        <v>43.24</v>
      </c>
      <c r="O85" s="9"/>
      <c r="P85" s="9">
        <f t="shared" si="25"/>
        <v>69.918199999999999</v>
      </c>
      <c r="Q85" s="4">
        <f t="shared" si="28"/>
        <v>175.43560000000002</v>
      </c>
      <c r="R85" s="4">
        <f t="shared" si="31"/>
        <v>175.43560000000002</v>
      </c>
      <c r="S85" s="4"/>
      <c r="T85" s="4">
        <f t="shared" si="29"/>
        <v>175.43560000000002</v>
      </c>
      <c r="U85" s="4"/>
      <c r="V85" s="9"/>
      <c r="W85" s="9"/>
      <c r="X85" s="9">
        <f t="shared" si="27"/>
        <v>13</v>
      </c>
      <c r="Y85" s="9">
        <f t="shared" si="26"/>
        <v>10.49084501603302</v>
      </c>
      <c r="Z85" s="9">
        <v>51.040399999999998</v>
      </c>
      <c r="AA85" s="9">
        <v>80.866200000000006</v>
      </c>
      <c r="AB85" s="9">
        <v>94.885799999999989</v>
      </c>
      <c r="AC85" s="9">
        <v>72.289200000000008</v>
      </c>
      <c r="AD85" s="9">
        <v>89.493399999999994</v>
      </c>
      <c r="AE85" s="9">
        <v>139.57919999999999</v>
      </c>
      <c r="AF85" s="9">
        <v>100.66119999999999</v>
      </c>
      <c r="AG85" s="9">
        <v>135.69640000000001</v>
      </c>
      <c r="AH85" s="12" t="s">
        <v>83</v>
      </c>
      <c r="AI85" s="9">
        <f t="shared" si="30"/>
        <v>175</v>
      </c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x14ac:dyDescent="0.25">
      <c r="A86" s="9" t="s">
        <v>130</v>
      </c>
      <c r="B86" s="9" t="s">
        <v>41</v>
      </c>
      <c r="C86" s="9">
        <v>51</v>
      </c>
      <c r="D86" s="9">
        <v>218.47900000000001</v>
      </c>
      <c r="E86" s="9">
        <v>34.478999999999999</v>
      </c>
      <c r="F86" s="9">
        <v>22</v>
      </c>
      <c r="G86" s="7">
        <v>0.5</v>
      </c>
      <c r="H86" s="9">
        <v>60</v>
      </c>
      <c r="I86" s="9" t="s">
        <v>37</v>
      </c>
      <c r="J86" s="9"/>
      <c r="K86" s="9">
        <v>42.5</v>
      </c>
      <c r="L86" s="9">
        <f t="shared" si="23"/>
        <v>-8.0210000000000008</v>
      </c>
      <c r="M86" s="9">
        <f t="shared" si="24"/>
        <v>34.478999999999999</v>
      </c>
      <c r="N86" s="9"/>
      <c r="O86" s="9">
        <v>70</v>
      </c>
      <c r="P86" s="9">
        <f t="shared" si="25"/>
        <v>6.8957999999999995</v>
      </c>
      <c r="Q86" s="4"/>
      <c r="R86" s="4">
        <f t="shared" si="31"/>
        <v>0</v>
      </c>
      <c r="S86" s="4"/>
      <c r="T86" s="4">
        <f t="shared" si="29"/>
        <v>0</v>
      </c>
      <c r="U86" s="4"/>
      <c r="V86" s="9"/>
      <c r="W86" s="9"/>
      <c r="X86" s="9">
        <f t="shared" si="27"/>
        <v>13.341454218509819</v>
      </c>
      <c r="Y86" s="9">
        <f t="shared" si="26"/>
        <v>13.341454218509819</v>
      </c>
      <c r="Z86" s="9">
        <v>9.4</v>
      </c>
      <c r="AA86" s="9">
        <v>8.1999999999999993</v>
      </c>
      <c r="AB86" s="9">
        <v>11.4</v>
      </c>
      <c r="AC86" s="9">
        <v>7.2</v>
      </c>
      <c r="AD86" s="9">
        <v>10.6</v>
      </c>
      <c r="AE86" s="9">
        <v>16.8</v>
      </c>
      <c r="AF86" s="9">
        <v>16</v>
      </c>
      <c r="AG86" s="9">
        <v>8.6</v>
      </c>
      <c r="AH86" s="9"/>
      <c r="AI86" s="9">
        <f t="shared" si="30"/>
        <v>0</v>
      </c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x14ac:dyDescent="0.25">
      <c r="A87" s="9" t="s">
        <v>131</v>
      </c>
      <c r="B87" s="9" t="s">
        <v>36</v>
      </c>
      <c r="C87" s="9">
        <v>25.61</v>
      </c>
      <c r="D87" s="9">
        <v>252.84800000000001</v>
      </c>
      <c r="E87" s="9">
        <v>97.432000000000002</v>
      </c>
      <c r="F87" s="9">
        <v>59.191000000000003</v>
      </c>
      <c r="G87" s="7">
        <v>1</v>
      </c>
      <c r="H87" s="9">
        <v>55</v>
      </c>
      <c r="I87" s="9" t="s">
        <v>37</v>
      </c>
      <c r="J87" s="9"/>
      <c r="K87" s="9">
        <v>102.3</v>
      </c>
      <c r="L87" s="9">
        <f t="shared" si="23"/>
        <v>-4.867999999999995</v>
      </c>
      <c r="M87" s="9">
        <f t="shared" si="24"/>
        <v>97.432000000000002</v>
      </c>
      <c r="N87" s="9"/>
      <c r="O87" s="9">
        <v>40</v>
      </c>
      <c r="P87" s="9">
        <f t="shared" si="25"/>
        <v>19.4864</v>
      </c>
      <c r="Q87" s="4">
        <f t="shared" si="28"/>
        <v>154.13219999999998</v>
      </c>
      <c r="R87" s="4">
        <f t="shared" si="31"/>
        <v>154.13219999999998</v>
      </c>
      <c r="S87" s="4"/>
      <c r="T87" s="4">
        <f t="shared" si="29"/>
        <v>154.13219999999998</v>
      </c>
      <c r="U87" s="4"/>
      <c r="V87" s="9"/>
      <c r="W87" s="9"/>
      <c r="X87" s="9">
        <f t="shared" si="27"/>
        <v>13</v>
      </c>
      <c r="Y87" s="9">
        <f t="shared" si="26"/>
        <v>5.0902680844075867</v>
      </c>
      <c r="Z87" s="9">
        <v>16.657399999999999</v>
      </c>
      <c r="AA87" s="9">
        <v>18.666399999999999</v>
      </c>
      <c r="AB87" s="9">
        <v>15.5854</v>
      </c>
      <c r="AC87" s="9">
        <v>13.1616</v>
      </c>
      <c r="AD87" s="9">
        <v>21.227599999999999</v>
      </c>
      <c r="AE87" s="9">
        <v>13.0444</v>
      </c>
      <c r="AF87" s="9">
        <v>18.7</v>
      </c>
      <c r="AG87" s="9">
        <v>10.386200000000001</v>
      </c>
      <c r="AH87" s="9"/>
      <c r="AI87" s="9">
        <f t="shared" si="30"/>
        <v>154</v>
      </c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x14ac:dyDescent="0.25">
      <c r="A88" s="9" t="s">
        <v>132</v>
      </c>
      <c r="B88" s="9" t="s">
        <v>36</v>
      </c>
      <c r="C88" s="9">
        <v>40.813000000000002</v>
      </c>
      <c r="D88" s="9">
        <v>236.42099999999999</v>
      </c>
      <c r="E88" s="9">
        <v>82.427000000000007</v>
      </c>
      <c r="F88" s="9">
        <v>140.95599999999999</v>
      </c>
      <c r="G88" s="7">
        <v>1</v>
      </c>
      <c r="H88" s="9">
        <v>55</v>
      </c>
      <c r="I88" s="9" t="s">
        <v>37</v>
      </c>
      <c r="J88" s="9"/>
      <c r="K88" s="9">
        <v>80.7</v>
      </c>
      <c r="L88" s="9">
        <f t="shared" si="23"/>
        <v>1.7270000000000039</v>
      </c>
      <c r="M88" s="9">
        <f t="shared" si="24"/>
        <v>82.427000000000007</v>
      </c>
      <c r="N88" s="9"/>
      <c r="O88" s="9"/>
      <c r="P88" s="9">
        <f t="shared" si="25"/>
        <v>16.485400000000002</v>
      </c>
      <c r="Q88" s="4">
        <f t="shared" si="28"/>
        <v>73.354200000000048</v>
      </c>
      <c r="R88" s="4">
        <f t="shared" si="31"/>
        <v>73.354200000000048</v>
      </c>
      <c r="S88" s="4"/>
      <c r="T88" s="4">
        <f t="shared" si="29"/>
        <v>73.354200000000048</v>
      </c>
      <c r="U88" s="4"/>
      <c r="V88" s="9"/>
      <c r="W88" s="9"/>
      <c r="X88" s="9">
        <f t="shared" si="27"/>
        <v>13</v>
      </c>
      <c r="Y88" s="9">
        <f t="shared" si="26"/>
        <v>8.5503536462566867</v>
      </c>
      <c r="Z88" s="9">
        <v>14.807</v>
      </c>
      <c r="AA88" s="9">
        <v>21.947800000000001</v>
      </c>
      <c r="AB88" s="9">
        <v>16.444400000000002</v>
      </c>
      <c r="AC88" s="9">
        <v>21.529</v>
      </c>
      <c r="AD88" s="9">
        <v>14.007199999999999</v>
      </c>
      <c r="AE88" s="9">
        <v>16.079599999999999</v>
      </c>
      <c r="AF88" s="9">
        <v>17.581800000000001</v>
      </c>
      <c r="AG88" s="9">
        <v>16.244199999999999</v>
      </c>
      <c r="AH88" s="9"/>
      <c r="AI88" s="9">
        <f t="shared" si="30"/>
        <v>73</v>
      </c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x14ac:dyDescent="0.25">
      <c r="A89" s="9" t="s">
        <v>133</v>
      </c>
      <c r="B89" s="9" t="s">
        <v>41</v>
      </c>
      <c r="C89" s="9">
        <v>172</v>
      </c>
      <c r="D89" s="9">
        <v>683</v>
      </c>
      <c r="E89" s="9">
        <v>160</v>
      </c>
      <c r="F89" s="9">
        <v>155</v>
      </c>
      <c r="G89" s="7">
        <v>0.5</v>
      </c>
      <c r="H89" s="9">
        <v>40</v>
      </c>
      <c r="I89" s="9" t="s">
        <v>37</v>
      </c>
      <c r="J89" s="9"/>
      <c r="K89" s="9">
        <v>194</v>
      </c>
      <c r="L89" s="9">
        <f t="shared" si="23"/>
        <v>-34</v>
      </c>
      <c r="M89" s="9">
        <f t="shared" si="24"/>
        <v>160</v>
      </c>
      <c r="N89" s="9"/>
      <c r="O89" s="9">
        <v>160</v>
      </c>
      <c r="P89" s="9">
        <f t="shared" si="25"/>
        <v>32</v>
      </c>
      <c r="Q89" s="4">
        <f t="shared" si="28"/>
        <v>101</v>
      </c>
      <c r="R89" s="4">
        <f t="shared" si="31"/>
        <v>101</v>
      </c>
      <c r="S89" s="4"/>
      <c r="T89" s="4">
        <f t="shared" si="29"/>
        <v>101</v>
      </c>
      <c r="U89" s="4"/>
      <c r="V89" s="9"/>
      <c r="W89" s="9"/>
      <c r="X89" s="9">
        <f t="shared" si="27"/>
        <v>13</v>
      </c>
      <c r="Y89" s="9">
        <f t="shared" si="26"/>
        <v>9.84375</v>
      </c>
      <c r="Z89" s="9">
        <v>42.4</v>
      </c>
      <c r="AA89" s="9">
        <v>44.8</v>
      </c>
      <c r="AB89" s="9">
        <v>51</v>
      </c>
      <c r="AC89" s="9">
        <v>40.799999999999997</v>
      </c>
      <c r="AD89" s="9">
        <v>59.2</v>
      </c>
      <c r="AE89" s="9">
        <v>63.2</v>
      </c>
      <c r="AF89" s="9">
        <v>64.400000000000006</v>
      </c>
      <c r="AG89" s="9">
        <v>63.2</v>
      </c>
      <c r="AH89" s="9"/>
      <c r="AI89" s="9">
        <f t="shared" si="30"/>
        <v>51</v>
      </c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 x14ac:dyDescent="0.25">
      <c r="A90" s="9" t="s">
        <v>134</v>
      </c>
      <c r="B90" s="9" t="s">
        <v>41</v>
      </c>
      <c r="C90" s="9">
        <v>72</v>
      </c>
      <c r="D90" s="9">
        <v>54</v>
      </c>
      <c r="E90" s="9">
        <v>46</v>
      </c>
      <c r="F90" s="9">
        <v>15</v>
      </c>
      <c r="G90" s="7">
        <v>0.5</v>
      </c>
      <c r="H90" s="9">
        <v>60</v>
      </c>
      <c r="I90" s="9" t="s">
        <v>37</v>
      </c>
      <c r="J90" s="9"/>
      <c r="K90" s="9">
        <v>59</v>
      </c>
      <c r="L90" s="9">
        <f t="shared" si="23"/>
        <v>-13</v>
      </c>
      <c r="M90" s="9">
        <f t="shared" si="24"/>
        <v>46</v>
      </c>
      <c r="N90" s="9"/>
      <c r="O90" s="9">
        <v>100</v>
      </c>
      <c r="P90" s="9">
        <f t="shared" si="25"/>
        <v>9.1999999999999993</v>
      </c>
      <c r="Q90" s="4">
        <f t="shared" si="28"/>
        <v>4.5999999999999943</v>
      </c>
      <c r="R90" s="4">
        <f t="shared" ref="R90:R91" si="33">U90</f>
        <v>20</v>
      </c>
      <c r="S90" s="4"/>
      <c r="T90" s="4">
        <f t="shared" si="29"/>
        <v>20</v>
      </c>
      <c r="U90" s="4">
        <v>20</v>
      </c>
      <c r="V90" s="9" t="s">
        <v>167</v>
      </c>
      <c r="W90" s="9"/>
      <c r="X90" s="9">
        <f t="shared" si="27"/>
        <v>14.673913043478262</v>
      </c>
      <c r="Y90" s="9">
        <f t="shared" si="26"/>
        <v>12.500000000000002</v>
      </c>
      <c r="Z90" s="9">
        <v>14.4</v>
      </c>
      <c r="AA90" s="9">
        <v>10.8</v>
      </c>
      <c r="AB90" s="9">
        <v>17.2</v>
      </c>
      <c r="AC90" s="9">
        <v>10.4</v>
      </c>
      <c r="AD90" s="9">
        <v>14.6</v>
      </c>
      <c r="AE90" s="9">
        <v>22</v>
      </c>
      <c r="AF90" s="9">
        <v>25.8</v>
      </c>
      <c r="AG90" s="9">
        <v>15.6</v>
      </c>
      <c r="AH90" s="9"/>
      <c r="AI90" s="9">
        <f t="shared" si="30"/>
        <v>10</v>
      </c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 x14ac:dyDescent="0.25">
      <c r="A91" s="9" t="s">
        <v>135</v>
      </c>
      <c r="B91" s="9" t="s">
        <v>41</v>
      </c>
      <c r="C91" s="9">
        <v>55</v>
      </c>
      <c r="D91" s="9">
        <v>143</v>
      </c>
      <c r="E91" s="9">
        <v>81</v>
      </c>
      <c r="F91" s="9"/>
      <c r="G91" s="7">
        <v>0.4</v>
      </c>
      <c r="H91" s="9">
        <v>55</v>
      </c>
      <c r="I91" s="9" t="s">
        <v>37</v>
      </c>
      <c r="J91" s="9"/>
      <c r="K91" s="9">
        <v>122</v>
      </c>
      <c r="L91" s="9">
        <f t="shared" si="23"/>
        <v>-41</v>
      </c>
      <c r="M91" s="9">
        <f t="shared" si="24"/>
        <v>81</v>
      </c>
      <c r="N91" s="9"/>
      <c r="O91" s="9">
        <v>100</v>
      </c>
      <c r="P91" s="9">
        <f t="shared" si="25"/>
        <v>16.2</v>
      </c>
      <c r="Q91" s="4">
        <f t="shared" si="28"/>
        <v>110.6</v>
      </c>
      <c r="R91" s="4">
        <f t="shared" si="33"/>
        <v>130</v>
      </c>
      <c r="S91" s="4"/>
      <c r="T91" s="4">
        <f t="shared" si="29"/>
        <v>130</v>
      </c>
      <c r="U91" s="4">
        <v>130</v>
      </c>
      <c r="V91" s="9" t="s">
        <v>167</v>
      </c>
      <c r="W91" s="9"/>
      <c r="X91" s="9">
        <f t="shared" si="27"/>
        <v>14.197530864197532</v>
      </c>
      <c r="Y91" s="9">
        <f t="shared" si="26"/>
        <v>6.1728395061728394</v>
      </c>
      <c r="Z91" s="9">
        <v>16.8</v>
      </c>
      <c r="AA91" s="9">
        <v>14.8</v>
      </c>
      <c r="AB91" s="9">
        <v>19</v>
      </c>
      <c r="AC91" s="9">
        <v>25.6</v>
      </c>
      <c r="AD91" s="9">
        <v>22.2</v>
      </c>
      <c r="AE91" s="9">
        <v>23.8</v>
      </c>
      <c r="AF91" s="9">
        <v>24.8</v>
      </c>
      <c r="AG91" s="9">
        <v>24.8</v>
      </c>
      <c r="AH91" s="9"/>
      <c r="AI91" s="9">
        <f t="shared" si="30"/>
        <v>52</v>
      </c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 x14ac:dyDescent="0.25">
      <c r="A92" s="9" t="s">
        <v>136</v>
      </c>
      <c r="B92" s="9" t="s">
        <v>36</v>
      </c>
      <c r="C92" s="9">
        <v>283.10500000000002</v>
      </c>
      <c r="D92" s="9">
        <v>510.71800000000002</v>
      </c>
      <c r="E92" s="9">
        <v>225.65600000000001</v>
      </c>
      <c r="F92" s="9">
        <v>137.048</v>
      </c>
      <c r="G92" s="7">
        <v>1</v>
      </c>
      <c r="H92" s="9">
        <v>55</v>
      </c>
      <c r="I92" s="9" t="s">
        <v>37</v>
      </c>
      <c r="J92" s="9"/>
      <c r="K92" s="9">
        <v>293.125</v>
      </c>
      <c r="L92" s="9">
        <f t="shared" si="23"/>
        <v>-67.468999999999994</v>
      </c>
      <c r="M92" s="9">
        <f t="shared" si="24"/>
        <v>149.631</v>
      </c>
      <c r="N92" s="9">
        <v>76.025000000000006</v>
      </c>
      <c r="O92" s="9"/>
      <c r="P92" s="9">
        <f t="shared" si="25"/>
        <v>29.926200000000001</v>
      </c>
      <c r="Q92" s="4">
        <f t="shared" si="28"/>
        <v>251.99260000000004</v>
      </c>
      <c r="R92" s="4">
        <f t="shared" si="31"/>
        <v>251.99260000000004</v>
      </c>
      <c r="S92" s="4"/>
      <c r="T92" s="4">
        <f t="shared" si="29"/>
        <v>251.99260000000004</v>
      </c>
      <c r="U92" s="4"/>
      <c r="V92" s="9"/>
      <c r="W92" s="9"/>
      <c r="X92" s="9">
        <f t="shared" si="27"/>
        <v>13</v>
      </c>
      <c r="Y92" s="9">
        <f t="shared" si="26"/>
        <v>4.579532316164431</v>
      </c>
      <c r="Z92" s="9">
        <v>34.567399999999999</v>
      </c>
      <c r="AA92" s="9">
        <v>83.009199999999993</v>
      </c>
      <c r="AB92" s="9">
        <v>51.561400000000013</v>
      </c>
      <c r="AC92" s="9">
        <v>61.158399999999993</v>
      </c>
      <c r="AD92" s="9">
        <v>87.367800000000003</v>
      </c>
      <c r="AE92" s="9">
        <v>75.213400000000007</v>
      </c>
      <c r="AF92" s="9">
        <v>79.195799999999991</v>
      </c>
      <c r="AG92" s="9">
        <v>73.885999999999996</v>
      </c>
      <c r="AH92" s="9"/>
      <c r="AI92" s="9">
        <f t="shared" si="30"/>
        <v>252</v>
      </c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 x14ac:dyDescent="0.25">
      <c r="A93" s="11" t="s">
        <v>137</v>
      </c>
      <c r="B93" s="9" t="s">
        <v>36</v>
      </c>
      <c r="C93" s="9">
        <v>-10.689</v>
      </c>
      <c r="D93" s="9">
        <v>10.689</v>
      </c>
      <c r="E93" s="9"/>
      <c r="F93" s="9"/>
      <c r="G93" s="7">
        <v>1</v>
      </c>
      <c r="H93" s="9" t="e">
        <v>#N/A</v>
      </c>
      <c r="I93" s="9" t="s">
        <v>37</v>
      </c>
      <c r="J93" s="9"/>
      <c r="K93" s="9"/>
      <c r="L93" s="9">
        <f t="shared" si="23"/>
        <v>0</v>
      </c>
      <c r="M93" s="9">
        <f t="shared" si="24"/>
        <v>0</v>
      </c>
      <c r="N93" s="9"/>
      <c r="O93" s="11"/>
      <c r="P93" s="9">
        <f t="shared" si="25"/>
        <v>0</v>
      </c>
      <c r="Q93" s="21">
        <v>4</v>
      </c>
      <c r="R93" s="4">
        <f t="shared" si="31"/>
        <v>4</v>
      </c>
      <c r="S93" s="21"/>
      <c r="T93" s="4">
        <f t="shared" si="29"/>
        <v>4</v>
      </c>
      <c r="U93" s="4"/>
      <c r="V93" s="9"/>
      <c r="W93" s="9"/>
      <c r="X93" s="9" t="e">
        <f t="shared" si="27"/>
        <v>#DIV/0!</v>
      </c>
      <c r="Y93" s="9" t="e">
        <f t="shared" si="26"/>
        <v>#DIV/0!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-0.248</v>
      </c>
      <c r="AG93" s="9">
        <v>1.7851999999999999</v>
      </c>
      <c r="AH93" s="11" t="s">
        <v>138</v>
      </c>
      <c r="AI93" s="9">
        <f t="shared" si="30"/>
        <v>4</v>
      </c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 x14ac:dyDescent="0.25">
      <c r="A94" s="9" t="s">
        <v>139</v>
      </c>
      <c r="B94" s="9" t="s">
        <v>41</v>
      </c>
      <c r="C94" s="9"/>
      <c r="D94" s="9">
        <v>217</v>
      </c>
      <c r="E94" s="9">
        <v>47</v>
      </c>
      <c r="F94" s="9">
        <v>53</v>
      </c>
      <c r="G94" s="7">
        <v>0.4</v>
      </c>
      <c r="H94" s="9">
        <v>55</v>
      </c>
      <c r="I94" s="9" t="s">
        <v>37</v>
      </c>
      <c r="J94" s="9"/>
      <c r="K94" s="9">
        <v>58</v>
      </c>
      <c r="L94" s="9">
        <f t="shared" si="23"/>
        <v>-11</v>
      </c>
      <c r="M94" s="9">
        <f t="shared" si="24"/>
        <v>47</v>
      </c>
      <c r="N94" s="9"/>
      <c r="O94" s="9">
        <v>20</v>
      </c>
      <c r="P94" s="9">
        <f t="shared" si="25"/>
        <v>9.4</v>
      </c>
      <c r="Q94" s="4">
        <f t="shared" si="28"/>
        <v>49.2</v>
      </c>
      <c r="R94" s="4">
        <f t="shared" si="31"/>
        <v>49.2</v>
      </c>
      <c r="S94" s="4"/>
      <c r="T94" s="4">
        <f t="shared" si="29"/>
        <v>49.2</v>
      </c>
      <c r="U94" s="4"/>
      <c r="V94" s="9"/>
      <c r="W94" s="9"/>
      <c r="X94" s="9">
        <f t="shared" si="27"/>
        <v>13</v>
      </c>
      <c r="Y94" s="9">
        <f t="shared" si="26"/>
        <v>7.7659574468085104</v>
      </c>
      <c r="Z94" s="9">
        <v>10</v>
      </c>
      <c r="AA94" s="9">
        <v>13.2</v>
      </c>
      <c r="AB94" s="9">
        <v>10</v>
      </c>
      <c r="AC94" s="9">
        <v>12.2</v>
      </c>
      <c r="AD94" s="9">
        <v>10.8</v>
      </c>
      <c r="AE94" s="9">
        <v>17.600000000000001</v>
      </c>
      <c r="AF94" s="9">
        <v>17.8</v>
      </c>
      <c r="AG94" s="9">
        <v>16.600000000000001</v>
      </c>
      <c r="AH94" s="9"/>
      <c r="AI94" s="9">
        <f t="shared" si="30"/>
        <v>20</v>
      </c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 x14ac:dyDescent="0.25">
      <c r="A95" s="9" t="s">
        <v>140</v>
      </c>
      <c r="B95" s="9" t="s">
        <v>36</v>
      </c>
      <c r="C95" s="9">
        <v>45.484000000000002</v>
      </c>
      <c r="D95" s="9">
        <v>120.596</v>
      </c>
      <c r="E95" s="9">
        <v>47.963999999999999</v>
      </c>
      <c r="F95" s="9">
        <v>56.365000000000002</v>
      </c>
      <c r="G95" s="7">
        <v>1</v>
      </c>
      <c r="H95" s="9">
        <v>55</v>
      </c>
      <c r="I95" s="9" t="s">
        <v>37</v>
      </c>
      <c r="J95" s="9"/>
      <c r="K95" s="9">
        <v>47.45</v>
      </c>
      <c r="L95" s="9">
        <f t="shared" si="23"/>
        <v>0.51399999999999579</v>
      </c>
      <c r="M95" s="9">
        <f t="shared" si="24"/>
        <v>47.963999999999999</v>
      </c>
      <c r="N95" s="9"/>
      <c r="O95" s="9"/>
      <c r="P95" s="9">
        <f t="shared" si="25"/>
        <v>9.5928000000000004</v>
      </c>
      <c r="Q95" s="4">
        <f t="shared" si="28"/>
        <v>68.341399999999993</v>
      </c>
      <c r="R95" s="4">
        <f t="shared" si="31"/>
        <v>68.341399999999993</v>
      </c>
      <c r="S95" s="4"/>
      <c r="T95" s="4">
        <f t="shared" si="29"/>
        <v>68.341399999999993</v>
      </c>
      <c r="U95" s="4"/>
      <c r="V95" s="9"/>
      <c r="W95" s="9"/>
      <c r="X95" s="9">
        <f t="shared" si="27"/>
        <v>13</v>
      </c>
      <c r="Y95" s="9">
        <f t="shared" si="26"/>
        <v>5.8757609874072223</v>
      </c>
      <c r="Z95" s="9">
        <v>8.3401999999999994</v>
      </c>
      <c r="AA95" s="9">
        <v>10.136200000000001</v>
      </c>
      <c r="AB95" s="9">
        <v>9.5152000000000001</v>
      </c>
      <c r="AC95" s="9">
        <v>2.4354</v>
      </c>
      <c r="AD95" s="9">
        <v>9.1915999999999993</v>
      </c>
      <c r="AE95" s="9">
        <v>2.7547999999999999</v>
      </c>
      <c r="AF95" s="9">
        <v>4.2263999999999999</v>
      </c>
      <c r="AG95" s="9">
        <v>11.268599999999999</v>
      </c>
      <c r="AH95" s="9"/>
      <c r="AI95" s="9">
        <f t="shared" si="30"/>
        <v>68</v>
      </c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x14ac:dyDescent="0.25">
      <c r="A96" s="9" t="s">
        <v>141</v>
      </c>
      <c r="B96" s="9" t="s">
        <v>41</v>
      </c>
      <c r="C96" s="9">
        <v>180</v>
      </c>
      <c r="D96" s="9">
        <v>1983</v>
      </c>
      <c r="E96" s="9">
        <v>237</v>
      </c>
      <c r="F96" s="9">
        <v>269</v>
      </c>
      <c r="G96" s="7">
        <v>0.3</v>
      </c>
      <c r="H96" s="9">
        <v>40</v>
      </c>
      <c r="I96" s="9" t="s">
        <v>37</v>
      </c>
      <c r="J96" s="9"/>
      <c r="K96" s="9">
        <v>265</v>
      </c>
      <c r="L96" s="9">
        <f t="shared" si="23"/>
        <v>-28</v>
      </c>
      <c r="M96" s="9">
        <f t="shared" si="24"/>
        <v>237</v>
      </c>
      <c r="N96" s="9"/>
      <c r="O96" s="9">
        <v>90</v>
      </c>
      <c r="P96" s="9">
        <f t="shared" si="25"/>
        <v>47.4</v>
      </c>
      <c r="Q96" s="4">
        <f t="shared" si="28"/>
        <v>257.19999999999993</v>
      </c>
      <c r="R96" s="4">
        <f t="shared" si="31"/>
        <v>257.19999999999993</v>
      </c>
      <c r="S96" s="4"/>
      <c r="T96" s="4">
        <f t="shared" si="29"/>
        <v>257.19999999999993</v>
      </c>
      <c r="U96" s="4"/>
      <c r="V96" s="9"/>
      <c r="W96" s="9"/>
      <c r="X96" s="9">
        <f t="shared" si="27"/>
        <v>12.999999999999998</v>
      </c>
      <c r="Y96" s="9">
        <f t="shared" si="26"/>
        <v>7.5738396624472575</v>
      </c>
      <c r="Z96" s="9">
        <v>51.4</v>
      </c>
      <c r="AA96" s="9">
        <v>53.4</v>
      </c>
      <c r="AB96" s="9">
        <v>57.8</v>
      </c>
      <c r="AC96" s="9">
        <v>48.2</v>
      </c>
      <c r="AD96" s="9">
        <v>42.4</v>
      </c>
      <c r="AE96" s="9">
        <v>64.400000000000006</v>
      </c>
      <c r="AF96" s="9">
        <v>65.400000000000006</v>
      </c>
      <c r="AG96" s="9">
        <v>54</v>
      </c>
      <c r="AH96" s="9"/>
      <c r="AI96" s="9">
        <f t="shared" si="30"/>
        <v>77</v>
      </c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x14ac:dyDescent="0.25">
      <c r="A97" s="9" t="s">
        <v>142</v>
      </c>
      <c r="B97" s="9" t="s">
        <v>41</v>
      </c>
      <c r="C97" s="9">
        <v>137</v>
      </c>
      <c r="D97" s="9">
        <v>133</v>
      </c>
      <c r="E97" s="9">
        <v>145</v>
      </c>
      <c r="F97" s="9">
        <v>32</v>
      </c>
      <c r="G97" s="7">
        <v>0.3</v>
      </c>
      <c r="H97" s="9">
        <v>40</v>
      </c>
      <c r="I97" s="9" t="s">
        <v>37</v>
      </c>
      <c r="J97" s="9"/>
      <c r="K97" s="9">
        <v>181</v>
      </c>
      <c r="L97" s="9">
        <f t="shared" si="23"/>
        <v>-36</v>
      </c>
      <c r="M97" s="9">
        <f t="shared" si="24"/>
        <v>145</v>
      </c>
      <c r="N97" s="9"/>
      <c r="O97" s="9">
        <v>100</v>
      </c>
      <c r="P97" s="9">
        <f t="shared" si="25"/>
        <v>29</v>
      </c>
      <c r="Q97" s="4">
        <f t="shared" si="28"/>
        <v>245</v>
      </c>
      <c r="R97" s="4">
        <f>U97</f>
        <v>200</v>
      </c>
      <c r="S97" s="4"/>
      <c r="T97" s="4">
        <f t="shared" si="29"/>
        <v>200</v>
      </c>
      <c r="U97" s="4">
        <v>200</v>
      </c>
      <c r="V97" s="9" t="s">
        <v>168</v>
      </c>
      <c r="W97" s="9"/>
      <c r="X97" s="9">
        <f t="shared" si="27"/>
        <v>11.448275862068966</v>
      </c>
      <c r="Y97" s="9">
        <f t="shared" si="26"/>
        <v>4.5517241379310347</v>
      </c>
      <c r="Z97" s="9">
        <v>24.6</v>
      </c>
      <c r="AA97" s="9">
        <v>28</v>
      </c>
      <c r="AB97" s="9">
        <v>36.6</v>
      </c>
      <c r="AC97" s="9">
        <v>33.6</v>
      </c>
      <c r="AD97" s="9">
        <v>40.200000000000003</v>
      </c>
      <c r="AE97" s="9">
        <v>39</v>
      </c>
      <c r="AF97" s="9">
        <v>38.4</v>
      </c>
      <c r="AG97" s="9">
        <v>46.2</v>
      </c>
      <c r="AH97" s="9"/>
      <c r="AI97" s="9">
        <f t="shared" si="30"/>
        <v>60</v>
      </c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x14ac:dyDescent="0.25">
      <c r="A98" s="9" t="s">
        <v>143</v>
      </c>
      <c r="B98" s="9" t="s">
        <v>41</v>
      </c>
      <c r="C98" s="9">
        <v>12</v>
      </c>
      <c r="D98" s="9">
        <v>151</v>
      </c>
      <c r="E98" s="9">
        <v>56</v>
      </c>
      <c r="F98" s="9"/>
      <c r="G98" s="7">
        <v>0.3</v>
      </c>
      <c r="H98" s="9">
        <v>40</v>
      </c>
      <c r="I98" s="9" t="s">
        <v>37</v>
      </c>
      <c r="J98" s="9"/>
      <c r="K98" s="9">
        <v>80</v>
      </c>
      <c r="L98" s="9">
        <f t="shared" si="23"/>
        <v>-24</v>
      </c>
      <c r="M98" s="9">
        <f t="shared" si="24"/>
        <v>56</v>
      </c>
      <c r="N98" s="9"/>
      <c r="O98" s="9">
        <v>110</v>
      </c>
      <c r="P98" s="9">
        <f t="shared" si="25"/>
        <v>11.2</v>
      </c>
      <c r="Q98" s="4">
        <f t="shared" si="28"/>
        <v>35.599999999999994</v>
      </c>
      <c r="R98" s="4">
        <f t="shared" si="31"/>
        <v>35.599999999999994</v>
      </c>
      <c r="S98" s="4"/>
      <c r="T98" s="4">
        <f t="shared" si="29"/>
        <v>35.599999999999994</v>
      </c>
      <c r="U98" s="4"/>
      <c r="V98" s="9"/>
      <c r="W98" s="9"/>
      <c r="X98" s="9">
        <f t="shared" si="27"/>
        <v>13</v>
      </c>
      <c r="Y98" s="9">
        <f t="shared" si="26"/>
        <v>9.8214285714285712</v>
      </c>
      <c r="Z98" s="9">
        <v>14.6</v>
      </c>
      <c r="AA98" s="9">
        <v>12.4</v>
      </c>
      <c r="AB98" s="9">
        <v>14.2</v>
      </c>
      <c r="AC98" s="9">
        <v>15</v>
      </c>
      <c r="AD98" s="9">
        <v>24.6</v>
      </c>
      <c r="AE98" s="9">
        <v>20.2</v>
      </c>
      <c r="AF98" s="9">
        <v>29.2</v>
      </c>
      <c r="AG98" s="9">
        <v>29.6</v>
      </c>
      <c r="AH98" s="9"/>
      <c r="AI98" s="9">
        <f t="shared" si="30"/>
        <v>11</v>
      </c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x14ac:dyDescent="0.25">
      <c r="A99" s="9" t="s">
        <v>144</v>
      </c>
      <c r="B99" s="9" t="s">
        <v>41</v>
      </c>
      <c r="C99" s="9">
        <v>56</v>
      </c>
      <c r="D99" s="9">
        <v>40</v>
      </c>
      <c r="E99" s="9">
        <v>50</v>
      </c>
      <c r="F99" s="9"/>
      <c r="G99" s="7">
        <v>0.12</v>
      </c>
      <c r="H99" s="9">
        <v>45</v>
      </c>
      <c r="I99" s="9" t="s">
        <v>37</v>
      </c>
      <c r="J99" s="9"/>
      <c r="K99" s="9">
        <v>63</v>
      </c>
      <c r="L99" s="9">
        <f t="shared" si="23"/>
        <v>-13</v>
      </c>
      <c r="M99" s="9">
        <f t="shared" si="24"/>
        <v>50</v>
      </c>
      <c r="N99" s="9"/>
      <c r="O99" s="9">
        <v>50</v>
      </c>
      <c r="P99" s="9">
        <f t="shared" si="25"/>
        <v>10</v>
      </c>
      <c r="Q99" s="4">
        <f t="shared" si="28"/>
        <v>80</v>
      </c>
      <c r="R99" s="4">
        <f>U99</f>
        <v>100</v>
      </c>
      <c r="S99" s="4"/>
      <c r="T99" s="4">
        <f t="shared" si="29"/>
        <v>100</v>
      </c>
      <c r="U99" s="4">
        <v>100</v>
      </c>
      <c r="V99" s="9" t="s">
        <v>167</v>
      </c>
      <c r="W99" s="9"/>
      <c r="X99" s="9">
        <f t="shared" si="27"/>
        <v>15</v>
      </c>
      <c r="Y99" s="9">
        <f t="shared" si="26"/>
        <v>5</v>
      </c>
      <c r="Z99" s="9">
        <v>9.4</v>
      </c>
      <c r="AA99" s="9">
        <v>8.4</v>
      </c>
      <c r="AB99" s="9">
        <v>12.2</v>
      </c>
      <c r="AC99" s="9">
        <v>15.2</v>
      </c>
      <c r="AD99" s="9">
        <v>18.399999999999999</v>
      </c>
      <c r="AE99" s="9">
        <v>13.4</v>
      </c>
      <c r="AF99" s="9">
        <v>14.2</v>
      </c>
      <c r="AG99" s="9">
        <v>17</v>
      </c>
      <c r="AH99" s="9"/>
      <c r="AI99" s="9">
        <f t="shared" si="30"/>
        <v>12</v>
      </c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 x14ac:dyDescent="0.25">
      <c r="A100" s="9" t="s">
        <v>145</v>
      </c>
      <c r="B100" s="9" t="s">
        <v>41</v>
      </c>
      <c r="C100" s="9">
        <v>203</v>
      </c>
      <c r="D100" s="9">
        <v>174</v>
      </c>
      <c r="E100" s="9">
        <v>65</v>
      </c>
      <c r="F100" s="9">
        <v>134</v>
      </c>
      <c r="G100" s="7">
        <v>7.0000000000000007E-2</v>
      </c>
      <c r="H100" s="9">
        <v>60</v>
      </c>
      <c r="I100" s="9" t="s">
        <v>37</v>
      </c>
      <c r="J100" s="9"/>
      <c r="K100" s="9">
        <v>70</v>
      </c>
      <c r="L100" s="9">
        <f t="shared" si="23"/>
        <v>-5</v>
      </c>
      <c r="M100" s="9">
        <f t="shared" si="24"/>
        <v>65</v>
      </c>
      <c r="N100" s="9"/>
      <c r="O100" s="9"/>
      <c r="P100" s="9">
        <f t="shared" si="25"/>
        <v>13</v>
      </c>
      <c r="Q100" s="4">
        <f t="shared" si="28"/>
        <v>35</v>
      </c>
      <c r="R100" s="4">
        <f t="shared" si="31"/>
        <v>35</v>
      </c>
      <c r="S100" s="4"/>
      <c r="T100" s="4">
        <f t="shared" si="29"/>
        <v>35</v>
      </c>
      <c r="U100" s="4"/>
      <c r="V100" s="9"/>
      <c r="W100" s="9"/>
      <c r="X100" s="9">
        <f t="shared" si="27"/>
        <v>13</v>
      </c>
      <c r="Y100" s="9">
        <f t="shared" si="26"/>
        <v>10.307692307692308</v>
      </c>
      <c r="Z100" s="9">
        <v>12</v>
      </c>
      <c r="AA100" s="9">
        <v>9</v>
      </c>
      <c r="AB100" s="9">
        <v>24.4</v>
      </c>
      <c r="AC100" s="9">
        <v>13.6</v>
      </c>
      <c r="AD100" s="9">
        <v>24.4</v>
      </c>
      <c r="AE100" s="9">
        <v>20.2</v>
      </c>
      <c r="AF100" s="9">
        <v>21</v>
      </c>
      <c r="AG100" s="9">
        <v>23.8</v>
      </c>
      <c r="AH100" s="9"/>
      <c r="AI100" s="9">
        <f t="shared" si="30"/>
        <v>2</v>
      </c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 x14ac:dyDescent="0.25">
      <c r="A101" s="9" t="s">
        <v>146</v>
      </c>
      <c r="B101" s="9" t="s">
        <v>41</v>
      </c>
      <c r="C101" s="9">
        <v>42</v>
      </c>
      <c r="D101" s="9">
        <v>24</v>
      </c>
      <c r="E101" s="9">
        <v>38</v>
      </c>
      <c r="F101" s="9">
        <v>1</v>
      </c>
      <c r="G101" s="7">
        <v>0.12</v>
      </c>
      <c r="H101" s="9">
        <v>90</v>
      </c>
      <c r="I101" s="9" t="s">
        <v>37</v>
      </c>
      <c r="J101" s="9"/>
      <c r="K101" s="9">
        <v>41</v>
      </c>
      <c r="L101" s="9">
        <f t="shared" si="23"/>
        <v>-3</v>
      </c>
      <c r="M101" s="9">
        <f t="shared" si="24"/>
        <v>38</v>
      </c>
      <c r="N101" s="9"/>
      <c r="O101" s="9">
        <v>20</v>
      </c>
      <c r="P101" s="9">
        <f t="shared" si="25"/>
        <v>7.6</v>
      </c>
      <c r="Q101" s="4">
        <f>11*P101-O101-F101</f>
        <v>62.599999999999994</v>
      </c>
      <c r="R101" s="4">
        <f>U101</f>
        <v>100</v>
      </c>
      <c r="S101" s="4"/>
      <c r="T101" s="4">
        <f t="shared" si="29"/>
        <v>100</v>
      </c>
      <c r="U101" s="4">
        <v>100</v>
      </c>
      <c r="V101" s="9" t="s">
        <v>167</v>
      </c>
      <c r="W101" s="9"/>
      <c r="X101" s="9">
        <f t="shared" si="27"/>
        <v>15.921052631578949</v>
      </c>
      <c r="Y101" s="9">
        <f t="shared" si="26"/>
        <v>2.763157894736842</v>
      </c>
      <c r="Z101" s="9">
        <v>5.2</v>
      </c>
      <c r="AA101" s="9">
        <v>3.6</v>
      </c>
      <c r="AB101" s="9">
        <v>7.2</v>
      </c>
      <c r="AC101" s="9">
        <v>6.4</v>
      </c>
      <c r="AD101" s="9">
        <v>9.4</v>
      </c>
      <c r="AE101" s="9">
        <v>10</v>
      </c>
      <c r="AF101" s="9">
        <v>6.6</v>
      </c>
      <c r="AG101" s="9">
        <v>14.2</v>
      </c>
      <c r="AH101" s="9"/>
      <c r="AI101" s="9">
        <f t="shared" si="30"/>
        <v>12</v>
      </c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 x14ac:dyDescent="0.25">
      <c r="A102" s="11" t="s">
        <v>147</v>
      </c>
      <c r="B102" s="9" t="s">
        <v>36</v>
      </c>
      <c r="C102" s="9"/>
      <c r="D102" s="9"/>
      <c r="E102" s="9"/>
      <c r="F102" s="9"/>
      <c r="G102" s="7">
        <v>1</v>
      </c>
      <c r="H102" s="9">
        <v>180</v>
      </c>
      <c r="I102" s="9" t="s">
        <v>37</v>
      </c>
      <c r="J102" s="9"/>
      <c r="K102" s="9"/>
      <c r="L102" s="9">
        <f t="shared" ref="L102:L116" si="34">E102-K102</f>
        <v>0</v>
      </c>
      <c r="M102" s="9">
        <f t="shared" ref="M102:M116" si="35">E102-N102</f>
        <v>0</v>
      </c>
      <c r="N102" s="9"/>
      <c r="O102" s="11"/>
      <c r="P102" s="9">
        <f t="shared" ref="P102:P116" si="36">M102/5</f>
        <v>0</v>
      </c>
      <c r="Q102" s="21">
        <v>4</v>
      </c>
      <c r="R102" s="4">
        <f t="shared" si="31"/>
        <v>4</v>
      </c>
      <c r="S102" s="21"/>
      <c r="T102" s="4">
        <f t="shared" si="29"/>
        <v>4</v>
      </c>
      <c r="U102" s="4"/>
      <c r="V102" s="9"/>
      <c r="W102" s="9"/>
      <c r="X102" s="9" t="e">
        <f t="shared" si="27"/>
        <v>#DIV/0!</v>
      </c>
      <c r="Y102" s="9" t="e">
        <f t="shared" ref="Y102:Y116" si="37">(F102+O102)/P102</f>
        <v>#DIV/0!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11" t="s">
        <v>138</v>
      </c>
      <c r="AI102" s="9">
        <f t="shared" si="30"/>
        <v>4</v>
      </c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 x14ac:dyDescent="0.25">
      <c r="A103" s="9" t="s">
        <v>148</v>
      </c>
      <c r="B103" s="9" t="s">
        <v>41</v>
      </c>
      <c r="C103" s="9">
        <v>175</v>
      </c>
      <c r="D103" s="9">
        <v>34</v>
      </c>
      <c r="E103" s="9">
        <v>91</v>
      </c>
      <c r="F103" s="9">
        <v>79</v>
      </c>
      <c r="G103" s="7">
        <v>7.0000000000000007E-2</v>
      </c>
      <c r="H103" s="9">
        <v>90</v>
      </c>
      <c r="I103" s="9" t="s">
        <v>37</v>
      </c>
      <c r="J103" s="9"/>
      <c r="K103" s="9">
        <v>96</v>
      </c>
      <c r="L103" s="9">
        <f t="shared" si="34"/>
        <v>-5</v>
      </c>
      <c r="M103" s="9">
        <f t="shared" si="35"/>
        <v>91</v>
      </c>
      <c r="N103" s="9"/>
      <c r="O103" s="9">
        <v>20</v>
      </c>
      <c r="P103" s="9">
        <f t="shared" si="36"/>
        <v>18.2</v>
      </c>
      <c r="Q103" s="4">
        <f t="shared" si="28"/>
        <v>137.6</v>
      </c>
      <c r="R103" s="4">
        <f t="shared" si="31"/>
        <v>137.6</v>
      </c>
      <c r="S103" s="4"/>
      <c r="T103" s="4">
        <f t="shared" si="29"/>
        <v>137.6</v>
      </c>
      <c r="U103" s="4"/>
      <c r="V103" s="9"/>
      <c r="W103" s="9"/>
      <c r="X103" s="9">
        <f t="shared" si="27"/>
        <v>13</v>
      </c>
      <c r="Y103" s="9">
        <f t="shared" si="37"/>
        <v>5.4395604395604398</v>
      </c>
      <c r="Z103" s="9">
        <v>15.4</v>
      </c>
      <c r="AA103" s="9">
        <v>15.2</v>
      </c>
      <c r="AB103" s="9">
        <v>25</v>
      </c>
      <c r="AC103" s="9">
        <v>22.2</v>
      </c>
      <c r="AD103" s="9">
        <v>23</v>
      </c>
      <c r="AE103" s="9">
        <v>27.8</v>
      </c>
      <c r="AF103" s="9">
        <v>27.8</v>
      </c>
      <c r="AG103" s="9">
        <v>38.4</v>
      </c>
      <c r="AH103" s="9"/>
      <c r="AI103" s="9">
        <f t="shared" si="30"/>
        <v>10</v>
      </c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 x14ac:dyDescent="0.25">
      <c r="A104" s="9" t="s">
        <v>149</v>
      </c>
      <c r="B104" s="9" t="s">
        <v>41</v>
      </c>
      <c r="C104" s="9">
        <v>101</v>
      </c>
      <c r="D104" s="9">
        <v>68</v>
      </c>
      <c r="E104" s="9">
        <v>56</v>
      </c>
      <c r="F104" s="9">
        <v>44</v>
      </c>
      <c r="G104" s="7">
        <v>0.05</v>
      </c>
      <c r="H104" s="9">
        <v>90</v>
      </c>
      <c r="I104" s="9" t="s">
        <v>37</v>
      </c>
      <c r="J104" s="9"/>
      <c r="K104" s="9">
        <v>57</v>
      </c>
      <c r="L104" s="9">
        <f t="shared" si="34"/>
        <v>-1</v>
      </c>
      <c r="M104" s="9">
        <f t="shared" si="35"/>
        <v>56</v>
      </c>
      <c r="N104" s="9"/>
      <c r="O104" s="9">
        <v>20</v>
      </c>
      <c r="P104" s="9">
        <f t="shared" si="36"/>
        <v>11.2</v>
      </c>
      <c r="Q104" s="4">
        <f t="shared" si="28"/>
        <v>81.599999999999994</v>
      </c>
      <c r="R104" s="4">
        <f t="shared" si="31"/>
        <v>81.599999999999994</v>
      </c>
      <c r="S104" s="4"/>
      <c r="T104" s="4">
        <f t="shared" si="29"/>
        <v>81.599999999999994</v>
      </c>
      <c r="U104" s="4"/>
      <c r="V104" s="9"/>
      <c r="W104" s="9"/>
      <c r="X104" s="9">
        <f t="shared" si="27"/>
        <v>13</v>
      </c>
      <c r="Y104" s="9">
        <f t="shared" si="37"/>
        <v>5.7142857142857144</v>
      </c>
      <c r="Z104" s="9">
        <v>10</v>
      </c>
      <c r="AA104" s="9">
        <v>6.2</v>
      </c>
      <c r="AB104" s="9">
        <v>14</v>
      </c>
      <c r="AC104" s="9">
        <v>10.8</v>
      </c>
      <c r="AD104" s="9">
        <v>17.399999999999999</v>
      </c>
      <c r="AE104" s="9">
        <v>11.2</v>
      </c>
      <c r="AF104" s="9">
        <v>6.8</v>
      </c>
      <c r="AG104" s="9">
        <v>21</v>
      </c>
      <c r="AH104" s="9"/>
      <c r="AI104" s="9">
        <f t="shared" si="30"/>
        <v>4</v>
      </c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 x14ac:dyDescent="0.25">
      <c r="A105" s="9" t="s">
        <v>150</v>
      </c>
      <c r="B105" s="9" t="s">
        <v>41</v>
      </c>
      <c r="C105" s="9">
        <v>10</v>
      </c>
      <c r="D105" s="9">
        <v>15</v>
      </c>
      <c r="E105" s="9">
        <v>6</v>
      </c>
      <c r="F105" s="9"/>
      <c r="G105" s="7">
        <v>5.5E-2</v>
      </c>
      <c r="H105" s="9">
        <v>90</v>
      </c>
      <c r="I105" s="9" t="s">
        <v>37</v>
      </c>
      <c r="J105" s="9"/>
      <c r="K105" s="9">
        <v>29</v>
      </c>
      <c r="L105" s="9">
        <f t="shared" si="34"/>
        <v>-23</v>
      </c>
      <c r="M105" s="9">
        <f t="shared" si="35"/>
        <v>6</v>
      </c>
      <c r="N105" s="9"/>
      <c r="O105" s="9">
        <v>120</v>
      </c>
      <c r="P105" s="9">
        <f t="shared" si="36"/>
        <v>1.2</v>
      </c>
      <c r="Q105" s="4"/>
      <c r="R105" s="4">
        <f t="shared" si="31"/>
        <v>0</v>
      </c>
      <c r="S105" s="4"/>
      <c r="T105" s="4">
        <f t="shared" si="29"/>
        <v>0</v>
      </c>
      <c r="U105" s="4"/>
      <c r="V105" s="9"/>
      <c r="W105" s="9"/>
      <c r="X105" s="9">
        <f t="shared" si="27"/>
        <v>100</v>
      </c>
      <c r="Y105" s="9">
        <f t="shared" si="37"/>
        <v>100</v>
      </c>
      <c r="Z105" s="9">
        <v>12</v>
      </c>
      <c r="AA105" s="9">
        <v>-3</v>
      </c>
      <c r="AB105" s="9">
        <v>4.8</v>
      </c>
      <c r="AC105" s="9">
        <v>18.8</v>
      </c>
      <c r="AD105" s="9">
        <v>-1</v>
      </c>
      <c r="AE105" s="9">
        <v>12</v>
      </c>
      <c r="AF105" s="9">
        <v>10.4</v>
      </c>
      <c r="AG105" s="9">
        <v>31.2</v>
      </c>
      <c r="AH105" s="9" t="s">
        <v>151</v>
      </c>
      <c r="AI105" s="9">
        <f t="shared" si="30"/>
        <v>0</v>
      </c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x14ac:dyDescent="0.25">
      <c r="A106" s="9" t="s">
        <v>152</v>
      </c>
      <c r="B106" s="9" t="s">
        <v>41</v>
      </c>
      <c r="C106" s="9">
        <v>81</v>
      </c>
      <c r="D106" s="9">
        <v>157</v>
      </c>
      <c r="E106" s="9">
        <v>57</v>
      </c>
      <c r="F106" s="9">
        <v>56</v>
      </c>
      <c r="G106" s="7">
        <v>5.5E-2</v>
      </c>
      <c r="H106" s="9">
        <v>90</v>
      </c>
      <c r="I106" s="9" t="s">
        <v>37</v>
      </c>
      <c r="J106" s="9"/>
      <c r="K106" s="9">
        <v>61</v>
      </c>
      <c r="L106" s="9">
        <f t="shared" si="34"/>
        <v>-4</v>
      </c>
      <c r="M106" s="9">
        <f t="shared" si="35"/>
        <v>57</v>
      </c>
      <c r="N106" s="9"/>
      <c r="O106" s="9"/>
      <c r="P106" s="9">
        <f t="shared" si="36"/>
        <v>11.4</v>
      </c>
      <c r="Q106" s="4">
        <f t="shared" si="28"/>
        <v>92.200000000000017</v>
      </c>
      <c r="R106" s="4">
        <f t="shared" si="31"/>
        <v>92.200000000000017</v>
      </c>
      <c r="S106" s="4"/>
      <c r="T106" s="4">
        <f t="shared" si="29"/>
        <v>92.200000000000017</v>
      </c>
      <c r="U106" s="4"/>
      <c r="V106" s="9"/>
      <c r="W106" s="9"/>
      <c r="X106" s="9">
        <f t="shared" si="27"/>
        <v>13.000000000000002</v>
      </c>
      <c r="Y106" s="9">
        <f t="shared" si="37"/>
        <v>4.9122807017543861</v>
      </c>
      <c r="Z106" s="9">
        <v>6.6</v>
      </c>
      <c r="AA106" s="9">
        <v>8</v>
      </c>
      <c r="AB106" s="9">
        <v>9.4</v>
      </c>
      <c r="AC106" s="9">
        <v>8.4</v>
      </c>
      <c r="AD106" s="9">
        <v>11.6</v>
      </c>
      <c r="AE106" s="9">
        <v>5.6</v>
      </c>
      <c r="AF106" s="9">
        <v>7.6</v>
      </c>
      <c r="AG106" s="9">
        <v>11</v>
      </c>
      <c r="AH106" s="9"/>
      <c r="AI106" s="9">
        <f t="shared" si="30"/>
        <v>5</v>
      </c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x14ac:dyDescent="0.25">
      <c r="A107" s="9" t="s">
        <v>153</v>
      </c>
      <c r="B107" s="9" t="s">
        <v>41</v>
      </c>
      <c r="C107" s="9">
        <v>81</v>
      </c>
      <c r="D107" s="9">
        <v>32</v>
      </c>
      <c r="E107" s="9">
        <v>27</v>
      </c>
      <c r="F107" s="9">
        <v>47</v>
      </c>
      <c r="G107" s="7">
        <v>5.5E-2</v>
      </c>
      <c r="H107" s="9">
        <v>90</v>
      </c>
      <c r="I107" s="9" t="s">
        <v>37</v>
      </c>
      <c r="J107" s="9"/>
      <c r="K107" s="9">
        <v>33</v>
      </c>
      <c r="L107" s="9">
        <f t="shared" si="34"/>
        <v>-6</v>
      </c>
      <c r="M107" s="9">
        <f t="shared" si="35"/>
        <v>27</v>
      </c>
      <c r="N107" s="9"/>
      <c r="O107" s="9">
        <v>100</v>
      </c>
      <c r="P107" s="9">
        <f t="shared" si="36"/>
        <v>5.4</v>
      </c>
      <c r="Q107" s="4"/>
      <c r="R107" s="4">
        <f t="shared" si="31"/>
        <v>0</v>
      </c>
      <c r="S107" s="4"/>
      <c r="T107" s="4">
        <f t="shared" si="29"/>
        <v>0</v>
      </c>
      <c r="U107" s="4"/>
      <c r="V107" s="9"/>
      <c r="W107" s="9"/>
      <c r="X107" s="9">
        <f t="shared" si="27"/>
        <v>27.222222222222221</v>
      </c>
      <c r="Y107" s="9">
        <f t="shared" si="37"/>
        <v>27.222222222222221</v>
      </c>
      <c r="Z107" s="9">
        <v>15.4</v>
      </c>
      <c r="AA107" s="9">
        <v>6.2</v>
      </c>
      <c r="AB107" s="9">
        <v>12.6</v>
      </c>
      <c r="AC107" s="9">
        <v>19.399999999999999</v>
      </c>
      <c r="AD107" s="9">
        <v>15</v>
      </c>
      <c r="AE107" s="9">
        <v>11</v>
      </c>
      <c r="AF107" s="9">
        <v>14.4</v>
      </c>
      <c r="AG107" s="9">
        <v>15</v>
      </c>
      <c r="AH107" s="9"/>
      <c r="AI107" s="9">
        <f t="shared" si="30"/>
        <v>0</v>
      </c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x14ac:dyDescent="0.25">
      <c r="A108" s="9" t="s">
        <v>154</v>
      </c>
      <c r="B108" s="9" t="s">
        <v>41</v>
      </c>
      <c r="C108" s="9">
        <v>171</v>
      </c>
      <c r="D108" s="9">
        <v>625</v>
      </c>
      <c r="E108" s="9">
        <v>170</v>
      </c>
      <c r="F108" s="9">
        <v>78</v>
      </c>
      <c r="G108" s="7">
        <v>0.375</v>
      </c>
      <c r="H108" s="9">
        <v>50</v>
      </c>
      <c r="I108" s="9" t="s">
        <v>37</v>
      </c>
      <c r="J108" s="9"/>
      <c r="K108" s="9">
        <v>195</v>
      </c>
      <c r="L108" s="9">
        <f t="shared" si="34"/>
        <v>-25</v>
      </c>
      <c r="M108" s="9">
        <f t="shared" si="35"/>
        <v>170</v>
      </c>
      <c r="N108" s="9"/>
      <c r="O108" s="9">
        <v>320</v>
      </c>
      <c r="P108" s="9">
        <f t="shared" si="36"/>
        <v>34</v>
      </c>
      <c r="Q108" s="4">
        <f t="shared" si="28"/>
        <v>44</v>
      </c>
      <c r="R108" s="4">
        <f t="shared" si="31"/>
        <v>44</v>
      </c>
      <c r="S108" s="4"/>
      <c r="T108" s="4">
        <f t="shared" si="29"/>
        <v>44</v>
      </c>
      <c r="U108" s="4"/>
      <c r="V108" s="9"/>
      <c r="W108" s="9"/>
      <c r="X108" s="9">
        <f t="shared" si="27"/>
        <v>13</v>
      </c>
      <c r="Y108" s="9">
        <f t="shared" si="37"/>
        <v>11.705882352941176</v>
      </c>
      <c r="Z108" s="9">
        <v>46.4</v>
      </c>
      <c r="AA108" s="9">
        <v>40</v>
      </c>
      <c r="AB108" s="9">
        <v>51.8</v>
      </c>
      <c r="AC108" s="9">
        <v>48.6</v>
      </c>
      <c r="AD108" s="9">
        <v>53.6</v>
      </c>
      <c r="AE108" s="9">
        <v>65.8</v>
      </c>
      <c r="AF108" s="9">
        <v>72.599999999999994</v>
      </c>
      <c r="AG108" s="9">
        <v>86.2</v>
      </c>
      <c r="AH108" s="9"/>
      <c r="AI108" s="9">
        <f t="shared" si="30"/>
        <v>17</v>
      </c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 x14ac:dyDescent="0.25">
      <c r="A109" s="9" t="s">
        <v>155</v>
      </c>
      <c r="B109" s="9" t="s">
        <v>41</v>
      </c>
      <c r="C109" s="9">
        <v>292</v>
      </c>
      <c r="D109" s="9">
        <v>126</v>
      </c>
      <c r="E109" s="22">
        <f>97+E114</f>
        <v>147</v>
      </c>
      <c r="F109" s="22">
        <f>40+F114</f>
        <v>62</v>
      </c>
      <c r="G109" s="7">
        <v>7.0000000000000007E-2</v>
      </c>
      <c r="H109" s="9">
        <v>90</v>
      </c>
      <c r="I109" s="9" t="s">
        <v>37</v>
      </c>
      <c r="J109" s="9"/>
      <c r="K109" s="9">
        <v>101</v>
      </c>
      <c r="L109" s="9">
        <f t="shared" si="34"/>
        <v>46</v>
      </c>
      <c r="M109" s="9">
        <f t="shared" si="35"/>
        <v>147</v>
      </c>
      <c r="N109" s="9"/>
      <c r="O109" s="9">
        <v>80</v>
      </c>
      <c r="P109" s="9">
        <f t="shared" si="36"/>
        <v>29.4</v>
      </c>
      <c r="Q109" s="4">
        <f t="shared" si="28"/>
        <v>240.2</v>
      </c>
      <c r="R109" s="4">
        <f t="shared" si="31"/>
        <v>240.2</v>
      </c>
      <c r="S109" s="4"/>
      <c r="T109" s="4">
        <f t="shared" si="29"/>
        <v>240.2</v>
      </c>
      <c r="U109" s="4"/>
      <c r="V109" s="9"/>
      <c r="W109" s="9"/>
      <c r="X109" s="9">
        <f t="shared" si="27"/>
        <v>13</v>
      </c>
      <c r="Y109" s="9">
        <f t="shared" si="37"/>
        <v>4.8299319727891161</v>
      </c>
      <c r="Z109" s="9">
        <v>23.4</v>
      </c>
      <c r="AA109" s="9">
        <v>24.6</v>
      </c>
      <c r="AB109" s="9">
        <v>35.6</v>
      </c>
      <c r="AC109" s="9">
        <v>42.4</v>
      </c>
      <c r="AD109" s="9">
        <v>42.6</v>
      </c>
      <c r="AE109" s="9">
        <v>59.6</v>
      </c>
      <c r="AF109" s="9">
        <v>47.2</v>
      </c>
      <c r="AG109" s="9">
        <v>47.8</v>
      </c>
      <c r="AH109" s="9"/>
      <c r="AI109" s="9">
        <f t="shared" si="30"/>
        <v>17</v>
      </c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 x14ac:dyDescent="0.25">
      <c r="A110" s="9" t="s">
        <v>156</v>
      </c>
      <c r="B110" s="9" t="s">
        <v>41</v>
      </c>
      <c r="C110" s="9">
        <v>176</v>
      </c>
      <c r="D110" s="9">
        <v>164</v>
      </c>
      <c r="E110" s="9">
        <v>124</v>
      </c>
      <c r="F110" s="9">
        <v>118</v>
      </c>
      <c r="G110" s="7">
        <v>7.0000000000000007E-2</v>
      </c>
      <c r="H110" s="9">
        <v>90</v>
      </c>
      <c r="I110" s="9" t="s">
        <v>37</v>
      </c>
      <c r="J110" s="9"/>
      <c r="K110" s="9">
        <v>129</v>
      </c>
      <c r="L110" s="9">
        <f t="shared" si="34"/>
        <v>-5</v>
      </c>
      <c r="M110" s="9">
        <f t="shared" si="35"/>
        <v>124</v>
      </c>
      <c r="N110" s="9"/>
      <c r="O110" s="9">
        <v>30</v>
      </c>
      <c r="P110" s="9">
        <f t="shared" si="36"/>
        <v>24.8</v>
      </c>
      <c r="Q110" s="4">
        <f t="shared" si="28"/>
        <v>174.40000000000003</v>
      </c>
      <c r="R110" s="4">
        <f t="shared" si="31"/>
        <v>174.40000000000003</v>
      </c>
      <c r="S110" s="4"/>
      <c r="T110" s="4">
        <f t="shared" si="29"/>
        <v>174.40000000000003</v>
      </c>
      <c r="U110" s="4"/>
      <c r="V110" s="9"/>
      <c r="W110" s="9"/>
      <c r="X110" s="9">
        <f t="shared" si="27"/>
        <v>13.000000000000002</v>
      </c>
      <c r="Y110" s="9">
        <f t="shared" si="37"/>
        <v>5.967741935483871</v>
      </c>
      <c r="Z110" s="9">
        <v>22</v>
      </c>
      <c r="AA110" s="9">
        <v>27</v>
      </c>
      <c r="AB110" s="9">
        <v>33.200000000000003</v>
      </c>
      <c r="AC110" s="9">
        <v>31.6</v>
      </c>
      <c r="AD110" s="9">
        <v>40.200000000000003</v>
      </c>
      <c r="AE110" s="9">
        <v>48.4</v>
      </c>
      <c r="AF110" s="9">
        <v>46.2</v>
      </c>
      <c r="AG110" s="9">
        <v>53.6</v>
      </c>
      <c r="AH110" s="9"/>
      <c r="AI110" s="9">
        <f t="shared" si="30"/>
        <v>12</v>
      </c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 x14ac:dyDescent="0.25">
      <c r="A111" s="18" t="s">
        <v>157</v>
      </c>
      <c r="B111" s="18" t="s">
        <v>41</v>
      </c>
      <c r="C111" s="18"/>
      <c r="D111" s="18">
        <v>46</v>
      </c>
      <c r="E111" s="22">
        <v>11</v>
      </c>
      <c r="F111" s="22">
        <v>33</v>
      </c>
      <c r="G111" s="19">
        <v>0</v>
      </c>
      <c r="H111" s="18" t="e">
        <v>#N/A</v>
      </c>
      <c r="I111" s="18" t="s">
        <v>158</v>
      </c>
      <c r="J111" s="18" t="s">
        <v>90</v>
      </c>
      <c r="K111" s="18">
        <v>13</v>
      </c>
      <c r="L111" s="18">
        <f t="shared" si="34"/>
        <v>-2</v>
      </c>
      <c r="M111" s="18">
        <f t="shared" si="35"/>
        <v>11</v>
      </c>
      <c r="N111" s="18"/>
      <c r="O111" s="18"/>
      <c r="P111" s="18">
        <f t="shared" si="36"/>
        <v>2.2000000000000002</v>
      </c>
      <c r="Q111" s="20"/>
      <c r="R111" s="20"/>
      <c r="S111" s="20"/>
      <c r="T111" s="20"/>
      <c r="U111" s="20"/>
      <c r="V111" s="18"/>
      <c r="W111" s="18"/>
      <c r="X111" s="9">
        <f t="shared" si="27"/>
        <v>14.999999999999998</v>
      </c>
      <c r="Y111" s="18">
        <f t="shared" si="37"/>
        <v>14.999999999999998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</v>
      </c>
      <c r="AG111" s="18">
        <v>0</v>
      </c>
      <c r="AH111" s="18"/>
      <c r="AI111" s="18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 x14ac:dyDescent="0.25">
      <c r="A112" s="18" t="s">
        <v>159</v>
      </c>
      <c r="B112" s="18" t="s">
        <v>41</v>
      </c>
      <c r="C112" s="18">
        <v>-663</v>
      </c>
      <c r="D112" s="18">
        <v>1167</v>
      </c>
      <c r="E112" s="22">
        <v>313</v>
      </c>
      <c r="F112" s="22">
        <v>182</v>
      </c>
      <c r="G112" s="19">
        <v>0</v>
      </c>
      <c r="H112" s="18" t="e">
        <v>#N/A</v>
      </c>
      <c r="I112" s="18" t="s">
        <v>158</v>
      </c>
      <c r="J112" s="18" t="s">
        <v>96</v>
      </c>
      <c r="K112" s="18">
        <v>322</v>
      </c>
      <c r="L112" s="18">
        <f t="shared" si="34"/>
        <v>-9</v>
      </c>
      <c r="M112" s="18">
        <f t="shared" si="35"/>
        <v>313</v>
      </c>
      <c r="N112" s="18"/>
      <c r="O112" s="18"/>
      <c r="P112" s="18">
        <f t="shared" si="36"/>
        <v>62.6</v>
      </c>
      <c r="Q112" s="20"/>
      <c r="R112" s="20"/>
      <c r="S112" s="20"/>
      <c r="T112" s="20"/>
      <c r="U112" s="20"/>
      <c r="V112" s="18"/>
      <c r="W112" s="18"/>
      <c r="X112" s="9">
        <f t="shared" si="27"/>
        <v>2.9073482428115014</v>
      </c>
      <c r="Y112" s="18">
        <f t="shared" si="37"/>
        <v>2.9073482428115014</v>
      </c>
      <c r="Z112" s="18">
        <v>73.599999999999994</v>
      </c>
      <c r="AA112" s="18">
        <v>59.6</v>
      </c>
      <c r="AB112" s="18">
        <v>64.400000000000006</v>
      </c>
      <c r="AC112" s="18">
        <v>80.8</v>
      </c>
      <c r="AD112" s="18">
        <v>88</v>
      </c>
      <c r="AE112" s="18">
        <v>88</v>
      </c>
      <c r="AF112" s="18">
        <v>65.2</v>
      </c>
      <c r="AG112" s="18">
        <v>99.4</v>
      </c>
      <c r="AH112" s="18"/>
      <c r="AI112" s="18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 x14ac:dyDescent="0.25">
      <c r="A113" s="18" t="s">
        <v>160</v>
      </c>
      <c r="B113" s="18" t="s">
        <v>41</v>
      </c>
      <c r="C113" s="18">
        <v>-255</v>
      </c>
      <c r="D113" s="18">
        <v>915</v>
      </c>
      <c r="E113" s="22">
        <v>374</v>
      </c>
      <c r="F113" s="22">
        <v>280</v>
      </c>
      <c r="G113" s="19">
        <v>0</v>
      </c>
      <c r="H113" s="18" t="e">
        <v>#N/A</v>
      </c>
      <c r="I113" s="18" t="s">
        <v>158</v>
      </c>
      <c r="J113" s="18" t="s">
        <v>122</v>
      </c>
      <c r="K113" s="18">
        <v>380</v>
      </c>
      <c r="L113" s="18">
        <f t="shared" si="34"/>
        <v>-6</v>
      </c>
      <c r="M113" s="18">
        <f t="shared" si="35"/>
        <v>374</v>
      </c>
      <c r="N113" s="18"/>
      <c r="O113" s="18"/>
      <c r="P113" s="18">
        <f t="shared" si="36"/>
        <v>74.8</v>
      </c>
      <c r="Q113" s="20"/>
      <c r="R113" s="20"/>
      <c r="S113" s="20"/>
      <c r="T113" s="20"/>
      <c r="U113" s="20"/>
      <c r="V113" s="18"/>
      <c r="W113" s="18"/>
      <c r="X113" s="9">
        <f t="shared" si="27"/>
        <v>3.7433155080213907</v>
      </c>
      <c r="Y113" s="18">
        <f t="shared" si="37"/>
        <v>3.7433155080213907</v>
      </c>
      <c r="Z113" s="18">
        <v>83</v>
      </c>
      <c r="AA113" s="18">
        <v>73.599999999999994</v>
      </c>
      <c r="AB113" s="18">
        <v>71.400000000000006</v>
      </c>
      <c r="AC113" s="18">
        <v>82.2</v>
      </c>
      <c r="AD113" s="18">
        <v>88.6</v>
      </c>
      <c r="AE113" s="18">
        <v>104.6</v>
      </c>
      <c r="AF113" s="18">
        <v>22.4</v>
      </c>
      <c r="AG113" s="18">
        <v>90.8</v>
      </c>
      <c r="AH113" s="18"/>
      <c r="AI113" s="18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 x14ac:dyDescent="0.25">
      <c r="A114" s="18" t="s">
        <v>161</v>
      </c>
      <c r="B114" s="18" t="s">
        <v>41</v>
      </c>
      <c r="C114" s="18">
        <v>-79</v>
      </c>
      <c r="D114" s="18">
        <v>151</v>
      </c>
      <c r="E114" s="22">
        <v>50</v>
      </c>
      <c r="F114" s="22">
        <v>22</v>
      </c>
      <c r="G114" s="19">
        <v>0</v>
      </c>
      <c r="H114" s="18" t="e">
        <v>#N/A</v>
      </c>
      <c r="I114" s="18" t="s">
        <v>158</v>
      </c>
      <c r="J114" s="18" t="s">
        <v>155</v>
      </c>
      <c r="K114" s="18">
        <v>50</v>
      </c>
      <c r="L114" s="18">
        <f t="shared" si="34"/>
        <v>0</v>
      </c>
      <c r="M114" s="18">
        <f t="shared" si="35"/>
        <v>50</v>
      </c>
      <c r="N114" s="18"/>
      <c r="O114" s="18"/>
      <c r="P114" s="18">
        <f t="shared" si="36"/>
        <v>10</v>
      </c>
      <c r="Q114" s="20"/>
      <c r="R114" s="20"/>
      <c r="S114" s="20"/>
      <c r="T114" s="20"/>
      <c r="U114" s="20"/>
      <c r="V114" s="18"/>
      <c r="W114" s="18"/>
      <c r="X114" s="9">
        <f t="shared" si="27"/>
        <v>2.2000000000000002</v>
      </c>
      <c r="Y114" s="18">
        <f t="shared" si="37"/>
        <v>2.2000000000000002</v>
      </c>
      <c r="Z114" s="18">
        <v>8.4</v>
      </c>
      <c r="AA114" s="18">
        <v>7.4</v>
      </c>
      <c r="AB114" s="18">
        <v>13.6</v>
      </c>
      <c r="AC114" s="18">
        <v>15.4</v>
      </c>
      <c r="AD114" s="18">
        <v>13.4</v>
      </c>
      <c r="AE114" s="18">
        <v>18.8</v>
      </c>
      <c r="AF114" s="18">
        <v>7</v>
      </c>
      <c r="AG114" s="18">
        <v>14.4</v>
      </c>
      <c r="AH114" s="18"/>
      <c r="AI114" s="18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 x14ac:dyDescent="0.25">
      <c r="A115" s="18" t="s">
        <v>162</v>
      </c>
      <c r="B115" s="18" t="s">
        <v>36</v>
      </c>
      <c r="C115" s="18">
        <v>-420.303</v>
      </c>
      <c r="D115" s="18">
        <v>865.755</v>
      </c>
      <c r="E115" s="22">
        <v>217.89599999999999</v>
      </c>
      <c r="F115" s="22">
        <v>227.55600000000001</v>
      </c>
      <c r="G115" s="19">
        <v>0</v>
      </c>
      <c r="H115" s="18" t="e">
        <v>#N/A</v>
      </c>
      <c r="I115" s="18" t="s">
        <v>158</v>
      </c>
      <c r="J115" s="18" t="s">
        <v>62</v>
      </c>
      <c r="K115" s="18">
        <v>220</v>
      </c>
      <c r="L115" s="18">
        <f t="shared" si="34"/>
        <v>-2.1040000000000134</v>
      </c>
      <c r="M115" s="18">
        <f t="shared" si="35"/>
        <v>217.89599999999999</v>
      </c>
      <c r="N115" s="18"/>
      <c r="O115" s="18"/>
      <c r="P115" s="18">
        <f t="shared" si="36"/>
        <v>43.5792</v>
      </c>
      <c r="Q115" s="20"/>
      <c r="R115" s="20"/>
      <c r="S115" s="20"/>
      <c r="T115" s="20"/>
      <c r="U115" s="20"/>
      <c r="V115" s="18"/>
      <c r="W115" s="18"/>
      <c r="X115" s="9">
        <f t="shared" si="27"/>
        <v>5.2216653816499621</v>
      </c>
      <c r="Y115" s="18">
        <f t="shared" si="37"/>
        <v>5.2216653816499621</v>
      </c>
      <c r="Z115" s="18">
        <v>46.830199999999998</v>
      </c>
      <c r="AA115" s="18">
        <v>50.650599999999997</v>
      </c>
      <c r="AB115" s="18">
        <v>38.863399999999999</v>
      </c>
      <c r="AC115" s="18">
        <v>50.377800000000001</v>
      </c>
      <c r="AD115" s="18">
        <v>44.572800000000001</v>
      </c>
      <c r="AE115" s="18">
        <v>62.943600000000004</v>
      </c>
      <c r="AF115" s="18">
        <v>28.610399999999998</v>
      </c>
      <c r="AG115" s="18">
        <v>71.650800000000004</v>
      </c>
      <c r="AH115" s="18"/>
      <c r="AI115" s="18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 x14ac:dyDescent="0.25">
      <c r="A116" s="18" t="s">
        <v>163</v>
      </c>
      <c r="B116" s="18" t="s">
        <v>36</v>
      </c>
      <c r="C116" s="18">
        <v>-23.356999999999999</v>
      </c>
      <c r="D116" s="18">
        <v>135.155</v>
      </c>
      <c r="E116" s="22">
        <v>64.67</v>
      </c>
      <c r="F116" s="22">
        <v>45.691000000000003</v>
      </c>
      <c r="G116" s="19">
        <v>0</v>
      </c>
      <c r="H116" s="18" t="e">
        <v>#N/A</v>
      </c>
      <c r="I116" s="18" t="s">
        <v>158</v>
      </c>
      <c r="J116" s="18" t="s">
        <v>88</v>
      </c>
      <c r="K116" s="18">
        <v>63.3</v>
      </c>
      <c r="L116" s="18">
        <f t="shared" si="34"/>
        <v>1.3700000000000045</v>
      </c>
      <c r="M116" s="18">
        <f t="shared" si="35"/>
        <v>64.67</v>
      </c>
      <c r="N116" s="18"/>
      <c r="O116" s="18"/>
      <c r="P116" s="18">
        <f t="shared" si="36"/>
        <v>12.934000000000001</v>
      </c>
      <c r="Q116" s="20"/>
      <c r="R116" s="20"/>
      <c r="S116" s="20"/>
      <c r="T116" s="20"/>
      <c r="U116" s="20"/>
      <c r="V116" s="18"/>
      <c r="W116" s="18"/>
      <c r="X116" s="9">
        <f t="shared" si="27"/>
        <v>3.5326271841657646</v>
      </c>
      <c r="Y116" s="18">
        <f t="shared" si="37"/>
        <v>3.5326271841657646</v>
      </c>
      <c r="Z116" s="18">
        <v>0.14460000000000001</v>
      </c>
      <c r="AA116" s="18">
        <v>17.9268</v>
      </c>
      <c r="AB116" s="18">
        <v>17.863800000000001</v>
      </c>
      <c r="AC116" s="18">
        <v>14.681800000000001</v>
      </c>
      <c r="AD116" s="18">
        <v>9.0894000000000013</v>
      </c>
      <c r="AE116" s="18">
        <v>19.732800000000001</v>
      </c>
      <c r="AF116" s="18">
        <v>4.2898000000000014</v>
      </c>
      <c r="AG116" s="18">
        <v>5.9189999999999996</v>
      </c>
      <c r="AH116" s="18"/>
      <c r="AI116" s="18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spans="1:52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spans="1:52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spans="1:52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spans="1:52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spans="1:52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spans="1:52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spans="1:52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spans="1:52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1:52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1:52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1:52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spans="1:52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spans="1:52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spans="1:52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spans="1:52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spans="1:52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spans="1:52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spans="1:52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spans="1:52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spans="1:52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spans="1:52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spans="1:52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spans="1:52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spans="1:52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spans="1:52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spans="1:52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spans="1:52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spans="1:52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spans="1:52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spans="1:52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spans="1:52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spans="1:52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</row>
    <row r="233" spans="1:52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</row>
    <row r="234" spans="1:52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</row>
    <row r="235" spans="1:52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</row>
    <row r="236" spans="1:52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</row>
    <row r="237" spans="1:52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</row>
    <row r="238" spans="1:52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</row>
    <row r="239" spans="1:52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</row>
    <row r="240" spans="1:52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</row>
    <row r="241" spans="1:52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</row>
    <row r="242" spans="1:52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</row>
    <row r="243" spans="1:52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</row>
    <row r="244" spans="1:52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</row>
    <row r="245" spans="1:52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</row>
    <row r="246" spans="1:52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</row>
    <row r="247" spans="1:52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</row>
    <row r="248" spans="1:52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</row>
    <row r="249" spans="1:52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</row>
    <row r="250" spans="1:52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</row>
    <row r="251" spans="1:52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</row>
    <row r="252" spans="1:52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</row>
    <row r="253" spans="1:52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</row>
    <row r="254" spans="1:52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</row>
    <row r="255" spans="1:52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</row>
    <row r="256" spans="1:52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</row>
    <row r="257" spans="1:52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</row>
    <row r="258" spans="1:52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</row>
    <row r="259" spans="1:52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</row>
    <row r="260" spans="1:52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1:52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1:52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1:52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</row>
    <row r="264" spans="1:52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</row>
    <row r="265" spans="1:52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</row>
    <row r="266" spans="1:52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</row>
    <row r="267" spans="1:52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</row>
    <row r="268" spans="1:52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</row>
    <row r="269" spans="1:52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</row>
    <row r="270" spans="1:52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</row>
    <row r="271" spans="1:52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</row>
    <row r="272" spans="1:52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</row>
    <row r="273" spans="1:52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</row>
    <row r="274" spans="1:52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</row>
    <row r="275" spans="1:52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</row>
    <row r="276" spans="1:52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</row>
    <row r="277" spans="1:52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</row>
    <row r="278" spans="1:52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</row>
    <row r="279" spans="1:52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</row>
    <row r="280" spans="1:52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</row>
    <row r="281" spans="1:52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</row>
    <row r="282" spans="1:52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</row>
    <row r="283" spans="1:52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</row>
    <row r="284" spans="1:52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</row>
    <row r="285" spans="1:52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</row>
    <row r="286" spans="1:52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</row>
    <row r="287" spans="1:52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</row>
    <row r="288" spans="1:52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</row>
    <row r="289" spans="1:52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</row>
    <row r="290" spans="1:52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</row>
    <row r="291" spans="1:52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</row>
    <row r="292" spans="1:52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</row>
    <row r="293" spans="1:52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</row>
    <row r="294" spans="1:52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</row>
    <row r="295" spans="1:52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</row>
    <row r="296" spans="1:52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</row>
    <row r="297" spans="1:52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</row>
    <row r="298" spans="1:52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</row>
    <row r="299" spans="1:52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</row>
    <row r="300" spans="1:52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</row>
    <row r="301" spans="1:52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</row>
    <row r="302" spans="1:52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</row>
    <row r="303" spans="1:52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</row>
    <row r="304" spans="1:52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</row>
    <row r="305" spans="1:52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</row>
    <row r="306" spans="1:52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</row>
    <row r="307" spans="1:52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</row>
    <row r="308" spans="1:52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</row>
    <row r="309" spans="1:52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</row>
    <row r="310" spans="1:52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</row>
    <row r="311" spans="1:52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</row>
    <row r="312" spans="1:52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1:52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1:52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1:52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</row>
    <row r="316" spans="1:52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</row>
    <row r="317" spans="1:52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</row>
    <row r="318" spans="1:52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</row>
    <row r="319" spans="1:52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</row>
    <row r="320" spans="1:52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</row>
    <row r="321" spans="1:52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</row>
    <row r="322" spans="1:52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</row>
    <row r="323" spans="1:52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</row>
    <row r="324" spans="1:52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</row>
    <row r="325" spans="1:52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</row>
    <row r="326" spans="1:52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</row>
    <row r="327" spans="1:52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</row>
    <row r="328" spans="1:52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</row>
    <row r="329" spans="1:52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</row>
    <row r="330" spans="1:52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</row>
    <row r="331" spans="1:52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</row>
    <row r="332" spans="1:52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</row>
    <row r="333" spans="1:52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</row>
    <row r="334" spans="1:52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</row>
    <row r="335" spans="1:52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</row>
    <row r="336" spans="1:52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</row>
    <row r="337" spans="1:52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</row>
    <row r="338" spans="1:52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</row>
    <row r="339" spans="1:52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</row>
    <row r="340" spans="1:52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</row>
    <row r="341" spans="1:52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</row>
    <row r="342" spans="1:52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</row>
    <row r="343" spans="1:52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</row>
    <row r="344" spans="1:52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</row>
    <row r="345" spans="1:52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</row>
    <row r="346" spans="1:52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</row>
    <row r="347" spans="1:52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</row>
    <row r="348" spans="1:52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</row>
    <row r="349" spans="1:52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</row>
    <row r="350" spans="1:52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</row>
    <row r="351" spans="1:52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</row>
    <row r="352" spans="1:52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</row>
    <row r="353" spans="1:52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</row>
    <row r="354" spans="1:52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</row>
    <row r="355" spans="1:52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</row>
    <row r="356" spans="1:52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</row>
    <row r="357" spans="1:52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</row>
    <row r="358" spans="1:52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</row>
    <row r="359" spans="1:52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</row>
    <row r="360" spans="1:52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</row>
    <row r="361" spans="1:52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</row>
    <row r="362" spans="1:52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</row>
    <row r="363" spans="1:52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</row>
    <row r="364" spans="1:52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1:52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1:52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1:52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</row>
    <row r="368" spans="1:52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</row>
    <row r="369" spans="1:52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</row>
    <row r="370" spans="1:52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</row>
    <row r="371" spans="1:52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</row>
    <row r="372" spans="1:52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</row>
    <row r="373" spans="1:52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</row>
    <row r="374" spans="1:52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</row>
    <row r="375" spans="1:52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</row>
    <row r="376" spans="1:52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</row>
    <row r="377" spans="1:52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</row>
    <row r="378" spans="1:52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</row>
    <row r="379" spans="1:52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</row>
    <row r="380" spans="1:52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</row>
    <row r="381" spans="1:52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</row>
    <row r="382" spans="1:52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</row>
    <row r="383" spans="1:52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</row>
    <row r="384" spans="1:52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</row>
    <row r="385" spans="1:52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</row>
    <row r="386" spans="1:52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</row>
    <row r="387" spans="1:52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</row>
    <row r="388" spans="1:52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</row>
    <row r="389" spans="1:52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</row>
    <row r="390" spans="1:52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</row>
    <row r="391" spans="1:52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</row>
    <row r="392" spans="1:52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</row>
    <row r="393" spans="1:52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</row>
    <row r="394" spans="1:52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</row>
    <row r="395" spans="1:52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</row>
    <row r="396" spans="1:52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</row>
    <row r="397" spans="1:52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</row>
    <row r="398" spans="1:52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</row>
    <row r="399" spans="1:52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</row>
    <row r="400" spans="1:52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</row>
    <row r="401" spans="1:52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</row>
    <row r="402" spans="1:52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</row>
    <row r="403" spans="1:52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</row>
    <row r="404" spans="1:52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</row>
    <row r="405" spans="1:52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</row>
    <row r="406" spans="1:52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</row>
    <row r="407" spans="1:52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</row>
    <row r="408" spans="1:52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</row>
    <row r="409" spans="1:52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</row>
    <row r="410" spans="1:52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</row>
    <row r="411" spans="1:52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</row>
    <row r="412" spans="1:52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</row>
    <row r="413" spans="1:52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</row>
    <row r="414" spans="1:52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</row>
    <row r="415" spans="1:52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</row>
    <row r="416" spans="1:52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1:52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1:52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1:52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</row>
    <row r="420" spans="1:52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</row>
    <row r="421" spans="1:52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</row>
    <row r="422" spans="1:52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</row>
    <row r="423" spans="1:52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</row>
    <row r="424" spans="1:52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</row>
    <row r="425" spans="1:52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</row>
    <row r="426" spans="1:52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</row>
    <row r="427" spans="1:52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</row>
    <row r="428" spans="1:52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</row>
    <row r="429" spans="1:52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</row>
    <row r="430" spans="1:52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</row>
    <row r="431" spans="1:52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</row>
    <row r="432" spans="1:52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</row>
    <row r="433" spans="1:52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</row>
    <row r="434" spans="1:52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</row>
    <row r="435" spans="1:52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</row>
    <row r="436" spans="1:52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</row>
    <row r="437" spans="1:52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</row>
    <row r="438" spans="1:52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</row>
    <row r="439" spans="1:52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</row>
    <row r="440" spans="1:52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</row>
    <row r="441" spans="1:52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</row>
    <row r="442" spans="1:52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</row>
    <row r="443" spans="1:52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</row>
    <row r="444" spans="1:52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</row>
    <row r="445" spans="1:52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</row>
    <row r="446" spans="1:52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</row>
    <row r="447" spans="1:52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</row>
    <row r="448" spans="1:52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</row>
    <row r="449" spans="1:52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</row>
    <row r="450" spans="1:52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</row>
    <row r="451" spans="1:52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</row>
    <row r="452" spans="1:52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</row>
    <row r="453" spans="1:52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</row>
    <row r="454" spans="1:52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</row>
    <row r="455" spans="1:52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</row>
    <row r="456" spans="1:52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</row>
    <row r="457" spans="1:52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</row>
    <row r="458" spans="1:52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</row>
    <row r="459" spans="1:52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</row>
    <row r="460" spans="1:52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</row>
    <row r="461" spans="1:52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</row>
    <row r="462" spans="1:52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</row>
    <row r="463" spans="1:52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</row>
    <row r="464" spans="1:52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spans="1:52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</row>
    <row r="466" spans="1:52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</row>
    <row r="467" spans="1:52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</row>
    <row r="468" spans="1:52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1:52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1:52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</row>
    <row r="471" spans="1:52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</row>
    <row r="472" spans="1:52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</row>
    <row r="473" spans="1:52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52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52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</row>
    <row r="476" spans="1:52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</row>
    <row r="477" spans="1:52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</row>
    <row r="478" spans="1:52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</row>
    <row r="479" spans="1:52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</row>
    <row r="480" spans="1:52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</row>
    <row r="481" spans="1:52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</row>
    <row r="482" spans="1:52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</row>
    <row r="483" spans="1:52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</row>
    <row r="484" spans="1:52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</row>
    <row r="485" spans="1:52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</row>
    <row r="486" spans="1:52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</row>
    <row r="487" spans="1:52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</row>
    <row r="488" spans="1:52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</row>
    <row r="489" spans="1:52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</row>
    <row r="490" spans="1:52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</row>
    <row r="491" spans="1:52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</row>
    <row r="492" spans="1:52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</row>
    <row r="493" spans="1:52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</row>
    <row r="494" spans="1:52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</row>
  </sheetData>
  <autoFilter ref="A3:AI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2025-10-27T08:55:53Z</dcterms:created>
  <dcterms:modified xsi:type="dcterms:W3CDTF">2025-11-03T07:46:42Z</dcterms:modified>
</cp:coreProperties>
</file>