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0E7DE46C-ABFA-41B7-B5E3-16E2B0C4169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BO183" i="1"/>
  <c r="BM183" i="1"/>
  <c r="Z183" i="1"/>
  <c r="Y183" i="1"/>
  <c r="P183" i="1"/>
  <c r="Y181" i="1"/>
  <c r="X181" i="1"/>
  <c r="Z180" i="1"/>
  <c r="X180" i="1"/>
  <c r="BO179" i="1"/>
  <c r="BM179" i="1"/>
  <c r="Z179" i="1"/>
  <c r="Y179" i="1"/>
  <c r="P179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6" i="1"/>
  <c r="X156" i="1"/>
  <c r="Z155" i="1"/>
  <c r="X155" i="1"/>
  <c r="BO154" i="1"/>
  <c r="BM154" i="1"/>
  <c r="Z154" i="1"/>
  <c r="Y154" i="1"/>
  <c r="P154" i="1"/>
  <c r="X151" i="1"/>
  <c r="X150" i="1"/>
  <c r="BO149" i="1"/>
  <c r="BM149" i="1"/>
  <c r="Z149" i="1"/>
  <c r="Z150" i="1" s="1"/>
  <c r="Y149" i="1"/>
  <c r="Y150" i="1" s="1"/>
  <c r="P149" i="1"/>
  <c r="X146" i="1"/>
  <c r="Z145" i="1"/>
  <c r="X145" i="1"/>
  <c r="BO144" i="1"/>
  <c r="BM144" i="1"/>
  <c r="Z144" i="1"/>
  <c r="Y144" i="1"/>
  <c r="Y145" i="1" s="1"/>
  <c r="P144" i="1"/>
  <c r="X141" i="1"/>
  <c r="Z140" i="1"/>
  <c r="X140" i="1"/>
  <c r="BO139" i="1"/>
  <c r="BM139" i="1"/>
  <c r="Z139" i="1"/>
  <c r="Y139" i="1"/>
  <c r="Y140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Z129" i="1" s="1"/>
  <c r="Y127" i="1"/>
  <c r="Y130" i="1" s="1"/>
  <c r="P127" i="1"/>
  <c r="X124" i="1"/>
  <c r="X123" i="1"/>
  <c r="BO122" i="1"/>
  <c r="BM122" i="1"/>
  <c r="Z122" i="1"/>
  <c r="Y122" i="1"/>
  <c r="BP122" i="1" s="1"/>
  <c r="P122" i="1"/>
  <c r="BP121" i="1"/>
  <c r="BO121" i="1"/>
  <c r="BN121" i="1"/>
  <c r="BM121" i="1"/>
  <c r="Z121" i="1"/>
  <c r="Z123" i="1" s="1"/>
  <c r="Y121" i="1"/>
  <c r="Y123" i="1" s="1"/>
  <c r="P121" i="1"/>
  <c r="X118" i="1"/>
  <c r="Y117" i="1"/>
  <c r="X117" i="1"/>
  <c r="BP116" i="1"/>
  <c r="BO116" i="1"/>
  <c r="BN116" i="1"/>
  <c r="BM116" i="1"/>
  <c r="Z116" i="1"/>
  <c r="Z117" i="1" s="1"/>
  <c r="Y116" i="1"/>
  <c r="Y118" i="1" s="1"/>
  <c r="P116" i="1"/>
  <c r="X114" i="1"/>
  <c r="Y113" i="1"/>
  <c r="X113" i="1"/>
  <c r="BP112" i="1"/>
  <c r="BO112" i="1"/>
  <c r="BN112" i="1"/>
  <c r="BM112" i="1"/>
  <c r="Z112" i="1"/>
  <c r="Z113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X277" i="1" l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BN149" i="1"/>
  <c r="BP149" i="1"/>
  <c r="Y151" i="1"/>
  <c r="Y155" i="1"/>
  <c r="BP154" i="1"/>
  <c r="BN154" i="1"/>
  <c r="Z162" i="1"/>
  <c r="Z279" i="1" s="1"/>
  <c r="Y171" i="1"/>
  <c r="Y175" i="1"/>
  <c r="Y180" i="1"/>
  <c r="BP179" i="1"/>
  <c r="BN179" i="1"/>
  <c r="Y188" i="1"/>
  <c r="Y196" i="1"/>
  <c r="BP191" i="1"/>
  <c r="BN191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6" i="1" l="1"/>
  <c r="Y274" i="1"/>
  <c r="B287" i="1" s="1"/>
  <c r="Y275" i="1"/>
  <c r="Y277" i="1" s="1"/>
  <c r="C287" i="1" l="1"/>
  <c r="A287" i="1"/>
</calcChain>
</file>

<file path=xl/sharedStrings.xml><?xml version="1.0" encoding="utf-8"?>
<sst xmlns="http://schemas.openxmlformats.org/spreadsheetml/2006/main" count="1229" uniqueCount="395">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</sst>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7</v>
      </c>
      <c r="B5" s="318"/>
      <c r="C5" s="319"/>
      <c r="D5" s="325"/>
      <c r="E5" s="326"/>
      <c r="F5" s="439" t="s">
        <v>8</v>
      </c>
      <c r="G5" s="319"/>
      <c r="H5" s="325"/>
      <c r="I5" s="408"/>
      <c r="J5" s="408"/>
      <c r="K5" s="408"/>
      <c r="L5" s="408"/>
      <c r="M5" s="326"/>
      <c r="N5" s="61"/>
      <c r="P5" s="24" t="s">
        <v>9</v>
      </c>
      <c r="Q5" s="446">
        <v>45978</v>
      </c>
      <c r="R5" s="346"/>
      <c r="T5" s="367" t="s">
        <v>10</v>
      </c>
      <c r="U5" s="368"/>
      <c r="V5" s="369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12</v>
      </c>
      <c r="B6" s="318"/>
      <c r="C6" s="319"/>
      <c r="D6" s="409" t="s">
        <v>13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8"/>
      <c r="V6" s="397" t="s">
        <v>16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17</v>
      </c>
      <c r="B8" s="280"/>
      <c r="C8" s="281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20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21</v>
      </c>
      <c r="Q10" s="373"/>
      <c r="R10" s="374"/>
      <c r="U10" s="24" t="s">
        <v>22</v>
      </c>
      <c r="V10" s="297" t="s">
        <v>23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5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4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3" t="s">
        <v>50</v>
      </c>
      <c r="V17" s="319"/>
      <c r="W17" s="293" t="s">
        <v>51</v>
      </c>
      <c r="X17" s="293" t="s">
        <v>52</v>
      </c>
      <c r="Y17" s="454" t="s">
        <v>53</v>
      </c>
      <c r="Z17" s="406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72</v>
      </c>
      <c r="Q23" s="280"/>
      <c r="R23" s="280"/>
      <c r="S23" s="280"/>
      <c r="T23" s="280"/>
      <c r="U23" s="280"/>
      <c r="V23" s="281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72</v>
      </c>
      <c r="Q24" s="280"/>
      <c r="R24" s="280"/>
      <c r="S24" s="280"/>
      <c r="T24" s="280"/>
      <c r="U24" s="280"/>
      <c r="V24" s="281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75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76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69</v>
      </c>
      <c r="X28" s="268">
        <v>182</v>
      </c>
      <c r="Y28" s="269">
        <f>IFERROR(IF(X28="","",X28),"")</f>
        <v>182</v>
      </c>
      <c r="Z28" s="36">
        <f>IFERROR(IF(X28="","",X28*0.00941),"")</f>
        <v>1.71262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349.76760000000002</v>
      </c>
      <c r="BN28" s="67">
        <f>IFERROR(Y28*I28,"0")</f>
        <v>349.76760000000002</v>
      </c>
      <c r="BO28" s="67">
        <f>IFERROR(X28/J28,"0")</f>
        <v>1.3</v>
      </c>
      <c r="BP28" s="67">
        <f>IFERROR(Y28/J28,"0")</f>
        <v>1.3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69</v>
      </c>
      <c r="X29" s="268">
        <v>308</v>
      </c>
      <c r="Y29" s="269">
        <f>IFERROR(IF(X29="","",X29),"")</f>
        <v>308</v>
      </c>
      <c r="Z29" s="36">
        <f>IFERROR(IF(X29="","",X29*0.00941),"")</f>
        <v>2.8982800000000002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591.9144</v>
      </c>
      <c r="BN29" s="67">
        <f>IFERROR(Y29*I29,"0")</f>
        <v>591.9144</v>
      </c>
      <c r="BO29" s="67">
        <f>IFERROR(X29/J29,"0")</f>
        <v>2.2000000000000002</v>
      </c>
      <c r="BP29" s="67">
        <f>IFERROR(Y29/J29,"0")</f>
        <v>2.2000000000000002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72</v>
      </c>
      <c r="Q30" s="280"/>
      <c r="R30" s="280"/>
      <c r="S30" s="280"/>
      <c r="T30" s="280"/>
      <c r="U30" s="280"/>
      <c r="V30" s="281"/>
      <c r="W30" s="37" t="s">
        <v>69</v>
      </c>
      <c r="X30" s="270">
        <f>IFERROR(SUM(X28:X29),"0")</f>
        <v>490</v>
      </c>
      <c r="Y30" s="270">
        <f>IFERROR(SUM(Y28:Y29),"0")</f>
        <v>490</v>
      </c>
      <c r="Z30" s="270">
        <f>IFERROR(IF(Z28="",0,Z28),"0")+IFERROR(IF(Z29="",0,Z29),"0")</f>
        <v>4.6109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72</v>
      </c>
      <c r="Q31" s="280"/>
      <c r="R31" s="280"/>
      <c r="S31" s="280"/>
      <c r="T31" s="280"/>
      <c r="U31" s="280"/>
      <c r="V31" s="281"/>
      <c r="W31" s="37" t="s">
        <v>73</v>
      </c>
      <c r="X31" s="270">
        <f>IFERROR(SUMPRODUCT(X28:X29*H28:H29),"0")</f>
        <v>735</v>
      </c>
      <c r="Y31" s="270">
        <f>IFERROR(SUMPRODUCT(Y28:Y29*H28:H29),"0")</f>
        <v>735</v>
      </c>
      <c r="Z31" s="37"/>
      <c r="AA31" s="271"/>
      <c r="AB31" s="271"/>
      <c r="AC31" s="271"/>
    </row>
    <row r="32" spans="1:68" ht="16.5" customHeight="1" x14ac:dyDescent="0.25">
      <c r="A32" s="282" t="s">
        <v>86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63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69</v>
      </c>
      <c r="X34" s="268">
        <v>96</v>
      </c>
      <c r="Y34" s="269">
        <f>IFERROR(IF(X34="","",X34),"")</f>
        <v>96</v>
      </c>
      <c r="Z34" s="36">
        <f>IFERROR(IF(X34="","",X34*0.0155),"")</f>
        <v>1.488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563.52</v>
      </c>
      <c r="BN34" s="67">
        <f>IFERROR(Y34*I34,"0")</f>
        <v>563.52</v>
      </c>
      <c r="BO34" s="67">
        <f>IFERROR(X34/J34,"0")</f>
        <v>1.1428571428571428</v>
      </c>
      <c r="BP34" s="67">
        <f>IFERROR(Y34/J34,"0")</f>
        <v>1.1428571428571428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69</v>
      </c>
      <c r="X36" s="268">
        <v>24</v>
      </c>
      <c r="Y36" s="269">
        <f>IFERROR(IF(X36="","",X36),"")</f>
        <v>24</v>
      </c>
      <c r="Z36" s="36">
        <f>IFERROR(IF(X36="","",X36*0.0155),"")</f>
        <v>0.372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140.88</v>
      </c>
      <c r="BN36" s="67">
        <f>IFERROR(Y36*I36,"0")</f>
        <v>140.88</v>
      </c>
      <c r="BO36" s="67">
        <f>IFERROR(X36/J36,"0")</f>
        <v>0.2857142857142857</v>
      </c>
      <c r="BP36" s="67">
        <f>IFERROR(Y36/J36,"0")</f>
        <v>0.2857142857142857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72</v>
      </c>
      <c r="Q37" s="280"/>
      <c r="R37" s="280"/>
      <c r="S37" s="280"/>
      <c r="T37" s="280"/>
      <c r="U37" s="280"/>
      <c r="V37" s="281"/>
      <c r="W37" s="37" t="s">
        <v>69</v>
      </c>
      <c r="X37" s="270">
        <f>IFERROR(SUM(X34:X36),"0")</f>
        <v>120</v>
      </c>
      <c r="Y37" s="270">
        <f>IFERROR(SUM(Y34:Y36),"0")</f>
        <v>120</v>
      </c>
      <c r="Z37" s="270">
        <f>IFERROR(IF(Z34="",0,Z34),"0")+IFERROR(IF(Z35="",0,Z35),"0")+IFERROR(IF(Z36="",0,Z36),"0")</f>
        <v>1.8599999999999999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72</v>
      </c>
      <c r="Q38" s="280"/>
      <c r="R38" s="280"/>
      <c r="S38" s="280"/>
      <c r="T38" s="280"/>
      <c r="U38" s="280"/>
      <c r="V38" s="281"/>
      <c r="W38" s="37" t="s">
        <v>73</v>
      </c>
      <c r="X38" s="270">
        <f>IFERROR(SUMPRODUCT(X34:X36*H34:H36),"0")</f>
        <v>671.99999999999989</v>
      </c>
      <c r="Y38" s="270">
        <f>IFERROR(SUMPRODUCT(Y34:Y36*H34:H36),"0")</f>
        <v>671.99999999999989</v>
      </c>
      <c r="Z38" s="37"/>
      <c r="AA38" s="271"/>
      <c r="AB38" s="271"/>
      <c r="AC38" s="271"/>
    </row>
    <row r="39" spans="1:68" ht="16.5" customHeight="1" x14ac:dyDescent="0.25">
      <c r="A39" s="28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63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69</v>
      </c>
      <c r="X41" s="268">
        <v>12</v>
      </c>
      <c r="Y41" s="269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69</v>
      </c>
      <c r="X44" s="268">
        <v>24</v>
      </c>
      <c r="Y44" s="269">
        <f>IFERROR(IF(X44="","",X44),"")</f>
        <v>24</v>
      </c>
      <c r="Z44" s="36">
        <f>IFERROR(IF(X44="","",X44*0.0155),"")</f>
        <v>0.372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175.2</v>
      </c>
      <c r="BN44" s="67">
        <f>IFERROR(Y44*I44,"0")</f>
        <v>175.2</v>
      </c>
      <c r="BO44" s="67">
        <f>IFERROR(X44/J44,"0")</f>
        <v>0.2857142857142857</v>
      </c>
      <c r="BP44" s="67">
        <f>IFERROR(Y44/J44,"0")</f>
        <v>0.2857142857142857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72</v>
      </c>
      <c r="Q45" s="280"/>
      <c r="R45" s="280"/>
      <c r="S45" s="280"/>
      <c r="T45" s="280"/>
      <c r="U45" s="280"/>
      <c r="V45" s="281"/>
      <c r="W45" s="37" t="s">
        <v>69</v>
      </c>
      <c r="X45" s="270">
        <f>IFERROR(SUM(X41:X44),"0")</f>
        <v>36</v>
      </c>
      <c r="Y45" s="270">
        <f>IFERROR(SUM(Y41:Y44),"0")</f>
        <v>36</v>
      </c>
      <c r="Z45" s="270">
        <f>IFERROR(IF(Z41="",0,Z41),"0")+IFERROR(IF(Z42="",0,Z42),"0")+IFERROR(IF(Z43="",0,Z43),"0")+IFERROR(IF(Z44="",0,Z44),"0")</f>
        <v>0.55800000000000005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72</v>
      </c>
      <c r="Q46" s="280"/>
      <c r="R46" s="280"/>
      <c r="S46" s="280"/>
      <c r="T46" s="280"/>
      <c r="U46" s="280"/>
      <c r="V46" s="281"/>
      <c r="W46" s="37" t="s">
        <v>73</v>
      </c>
      <c r="X46" s="270">
        <f>IFERROR(SUMPRODUCT(X41:X44*H41:H44),"0")</f>
        <v>252</v>
      </c>
      <c r="Y46" s="270">
        <f>IFERROR(SUMPRODUCT(Y41:Y44*H41:H44),"0")</f>
        <v>252</v>
      </c>
      <c r="Z46" s="37"/>
      <c r="AA46" s="271"/>
      <c r="AB46" s="271"/>
      <c r="AC46" s="271"/>
    </row>
    <row r="47" spans="1:68" ht="16.5" customHeight="1" x14ac:dyDescent="0.25">
      <c r="A47" s="282" t="s">
        <v>107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63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72</v>
      </c>
      <c r="Q50" s="280"/>
      <c r="R50" s="280"/>
      <c r="S50" s="280"/>
      <c r="T50" s="280"/>
      <c r="U50" s="280"/>
      <c r="V50" s="281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72</v>
      </c>
      <c r="Q51" s="280"/>
      <c r="R51" s="280"/>
      <c r="S51" s="280"/>
      <c r="T51" s="280"/>
      <c r="U51" s="280"/>
      <c r="V51" s="281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72</v>
      </c>
      <c r="Q54" s="280"/>
      <c r="R54" s="280"/>
      <c r="S54" s="280"/>
      <c r="T54" s="280"/>
      <c r="U54" s="280"/>
      <c r="V54" s="281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72</v>
      </c>
      <c r="Q55" s="280"/>
      <c r="R55" s="280"/>
      <c r="S55" s="280"/>
      <c r="T55" s="280"/>
      <c r="U55" s="280"/>
      <c r="V55" s="281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114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72</v>
      </c>
      <c r="Q59" s="280"/>
      <c r="R59" s="280"/>
      <c r="S59" s="280"/>
      <c r="T59" s="280"/>
      <c r="U59" s="280"/>
      <c r="V59" s="281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72</v>
      </c>
      <c r="Q60" s="280"/>
      <c r="R60" s="280"/>
      <c r="S60" s="280"/>
      <c r="T60" s="280"/>
      <c r="U60" s="280"/>
      <c r="V60" s="281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120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72</v>
      </c>
      <c r="Q65" s="280"/>
      <c r="R65" s="280"/>
      <c r="S65" s="280"/>
      <c r="T65" s="280"/>
      <c r="U65" s="280"/>
      <c r="V65" s="281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72</v>
      </c>
      <c r="Q66" s="280"/>
      <c r="R66" s="280"/>
      <c r="S66" s="280"/>
      <c r="T66" s="280"/>
      <c r="U66" s="280"/>
      <c r="V66" s="281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128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69</v>
      </c>
      <c r="X70" s="268">
        <v>24</v>
      </c>
      <c r="Y70" s="269">
        <f>IFERROR(IF(X70="","",X70),"")</f>
        <v>24</v>
      </c>
      <c r="Z70" s="36">
        <f>IFERROR(IF(X70="","",X70*0.00866),"")</f>
        <v>0.20783999999999997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125.11679999999998</v>
      </c>
      <c r="BN70" s="67">
        <f>IFERROR(Y70*I70,"0")</f>
        <v>125.11679999999998</v>
      </c>
      <c r="BO70" s="67">
        <f>IFERROR(X70/J70,"0")</f>
        <v>0.16666666666666666</v>
      </c>
      <c r="BP70" s="67">
        <f>IFERROR(Y70/J70,"0")</f>
        <v>0.16666666666666666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72</v>
      </c>
      <c r="Q71" s="280"/>
      <c r="R71" s="280"/>
      <c r="S71" s="280"/>
      <c r="T71" s="280"/>
      <c r="U71" s="280"/>
      <c r="V71" s="281"/>
      <c r="W71" s="37" t="s">
        <v>69</v>
      </c>
      <c r="X71" s="270">
        <f>IFERROR(SUM(X69:X70),"0")</f>
        <v>24</v>
      </c>
      <c r="Y71" s="270">
        <f>IFERROR(SUM(Y69:Y70),"0")</f>
        <v>24</v>
      </c>
      <c r="Z71" s="270">
        <f>IFERROR(IF(Z69="",0,Z69),"0")+IFERROR(IF(Z70="",0,Z70),"0")</f>
        <v>0.20783999999999997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72</v>
      </c>
      <c r="Q72" s="280"/>
      <c r="R72" s="280"/>
      <c r="S72" s="280"/>
      <c r="T72" s="280"/>
      <c r="U72" s="280"/>
      <c r="V72" s="281"/>
      <c r="W72" s="37" t="s">
        <v>73</v>
      </c>
      <c r="X72" s="270">
        <f>IFERROR(SUMPRODUCT(X69:X70*H69:H70),"0")</f>
        <v>120</v>
      </c>
      <c r="Y72" s="270">
        <f>IFERROR(SUMPRODUCT(Y69:Y70*H69:H70),"0")</f>
        <v>120</v>
      </c>
      <c r="Z72" s="37"/>
      <c r="AA72" s="271"/>
      <c r="AB72" s="271"/>
      <c r="AC72" s="271"/>
    </row>
    <row r="73" spans="1:68" ht="16.5" customHeight="1" x14ac:dyDescent="0.25">
      <c r="A73" s="282" t="s">
        <v>135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69</v>
      </c>
      <c r="X75" s="268">
        <v>28</v>
      </c>
      <c r="Y75" s="269">
        <f>IFERROR(IF(X75="","",X75),"")</f>
        <v>28</v>
      </c>
      <c r="Z75" s="36">
        <f>IFERROR(IF(X75="","",X75*0.01788),"")</f>
        <v>0.50063999999999997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120.50080000000001</v>
      </c>
      <c r="BN75" s="67">
        <f>IFERROR(Y75*I75,"0")</f>
        <v>120.50080000000001</v>
      </c>
      <c r="BO75" s="67">
        <f>IFERROR(X75/J75,"0")</f>
        <v>0.4</v>
      </c>
      <c r="BP75" s="67">
        <f>IFERROR(Y75/J75,"0")</f>
        <v>0.4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72</v>
      </c>
      <c r="Q76" s="280"/>
      <c r="R76" s="280"/>
      <c r="S76" s="280"/>
      <c r="T76" s="280"/>
      <c r="U76" s="280"/>
      <c r="V76" s="281"/>
      <c r="W76" s="37" t="s">
        <v>69</v>
      </c>
      <c r="X76" s="270">
        <f>IFERROR(SUM(X75:X75),"0")</f>
        <v>28</v>
      </c>
      <c r="Y76" s="270">
        <f>IFERROR(SUM(Y75:Y75),"0")</f>
        <v>28</v>
      </c>
      <c r="Z76" s="270">
        <f>IFERROR(IF(Z75="",0,Z75),"0")</f>
        <v>0.50063999999999997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72</v>
      </c>
      <c r="Q77" s="280"/>
      <c r="R77" s="280"/>
      <c r="S77" s="280"/>
      <c r="T77" s="280"/>
      <c r="U77" s="280"/>
      <c r="V77" s="281"/>
      <c r="W77" s="37" t="s">
        <v>73</v>
      </c>
      <c r="X77" s="270">
        <f>IFERROR(SUMPRODUCT(X75:X75*H75:H75),"0")</f>
        <v>100.8</v>
      </c>
      <c r="Y77" s="270">
        <f>IFERROR(SUMPRODUCT(Y75:Y75*H75:H75),"0")</f>
        <v>100.8</v>
      </c>
      <c r="Z77" s="37"/>
      <c r="AA77" s="271"/>
      <c r="AB77" s="271"/>
      <c r="AC77" s="271"/>
    </row>
    <row r="78" spans="1:68" ht="16.5" customHeight="1" x14ac:dyDescent="0.25">
      <c r="A78" s="282" t="s">
        <v>139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140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69</v>
      </c>
      <c r="X80" s="268">
        <v>154</v>
      </c>
      <c r="Y80" s="269">
        <f>IFERROR(IF(X80="","",X80),"")</f>
        <v>154</v>
      </c>
      <c r="Z80" s="36">
        <f>IFERROR(IF(X80="","",X80*0.01788),"")</f>
        <v>2.75352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662.75440000000003</v>
      </c>
      <c r="BN80" s="67">
        <f>IFERROR(Y80*I80,"0")</f>
        <v>662.75440000000003</v>
      </c>
      <c r="BO80" s="67">
        <f>IFERROR(X80/J80,"0")</f>
        <v>2.2000000000000002</v>
      </c>
      <c r="BP80" s="67">
        <f>IFERROR(Y80/J80,"0")</f>
        <v>2.2000000000000002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69</v>
      </c>
      <c r="X81" s="268">
        <v>56</v>
      </c>
      <c r="Y81" s="269">
        <f>IFERROR(IF(X81="","",X81),"")</f>
        <v>56</v>
      </c>
      <c r="Z81" s="36">
        <f>IFERROR(IF(X81="","",X81*0.01788),"")</f>
        <v>1.0012799999999999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241.00160000000002</v>
      </c>
      <c r="BN81" s="67">
        <f>IFERROR(Y81*I81,"0")</f>
        <v>241.00160000000002</v>
      </c>
      <c r="BO81" s="67">
        <f>IFERROR(X81/J81,"0")</f>
        <v>0.8</v>
      </c>
      <c r="BP81" s="67">
        <f>IFERROR(Y81/J81,"0")</f>
        <v>0.8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72</v>
      </c>
      <c r="Q82" s="280"/>
      <c r="R82" s="280"/>
      <c r="S82" s="280"/>
      <c r="T82" s="280"/>
      <c r="U82" s="280"/>
      <c r="V82" s="281"/>
      <c r="W82" s="37" t="s">
        <v>69</v>
      </c>
      <c r="X82" s="270">
        <f>IFERROR(SUM(X80:X81),"0")</f>
        <v>210</v>
      </c>
      <c r="Y82" s="270">
        <f>IFERROR(SUM(Y80:Y81),"0")</f>
        <v>210</v>
      </c>
      <c r="Z82" s="270">
        <f>IFERROR(IF(Z80="",0,Z80),"0")+IFERROR(IF(Z81="",0,Z81),"0")</f>
        <v>3.7547999999999999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72</v>
      </c>
      <c r="Q83" s="280"/>
      <c r="R83" s="280"/>
      <c r="S83" s="280"/>
      <c r="T83" s="280"/>
      <c r="U83" s="280"/>
      <c r="V83" s="281"/>
      <c r="W83" s="37" t="s">
        <v>73</v>
      </c>
      <c r="X83" s="270">
        <f>IFERROR(SUMPRODUCT(X80:X81*H80:H81),"0")</f>
        <v>756</v>
      </c>
      <c r="Y83" s="270">
        <f>IFERROR(SUMPRODUCT(Y80:Y81*H80:H81),"0")</f>
        <v>756</v>
      </c>
      <c r="Z83" s="37"/>
      <c r="AA83" s="271"/>
      <c r="AB83" s="271"/>
      <c r="AC83" s="271"/>
    </row>
    <row r="84" spans="1:68" ht="16.5" customHeight="1" x14ac:dyDescent="0.25">
      <c r="A84" s="282" t="s">
        <v>147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120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69</v>
      </c>
      <c r="X86" s="268">
        <v>70</v>
      </c>
      <c r="Y86" s="269">
        <f t="shared" ref="Y86:Y91" si="0">IFERROR(IF(X86="","",X86),"")</f>
        <v>70</v>
      </c>
      <c r="Z86" s="36">
        <f t="shared" ref="Z86:Z91" si="1">IFERROR(IF(X86="","",X86*0.01788),"")</f>
        <v>1.2516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250.852</v>
      </c>
      <c r="BN86" s="67">
        <f t="shared" ref="BN86:BN91" si="3">IFERROR(Y86*I86,"0")</f>
        <v>250.852</v>
      </c>
      <c r="BO86" s="67">
        <f t="shared" ref="BO86:BO91" si="4">IFERROR(X86/J86,"0")</f>
        <v>1</v>
      </c>
      <c r="BP86" s="67">
        <f t="shared" ref="BP86:BP91" si="5">IFERROR(Y86/J86,"0")</f>
        <v>1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69</v>
      </c>
      <c r="X87" s="268">
        <v>98</v>
      </c>
      <c r="Y87" s="269">
        <f t="shared" si="0"/>
        <v>98</v>
      </c>
      <c r="Z87" s="36">
        <f t="shared" si="1"/>
        <v>1.75224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351.19280000000003</v>
      </c>
      <c r="BN87" s="67">
        <f t="shared" si="3"/>
        <v>351.19280000000003</v>
      </c>
      <c r="BO87" s="67">
        <f t="shared" si="4"/>
        <v>1.4</v>
      </c>
      <c r="BP87" s="67">
        <f t="shared" si="5"/>
        <v>1.4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69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69</v>
      </c>
      <c r="X89" s="268">
        <v>70</v>
      </c>
      <c r="Y89" s="269">
        <f t="shared" si="0"/>
        <v>70</v>
      </c>
      <c r="Z89" s="36">
        <f t="shared" si="1"/>
        <v>1.2516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69</v>
      </c>
      <c r="X90" s="268">
        <v>70</v>
      </c>
      <c r="Y90" s="269">
        <f t="shared" si="0"/>
        <v>70</v>
      </c>
      <c r="Z90" s="36">
        <f t="shared" si="1"/>
        <v>1.2516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311.416</v>
      </c>
      <c r="BN90" s="67">
        <f t="shared" si="3"/>
        <v>311.416</v>
      </c>
      <c r="BO90" s="67">
        <f t="shared" si="4"/>
        <v>1</v>
      </c>
      <c r="BP90" s="67">
        <f t="shared" si="5"/>
        <v>1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72</v>
      </c>
      <c r="Q92" s="280"/>
      <c r="R92" s="280"/>
      <c r="S92" s="280"/>
      <c r="T92" s="280"/>
      <c r="U92" s="280"/>
      <c r="V92" s="281"/>
      <c r="W92" s="37" t="s">
        <v>69</v>
      </c>
      <c r="X92" s="270">
        <f>IFERROR(SUM(X86:X91),"0")</f>
        <v>336</v>
      </c>
      <c r="Y92" s="270">
        <f>IFERROR(SUM(Y86:Y91),"0")</f>
        <v>336</v>
      </c>
      <c r="Z92" s="270">
        <f>IFERROR(IF(Z86="",0,Z86),"0")+IFERROR(IF(Z87="",0,Z87),"0")+IFERROR(IF(Z88="",0,Z88),"0")+IFERROR(IF(Z89="",0,Z89),"0")+IFERROR(IF(Z90="",0,Z90),"0")+IFERROR(IF(Z91="",0,Z91),"0")</f>
        <v>6.0076800000000006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72</v>
      </c>
      <c r="Q93" s="280"/>
      <c r="R93" s="280"/>
      <c r="S93" s="280"/>
      <c r="T93" s="280"/>
      <c r="U93" s="280"/>
      <c r="V93" s="281"/>
      <c r="W93" s="37" t="s">
        <v>73</v>
      </c>
      <c r="X93" s="270">
        <f>IFERROR(SUMPRODUCT(X86:X91*H86:H91),"0")</f>
        <v>1053.3600000000001</v>
      </c>
      <c r="Y93" s="270">
        <f>IFERROR(SUMPRODUCT(Y86:Y91*H86:H91),"0")</f>
        <v>1053.3600000000001</v>
      </c>
      <c r="Z93" s="37"/>
      <c r="AA93" s="271"/>
      <c r="AB93" s="271"/>
      <c r="AC93" s="271"/>
    </row>
    <row r="94" spans="1:68" ht="16.5" customHeight="1" x14ac:dyDescent="0.25">
      <c r="A94" s="282" t="s">
        <v>162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72</v>
      </c>
      <c r="Q98" s="280"/>
      <c r="R98" s="280"/>
      <c r="S98" s="280"/>
      <c r="T98" s="280"/>
      <c r="U98" s="280"/>
      <c r="V98" s="281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72</v>
      </c>
      <c r="Q99" s="280"/>
      <c r="R99" s="280"/>
      <c r="S99" s="280"/>
      <c r="T99" s="280"/>
      <c r="U99" s="280"/>
      <c r="V99" s="281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2" t="s">
        <v>168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63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69</v>
      </c>
      <c r="X103" s="268">
        <v>72</v>
      </c>
      <c r="Y103" s="269">
        <f t="shared" si="6"/>
        <v>72</v>
      </c>
      <c r="Z103" s="36">
        <f t="shared" si="7"/>
        <v>1.1160000000000001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483.81119999999999</v>
      </c>
      <c r="BN103" s="67">
        <f t="shared" si="9"/>
        <v>483.81119999999999</v>
      </c>
      <c r="BO103" s="67">
        <f t="shared" si="10"/>
        <v>0.8571428571428571</v>
      </c>
      <c r="BP103" s="67">
        <f t="shared" si="11"/>
        <v>0.8571428571428571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69</v>
      </c>
      <c r="X104" s="268">
        <v>192</v>
      </c>
      <c r="Y104" s="269">
        <f t="shared" si="6"/>
        <v>192</v>
      </c>
      <c r="Z104" s="36">
        <f t="shared" si="7"/>
        <v>2.976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1401.6</v>
      </c>
      <c r="BN104" s="67">
        <f t="shared" si="9"/>
        <v>1401.6</v>
      </c>
      <c r="BO104" s="67">
        <f t="shared" si="10"/>
        <v>2.2857142857142856</v>
      </c>
      <c r="BP104" s="67">
        <f t="shared" si="11"/>
        <v>2.2857142857142856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69</v>
      </c>
      <c r="X106" s="268">
        <v>132</v>
      </c>
      <c r="Y106" s="269">
        <f t="shared" si="6"/>
        <v>132</v>
      </c>
      <c r="Z106" s="36">
        <f t="shared" si="7"/>
        <v>2.0459999999999998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886.98720000000003</v>
      </c>
      <c r="BN106" s="67">
        <f t="shared" si="9"/>
        <v>886.98720000000003</v>
      </c>
      <c r="BO106" s="67">
        <f t="shared" si="10"/>
        <v>1.5714285714285714</v>
      </c>
      <c r="BP106" s="67">
        <f t="shared" si="11"/>
        <v>1.5714285714285714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69</v>
      </c>
      <c r="X107" s="268">
        <v>144</v>
      </c>
      <c r="Y107" s="269">
        <f t="shared" si="6"/>
        <v>144</v>
      </c>
      <c r="Z107" s="36">
        <f t="shared" si="7"/>
        <v>2.2320000000000002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1051.2</v>
      </c>
      <c r="BN107" s="67">
        <f t="shared" si="9"/>
        <v>1051.2</v>
      </c>
      <c r="BO107" s="67">
        <f t="shared" si="10"/>
        <v>1.7142857142857142</v>
      </c>
      <c r="BP107" s="67">
        <f t="shared" si="11"/>
        <v>1.7142857142857142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72</v>
      </c>
      <c r="Q109" s="280"/>
      <c r="R109" s="280"/>
      <c r="S109" s="280"/>
      <c r="T109" s="280"/>
      <c r="U109" s="280"/>
      <c r="V109" s="281"/>
      <c r="W109" s="37" t="s">
        <v>69</v>
      </c>
      <c r="X109" s="270">
        <f>IFERROR(SUM(X102:X108),"0")</f>
        <v>540</v>
      </c>
      <c r="Y109" s="270">
        <f>IFERROR(SUM(Y102:Y108),"0")</f>
        <v>540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8.370000000000001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72</v>
      </c>
      <c r="Q110" s="280"/>
      <c r="R110" s="280"/>
      <c r="S110" s="280"/>
      <c r="T110" s="280"/>
      <c r="U110" s="280"/>
      <c r="V110" s="281"/>
      <c r="W110" s="37" t="s">
        <v>73</v>
      </c>
      <c r="X110" s="270">
        <f>IFERROR(SUMPRODUCT(X102:X108*H102:H108),"0")</f>
        <v>3657.6</v>
      </c>
      <c r="Y110" s="270">
        <f>IFERROR(SUMPRODUCT(Y102:Y108*H102:H108),"0")</f>
        <v>3657.6</v>
      </c>
      <c r="Z110" s="37"/>
      <c r="AA110" s="271"/>
      <c r="AB110" s="271"/>
      <c r="AC110" s="271"/>
    </row>
    <row r="111" spans="1:68" ht="14.25" customHeight="1" x14ac:dyDescent="0.25">
      <c r="A111" s="303" t="s">
        <v>120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72</v>
      </c>
      <c r="Q113" s="280"/>
      <c r="R113" s="280"/>
      <c r="S113" s="280"/>
      <c r="T113" s="280"/>
      <c r="U113" s="280"/>
      <c r="V113" s="281"/>
      <c r="W113" s="37" t="s">
        <v>69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72</v>
      </c>
      <c r="Q114" s="280"/>
      <c r="R114" s="280"/>
      <c r="S114" s="280"/>
      <c r="T114" s="280"/>
      <c r="U114" s="280"/>
      <c r="V114" s="281"/>
      <c r="W114" s="37" t="s">
        <v>73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customHeight="1" x14ac:dyDescent="0.25">
      <c r="A115" s="303" t="s">
        <v>189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72</v>
      </c>
      <c r="Q117" s="280"/>
      <c r="R117" s="280"/>
      <c r="S117" s="280"/>
      <c r="T117" s="280"/>
      <c r="U117" s="280"/>
      <c r="V117" s="281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72</v>
      </c>
      <c r="Q118" s="280"/>
      <c r="R118" s="280"/>
      <c r="S118" s="280"/>
      <c r="T118" s="280"/>
      <c r="U118" s="280"/>
      <c r="V118" s="281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193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120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69</v>
      </c>
      <c r="X121" s="268">
        <v>210</v>
      </c>
      <c r="Y121" s="269">
        <f>IFERROR(IF(X121="","",X121),"")</f>
        <v>210</v>
      </c>
      <c r="Z121" s="36">
        <f>IFERROR(IF(X121="","",X121*0.01788),"")</f>
        <v>3.7547999999999999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777.75599999999997</v>
      </c>
      <c r="BN121" s="67">
        <f>IFERROR(Y121*I121,"0")</f>
        <v>777.75599999999997</v>
      </c>
      <c r="BO121" s="67">
        <f>IFERROR(X121/J121,"0")</f>
        <v>3</v>
      </c>
      <c r="BP121" s="67">
        <f>IFERROR(Y121/J121,"0")</f>
        <v>3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69</v>
      </c>
      <c r="X122" s="268">
        <v>280</v>
      </c>
      <c r="Y122" s="269">
        <f>IFERROR(IF(X122="","",X122),"")</f>
        <v>280</v>
      </c>
      <c r="Z122" s="36">
        <f>IFERROR(IF(X122="","",X122*0.01788),"")</f>
        <v>5.0064000000000002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1037.008</v>
      </c>
      <c r="BN122" s="67">
        <f>IFERROR(Y122*I122,"0")</f>
        <v>1037.008</v>
      </c>
      <c r="BO122" s="67">
        <f>IFERROR(X122/J122,"0")</f>
        <v>4</v>
      </c>
      <c r="BP122" s="67">
        <f>IFERROR(Y122/J122,"0")</f>
        <v>4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72</v>
      </c>
      <c r="Q123" s="280"/>
      <c r="R123" s="280"/>
      <c r="S123" s="280"/>
      <c r="T123" s="280"/>
      <c r="U123" s="280"/>
      <c r="V123" s="281"/>
      <c r="W123" s="37" t="s">
        <v>69</v>
      </c>
      <c r="X123" s="270">
        <f>IFERROR(SUM(X121:X122),"0")</f>
        <v>490</v>
      </c>
      <c r="Y123" s="270">
        <f>IFERROR(SUM(Y121:Y122),"0")</f>
        <v>490</v>
      </c>
      <c r="Z123" s="270">
        <f>IFERROR(IF(Z121="",0,Z121),"0")+IFERROR(IF(Z122="",0,Z122),"0")</f>
        <v>8.7612000000000005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72</v>
      </c>
      <c r="Q124" s="280"/>
      <c r="R124" s="280"/>
      <c r="S124" s="280"/>
      <c r="T124" s="280"/>
      <c r="U124" s="280"/>
      <c r="V124" s="281"/>
      <c r="W124" s="37" t="s">
        <v>73</v>
      </c>
      <c r="X124" s="270">
        <f>IFERROR(SUMPRODUCT(X121:X122*H121:H122),"0")</f>
        <v>1470</v>
      </c>
      <c r="Y124" s="270">
        <f>IFERROR(SUMPRODUCT(Y121:Y122*H121:H122),"0")</f>
        <v>1470</v>
      </c>
      <c r="Z124" s="37"/>
      <c r="AA124" s="271"/>
      <c r="AB124" s="271"/>
      <c r="AC124" s="271"/>
    </row>
    <row r="125" spans="1:68" ht="16.5" customHeight="1" x14ac:dyDescent="0.25">
      <c r="A125" s="282" t="s">
        <v>201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120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69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69</v>
      </c>
      <c r="X128" s="268">
        <v>154</v>
      </c>
      <c r="Y128" s="269">
        <f>IFERROR(IF(X128="","",X128),"")</f>
        <v>154</v>
      </c>
      <c r="Z128" s="36">
        <f>IFERROR(IF(X128="","",X128*0.01788),"")</f>
        <v>2.75352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570.35439999999994</v>
      </c>
      <c r="BN128" s="67">
        <f>IFERROR(Y128*I128,"0")</f>
        <v>570.35439999999994</v>
      </c>
      <c r="BO128" s="67">
        <f>IFERROR(X128/J128,"0")</f>
        <v>2.2000000000000002</v>
      </c>
      <c r="BP128" s="67">
        <f>IFERROR(Y128/J128,"0")</f>
        <v>2.2000000000000002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72</v>
      </c>
      <c r="Q129" s="280"/>
      <c r="R129" s="280"/>
      <c r="S129" s="280"/>
      <c r="T129" s="280"/>
      <c r="U129" s="280"/>
      <c r="V129" s="281"/>
      <c r="W129" s="37" t="s">
        <v>69</v>
      </c>
      <c r="X129" s="270">
        <f>IFERROR(SUM(X127:X128),"0")</f>
        <v>154</v>
      </c>
      <c r="Y129" s="270">
        <f>IFERROR(SUM(Y127:Y128),"0")</f>
        <v>154</v>
      </c>
      <c r="Z129" s="270">
        <f>IFERROR(IF(Z127="",0,Z127),"0")+IFERROR(IF(Z128="",0,Z128),"0")</f>
        <v>2.75352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72</v>
      </c>
      <c r="Q130" s="280"/>
      <c r="R130" s="280"/>
      <c r="S130" s="280"/>
      <c r="T130" s="280"/>
      <c r="U130" s="280"/>
      <c r="V130" s="281"/>
      <c r="W130" s="37" t="s">
        <v>73</v>
      </c>
      <c r="X130" s="270">
        <f>IFERROR(SUMPRODUCT(X127:X128*H127:H128),"0")</f>
        <v>462</v>
      </c>
      <c r="Y130" s="270">
        <f>IFERROR(SUMPRODUCT(Y127:Y128*H127:H128),"0")</f>
        <v>462</v>
      </c>
      <c r="Z130" s="37"/>
      <c r="AA130" s="271"/>
      <c r="AB130" s="271"/>
      <c r="AC130" s="271"/>
    </row>
    <row r="131" spans="1:68" ht="16.5" customHeight="1" x14ac:dyDescent="0.25">
      <c r="A131" s="282" t="s">
        <v>208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120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69</v>
      </c>
      <c r="X133" s="268">
        <v>98</v>
      </c>
      <c r="Y133" s="269">
        <f>IFERROR(IF(X133="","",X133),"")</f>
        <v>98</v>
      </c>
      <c r="Z133" s="36">
        <f>IFERROR(IF(X133="","",X133*0.01788),"")</f>
        <v>1.75224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262.64000000000004</v>
      </c>
      <c r="BN133" s="67">
        <f>IFERROR(Y133*I133,"0")</f>
        <v>262.64000000000004</v>
      </c>
      <c r="BO133" s="67">
        <f>IFERROR(X133/J133,"0")</f>
        <v>1.4</v>
      </c>
      <c r="BP133" s="67">
        <f>IFERROR(Y133/J133,"0")</f>
        <v>1.4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69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72</v>
      </c>
      <c r="Q135" s="280"/>
      <c r="R135" s="280"/>
      <c r="S135" s="280"/>
      <c r="T135" s="280"/>
      <c r="U135" s="280"/>
      <c r="V135" s="281"/>
      <c r="W135" s="37" t="s">
        <v>69</v>
      </c>
      <c r="X135" s="270">
        <f>IFERROR(SUM(X133:X134),"0")</f>
        <v>140</v>
      </c>
      <c r="Y135" s="270">
        <f>IFERROR(SUM(Y133:Y134),"0")</f>
        <v>140</v>
      </c>
      <c r="Z135" s="270">
        <f>IFERROR(IF(Z133="",0,Z133),"0")+IFERROR(IF(Z134="",0,Z134),"0")</f>
        <v>2.5032000000000001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72</v>
      </c>
      <c r="Q136" s="280"/>
      <c r="R136" s="280"/>
      <c r="S136" s="280"/>
      <c r="T136" s="280"/>
      <c r="U136" s="280"/>
      <c r="V136" s="281"/>
      <c r="W136" s="37" t="s">
        <v>73</v>
      </c>
      <c r="X136" s="270">
        <f>IFERROR(SUMPRODUCT(X133:X134*H133:H134),"0")</f>
        <v>336</v>
      </c>
      <c r="Y136" s="270">
        <f>IFERROR(SUMPRODUCT(Y133:Y134*H133:H134),"0")</f>
        <v>336</v>
      </c>
      <c r="Z136" s="37"/>
      <c r="AA136" s="271"/>
      <c r="AB136" s="271"/>
      <c r="AC136" s="271"/>
    </row>
    <row r="137" spans="1:68" ht="16.5" customHeight="1" x14ac:dyDescent="0.25">
      <c r="A137" s="282" t="s">
        <v>213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120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72</v>
      </c>
      <c r="Q140" s="280"/>
      <c r="R140" s="280"/>
      <c r="S140" s="280"/>
      <c r="T140" s="280"/>
      <c r="U140" s="280"/>
      <c r="V140" s="281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72</v>
      </c>
      <c r="Q141" s="280"/>
      <c r="R141" s="280"/>
      <c r="S141" s="280"/>
      <c r="T141" s="280"/>
      <c r="U141" s="280"/>
      <c r="V141" s="281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customHeight="1" x14ac:dyDescent="0.25">
      <c r="A142" s="282" t="s">
        <v>217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120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72</v>
      </c>
      <c r="Q145" s="280"/>
      <c r="R145" s="280"/>
      <c r="S145" s="280"/>
      <c r="T145" s="280"/>
      <c r="U145" s="280"/>
      <c r="V145" s="281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72</v>
      </c>
      <c r="Q146" s="280"/>
      <c r="R146" s="280"/>
      <c r="S146" s="280"/>
      <c r="T146" s="280"/>
      <c r="U146" s="280"/>
      <c r="V146" s="281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220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189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72</v>
      </c>
      <c r="Q150" s="280"/>
      <c r="R150" s="280"/>
      <c r="S150" s="280"/>
      <c r="T150" s="280"/>
      <c r="U150" s="280"/>
      <c r="V150" s="281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72</v>
      </c>
      <c r="Q151" s="280"/>
      <c r="R151" s="280"/>
      <c r="S151" s="280"/>
      <c r="T151" s="280"/>
      <c r="U151" s="280"/>
      <c r="V151" s="281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225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120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69</v>
      </c>
      <c r="X154" s="268">
        <v>0</v>
      </c>
      <c r="Y154" s="269">
        <f>IFERROR(IF(X154="","",X154),"")</f>
        <v>0</v>
      </c>
      <c r="Z154" s="36">
        <f>IFERROR(IF(X154="","",X154*0.00941),"")</f>
        <v>0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72</v>
      </c>
      <c r="Q155" s="280"/>
      <c r="R155" s="280"/>
      <c r="S155" s="280"/>
      <c r="T155" s="280"/>
      <c r="U155" s="280"/>
      <c r="V155" s="281"/>
      <c r="W155" s="37" t="s">
        <v>69</v>
      </c>
      <c r="X155" s="270">
        <f>IFERROR(SUM(X154:X154),"0")</f>
        <v>0</v>
      </c>
      <c r="Y155" s="270">
        <f>IFERROR(SUM(Y154:Y154),"0")</f>
        <v>0</v>
      </c>
      <c r="Z155" s="270">
        <f>IFERROR(IF(Z154="",0,Z154),"0")</f>
        <v>0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72</v>
      </c>
      <c r="Q156" s="280"/>
      <c r="R156" s="280"/>
      <c r="S156" s="280"/>
      <c r="T156" s="280"/>
      <c r="U156" s="280"/>
      <c r="V156" s="281"/>
      <c r="W156" s="37" t="s">
        <v>73</v>
      </c>
      <c r="X156" s="270">
        <f>IFERROR(SUMPRODUCT(X154:X154*H154:H154),"0")</f>
        <v>0</v>
      </c>
      <c r="Y156" s="270">
        <f>IFERROR(SUMPRODUCT(Y154:Y154*H154:H154),"0")</f>
        <v>0</v>
      </c>
      <c r="Z156" s="37"/>
      <c r="AA156" s="271"/>
      <c r="AB156" s="271"/>
      <c r="AC156" s="271"/>
    </row>
    <row r="157" spans="1:68" ht="27.75" customHeight="1" x14ac:dyDescent="0.2">
      <c r="A157" s="320" t="s">
        <v>229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63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72</v>
      </c>
      <c r="Q162" s="280"/>
      <c r="R162" s="280"/>
      <c r="S162" s="280"/>
      <c r="T162" s="280"/>
      <c r="U162" s="280"/>
      <c r="V162" s="281"/>
      <c r="W162" s="37" t="s">
        <v>69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72</v>
      </c>
      <c r="Q163" s="280"/>
      <c r="R163" s="280"/>
      <c r="S163" s="280"/>
      <c r="T163" s="280"/>
      <c r="U163" s="280"/>
      <c r="V163" s="281"/>
      <c r="W163" s="37" t="s">
        <v>73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customHeight="1" x14ac:dyDescent="0.2">
      <c r="A164" s="320" t="s">
        <v>237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238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76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69</v>
      </c>
      <c r="X167" s="268">
        <v>0</v>
      </c>
      <c r="Y167" s="269">
        <f>IFERROR(IF(X167="","",X167),"")</f>
        <v>0</v>
      </c>
      <c r="Z167" s="36">
        <f>IFERROR(IF(X167="","",X167*0.01788),"")</f>
        <v>0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69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72</v>
      </c>
      <c r="Q170" s="280"/>
      <c r="R170" s="280"/>
      <c r="S170" s="280"/>
      <c r="T170" s="280"/>
      <c r="U170" s="280"/>
      <c r="V170" s="281"/>
      <c r="W170" s="37" t="s">
        <v>69</v>
      </c>
      <c r="X170" s="270">
        <f>IFERROR(SUM(X167:X169),"0")</f>
        <v>0</v>
      </c>
      <c r="Y170" s="270">
        <f>IFERROR(SUM(Y167:Y169),"0")</f>
        <v>0</v>
      </c>
      <c r="Z170" s="270">
        <f>IFERROR(IF(Z167="",0,Z167),"0")+IFERROR(IF(Z168="",0,Z168),"0")+IFERROR(IF(Z169="",0,Z169),"0")</f>
        <v>0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72</v>
      </c>
      <c r="Q171" s="280"/>
      <c r="R171" s="280"/>
      <c r="S171" s="280"/>
      <c r="T171" s="280"/>
      <c r="U171" s="280"/>
      <c r="V171" s="281"/>
      <c r="W171" s="37" t="s">
        <v>73</v>
      </c>
      <c r="X171" s="270">
        <f>IFERROR(SUMPRODUCT(X167:X169*H167:H169),"0")</f>
        <v>0</v>
      </c>
      <c r="Y171" s="270">
        <f>IFERROR(SUMPRODUCT(Y167:Y169*H167:H169),"0")</f>
        <v>0</v>
      </c>
      <c r="Z171" s="37"/>
      <c r="AA171" s="271"/>
      <c r="AB171" s="271"/>
      <c r="AC171" s="271"/>
    </row>
    <row r="172" spans="1:68" ht="14.25" customHeight="1" x14ac:dyDescent="0.25">
      <c r="A172" s="303" t="s">
        <v>248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3"/>
      <c r="R173" s="273"/>
      <c r="S173" s="273"/>
      <c r="T173" s="274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72</v>
      </c>
      <c r="Q174" s="280"/>
      <c r="R174" s="280"/>
      <c r="S174" s="280"/>
      <c r="T174" s="280"/>
      <c r="U174" s="280"/>
      <c r="V174" s="281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72</v>
      </c>
      <c r="Q175" s="280"/>
      <c r="R175" s="280"/>
      <c r="S175" s="280"/>
      <c r="T175" s="280"/>
      <c r="U175" s="280"/>
      <c r="V175" s="281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256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257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76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72</v>
      </c>
      <c r="Q180" s="280"/>
      <c r="R180" s="280"/>
      <c r="S180" s="280"/>
      <c r="T180" s="280"/>
      <c r="U180" s="280"/>
      <c r="V180" s="281"/>
      <c r="W180" s="37" t="s">
        <v>69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72</v>
      </c>
      <c r="Q181" s="280"/>
      <c r="R181" s="280"/>
      <c r="S181" s="280"/>
      <c r="T181" s="280"/>
      <c r="U181" s="280"/>
      <c r="V181" s="281"/>
      <c r="W181" s="37" t="s">
        <v>73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customHeight="1" x14ac:dyDescent="0.25">
      <c r="A182" s="303" t="s">
        <v>120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4" t="s">
        <v>266</v>
      </c>
      <c r="Q184" s="273"/>
      <c r="R184" s="273"/>
      <c r="S184" s="273"/>
      <c r="T184" s="274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72</v>
      </c>
      <c r="Q187" s="280"/>
      <c r="R187" s="280"/>
      <c r="S187" s="280"/>
      <c r="T187" s="280"/>
      <c r="U187" s="280"/>
      <c r="V187" s="281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72</v>
      </c>
      <c r="Q188" s="280"/>
      <c r="R188" s="280"/>
      <c r="S188" s="280"/>
      <c r="T188" s="280"/>
      <c r="U188" s="280"/>
      <c r="V188" s="281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84">
        <v>4607111035912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72</v>
      </c>
      <c r="Q196" s="280"/>
      <c r="R196" s="280"/>
      <c r="S196" s="280"/>
      <c r="T196" s="280"/>
      <c r="U196" s="280"/>
      <c r="V196" s="281"/>
      <c r="W196" s="37" t="s">
        <v>69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72</v>
      </c>
      <c r="Q197" s="280"/>
      <c r="R197" s="280"/>
      <c r="S197" s="280"/>
      <c r="T197" s="280"/>
      <c r="U197" s="280"/>
      <c r="V197" s="281"/>
      <c r="W197" s="37" t="s">
        <v>73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73"/>
      <c r="R200" s="273"/>
      <c r="S200" s="273"/>
      <c r="T200" s="274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72</v>
      </c>
      <c r="Q201" s="280"/>
      <c r="R201" s="280"/>
      <c r="S201" s="280"/>
      <c r="T201" s="280"/>
      <c r="U201" s="280"/>
      <c r="V201" s="281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72</v>
      </c>
      <c r="Q202" s="280"/>
      <c r="R202" s="280"/>
      <c r="S202" s="280"/>
      <c r="T202" s="280"/>
      <c r="U202" s="280"/>
      <c r="V202" s="281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2" t="s">
        <v>289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63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290</v>
      </c>
      <c r="B205" s="54" t="s">
        <v>291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72</v>
      </c>
      <c r="Q206" s="280"/>
      <c r="R206" s="280"/>
      <c r="S206" s="280"/>
      <c r="T206" s="280"/>
      <c r="U206" s="280"/>
      <c r="V206" s="281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72</v>
      </c>
      <c r="Q207" s="280"/>
      <c r="R207" s="280"/>
      <c r="S207" s="280"/>
      <c r="T207" s="280"/>
      <c r="U207" s="280"/>
      <c r="V207" s="281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120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298</v>
      </c>
      <c r="B211" s="54" t="s">
        <v>299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72</v>
      </c>
      <c r="Q212" s="280"/>
      <c r="R212" s="280"/>
      <c r="S212" s="280"/>
      <c r="T212" s="280"/>
      <c r="U212" s="280"/>
      <c r="V212" s="281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72</v>
      </c>
      <c r="Q213" s="280"/>
      <c r="R213" s="280"/>
      <c r="S213" s="280"/>
      <c r="T213" s="280"/>
      <c r="U213" s="280"/>
      <c r="V213" s="281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2" t="s">
        <v>300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63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301</v>
      </c>
      <c r="B216" s="54" t="s">
        <v>302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304</v>
      </c>
      <c r="B217" s="54" t="s">
        <v>305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72</v>
      </c>
      <c r="Q218" s="280"/>
      <c r="R218" s="280"/>
      <c r="S218" s="280"/>
      <c r="T218" s="280"/>
      <c r="U218" s="280"/>
      <c r="V218" s="281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72</v>
      </c>
      <c r="Q219" s="280"/>
      <c r="R219" s="280"/>
      <c r="S219" s="280"/>
      <c r="T219" s="280"/>
      <c r="U219" s="280"/>
      <c r="V219" s="281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63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308</v>
      </c>
      <c r="B223" s="54" t="s">
        <v>309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72</v>
      </c>
      <c r="Q224" s="280"/>
      <c r="R224" s="280"/>
      <c r="S224" s="280"/>
      <c r="T224" s="280"/>
      <c r="U224" s="280"/>
      <c r="V224" s="281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72</v>
      </c>
      <c r="Q225" s="280"/>
      <c r="R225" s="280"/>
      <c r="S225" s="280"/>
      <c r="T225" s="280"/>
      <c r="U225" s="280"/>
      <c r="V225" s="281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312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63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313</v>
      </c>
      <c r="B229" s="54" t="s">
        <v>314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72</v>
      </c>
      <c r="Q230" s="280"/>
      <c r="R230" s="280"/>
      <c r="S230" s="280"/>
      <c r="T230" s="280"/>
      <c r="U230" s="280"/>
      <c r="V230" s="281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72</v>
      </c>
      <c r="Q231" s="280"/>
      <c r="R231" s="280"/>
      <c r="S231" s="280"/>
      <c r="T231" s="280"/>
      <c r="U231" s="280"/>
      <c r="V231" s="281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315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316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318</v>
      </c>
      <c r="B235" s="54" t="s">
        <v>319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72</v>
      </c>
      <c r="Q236" s="280"/>
      <c r="R236" s="280"/>
      <c r="S236" s="280"/>
      <c r="T236" s="280"/>
      <c r="U236" s="280"/>
      <c r="V236" s="281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72</v>
      </c>
      <c r="Q237" s="280"/>
      <c r="R237" s="280"/>
      <c r="S237" s="280"/>
      <c r="T237" s="280"/>
      <c r="U237" s="280"/>
      <c r="V237" s="281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120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321</v>
      </c>
      <c r="B239" s="54" t="s">
        <v>322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72</v>
      </c>
      <c r="Q240" s="280"/>
      <c r="R240" s="280"/>
      <c r="S240" s="280"/>
      <c r="T240" s="280"/>
      <c r="U240" s="280"/>
      <c r="V240" s="281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72</v>
      </c>
      <c r="Q241" s="280"/>
      <c r="R241" s="280"/>
      <c r="S241" s="280"/>
      <c r="T241" s="280"/>
      <c r="U241" s="280"/>
      <c r="V241" s="281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63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324</v>
      </c>
      <c r="B245" s="54" t="s">
        <v>325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329</v>
      </c>
      <c r="B247" s="54" t="s">
        <v>330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72</v>
      </c>
      <c r="Q248" s="280"/>
      <c r="R248" s="280"/>
      <c r="S248" s="280"/>
      <c r="T248" s="280"/>
      <c r="U248" s="280"/>
      <c r="V248" s="281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72</v>
      </c>
      <c r="Q249" s="280"/>
      <c r="R249" s="280"/>
      <c r="S249" s="280"/>
      <c r="T249" s="280"/>
      <c r="U249" s="280"/>
      <c r="V249" s="281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3" t="s">
        <v>76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69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335</v>
      </c>
      <c r="B252" s="54" t="s">
        <v>336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72</v>
      </c>
      <c r="Q253" s="280"/>
      <c r="R253" s="280"/>
      <c r="S253" s="280"/>
      <c r="T253" s="280"/>
      <c r="U253" s="280"/>
      <c r="V253" s="281"/>
      <c r="W253" s="37" t="s">
        <v>69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72</v>
      </c>
      <c r="Q254" s="280"/>
      <c r="R254" s="280"/>
      <c r="S254" s="280"/>
      <c r="T254" s="280"/>
      <c r="U254" s="280"/>
      <c r="V254" s="281"/>
      <c r="W254" s="37" t="s">
        <v>73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customHeight="1" x14ac:dyDescent="0.25">
      <c r="A255" s="303" t="s">
        <v>114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342</v>
      </c>
      <c r="B258" s="54" t="s">
        <v>343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72</v>
      </c>
      <c r="Q259" s="280"/>
      <c r="R259" s="280"/>
      <c r="S259" s="280"/>
      <c r="T259" s="280"/>
      <c r="U259" s="280"/>
      <c r="V259" s="281"/>
      <c r="W259" s="37" t="s">
        <v>69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72</v>
      </c>
      <c r="Q260" s="280"/>
      <c r="R260" s="280"/>
      <c r="S260" s="280"/>
      <c r="T260" s="280"/>
      <c r="U260" s="280"/>
      <c r="V260" s="281"/>
      <c r="W260" s="37" t="s">
        <v>73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customHeight="1" x14ac:dyDescent="0.25">
      <c r="A261" s="303" t="s">
        <v>120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344</v>
      </c>
      <c r="B262" s="54" t="s">
        <v>345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356</v>
      </c>
      <c r="B267" s="54" t="s">
        <v>357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358</v>
      </c>
      <c r="B268" s="54" t="s">
        <v>359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72</v>
      </c>
      <c r="Q272" s="280"/>
      <c r="R272" s="280"/>
      <c r="S272" s="280"/>
      <c r="T272" s="280"/>
      <c r="U272" s="280"/>
      <c r="V272" s="281"/>
      <c r="W272" s="37" t="s">
        <v>69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72</v>
      </c>
      <c r="Q273" s="280"/>
      <c r="R273" s="280"/>
      <c r="S273" s="280"/>
      <c r="T273" s="280"/>
      <c r="U273" s="280"/>
      <c r="V273" s="281"/>
      <c r="W273" s="37" t="s">
        <v>73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366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9614.76</v>
      </c>
      <c r="Y274" s="270">
        <f>IFERROR(Y24+Y31+Y38+Y46+Y51+Y55+Y60+Y66+Y72+Y77+Y83+Y93+Y99+Y110+Y114+Y118+Y124+Y130+Y136+Y141+Y146+Y151+Y156+Y163+Y171+Y175+Y181+Y188+Y197+Y202+Y207+Y213+Y219+Y225+Y231+Y237+Y241+Y249+Y254+Y260+Y273,"0")</f>
        <v>9614.76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367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10920.064399999999</v>
      </c>
      <c r="Y275" s="270">
        <f>IFERROR(SUM(BN22:BN271),"0")</f>
        <v>10920.064399999999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368</v>
      </c>
      <c r="Q276" s="318"/>
      <c r="R276" s="318"/>
      <c r="S276" s="318"/>
      <c r="T276" s="318"/>
      <c r="U276" s="318"/>
      <c r="V276" s="319"/>
      <c r="W276" s="37" t="s">
        <v>369</v>
      </c>
      <c r="X276" s="38">
        <f>ROUNDUP(SUM(BO22:BO271),0)</f>
        <v>32</v>
      </c>
      <c r="Y276" s="38">
        <f>ROUNDUP(SUM(BP22:BP271),0)</f>
        <v>32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370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11720.064399999999</v>
      </c>
      <c r="Y277" s="270">
        <f>GrossWeightTotalR+PalletQtyTotalR*25</f>
        <v>11720.064399999999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371</v>
      </c>
      <c r="Q278" s="318"/>
      <c r="R278" s="318"/>
      <c r="S278" s="318"/>
      <c r="T278" s="318"/>
      <c r="U278" s="318"/>
      <c r="V278" s="319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2568</v>
      </c>
      <c r="Y278" s="270">
        <f>IFERROR(Y23+Y30+Y37+Y45+Y50+Y54+Y59+Y65+Y71+Y76+Y82+Y92+Y98+Y109+Y113+Y117+Y123+Y129+Y135+Y140+Y145+Y150+Y155+Y162+Y170+Y174+Y180+Y187+Y196+Y201+Y206+Y212+Y218+Y224+Y230+Y236+Y240+Y248+Y253+Y259+Y272,"0")</f>
        <v>2568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372</v>
      </c>
      <c r="Q279" s="318"/>
      <c r="R279" s="318"/>
      <c r="S279" s="318"/>
      <c r="T279" s="318"/>
      <c r="U279" s="318"/>
      <c r="V279" s="319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39.887779999999999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5" t="s">
        <v>74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229</v>
      </c>
      <c r="V281" s="265" t="s">
        <v>237</v>
      </c>
      <c r="W281" s="275" t="s">
        <v>256</v>
      </c>
      <c r="X281" s="307"/>
      <c r="Y281" s="307"/>
      <c r="Z281" s="307"/>
      <c r="AA281" s="308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99" t="s">
        <v>375</v>
      </c>
      <c r="B282" s="275" t="s">
        <v>62</v>
      </c>
      <c r="C282" s="275" t="s">
        <v>75</v>
      </c>
      <c r="D282" s="275" t="s">
        <v>86</v>
      </c>
      <c r="E282" s="275" t="s">
        <v>96</v>
      </c>
      <c r="F282" s="275" t="s">
        <v>107</v>
      </c>
      <c r="G282" s="275" t="s">
        <v>128</v>
      </c>
      <c r="H282" s="275" t="s">
        <v>135</v>
      </c>
      <c r="I282" s="275" t="s">
        <v>139</v>
      </c>
      <c r="J282" s="275" t="s">
        <v>147</v>
      </c>
      <c r="K282" s="275" t="s">
        <v>162</v>
      </c>
      <c r="L282" s="275" t="s">
        <v>168</v>
      </c>
      <c r="M282" s="275" t="s">
        <v>193</v>
      </c>
      <c r="N282" s="266"/>
      <c r="O282" s="275" t="s">
        <v>201</v>
      </c>
      <c r="P282" s="275" t="s">
        <v>208</v>
      </c>
      <c r="Q282" s="275" t="s">
        <v>213</v>
      </c>
      <c r="R282" s="275" t="s">
        <v>217</v>
      </c>
      <c r="S282" s="275" t="s">
        <v>220</v>
      </c>
      <c r="T282" s="275" t="s">
        <v>225</v>
      </c>
      <c r="U282" s="275" t="s">
        <v>230</v>
      </c>
      <c r="V282" s="275" t="s">
        <v>238</v>
      </c>
      <c r="W282" s="275" t="s">
        <v>257</v>
      </c>
      <c r="X282" s="275" t="s">
        <v>273</v>
      </c>
      <c r="Y282" s="275" t="s">
        <v>285</v>
      </c>
      <c r="Z282" s="275" t="s">
        <v>289</v>
      </c>
      <c r="AA282" s="275" t="s">
        <v>300</v>
      </c>
      <c r="AB282" s="275" t="s">
        <v>307</v>
      </c>
      <c r="AC282" s="275" t="s">
        <v>312</v>
      </c>
      <c r="AD282" s="275" t="s">
        <v>316</v>
      </c>
      <c r="AE282" s="275" t="s">
        <v>323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735</v>
      </c>
      <c r="D284" s="46">
        <f>IFERROR(X34*H34,"0")+IFERROR(X35*H35,"0")+IFERROR(X36*H36,"0")</f>
        <v>671.99999999999989</v>
      </c>
      <c r="E284" s="46">
        <f>IFERROR(X41*H41,"0")+IFERROR(X42*H42,"0")+IFERROR(X43*H43,"0")+IFERROR(X44*H44,"0")</f>
        <v>252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120</v>
      </c>
      <c r="H284" s="46">
        <f>IFERROR(X75*H75,"0")</f>
        <v>100.8</v>
      </c>
      <c r="I284" s="46">
        <f>IFERROR(X80*H80,"0")+IFERROR(X81*H81,"0")</f>
        <v>756</v>
      </c>
      <c r="J284" s="46">
        <f>IFERROR(X86*H86,"0")+IFERROR(X87*H87,"0")+IFERROR(X88*H88,"0")+IFERROR(X89*H89,"0")+IFERROR(X90*H90,"0")+IFERROR(X91*H91,"0")</f>
        <v>1053.3600000000001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3657.6</v>
      </c>
      <c r="M284" s="46">
        <f>IFERROR(X121*H121,"0")+IFERROR(X122*H122,"0")</f>
        <v>1470</v>
      </c>
      <c r="N284" s="266"/>
      <c r="O284" s="46">
        <f>IFERROR(X127*H127,"0")+IFERROR(X128*H128,"0")</f>
        <v>462</v>
      </c>
      <c r="P284" s="46">
        <f>IFERROR(X133*H133,"0")+IFERROR(X134*H134,"0")</f>
        <v>336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0</v>
      </c>
      <c r="U284" s="46">
        <f>IFERROR(X160*H160,"0")+IFERROR(X161*H161,"0")</f>
        <v>0</v>
      </c>
      <c r="V284" s="46">
        <f>IFERROR(X167*H167,"0")+IFERROR(X168*H168,"0")+IFERROR(X169*H169,"0")+IFERROR(X173*H173,"0")</f>
        <v>0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4701.6000000000004</v>
      </c>
      <c r="B287" s="60">
        <f>SUMPRODUCT(--(BB:BB="ПГП"),--(W:W="кор"),H:H,Y:Y)+SUMPRODUCT(--(BB:BB="ПГП"),--(W:W="кг"),Y:Y)</f>
        <v>4913.16</v>
      </c>
      <c r="C287" s="60">
        <f>SUMPRODUCT(--(BB:BB="КИЗ"),--(W:W="кор"),H:H,Y:Y)+SUMPRODUCT(--(BB:BB="КИЗ"),--(W:W="кг"),Y:Y)</f>
        <v>0</v>
      </c>
    </row>
  </sheetData>
  <sheetProtection algorithmName="SHA-512" hashValue="ULcHSH3RECcsJSd92nldiN2XbnTUaVcte0SylYjfOVFWvMMzAl8UegGjBfH3ZD+q7wdHJjm0VmIYfU4TDwXKJQ==" saltValue="6TAkTfh4RdS2GYV9fqMRN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W42xoOHy6aBaB/ot0nYxilK22giMnK+fRpzei4n3wmwGhCwCuevjP0uNAg/WXQJgwzuBiU0DRvd1A9IE6gzh4w==" saltValue="79ANExhw/CRUnqvq2ijm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