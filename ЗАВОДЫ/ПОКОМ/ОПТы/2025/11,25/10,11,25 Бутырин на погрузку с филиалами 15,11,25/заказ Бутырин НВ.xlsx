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92E94415-B1C0-4B37-AFCA-0031593BB4B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Z498" i="1" s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Y468" i="1" s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Y461" i="1" s="1"/>
  <c r="P457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Y452" i="1" s="1"/>
  <c r="P450" i="1"/>
  <c r="BP449" i="1"/>
  <c r="BO449" i="1"/>
  <c r="BN449" i="1"/>
  <c r="BM449" i="1"/>
  <c r="Z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Z422" i="1"/>
  <c r="Y422" i="1"/>
  <c r="P422" i="1"/>
  <c r="BO421" i="1"/>
  <c r="BM421" i="1"/>
  <c r="Y421" i="1"/>
  <c r="P421" i="1"/>
  <c r="BP420" i="1"/>
  <c r="BO420" i="1"/>
  <c r="BN420" i="1"/>
  <c r="BM420" i="1"/>
  <c r="Z420" i="1"/>
  <c r="Y420" i="1"/>
  <c r="P420" i="1"/>
  <c r="X416" i="1"/>
  <c r="Y415" i="1"/>
  <c r="X415" i="1"/>
  <c r="BP414" i="1"/>
  <c r="BO414" i="1"/>
  <c r="BN414" i="1"/>
  <c r="BM414" i="1"/>
  <c r="Z414" i="1"/>
  <c r="Z415" i="1" s="1"/>
  <c r="Y414" i="1"/>
  <c r="W498" i="1" s="1"/>
  <c r="P414" i="1"/>
  <c r="X411" i="1"/>
  <c r="X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Y398" i="1" s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0" i="1"/>
  <c r="X379" i="1"/>
  <c r="BP378" i="1"/>
  <c r="BO378" i="1"/>
  <c r="BN378" i="1"/>
  <c r="BM378" i="1"/>
  <c r="Z378" i="1"/>
  <c r="Y378" i="1"/>
  <c r="P378" i="1"/>
  <c r="BO377" i="1"/>
  <c r="BM377" i="1"/>
  <c r="Y377" i="1"/>
  <c r="Y379" i="1" s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Y374" i="1" s="1"/>
  <c r="P372" i="1"/>
  <c r="X370" i="1"/>
  <c r="X369" i="1"/>
  <c r="BP368" i="1"/>
  <c r="BO368" i="1"/>
  <c r="BN368" i="1"/>
  <c r="BM368" i="1"/>
  <c r="Z368" i="1"/>
  <c r="Y368" i="1"/>
  <c r="P368" i="1"/>
  <c r="BO367" i="1"/>
  <c r="BM367" i="1"/>
  <c r="Y367" i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Y359" i="1" s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Y354" i="1" s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BP335" i="1" s="1"/>
  <c r="P335" i="1"/>
  <c r="BP334" i="1"/>
  <c r="BO334" i="1"/>
  <c r="BN334" i="1"/>
  <c r="BM334" i="1"/>
  <c r="Z334" i="1"/>
  <c r="Y334" i="1"/>
  <c r="Y337" i="1" s="1"/>
  <c r="P334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BP328" i="1" s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BP320" i="1"/>
  <c r="BO320" i="1"/>
  <c r="BN320" i="1"/>
  <c r="BM320" i="1"/>
  <c r="Z320" i="1"/>
  <c r="Y320" i="1"/>
  <c r="Y325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BP315" i="1" s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BP307" i="1" s="1"/>
  <c r="P307" i="1"/>
  <c r="BP306" i="1"/>
  <c r="BO306" i="1"/>
  <c r="BN306" i="1"/>
  <c r="BM306" i="1"/>
  <c r="Z306" i="1"/>
  <c r="Y306" i="1"/>
  <c r="Y312" i="1" s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P298" i="1"/>
  <c r="BO297" i="1"/>
  <c r="BM297" i="1"/>
  <c r="Y297" i="1"/>
  <c r="BP297" i="1" s="1"/>
  <c r="P297" i="1"/>
  <c r="BP296" i="1"/>
  <c r="BO296" i="1"/>
  <c r="BN296" i="1"/>
  <c r="BM296" i="1"/>
  <c r="Z296" i="1"/>
  <c r="Y296" i="1"/>
  <c r="Y304" i="1" s="1"/>
  <c r="P296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BP291" i="1" s="1"/>
  <c r="P291" i="1"/>
  <c r="BP290" i="1"/>
  <c r="BO290" i="1"/>
  <c r="BN290" i="1"/>
  <c r="BM290" i="1"/>
  <c r="Z290" i="1"/>
  <c r="Y290" i="1"/>
  <c r="P290" i="1"/>
  <c r="BO289" i="1"/>
  <c r="BM289" i="1"/>
  <c r="Y289" i="1"/>
  <c r="BP289" i="1" s="1"/>
  <c r="P289" i="1"/>
  <c r="BP288" i="1"/>
  <c r="BO288" i="1"/>
  <c r="BN288" i="1"/>
  <c r="BM288" i="1"/>
  <c r="Z288" i="1"/>
  <c r="Y288" i="1"/>
  <c r="Y293" i="1" s="1"/>
  <c r="P288" i="1"/>
  <c r="X285" i="1"/>
  <c r="Y284" i="1"/>
  <c r="X284" i="1"/>
  <c r="BP283" i="1"/>
  <c r="BO283" i="1"/>
  <c r="BN283" i="1"/>
  <c r="BM283" i="1"/>
  <c r="Z283" i="1"/>
  <c r="Z284" i="1" s="1"/>
  <c r="Y283" i="1"/>
  <c r="Y285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498" i="1" s="1"/>
  <c r="P278" i="1"/>
  <c r="X275" i="1"/>
  <c r="X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BO271" i="1"/>
  <c r="BM271" i="1"/>
  <c r="Y271" i="1"/>
  <c r="O498" i="1" s="1"/>
  <c r="P271" i="1"/>
  <c r="X268" i="1"/>
  <c r="X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P254" i="1"/>
  <c r="BO254" i="1"/>
  <c r="BN254" i="1"/>
  <c r="BM254" i="1"/>
  <c r="Z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BP246" i="1" s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K498" i="1" s="1"/>
  <c r="P224" i="1"/>
  <c r="X221" i="1"/>
  <c r="X220" i="1"/>
  <c r="BO219" i="1"/>
  <c r="BM219" i="1"/>
  <c r="Y219" i="1"/>
  <c r="BP219" i="1" s="1"/>
  <c r="P219" i="1"/>
  <c r="BP218" i="1"/>
  <c r="BO218" i="1"/>
  <c r="BN218" i="1"/>
  <c r="BM218" i="1"/>
  <c r="Z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BP197" i="1" s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Y187" i="1" s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Z174" i="1" s="1"/>
  <c r="P174" i="1"/>
  <c r="X172" i="1"/>
  <c r="X171" i="1"/>
  <c r="BO170" i="1"/>
  <c r="BM170" i="1"/>
  <c r="Y170" i="1"/>
  <c r="BP170" i="1" s="1"/>
  <c r="P170" i="1"/>
  <c r="BO169" i="1"/>
  <c r="BN169" i="1"/>
  <c r="BM169" i="1"/>
  <c r="Z169" i="1"/>
  <c r="Y169" i="1"/>
  <c r="BP169" i="1" s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Y172" i="1" s="1"/>
  <c r="P162" i="1"/>
  <c r="X160" i="1"/>
  <c r="X159" i="1"/>
  <c r="BO158" i="1"/>
  <c r="BM158" i="1"/>
  <c r="Y158" i="1"/>
  <c r="I498" i="1" s="1"/>
  <c r="P158" i="1"/>
  <c r="X154" i="1"/>
  <c r="X153" i="1"/>
  <c r="BO152" i="1"/>
  <c r="BM152" i="1"/>
  <c r="Y152" i="1"/>
  <c r="Y154" i="1" s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Y143" i="1" s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Y132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G498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Y109" i="1" s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498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6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Y88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7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8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8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2" i="1" s="1"/>
  <c r="P26" i="1"/>
  <c r="X24" i="1"/>
  <c r="X488" i="1" s="1"/>
  <c r="X23" i="1"/>
  <c r="X492" i="1" s="1"/>
  <c r="BO22" i="1"/>
  <c r="X490" i="1" s="1"/>
  <c r="BM22" i="1"/>
  <c r="X489" i="1" s="1"/>
  <c r="X491" i="1" s="1"/>
  <c r="Y22" i="1"/>
  <c r="B498" i="1" s="1"/>
  <c r="P22" i="1"/>
  <c r="H10" i="1"/>
  <c r="A9" i="1"/>
  <c r="A10" i="1" s="1"/>
  <c r="D7" i="1"/>
  <c r="Q6" i="1"/>
  <c r="P2" i="1"/>
  <c r="F9" i="1" l="1"/>
  <c r="J9" i="1"/>
  <c r="F10" i="1"/>
  <c r="Z22" i="1"/>
  <c r="Z23" i="1" s="1"/>
  <c r="BN22" i="1"/>
  <c r="BP22" i="1"/>
  <c r="Y23" i="1"/>
  <c r="Z26" i="1"/>
  <c r="Z31" i="1" s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Z43" i="1" s="1"/>
  <c r="BN40" i="1"/>
  <c r="BP40" i="1"/>
  <c r="Z42" i="1"/>
  <c r="BN42" i="1"/>
  <c r="Y43" i="1"/>
  <c r="Z46" i="1"/>
  <c r="Z47" i="1" s="1"/>
  <c r="BN46" i="1"/>
  <c r="BP46" i="1"/>
  <c r="Y47" i="1"/>
  <c r="Z51" i="1"/>
  <c r="Z57" i="1" s="1"/>
  <c r="BN51" i="1"/>
  <c r="BP51" i="1"/>
  <c r="Z53" i="1"/>
  <c r="BN53" i="1"/>
  <c r="Z55" i="1"/>
  <c r="BN55" i="1"/>
  <c r="Y58" i="1"/>
  <c r="Z61" i="1"/>
  <c r="Z63" i="1" s="1"/>
  <c r="BN61" i="1"/>
  <c r="BP61" i="1"/>
  <c r="Z67" i="1"/>
  <c r="Z69" i="1" s="1"/>
  <c r="BN67" i="1"/>
  <c r="BP67" i="1"/>
  <c r="Z73" i="1"/>
  <c r="Z76" i="1" s="1"/>
  <c r="BN73" i="1"/>
  <c r="BP73" i="1"/>
  <c r="Z75" i="1"/>
  <c r="BN75" i="1"/>
  <c r="Z79" i="1"/>
  <c r="Z81" i="1" s="1"/>
  <c r="BN79" i="1"/>
  <c r="BP79" i="1"/>
  <c r="Y82" i="1"/>
  <c r="E498" i="1"/>
  <c r="Z86" i="1"/>
  <c r="Z88" i="1" s="1"/>
  <c r="BN86" i="1"/>
  <c r="BP86" i="1"/>
  <c r="Y89" i="1"/>
  <c r="Z92" i="1"/>
  <c r="Z95" i="1" s="1"/>
  <c r="BN92" i="1"/>
  <c r="BP92" i="1"/>
  <c r="Z94" i="1"/>
  <c r="BN94" i="1"/>
  <c r="Z99" i="1"/>
  <c r="BN99" i="1"/>
  <c r="BP99" i="1"/>
  <c r="Z101" i="1"/>
  <c r="BN101" i="1"/>
  <c r="Y104" i="1"/>
  <c r="Z107" i="1"/>
  <c r="Z109" i="1" s="1"/>
  <c r="BN107" i="1"/>
  <c r="BP107" i="1"/>
  <c r="Z113" i="1"/>
  <c r="Z116" i="1" s="1"/>
  <c r="BN113" i="1"/>
  <c r="BP113" i="1"/>
  <c r="Z115" i="1"/>
  <c r="BN115" i="1"/>
  <c r="Z119" i="1"/>
  <c r="Z120" i="1" s="1"/>
  <c r="BN119" i="1"/>
  <c r="BP119" i="1"/>
  <c r="Y120" i="1"/>
  <c r="Z124" i="1"/>
  <c r="Z126" i="1" s="1"/>
  <c r="BN124" i="1"/>
  <c r="BP124" i="1"/>
  <c r="Y127" i="1"/>
  <c r="Z130" i="1"/>
  <c r="Z131" i="1" s="1"/>
  <c r="BN130" i="1"/>
  <c r="BP130" i="1"/>
  <c r="Z134" i="1"/>
  <c r="Z136" i="1" s="1"/>
  <c r="BN134" i="1"/>
  <c r="BP134" i="1"/>
  <c r="Y137" i="1"/>
  <c r="H498" i="1"/>
  <c r="Z141" i="1"/>
  <c r="Z143" i="1" s="1"/>
  <c r="BN141" i="1"/>
  <c r="BP141" i="1"/>
  <c r="Y144" i="1"/>
  <c r="Z147" i="1"/>
  <c r="Z149" i="1" s="1"/>
  <c r="BN147" i="1"/>
  <c r="BP147" i="1"/>
  <c r="Z152" i="1"/>
  <c r="Z153" i="1" s="1"/>
  <c r="BN152" i="1"/>
  <c r="BP152" i="1"/>
  <c r="Y153" i="1"/>
  <c r="Z158" i="1"/>
  <c r="Z159" i="1" s="1"/>
  <c r="BN158" i="1"/>
  <c r="BP158" i="1"/>
  <c r="Y159" i="1"/>
  <c r="Z162" i="1"/>
  <c r="Z171" i="1" s="1"/>
  <c r="BN162" i="1"/>
  <c r="BP162" i="1"/>
  <c r="Z164" i="1"/>
  <c r="BN164" i="1"/>
  <c r="Z166" i="1"/>
  <c r="BN166" i="1"/>
  <c r="Z168" i="1"/>
  <c r="BN168" i="1"/>
  <c r="Z170" i="1"/>
  <c r="BN170" i="1"/>
  <c r="Y171" i="1"/>
  <c r="BP191" i="1"/>
  <c r="BN191" i="1"/>
  <c r="Z191" i="1"/>
  <c r="Z192" i="1" s="1"/>
  <c r="Y193" i="1"/>
  <c r="Y204" i="1"/>
  <c r="BP195" i="1"/>
  <c r="BN195" i="1"/>
  <c r="Z195" i="1"/>
  <c r="Y203" i="1"/>
  <c r="H9" i="1"/>
  <c r="Y24" i="1"/>
  <c r="Y44" i="1"/>
  <c r="Y57" i="1"/>
  <c r="Y103" i="1"/>
  <c r="Y126" i="1"/>
  <c r="Y160" i="1"/>
  <c r="Y177" i="1"/>
  <c r="BP174" i="1"/>
  <c r="BN174" i="1"/>
  <c r="BP176" i="1"/>
  <c r="BN176" i="1"/>
  <c r="Z176" i="1"/>
  <c r="Z177" i="1" s="1"/>
  <c r="Y178" i="1"/>
  <c r="Y181" i="1"/>
  <c r="BP180" i="1"/>
  <c r="BN180" i="1"/>
  <c r="Z180" i="1"/>
  <c r="Z181" i="1" s="1"/>
  <c r="Y182" i="1"/>
  <c r="J498" i="1"/>
  <c r="Y188" i="1"/>
  <c r="BP185" i="1"/>
  <c r="BN185" i="1"/>
  <c r="Z185" i="1"/>
  <c r="Z187" i="1" s="1"/>
  <c r="Y215" i="1"/>
  <c r="Y221" i="1"/>
  <c r="Y234" i="1"/>
  <c r="Y250" i="1"/>
  <c r="Y259" i="1"/>
  <c r="Y268" i="1"/>
  <c r="Y275" i="1"/>
  <c r="Y280" i="1"/>
  <c r="Y303" i="1"/>
  <c r="Y311" i="1"/>
  <c r="Y317" i="1"/>
  <c r="Y324" i="1"/>
  <c r="Y330" i="1"/>
  <c r="BP346" i="1"/>
  <c r="BN346" i="1"/>
  <c r="Z346" i="1"/>
  <c r="BP358" i="1"/>
  <c r="BN358" i="1"/>
  <c r="Z358" i="1"/>
  <c r="Z359" i="1" s="1"/>
  <c r="Y360" i="1"/>
  <c r="Y363" i="1"/>
  <c r="BP362" i="1"/>
  <c r="BN362" i="1"/>
  <c r="Z362" i="1"/>
  <c r="Z363" i="1" s="1"/>
  <c r="Y364" i="1"/>
  <c r="T498" i="1"/>
  <c r="Y370" i="1"/>
  <c r="BP367" i="1"/>
  <c r="BN367" i="1"/>
  <c r="Z367" i="1"/>
  <c r="Z369" i="1" s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V498" i="1"/>
  <c r="Y403" i="1"/>
  <c r="BP402" i="1"/>
  <c r="BN402" i="1"/>
  <c r="Z402" i="1"/>
  <c r="Z403" i="1" s="1"/>
  <c r="Y404" i="1"/>
  <c r="Y411" i="1"/>
  <c r="BP406" i="1"/>
  <c r="BN406" i="1"/>
  <c r="Z406" i="1"/>
  <c r="Y410" i="1"/>
  <c r="BP421" i="1"/>
  <c r="BN421" i="1"/>
  <c r="Z421" i="1"/>
  <c r="Z197" i="1"/>
  <c r="BN197" i="1"/>
  <c r="Z199" i="1"/>
  <c r="BN199" i="1"/>
  <c r="Z201" i="1"/>
  <c r="BN201" i="1"/>
  <c r="Z207" i="1"/>
  <c r="Z215" i="1" s="1"/>
  <c r="BN207" i="1"/>
  <c r="Z209" i="1"/>
  <c r="BN209" i="1"/>
  <c r="Z211" i="1"/>
  <c r="BN211" i="1"/>
  <c r="Z213" i="1"/>
  <c r="BN213" i="1"/>
  <c r="Z219" i="1"/>
  <c r="Z220" i="1" s="1"/>
  <c r="BN219" i="1"/>
  <c r="Z224" i="1"/>
  <c r="Z234" i="1" s="1"/>
  <c r="BN224" i="1"/>
  <c r="BP224" i="1"/>
  <c r="Z226" i="1"/>
  <c r="BN226" i="1"/>
  <c r="Z228" i="1"/>
  <c r="BN228" i="1"/>
  <c r="Z230" i="1"/>
  <c r="BN230" i="1"/>
  <c r="Z232" i="1"/>
  <c r="BN232" i="1"/>
  <c r="Y235" i="1"/>
  <c r="Z246" i="1"/>
  <c r="Z250" i="1" s="1"/>
  <c r="BN246" i="1"/>
  <c r="Z248" i="1"/>
  <c r="BN248" i="1"/>
  <c r="L498" i="1"/>
  <c r="Z255" i="1"/>
  <c r="Z259" i="1" s="1"/>
  <c r="BN255" i="1"/>
  <c r="Z257" i="1"/>
  <c r="BN257" i="1"/>
  <c r="Y260" i="1"/>
  <c r="M498" i="1"/>
  <c r="Z264" i="1"/>
  <c r="Z267" i="1" s="1"/>
  <c r="BN264" i="1"/>
  <c r="Z266" i="1"/>
  <c r="BN266" i="1"/>
  <c r="Y267" i="1"/>
  <c r="Z271" i="1"/>
  <c r="Z274" i="1" s="1"/>
  <c r="BN271" i="1"/>
  <c r="BP271" i="1"/>
  <c r="Z273" i="1"/>
  <c r="BN273" i="1"/>
  <c r="Y274" i="1"/>
  <c r="Z278" i="1"/>
  <c r="Z280" i="1" s="1"/>
  <c r="BN278" i="1"/>
  <c r="BP278" i="1"/>
  <c r="Y281" i="1"/>
  <c r="Q498" i="1"/>
  <c r="Z289" i="1"/>
  <c r="Z293" i="1" s="1"/>
  <c r="BN289" i="1"/>
  <c r="Z291" i="1"/>
  <c r="BN291" i="1"/>
  <c r="Y294" i="1"/>
  <c r="Z297" i="1"/>
  <c r="Z303" i="1" s="1"/>
  <c r="BN297" i="1"/>
  <c r="Z299" i="1"/>
  <c r="BN299" i="1"/>
  <c r="Z301" i="1"/>
  <c r="BN301" i="1"/>
  <c r="Z307" i="1"/>
  <c r="Z311" i="1" s="1"/>
  <c r="BN307" i="1"/>
  <c r="Z309" i="1"/>
  <c r="BN309" i="1"/>
  <c r="Z315" i="1"/>
  <c r="Z317" i="1" s="1"/>
  <c r="BN315" i="1"/>
  <c r="Z322" i="1"/>
  <c r="Z324" i="1" s="1"/>
  <c r="BN322" i="1"/>
  <c r="Z328" i="1"/>
  <c r="Z330" i="1" s="1"/>
  <c r="BN328" i="1"/>
  <c r="R498" i="1"/>
  <c r="Y338" i="1"/>
  <c r="Z335" i="1"/>
  <c r="Z337" i="1" s="1"/>
  <c r="BN335" i="1"/>
  <c r="BP343" i="1"/>
  <c r="BN343" i="1"/>
  <c r="Z343" i="1"/>
  <c r="Z349" i="1" s="1"/>
  <c r="BP348" i="1"/>
  <c r="BN348" i="1"/>
  <c r="Z348" i="1"/>
  <c r="Y350" i="1"/>
  <c r="Y355" i="1"/>
  <c r="BP352" i="1"/>
  <c r="BN352" i="1"/>
  <c r="Z352" i="1"/>
  <c r="Z354" i="1" s="1"/>
  <c r="Y369" i="1"/>
  <c r="BP373" i="1"/>
  <c r="BN373" i="1"/>
  <c r="Z373" i="1"/>
  <c r="Z374" i="1" s="1"/>
  <c r="Y375" i="1"/>
  <c r="Y380" i="1"/>
  <c r="BP377" i="1"/>
  <c r="BN377" i="1"/>
  <c r="Z377" i="1"/>
  <c r="Z379" i="1" s="1"/>
  <c r="BP387" i="1"/>
  <c r="BN387" i="1"/>
  <c r="Z387" i="1"/>
  <c r="Z393" i="1" s="1"/>
  <c r="BP391" i="1"/>
  <c r="BN391" i="1"/>
  <c r="Z391" i="1"/>
  <c r="BP408" i="1"/>
  <c r="BN408" i="1"/>
  <c r="Z408" i="1"/>
  <c r="BP426" i="1"/>
  <c r="BN426" i="1"/>
  <c r="Z426" i="1"/>
  <c r="BP430" i="1"/>
  <c r="BN430" i="1"/>
  <c r="Z430" i="1"/>
  <c r="Y432" i="1"/>
  <c r="Y437" i="1"/>
  <c r="BP434" i="1"/>
  <c r="BN434" i="1"/>
  <c r="Z434" i="1"/>
  <c r="Y438" i="1"/>
  <c r="S498" i="1"/>
  <c r="Y349" i="1"/>
  <c r="U498" i="1"/>
  <c r="Y394" i="1"/>
  <c r="Y416" i="1"/>
  <c r="X498" i="1"/>
  <c r="Y431" i="1"/>
  <c r="BP422" i="1"/>
  <c r="BN422" i="1"/>
  <c r="BP424" i="1"/>
  <c r="BN424" i="1"/>
  <c r="Z424" i="1"/>
  <c r="BP428" i="1"/>
  <c r="BN428" i="1"/>
  <c r="Z428" i="1"/>
  <c r="BP436" i="1"/>
  <c r="BN436" i="1"/>
  <c r="Z436" i="1"/>
  <c r="Y447" i="1"/>
  <c r="BP440" i="1"/>
  <c r="BN440" i="1"/>
  <c r="Z440" i="1"/>
  <c r="BP444" i="1"/>
  <c r="BN444" i="1"/>
  <c r="Z444" i="1"/>
  <c r="Y453" i="1"/>
  <c r="BP458" i="1"/>
  <c r="BN458" i="1"/>
  <c r="Z458" i="1"/>
  <c r="Z461" i="1" s="1"/>
  <c r="BP466" i="1"/>
  <c r="BN466" i="1"/>
  <c r="Z466" i="1"/>
  <c r="Y473" i="1"/>
  <c r="BP470" i="1"/>
  <c r="BN470" i="1"/>
  <c r="Z470" i="1"/>
  <c r="Z472" i="1" s="1"/>
  <c r="Y481" i="1"/>
  <c r="BP442" i="1"/>
  <c r="BN442" i="1"/>
  <c r="Z442" i="1"/>
  <c r="Y446" i="1"/>
  <c r="BP450" i="1"/>
  <c r="BN450" i="1"/>
  <c r="Z450" i="1"/>
  <c r="Z452" i="1" s="1"/>
  <c r="BP460" i="1"/>
  <c r="BN460" i="1"/>
  <c r="Z460" i="1"/>
  <c r="Y462" i="1"/>
  <c r="Y467" i="1"/>
  <c r="BP464" i="1"/>
  <c r="BN464" i="1"/>
  <c r="Z464" i="1"/>
  <c r="Z467" i="1" s="1"/>
  <c r="BP480" i="1"/>
  <c r="BN480" i="1"/>
  <c r="Z480" i="1"/>
  <c r="Z481" i="1" s="1"/>
  <c r="Y482" i="1"/>
  <c r="Y487" i="1"/>
  <c r="Y498" i="1"/>
  <c r="Z485" i="1"/>
  <c r="Z486" i="1" s="1"/>
  <c r="BN485" i="1"/>
  <c r="BP485" i="1"/>
  <c r="Y486" i="1"/>
  <c r="Z446" i="1" l="1"/>
  <c r="Z437" i="1"/>
  <c r="Z431" i="1"/>
  <c r="Z410" i="1"/>
  <c r="Y490" i="1"/>
  <c r="Y488" i="1"/>
  <c r="Z203" i="1"/>
  <c r="Z103" i="1"/>
  <c r="Z493" i="1" s="1"/>
  <c r="Y492" i="1"/>
  <c r="Y489" i="1"/>
  <c r="Y491" i="1" s="1"/>
</calcChain>
</file>

<file path=xl/sharedStrings.xml><?xml version="1.0" encoding="utf-8"?>
<sst xmlns="http://schemas.openxmlformats.org/spreadsheetml/2006/main" count="2271" uniqueCount="762">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</sst>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5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0"/>
      <c r="F1" s="570"/>
      <c r="G1" s="12" t="s">
        <v>1</v>
      </c>
      <c r="H1" s="615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56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8</v>
      </c>
      <c r="B5" s="629"/>
      <c r="C5" s="630"/>
      <c r="D5" s="617"/>
      <c r="E5" s="618"/>
      <c r="F5" s="823" t="s">
        <v>9</v>
      </c>
      <c r="G5" s="630"/>
      <c r="H5" s="617"/>
      <c r="I5" s="762"/>
      <c r="J5" s="762"/>
      <c r="K5" s="762"/>
      <c r="L5" s="762"/>
      <c r="M5" s="618"/>
      <c r="N5" s="58"/>
      <c r="P5" s="24" t="s">
        <v>10</v>
      </c>
      <c r="Q5" s="837">
        <v>45971</v>
      </c>
      <c r="R5" s="651"/>
      <c r="T5" s="699" t="s">
        <v>11</v>
      </c>
      <c r="U5" s="700"/>
      <c r="V5" s="701" t="s">
        <v>12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13</v>
      </c>
      <c r="B6" s="629"/>
      <c r="C6" s="630"/>
      <c r="D6" s="765" t="s">
        <v>14</v>
      </c>
      <c r="E6" s="766"/>
      <c r="F6" s="766"/>
      <c r="G6" s="766"/>
      <c r="H6" s="766"/>
      <c r="I6" s="766"/>
      <c r="J6" s="766"/>
      <c r="K6" s="766"/>
      <c r="L6" s="766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16</v>
      </c>
      <c r="U6" s="700"/>
      <c r="V6" s="748" t="s">
        <v>17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5" t="str">
        <f>IFERROR(VLOOKUP(DeliveryAddress,Table,3,0),1)</f>
        <v>1</v>
      </c>
      <c r="E7" s="596"/>
      <c r="F7" s="596"/>
      <c r="G7" s="596"/>
      <c r="H7" s="596"/>
      <c r="I7" s="596"/>
      <c r="J7" s="596"/>
      <c r="K7" s="596"/>
      <c r="L7" s="596"/>
      <c r="M7" s="597"/>
      <c r="N7" s="60"/>
      <c r="P7" s="24"/>
      <c r="Q7" s="42"/>
      <c r="R7" s="42"/>
      <c r="T7" s="553"/>
      <c r="U7" s="700"/>
      <c r="V7" s="749"/>
      <c r="W7" s="750"/>
      <c r="AB7" s="51"/>
      <c r="AC7" s="51"/>
      <c r="AD7" s="51"/>
      <c r="AE7" s="51"/>
    </row>
    <row r="8" spans="1:32" s="533" customFormat="1" ht="25.5" customHeight="1" x14ac:dyDescent="0.2">
      <c r="A8" s="858" t="s">
        <v>18</v>
      </c>
      <c r="B8" s="558"/>
      <c r="C8" s="559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59">
        <v>0.41666666666666669</v>
      </c>
      <c r="R8" s="597"/>
      <c r="T8" s="553"/>
      <c r="U8" s="700"/>
      <c r="V8" s="749"/>
      <c r="W8" s="750"/>
      <c r="AB8" s="51"/>
      <c r="AC8" s="51"/>
      <c r="AD8" s="51"/>
      <c r="AE8" s="51"/>
    </row>
    <row r="9" spans="1:32" s="533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70"/>
      <c r="E9" s="556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21</v>
      </c>
      <c r="Q9" s="648"/>
      <c r="R9" s="649"/>
      <c r="T9" s="553"/>
      <c r="U9" s="700"/>
      <c r="V9" s="751"/>
      <c r="W9" s="752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70"/>
      <c r="E10" s="556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2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22</v>
      </c>
      <c r="Q10" s="705"/>
      <c r="R10" s="706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8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29</v>
      </c>
      <c r="B12" s="629"/>
      <c r="C12" s="629"/>
      <c r="D12" s="629"/>
      <c r="E12" s="629"/>
      <c r="F12" s="629"/>
      <c r="G12" s="629"/>
      <c r="H12" s="629"/>
      <c r="I12" s="629"/>
      <c r="J12" s="629"/>
      <c r="K12" s="629"/>
      <c r="L12" s="629"/>
      <c r="M12" s="630"/>
      <c r="N12" s="62"/>
      <c r="P12" s="24" t="s">
        <v>30</v>
      </c>
      <c r="Q12" s="659"/>
      <c r="R12" s="597"/>
      <c r="S12" s="23"/>
      <c r="U12" s="24"/>
      <c r="V12" s="570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31</v>
      </c>
      <c r="B13" s="629"/>
      <c r="C13" s="629"/>
      <c r="D13" s="629"/>
      <c r="E13" s="629"/>
      <c r="F13" s="629"/>
      <c r="G13" s="629"/>
      <c r="H13" s="629"/>
      <c r="I13" s="629"/>
      <c r="J13" s="629"/>
      <c r="K13" s="629"/>
      <c r="L13" s="629"/>
      <c r="M13" s="630"/>
      <c r="N13" s="62"/>
      <c r="O13" s="26"/>
      <c r="P13" s="26" t="s">
        <v>32</v>
      </c>
      <c r="Q13" s="788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33</v>
      </c>
      <c r="B14" s="629"/>
      <c r="C14" s="629"/>
      <c r="D14" s="629"/>
      <c r="E14" s="629"/>
      <c r="F14" s="629"/>
      <c r="G14" s="629"/>
      <c r="H14" s="629"/>
      <c r="I14" s="629"/>
      <c r="J14" s="629"/>
      <c r="K14" s="629"/>
      <c r="L14" s="629"/>
      <c r="M14" s="63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9" t="s">
        <v>34</v>
      </c>
      <c r="B15" s="629"/>
      <c r="C15" s="629"/>
      <c r="D15" s="629"/>
      <c r="E15" s="629"/>
      <c r="F15" s="629"/>
      <c r="G15" s="629"/>
      <c r="H15" s="629"/>
      <c r="I15" s="629"/>
      <c r="J15" s="629"/>
      <c r="K15" s="629"/>
      <c r="L15" s="629"/>
      <c r="M15" s="630"/>
      <c r="N15" s="63"/>
      <c r="P15" s="681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7" t="s">
        <v>38</v>
      </c>
      <c r="D17" s="581" t="s">
        <v>39</v>
      </c>
      <c r="E17" s="63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5"/>
      <c r="R17" s="635"/>
      <c r="S17" s="635"/>
      <c r="T17" s="636"/>
      <c r="U17" s="854" t="s">
        <v>51</v>
      </c>
      <c r="V17" s="630"/>
      <c r="W17" s="581" t="s">
        <v>52</v>
      </c>
      <c r="X17" s="581" t="s">
        <v>53</v>
      </c>
      <c r="Y17" s="855" t="s">
        <v>54</v>
      </c>
      <c r="Z17" s="760" t="s">
        <v>55</v>
      </c>
      <c r="AA17" s="739" t="s">
        <v>56</v>
      </c>
      <c r="AB17" s="739" t="s">
        <v>57</v>
      </c>
      <c r="AC17" s="739" t="s">
        <v>58</v>
      </c>
      <c r="AD17" s="739" t="s">
        <v>59</v>
      </c>
      <c r="AE17" s="817"/>
      <c r="AF17" s="818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82"/>
      <c r="X18" s="582"/>
      <c r="Y18" s="856"/>
      <c r="Z18" s="761"/>
      <c r="AA18" s="740"/>
      <c r="AB18" s="740"/>
      <c r="AC18" s="740"/>
      <c r="AD18" s="819"/>
      <c r="AE18" s="820"/>
      <c r="AF18" s="821"/>
      <c r="AG18" s="66"/>
      <c r="BD18" s="65"/>
    </row>
    <row r="19" spans="1:68" ht="27.75" customHeight="1" x14ac:dyDescent="0.2">
      <c r="A19" s="693" t="s">
        <v>63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63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64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6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7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7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73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6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7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7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91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6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7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7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97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98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99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69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69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6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7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1">
        <f>IFERROR(X40/H40,"0")+IFERROR(X41/H41,"0")+IFERROR(X42/H42,"0")</f>
        <v>0</v>
      </c>
      <c r="Y43" s="541">
        <f>IFERROR(Y40/H40,"0")+IFERROR(Y41/H41,"0")+IFERROR(Y42/H42,"0")</f>
        <v>0</v>
      </c>
      <c r="Z43" s="541">
        <f>IFERROR(IF(Z40="",0,Z40),"0")+IFERROR(IF(Z41="",0,Z41),"0")+IFERROR(IF(Z42="",0,Z42),"0")</f>
        <v>0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7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1">
        <f>IFERROR(SUM(X40:X42),"0")</f>
        <v>0</v>
      </c>
      <c r="Y44" s="541">
        <f>IFERROR(SUM(Y40:Y42),"0")</f>
        <v>0</v>
      </c>
      <c r="Z44" s="37"/>
      <c r="AA44" s="542"/>
      <c r="AB44" s="542"/>
      <c r="AC44" s="542"/>
    </row>
    <row r="45" spans="1:68" ht="14.25" customHeight="1" x14ac:dyDescent="0.25">
      <c r="A45" s="554" t="s">
        <v>73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6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7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7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116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99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69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6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7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1">
        <f>IFERROR(X51/H51,"0")+IFERROR(X52/H52,"0")+IFERROR(X53/H53,"0")+IFERROR(X54/H54,"0")+IFERROR(X55/H55,"0")+IFERROR(X56/H56,"0")</f>
        <v>0</v>
      </c>
      <c r="Y57" s="541">
        <f>IFERROR(Y51/H51,"0")+IFERROR(Y52/H52,"0")+IFERROR(Y53/H53,"0")+IFERROR(Y54/H54,"0")+IFERROR(Y55/H55,"0")+IFERROR(Y56/H56,"0")</f>
        <v>0</v>
      </c>
      <c r="Z57" s="541">
        <f>IFERROR(IF(Z51="",0,Z51),"0")+IFERROR(IF(Z52="",0,Z52),"0")+IFERROR(IF(Z53="",0,Z53),"0")+IFERROR(IF(Z54="",0,Z54),"0")+IFERROR(IF(Z55="",0,Z55),"0")+IFERROR(IF(Z56="",0,Z56),"0")</f>
        <v>0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7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1">
        <f>IFERROR(SUM(X51:X56),"0")</f>
        <v>0</v>
      </c>
      <c r="Y58" s="541">
        <f>IFERROR(SUM(Y51:Y56),"0")</f>
        <v>0</v>
      </c>
      <c r="Z58" s="37"/>
      <c r="AA58" s="542"/>
      <c r="AB58" s="542"/>
      <c r="AC58" s="542"/>
    </row>
    <row r="59" spans="1:68" ht="14.25" customHeight="1" x14ac:dyDescent="0.25">
      <c r="A59" s="554" t="s">
        <v>135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69</v>
      </c>
      <c r="X60" s="539">
        <v>0</v>
      </c>
      <c r="Y60" s="54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6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7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1">
        <f>IFERROR(X60/H60,"0")+IFERROR(X61/H61,"0")+IFERROR(X62/H62,"0")</f>
        <v>0</v>
      </c>
      <c r="Y63" s="541">
        <f>IFERROR(Y60/H60,"0")+IFERROR(Y61/H61,"0")+IFERROR(Y62/H62,"0")</f>
        <v>0</v>
      </c>
      <c r="Z63" s="541">
        <f>IFERROR(IF(Z60="",0,Z60),"0")+IFERROR(IF(Z61="",0,Z61),"0")+IFERROR(IF(Z62="",0,Z62),"0")</f>
        <v>0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7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1">
        <f>IFERROR(SUM(X60:X62),"0")</f>
        <v>0</v>
      </c>
      <c r="Y64" s="541">
        <f>IFERROR(SUM(Y60:Y62),"0")</f>
        <v>0</v>
      </c>
      <c r="Z64" s="37"/>
      <c r="AA64" s="542"/>
      <c r="AB64" s="542"/>
      <c r="AC64" s="542"/>
    </row>
    <row r="65" spans="1:68" ht="14.25" customHeight="1" x14ac:dyDescent="0.25">
      <c r="A65" s="554" t="s">
        <v>64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6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7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7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73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6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7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7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163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6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7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7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customHeight="1" x14ac:dyDescent="0.25">
      <c r="A83" s="552" t="s">
        <v>170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99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69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69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6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7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1">
        <f>IFERROR(X85/H85,"0")+IFERROR(X86/H86,"0")+IFERROR(X87/H87,"0")</f>
        <v>0</v>
      </c>
      <c r="Y88" s="541">
        <f>IFERROR(Y85/H85,"0")+IFERROR(Y86/H86,"0")+IFERROR(Y87/H87,"0")</f>
        <v>0</v>
      </c>
      <c r="Z88" s="541">
        <f>IFERROR(IF(Z85="",0,Z85),"0")+IFERROR(IF(Z86="",0,Z86),"0")+IFERROR(IF(Z87="",0,Z87),"0")</f>
        <v>0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7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1">
        <f>IFERROR(SUM(X85:X87),"0")</f>
        <v>0</v>
      </c>
      <c r="Y89" s="541">
        <f>IFERROR(SUM(Y85:Y87),"0")</f>
        <v>0</v>
      </c>
      <c r="Z89" s="37"/>
      <c r="AA89" s="542"/>
      <c r="AB89" s="542"/>
      <c r="AC89" s="542"/>
    </row>
    <row r="90" spans="1:68" ht="14.25" customHeight="1" x14ac:dyDescent="0.25">
      <c r="A90" s="554" t="s">
        <v>73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69</v>
      </c>
      <c r="X91" s="539">
        <v>78</v>
      </c>
      <c r="Y91" s="540">
        <f>IFERROR(IF(X91="",0,CEILING((X91/$H91),1)*$H91),"")</f>
        <v>81</v>
      </c>
      <c r="Z91" s="36">
        <f>IFERROR(IF(Y91=0,"",ROUNDUP(Y91/H91,0)*0.01898),"")</f>
        <v>0.1898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82.757037037037037</v>
      </c>
      <c r="BN91" s="64">
        <f>IFERROR(Y91*I91/H91,"0")</f>
        <v>85.94</v>
      </c>
      <c r="BO91" s="64">
        <f>IFERROR(1/J91*(X91/H91),"0")</f>
        <v>0.15046296296296297</v>
      </c>
      <c r="BP91" s="64">
        <f>IFERROR(1/J91*(Y91/H91),"0")</f>
        <v>0.15625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69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6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7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1">
        <f>IFERROR(X91/H91,"0")+IFERROR(X92/H92,"0")+IFERROR(X93/H93,"0")+IFERROR(X94/H94,"0")</f>
        <v>9.6296296296296298</v>
      </c>
      <c r="Y95" s="541">
        <f>IFERROR(Y91/H91,"0")+IFERROR(Y92/H92,"0")+IFERROR(Y93/H93,"0")+IFERROR(Y94/H94,"0")</f>
        <v>10</v>
      </c>
      <c r="Z95" s="541">
        <f>IFERROR(IF(Z91="",0,Z91),"0")+IFERROR(IF(Z92="",0,Z92),"0")+IFERROR(IF(Z93="",0,Z93),"0")+IFERROR(IF(Z94="",0,Z94),"0")</f>
        <v>0.1898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7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1">
        <f>IFERROR(SUM(X91:X94),"0")</f>
        <v>78</v>
      </c>
      <c r="Y96" s="541">
        <f>IFERROR(SUM(Y91:Y94),"0")</f>
        <v>81</v>
      </c>
      <c r="Z96" s="37"/>
      <c r="AA96" s="542"/>
      <c r="AB96" s="542"/>
      <c r="AC96" s="542"/>
    </row>
    <row r="97" spans="1:68" ht="16.5" customHeight="1" x14ac:dyDescent="0.25">
      <c r="A97" s="552" t="s">
        <v>190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99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69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69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6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7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1">
        <f>IFERROR(X99/H99,"0")+IFERROR(X100/H100,"0")+IFERROR(X101/H101,"0")+IFERROR(X102/H102,"0")</f>
        <v>0</v>
      </c>
      <c r="Y103" s="541">
        <f>IFERROR(Y99/H99,"0")+IFERROR(Y100/H100,"0")+IFERROR(Y101/H101,"0")+IFERROR(Y102/H102,"0")</f>
        <v>0</v>
      </c>
      <c r="Z103" s="541">
        <f>IFERROR(IF(Z99="",0,Z99),"0")+IFERROR(IF(Z100="",0,Z100),"0")+IFERROR(IF(Z101="",0,Z101),"0")+IFERROR(IF(Z102="",0,Z102),"0")</f>
        <v>0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7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1">
        <f>IFERROR(SUM(X99:X102),"0")</f>
        <v>0</v>
      </c>
      <c r="Y104" s="541">
        <f>IFERROR(SUM(Y99:Y102),"0")</f>
        <v>0</v>
      </c>
      <c r="Z104" s="37"/>
      <c r="AA104" s="542"/>
      <c r="AB104" s="542"/>
      <c r="AC104" s="542"/>
    </row>
    <row r="105" spans="1:68" ht="14.25" customHeight="1" x14ac:dyDescent="0.25">
      <c r="A105" s="554" t="s">
        <v>135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6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7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7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customHeight="1" x14ac:dyDescent="0.25">
      <c r="A111" s="554" t="s">
        <v>73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69</v>
      </c>
      <c r="X112" s="539">
        <v>105</v>
      </c>
      <c r="Y112" s="540">
        <f>IFERROR(IF(X112="",0,CEILING((X112/$H112),1)*$H112),"")</f>
        <v>105.3</v>
      </c>
      <c r="Z112" s="36">
        <f>IFERROR(IF(Y112=0,"",ROUNDUP(Y112/H112,0)*0.01898),"")</f>
        <v>0.24674000000000001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111.32592592592592</v>
      </c>
      <c r="BN112" s="64">
        <f>IFERROR(Y112*I112/H112,"0")</f>
        <v>111.64399999999999</v>
      </c>
      <c r="BO112" s="64">
        <f>IFERROR(1/J112*(X112/H112),"0")</f>
        <v>0.20254629629629631</v>
      </c>
      <c r="BP112" s="64">
        <f>IFERROR(1/J112*(Y112/H112),"0")</f>
        <v>0.203125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79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69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6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7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1">
        <f>IFERROR(X112/H112,"0")+IFERROR(X113/H113,"0")+IFERROR(X114/H114,"0")+IFERROR(X115/H115,"0")</f>
        <v>12.962962962962964</v>
      </c>
      <c r="Y116" s="541">
        <f>IFERROR(Y112/H112,"0")+IFERROR(Y113/H113,"0")+IFERROR(Y114/H114,"0")+IFERROR(Y115/H115,"0")</f>
        <v>13</v>
      </c>
      <c r="Z116" s="541">
        <f>IFERROR(IF(Z112="",0,Z112),"0")+IFERROR(IF(Z113="",0,Z113),"0")+IFERROR(IF(Z114="",0,Z114),"0")+IFERROR(IF(Z115="",0,Z115),"0")</f>
        <v>0.24674000000000001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7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1">
        <f>IFERROR(SUM(X112:X115),"0")</f>
        <v>105</v>
      </c>
      <c r="Y117" s="541">
        <f>IFERROR(SUM(Y112:Y115),"0")</f>
        <v>105.3</v>
      </c>
      <c r="Z117" s="37"/>
      <c r="AA117" s="542"/>
      <c r="AB117" s="542"/>
      <c r="AC117" s="542"/>
    </row>
    <row r="118" spans="1:68" ht="14.25" customHeight="1" x14ac:dyDescent="0.25">
      <c r="A118" s="554" t="s">
        <v>163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6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7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7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220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99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5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6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7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7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54" t="s">
        <v>64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6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7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7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73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6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7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7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52" t="s">
        <v>97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99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6">
        <v>4680115886810</v>
      </c>
      <c r="E142" s="547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4"/>
      <c r="R142" s="544"/>
      <c r="S142" s="544"/>
      <c r="T142" s="545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6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7"/>
      <c r="P143" s="557" t="s">
        <v>71</v>
      </c>
      <c r="Q143" s="558"/>
      <c r="R143" s="558"/>
      <c r="S143" s="558"/>
      <c r="T143" s="558"/>
      <c r="U143" s="558"/>
      <c r="V143" s="559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x14ac:dyDescent="0.2">
      <c r="A144" s="553"/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67"/>
      <c r="P144" s="557" t="s">
        <v>71</v>
      </c>
      <c r="Q144" s="558"/>
      <c r="R144" s="558"/>
      <c r="S144" s="558"/>
      <c r="T144" s="558"/>
      <c r="U144" s="558"/>
      <c r="V144" s="559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customHeight="1" x14ac:dyDescent="0.25">
      <c r="A145" s="554" t="s">
        <v>64</v>
      </c>
      <c r="B145" s="553"/>
      <c r="C145" s="553"/>
      <c r="D145" s="553"/>
      <c r="E145" s="553"/>
      <c r="F145" s="553"/>
      <c r="G145" s="553"/>
      <c r="H145" s="553"/>
      <c r="I145" s="553"/>
      <c r="J145" s="553"/>
      <c r="K145" s="553"/>
      <c r="L145" s="553"/>
      <c r="M145" s="553"/>
      <c r="N145" s="553"/>
      <c r="O145" s="553"/>
      <c r="P145" s="553"/>
      <c r="Q145" s="553"/>
      <c r="R145" s="553"/>
      <c r="S145" s="553"/>
      <c r="T145" s="553"/>
      <c r="U145" s="553"/>
      <c r="V145" s="553"/>
      <c r="W145" s="553"/>
      <c r="X145" s="553"/>
      <c r="Y145" s="553"/>
      <c r="Z145" s="553"/>
      <c r="AA145" s="535"/>
      <c r="AB145" s="535"/>
      <c r="AC145" s="535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6">
        <v>4607091387667</v>
      </c>
      <c r="E146" s="547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6">
        <v>4607091387636</v>
      </c>
      <c r="E147" s="547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6">
        <v>4607091382426</v>
      </c>
      <c r="E148" s="547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4"/>
      <c r="R148" s="544"/>
      <c r="S148" s="544"/>
      <c r="T148" s="545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66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7"/>
      <c r="P149" s="557" t="s">
        <v>71</v>
      </c>
      <c r="Q149" s="558"/>
      <c r="R149" s="558"/>
      <c r="S149" s="558"/>
      <c r="T149" s="558"/>
      <c r="U149" s="558"/>
      <c r="V149" s="559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x14ac:dyDescent="0.2">
      <c r="A150" s="553"/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67"/>
      <c r="P150" s="557" t="s">
        <v>71</v>
      </c>
      <c r="Q150" s="558"/>
      <c r="R150" s="558"/>
      <c r="S150" s="558"/>
      <c r="T150" s="558"/>
      <c r="U150" s="558"/>
      <c r="V150" s="559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customHeight="1" x14ac:dyDescent="0.25">
      <c r="A151" s="554" t="s">
        <v>73</v>
      </c>
      <c r="B151" s="553"/>
      <c r="C151" s="553"/>
      <c r="D151" s="553"/>
      <c r="E151" s="553"/>
      <c r="F151" s="553"/>
      <c r="G151" s="553"/>
      <c r="H151" s="553"/>
      <c r="I151" s="553"/>
      <c r="J151" s="553"/>
      <c r="K151" s="553"/>
      <c r="L151" s="553"/>
      <c r="M151" s="553"/>
      <c r="N151" s="553"/>
      <c r="O151" s="553"/>
      <c r="P151" s="553"/>
      <c r="Q151" s="553"/>
      <c r="R151" s="553"/>
      <c r="S151" s="553"/>
      <c r="T151" s="553"/>
      <c r="U151" s="553"/>
      <c r="V151" s="553"/>
      <c r="W151" s="553"/>
      <c r="X151" s="553"/>
      <c r="Y151" s="553"/>
      <c r="Z151" s="553"/>
      <c r="AA151" s="535"/>
      <c r="AB151" s="535"/>
      <c r="AC151" s="535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6">
        <v>4680115887459</v>
      </c>
      <c r="E152" s="547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8" t="s">
        <v>252</v>
      </c>
      <c r="Q152" s="544"/>
      <c r="R152" s="544"/>
      <c r="S152" s="544"/>
      <c r="T152" s="545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66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7"/>
      <c r="P153" s="557" t="s">
        <v>71</v>
      </c>
      <c r="Q153" s="558"/>
      <c r="R153" s="558"/>
      <c r="S153" s="558"/>
      <c r="T153" s="558"/>
      <c r="U153" s="558"/>
      <c r="V153" s="559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x14ac:dyDescent="0.2">
      <c r="A154" s="553"/>
      <c r="B154" s="553"/>
      <c r="C154" s="553"/>
      <c r="D154" s="553"/>
      <c r="E154" s="553"/>
      <c r="F154" s="553"/>
      <c r="G154" s="553"/>
      <c r="H154" s="553"/>
      <c r="I154" s="553"/>
      <c r="J154" s="553"/>
      <c r="K154" s="553"/>
      <c r="L154" s="553"/>
      <c r="M154" s="553"/>
      <c r="N154" s="553"/>
      <c r="O154" s="567"/>
      <c r="P154" s="557" t="s">
        <v>71</v>
      </c>
      <c r="Q154" s="558"/>
      <c r="R154" s="558"/>
      <c r="S154" s="558"/>
      <c r="T154" s="558"/>
      <c r="U154" s="558"/>
      <c r="V154" s="559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customHeight="1" x14ac:dyDescent="0.2">
      <c r="A155" s="693" t="s">
        <v>255</v>
      </c>
      <c r="B155" s="694"/>
      <c r="C155" s="694"/>
      <c r="D155" s="694"/>
      <c r="E155" s="694"/>
      <c r="F155" s="694"/>
      <c r="G155" s="694"/>
      <c r="H155" s="694"/>
      <c r="I155" s="694"/>
      <c r="J155" s="694"/>
      <c r="K155" s="694"/>
      <c r="L155" s="694"/>
      <c r="M155" s="694"/>
      <c r="N155" s="694"/>
      <c r="O155" s="694"/>
      <c r="P155" s="694"/>
      <c r="Q155" s="694"/>
      <c r="R155" s="694"/>
      <c r="S155" s="694"/>
      <c r="T155" s="694"/>
      <c r="U155" s="694"/>
      <c r="V155" s="694"/>
      <c r="W155" s="694"/>
      <c r="X155" s="694"/>
      <c r="Y155" s="694"/>
      <c r="Z155" s="694"/>
      <c r="AA155" s="48"/>
      <c r="AB155" s="48"/>
      <c r="AC155" s="48"/>
    </row>
    <row r="156" spans="1:68" ht="16.5" customHeight="1" x14ac:dyDescent="0.25">
      <c r="A156" s="552" t="s">
        <v>256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4"/>
      <c r="AB156" s="534"/>
      <c r="AC156" s="534"/>
    </row>
    <row r="157" spans="1:68" ht="14.25" customHeight="1" x14ac:dyDescent="0.25">
      <c r="A157" s="554" t="s">
        <v>135</v>
      </c>
      <c r="B157" s="553"/>
      <c r="C157" s="553"/>
      <c r="D157" s="553"/>
      <c r="E157" s="553"/>
      <c r="F157" s="553"/>
      <c r="G157" s="553"/>
      <c r="H157" s="553"/>
      <c r="I157" s="553"/>
      <c r="J157" s="553"/>
      <c r="K157" s="553"/>
      <c r="L157" s="553"/>
      <c r="M157" s="553"/>
      <c r="N157" s="553"/>
      <c r="O157" s="553"/>
      <c r="P157" s="553"/>
      <c r="Q157" s="553"/>
      <c r="R157" s="553"/>
      <c r="S157" s="553"/>
      <c r="T157" s="553"/>
      <c r="U157" s="553"/>
      <c r="V157" s="553"/>
      <c r="W157" s="553"/>
      <c r="X157" s="553"/>
      <c r="Y157" s="553"/>
      <c r="Z157" s="553"/>
      <c r="AA157" s="535"/>
      <c r="AB157" s="535"/>
      <c r="AC157" s="535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6">
        <v>4680115886223</v>
      </c>
      <c r="E158" s="547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4"/>
      <c r="R158" s="544"/>
      <c r="S158" s="544"/>
      <c r="T158" s="545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66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7"/>
      <c r="P159" s="557" t="s">
        <v>71</v>
      </c>
      <c r="Q159" s="558"/>
      <c r="R159" s="558"/>
      <c r="S159" s="558"/>
      <c r="T159" s="558"/>
      <c r="U159" s="558"/>
      <c r="V159" s="559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x14ac:dyDescent="0.2">
      <c r="A160" s="553"/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67"/>
      <c r="P160" s="557" t="s">
        <v>71</v>
      </c>
      <c r="Q160" s="558"/>
      <c r="R160" s="558"/>
      <c r="S160" s="558"/>
      <c r="T160" s="558"/>
      <c r="U160" s="558"/>
      <c r="V160" s="559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customHeight="1" x14ac:dyDescent="0.25">
      <c r="A161" s="554" t="s">
        <v>64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46">
        <v>4680115880993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4"/>
      <c r="R162" s="544"/>
      <c r="S162" s="544"/>
      <c r="T162" s="545"/>
      <c r="U162" s="34"/>
      <c r="V162" s="34"/>
      <c r="W162" s="35" t="s">
        <v>69</v>
      </c>
      <c r="X162" s="539">
        <v>0</v>
      </c>
      <c r="Y162" s="540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262</v>
      </c>
      <c r="AG162" s="64"/>
      <c r="AJ162" s="68"/>
      <c r="AK162" s="68">
        <v>0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customHeight="1" x14ac:dyDescent="0.25">
      <c r="A163" s="54" t="s">
        <v>263</v>
      </c>
      <c r="B163" s="54" t="s">
        <v>264</v>
      </c>
      <c r="C163" s="31">
        <v>4301031204</v>
      </c>
      <c r="D163" s="546">
        <v>4680115881761</v>
      </c>
      <c r="E163" s="547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69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6">
        <v>4680115881563</v>
      </c>
      <c r="E164" s="547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110</v>
      </c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4"/>
      <c r="R164" s="544"/>
      <c r="S164" s="544"/>
      <c r="T164" s="545"/>
      <c r="U164" s="34"/>
      <c r="V164" s="34"/>
      <c r="W164" s="35" t="s">
        <v>69</v>
      </c>
      <c r="X164" s="539">
        <v>0</v>
      </c>
      <c r="Y164" s="540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46">
        <v>4680115880986</v>
      </c>
      <c r="E165" s="547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4"/>
      <c r="R165" s="544"/>
      <c r="S165" s="544"/>
      <c r="T165" s="545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69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6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7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0</v>
      </c>
      <c r="Y171" s="541">
        <f>IFERROR(Y162/H162,"0")+IFERROR(Y163/H163,"0")+IFERROR(Y164/H164,"0")+IFERROR(Y165/H165,"0")+IFERROR(Y166/H166,"0")+IFERROR(Y167/H167,"0")+IFERROR(Y168/H168,"0")+IFERROR(Y169/H169,"0")+IFERROR(Y170/H170,"0")</f>
        <v>0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7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1">
        <f>IFERROR(SUM(X162:X170),"0")</f>
        <v>0</v>
      </c>
      <c r="Y172" s="541">
        <f>IFERROR(SUM(Y162:Y170),"0")</f>
        <v>0</v>
      </c>
      <c r="Z172" s="37"/>
      <c r="AA172" s="542"/>
      <c r="AB172" s="542"/>
      <c r="AC172" s="542"/>
    </row>
    <row r="173" spans="1:68" ht="14.25" customHeight="1" x14ac:dyDescent="0.25">
      <c r="A173" s="554" t="s">
        <v>91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69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69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6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7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7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customHeight="1" x14ac:dyDescent="0.25">
      <c r="A179" s="554" t="s">
        <v>294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69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66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7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7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customHeight="1" x14ac:dyDescent="0.25">
      <c r="A183" s="552" t="s">
        <v>297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99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 t="s">
        <v>186</v>
      </c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106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6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7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7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135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7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6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7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7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69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69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69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69</v>
      </c>
      <c r="X198" s="539">
        <v>0</v>
      </c>
      <c r="Y198" s="540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69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69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69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6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7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0</v>
      </c>
      <c r="Y203" s="541">
        <f>IFERROR(Y195/H195,"0")+IFERROR(Y196/H196,"0")+IFERROR(Y197/H197,"0")+IFERROR(Y198/H198,"0")+IFERROR(Y199/H199,"0")+IFERROR(Y200/H200,"0")+IFERROR(Y201/H201,"0")+IFERROR(Y202/H202,"0")</f>
        <v>0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7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1">
        <f>IFERROR(SUM(X195:X202),"0")</f>
        <v>0</v>
      </c>
      <c r="Y204" s="541">
        <f>IFERROR(SUM(Y195:Y202),"0")</f>
        <v>0</v>
      </c>
      <c r="Z204" s="37"/>
      <c r="AA204" s="542"/>
      <c r="AB204" s="542"/>
      <c r="AC204" s="542"/>
    </row>
    <row r="205" spans="1:68" ht="14.25" customHeight="1" x14ac:dyDescent="0.25">
      <c r="A205" s="554" t="s">
        <v>73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69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9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69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69</v>
      </c>
      <c r="X211" s="539">
        <v>76</v>
      </c>
      <c r="Y211" s="540">
        <f t="shared" si="15"/>
        <v>76.8</v>
      </c>
      <c r="Z211" s="36">
        <f t="shared" si="20"/>
        <v>0.20832000000000001</v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83.980000000000018</v>
      </c>
      <c r="BN211" s="64">
        <f t="shared" si="17"/>
        <v>84.864000000000004</v>
      </c>
      <c r="BO211" s="64">
        <f t="shared" si="18"/>
        <v>0.17399267399267401</v>
      </c>
      <c r="BP211" s="64">
        <f t="shared" si="19"/>
        <v>0.17582417582417584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69</v>
      </c>
      <c r="X212" s="539">
        <v>68</v>
      </c>
      <c r="Y212" s="540">
        <f t="shared" si="15"/>
        <v>69.599999999999994</v>
      </c>
      <c r="Z212" s="36">
        <f t="shared" si="20"/>
        <v>0.18879000000000001</v>
      </c>
      <c r="AA212" s="56"/>
      <c r="AB212" s="57"/>
      <c r="AC212" s="255" t="s">
        <v>336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75.140000000000015</v>
      </c>
      <c r="BN212" s="64">
        <f t="shared" si="17"/>
        <v>76.908000000000001</v>
      </c>
      <c r="BO212" s="64">
        <f t="shared" si="18"/>
        <v>0.15567765567765571</v>
      </c>
      <c r="BP212" s="64">
        <f t="shared" si="19"/>
        <v>0.15934065934065936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69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69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66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7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60</v>
      </c>
      <c r="Y215" s="541">
        <f>IFERROR(Y206/H206,"0")+IFERROR(Y207/H207,"0")+IFERROR(Y208/H208,"0")+IFERROR(Y209/H209,"0")+IFERROR(Y210/H210,"0")+IFERROR(Y211/H211,"0")+IFERROR(Y212/H212,"0")+IFERROR(Y213/H213,"0")+IFERROR(Y214/H214,"0")</f>
        <v>61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0.39711000000000002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7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1">
        <f>IFERROR(SUM(X206:X214),"0")</f>
        <v>144</v>
      </c>
      <c r="Y216" s="541">
        <f>IFERROR(SUM(Y206:Y214),"0")</f>
        <v>146.39999999999998</v>
      </c>
      <c r="Z216" s="37"/>
      <c r="AA216" s="542"/>
      <c r="AB216" s="542"/>
      <c r="AC216" s="542"/>
    </row>
    <row r="217" spans="1:68" ht="14.25" customHeight="1" x14ac:dyDescent="0.25">
      <c r="A217" s="554" t="s">
        <v>163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69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69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6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7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7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customHeight="1" x14ac:dyDescent="0.25">
      <c r="A222" s="552" t="s">
        <v>357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99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358</v>
      </c>
      <c r="B224" s="54" t="s">
        <v>359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/>
      <c r="M224" s="33" t="s">
        <v>104</v>
      </c>
      <c r="N224" s="33"/>
      <c r="O224" s="32">
        <v>55</v>
      </c>
      <c r="P224" s="7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367</v>
      </c>
      <c r="B227" s="54" t="s">
        <v>368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367</v>
      </c>
      <c r="B228" s="54" t="s">
        <v>369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370</v>
      </c>
      <c r="B229" s="54" t="s">
        <v>371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373</v>
      </c>
      <c r="B230" s="54" t="s">
        <v>374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377</v>
      </c>
      <c r="B233" s="54" t="s">
        <v>379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6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7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7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customHeight="1" x14ac:dyDescent="0.25">
      <c r="A236" s="554" t="s">
        <v>135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380</v>
      </c>
      <c r="B237" s="54" t="s">
        <v>381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6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7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7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383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384</v>
      </c>
      <c r="B241" s="54" t="s">
        <v>385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6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7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7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4" t="s">
        <v>387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388</v>
      </c>
      <c r="B245" s="54" t="s">
        <v>389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391</v>
      </c>
      <c r="B246" s="54" t="s">
        <v>392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6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7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7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customHeight="1" x14ac:dyDescent="0.25">
      <c r="A252" s="552" t="s">
        <v>399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99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400</v>
      </c>
      <c r="B254" s="54" t="s">
        <v>401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403</v>
      </c>
      <c r="B255" s="54" t="s">
        <v>404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406</v>
      </c>
      <c r="B256" s="54" t="s">
        <v>407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 t="s">
        <v>103</v>
      </c>
      <c r="M256" s="33" t="s">
        <v>104</v>
      </c>
      <c r="N256" s="33"/>
      <c r="O256" s="32">
        <v>55</v>
      </c>
      <c r="P256" s="74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 t="s">
        <v>106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409</v>
      </c>
      <c r="B257" s="54" t="s">
        <v>410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412</v>
      </c>
      <c r="B258" s="54" t="s">
        <v>413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6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7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7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415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99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416</v>
      </c>
      <c r="B263" s="54" t="s">
        <v>417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418</v>
      </c>
      <c r="B264" s="54" t="s">
        <v>419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421</v>
      </c>
      <c r="B265" s="54" t="s">
        <v>422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423</v>
      </c>
      <c r="B266" s="54" t="s">
        <v>424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6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7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7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426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73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427</v>
      </c>
      <c r="B271" s="54" t="s">
        <v>428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69</v>
      </c>
      <c r="X272" s="539">
        <v>24</v>
      </c>
      <c r="Y272" s="540">
        <f>IFERROR(IF(X272="",0,CEILING((X272/$H272),1)*$H272),"")</f>
        <v>24</v>
      </c>
      <c r="Z272" s="36">
        <f>IFERROR(IF(Y272=0,"",ROUNDUP(Y272/H272,0)*0.00651),"")</f>
        <v>6.5100000000000005E-2</v>
      </c>
      <c r="AA272" s="56"/>
      <c r="AB272" s="57"/>
      <c r="AC272" s="319" t="s">
        <v>432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26.520000000000003</v>
      </c>
      <c r="BN272" s="64">
        <f>IFERROR(Y272*I272/H272,"0")</f>
        <v>26.520000000000003</v>
      </c>
      <c r="BO272" s="64">
        <f>IFERROR(1/J272*(X272/H272),"0")</f>
        <v>5.4945054945054951E-2</v>
      </c>
      <c r="BP272" s="64">
        <f>IFERROR(1/J272*(Y272/H272),"0")</f>
        <v>5.4945054945054951E-2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62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69</v>
      </c>
      <c r="X273" s="539">
        <v>46</v>
      </c>
      <c r="Y273" s="540">
        <f>IFERROR(IF(X273="",0,CEILING((X273/$H273),1)*$H273),"")</f>
        <v>48</v>
      </c>
      <c r="Z273" s="36">
        <f>IFERROR(IF(Y273=0,"",ROUNDUP(Y273/H273,0)*0.00651),"")</f>
        <v>0.13020000000000001</v>
      </c>
      <c r="AA273" s="56"/>
      <c r="AB273" s="57"/>
      <c r="AC273" s="321" t="s">
        <v>429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49.45</v>
      </c>
      <c r="BN273" s="64">
        <f>IFERROR(Y273*I273/H273,"0")</f>
        <v>51.6</v>
      </c>
      <c r="BO273" s="64">
        <f>IFERROR(1/J273*(X273/H273),"0")</f>
        <v>0.10531135531135533</v>
      </c>
      <c r="BP273" s="64">
        <f>IFERROR(1/J273*(Y273/H273),"0")</f>
        <v>0.1098901098901099</v>
      </c>
    </row>
    <row r="274" spans="1:68" x14ac:dyDescent="0.2">
      <c r="A274" s="566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7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1">
        <f>IFERROR(X271/H271,"0")+IFERROR(X272/H272,"0")+IFERROR(X273/H273,"0")</f>
        <v>29.166666666666668</v>
      </c>
      <c r="Y274" s="541">
        <f>IFERROR(Y271/H271,"0")+IFERROR(Y272/H272,"0")+IFERROR(Y273/H273,"0")</f>
        <v>30</v>
      </c>
      <c r="Z274" s="541">
        <f>IFERROR(IF(Z271="",0,Z271),"0")+IFERROR(IF(Z272="",0,Z272),"0")+IFERROR(IF(Z273="",0,Z273),"0")</f>
        <v>0.19530000000000003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7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1">
        <f>IFERROR(SUM(X271:X273),"0")</f>
        <v>70</v>
      </c>
      <c r="Y275" s="541">
        <f>IFERROR(SUM(Y271:Y273),"0")</f>
        <v>72</v>
      </c>
      <c r="Z275" s="37"/>
      <c r="AA275" s="542"/>
      <c r="AB275" s="542"/>
      <c r="AC275" s="542"/>
    </row>
    <row r="276" spans="1:68" ht="16.5" customHeight="1" x14ac:dyDescent="0.25">
      <c r="A276" s="552" t="s">
        <v>435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64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436</v>
      </c>
      <c r="B278" s="54" t="s">
        <v>437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439</v>
      </c>
      <c r="B279" s="54" t="s">
        <v>440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6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7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7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73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442</v>
      </c>
      <c r="B283" s="54" t="s">
        <v>443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66"/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67"/>
      <c r="P284" s="557" t="s">
        <v>71</v>
      </c>
      <c r="Q284" s="558"/>
      <c r="R284" s="558"/>
      <c r="S284" s="558"/>
      <c r="T284" s="558"/>
      <c r="U284" s="558"/>
      <c r="V284" s="559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x14ac:dyDescent="0.2">
      <c r="A285" s="553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7"/>
      <c r="P285" s="557" t="s">
        <v>71</v>
      </c>
      <c r="Q285" s="558"/>
      <c r="R285" s="558"/>
      <c r="S285" s="558"/>
      <c r="T285" s="558"/>
      <c r="U285" s="558"/>
      <c r="V285" s="559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customHeight="1" x14ac:dyDescent="0.25">
      <c r="A286" s="552" t="s">
        <v>445</v>
      </c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53"/>
      <c r="P286" s="553"/>
      <c r="Q286" s="553"/>
      <c r="R286" s="553"/>
      <c r="S286" s="553"/>
      <c r="T286" s="553"/>
      <c r="U286" s="553"/>
      <c r="V286" s="553"/>
      <c r="W286" s="553"/>
      <c r="X286" s="553"/>
      <c r="Y286" s="553"/>
      <c r="Z286" s="553"/>
      <c r="AA286" s="534"/>
      <c r="AB286" s="534"/>
      <c r="AC286" s="534"/>
    </row>
    <row r="287" spans="1:68" ht="14.25" customHeight="1" x14ac:dyDescent="0.25">
      <c r="A287" s="554" t="s">
        <v>99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5"/>
      <c r="AB287" s="535"/>
      <c r="AC287" s="535"/>
    </row>
    <row r="288" spans="1:68" ht="27" customHeight="1" x14ac:dyDescent="0.25">
      <c r="A288" s="54" t="s">
        <v>446</v>
      </c>
      <c r="B288" s="54" t="s">
        <v>447</v>
      </c>
      <c r="C288" s="31">
        <v>4301012024</v>
      </c>
      <c r="D288" s="546">
        <v>4680115885615</v>
      </c>
      <c r="E288" s="547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4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4"/>
      <c r="R288" s="544"/>
      <c r="S288" s="544"/>
      <c r="T288" s="545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customHeight="1" x14ac:dyDescent="0.25">
      <c r="A289" s="54" t="s">
        <v>449</v>
      </c>
      <c r="B289" s="54" t="s">
        <v>450</v>
      </c>
      <c r="C289" s="31">
        <v>4301011858</v>
      </c>
      <c r="D289" s="546">
        <v>4680115885646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4301012016</v>
      </c>
      <c r="D290" s="546">
        <v>4680115885554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455</v>
      </c>
      <c r="B291" s="54" t="s">
        <v>456</v>
      </c>
      <c r="C291" s="31">
        <v>4301011857</v>
      </c>
      <c r="D291" s="546">
        <v>4680115885622</v>
      </c>
      <c r="E291" s="547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4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4"/>
      <c r="R291" s="544"/>
      <c r="S291" s="544"/>
      <c r="T291" s="545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448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4301011859</v>
      </c>
      <c r="D292" s="546">
        <v>4680115885608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6"/>
      <c r="B293" s="553"/>
      <c r="C293" s="553"/>
      <c r="D293" s="553"/>
      <c r="E293" s="553"/>
      <c r="F293" s="553"/>
      <c r="G293" s="553"/>
      <c r="H293" s="553"/>
      <c r="I293" s="553"/>
      <c r="J293" s="553"/>
      <c r="K293" s="553"/>
      <c r="L293" s="553"/>
      <c r="M293" s="553"/>
      <c r="N293" s="553"/>
      <c r="O293" s="567"/>
      <c r="P293" s="557" t="s">
        <v>71</v>
      </c>
      <c r="Q293" s="558"/>
      <c r="R293" s="558"/>
      <c r="S293" s="558"/>
      <c r="T293" s="558"/>
      <c r="U293" s="558"/>
      <c r="V293" s="559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x14ac:dyDescent="0.2">
      <c r="A294" s="553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7"/>
      <c r="P294" s="557" t="s">
        <v>71</v>
      </c>
      <c r="Q294" s="558"/>
      <c r="R294" s="558"/>
      <c r="S294" s="558"/>
      <c r="T294" s="558"/>
      <c r="U294" s="558"/>
      <c r="V294" s="559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customHeight="1" x14ac:dyDescent="0.25">
      <c r="A295" s="554" t="s">
        <v>64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535"/>
      <c r="AB295" s="535"/>
      <c r="AC295" s="535"/>
    </row>
    <row r="296" spans="1:68" ht="27" customHeight="1" x14ac:dyDescent="0.25">
      <c r="A296" s="54" t="s">
        <v>460</v>
      </c>
      <c r="B296" s="54" t="s">
        <v>461</v>
      </c>
      <c r="C296" s="31">
        <v>4301030878</v>
      </c>
      <c r="D296" s="546">
        <v>4607091387193</v>
      </c>
      <c r="E296" s="547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4"/>
      <c r="R296" s="544"/>
      <c r="S296" s="544"/>
      <c r="T296" s="545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462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customHeight="1" x14ac:dyDescent="0.25">
      <c r="A297" s="54" t="s">
        <v>463</v>
      </c>
      <c r="B297" s="54" t="s">
        <v>464</v>
      </c>
      <c r="C297" s="31">
        <v>4301031153</v>
      </c>
      <c r="D297" s="546">
        <v>4607091387230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 t="s">
        <v>110</v>
      </c>
      <c r="M297" s="33" t="s">
        <v>68</v>
      </c>
      <c r="N297" s="33"/>
      <c r="O297" s="32">
        <v>40</v>
      </c>
      <c r="P297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 t="s">
        <v>106</v>
      </c>
      <c r="AK297" s="68">
        <v>50.4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466</v>
      </c>
      <c r="B298" s="54" t="s">
        <v>467</v>
      </c>
      <c r="C298" s="31">
        <v>4301031154</v>
      </c>
      <c r="D298" s="546">
        <v>4607091387292</v>
      </c>
      <c r="E298" s="547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4301031152</v>
      </c>
      <c r="D299" s="546">
        <v>4607091387285</v>
      </c>
      <c r="E299" s="547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/>
      <c r="M299" s="33" t="s">
        <v>68</v>
      </c>
      <c r="N299" s="33"/>
      <c r="O299" s="32">
        <v>40</v>
      </c>
      <c r="P299" s="73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4"/>
      <c r="R299" s="544"/>
      <c r="S299" s="544"/>
      <c r="T299" s="545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465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4301031305</v>
      </c>
      <c r="D300" s="546">
        <v>4607091389845</v>
      </c>
      <c r="E300" s="547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4301031306</v>
      </c>
      <c r="D301" s="546">
        <v>4680115882881</v>
      </c>
      <c r="E301" s="547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4"/>
      <c r="R301" s="544"/>
      <c r="S301" s="544"/>
      <c r="T301" s="545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4301031066</v>
      </c>
      <c r="D302" s="546">
        <v>4607091383836</v>
      </c>
      <c r="E302" s="547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/>
      <c r="M302" s="33" t="s">
        <v>68</v>
      </c>
      <c r="N302" s="33"/>
      <c r="O302" s="32">
        <v>40</v>
      </c>
      <c r="P302" s="5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4"/>
      <c r="R302" s="544"/>
      <c r="S302" s="544"/>
      <c r="T302" s="545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IFERROR(IF(Y302=0,"",ROUNDUP(Y302/H302,0)*0.00651),"")</f>
        <v/>
      </c>
      <c r="AA302" s="56"/>
      <c r="AB302" s="57"/>
      <c r="AC302" s="351" t="s">
        <v>478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x14ac:dyDescent="0.2">
      <c r="A303" s="566"/>
      <c r="B303" s="553"/>
      <c r="C303" s="553"/>
      <c r="D303" s="553"/>
      <c r="E303" s="553"/>
      <c r="F303" s="553"/>
      <c r="G303" s="553"/>
      <c r="H303" s="553"/>
      <c r="I303" s="553"/>
      <c r="J303" s="553"/>
      <c r="K303" s="553"/>
      <c r="L303" s="553"/>
      <c r="M303" s="553"/>
      <c r="N303" s="553"/>
      <c r="O303" s="567"/>
      <c r="P303" s="557" t="s">
        <v>71</v>
      </c>
      <c r="Q303" s="558"/>
      <c r="R303" s="558"/>
      <c r="S303" s="558"/>
      <c r="T303" s="558"/>
      <c r="U303" s="558"/>
      <c r="V303" s="559"/>
      <c r="W303" s="37" t="s">
        <v>72</v>
      </c>
      <c r="X303" s="541">
        <f>IFERROR(X296/H296,"0")+IFERROR(X297/H297,"0")+IFERROR(X298/H298,"0")+IFERROR(X299/H299,"0")+IFERROR(X300/H300,"0")+IFERROR(X301/H301,"0")+IFERROR(X302/H302,"0")</f>
        <v>0</v>
      </c>
      <c r="Y303" s="541">
        <f>IFERROR(Y296/H296,"0")+IFERROR(Y297/H297,"0")+IFERROR(Y298/H298,"0")+IFERROR(Y299/H299,"0")+IFERROR(Y300/H300,"0")+IFERROR(Y301/H301,"0")+IFERROR(Y302/H302,"0")</f>
        <v>0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</v>
      </c>
      <c r="AA303" s="542"/>
      <c r="AB303" s="542"/>
      <c r="AC303" s="542"/>
    </row>
    <row r="304" spans="1:68" x14ac:dyDescent="0.2">
      <c r="A304" s="553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7"/>
      <c r="P304" s="557" t="s">
        <v>71</v>
      </c>
      <c r="Q304" s="558"/>
      <c r="R304" s="558"/>
      <c r="S304" s="558"/>
      <c r="T304" s="558"/>
      <c r="U304" s="558"/>
      <c r="V304" s="559"/>
      <c r="W304" s="37" t="s">
        <v>69</v>
      </c>
      <c r="X304" s="541">
        <f>IFERROR(SUM(X296:X302),"0")</f>
        <v>0</v>
      </c>
      <c r="Y304" s="541">
        <f>IFERROR(SUM(Y296:Y302),"0")</f>
        <v>0</v>
      </c>
      <c r="Z304" s="37"/>
      <c r="AA304" s="542"/>
      <c r="AB304" s="542"/>
      <c r="AC304" s="542"/>
    </row>
    <row r="305" spans="1:68" ht="14.25" customHeight="1" x14ac:dyDescent="0.25">
      <c r="A305" s="554" t="s">
        <v>73</v>
      </c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53"/>
      <c r="P305" s="553"/>
      <c r="Q305" s="553"/>
      <c r="R305" s="553"/>
      <c r="S305" s="553"/>
      <c r="T305" s="553"/>
      <c r="U305" s="553"/>
      <c r="V305" s="553"/>
      <c r="W305" s="553"/>
      <c r="X305" s="553"/>
      <c r="Y305" s="553"/>
      <c r="Z305" s="553"/>
      <c r="AA305" s="535"/>
      <c r="AB305" s="535"/>
      <c r="AC305" s="535"/>
    </row>
    <row r="306" spans="1:68" ht="27" customHeight="1" x14ac:dyDescent="0.25">
      <c r="A306" s="54" t="s">
        <v>479</v>
      </c>
      <c r="B306" s="54" t="s">
        <v>480</v>
      </c>
      <c r="C306" s="31">
        <v>4301051100</v>
      </c>
      <c r="D306" s="546">
        <v>4607091387766</v>
      </c>
      <c r="E306" s="547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 t="s">
        <v>103</v>
      </c>
      <c r="M306" s="33" t="s">
        <v>77</v>
      </c>
      <c r="N306" s="33"/>
      <c r="O306" s="32">
        <v>40</v>
      </c>
      <c r="P306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4"/>
      <c r="R306" s="544"/>
      <c r="S306" s="544"/>
      <c r="T306" s="545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481</v>
      </c>
      <c r="AG306" s="64"/>
      <c r="AJ306" s="68" t="s">
        <v>106</v>
      </c>
      <c r="AK306" s="68">
        <v>62.4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482</v>
      </c>
      <c r="B307" s="54" t="s">
        <v>483</v>
      </c>
      <c r="C307" s="31">
        <v>4301051818</v>
      </c>
      <c r="D307" s="546">
        <v>4607091387957</v>
      </c>
      <c r="E307" s="547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4"/>
      <c r="R307" s="544"/>
      <c r="S307" s="544"/>
      <c r="T307" s="545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485</v>
      </c>
      <c r="B308" s="54" t="s">
        <v>486</v>
      </c>
      <c r="C308" s="31">
        <v>4301051819</v>
      </c>
      <c r="D308" s="546">
        <v>4607091387964</v>
      </c>
      <c r="E308" s="547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4301051734</v>
      </c>
      <c r="D309" s="546">
        <v>4680115884588</v>
      </c>
      <c r="E309" s="547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4"/>
      <c r="R309" s="544"/>
      <c r="S309" s="544"/>
      <c r="T309" s="545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4301051578</v>
      </c>
      <c r="D310" s="546">
        <v>4607091387513</v>
      </c>
      <c r="E310" s="547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69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4"/>
      <c r="R310" s="544"/>
      <c r="S310" s="544"/>
      <c r="T310" s="545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6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7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7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163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69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496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69</v>
      </c>
      <c r="X315" s="539">
        <v>65</v>
      </c>
      <c r="Y315" s="540">
        <f>IFERROR(IF(X315="",0,CEILING((X315/$H315),1)*$H315),"")</f>
        <v>70.2</v>
      </c>
      <c r="Z315" s="36">
        <f>IFERROR(IF(Y315=0,"",ROUNDUP(Y315/H315,0)*0.01898),"")</f>
        <v>0.17082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69.116666666666674</v>
      </c>
      <c r="BN315" s="64">
        <f>IFERROR(Y315*I315/H315,"0")</f>
        <v>74.646000000000015</v>
      </c>
      <c r="BO315" s="64">
        <f>IFERROR(1/J315*(X315/H315),"0")</f>
        <v>0.13020833333333334</v>
      </c>
      <c r="BP315" s="64">
        <f>IFERROR(1/J315*(Y315/H315),"0")</f>
        <v>0.140625</v>
      </c>
    </row>
    <row r="316" spans="1:68" ht="16.5" customHeight="1" x14ac:dyDescent="0.25">
      <c r="A316" s="54" t="s">
        <v>500</v>
      </c>
      <c r="B316" s="54" t="s">
        <v>501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6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7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1">
        <f>IFERROR(X314/H314,"0")+IFERROR(X315/H315,"0")+IFERROR(X316/H316,"0")</f>
        <v>8.3333333333333339</v>
      </c>
      <c r="Y317" s="541">
        <f>IFERROR(Y314/H314,"0")+IFERROR(Y315/H315,"0")+IFERROR(Y316/H316,"0")</f>
        <v>9</v>
      </c>
      <c r="Z317" s="541">
        <f>IFERROR(IF(Z314="",0,Z314),"0")+IFERROR(IF(Z315="",0,Z315),"0")+IFERROR(IF(Z316="",0,Z316),"0")</f>
        <v>0.17082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7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1">
        <f>IFERROR(SUM(X314:X316),"0")</f>
        <v>65</v>
      </c>
      <c r="Y318" s="541">
        <f>IFERROR(SUM(Y314:Y316),"0")</f>
        <v>70.2</v>
      </c>
      <c r="Z318" s="37"/>
      <c r="AA318" s="542"/>
      <c r="AB318" s="542"/>
      <c r="AC318" s="542"/>
    </row>
    <row r="319" spans="1:68" ht="14.25" customHeight="1" x14ac:dyDescent="0.25">
      <c r="A319" s="554" t="s">
        <v>91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503</v>
      </c>
      <c r="B320" s="54" t="s">
        <v>504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506</v>
      </c>
      <c r="B321" s="54" t="s">
        <v>507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3" t="s">
        <v>508</v>
      </c>
      <c r="Q321" s="544"/>
      <c r="R321" s="544"/>
      <c r="S321" s="544"/>
      <c r="T321" s="545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511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512</v>
      </c>
      <c r="B323" s="54" t="s">
        <v>513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8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6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7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7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customHeight="1" x14ac:dyDescent="0.25">
      <c r="A326" s="554" t="s">
        <v>514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515</v>
      </c>
      <c r="B327" s="54" t="s">
        <v>516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/>
      <c r="M327" s="33" t="s">
        <v>517</v>
      </c>
      <c r="N327" s="33"/>
      <c r="O327" s="32">
        <v>730</v>
      </c>
      <c r="P327" s="7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518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6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7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7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customHeight="1" x14ac:dyDescent="0.25">
      <c r="A332" s="552" t="s">
        <v>523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73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524</v>
      </c>
      <c r="B334" s="54" t="s">
        <v>525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526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527</v>
      </c>
      <c r="B335" s="54" t="s">
        <v>528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69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529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530</v>
      </c>
      <c r="B336" s="54" t="s">
        <v>531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6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7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7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customHeight="1" x14ac:dyDescent="0.2">
      <c r="A339" s="693" t="s">
        <v>533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534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99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535</v>
      </c>
      <c r="B342" s="54" t="s">
        <v>536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69</v>
      </c>
      <c r="X342" s="539">
        <v>160</v>
      </c>
      <c r="Y342" s="540">
        <f t="shared" ref="Y342:Y348" si="31">IFERROR(IF(X342="",0,CEILING((X342/$H342),1)*$H342),"")</f>
        <v>165</v>
      </c>
      <c r="Z342" s="36">
        <f>IFERROR(IF(Y342=0,"",ROUNDUP(Y342/H342,0)*0.02175),"")</f>
        <v>0.23924999999999999</v>
      </c>
      <c r="AA342" s="56"/>
      <c r="AB342" s="57"/>
      <c r="AC342" s="389" t="s">
        <v>537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165.01333333333335</v>
      </c>
      <c r="BN342" s="64">
        <f t="shared" ref="BN342:BN348" si="33">IFERROR(Y342*I342/H342,"0")</f>
        <v>170.17000000000002</v>
      </c>
      <c r="BO342" s="64">
        <f t="shared" ref="BO342:BO348" si="34">IFERROR(1/J342*(X342/H342),"0")</f>
        <v>0.22222222222222221</v>
      </c>
      <c r="BP342" s="64">
        <f t="shared" ref="BP342:BP348" si="35">IFERROR(1/J342*(Y342/H342),"0")</f>
        <v>0.22916666666666666</v>
      </c>
    </row>
    <row r="343" spans="1:68" ht="27" customHeight="1" x14ac:dyDescent="0.25">
      <c r="A343" s="54" t="s">
        <v>538</v>
      </c>
      <c r="B343" s="54" t="s">
        <v>539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69</v>
      </c>
      <c r="X343" s="539">
        <v>0</v>
      </c>
      <c r="Y343" s="540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540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customHeight="1" x14ac:dyDescent="0.25">
      <c r="A344" s="54" t="s">
        <v>541</v>
      </c>
      <c r="B344" s="54" t="s">
        <v>542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69</v>
      </c>
      <c r="X344" s="539">
        <v>0</v>
      </c>
      <c r="Y344" s="540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543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544</v>
      </c>
      <c r="B345" s="54" t="s">
        <v>545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3" t="s">
        <v>546</v>
      </c>
      <c r="Q345" s="544"/>
      <c r="R345" s="544"/>
      <c r="S345" s="544"/>
      <c r="T345" s="545"/>
      <c r="U345" s="34"/>
      <c r="V345" s="34"/>
      <c r="W345" s="35" t="s">
        <v>69</v>
      </c>
      <c r="X345" s="539">
        <v>105</v>
      </c>
      <c r="Y345" s="540">
        <f t="shared" si="31"/>
        <v>105</v>
      </c>
      <c r="Z345" s="36">
        <f>IFERROR(IF(Y345=0,"",ROUNDUP(Y345/H345,0)*0.02175),"")</f>
        <v>0.15225</v>
      </c>
      <c r="AA345" s="56"/>
      <c r="AB345" s="57"/>
      <c r="AC345" s="395" t="s">
        <v>547</v>
      </c>
      <c r="AG345" s="64"/>
      <c r="AJ345" s="68"/>
      <c r="AK345" s="68">
        <v>0</v>
      </c>
      <c r="BB345" s="396" t="s">
        <v>1</v>
      </c>
      <c r="BM345" s="64">
        <f t="shared" si="32"/>
        <v>108.29</v>
      </c>
      <c r="BN345" s="64">
        <f t="shared" si="33"/>
        <v>108.29</v>
      </c>
      <c r="BO345" s="64">
        <f t="shared" si="34"/>
        <v>0.14583333333333331</v>
      </c>
      <c r="BP345" s="64">
        <f t="shared" si="35"/>
        <v>0.14583333333333331</v>
      </c>
    </row>
    <row r="346" spans="1:68" ht="27" customHeight="1" x14ac:dyDescent="0.25">
      <c r="A346" s="54" t="s">
        <v>548</v>
      </c>
      <c r="B346" s="54" t="s">
        <v>549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551</v>
      </c>
      <c r="B347" s="54" t="s">
        <v>552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540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553</v>
      </c>
      <c r="B348" s="54" t="s">
        <v>554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6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7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1">
        <f>IFERROR(X342/H342,"0")+IFERROR(X343/H343,"0")+IFERROR(X344/H344,"0")+IFERROR(X345/H345,"0")+IFERROR(X346/H346,"0")+IFERROR(X347/H347,"0")+IFERROR(X348/H348,"0")</f>
        <v>17.666666666666664</v>
      </c>
      <c r="Y349" s="541">
        <f>IFERROR(Y342/H342,"0")+IFERROR(Y343/H343,"0")+IFERROR(Y344/H344,"0")+IFERROR(Y345/H345,"0")+IFERROR(Y346/H346,"0")+IFERROR(Y347/H347,"0")+IFERROR(Y348/H348,"0")</f>
        <v>18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0.39149999999999996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7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1">
        <f>IFERROR(SUM(X342:X348),"0")</f>
        <v>265</v>
      </c>
      <c r="Y350" s="541">
        <f>IFERROR(SUM(Y342:Y348),"0")</f>
        <v>270</v>
      </c>
      <c r="Z350" s="37"/>
      <c r="AA350" s="542"/>
      <c r="AB350" s="542"/>
      <c r="AC350" s="542"/>
    </row>
    <row r="351" spans="1:68" ht="14.25" customHeight="1" x14ac:dyDescent="0.25">
      <c r="A351" s="554" t="s">
        <v>135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555</v>
      </c>
      <c r="B352" s="54" t="s">
        <v>556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69</v>
      </c>
      <c r="X352" s="539">
        <v>101</v>
      </c>
      <c r="Y352" s="540">
        <f>IFERROR(IF(X352="",0,CEILING((X352/$H352),1)*$H352),"")</f>
        <v>105</v>
      </c>
      <c r="Z352" s="36">
        <f>IFERROR(IF(Y352=0,"",ROUNDUP(Y352/H352,0)*0.02175),"")</f>
        <v>0.15225</v>
      </c>
      <c r="AA352" s="56"/>
      <c r="AB352" s="57"/>
      <c r="AC352" s="403" t="s">
        <v>557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104.16466666666666</v>
      </c>
      <c r="BN352" s="64">
        <f>IFERROR(Y352*I352/H352,"0")</f>
        <v>108.29</v>
      </c>
      <c r="BO352" s="64">
        <f>IFERROR(1/J352*(X352/H352),"0")</f>
        <v>0.14027777777777778</v>
      </c>
      <c r="BP352" s="64">
        <f>IFERROR(1/J352*(Y352/H352),"0")</f>
        <v>0.14583333333333331</v>
      </c>
    </row>
    <row r="353" spans="1:68" ht="16.5" customHeight="1" x14ac:dyDescent="0.25">
      <c r="A353" s="54" t="s">
        <v>558</v>
      </c>
      <c r="B353" s="54" t="s">
        <v>559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6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7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1">
        <f>IFERROR(X352/H352,"0")+IFERROR(X353/H353,"0")</f>
        <v>6.7333333333333334</v>
      </c>
      <c r="Y354" s="541">
        <f>IFERROR(Y352/H352,"0")+IFERROR(Y353/H353,"0")</f>
        <v>7</v>
      </c>
      <c r="Z354" s="541">
        <f>IFERROR(IF(Z352="",0,Z352),"0")+IFERROR(IF(Z353="",0,Z353),"0")</f>
        <v>0.15225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7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1">
        <f>IFERROR(SUM(X352:X353),"0")</f>
        <v>101</v>
      </c>
      <c r="Y355" s="541">
        <f>IFERROR(SUM(Y352:Y353),"0")</f>
        <v>105</v>
      </c>
      <c r="Z355" s="37"/>
      <c r="AA355" s="542"/>
      <c r="AB355" s="542"/>
      <c r="AC355" s="542"/>
    </row>
    <row r="356" spans="1:68" ht="14.25" customHeight="1" x14ac:dyDescent="0.25">
      <c r="A356" s="554" t="s">
        <v>73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560</v>
      </c>
      <c r="B357" s="54" t="s">
        <v>561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562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6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7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7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customHeight="1" x14ac:dyDescent="0.25">
      <c r="A361" s="554" t="s">
        <v>163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566</v>
      </c>
      <c r="B362" s="54" t="s">
        <v>567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69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568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6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7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7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customHeight="1" x14ac:dyDescent="0.25">
      <c r="A365" s="552" t="s">
        <v>569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99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570</v>
      </c>
      <c r="B367" s="54" t="s">
        <v>571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572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573</v>
      </c>
      <c r="B368" s="54" t="s">
        <v>574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572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6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7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7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54" t="s">
        <v>64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575</v>
      </c>
      <c r="B372" s="54" t="s">
        <v>576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577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575</v>
      </c>
      <c r="B373" s="54" t="s">
        <v>578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6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7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7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73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580</v>
      </c>
      <c r="B377" s="54" t="s">
        <v>581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69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582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583</v>
      </c>
      <c r="B378" s="54" t="s">
        <v>584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582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6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7"/>
      <c r="P379" s="557" t="s">
        <v>71</v>
      </c>
      <c r="Q379" s="558"/>
      <c r="R379" s="558"/>
      <c r="S379" s="558"/>
      <c r="T379" s="558"/>
      <c r="U379" s="558"/>
      <c r="V379" s="559"/>
      <c r="W379" s="37" t="s">
        <v>72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7"/>
      <c r="P380" s="557" t="s">
        <v>71</v>
      </c>
      <c r="Q380" s="558"/>
      <c r="R380" s="558"/>
      <c r="S380" s="558"/>
      <c r="T380" s="558"/>
      <c r="U380" s="558"/>
      <c r="V380" s="559"/>
      <c r="W380" s="37" t="s">
        <v>69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customHeight="1" x14ac:dyDescent="0.2">
      <c r="A381" s="693" t="s">
        <v>585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586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64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587</v>
      </c>
      <c r="B384" s="54" t="s">
        <v>588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589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590</v>
      </c>
      <c r="B385" s="54" t="s">
        <v>591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593</v>
      </c>
      <c r="B386" s="54" t="s">
        <v>594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 t="s">
        <v>110</v>
      </c>
      <c r="M386" s="33" t="s">
        <v>68</v>
      </c>
      <c r="N386" s="33"/>
      <c r="O386" s="32">
        <v>50</v>
      </c>
      <c r="P386" s="5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 t="s">
        <v>106</v>
      </c>
      <c r="AK386" s="68">
        <v>64.8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596</v>
      </c>
      <c r="B387" s="54" t="s">
        <v>597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589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598</v>
      </c>
      <c r="B388" s="54" t="s">
        <v>599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600</v>
      </c>
      <c r="B389" s="54" t="s">
        <v>601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602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603</v>
      </c>
      <c r="B390" s="54" t="s">
        <v>604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606</v>
      </c>
      <c r="B391" s="54" t="s">
        <v>607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609</v>
      </c>
      <c r="B392" s="54" t="s">
        <v>610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605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6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7"/>
      <c r="P393" s="557" t="s">
        <v>71</v>
      </c>
      <c r="Q393" s="558"/>
      <c r="R393" s="558"/>
      <c r="S393" s="558"/>
      <c r="T393" s="558"/>
      <c r="U393" s="558"/>
      <c r="V393" s="559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7"/>
      <c r="P394" s="557" t="s">
        <v>71</v>
      </c>
      <c r="Q394" s="558"/>
      <c r="R394" s="558"/>
      <c r="S394" s="558"/>
      <c r="T394" s="558"/>
      <c r="U394" s="558"/>
      <c r="V394" s="559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customHeight="1" x14ac:dyDescent="0.25">
      <c r="A395" s="554" t="s">
        <v>73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611</v>
      </c>
      <c r="B396" s="54" t="s">
        <v>612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613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614</v>
      </c>
      <c r="B397" s="54" t="s">
        <v>615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616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6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7"/>
      <c r="P398" s="557" t="s">
        <v>71</v>
      </c>
      <c r="Q398" s="558"/>
      <c r="R398" s="558"/>
      <c r="S398" s="558"/>
      <c r="T398" s="558"/>
      <c r="U398" s="558"/>
      <c r="V398" s="559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7"/>
      <c r="P399" s="557" t="s">
        <v>71</v>
      </c>
      <c r="Q399" s="558"/>
      <c r="R399" s="558"/>
      <c r="S399" s="558"/>
      <c r="T399" s="558"/>
      <c r="U399" s="558"/>
      <c r="V399" s="559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617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135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618</v>
      </c>
      <c r="B402" s="54" t="s">
        <v>619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620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6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7"/>
      <c r="P403" s="557" t="s">
        <v>71</v>
      </c>
      <c r="Q403" s="558"/>
      <c r="R403" s="558"/>
      <c r="S403" s="558"/>
      <c r="T403" s="558"/>
      <c r="U403" s="558"/>
      <c r="V403" s="559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7"/>
      <c r="P404" s="557" t="s">
        <v>71</v>
      </c>
      <c r="Q404" s="558"/>
      <c r="R404" s="558"/>
      <c r="S404" s="558"/>
      <c r="T404" s="558"/>
      <c r="U404" s="558"/>
      <c r="V404" s="559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64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621</v>
      </c>
      <c r="B406" s="54" t="s">
        <v>622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623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624</v>
      </c>
      <c r="B407" s="54" t="s">
        <v>625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626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627</v>
      </c>
      <c r="B408" s="54" t="s">
        <v>628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630</v>
      </c>
      <c r="B409" s="54" t="s">
        <v>631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6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7"/>
      <c r="P410" s="557" t="s">
        <v>71</v>
      </c>
      <c r="Q410" s="558"/>
      <c r="R410" s="558"/>
      <c r="S410" s="558"/>
      <c r="T410" s="558"/>
      <c r="U410" s="558"/>
      <c r="V410" s="559"/>
      <c r="W410" s="37" t="s">
        <v>72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7"/>
      <c r="P411" s="557" t="s">
        <v>71</v>
      </c>
      <c r="Q411" s="558"/>
      <c r="R411" s="558"/>
      <c r="S411" s="558"/>
      <c r="T411" s="558"/>
      <c r="U411" s="558"/>
      <c r="V411" s="559"/>
      <c r="W411" s="37" t="s">
        <v>69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customHeight="1" x14ac:dyDescent="0.25">
      <c r="A412" s="552" t="s">
        <v>632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64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633</v>
      </c>
      <c r="B414" s="54" t="s">
        <v>634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635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6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7"/>
      <c r="P415" s="557" t="s">
        <v>71</v>
      </c>
      <c r="Q415" s="558"/>
      <c r="R415" s="558"/>
      <c r="S415" s="558"/>
      <c r="T415" s="558"/>
      <c r="U415" s="558"/>
      <c r="V415" s="559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7"/>
      <c r="P416" s="557" t="s">
        <v>71</v>
      </c>
      <c r="Q416" s="558"/>
      <c r="R416" s="558"/>
      <c r="S416" s="558"/>
      <c r="T416" s="558"/>
      <c r="U416" s="558"/>
      <c r="V416" s="559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693" t="s">
        <v>636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636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99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637</v>
      </c>
      <c r="B420" s="54" t="s">
        <v>638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69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customHeight="1" x14ac:dyDescent="0.25">
      <c r="A421" s="54" t="s">
        <v>639</v>
      </c>
      <c r="B421" s="54" t="s">
        <v>640</v>
      </c>
      <c r="C421" s="31">
        <v>4301011961</v>
      </c>
      <c r="D421" s="546">
        <v>4680115885271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4"/>
      <c r="R421" s="544"/>
      <c r="S421" s="544"/>
      <c r="T421" s="545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641</v>
      </c>
      <c r="AG421" s="64"/>
      <c r="AJ421" s="68" t="s">
        <v>106</v>
      </c>
      <c r="AK421" s="68">
        <v>42.24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642</v>
      </c>
      <c r="B422" s="54" t="s">
        <v>643</v>
      </c>
      <c r="C422" s="31">
        <v>4301011376</v>
      </c>
      <c r="D422" s="546">
        <v>4680115885226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4"/>
      <c r="R422" s="544"/>
      <c r="S422" s="544"/>
      <c r="T422" s="545"/>
      <c r="U422" s="34"/>
      <c r="V422" s="34"/>
      <c r="W422" s="35" t="s">
        <v>69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644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645</v>
      </c>
      <c r="B423" s="54" t="s">
        <v>646</v>
      </c>
      <c r="C423" s="31">
        <v>4301012145</v>
      </c>
      <c r="D423" s="546">
        <v>4607091383522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4"/>
      <c r="R423" s="544"/>
      <c r="S423" s="544"/>
      <c r="T423" s="545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647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customHeight="1" x14ac:dyDescent="0.25">
      <c r="A424" s="54" t="s">
        <v>648</v>
      </c>
      <c r="B424" s="54" t="s">
        <v>649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651</v>
      </c>
      <c r="B425" s="54" t="s">
        <v>652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69</v>
      </c>
      <c r="X425" s="539">
        <v>288</v>
      </c>
      <c r="Y425" s="540">
        <f t="shared" si="42"/>
        <v>290.40000000000003</v>
      </c>
      <c r="Z425" s="36">
        <f t="shared" si="43"/>
        <v>0.65780000000000005</v>
      </c>
      <c r="AA425" s="56"/>
      <c r="AB425" s="57"/>
      <c r="AC425" s="469" t="s">
        <v>653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307.09090909090907</v>
      </c>
      <c r="BN425" s="64">
        <f t="shared" si="45"/>
        <v>309.65000000000003</v>
      </c>
      <c r="BO425" s="64">
        <f t="shared" si="46"/>
        <v>0.52447552447552448</v>
      </c>
      <c r="BP425" s="64">
        <f t="shared" si="47"/>
        <v>0.52884615384615397</v>
      </c>
    </row>
    <row r="426" spans="1:68" ht="27" customHeight="1" x14ac:dyDescent="0.25">
      <c r="A426" s="54" t="s">
        <v>654</v>
      </c>
      <c r="B426" s="54" t="s">
        <v>655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656</v>
      </c>
      <c r="B427" s="54" t="s">
        <v>657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69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660</v>
      </c>
      <c r="B429" s="54" t="s">
        <v>661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663</v>
      </c>
      <c r="B430" s="54" t="s">
        <v>664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6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7"/>
      <c r="P431" s="557" t="s">
        <v>71</v>
      </c>
      <c r="Q431" s="558"/>
      <c r="R431" s="558"/>
      <c r="S431" s="558"/>
      <c r="T431" s="558"/>
      <c r="U431" s="558"/>
      <c r="V431" s="559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54.54545454545454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55.000000000000007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0.65780000000000005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7"/>
      <c r="P432" s="557" t="s">
        <v>71</v>
      </c>
      <c r="Q432" s="558"/>
      <c r="R432" s="558"/>
      <c r="S432" s="558"/>
      <c r="T432" s="558"/>
      <c r="U432" s="558"/>
      <c r="V432" s="559"/>
      <c r="W432" s="37" t="s">
        <v>69</v>
      </c>
      <c r="X432" s="541">
        <f>IFERROR(SUM(X420:X430),"0")</f>
        <v>288</v>
      </c>
      <c r="Y432" s="541">
        <f>IFERROR(SUM(Y420:Y430),"0")</f>
        <v>290.40000000000003</v>
      </c>
      <c r="Z432" s="37"/>
      <c r="AA432" s="542"/>
      <c r="AB432" s="542"/>
      <c r="AC432" s="542"/>
    </row>
    <row r="433" spans="1:68" ht="14.25" customHeight="1" x14ac:dyDescent="0.25">
      <c r="A433" s="554" t="s">
        <v>135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665</v>
      </c>
      <c r="B434" s="54" t="s">
        <v>666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69</v>
      </c>
      <c r="X434" s="539">
        <v>76</v>
      </c>
      <c r="Y434" s="540">
        <f>IFERROR(IF(X434="",0,CEILING((X434/$H434),1)*$H434),"")</f>
        <v>79.2</v>
      </c>
      <c r="Z434" s="36">
        <f>IFERROR(IF(Y434=0,"",ROUNDUP(Y434/H434,0)*0.01196),"")</f>
        <v>0.1794</v>
      </c>
      <c r="AA434" s="56"/>
      <c r="AB434" s="57"/>
      <c r="AC434" s="481" t="s">
        <v>667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81.037878787878782</v>
      </c>
      <c r="BN434" s="64">
        <f>IFERROR(Y434*I434/H434,"0")</f>
        <v>84.45</v>
      </c>
      <c r="BO434" s="64">
        <f>IFERROR(1/J434*(X434/H434),"0")</f>
        <v>0.13840326340326339</v>
      </c>
      <c r="BP434" s="64">
        <f>IFERROR(1/J434*(Y434/H434),"0")</f>
        <v>0.14423076923076925</v>
      </c>
    </row>
    <row r="435" spans="1:68" ht="16.5" customHeight="1" x14ac:dyDescent="0.25">
      <c r="A435" s="54" t="s">
        <v>668</v>
      </c>
      <c r="B435" s="54" t="s">
        <v>669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667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670</v>
      </c>
      <c r="B436" s="54" t="s">
        <v>671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 t="s">
        <v>110</v>
      </c>
      <c r="M436" s="33" t="s">
        <v>104</v>
      </c>
      <c r="N436" s="33"/>
      <c r="O436" s="32">
        <v>70</v>
      </c>
      <c r="P436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667</v>
      </c>
      <c r="AG436" s="64"/>
      <c r="AJ436" s="68" t="s">
        <v>106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6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7"/>
      <c r="P437" s="557" t="s">
        <v>71</v>
      </c>
      <c r="Q437" s="558"/>
      <c r="R437" s="558"/>
      <c r="S437" s="558"/>
      <c r="T437" s="558"/>
      <c r="U437" s="558"/>
      <c r="V437" s="559"/>
      <c r="W437" s="37" t="s">
        <v>72</v>
      </c>
      <c r="X437" s="541">
        <f>IFERROR(X434/H434,"0")+IFERROR(X435/H435,"0")+IFERROR(X436/H436,"0")</f>
        <v>14.393939393939393</v>
      </c>
      <c r="Y437" s="541">
        <f>IFERROR(Y434/H434,"0")+IFERROR(Y435/H435,"0")+IFERROR(Y436/H436,"0")</f>
        <v>15</v>
      </c>
      <c r="Z437" s="541">
        <f>IFERROR(IF(Z434="",0,Z434),"0")+IFERROR(IF(Z435="",0,Z435),"0")+IFERROR(IF(Z436="",0,Z436),"0")</f>
        <v>0.1794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7"/>
      <c r="P438" s="557" t="s">
        <v>71</v>
      </c>
      <c r="Q438" s="558"/>
      <c r="R438" s="558"/>
      <c r="S438" s="558"/>
      <c r="T438" s="558"/>
      <c r="U438" s="558"/>
      <c r="V438" s="559"/>
      <c r="W438" s="37" t="s">
        <v>69</v>
      </c>
      <c r="X438" s="541">
        <f>IFERROR(SUM(X434:X436),"0")</f>
        <v>76</v>
      </c>
      <c r="Y438" s="541">
        <f>IFERROR(SUM(Y434:Y436),"0")</f>
        <v>79.2</v>
      </c>
      <c r="Z438" s="37"/>
      <c r="AA438" s="542"/>
      <c r="AB438" s="542"/>
      <c r="AC438" s="542"/>
    </row>
    <row r="439" spans="1:68" ht="14.25" customHeight="1" x14ac:dyDescent="0.25">
      <c r="A439" s="554" t="s">
        <v>64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672</v>
      </c>
      <c r="B440" s="54" t="s">
        <v>673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69</v>
      </c>
      <c r="X440" s="539">
        <v>60</v>
      </c>
      <c r="Y440" s="540">
        <f t="shared" ref="Y440:Y445" si="48">IFERROR(IF(X440="",0,CEILING((X440/$H440),1)*$H440),"")</f>
        <v>63.36</v>
      </c>
      <c r="Z440" s="36">
        <f>IFERROR(IF(Y440=0,"",ROUNDUP(Y440/H440,0)*0.01196),"")</f>
        <v>0.14352000000000001</v>
      </c>
      <c r="AA440" s="56"/>
      <c r="AB440" s="57"/>
      <c r="AC440" s="487" t="s">
        <v>674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63.977272727272727</v>
      </c>
      <c r="BN440" s="64">
        <f t="shared" ref="BN440:BN445" si="50">IFERROR(Y440*I440/H440,"0")</f>
        <v>67.559999999999988</v>
      </c>
      <c r="BO440" s="64">
        <f t="shared" ref="BO440:BO445" si="51">IFERROR(1/J440*(X440/H440),"0")</f>
        <v>0.10926573426573427</v>
      </c>
      <c r="BP440" s="64">
        <f t="shared" ref="BP440:BP445" si="52">IFERROR(1/J440*(Y440/H440),"0")</f>
        <v>0.11538461538461539</v>
      </c>
    </row>
    <row r="441" spans="1:68" ht="27" customHeight="1" x14ac:dyDescent="0.25">
      <c r="A441" s="54" t="s">
        <v>675</v>
      </c>
      <c r="B441" s="54" t="s">
        <v>676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2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69</v>
      </c>
      <c r="X441" s="539">
        <v>26</v>
      </c>
      <c r="Y441" s="540">
        <f t="shared" si="48"/>
        <v>26.400000000000002</v>
      </c>
      <c r="Z441" s="36">
        <f>IFERROR(IF(Y441=0,"",ROUNDUP(Y441/H441,0)*0.01196),"")</f>
        <v>5.9799999999999999E-2</v>
      </c>
      <c r="AA441" s="56"/>
      <c r="AB441" s="57"/>
      <c r="AC441" s="489" t="s">
        <v>677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27.723484848484848</v>
      </c>
      <c r="BN441" s="64">
        <f t="shared" si="50"/>
        <v>28.15</v>
      </c>
      <c r="BO441" s="64">
        <f t="shared" si="51"/>
        <v>4.7348484848484848E-2</v>
      </c>
      <c r="BP441" s="64">
        <f t="shared" si="52"/>
        <v>4.807692307692308E-2</v>
      </c>
    </row>
    <row r="442" spans="1:68" ht="27" customHeight="1" x14ac:dyDescent="0.25">
      <c r="A442" s="54" t="s">
        <v>678</v>
      </c>
      <c r="B442" s="54" t="s">
        <v>679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69</v>
      </c>
      <c r="X442" s="539">
        <v>57</v>
      </c>
      <c r="Y442" s="540">
        <f t="shared" si="48"/>
        <v>58.080000000000005</v>
      </c>
      <c r="Z442" s="36">
        <f>IFERROR(IF(Y442=0,"",ROUNDUP(Y442/H442,0)*0.01196),"")</f>
        <v>0.13156000000000001</v>
      </c>
      <c r="AA442" s="56"/>
      <c r="AB442" s="57"/>
      <c r="AC442" s="491" t="s">
        <v>680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60.778409090909079</v>
      </c>
      <c r="BN442" s="64">
        <f t="shared" si="50"/>
        <v>61.93</v>
      </c>
      <c r="BO442" s="64">
        <f t="shared" si="51"/>
        <v>0.10380244755244755</v>
      </c>
      <c r="BP442" s="64">
        <f t="shared" si="52"/>
        <v>0.10576923076923078</v>
      </c>
    </row>
    <row r="443" spans="1:68" ht="27" customHeight="1" x14ac:dyDescent="0.25">
      <c r="A443" s="54" t="s">
        <v>681</v>
      </c>
      <c r="B443" s="54" t="s">
        <v>682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/>
      <c r="M443" s="33" t="s">
        <v>104</v>
      </c>
      <c r="N443" s="33"/>
      <c r="O443" s="32">
        <v>70</v>
      </c>
      <c r="P443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674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683</v>
      </c>
      <c r="B444" s="54" t="s">
        <v>684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/>
      <c r="M444" s="33" t="s">
        <v>68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685</v>
      </c>
      <c r="B445" s="54" t="s">
        <v>686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6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7"/>
      <c r="P446" s="557" t="s">
        <v>71</v>
      </c>
      <c r="Q446" s="558"/>
      <c r="R446" s="558"/>
      <c r="S446" s="558"/>
      <c r="T446" s="558"/>
      <c r="U446" s="558"/>
      <c r="V446" s="559"/>
      <c r="W446" s="37" t="s">
        <v>72</v>
      </c>
      <c r="X446" s="541">
        <f>IFERROR(X440/H440,"0")+IFERROR(X441/H441,"0")+IFERROR(X442/H442,"0")+IFERROR(X443/H443,"0")+IFERROR(X444/H444,"0")+IFERROR(X445/H445,"0")</f>
        <v>27.083333333333336</v>
      </c>
      <c r="Y446" s="541">
        <f>IFERROR(Y440/H440,"0")+IFERROR(Y441/H441,"0")+IFERROR(Y442/H442,"0")+IFERROR(Y443/H443,"0")+IFERROR(Y444/H444,"0")+IFERROR(Y445/H445,"0")</f>
        <v>28</v>
      </c>
      <c r="Z446" s="541">
        <f>IFERROR(IF(Z440="",0,Z440),"0")+IFERROR(IF(Z441="",0,Z441),"0")+IFERROR(IF(Z442="",0,Z442),"0")+IFERROR(IF(Z443="",0,Z443),"0")+IFERROR(IF(Z444="",0,Z444),"0")+IFERROR(IF(Z445="",0,Z445),"0")</f>
        <v>0.33488000000000001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7"/>
      <c r="P447" s="557" t="s">
        <v>71</v>
      </c>
      <c r="Q447" s="558"/>
      <c r="R447" s="558"/>
      <c r="S447" s="558"/>
      <c r="T447" s="558"/>
      <c r="U447" s="558"/>
      <c r="V447" s="559"/>
      <c r="W447" s="37" t="s">
        <v>69</v>
      </c>
      <c r="X447" s="541">
        <f>IFERROR(SUM(X440:X445),"0")</f>
        <v>143</v>
      </c>
      <c r="Y447" s="541">
        <f>IFERROR(SUM(Y440:Y445),"0")</f>
        <v>147.84</v>
      </c>
      <c r="Z447" s="37"/>
      <c r="AA447" s="542"/>
      <c r="AB447" s="542"/>
      <c r="AC447" s="542"/>
    </row>
    <row r="448" spans="1:68" ht="14.25" customHeight="1" x14ac:dyDescent="0.25">
      <c r="A448" s="554" t="s">
        <v>73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687</v>
      </c>
      <c r="B449" s="54" t="s">
        <v>688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689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690</v>
      </c>
      <c r="B450" s="54" t="s">
        <v>691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693</v>
      </c>
      <c r="B451" s="54" t="s">
        <v>694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6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7"/>
      <c r="P452" s="557" t="s">
        <v>71</v>
      </c>
      <c r="Q452" s="558"/>
      <c r="R452" s="558"/>
      <c r="S452" s="558"/>
      <c r="T452" s="558"/>
      <c r="U452" s="558"/>
      <c r="V452" s="559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7"/>
      <c r="P453" s="557" t="s">
        <v>71</v>
      </c>
      <c r="Q453" s="558"/>
      <c r="R453" s="558"/>
      <c r="S453" s="558"/>
      <c r="T453" s="558"/>
      <c r="U453" s="558"/>
      <c r="V453" s="559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696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696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99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697</v>
      </c>
      <c r="B457" s="54" t="s">
        <v>698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699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700</v>
      </c>
      <c r="B458" s="54" t="s">
        <v>701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0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703</v>
      </c>
      <c r="B459" s="54" t="s">
        <v>704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 t="s">
        <v>103</v>
      </c>
      <c r="M459" s="33" t="s">
        <v>104</v>
      </c>
      <c r="N459" s="33"/>
      <c r="O459" s="32">
        <v>50</v>
      </c>
      <c r="P459" s="7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 t="s">
        <v>106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706</v>
      </c>
      <c r="B460" s="54" t="s">
        <v>707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6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699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6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7"/>
      <c r="P461" s="557" t="s">
        <v>71</v>
      </c>
      <c r="Q461" s="558"/>
      <c r="R461" s="558"/>
      <c r="S461" s="558"/>
      <c r="T461" s="558"/>
      <c r="U461" s="558"/>
      <c r="V461" s="559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7"/>
      <c r="P462" s="557" t="s">
        <v>71</v>
      </c>
      <c r="Q462" s="558"/>
      <c r="R462" s="558"/>
      <c r="S462" s="558"/>
      <c r="T462" s="558"/>
      <c r="U462" s="558"/>
      <c r="V462" s="559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135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708</v>
      </c>
      <c r="B464" s="54" t="s">
        <v>709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711</v>
      </c>
      <c r="B465" s="54" t="s">
        <v>712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714</v>
      </c>
      <c r="B466" s="54" t="s">
        <v>715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6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7"/>
      <c r="P467" s="557" t="s">
        <v>71</v>
      </c>
      <c r="Q467" s="558"/>
      <c r="R467" s="558"/>
      <c r="S467" s="558"/>
      <c r="T467" s="558"/>
      <c r="U467" s="558"/>
      <c r="V467" s="559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7"/>
      <c r="P468" s="557" t="s">
        <v>71</v>
      </c>
      <c r="Q468" s="558"/>
      <c r="R468" s="558"/>
      <c r="S468" s="558"/>
      <c r="T468" s="558"/>
      <c r="U468" s="558"/>
      <c r="V468" s="559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64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717</v>
      </c>
      <c r="B470" s="54" t="s">
        <v>718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9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719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720</v>
      </c>
      <c r="B471" s="54" t="s">
        <v>721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6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7"/>
      <c r="P472" s="557" t="s">
        <v>71</v>
      </c>
      <c r="Q472" s="558"/>
      <c r="R472" s="558"/>
      <c r="S472" s="558"/>
      <c r="T472" s="558"/>
      <c r="U472" s="558"/>
      <c r="V472" s="559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7"/>
      <c r="P473" s="557" t="s">
        <v>71</v>
      </c>
      <c r="Q473" s="558"/>
      <c r="R473" s="558"/>
      <c r="S473" s="558"/>
      <c r="T473" s="558"/>
      <c r="U473" s="558"/>
      <c r="V473" s="559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73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723</v>
      </c>
      <c r="B475" s="54" t="s">
        <v>724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69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725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6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7"/>
      <c r="P476" s="557" t="s">
        <v>71</v>
      </c>
      <c r="Q476" s="558"/>
      <c r="R476" s="558"/>
      <c r="S476" s="558"/>
      <c r="T476" s="558"/>
      <c r="U476" s="558"/>
      <c r="V476" s="559"/>
      <c r="W476" s="37" t="s">
        <v>72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7"/>
      <c r="P477" s="557" t="s">
        <v>71</v>
      </c>
      <c r="Q477" s="558"/>
      <c r="R477" s="558"/>
      <c r="S477" s="558"/>
      <c r="T477" s="558"/>
      <c r="U477" s="558"/>
      <c r="V477" s="559"/>
      <c r="W477" s="37" t="s">
        <v>69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customHeight="1" x14ac:dyDescent="0.25">
      <c r="A478" s="554" t="s">
        <v>163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726</v>
      </c>
      <c r="B479" s="54" t="s">
        <v>727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728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729</v>
      </c>
      <c r="B480" s="54" t="s">
        <v>730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6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7"/>
      <c r="P481" s="557" t="s">
        <v>71</v>
      </c>
      <c r="Q481" s="558"/>
      <c r="R481" s="558"/>
      <c r="S481" s="558"/>
      <c r="T481" s="558"/>
      <c r="U481" s="558"/>
      <c r="V481" s="559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7"/>
      <c r="P482" s="557" t="s">
        <v>71</v>
      </c>
      <c r="Q482" s="558"/>
      <c r="R482" s="558"/>
      <c r="S482" s="558"/>
      <c r="T482" s="558"/>
      <c r="U482" s="558"/>
      <c r="V482" s="559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732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135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733</v>
      </c>
      <c r="B485" s="54" t="s">
        <v>734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4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735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6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7"/>
      <c r="P486" s="557" t="s">
        <v>71</v>
      </c>
      <c r="Q486" s="558"/>
      <c r="R486" s="558"/>
      <c r="S486" s="558"/>
      <c r="T486" s="558"/>
      <c r="U486" s="558"/>
      <c r="V486" s="559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7"/>
      <c r="P487" s="557" t="s">
        <v>71</v>
      </c>
      <c r="Q487" s="558"/>
      <c r="R487" s="558"/>
      <c r="S487" s="558"/>
      <c r="T487" s="558"/>
      <c r="U487" s="558"/>
      <c r="V487" s="559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7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8" t="s">
        <v>736</v>
      </c>
      <c r="Q488" s="629"/>
      <c r="R488" s="629"/>
      <c r="S488" s="629"/>
      <c r="T488" s="629"/>
      <c r="U488" s="629"/>
      <c r="V488" s="630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1335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1367.34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8" t="s">
        <v>737</v>
      </c>
      <c r="Q489" s="629"/>
      <c r="R489" s="629"/>
      <c r="S489" s="629"/>
      <c r="T489" s="629"/>
      <c r="U489" s="629"/>
      <c r="V489" s="630"/>
      <c r="W489" s="37" t="s">
        <v>69</v>
      </c>
      <c r="X489" s="541">
        <f>IFERROR(SUM(BM22:BM485),"0")</f>
        <v>1416.365584175084</v>
      </c>
      <c r="Y489" s="541">
        <f>IFERROR(SUM(BN22:BN485),"0")</f>
        <v>1450.6120000000003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8" t="s">
        <v>738</v>
      </c>
      <c r="Q490" s="629"/>
      <c r="R490" s="629"/>
      <c r="S490" s="629"/>
      <c r="T490" s="629"/>
      <c r="U490" s="629"/>
      <c r="V490" s="630"/>
      <c r="W490" s="37" t="s">
        <v>739</v>
      </c>
      <c r="X490" s="38">
        <f>ROUNDUP(SUM(BO22:BO485),0)</f>
        <v>3</v>
      </c>
      <c r="Y490" s="38">
        <f>ROUNDUP(SUM(BP22:BP485),0)</f>
        <v>3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8" t="s">
        <v>740</v>
      </c>
      <c r="Q491" s="629"/>
      <c r="R491" s="629"/>
      <c r="S491" s="629"/>
      <c r="T491" s="629"/>
      <c r="U491" s="629"/>
      <c r="V491" s="630"/>
      <c r="W491" s="37" t="s">
        <v>69</v>
      </c>
      <c r="X491" s="541">
        <f>GrossWeightTotal+PalletQtyTotal*25</f>
        <v>1491.365584175084</v>
      </c>
      <c r="Y491" s="541">
        <f>GrossWeightTotalR+PalletQtyTotalR*25</f>
        <v>1525.6120000000003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8" t="s">
        <v>741</v>
      </c>
      <c r="Q492" s="629"/>
      <c r="R492" s="629"/>
      <c r="S492" s="629"/>
      <c r="T492" s="629"/>
      <c r="U492" s="629"/>
      <c r="V492" s="630"/>
      <c r="W492" s="37" t="s">
        <v>739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240.51531986531987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246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8" t="s">
        <v>742</v>
      </c>
      <c r="Q493" s="629"/>
      <c r="R493" s="629"/>
      <c r="S493" s="629"/>
      <c r="T493" s="629"/>
      <c r="U493" s="629"/>
      <c r="V493" s="630"/>
      <c r="W493" s="39" t="s">
        <v>743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2.9156000000000004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744</v>
      </c>
      <c r="B495" s="536" t="s">
        <v>63</v>
      </c>
      <c r="C495" s="575" t="s">
        <v>97</v>
      </c>
      <c r="D495" s="593"/>
      <c r="E495" s="593"/>
      <c r="F495" s="593"/>
      <c r="G495" s="593"/>
      <c r="H495" s="594"/>
      <c r="I495" s="575" t="s">
        <v>255</v>
      </c>
      <c r="J495" s="593"/>
      <c r="K495" s="593"/>
      <c r="L495" s="593"/>
      <c r="M495" s="593"/>
      <c r="N495" s="593"/>
      <c r="O495" s="593"/>
      <c r="P495" s="593"/>
      <c r="Q495" s="593"/>
      <c r="R495" s="594"/>
      <c r="S495" s="575" t="s">
        <v>533</v>
      </c>
      <c r="T495" s="594"/>
      <c r="U495" s="575" t="s">
        <v>585</v>
      </c>
      <c r="V495" s="593"/>
      <c r="W495" s="594"/>
      <c r="X495" s="536" t="s">
        <v>636</v>
      </c>
      <c r="Y495" s="575" t="s">
        <v>696</v>
      </c>
      <c r="Z495" s="594"/>
      <c r="AB495" s="52"/>
      <c r="AC495" s="52"/>
      <c r="AF495" s="537"/>
    </row>
    <row r="496" spans="1:68" ht="14.25" customHeight="1" thickTop="1" x14ac:dyDescent="0.2">
      <c r="A496" s="598" t="s">
        <v>745</v>
      </c>
      <c r="B496" s="575" t="s">
        <v>63</v>
      </c>
      <c r="C496" s="575" t="s">
        <v>98</v>
      </c>
      <c r="D496" s="575" t="s">
        <v>116</v>
      </c>
      <c r="E496" s="575" t="s">
        <v>170</v>
      </c>
      <c r="F496" s="575" t="s">
        <v>190</v>
      </c>
      <c r="G496" s="575" t="s">
        <v>220</v>
      </c>
      <c r="H496" s="575" t="s">
        <v>97</v>
      </c>
      <c r="I496" s="575" t="s">
        <v>256</v>
      </c>
      <c r="J496" s="575" t="s">
        <v>297</v>
      </c>
      <c r="K496" s="575" t="s">
        <v>357</v>
      </c>
      <c r="L496" s="575" t="s">
        <v>399</v>
      </c>
      <c r="M496" s="575" t="s">
        <v>415</v>
      </c>
      <c r="N496" s="537"/>
      <c r="O496" s="575" t="s">
        <v>426</v>
      </c>
      <c r="P496" s="575" t="s">
        <v>435</v>
      </c>
      <c r="Q496" s="575" t="s">
        <v>445</v>
      </c>
      <c r="R496" s="575" t="s">
        <v>523</v>
      </c>
      <c r="S496" s="575" t="s">
        <v>534</v>
      </c>
      <c r="T496" s="575" t="s">
        <v>569</v>
      </c>
      <c r="U496" s="575" t="s">
        <v>586</v>
      </c>
      <c r="V496" s="575" t="s">
        <v>617</v>
      </c>
      <c r="W496" s="575" t="s">
        <v>632</v>
      </c>
      <c r="X496" s="575" t="s">
        <v>636</v>
      </c>
      <c r="Y496" s="575" t="s">
        <v>696</v>
      </c>
      <c r="Z496" s="575" t="s">
        <v>732</v>
      </c>
      <c r="AB496" s="52"/>
      <c r="AC496" s="52"/>
      <c r="AF496" s="537"/>
    </row>
    <row r="497" spans="1:32" ht="13.5" customHeight="1" thickBot="1" x14ac:dyDescent="0.25">
      <c r="A497" s="599"/>
      <c r="B497" s="576"/>
      <c r="C497" s="576"/>
      <c r="D497" s="576"/>
      <c r="E497" s="576"/>
      <c r="F497" s="576"/>
      <c r="G497" s="576"/>
      <c r="H497" s="576"/>
      <c r="I497" s="576"/>
      <c r="J497" s="576"/>
      <c r="K497" s="576"/>
      <c r="L497" s="576"/>
      <c r="M497" s="576"/>
      <c r="N497" s="537"/>
      <c r="O497" s="576"/>
      <c r="P497" s="576"/>
      <c r="Q497" s="576"/>
      <c r="R497" s="576"/>
      <c r="S497" s="576"/>
      <c r="T497" s="576"/>
      <c r="U497" s="576"/>
      <c r="V497" s="576"/>
      <c r="W497" s="576"/>
      <c r="X497" s="576"/>
      <c r="Y497" s="576"/>
      <c r="Z497" s="576"/>
      <c r="AB497" s="52"/>
      <c r="AC497" s="52"/>
      <c r="AF497" s="537"/>
    </row>
    <row r="498" spans="1:32" ht="18" customHeight="1" thickTop="1" thickBot="1" x14ac:dyDescent="0.25">
      <c r="A498" s="40" t="s">
        <v>746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46">
        <f>IFERROR(Y85*1,"0")+IFERROR(Y86*1,"0")+IFERROR(Y87*1,"0")+IFERROR(Y91*1,"0")+IFERROR(Y92*1,"0")+IFERROR(Y93*1,"0")+IFERROR(Y94*1,"0")</f>
        <v>81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105.3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146.39999999999998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72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70.2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375</v>
      </c>
      <c r="T498" s="46">
        <f>IFERROR(Y367*1,"0")+IFERROR(Y368*1,"0")+IFERROR(Y372*1,"0")+IFERROR(Y373*1,"0")+IFERROR(Y377*1,"0")+IFERROR(Y378*1,"0")</f>
        <v>0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517.44000000000005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an1yzAv6DglFAHw6DEKZPcoL62UQDf/I6YfLiT9IdR5nv8S1jTYSCZ8ExCE7cFCvr6RrkuJjOc0dQ3VfcFtMGg==" saltValue="+7HMETAL/OAV7zsxKa74c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A484:Z484"/>
    <mergeCell ref="P218:T218"/>
    <mergeCell ref="P69:V69"/>
    <mergeCell ref="P311:V311"/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303:V303"/>
    <mergeCell ref="P132:V132"/>
    <mergeCell ref="P72:T72"/>
    <mergeCell ref="A31:O32"/>
    <mergeCell ref="P199:T199"/>
    <mergeCell ref="A478:Z478"/>
    <mergeCell ref="P436:T436"/>
    <mergeCell ref="A33:Z33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P492:V492"/>
    <mergeCell ref="A103:O104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481:V481"/>
    <mergeCell ref="P102:T102"/>
    <mergeCell ref="P196:T196"/>
    <mergeCell ref="A483:Z483"/>
    <mergeCell ref="P281:V281"/>
    <mergeCell ref="D226:E226"/>
    <mergeCell ref="D164:E164"/>
    <mergeCell ref="P62:T62"/>
    <mergeCell ref="P420:T420"/>
    <mergeCell ref="D475:E475"/>
    <mergeCell ref="A488:O493"/>
    <mergeCell ref="P146:T146"/>
    <mergeCell ref="D323:E323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P34:T34"/>
    <mergeCell ref="D257:E257"/>
    <mergeCell ref="P214:T214"/>
    <mergeCell ref="D86:E86"/>
    <mergeCell ref="D384:E384"/>
    <mergeCell ref="D213:E213"/>
    <mergeCell ref="P192:V192"/>
    <mergeCell ref="P284:V284"/>
    <mergeCell ref="Z496:Z497"/>
    <mergeCell ref="D358:E358"/>
    <mergeCell ref="P70:V70"/>
    <mergeCell ref="P337:V337"/>
    <mergeCell ref="A156:Z156"/>
    <mergeCell ref="A454:Z454"/>
    <mergeCell ref="P116:V116"/>
    <mergeCell ref="P32:V32"/>
    <mergeCell ref="P103:V103"/>
    <mergeCell ref="A155:Z155"/>
    <mergeCell ref="P268:V268"/>
    <mergeCell ref="A455:Z455"/>
    <mergeCell ref="P470:T470"/>
    <mergeCell ref="D449:E449"/>
    <mergeCell ref="D321:E321"/>
    <mergeCell ref="P278:T278"/>
    <mergeCell ref="P107:T107"/>
    <mergeCell ref="P101:T101"/>
    <mergeCell ref="E496:E497"/>
    <mergeCell ref="P465:T465"/>
    <mergeCell ref="D386:E386"/>
    <mergeCell ref="G496:G497"/>
    <mergeCell ref="P250:V250"/>
    <mergeCell ref="P63:V63"/>
    <mergeCell ref="Y496:Y497"/>
    <mergeCell ref="A452:O453"/>
    <mergeCell ref="D459:E459"/>
    <mergeCell ref="D288:E28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D373:E373"/>
    <mergeCell ref="D202:E202"/>
    <mergeCell ref="A242:O243"/>
    <mergeCell ref="A179:Z17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P106:T10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P327:T327"/>
    <mergeCell ref="P468:V468"/>
    <mergeCell ref="A439:Z439"/>
    <mergeCell ref="P212:T212"/>
    <mergeCell ref="AA17:AA18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388:T388"/>
    <mergeCell ref="P459:T459"/>
    <mergeCell ref="D465:E465"/>
    <mergeCell ref="D440:E440"/>
    <mergeCell ref="D198:E198"/>
    <mergeCell ref="D296:E296"/>
    <mergeCell ref="P275:V275"/>
    <mergeCell ref="A252:Z252"/>
    <mergeCell ref="D427:E427"/>
    <mergeCell ref="P104:V104"/>
    <mergeCell ref="P27:T27"/>
    <mergeCell ref="A284:O285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Q496:Q497"/>
    <mergeCell ref="S496:S497"/>
    <mergeCell ref="P440:T440"/>
    <mergeCell ref="A418:Z418"/>
    <mergeCell ref="D283:E283"/>
    <mergeCell ref="A356:Z356"/>
    <mergeCell ref="D112:E11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153:O154"/>
    <mergeCell ref="A133:Z133"/>
    <mergeCell ref="D125:E125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D329:E329"/>
    <mergeCell ref="D158:E158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A250:O251"/>
    <mergeCell ref="D308:E308"/>
    <mergeCell ref="D147:E147"/>
    <mergeCell ref="A105:Z105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4:X165 X168 X186 X195:X200 X202 X206:X209 X211:X214 X232 X254 X256 X272:X273 X297 X306 X315 X322:X323 X335:X336 X342:X344 X352 X367 X372 X377:X378 X386 X420:X422 X425 X434 X436 X440:X442 X459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tijkfmOu+7lmyM//yLYNauYR0z8tEO8Lfbr++L/sEpRvFRnYWvTzzDHZujnJ0z1Wd7hltJUGr1Pp7r34vYIOEA==" saltValue="roumy47e3I7yz0DKy25i0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2025-11-12T06:49:08Z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