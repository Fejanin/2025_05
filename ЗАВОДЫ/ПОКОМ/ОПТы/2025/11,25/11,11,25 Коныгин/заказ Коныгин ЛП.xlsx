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0BFDA791-6B58-4DB3-80D7-1F590C4594A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Y305" i="1" s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X285" i="1"/>
  <c r="X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Y274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X188" i="1"/>
  <c r="Y187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Y149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31" i="1" l="1"/>
  <c r="Y43" i="1"/>
  <c r="Y493" i="1" s="1"/>
  <c r="Y58" i="1"/>
  <c r="Y64" i="1"/>
  <c r="Y70" i="1"/>
  <c r="Z88" i="1"/>
  <c r="BP86" i="1"/>
  <c r="BN86" i="1"/>
  <c r="Z86" i="1"/>
  <c r="BP94" i="1"/>
  <c r="BN94" i="1"/>
  <c r="Z94" i="1"/>
  <c r="Y96" i="1"/>
  <c r="F499" i="1"/>
  <c r="Y104" i="1"/>
  <c r="BP99" i="1"/>
  <c r="BN99" i="1"/>
  <c r="Z99" i="1"/>
  <c r="Y103" i="1"/>
  <c r="Z109" i="1"/>
  <c r="BP107" i="1"/>
  <c r="BN107" i="1"/>
  <c r="Z107" i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Z143" i="1"/>
  <c r="BP141" i="1"/>
  <c r="BN141" i="1"/>
  <c r="Z141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Y171" i="1"/>
  <c r="BP162" i="1"/>
  <c r="BN162" i="1"/>
  <c r="Z162" i="1"/>
  <c r="BP166" i="1"/>
  <c r="BN166" i="1"/>
  <c r="Z166" i="1"/>
  <c r="BP170" i="1"/>
  <c r="BN170" i="1"/>
  <c r="Z170" i="1"/>
  <c r="Y172" i="1"/>
  <c r="Y177" i="1"/>
  <c r="BP174" i="1"/>
  <c r="BN174" i="1"/>
  <c r="Z174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Z215" i="1" s="1"/>
  <c r="BP214" i="1"/>
  <c r="BN214" i="1"/>
  <c r="Z214" i="1"/>
  <c r="Y216" i="1"/>
  <c r="Y221" i="1"/>
  <c r="BP218" i="1"/>
  <c r="BN218" i="1"/>
  <c r="Z218" i="1"/>
  <c r="Z220" i="1" s="1"/>
  <c r="Y220" i="1"/>
  <c r="BP279" i="1"/>
  <c r="BN279" i="1"/>
  <c r="Z279" i="1"/>
  <c r="Z280" i="1" s="1"/>
  <c r="Y281" i="1"/>
  <c r="Y284" i="1"/>
  <c r="BP283" i="1"/>
  <c r="BN283" i="1"/>
  <c r="Z283" i="1"/>
  <c r="Z284" i="1" s="1"/>
  <c r="Y285" i="1"/>
  <c r="Q499" i="1"/>
  <c r="Y295" i="1"/>
  <c r="BP288" i="1"/>
  <c r="BN288" i="1"/>
  <c r="Z288" i="1"/>
  <c r="Y294" i="1"/>
  <c r="BP292" i="1"/>
  <c r="BN292" i="1"/>
  <c r="Z292" i="1"/>
  <c r="BP329" i="1"/>
  <c r="BN329" i="1"/>
  <c r="Z329" i="1"/>
  <c r="Z331" i="1" s="1"/>
  <c r="Y331" i="1"/>
  <c r="D499" i="1"/>
  <c r="H9" i="1"/>
  <c r="B499" i="1"/>
  <c r="X490" i="1"/>
  <c r="X492" i="1" s="1"/>
  <c r="X491" i="1"/>
  <c r="X493" i="1"/>
  <c r="Y24" i="1"/>
  <c r="Z27" i="1"/>
  <c r="Z31" i="1" s="1"/>
  <c r="BN27" i="1"/>
  <c r="Y490" i="1" s="1"/>
  <c r="Y492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Z66" i="1"/>
  <c r="BN66" i="1"/>
  <c r="BP66" i="1"/>
  <c r="Z68" i="1"/>
  <c r="BN68" i="1"/>
  <c r="Z72" i="1"/>
  <c r="Z76" i="1" s="1"/>
  <c r="BN72" i="1"/>
  <c r="BP72" i="1"/>
  <c r="Z74" i="1"/>
  <c r="BN74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Y143" i="1"/>
  <c r="BP147" i="1"/>
  <c r="BN147" i="1"/>
  <c r="Z147" i="1"/>
  <c r="Z149" i="1" s="1"/>
  <c r="BP164" i="1"/>
  <c r="BN164" i="1"/>
  <c r="Z164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9" i="1"/>
  <c r="Y188" i="1"/>
  <c r="BP185" i="1"/>
  <c r="BN185" i="1"/>
  <c r="Z185" i="1"/>
  <c r="Z187" i="1" s="1"/>
  <c r="Y192" i="1"/>
  <c r="BP197" i="1"/>
  <c r="BN197" i="1"/>
  <c r="Z197" i="1"/>
  <c r="BP201" i="1"/>
  <c r="BN201" i="1"/>
  <c r="Z201" i="1"/>
  <c r="BP209" i="1"/>
  <c r="BN209" i="1"/>
  <c r="Z209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300" i="1"/>
  <c r="BN300" i="1"/>
  <c r="Z300" i="1"/>
  <c r="Y304" i="1"/>
  <c r="BP308" i="1"/>
  <c r="BN308" i="1"/>
  <c r="Z308" i="1"/>
  <c r="Y312" i="1"/>
  <c r="BP316" i="1"/>
  <c r="BN316" i="1"/>
  <c r="Z316" i="1"/>
  <c r="Z318" i="1" s="1"/>
  <c r="Y318" i="1"/>
  <c r="BP344" i="1"/>
  <c r="BN344" i="1"/>
  <c r="Z344" i="1"/>
  <c r="Z350" i="1" s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5" i="1"/>
  <c r="BP210" i="1"/>
  <c r="BN210" i="1"/>
  <c r="BP212" i="1"/>
  <c r="BN212" i="1"/>
  <c r="Z212" i="1"/>
  <c r="BP225" i="1"/>
  <c r="BN225" i="1"/>
  <c r="Z225" i="1"/>
  <c r="Z234" i="1" s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Z250" i="1" s="1"/>
  <c r="BP249" i="1"/>
  <c r="BN249" i="1"/>
  <c r="Z249" i="1"/>
  <c r="Y251" i="1"/>
  <c r="Y259" i="1"/>
  <c r="BP254" i="1"/>
  <c r="BN254" i="1"/>
  <c r="Z254" i="1"/>
  <c r="Z259" i="1" s="1"/>
  <c r="BP258" i="1"/>
  <c r="BN258" i="1"/>
  <c r="Z258" i="1"/>
  <c r="Y260" i="1"/>
  <c r="M499" i="1"/>
  <c r="Y268" i="1"/>
  <c r="BP263" i="1"/>
  <c r="BN263" i="1"/>
  <c r="Z263" i="1"/>
  <c r="Z267" i="1" s="1"/>
  <c r="Y267" i="1"/>
  <c r="BP272" i="1"/>
  <c r="BN272" i="1"/>
  <c r="Z272" i="1"/>
  <c r="Z274" i="1" s="1"/>
  <c r="BP290" i="1"/>
  <c r="BN290" i="1"/>
  <c r="Z290" i="1"/>
  <c r="BP298" i="1"/>
  <c r="BN298" i="1"/>
  <c r="Z298" i="1"/>
  <c r="BP302" i="1"/>
  <c r="BN302" i="1"/>
  <c r="Z302" i="1"/>
  <c r="Z304" i="1" s="1"/>
  <c r="Y313" i="1"/>
  <c r="BP310" i="1"/>
  <c r="BN310" i="1"/>
  <c r="Z310" i="1"/>
  <c r="Z312" i="1" s="1"/>
  <c r="Y319" i="1"/>
  <c r="Z325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K499" i="1"/>
  <c r="Y234" i="1"/>
  <c r="O499" i="1"/>
  <c r="Y275" i="1"/>
  <c r="P499" i="1"/>
  <c r="Y280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394" i="1" l="1"/>
  <c r="Z294" i="1"/>
  <c r="Z171" i="1"/>
  <c r="Z103" i="1"/>
  <c r="Z438" i="1"/>
  <c r="Z447" i="1"/>
  <c r="Z432" i="1"/>
  <c r="Z69" i="1"/>
  <c r="Z494" i="1" s="1"/>
  <c r="Y489" i="1"/>
  <c r="Z203" i="1"/>
  <c r="Z177" i="1"/>
</calcChain>
</file>

<file path=xl/sharedStrings.xml><?xml version="1.0" encoding="utf-8"?>
<sst xmlns="http://schemas.openxmlformats.org/spreadsheetml/2006/main" count="2346" uniqueCount="765">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</sst>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7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5" xfId="0" applyBorder="1" applyProtection="1">
      <protection hidden="1"/>
    </xf>
    <xf numFmtId="0" fontId="281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8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4" customWidth="1"/>
    <col min="19" max="19" width="6.140625" style="5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4" customWidth="1"/>
    <col min="25" max="25" width="11" style="534" customWidth="1"/>
    <col min="26" max="26" width="10" style="534" customWidth="1"/>
    <col min="27" max="27" width="11.5703125" style="534" customWidth="1"/>
    <col min="28" max="28" width="10.42578125" style="534" customWidth="1"/>
    <col min="29" max="29" width="30" style="5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4" customWidth="1"/>
    <col min="34" max="34" width="9.140625" style="534" customWidth="1"/>
    <col min="35" max="16384" width="9.140625" style="534"/>
  </cols>
  <sheetData>
    <row r="1" spans="1:32" s="538" customFormat="1" ht="45" customHeight="1" x14ac:dyDescent="0.2">
      <c r="A1" s="41"/>
      <c r="B1" s="41"/>
      <c r="C1" s="41"/>
      <c r="D1" s="613" t="s">
        <v>0</v>
      </c>
      <c r="E1" s="572"/>
      <c r="F1" s="572"/>
      <c r="G1" s="12" t="s">
        <v>1</v>
      </c>
      <c r="H1" s="613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8" customFormat="1" ht="23.45" customHeight="1" x14ac:dyDescent="0.2">
      <c r="A5" s="652" t="s">
        <v>8</v>
      </c>
      <c r="B5" s="631"/>
      <c r="C5" s="632"/>
      <c r="D5" s="616"/>
      <c r="E5" s="617"/>
      <c r="F5" s="824" t="s">
        <v>9</v>
      </c>
      <c r="G5" s="632"/>
      <c r="H5" s="616"/>
      <c r="I5" s="762"/>
      <c r="J5" s="762"/>
      <c r="K5" s="762"/>
      <c r="L5" s="762"/>
      <c r="M5" s="617"/>
      <c r="N5" s="58"/>
      <c r="P5" s="24" t="s">
        <v>10</v>
      </c>
      <c r="Q5" s="837">
        <v>45974</v>
      </c>
      <c r="R5" s="651"/>
      <c r="T5" s="700" t="s">
        <v>11</v>
      </c>
      <c r="U5" s="701"/>
      <c r="V5" s="702" t="s">
        <v>12</v>
      </c>
      <c r="W5" s="651"/>
      <c r="AB5" s="51"/>
      <c r="AC5" s="51"/>
      <c r="AD5" s="51"/>
      <c r="AE5" s="51"/>
    </row>
    <row r="6" spans="1:32" s="538" customFormat="1" ht="24" customHeight="1" x14ac:dyDescent="0.2">
      <c r="A6" s="652" t="s">
        <v>13</v>
      </c>
      <c r="B6" s="631"/>
      <c r="C6" s="632"/>
      <c r="D6" s="764" t="s">
        <v>14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Четверг</v>
      </c>
      <c r="R6" s="549"/>
      <c r="T6" s="707" t="s">
        <v>16</v>
      </c>
      <c r="U6" s="701"/>
      <c r="V6" s="749" t="s">
        <v>17</v>
      </c>
      <c r="W6" s="585"/>
      <c r="AB6" s="51"/>
      <c r="AC6" s="51"/>
      <c r="AD6" s="51"/>
      <c r="AE6" s="51"/>
    </row>
    <row r="7" spans="1:32" s="538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6"/>
      <c r="U7" s="701"/>
      <c r="V7" s="750"/>
      <c r="W7" s="751"/>
      <c r="AB7" s="51"/>
      <c r="AC7" s="51"/>
      <c r="AD7" s="51"/>
      <c r="AE7" s="51"/>
    </row>
    <row r="8" spans="1:32" s="538" customFormat="1" ht="25.5" customHeight="1" x14ac:dyDescent="0.2">
      <c r="A8" s="861" t="s">
        <v>18</v>
      </c>
      <c r="B8" s="563"/>
      <c r="C8" s="564"/>
      <c r="D8" s="605" t="s">
        <v>19</v>
      </c>
      <c r="E8" s="606"/>
      <c r="F8" s="606"/>
      <c r="G8" s="606"/>
      <c r="H8" s="606"/>
      <c r="I8" s="606"/>
      <c r="J8" s="606"/>
      <c r="K8" s="606"/>
      <c r="L8" s="606"/>
      <c r="M8" s="607"/>
      <c r="N8" s="61"/>
      <c r="P8" s="24" t="s">
        <v>20</v>
      </c>
      <c r="Q8" s="661">
        <v>0.41666666666666669</v>
      </c>
      <c r="R8" s="598"/>
      <c r="T8" s="556"/>
      <c r="U8" s="701"/>
      <c r="V8" s="750"/>
      <c r="W8" s="751"/>
      <c r="AB8" s="51"/>
      <c r="AC8" s="51"/>
      <c r="AD8" s="51"/>
      <c r="AE8" s="51"/>
    </row>
    <row r="9" spans="1:32" s="538" customFormat="1" ht="39.950000000000003" customHeight="1" x14ac:dyDescent="0.2">
      <c r="A9" s="67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73"/>
      <c r="E9" s="561"/>
      <c r="F9" s="67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9"/>
      <c r="P9" s="26" t="s">
        <v>21</v>
      </c>
      <c r="Q9" s="648"/>
      <c r="R9" s="649"/>
      <c r="T9" s="556"/>
      <c r="U9" s="701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8" customFormat="1" ht="26.45" customHeight="1" x14ac:dyDescent="0.2">
      <c r="A10" s="67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73"/>
      <c r="E10" s="561"/>
      <c r="F10" s="67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740" t="str">
        <f>IFERROR(VLOOKUP($D$10,Proxy,2,FALSE),"")</f>
        <v/>
      </c>
      <c r="I10" s="556"/>
      <c r="J10" s="556"/>
      <c r="K10" s="556"/>
      <c r="L10" s="556"/>
      <c r="M10" s="556"/>
      <c r="N10" s="537"/>
      <c r="P10" s="26" t="s">
        <v>22</v>
      </c>
      <c r="Q10" s="708"/>
      <c r="R10" s="709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9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8" customFormat="1" ht="18.600000000000001" customHeight="1" x14ac:dyDescent="0.2">
      <c r="A12" s="694" t="s">
        <v>29</v>
      </c>
      <c r="B12" s="631"/>
      <c r="C12" s="631"/>
      <c r="D12" s="631"/>
      <c r="E12" s="631"/>
      <c r="F12" s="631"/>
      <c r="G12" s="631"/>
      <c r="H12" s="631"/>
      <c r="I12" s="631"/>
      <c r="J12" s="631"/>
      <c r="K12" s="631"/>
      <c r="L12" s="631"/>
      <c r="M12" s="632"/>
      <c r="N12" s="62"/>
      <c r="P12" s="24" t="s">
        <v>30</v>
      </c>
      <c r="Q12" s="661"/>
      <c r="R12" s="598"/>
      <c r="S12" s="23"/>
      <c r="U12" s="24"/>
      <c r="V12" s="572"/>
      <c r="W12" s="556"/>
      <c r="AB12" s="51"/>
      <c r="AC12" s="51"/>
      <c r="AD12" s="51"/>
      <c r="AE12" s="51"/>
    </row>
    <row r="13" spans="1:32" s="538" customFormat="1" ht="23.25" customHeight="1" x14ac:dyDescent="0.2">
      <c r="A13" s="694" t="s">
        <v>31</v>
      </c>
      <c r="B13" s="631"/>
      <c r="C13" s="631"/>
      <c r="D13" s="631"/>
      <c r="E13" s="631"/>
      <c r="F13" s="631"/>
      <c r="G13" s="631"/>
      <c r="H13" s="631"/>
      <c r="I13" s="631"/>
      <c r="J13" s="631"/>
      <c r="K13" s="631"/>
      <c r="L13" s="631"/>
      <c r="M13" s="632"/>
      <c r="N13" s="62"/>
      <c r="O13" s="26"/>
      <c r="P13" s="26" t="s">
        <v>32</v>
      </c>
      <c r="Q13" s="789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8" customFormat="1" ht="18.600000000000001" customHeight="1" x14ac:dyDescent="0.2">
      <c r="A14" s="694" t="s">
        <v>33</v>
      </c>
      <c r="B14" s="631"/>
      <c r="C14" s="631"/>
      <c r="D14" s="631"/>
      <c r="E14" s="631"/>
      <c r="F14" s="631"/>
      <c r="G14" s="631"/>
      <c r="H14" s="631"/>
      <c r="I14" s="631"/>
      <c r="J14" s="631"/>
      <c r="K14" s="631"/>
      <c r="L14" s="631"/>
      <c r="M14" s="63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8" customFormat="1" ht="22.5" customHeight="1" x14ac:dyDescent="0.2">
      <c r="A15" s="722" t="s">
        <v>34</v>
      </c>
      <c r="B15" s="631"/>
      <c r="C15" s="631"/>
      <c r="D15" s="631"/>
      <c r="E15" s="631"/>
      <c r="F15" s="631"/>
      <c r="G15" s="631"/>
      <c r="H15" s="631"/>
      <c r="I15" s="631"/>
      <c r="J15" s="631"/>
      <c r="K15" s="631"/>
      <c r="L15" s="631"/>
      <c r="M15" s="632"/>
      <c r="N15" s="63"/>
      <c r="P15" s="684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32"/>
      <c r="W17" s="581" t="s">
        <v>52</v>
      </c>
      <c r="X17" s="581" t="s">
        <v>53</v>
      </c>
      <c r="Y17" s="857" t="s">
        <v>54</v>
      </c>
      <c r="Z17" s="760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58"/>
      <c r="Z18" s="761"/>
      <c r="AA18" s="742"/>
      <c r="AB18" s="742"/>
      <c r="AC18" s="742"/>
      <c r="AD18" s="821"/>
      <c r="AE18" s="822"/>
      <c r="AF18" s="823"/>
      <c r="AG18" s="66"/>
      <c r="BD18" s="65"/>
    </row>
    <row r="19" spans="1:68" ht="27.75" customHeight="1" x14ac:dyDescent="0.2">
      <c r="A19" s="633" t="s">
        <v>63</v>
      </c>
      <c r="B19" s="634"/>
      <c r="C19" s="634"/>
      <c r="D19" s="634"/>
      <c r="E19" s="634"/>
      <c r="F19" s="634"/>
      <c r="G19" s="634"/>
      <c r="H19" s="634"/>
      <c r="I19" s="634"/>
      <c r="J19" s="634"/>
      <c r="K19" s="634"/>
      <c r="L19" s="634"/>
      <c r="M19" s="634"/>
      <c r="N19" s="634"/>
      <c r="O19" s="634"/>
      <c r="P19" s="634"/>
      <c r="Q19" s="634"/>
      <c r="R19" s="634"/>
      <c r="S19" s="634"/>
      <c r="T19" s="634"/>
      <c r="U19" s="634"/>
      <c r="V19" s="634"/>
      <c r="W19" s="634"/>
      <c r="X19" s="634"/>
      <c r="Y19" s="634"/>
      <c r="Z19" s="634"/>
      <c r="AA19" s="48"/>
      <c r="AB19" s="48"/>
      <c r="AC19" s="48"/>
    </row>
    <row r="20" spans="1:68" ht="16.5" customHeight="1" x14ac:dyDescent="0.25">
      <c r="A20" s="559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36"/>
      <c r="AB20" s="536"/>
      <c r="AC20" s="536"/>
    </row>
    <row r="21" spans="1:68" ht="14.25" customHeight="1" x14ac:dyDescent="0.25">
      <c r="A21" s="558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5"/>
      <c r="B23" s="556"/>
      <c r="C23" s="556"/>
      <c r="D23" s="556"/>
      <c r="E23" s="556"/>
      <c r="F23" s="556"/>
      <c r="G23" s="556"/>
      <c r="H23" s="556"/>
      <c r="I23" s="556"/>
      <c r="J23" s="556"/>
      <c r="K23" s="556"/>
      <c r="L23" s="556"/>
      <c r="M23" s="556"/>
      <c r="N23" s="556"/>
      <c r="O23" s="557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6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57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56"/>
      <c r="P25" s="556"/>
      <c r="Q25" s="556"/>
      <c r="R25" s="556"/>
      <c r="S25" s="556"/>
      <c r="T25" s="556"/>
      <c r="U25" s="556"/>
      <c r="V25" s="556"/>
      <c r="W25" s="556"/>
      <c r="X25" s="556"/>
      <c r="Y25" s="556"/>
      <c r="Z25" s="556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5"/>
      <c r="B31" s="556"/>
      <c r="C31" s="556"/>
      <c r="D31" s="556"/>
      <c r="E31" s="556"/>
      <c r="F31" s="556"/>
      <c r="G31" s="556"/>
      <c r="H31" s="556"/>
      <c r="I31" s="556"/>
      <c r="J31" s="556"/>
      <c r="K31" s="556"/>
      <c r="L31" s="556"/>
      <c r="M31" s="556"/>
      <c r="N31" s="556"/>
      <c r="O31" s="557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6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57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93</v>
      </c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56"/>
      <c r="P33" s="556"/>
      <c r="Q33" s="556"/>
      <c r="R33" s="556"/>
      <c r="S33" s="556"/>
      <c r="T33" s="556"/>
      <c r="U33" s="556"/>
      <c r="V33" s="556"/>
      <c r="W33" s="556"/>
      <c r="X33" s="556"/>
      <c r="Y33" s="556"/>
      <c r="Z33" s="556"/>
      <c r="AA33" s="535"/>
      <c r="AB33" s="535"/>
      <c r="AC33" s="535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5"/>
      <c r="B35" s="556"/>
      <c r="C35" s="556"/>
      <c r="D35" s="556"/>
      <c r="E35" s="556"/>
      <c r="F35" s="556"/>
      <c r="G35" s="556"/>
      <c r="H35" s="556"/>
      <c r="I35" s="556"/>
      <c r="J35" s="556"/>
      <c r="K35" s="556"/>
      <c r="L35" s="556"/>
      <c r="M35" s="556"/>
      <c r="N35" s="556"/>
      <c r="O35" s="557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6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57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3" t="s">
        <v>99</v>
      </c>
      <c r="B37" s="634"/>
      <c r="C37" s="634"/>
      <c r="D37" s="634"/>
      <c r="E37" s="634"/>
      <c r="F37" s="634"/>
      <c r="G37" s="634"/>
      <c r="H37" s="634"/>
      <c r="I37" s="634"/>
      <c r="J37" s="634"/>
      <c r="K37" s="634"/>
      <c r="L37" s="634"/>
      <c r="M37" s="634"/>
      <c r="N37" s="634"/>
      <c r="O37" s="634"/>
      <c r="P37" s="634"/>
      <c r="Q37" s="634"/>
      <c r="R37" s="634"/>
      <c r="S37" s="634"/>
      <c r="T37" s="634"/>
      <c r="U37" s="634"/>
      <c r="V37" s="634"/>
      <c r="W37" s="634"/>
      <c r="X37" s="634"/>
      <c r="Y37" s="634"/>
      <c r="Z37" s="634"/>
      <c r="AA37" s="48"/>
      <c r="AB37" s="48"/>
      <c r="AC37" s="48"/>
    </row>
    <row r="38" spans="1:68" ht="16.5" customHeight="1" x14ac:dyDescent="0.25">
      <c r="A38" s="559" t="s">
        <v>100</v>
      </c>
      <c r="B38" s="556"/>
      <c r="C38" s="556"/>
      <c r="D38" s="556"/>
      <c r="E38" s="556"/>
      <c r="F38" s="556"/>
      <c r="G38" s="556"/>
      <c r="H38" s="556"/>
      <c r="I38" s="556"/>
      <c r="J38" s="556"/>
      <c r="K38" s="556"/>
      <c r="L38" s="556"/>
      <c r="M38" s="556"/>
      <c r="N38" s="556"/>
      <c r="O38" s="556"/>
      <c r="P38" s="556"/>
      <c r="Q38" s="556"/>
      <c r="R38" s="556"/>
      <c r="S38" s="556"/>
      <c r="T38" s="556"/>
      <c r="U38" s="556"/>
      <c r="V38" s="556"/>
      <c r="W38" s="556"/>
      <c r="X38" s="556"/>
      <c r="Y38" s="556"/>
      <c r="Z38" s="556"/>
      <c r="AA38" s="536"/>
      <c r="AB38" s="536"/>
      <c r="AC38" s="536"/>
    </row>
    <row r="39" spans="1:68" ht="14.25" customHeight="1" x14ac:dyDescent="0.25">
      <c r="A39" s="558" t="s">
        <v>101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35"/>
      <c r="AB39" s="535"/>
      <c r="AC39" s="535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50</v>
      </c>
      <c r="Y40" s="542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5"/>
      <c r="B43" s="556"/>
      <c r="C43" s="556"/>
      <c r="D43" s="556"/>
      <c r="E43" s="556"/>
      <c r="F43" s="556"/>
      <c r="G43" s="556"/>
      <c r="H43" s="556"/>
      <c r="I43" s="556"/>
      <c r="J43" s="556"/>
      <c r="K43" s="556"/>
      <c r="L43" s="556"/>
      <c r="M43" s="556"/>
      <c r="N43" s="556"/>
      <c r="O43" s="557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4.6296296296296298</v>
      </c>
      <c r="Y43" s="543">
        <f>IFERROR(Y40/H40,"0")+IFERROR(Y41/H41,"0")+IFERROR(Y42/H42,"0")</f>
        <v>5</v>
      </c>
      <c r="Z43" s="543">
        <f>IFERROR(IF(Z40="",0,Z40),"0")+IFERROR(IF(Z41="",0,Z41),"0")+IFERROR(IF(Z42="",0,Z42),"0")</f>
        <v>9.4899999999999998E-2</v>
      </c>
      <c r="AA43" s="544"/>
      <c r="AB43" s="544"/>
      <c r="AC43" s="544"/>
    </row>
    <row r="44" spans="1:68" x14ac:dyDescent="0.2">
      <c r="A44" s="556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57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50</v>
      </c>
      <c r="Y44" s="543">
        <f>IFERROR(SUM(Y40:Y42),"0")</f>
        <v>54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6"/>
      <c r="P45" s="556"/>
      <c r="Q45" s="556"/>
      <c r="R45" s="556"/>
      <c r="S45" s="556"/>
      <c r="T45" s="556"/>
      <c r="U45" s="556"/>
      <c r="V45" s="556"/>
      <c r="W45" s="556"/>
      <c r="X45" s="556"/>
      <c r="Y45" s="556"/>
      <c r="Z45" s="556"/>
      <c r="AA45" s="535"/>
      <c r="AB45" s="535"/>
      <c r="AC45" s="535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5"/>
      <c r="B47" s="556"/>
      <c r="C47" s="556"/>
      <c r="D47" s="556"/>
      <c r="E47" s="556"/>
      <c r="F47" s="556"/>
      <c r="G47" s="556"/>
      <c r="H47" s="556"/>
      <c r="I47" s="556"/>
      <c r="J47" s="556"/>
      <c r="K47" s="556"/>
      <c r="L47" s="556"/>
      <c r="M47" s="556"/>
      <c r="N47" s="556"/>
      <c r="O47" s="557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6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57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117</v>
      </c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56"/>
      <c r="P49" s="556"/>
      <c r="Q49" s="556"/>
      <c r="R49" s="556"/>
      <c r="S49" s="556"/>
      <c r="T49" s="556"/>
      <c r="U49" s="556"/>
      <c r="V49" s="556"/>
      <c r="W49" s="556"/>
      <c r="X49" s="556"/>
      <c r="Y49" s="556"/>
      <c r="Z49" s="556"/>
      <c r="AA49" s="536"/>
      <c r="AB49" s="536"/>
      <c r="AC49" s="536"/>
    </row>
    <row r="50" spans="1:68" ht="14.25" customHeight="1" x14ac:dyDescent="0.25">
      <c r="A50" s="558" t="s">
        <v>101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35"/>
      <c r="AB50" s="535"/>
      <c r="AC50" s="535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50</v>
      </c>
      <c r="Y52" s="542">
        <f t="shared" si="0"/>
        <v>54</v>
      </c>
      <c r="Z52" s="36">
        <f>IFERROR(IF(Y52=0,"",ROUNDUP(Y52/H52,0)*0.01898),"")</f>
        <v>9.4899999999999998E-2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51.898148148148145</v>
      </c>
      <c r="BN52" s="64">
        <f t="shared" si="2"/>
        <v>56.05</v>
      </c>
      <c r="BO52" s="64">
        <f t="shared" si="3"/>
        <v>7.2337962962962965E-2</v>
      </c>
      <c r="BP52" s="64">
        <f t="shared" si="4"/>
        <v>7.8125E-2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5"/>
      <c r="B57" s="556"/>
      <c r="C57" s="556"/>
      <c r="D57" s="556"/>
      <c r="E57" s="556"/>
      <c r="F57" s="556"/>
      <c r="G57" s="556"/>
      <c r="H57" s="556"/>
      <c r="I57" s="556"/>
      <c r="J57" s="556"/>
      <c r="K57" s="556"/>
      <c r="L57" s="556"/>
      <c r="M57" s="556"/>
      <c r="N57" s="556"/>
      <c r="O57" s="557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4.6296296296296298</v>
      </c>
      <c r="Y57" s="543">
        <f>IFERROR(Y51/H51,"0")+IFERROR(Y52/H52,"0")+IFERROR(Y53/H53,"0")+IFERROR(Y54/H54,"0")+IFERROR(Y55/H55,"0")+IFERROR(Y56/H56,"0")</f>
        <v>5</v>
      </c>
      <c r="Z57" s="543">
        <f>IFERROR(IF(Z51="",0,Z51),"0")+IFERROR(IF(Z52="",0,Z52),"0")+IFERROR(IF(Z53="",0,Z53),"0")+IFERROR(IF(Z54="",0,Z54),"0")+IFERROR(IF(Z55="",0,Z55),"0")+IFERROR(IF(Z56="",0,Z56),"0")</f>
        <v>9.4899999999999998E-2</v>
      </c>
      <c r="AA57" s="544"/>
      <c r="AB57" s="544"/>
      <c r="AC57" s="544"/>
    </row>
    <row r="58" spans="1:68" x14ac:dyDescent="0.2">
      <c r="A58" s="556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57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50</v>
      </c>
      <c r="Y58" s="543">
        <f>IFERROR(SUM(Y51:Y56),"0")</f>
        <v>54</v>
      </c>
      <c r="Z58" s="37"/>
      <c r="AA58" s="544"/>
      <c r="AB58" s="544"/>
      <c r="AC58" s="544"/>
    </row>
    <row r="59" spans="1:68" ht="14.25" customHeight="1" x14ac:dyDescent="0.25">
      <c r="A59" s="558" t="s">
        <v>136</v>
      </c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56"/>
      <c r="P59" s="556"/>
      <c r="Q59" s="556"/>
      <c r="R59" s="556"/>
      <c r="S59" s="556"/>
      <c r="T59" s="556"/>
      <c r="U59" s="556"/>
      <c r="V59" s="556"/>
      <c r="W59" s="556"/>
      <c r="X59" s="556"/>
      <c r="Y59" s="556"/>
      <c r="Z59" s="556"/>
      <c r="AA59" s="535"/>
      <c r="AB59" s="535"/>
      <c r="AC59" s="535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120</v>
      </c>
      <c r="Y60" s="542">
        <f>IFERROR(IF(X60="",0,CEILING((X60/$H60),1)*$H60),"")</f>
        <v>129.60000000000002</v>
      </c>
      <c r="Z60" s="36">
        <f>IFERROR(IF(Y60=0,"",ROUNDUP(Y60/H60,0)*0.01898),"")</f>
        <v>0.22776000000000002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124.55555555555556</v>
      </c>
      <c r="BN60" s="64">
        <f>IFERROR(Y60*I60/H60,"0")</f>
        <v>134.52000000000001</v>
      </c>
      <c r="BO60" s="64">
        <f>IFERROR(1/J60*(X60/H60),"0")</f>
        <v>0.1736111111111111</v>
      </c>
      <c r="BP60" s="64">
        <f>IFERROR(1/J60*(Y60/H60),"0")</f>
        <v>0.18750000000000003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5"/>
      <c r="B63" s="556"/>
      <c r="C63" s="556"/>
      <c r="D63" s="556"/>
      <c r="E63" s="556"/>
      <c r="F63" s="556"/>
      <c r="G63" s="556"/>
      <c r="H63" s="556"/>
      <c r="I63" s="556"/>
      <c r="J63" s="556"/>
      <c r="K63" s="556"/>
      <c r="L63" s="556"/>
      <c r="M63" s="556"/>
      <c r="N63" s="556"/>
      <c r="O63" s="557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11.111111111111111</v>
      </c>
      <c r="Y63" s="543">
        <f>IFERROR(Y60/H60,"0")+IFERROR(Y61/H61,"0")+IFERROR(Y62/H62,"0")</f>
        <v>12.000000000000002</v>
      </c>
      <c r="Z63" s="543">
        <f>IFERROR(IF(Z60="",0,Z60),"0")+IFERROR(IF(Z61="",0,Z61),"0")+IFERROR(IF(Z62="",0,Z62),"0")</f>
        <v>0.22776000000000002</v>
      </c>
      <c r="AA63" s="544"/>
      <c r="AB63" s="544"/>
      <c r="AC63" s="544"/>
    </row>
    <row r="64" spans="1:68" x14ac:dyDescent="0.2">
      <c r="A64" s="556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57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120</v>
      </c>
      <c r="Y64" s="543">
        <f>IFERROR(SUM(Y60:Y62),"0")</f>
        <v>129.60000000000002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6"/>
      <c r="P65" s="556"/>
      <c r="Q65" s="556"/>
      <c r="R65" s="556"/>
      <c r="S65" s="556"/>
      <c r="T65" s="556"/>
      <c r="U65" s="556"/>
      <c r="V65" s="556"/>
      <c r="W65" s="556"/>
      <c r="X65" s="556"/>
      <c r="Y65" s="556"/>
      <c r="Z65" s="556"/>
      <c r="AA65" s="535"/>
      <c r="AB65" s="535"/>
      <c r="AC65" s="535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5"/>
      <c r="B69" s="556"/>
      <c r="C69" s="556"/>
      <c r="D69" s="556"/>
      <c r="E69" s="556"/>
      <c r="F69" s="556"/>
      <c r="G69" s="556"/>
      <c r="H69" s="556"/>
      <c r="I69" s="556"/>
      <c r="J69" s="556"/>
      <c r="K69" s="556"/>
      <c r="L69" s="556"/>
      <c r="M69" s="556"/>
      <c r="N69" s="556"/>
      <c r="O69" s="557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6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7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6"/>
      <c r="P71" s="556"/>
      <c r="Q71" s="556"/>
      <c r="R71" s="556"/>
      <c r="S71" s="556"/>
      <c r="T71" s="556"/>
      <c r="U71" s="556"/>
      <c r="V71" s="556"/>
      <c r="W71" s="556"/>
      <c r="X71" s="556"/>
      <c r="Y71" s="556"/>
      <c r="Z71" s="556"/>
      <c r="AA71" s="535"/>
      <c r="AB71" s="535"/>
      <c r="AC71" s="535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3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5"/>
      <c r="B76" s="556"/>
      <c r="C76" s="556"/>
      <c r="D76" s="556"/>
      <c r="E76" s="556"/>
      <c r="F76" s="556"/>
      <c r="G76" s="556"/>
      <c r="H76" s="556"/>
      <c r="I76" s="556"/>
      <c r="J76" s="556"/>
      <c r="K76" s="556"/>
      <c r="L76" s="556"/>
      <c r="M76" s="556"/>
      <c r="N76" s="556"/>
      <c r="O76" s="557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6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57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164</v>
      </c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56"/>
      <c r="P78" s="556"/>
      <c r="Q78" s="556"/>
      <c r="R78" s="556"/>
      <c r="S78" s="556"/>
      <c r="T78" s="556"/>
      <c r="U78" s="556"/>
      <c r="V78" s="556"/>
      <c r="W78" s="556"/>
      <c r="X78" s="556"/>
      <c r="Y78" s="556"/>
      <c r="Z78" s="556"/>
      <c r="AA78" s="535"/>
      <c r="AB78" s="535"/>
      <c r="AC78" s="535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5"/>
      <c r="B81" s="556"/>
      <c r="C81" s="556"/>
      <c r="D81" s="556"/>
      <c r="E81" s="556"/>
      <c r="F81" s="556"/>
      <c r="G81" s="556"/>
      <c r="H81" s="556"/>
      <c r="I81" s="556"/>
      <c r="J81" s="556"/>
      <c r="K81" s="556"/>
      <c r="L81" s="556"/>
      <c r="M81" s="556"/>
      <c r="N81" s="556"/>
      <c r="O81" s="557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6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7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171</v>
      </c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56"/>
      <c r="P83" s="556"/>
      <c r="Q83" s="556"/>
      <c r="R83" s="556"/>
      <c r="S83" s="556"/>
      <c r="T83" s="556"/>
      <c r="U83" s="556"/>
      <c r="V83" s="556"/>
      <c r="W83" s="556"/>
      <c r="X83" s="556"/>
      <c r="Y83" s="556"/>
      <c r="Z83" s="556"/>
      <c r="AA83" s="536"/>
      <c r="AB83" s="536"/>
      <c r="AC83" s="536"/>
    </row>
    <row r="84" spans="1:68" ht="14.25" customHeight="1" x14ac:dyDescent="0.25">
      <c r="A84" s="558" t="s">
        <v>101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35"/>
      <c r="AB84" s="535"/>
      <c r="AC84" s="535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70</v>
      </c>
      <c r="Y85" s="542">
        <f>IFERROR(IF(X85="",0,CEILING((X85/$H85),1)*$H85),"")</f>
        <v>75.600000000000009</v>
      </c>
      <c r="Z85" s="36">
        <f>IFERROR(IF(Y85=0,"",ROUNDUP(Y85/H85,0)*0.01898),"")</f>
        <v>0.13286000000000001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72.657407407407405</v>
      </c>
      <c r="BN85" s="64">
        <f>IFERROR(Y85*I85/H85,"0")</f>
        <v>78.47</v>
      </c>
      <c r="BO85" s="64">
        <f>IFERROR(1/J85*(X85/H85),"0")</f>
        <v>0.10127314814814814</v>
      </c>
      <c r="BP85" s="64">
        <f>IFERROR(1/J85*(Y85/H85),"0")</f>
        <v>0.109375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5"/>
      <c r="B88" s="556"/>
      <c r="C88" s="556"/>
      <c r="D88" s="556"/>
      <c r="E88" s="556"/>
      <c r="F88" s="556"/>
      <c r="G88" s="556"/>
      <c r="H88" s="556"/>
      <c r="I88" s="556"/>
      <c r="J88" s="556"/>
      <c r="K88" s="556"/>
      <c r="L88" s="556"/>
      <c r="M88" s="556"/>
      <c r="N88" s="556"/>
      <c r="O88" s="557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6.481481481481481</v>
      </c>
      <c r="Y88" s="543">
        <f>IFERROR(Y85/H85,"0")+IFERROR(Y86/H86,"0")+IFERROR(Y87/H87,"0")</f>
        <v>7</v>
      </c>
      <c r="Z88" s="543">
        <f>IFERROR(IF(Z85="",0,Z85),"0")+IFERROR(IF(Z86="",0,Z86),"0")+IFERROR(IF(Z87="",0,Z87),"0")</f>
        <v>0.13286000000000001</v>
      </c>
      <c r="AA88" s="544"/>
      <c r="AB88" s="544"/>
      <c r="AC88" s="544"/>
    </row>
    <row r="89" spans="1:68" x14ac:dyDescent="0.2">
      <c r="A89" s="556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7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70</v>
      </c>
      <c r="Y89" s="543">
        <f>IFERROR(SUM(Y85:Y87),"0")</f>
        <v>75.600000000000009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56"/>
      <c r="P90" s="556"/>
      <c r="Q90" s="556"/>
      <c r="R90" s="556"/>
      <c r="S90" s="556"/>
      <c r="T90" s="556"/>
      <c r="U90" s="556"/>
      <c r="V90" s="556"/>
      <c r="W90" s="556"/>
      <c r="X90" s="556"/>
      <c r="Y90" s="556"/>
      <c r="Z90" s="556"/>
      <c r="AA90" s="535"/>
      <c r="AB90" s="535"/>
      <c r="AC90" s="535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3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59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5"/>
      <c r="B95" s="556"/>
      <c r="C95" s="556"/>
      <c r="D95" s="556"/>
      <c r="E95" s="556"/>
      <c r="F95" s="556"/>
      <c r="G95" s="556"/>
      <c r="H95" s="556"/>
      <c r="I95" s="556"/>
      <c r="J95" s="556"/>
      <c r="K95" s="556"/>
      <c r="L95" s="556"/>
      <c r="M95" s="556"/>
      <c r="N95" s="556"/>
      <c r="O95" s="557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x14ac:dyDescent="0.2">
      <c r="A96" s="556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57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56"/>
      <c r="P97" s="556"/>
      <c r="Q97" s="556"/>
      <c r="R97" s="556"/>
      <c r="S97" s="556"/>
      <c r="T97" s="556"/>
      <c r="U97" s="556"/>
      <c r="V97" s="556"/>
      <c r="W97" s="556"/>
      <c r="X97" s="556"/>
      <c r="Y97" s="556"/>
      <c r="Z97" s="556"/>
      <c r="AA97" s="536"/>
      <c r="AB97" s="536"/>
      <c r="AC97" s="536"/>
    </row>
    <row r="98" spans="1:68" ht="14.25" customHeight="1" x14ac:dyDescent="0.25">
      <c r="A98" s="558" t="s">
        <v>101</v>
      </c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0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5"/>
      <c r="B103" s="556"/>
      <c r="C103" s="556"/>
      <c r="D103" s="556"/>
      <c r="E103" s="556"/>
      <c r="F103" s="556"/>
      <c r="G103" s="556"/>
      <c r="H103" s="556"/>
      <c r="I103" s="556"/>
      <c r="J103" s="556"/>
      <c r="K103" s="556"/>
      <c r="L103" s="556"/>
      <c r="M103" s="556"/>
      <c r="N103" s="556"/>
      <c r="O103" s="557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6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57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58" t="s">
        <v>136</v>
      </c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56"/>
      <c r="P105" s="556"/>
      <c r="Q105" s="556"/>
      <c r="R105" s="556"/>
      <c r="S105" s="556"/>
      <c r="T105" s="556"/>
      <c r="U105" s="556"/>
      <c r="V105" s="556"/>
      <c r="W105" s="556"/>
      <c r="X105" s="556"/>
      <c r="Y105" s="556"/>
      <c r="Z105" s="556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5"/>
      <c r="B109" s="556"/>
      <c r="C109" s="556"/>
      <c r="D109" s="556"/>
      <c r="E109" s="556"/>
      <c r="F109" s="556"/>
      <c r="G109" s="556"/>
      <c r="H109" s="556"/>
      <c r="I109" s="556"/>
      <c r="J109" s="556"/>
      <c r="K109" s="556"/>
      <c r="L109" s="556"/>
      <c r="M109" s="556"/>
      <c r="N109" s="556"/>
      <c r="O109" s="557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6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57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56"/>
      <c r="P111" s="556"/>
      <c r="Q111" s="556"/>
      <c r="R111" s="556"/>
      <c r="S111" s="556"/>
      <c r="T111" s="556"/>
      <c r="U111" s="556"/>
      <c r="V111" s="556"/>
      <c r="W111" s="556"/>
      <c r="X111" s="556"/>
      <c r="Y111" s="556"/>
      <c r="Z111" s="556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40</v>
      </c>
      <c r="Y112" s="542">
        <f>IFERROR(IF(X112="",0,CEILING((X112/$H112),1)*$H112),"")</f>
        <v>40.5</v>
      </c>
      <c r="Z112" s="36">
        <f>IFERROR(IF(Y112=0,"",ROUNDUP(Y112/H112,0)*0.01898),"")</f>
        <v>9.4899999999999998E-2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42.409876543209876</v>
      </c>
      <c r="BN112" s="64">
        <f>IFERROR(Y112*I112/H112,"0")</f>
        <v>42.94</v>
      </c>
      <c r="BO112" s="64">
        <f>IFERROR(1/J112*(X112/H112),"0")</f>
        <v>7.7160493827160503E-2</v>
      </c>
      <c r="BP112" s="64">
        <f>IFERROR(1/J112*(Y112/H112),"0")</f>
        <v>7.8125E-2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5"/>
      <c r="B116" s="556"/>
      <c r="C116" s="556"/>
      <c r="D116" s="556"/>
      <c r="E116" s="556"/>
      <c r="F116" s="556"/>
      <c r="G116" s="556"/>
      <c r="H116" s="556"/>
      <c r="I116" s="556"/>
      <c r="J116" s="556"/>
      <c r="K116" s="556"/>
      <c r="L116" s="556"/>
      <c r="M116" s="556"/>
      <c r="N116" s="556"/>
      <c r="O116" s="557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4.9382716049382722</v>
      </c>
      <c r="Y116" s="543">
        <f>IFERROR(Y112/H112,"0")+IFERROR(Y113/H113,"0")+IFERROR(Y114/H114,"0")+IFERROR(Y115/H115,"0")</f>
        <v>5</v>
      </c>
      <c r="Z116" s="543">
        <f>IFERROR(IF(Z112="",0,Z112),"0")+IFERROR(IF(Z113="",0,Z113),"0")+IFERROR(IF(Z114="",0,Z114),"0")+IFERROR(IF(Z115="",0,Z115),"0")</f>
        <v>9.4899999999999998E-2</v>
      </c>
      <c r="AA116" s="544"/>
      <c r="AB116" s="544"/>
      <c r="AC116" s="544"/>
    </row>
    <row r="117" spans="1:68" x14ac:dyDescent="0.2">
      <c r="A117" s="556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57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40</v>
      </c>
      <c r="Y117" s="543">
        <f>IFERROR(SUM(Y112:Y115),"0")</f>
        <v>40.5</v>
      </c>
      <c r="Z117" s="37"/>
      <c r="AA117" s="544"/>
      <c r="AB117" s="544"/>
      <c r="AC117" s="544"/>
    </row>
    <row r="118" spans="1:68" ht="14.25" customHeight="1" x14ac:dyDescent="0.25">
      <c r="A118" s="558" t="s">
        <v>164</v>
      </c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56"/>
      <c r="P118" s="556"/>
      <c r="Q118" s="556"/>
      <c r="R118" s="556"/>
      <c r="S118" s="556"/>
      <c r="T118" s="556"/>
      <c r="U118" s="556"/>
      <c r="V118" s="556"/>
      <c r="W118" s="556"/>
      <c r="X118" s="556"/>
      <c r="Y118" s="556"/>
      <c r="Z118" s="556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5"/>
      <c r="B120" s="556"/>
      <c r="C120" s="556"/>
      <c r="D120" s="556"/>
      <c r="E120" s="556"/>
      <c r="F120" s="556"/>
      <c r="G120" s="556"/>
      <c r="H120" s="556"/>
      <c r="I120" s="556"/>
      <c r="J120" s="556"/>
      <c r="K120" s="556"/>
      <c r="L120" s="556"/>
      <c r="M120" s="556"/>
      <c r="N120" s="556"/>
      <c r="O120" s="557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6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57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56"/>
      <c r="P122" s="556"/>
      <c r="Q122" s="556"/>
      <c r="R122" s="556"/>
      <c r="S122" s="556"/>
      <c r="T122" s="556"/>
      <c r="U122" s="556"/>
      <c r="V122" s="556"/>
      <c r="W122" s="556"/>
      <c r="X122" s="556"/>
      <c r="Y122" s="556"/>
      <c r="Z122" s="556"/>
      <c r="AA122" s="536"/>
      <c r="AB122" s="536"/>
      <c r="AC122" s="536"/>
    </row>
    <row r="123" spans="1:68" ht="14.25" customHeight="1" x14ac:dyDescent="0.25">
      <c r="A123" s="558" t="s">
        <v>101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5"/>
      <c r="B126" s="556"/>
      <c r="C126" s="556"/>
      <c r="D126" s="556"/>
      <c r="E126" s="556"/>
      <c r="F126" s="556"/>
      <c r="G126" s="556"/>
      <c r="H126" s="556"/>
      <c r="I126" s="556"/>
      <c r="J126" s="556"/>
      <c r="K126" s="556"/>
      <c r="L126" s="556"/>
      <c r="M126" s="556"/>
      <c r="N126" s="556"/>
      <c r="O126" s="557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6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57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56"/>
      <c r="P128" s="556"/>
      <c r="Q128" s="556"/>
      <c r="R128" s="556"/>
      <c r="S128" s="556"/>
      <c r="T128" s="556"/>
      <c r="U128" s="556"/>
      <c r="V128" s="556"/>
      <c r="W128" s="556"/>
      <c r="X128" s="556"/>
      <c r="Y128" s="556"/>
      <c r="Z128" s="556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5"/>
      <c r="B131" s="556"/>
      <c r="C131" s="556"/>
      <c r="D131" s="556"/>
      <c r="E131" s="556"/>
      <c r="F131" s="556"/>
      <c r="G131" s="556"/>
      <c r="H131" s="556"/>
      <c r="I131" s="556"/>
      <c r="J131" s="556"/>
      <c r="K131" s="556"/>
      <c r="L131" s="556"/>
      <c r="M131" s="556"/>
      <c r="N131" s="556"/>
      <c r="O131" s="557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6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57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56"/>
      <c r="P133" s="556"/>
      <c r="Q133" s="556"/>
      <c r="R133" s="556"/>
      <c r="S133" s="556"/>
      <c r="T133" s="556"/>
      <c r="U133" s="556"/>
      <c r="V133" s="556"/>
      <c r="W133" s="556"/>
      <c r="X133" s="556"/>
      <c r="Y133" s="556"/>
      <c r="Z133" s="556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5"/>
      <c r="B136" s="556"/>
      <c r="C136" s="556"/>
      <c r="D136" s="556"/>
      <c r="E136" s="556"/>
      <c r="F136" s="556"/>
      <c r="G136" s="556"/>
      <c r="H136" s="556"/>
      <c r="I136" s="556"/>
      <c r="J136" s="556"/>
      <c r="K136" s="556"/>
      <c r="L136" s="556"/>
      <c r="M136" s="556"/>
      <c r="N136" s="556"/>
      <c r="O136" s="557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6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57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99</v>
      </c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56"/>
      <c r="P138" s="556"/>
      <c r="Q138" s="556"/>
      <c r="R138" s="556"/>
      <c r="S138" s="556"/>
      <c r="T138" s="556"/>
      <c r="U138" s="556"/>
      <c r="V138" s="556"/>
      <c r="W138" s="556"/>
      <c r="X138" s="556"/>
      <c r="Y138" s="556"/>
      <c r="Z138" s="556"/>
      <c r="AA138" s="536"/>
      <c r="AB138" s="536"/>
      <c r="AC138" s="536"/>
    </row>
    <row r="139" spans="1:68" ht="14.25" customHeight="1" x14ac:dyDescent="0.25">
      <c r="A139" s="558" t="s">
        <v>101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56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5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57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57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2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2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5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57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6"/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57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56"/>
      <c r="P151" s="556"/>
      <c r="Q151" s="556"/>
      <c r="R151" s="556"/>
      <c r="S151" s="556"/>
      <c r="T151" s="556"/>
      <c r="U151" s="556"/>
      <c r="V151" s="556"/>
      <c r="W151" s="556"/>
      <c r="X151" s="556"/>
      <c r="Y151" s="556"/>
      <c r="Z151" s="556"/>
      <c r="AA151" s="535"/>
      <c r="AB151" s="535"/>
      <c r="AC151" s="535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5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57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6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57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3" t="s">
        <v>255</v>
      </c>
      <c r="B155" s="634"/>
      <c r="C155" s="634"/>
      <c r="D155" s="634"/>
      <c r="E155" s="634"/>
      <c r="F155" s="634"/>
      <c r="G155" s="634"/>
      <c r="H155" s="634"/>
      <c r="I155" s="634"/>
      <c r="J155" s="634"/>
      <c r="K155" s="634"/>
      <c r="L155" s="634"/>
      <c r="M155" s="634"/>
      <c r="N155" s="634"/>
      <c r="O155" s="634"/>
      <c r="P155" s="634"/>
      <c r="Q155" s="634"/>
      <c r="R155" s="634"/>
      <c r="S155" s="634"/>
      <c r="T155" s="634"/>
      <c r="U155" s="634"/>
      <c r="V155" s="634"/>
      <c r="W155" s="634"/>
      <c r="X155" s="634"/>
      <c r="Y155" s="634"/>
      <c r="Z155" s="634"/>
      <c r="AA155" s="48"/>
      <c r="AB155" s="48"/>
      <c r="AC155" s="48"/>
    </row>
    <row r="156" spans="1:68" ht="16.5" customHeight="1" x14ac:dyDescent="0.25">
      <c r="A156" s="559" t="s">
        <v>256</v>
      </c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36"/>
      <c r="AB156" s="536"/>
      <c r="AC156" s="536"/>
    </row>
    <row r="157" spans="1:68" ht="14.25" customHeight="1" x14ac:dyDescent="0.25">
      <c r="A157" s="558" t="s">
        <v>136</v>
      </c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  <c r="P157" s="556"/>
      <c r="Q157" s="556"/>
      <c r="R157" s="556"/>
      <c r="S157" s="556"/>
      <c r="T157" s="556"/>
      <c r="U157" s="556"/>
      <c r="V157" s="556"/>
      <c r="W157" s="556"/>
      <c r="X157" s="556"/>
      <c r="Y157" s="556"/>
      <c r="Z157" s="556"/>
      <c r="AA157" s="535"/>
      <c r="AB157" s="535"/>
      <c r="AC157" s="535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5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7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6"/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57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8">
        <v>4680115880993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 t="s">
        <v>111</v>
      </c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 t="s">
        <v>90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48">
        <v>4680115881761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110</v>
      </c>
      <c r="L163" s="32"/>
      <c r="M163" s="33" t="s">
        <v>68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8">
        <v>4680115881563</v>
      </c>
      <c r="E164" s="549"/>
      <c r="F164" s="540">
        <v>0.7</v>
      </c>
      <c r="G164" s="32">
        <v>6</v>
      </c>
      <c r="H164" s="540">
        <v>4.2</v>
      </c>
      <c r="I164" s="540">
        <v>4.3899999999999997</v>
      </c>
      <c r="J164" s="32">
        <v>132</v>
      </c>
      <c r="K164" s="32" t="s">
        <v>110</v>
      </c>
      <c r="L164" s="32" t="s">
        <v>111</v>
      </c>
      <c r="M164" s="33" t="s">
        <v>68</v>
      </c>
      <c r="N164" s="33"/>
      <c r="O164" s="32">
        <v>40</v>
      </c>
      <c r="P164" s="7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90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8">
        <v>4680115880986</v>
      </c>
      <c r="E165" s="549"/>
      <c r="F165" s="540">
        <v>0.35</v>
      </c>
      <c r="G165" s="32">
        <v>6</v>
      </c>
      <c r="H165" s="540">
        <v>2.1</v>
      </c>
      <c r="I165" s="540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90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271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5"/>
      <c r="B171" s="556"/>
      <c r="C171" s="556"/>
      <c r="D171" s="556"/>
      <c r="E171" s="556"/>
      <c r="F171" s="556"/>
      <c r="G171" s="556"/>
      <c r="H171" s="556"/>
      <c r="I171" s="556"/>
      <c r="J171" s="556"/>
      <c r="K171" s="556"/>
      <c r="L171" s="556"/>
      <c r="M171" s="556"/>
      <c r="N171" s="556"/>
      <c r="O171" s="557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x14ac:dyDescent="0.2">
      <c r="A172" s="556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57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IFERROR(SUM(X162:X170),"0")</f>
        <v>0</v>
      </c>
      <c r="Y172" s="543">
        <f>IFERROR(SUM(Y162:Y170),"0")</f>
        <v>0</v>
      </c>
      <c r="Z172" s="37"/>
      <c r="AA172" s="544"/>
      <c r="AB172" s="544"/>
      <c r="AC172" s="544"/>
    </row>
    <row r="173" spans="1:68" ht="14.25" customHeight="1" x14ac:dyDescent="0.25">
      <c r="A173" s="558" t="s">
        <v>93</v>
      </c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56"/>
      <c r="P173" s="556"/>
      <c r="Q173" s="556"/>
      <c r="R173" s="556"/>
      <c r="S173" s="556"/>
      <c r="T173" s="556"/>
      <c r="U173" s="556"/>
      <c r="V173" s="556"/>
      <c r="W173" s="556"/>
      <c r="X173" s="556"/>
      <c r="Y173" s="556"/>
      <c r="Z173" s="556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5"/>
      <c r="B177" s="556"/>
      <c r="C177" s="556"/>
      <c r="D177" s="556"/>
      <c r="E177" s="556"/>
      <c r="F177" s="556"/>
      <c r="G177" s="556"/>
      <c r="H177" s="556"/>
      <c r="I177" s="556"/>
      <c r="J177" s="556"/>
      <c r="K177" s="556"/>
      <c r="L177" s="556"/>
      <c r="M177" s="556"/>
      <c r="N177" s="556"/>
      <c r="O177" s="557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6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57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8" t="s">
        <v>294</v>
      </c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56"/>
      <c r="P179" s="556"/>
      <c r="Q179" s="556"/>
      <c r="R179" s="556"/>
      <c r="S179" s="556"/>
      <c r="T179" s="556"/>
      <c r="U179" s="556"/>
      <c r="V179" s="556"/>
      <c r="W179" s="556"/>
      <c r="X179" s="556"/>
      <c r="Y179" s="556"/>
      <c r="Z179" s="556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5"/>
      <c r="B181" s="556"/>
      <c r="C181" s="556"/>
      <c r="D181" s="556"/>
      <c r="E181" s="556"/>
      <c r="F181" s="556"/>
      <c r="G181" s="556"/>
      <c r="H181" s="556"/>
      <c r="I181" s="556"/>
      <c r="J181" s="556"/>
      <c r="K181" s="556"/>
      <c r="L181" s="556"/>
      <c r="M181" s="556"/>
      <c r="N181" s="556"/>
      <c r="O181" s="557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6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57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9" t="s">
        <v>297</v>
      </c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56"/>
      <c r="P183" s="556"/>
      <c r="Q183" s="556"/>
      <c r="R183" s="556"/>
      <c r="S183" s="556"/>
      <c r="T183" s="556"/>
      <c r="U183" s="556"/>
      <c r="V183" s="556"/>
      <c r="W183" s="556"/>
      <c r="X183" s="556"/>
      <c r="Y183" s="556"/>
      <c r="Z183" s="556"/>
      <c r="AA183" s="536"/>
      <c r="AB183" s="536"/>
      <c r="AC183" s="536"/>
    </row>
    <row r="184" spans="1:68" ht="14.25" customHeight="1" x14ac:dyDescent="0.25">
      <c r="A184" s="558" t="s">
        <v>101</v>
      </c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5"/>
      <c r="B187" s="556"/>
      <c r="C187" s="556"/>
      <c r="D187" s="556"/>
      <c r="E187" s="556"/>
      <c r="F187" s="556"/>
      <c r="G187" s="556"/>
      <c r="H187" s="556"/>
      <c r="I187" s="556"/>
      <c r="J187" s="556"/>
      <c r="K187" s="556"/>
      <c r="L187" s="556"/>
      <c r="M187" s="556"/>
      <c r="N187" s="556"/>
      <c r="O187" s="557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6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57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8" t="s">
        <v>136</v>
      </c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56"/>
      <c r="P189" s="556"/>
      <c r="Q189" s="556"/>
      <c r="R189" s="556"/>
      <c r="S189" s="556"/>
      <c r="T189" s="556"/>
      <c r="U189" s="556"/>
      <c r="V189" s="556"/>
      <c r="W189" s="556"/>
      <c r="X189" s="556"/>
      <c r="Y189" s="556"/>
      <c r="Z189" s="556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5"/>
      <c r="B192" s="556"/>
      <c r="C192" s="556"/>
      <c r="D192" s="556"/>
      <c r="E192" s="556"/>
      <c r="F192" s="556"/>
      <c r="G192" s="556"/>
      <c r="H192" s="556"/>
      <c r="I192" s="556"/>
      <c r="J192" s="556"/>
      <c r="K192" s="556"/>
      <c r="L192" s="556"/>
      <c r="M192" s="556"/>
      <c r="N192" s="556"/>
      <c r="O192" s="557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6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57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8" t="s">
        <v>64</v>
      </c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56"/>
      <c r="P194" s="556"/>
      <c r="Q194" s="556"/>
      <c r="R194" s="556"/>
      <c r="S194" s="556"/>
      <c r="T194" s="556"/>
      <c r="U194" s="556"/>
      <c r="V194" s="556"/>
      <c r="W194" s="556"/>
      <c r="X194" s="556"/>
      <c r="Y194" s="556"/>
      <c r="Z194" s="556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5"/>
      <c r="B203" s="556"/>
      <c r="C203" s="556"/>
      <c r="D203" s="556"/>
      <c r="E203" s="556"/>
      <c r="F203" s="556"/>
      <c r="G203" s="556"/>
      <c r="H203" s="556"/>
      <c r="I203" s="556"/>
      <c r="J203" s="556"/>
      <c r="K203" s="556"/>
      <c r="L203" s="556"/>
      <c r="M203" s="556"/>
      <c r="N203" s="556"/>
      <c r="O203" s="557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x14ac:dyDescent="0.2">
      <c r="A204" s="556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57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customHeight="1" x14ac:dyDescent="0.25">
      <c r="A205" s="558" t="s">
        <v>73</v>
      </c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56"/>
      <c r="P205" s="556"/>
      <c r="Q205" s="556"/>
      <c r="R205" s="556"/>
      <c r="S205" s="556"/>
      <c r="T205" s="556"/>
      <c r="U205" s="556"/>
      <c r="V205" s="556"/>
      <c r="W205" s="556"/>
      <c r="X205" s="556"/>
      <c r="Y205" s="556"/>
      <c r="Z205" s="556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1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5"/>
      <c r="B215" s="556"/>
      <c r="C215" s="556"/>
      <c r="D215" s="556"/>
      <c r="E215" s="556"/>
      <c r="F215" s="556"/>
      <c r="G215" s="556"/>
      <c r="H215" s="556"/>
      <c r="I215" s="556"/>
      <c r="J215" s="556"/>
      <c r="K215" s="556"/>
      <c r="L215" s="556"/>
      <c r="M215" s="556"/>
      <c r="N215" s="556"/>
      <c r="O215" s="557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0</v>
      </c>
      <c r="Y215" s="543">
        <f>IFERROR(Y206/H206,"0")+IFERROR(Y207/H207,"0")+IFERROR(Y208/H208,"0")+IFERROR(Y209/H209,"0")+IFERROR(Y210/H210,"0")+IFERROR(Y211/H211,"0")+IFERROR(Y212/H212,"0")+IFERROR(Y213/H213,"0")+IFERROR(Y214/H214,"0")</f>
        <v>0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4"/>
      <c r="AB215" s="544"/>
      <c r="AC215" s="544"/>
    </row>
    <row r="216" spans="1:68" x14ac:dyDescent="0.2">
      <c r="A216" s="556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57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0</v>
      </c>
      <c r="Y216" s="543">
        <f>IFERROR(SUM(Y206:Y214),"0")</f>
        <v>0</v>
      </c>
      <c r="Z216" s="37"/>
      <c r="AA216" s="544"/>
      <c r="AB216" s="544"/>
      <c r="AC216" s="544"/>
    </row>
    <row r="217" spans="1:68" ht="14.25" customHeight="1" x14ac:dyDescent="0.25">
      <c r="A217" s="558" t="s">
        <v>164</v>
      </c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56"/>
      <c r="P217" s="556"/>
      <c r="Q217" s="556"/>
      <c r="R217" s="556"/>
      <c r="S217" s="556"/>
      <c r="T217" s="556"/>
      <c r="U217" s="556"/>
      <c r="V217" s="556"/>
      <c r="W217" s="556"/>
      <c r="X217" s="556"/>
      <c r="Y217" s="556"/>
      <c r="Z217" s="556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5"/>
      <c r="B220" s="556"/>
      <c r="C220" s="556"/>
      <c r="D220" s="556"/>
      <c r="E220" s="556"/>
      <c r="F220" s="556"/>
      <c r="G220" s="556"/>
      <c r="H220" s="556"/>
      <c r="I220" s="556"/>
      <c r="J220" s="556"/>
      <c r="K220" s="556"/>
      <c r="L220" s="556"/>
      <c r="M220" s="556"/>
      <c r="N220" s="556"/>
      <c r="O220" s="557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6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57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9" t="s">
        <v>357</v>
      </c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56"/>
      <c r="P222" s="556"/>
      <c r="Q222" s="556"/>
      <c r="R222" s="556"/>
      <c r="S222" s="556"/>
      <c r="T222" s="556"/>
      <c r="U222" s="556"/>
      <c r="V222" s="556"/>
      <c r="W222" s="556"/>
      <c r="X222" s="556"/>
      <c r="Y222" s="556"/>
      <c r="Z222" s="556"/>
      <c r="AA222" s="536"/>
      <c r="AB222" s="536"/>
      <c r="AC222" s="536"/>
    </row>
    <row r="223" spans="1:68" ht="14.25" customHeight="1" x14ac:dyDescent="0.25">
      <c r="A223" s="558" t="s">
        <v>101</v>
      </c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367</v>
      </c>
      <c r="B228" s="54" t="s">
        <v>369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371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377</v>
      </c>
      <c r="B233" s="54" t="s">
        <v>379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5"/>
      <c r="B234" s="556"/>
      <c r="C234" s="556"/>
      <c r="D234" s="556"/>
      <c r="E234" s="556"/>
      <c r="F234" s="556"/>
      <c r="G234" s="556"/>
      <c r="H234" s="556"/>
      <c r="I234" s="556"/>
      <c r="J234" s="556"/>
      <c r="K234" s="556"/>
      <c r="L234" s="556"/>
      <c r="M234" s="556"/>
      <c r="N234" s="556"/>
      <c r="O234" s="557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6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57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8" t="s">
        <v>136</v>
      </c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56"/>
      <c r="P236" s="556"/>
      <c r="Q236" s="556"/>
      <c r="R236" s="556"/>
      <c r="S236" s="556"/>
      <c r="T236" s="556"/>
      <c r="U236" s="556"/>
      <c r="V236" s="556"/>
      <c r="W236" s="556"/>
      <c r="X236" s="556"/>
      <c r="Y236" s="556"/>
      <c r="Z236" s="556"/>
      <c r="AA236" s="535"/>
      <c r="AB236" s="535"/>
      <c r="AC236" s="535"/>
    </row>
    <row r="237" spans="1:68" ht="27" customHeight="1" x14ac:dyDescent="0.25">
      <c r="A237" s="54" t="s">
        <v>380</v>
      </c>
      <c r="B237" s="54" t="s">
        <v>381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0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5"/>
      <c r="B238" s="556"/>
      <c r="C238" s="556"/>
      <c r="D238" s="556"/>
      <c r="E238" s="556"/>
      <c r="F238" s="556"/>
      <c r="G238" s="556"/>
      <c r="H238" s="556"/>
      <c r="I238" s="556"/>
      <c r="J238" s="556"/>
      <c r="K238" s="556"/>
      <c r="L238" s="556"/>
      <c r="M238" s="556"/>
      <c r="N238" s="556"/>
      <c r="O238" s="557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6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57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8" t="s">
        <v>383</v>
      </c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56"/>
      <c r="P240" s="556"/>
      <c r="Q240" s="556"/>
      <c r="R240" s="556"/>
      <c r="S240" s="556"/>
      <c r="T240" s="556"/>
      <c r="U240" s="556"/>
      <c r="V240" s="556"/>
      <c r="W240" s="556"/>
      <c r="X240" s="556"/>
      <c r="Y240" s="556"/>
      <c r="Z240" s="556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5"/>
      <c r="B242" s="556"/>
      <c r="C242" s="556"/>
      <c r="D242" s="556"/>
      <c r="E242" s="556"/>
      <c r="F242" s="556"/>
      <c r="G242" s="556"/>
      <c r="H242" s="556"/>
      <c r="I242" s="556"/>
      <c r="J242" s="556"/>
      <c r="K242" s="556"/>
      <c r="L242" s="556"/>
      <c r="M242" s="556"/>
      <c r="N242" s="556"/>
      <c r="O242" s="557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6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57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8" t="s">
        <v>387</v>
      </c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56"/>
      <c r="P244" s="556"/>
      <c r="Q244" s="556"/>
      <c r="R244" s="556"/>
      <c r="S244" s="556"/>
      <c r="T244" s="556"/>
      <c r="U244" s="556"/>
      <c r="V244" s="556"/>
      <c r="W244" s="556"/>
      <c r="X244" s="556"/>
      <c r="Y244" s="556"/>
      <c r="Z244" s="556"/>
      <c r="AA244" s="535"/>
      <c r="AB244" s="535"/>
      <c r="AC244" s="535"/>
    </row>
    <row r="245" spans="1:68" ht="27" customHeight="1" x14ac:dyDescent="0.25">
      <c r="A245" s="54" t="s">
        <v>388</v>
      </c>
      <c r="B245" s="54" t="s">
        <v>389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391</v>
      </c>
      <c r="B246" s="54" t="s">
        <v>392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5"/>
      <c r="B250" s="556"/>
      <c r="C250" s="556"/>
      <c r="D250" s="556"/>
      <c r="E250" s="556"/>
      <c r="F250" s="556"/>
      <c r="G250" s="556"/>
      <c r="H250" s="556"/>
      <c r="I250" s="556"/>
      <c r="J250" s="556"/>
      <c r="K250" s="556"/>
      <c r="L250" s="556"/>
      <c r="M250" s="556"/>
      <c r="N250" s="556"/>
      <c r="O250" s="557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6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57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9" t="s">
        <v>399</v>
      </c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56"/>
      <c r="P252" s="556"/>
      <c r="Q252" s="556"/>
      <c r="R252" s="556"/>
      <c r="S252" s="556"/>
      <c r="T252" s="556"/>
      <c r="U252" s="556"/>
      <c r="V252" s="556"/>
      <c r="W252" s="556"/>
      <c r="X252" s="556"/>
      <c r="Y252" s="556"/>
      <c r="Z252" s="556"/>
      <c r="AA252" s="536"/>
      <c r="AB252" s="536"/>
      <c r="AC252" s="536"/>
    </row>
    <row r="253" spans="1:68" ht="14.25" customHeight="1" x14ac:dyDescent="0.25">
      <c r="A253" s="558" t="s">
        <v>101</v>
      </c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403</v>
      </c>
      <c r="B255" s="54" t="s">
        <v>404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2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5"/>
      <c r="B259" s="556"/>
      <c r="C259" s="556"/>
      <c r="D259" s="556"/>
      <c r="E259" s="556"/>
      <c r="F259" s="556"/>
      <c r="G259" s="556"/>
      <c r="H259" s="556"/>
      <c r="I259" s="556"/>
      <c r="J259" s="556"/>
      <c r="K259" s="556"/>
      <c r="L259" s="556"/>
      <c r="M259" s="556"/>
      <c r="N259" s="556"/>
      <c r="O259" s="557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6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57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9" t="s">
        <v>415</v>
      </c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56"/>
      <c r="P261" s="556"/>
      <c r="Q261" s="556"/>
      <c r="R261" s="556"/>
      <c r="S261" s="556"/>
      <c r="T261" s="556"/>
      <c r="U261" s="556"/>
      <c r="V261" s="556"/>
      <c r="W261" s="556"/>
      <c r="X261" s="556"/>
      <c r="Y261" s="556"/>
      <c r="Z261" s="556"/>
      <c r="AA261" s="536"/>
      <c r="AB261" s="536"/>
      <c r="AC261" s="536"/>
    </row>
    <row r="262" spans="1:68" ht="14.25" customHeight="1" x14ac:dyDescent="0.25">
      <c r="A262" s="558" t="s">
        <v>101</v>
      </c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35"/>
      <c r="AB262" s="535"/>
      <c r="AC262" s="535"/>
    </row>
    <row r="263" spans="1:68" ht="27" customHeight="1" x14ac:dyDescent="0.25">
      <c r="A263" s="54" t="s">
        <v>416</v>
      </c>
      <c r="B263" s="54" t="s">
        <v>417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418</v>
      </c>
      <c r="B264" s="54" t="s">
        <v>419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423</v>
      </c>
      <c r="B266" s="54" t="s">
        <v>424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5"/>
      <c r="B267" s="556"/>
      <c r="C267" s="556"/>
      <c r="D267" s="556"/>
      <c r="E267" s="556"/>
      <c r="F267" s="556"/>
      <c r="G267" s="556"/>
      <c r="H267" s="556"/>
      <c r="I267" s="556"/>
      <c r="J267" s="556"/>
      <c r="K267" s="556"/>
      <c r="L267" s="556"/>
      <c r="M267" s="556"/>
      <c r="N267" s="556"/>
      <c r="O267" s="557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6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57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9" t="s">
        <v>426</v>
      </c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56"/>
      <c r="P269" s="556"/>
      <c r="Q269" s="556"/>
      <c r="R269" s="556"/>
      <c r="S269" s="556"/>
      <c r="T269" s="556"/>
      <c r="U269" s="556"/>
      <c r="V269" s="556"/>
      <c r="W269" s="556"/>
      <c r="X269" s="556"/>
      <c r="Y269" s="556"/>
      <c r="Z269" s="556"/>
      <c r="AA269" s="536"/>
      <c r="AB269" s="536"/>
      <c r="AC269" s="536"/>
    </row>
    <row r="270" spans="1:68" ht="14.25" customHeight="1" x14ac:dyDescent="0.25">
      <c r="A270" s="558" t="s">
        <v>73</v>
      </c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35"/>
      <c r="AB270" s="535"/>
      <c r="AC270" s="535"/>
    </row>
    <row r="271" spans="1:68" ht="27" customHeight="1" x14ac:dyDescent="0.25">
      <c r="A271" s="54" t="s">
        <v>427</v>
      </c>
      <c r="B271" s="54" t="s">
        <v>428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5"/>
      <c r="B274" s="556"/>
      <c r="C274" s="556"/>
      <c r="D274" s="556"/>
      <c r="E274" s="556"/>
      <c r="F274" s="556"/>
      <c r="G274" s="556"/>
      <c r="H274" s="556"/>
      <c r="I274" s="556"/>
      <c r="J274" s="556"/>
      <c r="K274" s="556"/>
      <c r="L274" s="556"/>
      <c r="M274" s="556"/>
      <c r="N274" s="556"/>
      <c r="O274" s="557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6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7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9" t="s">
        <v>435</v>
      </c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56"/>
      <c r="P276" s="556"/>
      <c r="Q276" s="556"/>
      <c r="R276" s="556"/>
      <c r="S276" s="556"/>
      <c r="T276" s="556"/>
      <c r="U276" s="556"/>
      <c r="V276" s="556"/>
      <c r="W276" s="556"/>
      <c r="X276" s="556"/>
      <c r="Y276" s="556"/>
      <c r="Z276" s="556"/>
      <c r="AA276" s="536"/>
      <c r="AB276" s="536"/>
      <c r="AC276" s="536"/>
    </row>
    <row r="277" spans="1:68" ht="14.25" customHeight="1" x14ac:dyDescent="0.25">
      <c r="A277" s="558" t="s">
        <v>64</v>
      </c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35"/>
      <c r="AB277" s="535"/>
      <c r="AC277" s="535"/>
    </row>
    <row r="278" spans="1:68" ht="27" customHeight="1" x14ac:dyDescent="0.25">
      <c r="A278" s="54" t="s">
        <v>436</v>
      </c>
      <c r="B278" s="54" t="s">
        <v>437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439</v>
      </c>
      <c r="B279" s="54" t="s">
        <v>440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5"/>
      <c r="B280" s="556"/>
      <c r="C280" s="556"/>
      <c r="D280" s="556"/>
      <c r="E280" s="556"/>
      <c r="F280" s="556"/>
      <c r="G280" s="556"/>
      <c r="H280" s="556"/>
      <c r="I280" s="556"/>
      <c r="J280" s="556"/>
      <c r="K280" s="556"/>
      <c r="L280" s="556"/>
      <c r="M280" s="556"/>
      <c r="N280" s="556"/>
      <c r="O280" s="557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6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57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8" t="s">
        <v>73</v>
      </c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6"/>
      <c r="P282" s="556"/>
      <c r="Q282" s="556"/>
      <c r="R282" s="556"/>
      <c r="S282" s="556"/>
      <c r="T282" s="556"/>
      <c r="U282" s="556"/>
      <c r="V282" s="556"/>
      <c r="W282" s="556"/>
      <c r="X282" s="556"/>
      <c r="Y282" s="556"/>
      <c r="Z282" s="556"/>
      <c r="AA282" s="535"/>
      <c r="AB282" s="535"/>
      <c r="AC282" s="535"/>
    </row>
    <row r="283" spans="1:68" ht="37.5" customHeight="1" x14ac:dyDescent="0.25">
      <c r="A283" s="54" t="s">
        <v>442</v>
      </c>
      <c r="B283" s="54" t="s">
        <v>443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55"/>
      <c r="B284" s="556"/>
      <c r="C284" s="556"/>
      <c r="D284" s="556"/>
      <c r="E284" s="556"/>
      <c r="F284" s="556"/>
      <c r="G284" s="556"/>
      <c r="H284" s="556"/>
      <c r="I284" s="556"/>
      <c r="J284" s="556"/>
      <c r="K284" s="556"/>
      <c r="L284" s="556"/>
      <c r="M284" s="556"/>
      <c r="N284" s="556"/>
      <c r="O284" s="557"/>
      <c r="P284" s="562" t="s">
        <v>71</v>
      </c>
      <c r="Q284" s="563"/>
      <c r="R284" s="563"/>
      <c r="S284" s="563"/>
      <c r="T284" s="563"/>
      <c r="U284" s="563"/>
      <c r="V284" s="564"/>
      <c r="W284" s="37" t="s">
        <v>72</v>
      </c>
      <c r="X284" s="543">
        <f>IFERROR(X283/H283,"0")</f>
        <v>0</v>
      </c>
      <c r="Y284" s="543">
        <f>IFERROR(Y283/H283,"0")</f>
        <v>0</v>
      </c>
      <c r="Z284" s="543">
        <f>IFERROR(IF(Z283="",0,Z283),"0")</f>
        <v>0</v>
      </c>
      <c r="AA284" s="544"/>
      <c r="AB284" s="544"/>
      <c r="AC284" s="544"/>
    </row>
    <row r="285" spans="1:68" x14ac:dyDescent="0.2">
      <c r="A285" s="556"/>
      <c r="B285" s="556"/>
      <c r="C285" s="556"/>
      <c r="D285" s="556"/>
      <c r="E285" s="556"/>
      <c r="F285" s="556"/>
      <c r="G285" s="556"/>
      <c r="H285" s="556"/>
      <c r="I285" s="556"/>
      <c r="J285" s="556"/>
      <c r="K285" s="556"/>
      <c r="L285" s="556"/>
      <c r="M285" s="556"/>
      <c r="N285" s="556"/>
      <c r="O285" s="557"/>
      <c r="P285" s="562" t="s">
        <v>71</v>
      </c>
      <c r="Q285" s="563"/>
      <c r="R285" s="563"/>
      <c r="S285" s="563"/>
      <c r="T285" s="563"/>
      <c r="U285" s="563"/>
      <c r="V285" s="564"/>
      <c r="W285" s="37" t="s">
        <v>69</v>
      </c>
      <c r="X285" s="543">
        <f>IFERROR(SUM(X283:X283),"0")</f>
        <v>0</v>
      </c>
      <c r="Y285" s="543">
        <f>IFERROR(SUM(Y283:Y283),"0")</f>
        <v>0</v>
      </c>
      <c r="Z285" s="37"/>
      <c r="AA285" s="544"/>
      <c r="AB285" s="544"/>
      <c r="AC285" s="544"/>
    </row>
    <row r="286" spans="1:68" ht="16.5" customHeight="1" x14ac:dyDescent="0.25">
      <c r="A286" s="559" t="s">
        <v>445</v>
      </c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56"/>
      <c r="P286" s="556"/>
      <c r="Q286" s="556"/>
      <c r="R286" s="556"/>
      <c r="S286" s="556"/>
      <c r="T286" s="556"/>
      <c r="U286" s="556"/>
      <c r="V286" s="556"/>
      <c r="W286" s="556"/>
      <c r="X286" s="556"/>
      <c r="Y286" s="556"/>
      <c r="Z286" s="556"/>
      <c r="AA286" s="536"/>
      <c r="AB286" s="536"/>
      <c r="AC286" s="536"/>
    </row>
    <row r="287" spans="1:68" ht="14.25" customHeight="1" x14ac:dyDescent="0.25">
      <c r="A287" s="558" t="s">
        <v>101</v>
      </c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56"/>
      <c r="P287" s="556"/>
      <c r="Q287" s="556"/>
      <c r="R287" s="556"/>
      <c r="S287" s="556"/>
      <c r="T287" s="556"/>
      <c r="U287" s="556"/>
      <c r="V287" s="556"/>
      <c r="W287" s="556"/>
      <c r="X287" s="556"/>
      <c r="Y287" s="556"/>
      <c r="Z287" s="556"/>
      <c r="AA287" s="535"/>
      <c r="AB287" s="535"/>
      <c r="AC287" s="535"/>
    </row>
    <row r="288" spans="1:68" ht="27" customHeight="1" x14ac:dyDescent="0.25">
      <c r="A288" s="54" t="s">
        <v>446</v>
      </c>
      <c r="B288" s="54" t="s">
        <v>447</v>
      </c>
      <c r="C288" s="31">
        <v>4301012126</v>
      </c>
      <c r="D288" s="548">
        <v>4607091386004</v>
      </c>
      <c r="E288" s="549"/>
      <c r="F288" s="540">
        <v>1.35</v>
      </c>
      <c r="G288" s="32">
        <v>8</v>
      </c>
      <c r="H288" s="540">
        <v>10.8</v>
      </c>
      <c r="I288" s="540">
        <v>11.21</v>
      </c>
      <c r="J288" s="32">
        <v>64</v>
      </c>
      <c r="K288" s="32" t="s">
        <v>104</v>
      </c>
      <c r="L288" s="32"/>
      <c r="M288" s="33" t="s">
        <v>106</v>
      </c>
      <c r="N288" s="33"/>
      <c r="O288" s="32">
        <v>55</v>
      </c>
      <c r="P288" s="84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41">
        <v>0</v>
      </c>
      <c r="Y288" s="542">
        <f t="shared" ref="Y288:Y293" si="26"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 t="shared" ref="BM288:BM293" si="27">IFERROR(X288*I288/H288,"0")</f>
        <v>0</v>
      </c>
      <c r="BN288" s="64">
        <f t="shared" ref="BN288:BN293" si="28">IFERROR(Y288*I288/H288,"0")</f>
        <v>0</v>
      </c>
      <c r="BO288" s="64">
        <f t="shared" ref="BO288:BO293" si="29">IFERROR(1/J288*(X288/H288),"0")</f>
        <v>0</v>
      </c>
      <c r="BP288" s="64">
        <f t="shared" ref="BP288:BP293" si="30">IFERROR(1/J288*(Y288/H288),"0")</f>
        <v>0</v>
      </c>
    </row>
    <row r="289" spans="1:68" ht="27" customHeight="1" x14ac:dyDescent="0.25">
      <c r="A289" s="54" t="s">
        <v>449</v>
      </c>
      <c r="B289" s="54" t="s">
        <v>450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 t="s">
        <v>105</v>
      </c>
      <c r="M289" s="33" t="s">
        <v>77</v>
      </c>
      <c r="N289" s="33"/>
      <c r="O289" s="32">
        <v>55</v>
      </c>
      <c r="P289" s="67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 t="shared" si="26"/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 t="s">
        <v>90</v>
      </c>
      <c r="AK289" s="68">
        <v>86.4</v>
      </c>
      <c r="BB289" s="332" t="s">
        <v>1</v>
      </c>
      <c r="BM289" s="64">
        <f t="shared" si="27"/>
        <v>0</v>
      </c>
      <c r="BN289" s="64">
        <f t="shared" si="28"/>
        <v>0</v>
      </c>
      <c r="BO289" s="64">
        <f t="shared" si="29"/>
        <v>0</v>
      </c>
      <c r="BP289" s="64">
        <f t="shared" si="30"/>
        <v>0</v>
      </c>
    </row>
    <row r="290" spans="1:68" ht="37.5" customHeight="1" x14ac:dyDescent="0.25">
      <c r="A290" s="54" t="s">
        <v>452</v>
      </c>
      <c r="B290" s="54" t="s">
        <v>453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106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77</v>
      </c>
      <c r="N291" s="33"/>
      <c r="O291" s="32">
        <v>55</v>
      </c>
      <c r="P291" s="8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250</v>
      </c>
      <c r="Y291" s="542">
        <f t="shared" si="26"/>
        <v>259.20000000000005</v>
      </c>
      <c r="Z291" s="36">
        <f>IFERROR(IF(Y291=0,"",ROUNDUP(Y291/H291,0)*0.01898),"")</f>
        <v>0.45552000000000004</v>
      </c>
      <c r="AA291" s="56"/>
      <c r="AB291" s="57"/>
      <c r="AC291" s="335" t="s">
        <v>457</v>
      </c>
      <c r="AG291" s="64"/>
      <c r="AJ291" s="68" t="s">
        <v>90</v>
      </c>
      <c r="AK291" s="68">
        <v>10.8</v>
      </c>
      <c r="BB291" s="336" t="s">
        <v>1</v>
      </c>
      <c r="BM291" s="64">
        <f t="shared" si="27"/>
        <v>259.4907407407407</v>
      </c>
      <c r="BN291" s="64">
        <f t="shared" si="28"/>
        <v>269.04000000000002</v>
      </c>
      <c r="BO291" s="64">
        <f t="shared" si="29"/>
        <v>0.36168981481481477</v>
      </c>
      <c r="BP291" s="64">
        <f t="shared" si="30"/>
        <v>0.37500000000000006</v>
      </c>
    </row>
    <row r="292" spans="1:68" ht="27" customHeight="1" x14ac:dyDescent="0.25">
      <c r="A292" s="54" t="s">
        <v>458</v>
      </c>
      <c r="B292" s="54" t="s">
        <v>459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110</v>
      </c>
      <c r="L292" s="32" t="s">
        <v>111</v>
      </c>
      <c r="M292" s="33" t="s">
        <v>106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 t="s">
        <v>90</v>
      </c>
      <c r="AK292" s="68">
        <v>48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460</v>
      </c>
      <c r="B293" s="54" t="s">
        <v>461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x14ac:dyDescent="0.2">
      <c r="A294" s="555"/>
      <c r="B294" s="556"/>
      <c r="C294" s="556"/>
      <c r="D294" s="556"/>
      <c r="E294" s="556"/>
      <c r="F294" s="556"/>
      <c r="G294" s="556"/>
      <c r="H294" s="556"/>
      <c r="I294" s="556"/>
      <c r="J294" s="556"/>
      <c r="K294" s="556"/>
      <c r="L294" s="556"/>
      <c r="M294" s="556"/>
      <c r="N294" s="556"/>
      <c r="O294" s="557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IFERROR(X288/H288,"0")+IFERROR(X289/H289,"0")+IFERROR(X290/H290,"0")+IFERROR(X291/H291,"0")+IFERROR(X292/H292,"0")+IFERROR(X293/H293,"0")</f>
        <v>23.148148148148145</v>
      </c>
      <c r="Y294" s="543">
        <f>IFERROR(Y288/H288,"0")+IFERROR(Y289/H289,"0")+IFERROR(Y290/H290,"0")+IFERROR(Y291/H291,"0")+IFERROR(Y292/H292,"0")+IFERROR(Y293/H293,"0")</f>
        <v>24.000000000000004</v>
      </c>
      <c r="Z294" s="543">
        <f>IFERROR(IF(Z288="",0,Z288),"0")+IFERROR(IF(Z289="",0,Z289),"0")+IFERROR(IF(Z290="",0,Z290),"0")+IFERROR(IF(Z291="",0,Z291),"0")+IFERROR(IF(Z292="",0,Z292),"0")+IFERROR(IF(Z293="",0,Z293),"0")</f>
        <v>0.45552000000000004</v>
      </c>
      <c r="AA294" s="544"/>
      <c r="AB294" s="544"/>
      <c r="AC294" s="544"/>
    </row>
    <row r="295" spans="1:68" x14ac:dyDescent="0.2">
      <c r="A295" s="556"/>
      <c r="B295" s="556"/>
      <c r="C295" s="556"/>
      <c r="D295" s="556"/>
      <c r="E295" s="556"/>
      <c r="F295" s="556"/>
      <c r="G295" s="556"/>
      <c r="H295" s="556"/>
      <c r="I295" s="556"/>
      <c r="J295" s="556"/>
      <c r="K295" s="556"/>
      <c r="L295" s="556"/>
      <c r="M295" s="556"/>
      <c r="N295" s="556"/>
      <c r="O295" s="557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IFERROR(SUM(X288:X293),"0")</f>
        <v>250</v>
      </c>
      <c r="Y295" s="543">
        <f>IFERROR(SUM(Y288:Y293),"0")</f>
        <v>259.20000000000005</v>
      </c>
      <c r="Z295" s="37"/>
      <c r="AA295" s="544"/>
      <c r="AB295" s="544"/>
      <c r="AC295" s="544"/>
    </row>
    <row r="296" spans="1:68" ht="14.25" customHeight="1" x14ac:dyDescent="0.25">
      <c r="A296" s="558" t="s">
        <v>64</v>
      </c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56"/>
      <c r="P296" s="556"/>
      <c r="Q296" s="556"/>
      <c r="R296" s="556"/>
      <c r="S296" s="556"/>
      <c r="T296" s="556"/>
      <c r="U296" s="556"/>
      <c r="V296" s="556"/>
      <c r="W296" s="556"/>
      <c r="X296" s="556"/>
      <c r="Y296" s="556"/>
      <c r="Z296" s="556"/>
      <c r="AA296" s="535"/>
      <c r="AB296" s="535"/>
      <c r="AC296" s="535"/>
    </row>
    <row r="297" spans="1:68" ht="27" customHeight="1" x14ac:dyDescent="0.25">
      <c r="A297" s="54" t="s">
        <v>463</v>
      </c>
      <c r="B297" s="54" t="s">
        <v>464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110</v>
      </c>
      <c r="L297" s="32" t="s">
        <v>111</v>
      </c>
      <c r="M297" s="33" t="s">
        <v>68</v>
      </c>
      <c r="N297" s="33"/>
      <c r="O297" s="32">
        <v>35</v>
      </c>
      <c r="P297" s="8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0</v>
      </c>
      <c r="Y297" s="542">
        <f t="shared" ref="Y297:Y303" si="31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90</v>
      </c>
      <c r="AK297" s="68">
        <v>50.4</v>
      </c>
      <c r="BB297" s="342" t="s">
        <v>1</v>
      </c>
      <c r="BM297" s="64">
        <f t="shared" ref="BM297:BM303" si="32">IFERROR(X297*I297/H297,"0")</f>
        <v>0</v>
      </c>
      <c r="BN297" s="64">
        <f t="shared" ref="BN297:BN303" si="33">IFERROR(Y297*I297/H297,"0")</f>
        <v>0</v>
      </c>
      <c r="BO297" s="64">
        <f t="shared" ref="BO297:BO303" si="34">IFERROR(1/J297*(X297/H297),"0")</f>
        <v>0</v>
      </c>
      <c r="BP297" s="64">
        <f t="shared" ref="BP297:BP303" si="35">IFERROR(1/J297*(Y297/H297),"0")</f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180</v>
      </c>
      <c r="Y298" s="542">
        <f t="shared" si="31"/>
        <v>180.6</v>
      </c>
      <c r="Z298" s="36">
        <f>IFERROR(IF(Y298=0,"",ROUNDUP(Y298/H298,0)*0.00902),"")</f>
        <v>0.38785999999999998</v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si="32"/>
        <v>190.71428571428569</v>
      </c>
      <c r="BN298" s="64">
        <f t="shared" si="33"/>
        <v>191.35</v>
      </c>
      <c r="BO298" s="64">
        <f t="shared" si="34"/>
        <v>0.32467532467532467</v>
      </c>
      <c r="BP298" s="64">
        <f t="shared" si="35"/>
        <v>0.32575757575757575</v>
      </c>
    </row>
    <row r="299" spans="1:68" ht="27" customHeight="1" x14ac:dyDescent="0.25">
      <c r="A299" s="54" t="s">
        <v>469</v>
      </c>
      <c r="B299" s="54" t="s">
        <v>470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45</v>
      </c>
      <c r="P299" s="73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6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90</v>
      </c>
      <c r="AK300" s="68">
        <v>37.799999999999997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271</v>
      </c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476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88</v>
      </c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IFERROR(IF(Y303=0,"",ROUNDUP(Y303/H303,0)*0.00651),"")</f>
        <v/>
      </c>
      <c r="AA303" s="56"/>
      <c r="AB303" s="57"/>
      <c r="AC303" s="353" t="s">
        <v>481</v>
      </c>
      <c r="AG303" s="64"/>
      <c r="AJ303" s="68" t="s">
        <v>90</v>
      </c>
      <c r="AK303" s="68">
        <v>25.2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55"/>
      <c r="B304" s="556"/>
      <c r="C304" s="556"/>
      <c r="D304" s="556"/>
      <c r="E304" s="556"/>
      <c r="F304" s="556"/>
      <c r="G304" s="556"/>
      <c r="H304" s="556"/>
      <c r="I304" s="556"/>
      <c r="J304" s="556"/>
      <c r="K304" s="556"/>
      <c r="L304" s="556"/>
      <c r="M304" s="556"/>
      <c r="N304" s="556"/>
      <c r="O304" s="557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42.857142857142854</v>
      </c>
      <c r="Y304" s="543">
        <f>IFERROR(Y297/H297,"0")+IFERROR(Y298/H298,"0")+IFERROR(Y299/H299,"0")+IFERROR(Y300/H300,"0")+IFERROR(Y301/H301,"0")+IFERROR(Y302/H302,"0")+IFERROR(Y303/H303,"0")</f>
        <v>43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0.38785999999999998</v>
      </c>
      <c r="AA304" s="544"/>
      <c r="AB304" s="544"/>
      <c r="AC304" s="544"/>
    </row>
    <row r="305" spans="1:68" x14ac:dyDescent="0.2">
      <c r="A305" s="556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57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180</v>
      </c>
      <c r="Y305" s="543">
        <f>IFERROR(SUM(Y297:Y303),"0")</f>
        <v>180.6</v>
      </c>
      <c r="Z305" s="37"/>
      <c r="AA305" s="544"/>
      <c r="AB305" s="544"/>
      <c r="AC305" s="544"/>
    </row>
    <row r="306" spans="1:68" ht="14.25" customHeight="1" x14ac:dyDescent="0.25">
      <c r="A306" s="558" t="s">
        <v>73</v>
      </c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6"/>
      <c r="P306" s="556"/>
      <c r="Q306" s="556"/>
      <c r="R306" s="556"/>
      <c r="S306" s="556"/>
      <c r="T306" s="556"/>
      <c r="U306" s="556"/>
      <c r="V306" s="556"/>
      <c r="W306" s="556"/>
      <c r="X306" s="556"/>
      <c r="Y306" s="556"/>
      <c r="Z306" s="556"/>
      <c r="AA306" s="535"/>
      <c r="AB306" s="535"/>
      <c r="AC306" s="535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104</v>
      </c>
      <c r="L307" s="32" t="s">
        <v>105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900</v>
      </c>
      <c r="Y307" s="542">
        <f>IFERROR(IF(X307="",0,CEILING((X307/$H307),1)*$H307),"")</f>
        <v>904.8</v>
      </c>
      <c r="Z307" s="36">
        <f>IFERROR(IF(Y307=0,"",ROUNDUP(Y307/H307,0)*0.01898),"")</f>
        <v>2.2016800000000001</v>
      </c>
      <c r="AA307" s="56"/>
      <c r="AB307" s="57"/>
      <c r="AC307" s="355" t="s">
        <v>484</v>
      </c>
      <c r="AG307" s="64"/>
      <c r="AJ307" s="68" t="s">
        <v>90</v>
      </c>
      <c r="AK307" s="68">
        <v>62.4</v>
      </c>
      <c r="BB307" s="356" t="s">
        <v>1</v>
      </c>
      <c r="BM307" s="64">
        <f>IFERROR(X307*I307/H307,"0")</f>
        <v>956.30769230769226</v>
      </c>
      <c r="BN307" s="64">
        <f>IFERROR(Y307*I307/H307,"0")</f>
        <v>961.40800000000002</v>
      </c>
      <c r="BO307" s="64">
        <f>IFERROR(1/J307*(X307/H307),"0")</f>
        <v>1.8028846153846154</v>
      </c>
      <c r="BP307" s="64">
        <f>IFERROR(1/J307*(Y307/H307),"0")</f>
        <v>1.8125</v>
      </c>
    </row>
    <row r="308" spans="1:68" ht="27" customHeight="1" x14ac:dyDescent="0.25">
      <c r="A308" s="54" t="s">
        <v>485</v>
      </c>
      <c r="B308" s="54" t="s">
        <v>486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104</v>
      </c>
      <c r="L308" s="32"/>
      <c r="M308" s="33" t="s">
        <v>77</v>
      </c>
      <c r="N308" s="33"/>
      <c r="O308" s="32">
        <v>40</v>
      </c>
      <c r="P308" s="69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1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 t="s">
        <v>88</v>
      </c>
      <c r="M310" s="33" t="s">
        <v>77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90</v>
      </c>
      <c r="AK310" s="68">
        <v>42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4301051578</v>
      </c>
      <c r="D311" s="548">
        <v>4607091387513</v>
      </c>
      <c r="E311" s="549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0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5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57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IFERROR(X307/H307,"0")+IFERROR(X308/H308,"0")+IFERROR(X309/H309,"0")+IFERROR(X310/H310,"0")+IFERROR(X311/H311,"0")</f>
        <v>115.38461538461539</v>
      </c>
      <c r="Y312" s="543">
        <f>IFERROR(Y307/H307,"0")+IFERROR(Y308/H308,"0")+IFERROR(Y309/H309,"0")+IFERROR(Y310/H310,"0")+IFERROR(Y311/H311,"0")</f>
        <v>116</v>
      </c>
      <c r="Z312" s="543">
        <f>IFERROR(IF(Z307="",0,Z307),"0")+IFERROR(IF(Z308="",0,Z308),"0")+IFERROR(IF(Z309="",0,Z309),"0")+IFERROR(IF(Z310="",0,Z310),"0")+IFERROR(IF(Z311="",0,Z311),"0")</f>
        <v>2.2016800000000001</v>
      </c>
      <c r="AA312" s="544"/>
      <c r="AB312" s="544"/>
      <c r="AC312" s="544"/>
    </row>
    <row r="313" spans="1:68" x14ac:dyDescent="0.2">
      <c r="A313" s="556"/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7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IFERROR(SUM(X307:X311),"0")</f>
        <v>900</v>
      </c>
      <c r="Y313" s="543">
        <f>IFERROR(SUM(Y307:Y311),"0")</f>
        <v>904.8</v>
      </c>
      <c r="Z313" s="37"/>
      <c r="AA313" s="544"/>
      <c r="AB313" s="544"/>
      <c r="AC313" s="544"/>
    </row>
    <row r="314" spans="1:68" ht="14.25" customHeight="1" x14ac:dyDescent="0.25">
      <c r="A314" s="558" t="s">
        <v>164</v>
      </c>
      <c r="B314" s="556"/>
      <c r="C314" s="556"/>
      <c r="D314" s="556"/>
      <c r="E314" s="556"/>
      <c r="F314" s="556"/>
      <c r="G314" s="556"/>
      <c r="H314" s="556"/>
      <c r="I314" s="556"/>
      <c r="J314" s="556"/>
      <c r="K314" s="556"/>
      <c r="L314" s="556"/>
      <c r="M314" s="556"/>
      <c r="N314" s="556"/>
      <c r="O314" s="556"/>
      <c r="P314" s="556"/>
      <c r="Q314" s="556"/>
      <c r="R314" s="556"/>
      <c r="S314" s="556"/>
      <c r="T314" s="556"/>
      <c r="U314" s="556"/>
      <c r="V314" s="556"/>
      <c r="W314" s="556"/>
      <c r="X314" s="556"/>
      <c r="Y314" s="556"/>
      <c r="Z314" s="556"/>
      <c r="AA314" s="535"/>
      <c r="AB314" s="535"/>
      <c r="AC314" s="535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5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57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x14ac:dyDescent="0.2">
      <c r="A319" s="556"/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7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customHeight="1" x14ac:dyDescent="0.25">
      <c r="A320" s="558" t="s">
        <v>93</v>
      </c>
      <c r="B320" s="556"/>
      <c r="C320" s="556"/>
      <c r="D320" s="556"/>
      <c r="E320" s="556"/>
      <c r="F320" s="556"/>
      <c r="G320" s="556"/>
      <c r="H320" s="556"/>
      <c r="I320" s="556"/>
      <c r="J320" s="556"/>
      <c r="K320" s="556"/>
      <c r="L320" s="556"/>
      <c r="M320" s="556"/>
      <c r="N320" s="556"/>
      <c r="O320" s="556"/>
      <c r="P320" s="556"/>
      <c r="Q320" s="556"/>
      <c r="R320" s="556"/>
      <c r="S320" s="556"/>
      <c r="T320" s="556"/>
      <c r="U320" s="556"/>
      <c r="V320" s="556"/>
      <c r="W320" s="556"/>
      <c r="X320" s="556"/>
      <c r="Y320" s="556"/>
      <c r="Z320" s="556"/>
      <c r="AA320" s="535"/>
      <c r="AB320" s="535"/>
      <c r="AC320" s="535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5" t="s">
        <v>511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21</v>
      </c>
      <c r="Y322" s="542">
        <f>IFERROR(IF(X322="",0,CEILING((X322/$H322),1)*$H322),"")</f>
        <v>21.28</v>
      </c>
      <c r="Z322" s="36">
        <f>IFERROR(IF(Y322=0,"",ROUNDUP(Y322/H322,0)*0.00902),"")</f>
        <v>6.3140000000000002E-2</v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22.588815789473685</v>
      </c>
      <c r="BN322" s="64">
        <f>IFERROR(Y322*I322/H322,"0")</f>
        <v>22.89</v>
      </c>
      <c r="BO322" s="64">
        <f>IFERROR(1/J322*(X322/H322),"0")</f>
        <v>5.2332535885167467E-2</v>
      </c>
      <c r="BP322" s="64">
        <f>IFERROR(1/J322*(Y322/H322),"0")</f>
        <v>5.3030303030303032E-2</v>
      </c>
    </row>
    <row r="323" spans="1:68" ht="27" customHeight="1" x14ac:dyDescent="0.25">
      <c r="A323" s="54" t="s">
        <v>512</v>
      </c>
      <c r="B323" s="54" t="s">
        <v>513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515</v>
      </c>
      <c r="B324" s="54" t="s">
        <v>516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5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57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6.9078947368421053</v>
      </c>
      <c r="Y325" s="543">
        <f>IFERROR(Y321/H321,"0")+IFERROR(Y322/H322,"0")+IFERROR(Y323/H323,"0")+IFERROR(Y324/H324,"0")</f>
        <v>7</v>
      </c>
      <c r="Z325" s="543">
        <f>IFERROR(IF(Z321="",0,Z321),"0")+IFERROR(IF(Z322="",0,Z322),"0")+IFERROR(IF(Z323="",0,Z323),"0")+IFERROR(IF(Z324="",0,Z324),"0")</f>
        <v>6.3140000000000002E-2</v>
      </c>
      <c r="AA325" s="544"/>
      <c r="AB325" s="544"/>
      <c r="AC325" s="544"/>
    </row>
    <row r="326" spans="1:68" x14ac:dyDescent="0.2">
      <c r="A326" s="556"/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7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21</v>
      </c>
      <c r="Y326" s="543">
        <f>IFERROR(SUM(Y321:Y324),"0")</f>
        <v>21.28</v>
      </c>
      <c r="Z326" s="37"/>
      <c r="AA326" s="544"/>
      <c r="AB326" s="544"/>
      <c r="AC326" s="544"/>
    </row>
    <row r="327" spans="1:68" ht="14.25" customHeight="1" x14ac:dyDescent="0.25">
      <c r="A327" s="558" t="s">
        <v>517</v>
      </c>
      <c r="B327" s="556"/>
      <c r="C327" s="556"/>
      <c r="D327" s="556"/>
      <c r="E327" s="556"/>
      <c r="F327" s="556"/>
      <c r="G327" s="556"/>
      <c r="H327" s="556"/>
      <c r="I327" s="556"/>
      <c r="J327" s="556"/>
      <c r="K327" s="556"/>
      <c r="L327" s="556"/>
      <c r="M327" s="556"/>
      <c r="N327" s="556"/>
      <c r="O327" s="556"/>
      <c r="P327" s="556"/>
      <c r="Q327" s="556"/>
      <c r="R327" s="556"/>
      <c r="S327" s="556"/>
      <c r="T327" s="556"/>
      <c r="U327" s="556"/>
      <c r="V327" s="556"/>
      <c r="W327" s="556"/>
      <c r="X327" s="556"/>
      <c r="Y327" s="556"/>
      <c r="Z327" s="556"/>
      <c r="AA327" s="535"/>
      <c r="AB327" s="535"/>
      <c r="AC327" s="535"/>
    </row>
    <row r="328" spans="1:68" ht="16.5" customHeight="1" x14ac:dyDescent="0.25">
      <c r="A328" s="54" t="s">
        <v>518</v>
      </c>
      <c r="B328" s="54" t="s">
        <v>519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520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521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522</v>
      </c>
      <c r="B329" s="54" t="s">
        <v>523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520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521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520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521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5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57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6"/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7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526</v>
      </c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36"/>
      <c r="AB333" s="536"/>
      <c r="AC333" s="536"/>
    </row>
    <row r="334" spans="1:68" ht="14.25" customHeight="1" x14ac:dyDescent="0.25">
      <c r="A334" s="558" t="s">
        <v>73</v>
      </c>
      <c r="B334" s="556"/>
      <c r="C334" s="556"/>
      <c r="D334" s="556"/>
      <c r="E334" s="556"/>
      <c r="F334" s="556"/>
      <c r="G334" s="556"/>
      <c r="H334" s="556"/>
      <c r="I334" s="556"/>
      <c r="J334" s="556"/>
      <c r="K334" s="556"/>
      <c r="L334" s="556"/>
      <c r="M334" s="556"/>
      <c r="N334" s="556"/>
      <c r="O334" s="556"/>
      <c r="P334" s="556"/>
      <c r="Q334" s="556"/>
      <c r="R334" s="556"/>
      <c r="S334" s="556"/>
      <c r="T334" s="556"/>
      <c r="U334" s="556"/>
      <c r="V334" s="556"/>
      <c r="W334" s="556"/>
      <c r="X334" s="556"/>
      <c r="Y334" s="556"/>
      <c r="Z334" s="556"/>
      <c r="AA334" s="535"/>
      <c r="AB334" s="535"/>
      <c r="AC334" s="535"/>
    </row>
    <row r="335" spans="1:68" ht="27" customHeight="1" x14ac:dyDescent="0.25">
      <c r="A335" s="54" t="s">
        <v>527</v>
      </c>
      <c r="B335" s="54" t="s">
        <v>528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529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533</v>
      </c>
      <c r="B337" s="54" t="s">
        <v>534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535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5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57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6"/>
      <c r="B339" s="556"/>
      <c r="C339" s="556"/>
      <c r="D339" s="556"/>
      <c r="E339" s="556"/>
      <c r="F339" s="556"/>
      <c r="G339" s="556"/>
      <c r="H339" s="556"/>
      <c r="I339" s="556"/>
      <c r="J339" s="556"/>
      <c r="K339" s="556"/>
      <c r="L339" s="556"/>
      <c r="M339" s="556"/>
      <c r="N339" s="556"/>
      <c r="O339" s="557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3" t="s">
        <v>536</v>
      </c>
      <c r="B340" s="634"/>
      <c r="C340" s="634"/>
      <c r="D340" s="634"/>
      <c r="E340" s="634"/>
      <c r="F340" s="634"/>
      <c r="G340" s="634"/>
      <c r="H340" s="634"/>
      <c r="I340" s="634"/>
      <c r="J340" s="634"/>
      <c r="K340" s="634"/>
      <c r="L340" s="634"/>
      <c r="M340" s="634"/>
      <c r="N340" s="634"/>
      <c r="O340" s="634"/>
      <c r="P340" s="634"/>
      <c r="Q340" s="634"/>
      <c r="R340" s="634"/>
      <c r="S340" s="634"/>
      <c r="T340" s="634"/>
      <c r="U340" s="634"/>
      <c r="V340" s="634"/>
      <c r="W340" s="634"/>
      <c r="X340" s="634"/>
      <c r="Y340" s="634"/>
      <c r="Z340" s="634"/>
      <c r="AA340" s="48"/>
      <c r="AB340" s="48"/>
      <c r="AC340" s="48"/>
    </row>
    <row r="341" spans="1:68" ht="16.5" customHeight="1" x14ac:dyDescent="0.25">
      <c r="A341" s="559" t="s">
        <v>537</v>
      </c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36"/>
      <c r="AB341" s="536"/>
      <c r="AC341" s="536"/>
    </row>
    <row r="342" spans="1:68" ht="14.25" customHeight="1" x14ac:dyDescent="0.25">
      <c r="A342" s="558" t="s">
        <v>101</v>
      </c>
      <c r="B342" s="556"/>
      <c r="C342" s="556"/>
      <c r="D342" s="556"/>
      <c r="E342" s="556"/>
      <c r="F342" s="556"/>
      <c r="G342" s="556"/>
      <c r="H342" s="556"/>
      <c r="I342" s="556"/>
      <c r="J342" s="556"/>
      <c r="K342" s="556"/>
      <c r="L342" s="556"/>
      <c r="M342" s="556"/>
      <c r="N342" s="556"/>
      <c r="O342" s="556"/>
      <c r="P342" s="556"/>
      <c r="Q342" s="556"/>
      <c r="R342" s="556"/>
      <c r="S342" s="556"/>
      <c r="T342" s="556"/>
      <c r="U342" s="556"/>
      <c r="V342" s="556"/>
      <c r="W342" s="556"/>
      <c r="X342" s="556"/>
      <c r="Y342" s="556"/>
      <c r="Z342" s="556"/>
      <c r="AA342" s="535"/>
      <c r="AB342" s="535"/>
      <c r="AC342" s="535"/>
    </row>
    <row r="343" spans="1:68" ht="37.5" customHeight="1" x14ac:dyDescent="0.25">
      <c r="A343" s="54" t="s">
        <v>538</v>
      </c>
      <c r="B343" s="54" t="s">
        <v>539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30</v>
      </c>
      <c r="Y343" s="542">
        <f t="shared" ref="Y343:Y349" si="36">IFERROR(IF(X343="",0,CEILING((X343/$H343),1)*$H343),"")</f>
        <v>30</v>
      </c>
      <c r="Z343" s="36">
        <f>IFERROR(IF(Y343=0,"",ROUNDUP(Y343/H343,0)*0.02175),"")</f>
        <v>4.3499999999999997E-2</v>
      </c>
      <c r="AA343" s="56"/>
      <c r="AB343" s="57"/>
      <c r="AC343" s="391" t="s">
        <v>540</v>
      </c>
      <c r="AG343" s="64"/>
      <c r="AJ343" s="68" t="s">
        <v>90</v>
      </c>
      <c r="AK343" s="68">
        <v>15</v>
      </c>
      <c r="BB343" s="392" t="s">
        <v>1</v>
      </c>
      <c r="BM343" s="64">
        <f t="shared" ref="BM343:BM349" si="37">IFERROR(X343*I343/H343,"0")</f>
        <v>30.94</v>
      </c>
      <c r="BN343" s="64">
        <f t="shared" ref="BN343:BN349" si="38">IFERROR(Y343*I343/H343,"0")</f>
        <v>30.94</v>
      </c>
      <c r="BO343" s="64">
        <f t="shared" ref="BO343:BO349" si="39">IFERROR(1/J343*(X343/H343),"0")</f>
        <v>4.1666666666666664E-2</v>
      </c>
      <c r="BP343" s="64">
        <f t="shared" ref="BP343:BP349" si="40">IFERROR(1/J343*(Y343/H343),"0")</f>
        <v>4.1666666666666664E-2</v>
      </c>
    </row>
    <row r="344" spans="1:68" ht="27" customHeight="1" x14ac:dyDescent="0.25">
      <c r="A344" s="54" t="s">
        <v>541</v>
      </c>
      <c r="B344" s="54" t="s">
        <v>542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120</v>
      </c>
      <c r="Y344" s="542">
        <f t="shared" si="36"/>
        <v>120</v>
      </c>
      <c r="Z344" s="36">
        <f>IFERROR(IF(Y344=0,"",ROUNDUP(Y344/H344,0)*0.02175),"")</f>
        <v>0.17399999999999999</v>
      </c>
      <c r="AA344" s="56"/>
      <c r="AB344" s="57"/>
      <c r="AC344" s="393" t="s">
        <v>543</v>
      </c>
      <c r="AG344" s="64"/>
      <c r="AJ344" s="68" t="s">
        <v>90</v>
      </c>
      <c r="AK344" s="68">
        <v>15</v>
      </c>
      <c r="BB344" s="394" t="s">
        <v>1</v>
      </c>
      <c r="BM344" s="64">
        <f t="shared" si="37"/>
        <v>123.76</v>
      </c>
      <c r="BN344" s="64">
        <f t="shared" si="38"/>
        <v>123.76</v>
      </c>
      <c r="BO344" s="64">
        <f t="shared" si="39"/>
        <v>0.16666666666666666</v>
      </c>
      <c r="BP344" s="64">
        <f t="shared" si="40"/>
        <v>0.16666666666666666</v>
      </c>
    </row>
    <row r="345" spans="1:68" ht="37.5" customHeight="1" x14ac:dyDescent="0.25">
      <c r="A345" s="54" t="s">
        <v>544</v>
      </c>
      <c r="B345" s="54" t="s">
        <v>545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546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83" t="s">
        <v>549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600</v>
      </c>
      <c r="Y346" s="542">
        <f t="shared" si="36"/>
        <v>600</v>
      </c>
      <c r="Z346" s="36">
        <f>IFERROR(IF(Y346=0,"",ROUNDUP(Y346/H346,0)*0.02175),"")</f>
        <v>0.86999999999999988</v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7"/>
        <v>618.79999999999995</v>
      </c>
      <c r="BN346" s="64">
        <f t="shared" si="38"/>
        <v>618.79999999999995</v>
      </c>
      <c r="BO346" s="64">
        <f t="shared" si="39"/>
        <v>0.83333333333333326</v>
      </c>
      <c r="BP346" s="64">
        <f t="shared" si="40"/>
        <v>0.83333333333333326</v>
      </c>
    </row>
    <row r="347" spans="1:68" ht="27" customHeight="1" x14ac:dyDescent="0.25">
      <c r="A347" s="54" t="s">
        <v>551</v>
      </c>
      <c r="B347" s="54" t="s">
        <v>552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553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554</v>
      </c>
      <c r="B348" s="54" t="s">
        <v>555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556</v>
      </c>
      <c r="B349" s="54" t="s">
        <v>557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546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5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57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50</v>
      </c>
      <c r="Y350" s="543">
        <f>IFERROR(Y343/H343,"0")+IFERROR(Y344/H344,"0")+IFERROR(Y345/H345,"0")+IFERROR(Y346/H346,"0")+IFERROR(Y347/H347,"0")+IFERROR(Y348/H348,"0")+IFERROR(Y349/H349,"0")</f>
        <v>50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1.0874999999999999</v>
      </c>
      <c r="AA350" s="544"/>
      <c r="AB350" s="544"/>
      <c r="AC350" s="544"/>
    </row>
    <row r="351" spans="1:68" x14ac:dyDescent="0.2">
      <c r="A351" s="556"/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7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750</v>
      </c>
      <c r="Y351" s="543">
        <f>IFERROR(SUM(Y343:Y349),"0")</f>
        <v>750</v>
      </c>
      <c r="Z351" s="37"/>
      <c r="AA351" s="544"/>
      <c r="AB351" s="544"/>
      <c r="AC351" s="544"/>
    </row>
    <row r="352" spans="1:68" ht="14.25" customHeight="1" x14ac:dyDescent="0.25">
      <c r="A352" s="558" t="s">
        <v>136</v>
      </c>
      <c r="B352" s="556"/>
      <c r="C352" s="556"/>
      <c r="D352" s="556"/>
      <c r="E352" s="556"/>
      <c r="F352" s="556"/>
      <c r="G352" s="556"/>
      <c r="H352" s="556"/>
      <c r="I352" s="556"/>
      <c r="J352" s="556"/>
      <c r="K352" s="556"/>
      <c r="L352" s="556"/>
      <c r="M352" s="556"/>
      <c r="N352" s="556"/>
      <c r="O352" s="556"/>
      <c r="P352" s="556"/>
      <c r="Q352" s="556"/>
      <c r="R352" s="556"/>
      <c r="S352" s="556"/>
      <c r="T352" s="556"/>
      <c r="U352" s="556"/>
      <c r="V352" s="556"/>
      <c r="W352" s="556"/>
      <c r="X352" s="556"/>
      <c r="Y352" s="556"/>
      <c r="Z352" s="556"/>
      <c r="AA352" s="535"/>
      <c r="AB352" s="535"/>
      <c r="AC352" s="535"/>
    </row>
    <row r="353" spans="1:68" ht="27" customHeight="1" x14ac:dyDescent="0.25">
      <c r="A353" s="54" t="s">
        <v>558</v>
      </c>
      <c r="B353" s="54" t="s">
        <v>559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1000</v>
      </c>
      <c r="Y353" s="542">
        <f>IFERROR(IF(X353="",0,CEILING((X353/$H353),1)*$H353),"")</f>
        <v>1005</v>
      </c>
      <c r="Z353" s="36">
        <f>IFERROR(IF(Y353=0,"",ROUNDUP(Y353/H353,0)*0.02175),"")</f>
        <v>1.4572499999999999</v>
      </c>
      <c r="AA353" s="56"/>
      <c r="AB353" s="57"/>
      <c r="AC353" s="405" t="s">
        <v>560</v>
      </c>
      <c r="AG353" s="64"/>
      <c r="AJ353" s="68" t="s">
        <v>90</v>
      </c>
      <c r="AK353" s="68">
        <v>15</v>
      </c>
      <c r="BB353" s="406" t="s">
        <v>1</v>
      </c>
      <c r="BM353" s="64">
        <f>IFERROR(X353*I353/H353,"0")</f>
        <v>1031.3333333333333</v>
      </c>
      <c r="BN353" s="64">
        <f>IFERROR(Y353*I353/H353,"0")</f>
        <v>1036.49</v>
      </c>
      <c r="BO353" s="64">
        <f>IFERROR(1/J353*(X353/H353),"0")</f>
        <v>1.3888888888888888</v>
      </c>
      <c r="BP353" s="64">
        <f>IFERROR(1/J353*(Y353/H353),"0")</f>
        <v>1.3958333333333333</v>
      </c>
    </row>
    <row r="354" spans="1:68" ht="16.5" customHeight="1" x14ac:dyDescent="0.25">
      <c r="A354" s="54" t="s">
        <v>561</v>
      </c>
      <c r="B354" s="54" t="s">
        <v>562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5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57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66.666666666666671</v>
      </c>
      <c r="Y355" s="543">
        <f>IFERROR(Y353/H353,"0")+IFERROR(Y354/H354,"0")</f>
        <v>67</v>
      </c>
      <c r="Z355" s="543">
        <f>IFERROR(IF(Z353="",0,Z353),"0")+IFERROR(IF(Z354="",0,Z354),"0")</f>
        <v>1.4572499999999999</v>
      </c>
      <c r="AA355" s="544"/>
      <c r="AB355" s="544"/>
      <c r="AC355" s="544"/>
    </row>
    <row r="356" spans="1:68" x14ac:dyDescent="0.2">
      <c r="A356" s="556"/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7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1000</v>
      </c>
      <c r="Y356" s="543">
        <f>IFERROR(SUM(Y353:Y354),"0")</f>
        <v>1005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6"/>
      <c r="C357" s="556"/>
      <c r="D357" s="556"/>
      <c r="E357" s="556"/>
      <c r="F357" s="556"/>
      <c r="G357" s="556"/>
      <c r="H357" s="556"/>
      <c r="I357" s="556"/>
      <c r="J357" s="556"/>
      <c r="K357" s="556"/>
      <c r="L357" s="556"/>
      <c r="M357" s="556"/>
      <c r="N357" s="556"/>
      <c r="O357" s="556"/>
      <c r="P357" s="556"/>
      <c r="Q357" s="556"/>
      <c r="R357" s="556"/>
      <c r="S357" s="556"/>
      <c r="T357" s="556"/>
      <c r="U357" s="556"/>
      <c r="V357" s="556"/>
      <c r="W357" s="556"/>
      <c r="X357" s="556"/>
      <c r="Y357" s="556"/>
      <c r="Z357" s="556"/>
      <c r="AA357" s="535"/>
      <c r="AB357" s="535"/>
      <c r="AC357" s="535"/>
    </row>
    <row r="358" spans="1:68" ht="27" customHeight="1" x14ac:dyDescent="0.25">
      <c r="A358" s="54" t="s">
        <v>563</v>
      </c>
      <c r="B358" s="54" t="s">
        <v>564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566</v>
      </c>
      <c r="B359" s="54" t="s">
        <v>567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568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5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57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6"/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7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164</v>
      </c>
      <c r="B362" s="556"/>
      <c r="C362" s="556"/>
      <c r="D362" s="556"/>
      <c r="E362" s="556"/>
      <c r="F362" s="556"/>
      <c r="G362" s="556"/>
      <c r="H362" s="556"/>
      <c r="I362" s="556"/>
      <c r="J362" s="556"/>
      <c r="K362" s="556"/>
      <c r="L362" s="556"/>
      <c r="M362" s="556"/>
      <c r="N362" s="556"/>
      <c r="O362" s="556"/>
      <c r="P362" s="556"/>
      <c r="Q362" s="556"/>
      <c r="R362" s="556"/>
      <c r="S362" s="556"/>
      <c r="T362" s="556"/>
      <c r="U362" s="556"/>
      <c r="V362" s="556"/>
      <c r="W362" s="556"/>
      <c r="X362" s="556"/>
      <c r="Y362" s="556"/>
      <c r="Z362" s="556"/>
      <c r="AA362" s="535"/>
      <c r="AB362" s="535"/>
      <c r="AC362" s="535"/>
    </row>
    <row r="363" spans="1:68" ht="16.5" customHeight="1" x14ac:dyDescent="0.25">
      <c r="A363" s="54" t="s">
        <v>569</v>
      </c>
      <c r="B363" s="54" t="s">
        <v>570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571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5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57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6"/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7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572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36"/>
      <c r="AB366" s="536"/>
      <c r="AC366" s="536"/>
    </row>
    <row r="367" spans="1:68" ht="14.25" customHeight="1" x14ac:dyDescent="0.25">
      <c r="A367" s="558" t="s">
        <v>101</v>
      </c>
      <c r="B367" s="556"/>
      <c r="C367" s="556"/>
      <c r="D367" s="556"/>
      <c r="E367" s="556"/>
      <c r="F367" s="556"/>
      <c r="G367" s="556"/>
      <c r="H367" s="556"/>
      <c r="I367" s="556"/>
      <c r="J367" s="556"/>
      <c r="K367" s="556"/>
      <c r="L367" s="556"/>
      <c r="M367" s="556"/>
      <c r="N367" s="556"/>
      <c r="O367" s="556"/>
      <c r="P367" s="556"/>
      <c r="Q367" s="556"/>
      <c r="R367" s="556"/>
      <c r="S367" s="556"/>
      <c r="T367" s="556"/>
      <c r="U367" s="556"/>
      <c r="V367" s="556"/>
      <c r="W367" s="556"/>
      <c r="X367" s="556"/>
      <c r="Y367" s="556"/>
      <c r="Z367" s="556"/>
      <c r="AA367" s="535"/>
      <c r="AB367" s="535"/>
      <c r="AC367" s="535"/>
    </row>
    <row r="368" spans="1:68" ht="37.5" customHeight="1" x14ac:dyDescent="0.25">
      <c r="A368" s="54" t="s">
        <v>573</v>
      </c>
      <c r="B368" s="54" t="s">
        <v>574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575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576</v>
      </c>
      <c r="B369" s="54" t="s">
        <v>577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575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5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57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6"/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7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6"/>
      <c r="C372" s="556"/>
      <c r="D372" s="556"/>
      <c r="E372" s="556"/>
      <c r="F372" s="556"/>
      <c r="G372" s="556"/>
      <c r="H372" s="556"/>
      <c r="I372" s="556"/>
      <c r="J372" s="556"/>
      <c r="K372" s="556"/>
      <c r="L372" s="556"/>
      <c r="M372" s="556"/>
      <c r="N372" s="556"/>
      <c r="O372" s="556"/>
      <c r="P372" s="556"/>
      <c r="Q372" s="556"/>
      <c r="R372" s="556"/>
      <c r="S372" s="556"/>
      <c r="T372" s="556"/>
      <c r="U372" s="556"/>
      <c r="V372" s="556"/>
      <c r="W372" s="556"/>
      <c r="X372" s="556"/>
      <c r="Y372" s="556"/>
      <c r="Z372" s="556"/>
      <c r="AA372" s="535"/>
      <c r="AB372" s="535"/>
      <c r="AC372" s="535"/>
    </row>
    <row r="373" spans="1:68" ht="27" customHeight="1" x14ac:dyDescent="0.25">
      <c r="A373" s="54" t="s">
        <v>578</v>
      </c>
      <c r="B373" s="54" t="s">
        <v>579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578</v>
      </c>
      <c r="B374" s="54" t="s">
        <v>581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582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5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57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6"/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7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6"/>
      <c r="C377" s="556"/>
      <c r="D377" s="556"/>
      <c r="E377" s="556"/>
      <c r="F377" s="556"/>
      <c r="G377" s="556"/>
      <c r="H377" s="556"/>
      <c r="I377" s="556"/>
      <c r="J377" s="556"/>
      <c r="K377" s="556"/>
      <c r="L377" s="556"/>
      <c r="M377" s="556"/>
      <c r="N377" s="556"/>
      <c r="O377" s="556"/>
      <c r="P377" s="556"/>
      <c r="Q377" s="556"/>
      <c r="R377" s="556"/>
      <c r="S377" s="556"/>
      <c r="T377" s="556"/>
      <c r="U377" s="556"/>
      <c r="V377" s="556"/>
      <c r="W377" s="556"/>
      <c r="X377" s="556"/>
      <c r="Y377" s="556"/>
      <c r="Z377" s="556"/>
      <c r="AA377" s="535"/>
      <c r="AB377" s="535"/>
      <c r="AC377" s="535"/>
    </row>
    <row r="378" spans="1:68" ht="27" customHeight="1" x14ac:dyDescent="0.25">
      <c r="A378" s="54" t="s">
        <v>583</v>
      </c>
      <c r="B378" s="54" t="s">
        <v>584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5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300</v>
      </c>
      <c r="Y378" s="542">
        <f>IFERROR(IF(X378="",0,CEILING((X378/$H378),1)*$H378),"")</f>
        <v>306</v>
      </c>
      <c r="Z378" s="36">
        <f>IFERROR(IF(Y378=0,"",ROUNDUP(Y378/H378,0)*0.01898),"")</f>
        <v>0.64532</v>
      </c>
      <c r="AA378" s="56"/>
      <c r="AB378" s="57"/>
      <c r="AC378" s="423" t="s">
        <v>585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316.46666666666664</v>
      </c>
      <c r="BN378" s="64">
        <f>IFERROR(Y378*I378/H378,"0")</f>
        <v>322.79599999999999</v>
      </c>
      <c r="BO378" s="64">
        <f>IFERROR(1/J378*(X378/H378),"0")</f>
        <v>0.52083333333333337</v>
      </c>
      <c r="BP378" s="64">
        <f>IFERROR(1/J378*(Y378/H378),"0")</f>
        <v>0.53125</v>
      </c>
    </row>
    <row r="379" spans="1:68" ht="27" customHeight="1" x14ac:dyDescent="0.25">
      <c r="A379" s="54" t="s">
        <v>586</v>
      </c>
      <c r="B379" s="54" t="s">
        <v>587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585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5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57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33.333333333333336</v>
      </c>
      <c r="Y380" s="543">
        <f>IFERROR(Y378/H378,"0")+IFERROR(Y379/H379,"0")</f>
        <v>34</v>
      </c>
      <c r="Z380" s="543">
        <f>IFERROR(IF(Z378="",0,Z378),"0")+IFERROR(IF(Z379="",0,Z379),"0")</f>
        <v>0.64532</v>
      </c>
      <c r="AA380" s="544"/>
      <c r="AB380" s="544"/>
      <c r="AC380" s="544"/>
    </row>
    <row r="381" spans="1:68" x14ac:dyDescent="0.2">
      <c r="A381" s="556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57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300</v>
      </c>
      <c r="Y381" s="543">
        <f>IFERROR(SUM(Y378:Y379),"0")</f>
        <v>306</v>
      </c>
      <c r="Z381" s="37"/>
      <c r="AA381" s="544"/>
      <c r="AB381" s="544"/>
      <c r="AC381" s="544"/>
    </row>
    <row r="382" spans="1:68" ht="27.75" customHeight="1" x14ac:dyDescent="0.2">
      <c r="A382" s="633" t="s">
        <v>588</v>
      </c>
      <c r="B382" s="634"/>
      <c r="C382" s="634"/>
      <c r="D382" s="634"/>
      <c r="E382" s="634"/>
      <c r="F382" s="634"/>
      <c r="G382" s="634"/>
      <c r="H382" s="634"/>
      <c r="I382" s="634"/>
      <c r="J382" s="634"/>
      <c r="K382" s="634"/>
      <c r="L382" s="634"/>
      <c r="M382" s="634"/>
      <c r="N382" s="634"/>
      <c r="O382" s="634"/>
      <c r="P382" s="634"/>
      <c r="Q382" s="634"/>
      <c r="R382" s="634"/>
      <c r="S382" s="634"/>
      <c r="T382" s="634"/>
      <c r="U382" s="634"/>
      <c r="V382" s="634"/>
      <c r="W382" s="634"/>
      <c r="X382" s="634"/>
      <c r="Y382" s="634"/>
      <c r="Z382" s="634"/>
      <c r="AA382" s="48"/>
      <c r="AB382" s="48"/>
      <c r="AC382" s="48"/>
    </row>
    <row r="383" spans="1:68" ht="16.5" customHeight="1" x14ac:dyDescent="0.25">
      <c r="A383" s="559" t="s">
        <v>589</v>
      </c>
      <c r="B383" s="556"/>
      <c r="C383" s="556"/>
      <c r="D383" s="556"/>
      <c r="E383" s="556"/>
      <c r="F383" s="556"/>
      <c r="G383" s="556"/>
      <c r="H383" s="556"/>
      <c r="I383" s="556"/>
      <c r="J383" s="556"/>
      <c r="K383" s="556"/>
      <c r="L383" s="556"/>
      <c r="M383" s="556"/>
      <c r="N383" s="556"/>
      <c r="O383" s="556"/>
      <c r="P383" s="556"/>
      <c r="Q383" s="556"/>
      <c r="R383" s="556"/>
      <c r="S383" s="556"/>
      <c r="T383" s="556"/>
      <c r="U383" s="556"/>
      <c r="V383" s="556"/>
      <c r="W383" s="556"/>
      <c r="X383" s="556"/>
      <c r="Y383" s="556"/>
      <c r="Z383" s="556"/>
      <c r="AA383" s="536"/>
      <c r="AB383" s="536"/>
      <c r="AC383" s="536"/>
    </row>
    <row r="384" spans="1:68" ht="14.25" customHeight="1" x14ac:dyDescent="0.25">
      <c r="A384" s="558" t="s">
        <v>64</v>
      </c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35"/>
      <c r="AB384" s="535"/>
      <c r="AC384" s="535"/>
    </row>
    <row r="385" spans="1:68" ht="27" customHeight="1" x14ac:dyDescent="0.25">
      <c r="A385" s="54" t="s">
        <v>590</v>
      </c>
      <c r="B385" s="54" t="s">
        <v>591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5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customHeight="1" x14ac:dyDescent="0.25">
      <c r="A386" s="54" t="s">
        <v>593</v>
      </c>
      <c r="B386" s="54" t="s">
        <v>594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15</v>
      </c>
      <c r="Y386" s="542">
        <f t="shared" si="41"/>
        <v>16.200000000000003</v>
      </c>
      <c r="Z386" s="36">
        <f>IFERROR(IF(Y386=0,"",ROUNDUP(Y386/H386,0)*0.00902),"")</f>
        <v>2.7060000000000001E-2</v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42"/>
        <v>15.527777777777775</v>
      </c>
      <c r="BN386" s="64">
        <f t="shared" si="43"/>
        <v>16.77</v>
      </c>
      <c r="BO386" s="64">
        <f t="shared" si="44"/>
        <v>2.1043771043771045E-2</v>
      </c>
      <c r="BP386" s="64">
        <f t="shared" si="45"/>
        <v>2.2727272727272731E-2</v>
      </c>
    </row>
    <row r="387" spans="1:68" ht="27" customHeight="1" x14ac:dyDescent="0.25">
      <c r="A387" s="54" t="s">
        <v>596</v>
      </c>
      <c r="B387" s="54" t="s">
        <v>597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598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599</v>
      </c>
      <c r="B388" s="54" t="s">
        <v>600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592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601</v>
      </c>
      <c r="B389" s="54" t="s">
        <v>602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customHeight="1" x14ac:dyDescent="0.25">
      <c r="A390" s="54" t="s">
        <v>603</v>
      </c>
      <c r="B390" s="54" t="s">
        <v>604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customHeight="1" x14ac:dyDescent="0.25">
      <c r="A391" s="54" t="s">
        <v>606</v>
      </c>
      <c r="B391" s="54" t="s">
        <v>607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customHeight="1" x14ac:dyDescent="0.25">
      <c r="A393" s="54" t="s">
        <v>612</v>
      </c>
      <c r="B393" s="54" t="s">
        <v>613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5"/>
      <c r="B394" s="556"/>
      <c r="C394" s="556"/>
      <c r="D394" s="556"/>
      <c r="E394" s="556"/>
      <c r="F394" s="556"/>
      <c r="G394" s="556"/>
      <c r="H394" s="556"/>
      <c r="I394" s="556"/>
      <c r="J394" s="556"/>
      <c r="K394" s="556"/>
      <c r="L394" s="556"/>
      <c r="M394" s="556"/>
      <c r="N394" s="556"/>
      <c r="O394" s="557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2.7777777777777777</v>
      </c>
      <c r="Y394" s="543">
        <f>IFERROR(Y385/H385,"0")+IFERROR(Y386/H386,"0")+IFERROR(Y387/H387,"0")+IFERROR(Y388/H388,"0")+IFERROR(Y389/H389,"0")+IFERROR(Y390/H390,"0")+IFERROR(Y391/H391,"0")+IFERROR(Y392/H392,"0")+IFERROR(Y393/H393,"0")</f>
        <v>3.0000000000000004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2.7060000000000001E-2</v>
      </c>
      <c r="AA394" s="544"/>
      <c r="AB394" s="544"/>
      <c r="AC394" s="544"/>
    </row>
    <row r="395" spans="1:68" x14ac:dyDescent="0.2">
      <c r="A395" s="556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57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15</v>
      </c>
      <c r="Y395" s="543">
        <f>IFERROR(SUM(Y385:Y393),"0")</f>
        <v>16.200000000000003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6"/>
      <c r="P396" s="556"/>
      <c r="Q396" s="556"/>
      <c r="R396" s="556"/>
      <c r="S396" s="556"/>
      <c r="T396" s="556"/>
      <c r="U396" s="556"/>
      <c r="V396" s="556"/>
      <c r="W396" s="556"/>
      <c r="X396" s="556"/>
      <c r="Y396" s="556"/>
      <c r="Z396" s="556"/>
      <c r="AA396" s="535"/>
      <c r="AB396" s="535"/>
      <c r="AC396" s="535"/>
    </row>
    <row r="397" spans="1:68" ht="27" customHeight="1" x14ac:dyDescent="0.25">
      <c r="A397" s="54" t="s">
        <v>614</v>
      </c>
      <c r="B397" s="54" t="s">
        <v>615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616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617</v>
      </c>
      <c r="B398" s="54" t="s">
        <v>618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619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5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57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6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57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620</v>
      </c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6"/>
      <c r="P401" s="556"/>
      <c r="Q401" s="556"/>
      <c r="R401" s="556"/>
      <c r="S401" s="556"/>
      <c r="T401" s="556"/>
      <c r="U401" s="556"/>
      <c r="V401" s="556"/>
      <c r="W401" s="556"/>
      <c r="X401" s="556"/>
      <c r="Y401" s="556"/>
      <c r="Z401" s="556"/>
      <c r="AA401" s="536"/>
      <c r="AB401" s="536"/>
      <c r="AC401" s="536"/>
    </row>
    <row r="402" spans="1:68" ht="14.25" customHeight="1" x14ac:dyDescent="0.25">
      <c r="A402" s="558" t="s">
        <v>136</v>
      </c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35"/>
      <c r="AB402" s="535"/>
      <c r="AC402" s="535"/>
    </row>
    <row r="403" spans="1:68" ht="27" customHeight="1" x14ac:dyDescent="0.25">
      <c r="A403" s="54" t="s">
        <v>621</v>
      </c>
      <c r="B403" s="54" t="s">
        <v>622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623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5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57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6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57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35"/>
      <c r="AB406" s="535"/>
      <c r="AC406" s="535"/>
    </row>
    <row r="407" spans="1:68" ht="27" customHeight="1" x14ac:dyDescent="0.25">
      <c r="A407" s="54" t="s">
        <v>624</v>
      </c>
      <c r="B407" s="54" t="s">
        <v>625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626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627</v>
      </c>
      <c r="B408" s="54" t="s">
        <v>628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632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633</v>
      </c>
      <c r="B410" s="54" t="s">
        <v>634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5"/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57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6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57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635</v>
      </c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6"/>
      <c r="P413" s="556"/>
      <c r="Q413" s="556"/>
      <c r="R413" s="556"/>
      <c r="S413" s="556"/>
      <c r="T413" s="556"/>
      <c r="U413" s="556"/>
      <c r="V413" s="556"/>
      <c r="W413" s="556"/>
      <c r="X413" s="556"/>
      <c r="Y413" s="556"/>
      <c r="Z413" s="556"/>
      <c r="AA413" s="536"/>
      <c r="AB413" s="536"/>
      <c r="AC413" s="536"/>
    </row>
    <row r="414" spans="1:68" ht="14.25" customHeight="1" x14ac:dyDescent="0.25">
      <c r="A414" s="558" t="s">
        <v>64</v>
      </c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35"/>
      <c r="AB414" s="535"/>
      <c r="AC414" s="535"/>
    </row>
    <row r="415" spans="1:68" ht="27" customHeight="1" x14ac:dyDescent="0.25">
      <c r="A415" s="54" t="s">
        <v>636</v>
      </c>
      <c r="B415" s="54" t="s">
        <v>637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638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5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57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6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57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3" t="s">
        <v>639</v>
      </c>
      <c r="B418" s="634"/>
      <c r="C418" s="634"/>
      <c r="D418" s="634"/>
      <c r="E418" s="634"/>
      <c r="F418" s="634"/>
      <c r="G418" s="634"/>
      <c r="H418" s="634"/>
      <c r="I418" s="634"/>
      <c r="J418" s="634"/>
      <c r="K418" s="634"/>
      <c r="L418" s="634"/>
      <c r="M418" s="634"/>
      <c r="N418" s="634"/>
      <c r="O418" s="634"/>
      <c r="P418" s="634"/>
      <c r="Q418" s="634"/>
      <c r="R418" s="634"/>
      <c r="S418" s="634"/>
      <c r="T418" s="634"/>
      <c r="U418" s="634"/>
      <c r="V418" s="634"/>
      <c r="W418" s="634"/>
      <c r="X418" s="634"/>
      <c r="Y418" s="634"/>
      <c r="Z418" s="634"/>
      <c r="AA418" s="48"/>
      <c r="AB418" s="48"/>
      <c r="AC418" s="48"/>
    </row>
    <row r="419" spans="1:68" ht="16.5" customHeight="1" x14ac:dyDescent="0.25">
      <c r="A419" s="559" t="s">
        <v>639</v>
      </c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36"/>
      <c r="AB419" s="536"/>
      <c r="AC419" s="536"/>
    </row>
    <row r="420" spans="1:68" ht="14.25" customHeight="1" x14ac:dyDescent="0.25">
      <c r="A420" s="558" t="s">
        <v>101</v>
      </c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35"/>
      <c r="AB420" s="535"/>
      <c r="AC420" s="535"/>
    </row>
    <row r="421" spans="1:68" ht="27" customHeight="1" x14ac:dyDescent="0.25">
      <c r="A421" s="54" t="s">
        <v>640</v>
      </c>
      <c r="B421" s="54" t="s">
        <v>641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customHeight="1" x14ac:dyDescent="0.25">
      <c r="A422" s="54" t="s">
        <v>642</v>
      </c>
      <c r="B422" s="54" t="s">
        <v>643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644</v>
      </c>
      <c r="AG422" s="64"/>
      <c r="AJ422" s="68" t="s">
        <v>90</v>
      </c>
      <c r="AK422" s="68">
        <v>42.24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645</v>
      </c>
      <c r="B423" s="54" t="s">
        <v>646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77</v>
      </c>
      <c r="N423" s="33"/>
      <c r="O423" s="32">
        <v>60</v>
      </c>
      <c r="P423" s="64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60</v>
      </c>
      <c r="Y423" s="542">
        <f t="shared" si="47"/>
        <v>63.36</v>
      </c>
      <c r="Z423" s="36">
        <f t="shared" si="48"/>
        <v>0.14352000000000001</v>
      </c>
      <c r="AA423" s="56"/>
      <c r="AB423" s="57"/>
      <c r="AC423" s="465" t="s">
        <v>647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63.977272727272727</v>
      </c>
      <c r="BN423" s="64">
        <f t="shared" si="50"/>
        <v>67.559999999999988</v>
      </c>
      <c r="BO423" s="64">
        <f t="shared" si="51"/>
        <v>0.10926573426573427</v>
      </c>
      <c r="BP423" s="64">
        <f t="shared" si="52"/>
        <v>0.11538461538461539</v>
      </c>
    </row>
    <row r="424" spans="1:68" ht="27" customHeight="1" x14ac:dyDescent="0.25">
      <c r="A424" s="54" t="s">
        <v>648</v>
      </c>
      <c r="B424" s="54" t="s">
        <v>649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/>
      <c r="M424" s="33" t="s">
        <v>106</v>
      </c>
      <c r="N424" s="33"/>
      <c r="O424" s="32">
        <v>60</v>
      </c>
      <c r="P424" s="69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customHeight="1" x14ac:dyDescent="0.25">
      <c r="A425" s="54" t="s">
        <v>651</v>
      </c>
      <c r="B425" s="54" t="s">
        <v>652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653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654</v>
      </c>
      <c r="B426" s="54" t="s">
        <v>655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40</v>
      </c>
      <c r="Y426" s="542">
        <f t="shared" si="47"/>
        <v>42.24</v>
      </c>
      <c r="Z426" s="36">
        <f t="shared" si="48"/>
        <v>9.5680000000000001E-2</v>
      </c>
      <c r="AA426" s="56"/>
      <c r="AB426" s="57"/>
      <c r="AC426" s="471" t="s">
        <v>656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42.651515151515149</v>
      </c>
      <c r="BN426" s="64">
        <f t="shared" si="50"/>
        <v>45.04</v>
      </c>
      <c r="BO426" s="64">
        <f t="shared" si="51"/>
        <v>7.2843822843822847E-2</v>
      </c>
      <c r="BP426" s="64">
        <f t="shared" si="52"/>
        <v>7.6923076923076927E-2</v>
      </c>
    </row>
    <row r="427" spans="1:68" ht="27" customHeight="1" x14ac:dyDescent="0.25">
      <c r="A427" s="54" t="s">
        <v>657</v>
      </c>
      <c r="B427" s="54" t="s">
        <v>658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659</v>
      </c>
      <c r="B428" s="54" t="s">
        <v>660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666</v>
      </c>
      <c r="B431" s="54" t="s">
        <v>667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5"/>
      <c r="B432" s="556"/>
      <c r="C432" s="556"/>
      <c r="D432" s="556"/>
      <c r="E432" s="556"/>
      <c r="F432" s="556"/>
      <c r="G432" s="556"/>
      <c r="H432" s="556"/>
      <c r="I432" s="556"/>
      <c r="J432" s="556"/>
      <c r="K432" s="556"/>
      <c r="L432" s="556"/>
      <c r="M432" s="556"/>
      <c r="N432" s="556"/>
      <c r="O432" s="557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18.939393939393938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0.23920000000000002</v>
      </c>
      <c r="AA432" s="544"/>
      <c r="AB432" s="544"/>
      <c r="AC432" s="544"/>
    </row>
    <row r="433" spans="1:68" x14ac:dyDescent="0.2">
      <c r="A433" s="556"/>
      <c r="B433" s="556"/>
      <c r="C433" s="556"/>
      <c r="D433" s="556"/>
      <c r="E433" s="556"/>
      <c r="F433" s="556"/>
      <c r="G433" s="556"/>
      <c r="H433" s="556"/>
      <c r="I433" s="556"/>
      <c r="J433" s="556"/>
      <c r="K433" s="556"/>
      <c r="L433" s="556"/>
      <c r="M433" s="556"/>
      <c r="N433" s="556"/>
      <c r="O433" s="557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100</v>
      </c>
      <c r="Y433" s="543">
        <f>IFERROR(SUM(Y421:Y431),"0")</f>
        <v>105.6</v>
      </c>
      <c r="Z433" s="37"/>
      <c r="AA433" s="544"/>
      <c r="AB433" s="544"/>
      <c r="AC433" s="544"/>
    </row>
    <row r="434" spans="1:68" ht="14.25" customHeight="1" x14ac:dyDescent="0.25">
      <c r="A434" s="558" t="s">
        <v>136</v>
      </c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56"/>
      <c r="P434" s="556"/>
      <c r="Q434" s="556"/>
      <c r="R434" s="556"/>
      <c r="S434" s="556"/>
      <c r="T434" s="556"/>
      <c r="U434" s="556"/>
      <c r="V434" s="556"/>
      <c r="W434" s="556"/>
      <c r="X434" s="556"/>
      <c r="Y434" s="556"/>
      <c r="Z434" s="556"/>
      <c r="AA434" s="535"/>
      <c r="AB434" s="535"/>
      <c r="AC434" s="535"/>
    </row>
    <row r="435" spans="1:68" ht="16.5" customHeight="1" x14ac:dyDescent="0.25">
      <c r="A435" s="54" t="s">
        <v>668</v>
      </c>
      <c r="B435" s="54" t="s">
        <v>669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300</v>
      </c>
      <c r="Y435" s="542">
        <f>IFERROR(IF(X435="",0,CEILING((X435/$H435),1)*$H435),"")</f>
        <v>300.96000000000004</v>
      </c>
      <c r="Z435" s="36">
        <f>IFERROR(IF(Y435=0,"",ROUNDUP(Y435/H435,0)*0.01196),"")</f>
        <v>0.68171999999999999</v>
      </c>
      <c r="AA435" s="56"/>
      <c r="AB435" s="57"/>
      <c r="AC435" s="483" t="s">
        <v>670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319.88636363636363</v>
      </c>
      <c r="BN435" s="64">
        <f>IFERROR(Y435*I435/H435,"0")</f>
        <v>320.91000000000003</v>
      </c>
      <c r="BO435" s="64">
        <f>IFERROR(1/J435*(X435/H435),"0")</f>
        <v>0.54632867132867136</v>
      </c>
      <c r="BP435" s="64">
        <f>IFERROR(1/J435*(Y435/H435),"0")</f>
        <v>0.54807692307692313</v>
      </c>
    </row>
    <row r="436" spans="1:68" ht="16.5" customHeight="1" x14ac:dyDescent="0.25">
      <c r="A436" s="54" t="s">
        <v>671</v>
      </c>
      <c r="B436" s="54" t="s">
        <v>672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670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673</v>
      </c>
      <c r="B437" s="54" t="s">
        <v>674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5"/>
      <c r="B438" s="556"/>
      <c r="C438" s="556"/>
      <c r="D438" s="556"/>
      <c r="E438" s="556"/>
      <c r="F438" s="556"/>
      <c r="G438" s="556"/>
      <c r="H438" s="556"/>
      <c r="I438" s="556"/>
      <c r="J438" s="556"/>
      <c r="K438" s="556"/>
      <c r="L438" s="556"/>
      <c r="M438" s="556"/>
      <c r="N438" s="556"/>
      <c r="O438" s="557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56.818181818181813</v>
      </c>
      <c r="Y438" s="543">
        <f>IFERROR(Y435/H435,"0")+IFERROR(Y436/H436,"0")+IFERROR(Y437/H437,"0")</f>
        <v>57.000000000000007</v>
      </c>
      <c r="Z438" s="543">
        <f>IFERROR(IF(Z435="",0,Z435),"0")+IFERROR(IF(Z436="",0,Z436),"0")+IFERROR(IF(Z437="",0,Z437),"0")</f>
        <v>0.68171999999999999</v>
      </c>
      <c r="AA438" s="544"/>
      <c r="AB438" s="544"/>
      <c r="AC438" s="544"/>
    </row>
    <row r="439" spans="1:68" x14ac:dyDescent="0.2">
      <c r="A439" s="556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57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300</v>
      </c>
      <c r="Y439" s="543">
        <f>IFERROR(SUM(Y435:Y437),"0")</f>
        <v>300.96000000000004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56"/>
      <c r="P440" s="556"/>
      <c r="Q440" s="556"/>
      <c r="R440" s="556"/>
      <c r="S440" s="556"/>
      <c r="T440" s="556"/>
      <c r="U440" s="556"/>
      <c r="V440" s="556"/>
      <c r="W440" s="556"/>
      <c r="X440" s="556"/>
      <c r="Y440" s="556"/>
      <c r="Z440" s="556"/>
      <c r="AA440" s="535"/>
      <c r="AB440" s="535"/>
      <c r="AC440" s="535"/>
    </row>
    <row r="441" spans="1:68" ht="27" customHeight="1" x14ac:dyDescent="0.25">
      <c r="A441" s="54" t="s">
        <v>675</v>
      </c>
      <c r="B441" s="54" t="s">
        <v>676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60</v>
      </c>
      <c r="Y441" s="542">
        <f t="shared" ref="Y441:Y446" si="53">IFERROR(IF(X441="",0,CEILING((X441/$H441),1)*$H441),"")</f>
        <v>63.36</v>
      </c>
      <c r="Z441" s="36">
        <f>IFERROR(IF(Y441=0,"",ROUNDUP(Y441/H441,0)*0.01196),"")</f>
        <v>0.14352000000000001</v>
      </c>
      <c r="AA441" s="56"/>
      <c r="AB441" s="57"/>
      <c r="AC441" s="489" t="s">
        <v>677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63.977272727272727</v>
      </c>
      <c r="BN441" s="64">
        <f t="shared" ref="BN441:BN446" si="55">IFERROR(Y441*I441/H441,"0")</f>
        <v>67.559999999999988</v>
      </c>
      <c r="BO441" s="64">
        <f t="shared" ref="BO441:BO446" si="56">IFERROR(1/J441*(X441/H441),"0")</f>
        <v>0.10926573426573427</v>
      </c>
      <c r="BP441" s="64">
        <f t="shared" ref="BP441:BP446" si="57">IFERROR(1/J441*(Y441/H441),"0")</f>
        <v>0.11538461538461539</v>
      </c>
    </row>
    <row r="442" spans="1:68" ht="27" customHeight="1" x14ac:dyDescent="0.25">
      <c r="A442" s="54" t="s">
        <v>678</v>
      </c>
      <c r="B442" s="54" t="s">
        <v>679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120</v>
      </c>
      <c r="Y442" s="542">
        <f t="shared" si="53"/>
        <v>121.44000000000001</v>
      </c>
      <c r="Z442" s="36">
        <f>IFERROR(IF(Y442=0,"",ROUNDUP(Y442/H442,0)*0.01196),"")</f>
        <v>0.27507999999999999</v>
      </c>
      <c r="AA442" s="56"/>
      <c r="AB442" s="57"/>
      <c r="AC442" s="491" t="s">
        <v>680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127.95454545454545</v>
      </c>
      <c r="BN442" s="64">
        <f t="shared" si="55"/>
        <v>129.49</v>
      </c>
      <c r="BO442" s="64">
        <f t="shared" si="56"/>
        <v>0.21853146853146854</v>
      </c>
      <c r="BP442" s="64">
        <f t="shared" si="57"/>
        <v>0.22115384615384617</v>
      </c>
    </row>
    <row r="443" spans="1:68" ht="27" customHeight="1" x14ac:dyDescent="0.25">
      <c r="A443" s="54" t="s">
        <v>681</v>
      </c>
      <c r="B443" s="54" t="s">
        <v>682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683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684</v>
      </c>
      <c r="B444" s="54" t="s">
        <v>685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686</v>
      </c>
      <c r="B445" s="54" t="s">
        <v>687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688</v>
      </c>
      <c r="B446" s="54" t="s">
        <v>689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683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5"/>
      <c r="B447" s="556"/>
      <c r="C447" s="556"/>
      <c r="D447" s="556"/>
      <c r="E447" s="556"/>
      <c r="F447" s="556"/>
      <c r="G447" s="556"/>
      <c r="H447" s="556"/>
      <c r="I447" s="556"/>
      <c r="J447" s="556"/>
      <c r="K447" s="556"/>
      <c r="L447" s="556"/>
      <c r="M447" s="556"/>
      <c r="N447" s="556"/>
      <c r="O447" s="557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34.090909090909093</v>
      </c>
      <c r="Y447" s="543">
        <f>IFERROR(Y441/H441,"0")+IFERROR(Y442/H442,"0")+IFERROR(Y443/H443,"0")+IFERROR(Y444/H444,"0")+IFERROR(Y445/H445,"0")+IFERROR(Y446/H446,"0")</f>
        <v>35</v>
      </c>
      <c r="Z447" s="543">
        <f>IFERROR(IF(Z441="",0,Z441),"0")+IFERROR(IF(Z442="",0,Z442),"0")+IFERROR(IF(Z443="",0,Z443),"0")+IFERROR(IF(Z444="",0,Z444),"0")+IFERROR(IF(Z445="",0,Z445),"0")+IFERROR(IF(Z446="",0,Z446),"0")</f>
        <v>0.41859999999999997</v>
      </c>
      <c r="AA447" s="544"/>
      <c r="AB447" s="544"/>
      <c r="AC447" s="544"/>
    </row>
    <row r="448" spans="1:68" x14ac:dyDescent="0.2">
      <c r="A448" s="556"/>
      <c r="B448" s="556"/>
      <c r="C448" s="556"/>
      <c r="D448" s="556"/>
      <c r="E448" s="556"/>
      <c r="F448" s="556"/>
      <c r="G448" s="556"/>
      <c r="H448" s="556"/>
      <c r="I448" s="556"/>
      <c r="J448" s="556"/>
      <c r="K448" s="556"/>
      <c r="L448" s="556"/>
      <c r="M448" s="556"/>
      <c r="N448" s="556"/>
      <c r="O448" s="557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180</v>
      </c>
      <c r="Y448" s="543">
        <f>IFERROR(SUM(Y441:Y446),"0")</f>
        <v>184.8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56"/>
      <c r="P449" s="556"/>
      <c r="Q449" s="556"/>
      <c r="R449" s="556"/>
      <c r="S449" s="556"/>
      <c r="T449" s="556"/>
      <c r="U449" s="556"/>
      <c r="V449" s="556"/>
      <c r="W449" s="556"/>
      <c r="X449" s="556"/>
      <c r="Y449" s="556"/>
      <c r="Z449" s="556"/>
      <c r="AA449" s="535"/>
      <c r="AB449" s="535"/>
      <c r="AC449" s="535"/>
    </row>
    <row r="450" spans="1:68" ht="16.5" customHeight="1" x14ac:dyDescent="0.25">
      <c r="A450" s="54" t="s">
        <v>690</v>
      </c>
      <c r="B450" s="54" t="s">
        <v>691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693</v>
      </c>
      <c r="B451" s="54" t="s">
        <v>694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5"/>
      <c r="B453" s="556"/>
      <c r="C453" s="556"/>
      <c r="D453" s="556"/>
      <c r="E453" s="556"/>
      <c r="F453" s="556"/>
      <c r="G453" s="556"/>
      <c r="H453" s="556"/>
      <c r="I453" s="556"/>
      <c r="J453" s="556"/>
      <c r="K453" s="556"/>
      <c r="L453" s="556"/>
      <c r="M453" s="556"/>
      <c r="N453" s="556"/>
      <c r="O453" s="557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6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57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3" t="s">
        <v>699</v>
      </c>
      <c r="B455" s="634"/>
      <c r="C455" s="634"/>
      <c r="D455" s="634"/>
      <c r="E455" s="634"/>
      <c r="F455" s="634"/>
      <c r="G455" s="634"/>
      <c r="H455" s="634"/>
      <c r="I455" s="634"/>
      <c r="J455" s="634"/>
      <c r="K455" s="634"/>
      <c r="L455" s="634"/>
      <c r="M455" s="634"/>
      <c r="N455" s="634"/>
      <c r="O455" s="634"/>
      <c r="P455" s="634"/>
      <c r="Q455" s="634"/>
      <c r="R455" s="634"/>
      <c r="S455" s="634"/>
      <c r="T455" s="634"/>
      <c r="U455" s="634"/>
      <c r="V455" s="634"/>
      <c r="W455" s="634"/>
      <c r="X455" s="634"/>
      <c r="Y455" s="634"/>
      <c r="Z455" s="634"/>
      <c r="AA455" s="48"/>
      <c r="AB455" s="48"/>
      <c r="AC455" s="48"/>
    </row>
    <row r="456" spans="1:68" ht="16.5" customHeight="1" x14ac:dyDescent="0.25">
      <c r="A456" s="559" t="s">
        <v>699</v>
      </c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56"/>
      <c r="P456" s="556"/>
      <c r="Q456" s="556"/>
      <c r="R456" s="556"/>
      <c r="S456" s="556"/>
      <c r="T456" s="556"/>
      <c r="U456" s="556"/>
      <c r="V456" s="556"/>
      <c r="W456" s="556"/>
      <c r="X456" s="556"/>
      <c r="Y456" s="556"/>
      <c r="Z456" s="556"/>
      <c r="AA456" s="536"/>
      <c r="AB456" s="536"/>
      <c r="AC456" s="536"/>
    </row>
    <row r="457" spans="1:68" ht="14.25" customHeight="1" x14ac:dyDescent="0.25">
      <c r="A457" s="558" t="s">
        <v>101</v>
      </c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56"/>
      <c r="P457" s="556"/>
      <c r="Q457" s="556"/>
      <c r="R457" s="556"/>
      <c r="S457" s="556"/>
      <c r="T457" s="556"/>
      <c r="U457" s="556"/>
      <c r="V457" s="556"/>
      <c r="W457" s="556"/>
      <c r="X457" s="556"/>
      <c r="Y457" s="556"/>
      <c r="Z457" s="556"/>
      <c r="AA457" s="535"/>
      <c r="AB457" s="535"/>
      <c r="AC457" s="535"/>
    </row>
    <row r="458" spans="1:68" ht="27" customHeight="1" x14ac:dyDescent="0.25">
      <c r="A458" s="54" t="s">
        <v>700</v>
      </c>
      <c r="B458" s="54" t="s">
        <v>701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703</v>
      </c>
      <c r="B459" s="54" t="s">
        <v>704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3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120</v>
      </c>
      <c r="Y460" s="542">
        <f>IFERROR(IF(X460="",0,CEILING((X460/$H460),1)*$H460),"")</f>
        <v>120</v>
      </c>
      <c r="Z460" s="36">
        <f>IFERROR(IF(Y460=0,"",ROUNDUP(Y460/H460,0)*0.01898),"")</f>
        <v>0.1898</v>
      </c>
      <c r="AA460" s="56"/>
      <c r="AB460" s="57"/>
      <c r="AC460" s="511" t="s">
        <v>708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124.10000000000001</v>
      </c>
      <c r="BN460" s="64">
        <f>IFERROR(Y460*I460/H460,"0")</f>
        <v>124.10000000000001</v>
      </c>
      <c r="BO460" s="64">
        <f>IFERROR(1/J460*(X460/H460),"0")</f>
        <v>0.15625</v>
      </c>
      <c r="BP460" s="64">
        <f>IFERROR(1/J460*(Y460/H460),"0")</f>
        <v>0.15625</v>
      </c>
    </row>
    <row r="461" spans="1:68" ht="27" customHeight="1" x14ac:dyDescent="0.25">
      <c r="A461" s="54" t="s">
        <v>709</v>
      </c>
      <c r="B461" s="54" t="s">
        <v>710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6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702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5"/>
      <c r="B462" s="556"/>
      <c r="C462" s="556"/>
      <c r="D462" s="556"/>
      <c r="E462" s="556"/>
      <c r="F462" s="556"/>
      <c r="G462" s="556"/>
      <c r="H462" s="556"/>
      <c r="I462" s="556"/>
      <c r="J462" s="556"/>
      <c r="K462" s="556"/>
      <c r="L462" s="556"/>
      <c r="M462" s="556"/>
      <c r="N462" s="556"/>
      <c r="O462" s="557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10</v>
      </c>
      <c r="Y462" s="543">
        <f>IFERROR(Y458/H458,"0")+IFERROR(Y459/H459,"0")+IFERROR(Y460/H460,"0")+IFERROR(Y461/H461,"0")</f>
        <v>10</v>
      </c>
      <c r="Z462" s="543">
        <f>IFERROR(IF(Z458="",0,Z458),"0")+IFERROR(IF(Z459="",0,Z459),"0")+IFERROR(IF(Z460="",0,Z460),"0")+IFERROR(IF(Z461="",0,Z461),"0")</f>
        <v>0.1898</v>
      </c>
      <c r="AA462" s="544"/>
      <c r="AB462" s="544"/>
      <c r="AC462" s="544"/>
    </row>
    <row r="463" spans="1:68" x14ac:dyDescent="0.2">
      <c r="A463" s="556"/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57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120</v>
      </c>
      <c r="Y463" s="543">
        <f>IFERROR(SUM(Y458:Y461),"0")</f>
        <v>120</v>
      </c>
      <c r="Z463" s="37"/>
      <c r="AA463" s="544"/>
      <c r="AB463" s="544"/>
      <c r="AC463" s="544"/>
    </row>
    <row r="464" spans="1:68" ht="14.25" customHeight="1" x14ac:dyDescent="0.25">
      <c r="A464" s="558" t="s">
        <v>136</v>
      </c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56"/>
      <c r="P464" s="556"/>
      <c r="Q464" s="556"/>
      <c r="R464" s="556"/>
      <c r="S464" s="556"/>
      <c r="T464" s="556"/>
      <c r="U464" s="556"/>
      <c r="V464" s="556"/>
      <c r="W464" s="556"/>
      <c r="X464" s="556"/>
      <c r="Y464" s="556"/>
      <c r="Z464" s="556"/>
      <c r="AA464" s="535"/>
      <c r="AB464" s="535"/>
      <c r="AC464" s="535"/>
    </row>
    <row r="465" spans="1:68" ht="27" customHeight="1" x14ac:dyDescent="0.25">
      <c r="A465" s="54" t="s">
        <v>711</v>
      </c>
      <c r="B465" s="54" t="s">
        <v>712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714</v>
      </c>
      <c r="B466" s="54" t="s">
        <v>715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717</v>
      </c>
      <c r="B467" s="54" t="s">
        <v>718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6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719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5"/>
      <c r="B468" s="556"/>
      <c r="C468" s="556"/>
      <c r="D468" s="556"/>
      <c r="E468" s="556"/>
      <c r="F468" s="556"/>
      <c r="G468" s="556"/>
      <c r="H468" s="556"/>
      <c r="I468" s="556"/>
      <c r="J468" s="556"/>
      <c r="K468" s="556"/>
      <c r="L468" s="556"/>
      <c r="M468" s="556"/>
      <c r="N468" s="556"/>
      <c r="O468" s="557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6"/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57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56"/>
      <c r="P470" s="556"/>
      <c r="Q470" s="556"/>
      <c r="R470" s="556"/>
      <c r="S470" s="556"/>
      <c r="T470" s="556"/>
      <c r="U470" s="556"/>
      <c r="V470" s="556"/>
      <c r="W470" s="556"/>
      <c r="X470" s="556"/>
      <c r="Y470" s="556"/>
      <c r="Z470" s="556"/>
      <c r="AA470" s="535"/>
      <c r="AB470" s="535"/>
      <c r="AC470" s="535"/>
    </row>
    <row r="471" spans="1:68" ht="27" customHeight="1" x14ac:dyDescent="0.25">
      <c r="A471" s="54" t="s">
        <v>720</v>
      </c>
      <c r="B471" s="54" t="s">
        <v>721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723</v>
      </c>
      <c r="B472" s="54" t="s">
        <v>724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4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725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5"/>
      <c r="B473" s="556"/>
      <c r="C473" s="556"/>
      <c r="D473" s="556"/>
      <c r="E473" s="556"/>
      <c r="F473" s="556"/>
      <c r="G473" s="556"/>
      <c r="H473" s="556"/>
      <c r="I473" s="556"/>
      <c r="J473" s="556"/>
      <c r="K473" s="556"/>
      <c r="L473" s="556"/>
      <c r="M473" s="556"/>
      <c r="N473" s="556"/>
      <c r="O473" s="557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6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57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56"/>
      <c r="P475" s="556"/>
      <c r="Q475" s="556"/>
      <c r="R475" s="556"/>
      <c r="S475" s="556"/>
      <c r="T475" s="556"/>
      <c r="U475" s="556"/>
      <c r="V475" s="556"/>
      <c r="W475" s="556"/>
      <c r="X475" s="556"/>
      <c r="Y475" s="556"/>
      <c r="Z475" s="556"/>
      <c r="AA475" s="535"/>
      <c r="AB475" s="535"/>
      <c r="AC475" s="535"/>
    </row>
    <row r="476" spans="1:68" ht="27" customHeight="1" x14ac:dyDescent="0.25">
      <c r="A476" s="54" t="s">
        <v>726</v>
      </c>
      <c r="B476" s="54" t="s">
        <v>727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8</v>
      </c>
      <c r="Y476" s="542">
        <f>IFERROR(IF(X476="",0,CEILING((X476/$H476),1)*$H476),"")</f>
        <v>9</v>
      </c>
      <c r="Z476" s="36">
        <f>IFERROR(IF(Y476=0,"",ROUNDUP(Y476/H476,0)*0.01898),"")</f>
        <v>1.898E-2</v>
      </c>
      <c r="AA476" s="56"/>
      <c r="AB476" s="57"/>
      <c r="AC476" s="525" t="s">
        <v>728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8.4391111111111101</v>
      </c>
      <c r="BN476" s="64">
        <f>IFERROR(Y476*I476/H476,"0")</f>
        <v>9.4939999999999998</v>
      </c>
      <c r="BO476" s="64">
        <f>IFERROR(1/J476*(X476/H476),"0")</f>
        <v>1.3888888888888888E-2</v>
      </c>
      <c r="BP476" s="64">
        <f>IFERROR(1/J476*(Y476/H476),"0")</f>
        <v>1.5625E-2</v>
      </c>
    </row>
    <row r="477" spans="1:68" x14ac:dyDescent="0.2">
      <c r="A477" s="555"/>
      <c r="B477" s="556"/>
      <c r="C477" s="556"/>
      <c r="D477" s="556"/>
      <c r="E477" s="556"/>
      <c r="F477" s="556"/>
      <c r="G477" s="556"/>
      <c r="H477" s="556"/>
      <c r="I477" s="556"/>
      <c r="J477" s="556"/>
      <c r="K477" s="556"/>
      <c r="L477" s="556"/>
      <c r="M477" s="556"/>
      <c r="N477" s="556"/>
      <c r="O477" s="557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0.88888888888888884</v>
      </c>
      <c r="Y477" s="543">
        <f>IFERROR(Y476/H476,"0")</f>
        <v>1</v>
      </c>
      <c r="Z477" s="543">
        <f>IFERROR(IF(Z476="",0,Z476),"0")</f>
        <v>1.898E-2</v>
      </c>
      <c r="AA477" s="544"/>
      <c r="AB477" s="544"/>
      <c r="AC477" s="544"/>
    </row>
    <row r="478" spans="1:68" x14ac:dyDescent="0.2">
      <c r="A478" s="556"/>
      <c r="B478" s="556"/>
      <c r="C478" s="556"/>
      <c r="D478" s="556"/>
      <c r="E478" s="556"/>
      <c r="F478" s="556"/>
      <c r="G478" s="556"/>
      <c r="H478" s="556"/>
      <c r="I478" s="556"/>
      <c r="J478" s="556"/>
      <c r="K478" s="556"/>
      <c r="L478" s="556"/>
      <c r="M478" s="556"/>
      <c r="N478" s="556"/>
      <c r="O478" s="557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8</v>
      </c>
      <c r="Y478" s="543">
        <f>IFERROR(SUM(Y476:Y476),"0")</f>
        <v>9</v>
      </c>
      <c r="Z478" s="37"/>
      <c r="AA478" s="544"/>
      <c r="AB478" s="544"/>
      <c r="AC478" s="544"/>
    </row>
    <row r="479" spans="1:68" ht="14.25" customHeight="1" x14ac:dyDescent="0.25">
      <c r="A479" s="558" t="s">
        <v>164</v>
      </c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56"/>
      <c r="P479" s="556"/>
      <c r="Q479" s="556"/>
      <c r="R479" s="556"/>
      <c r="S479" s="556"/>
      <c r="T479" s="556"/>
      <c r="U479" s="556"/>
      <c r="V479" s="556"/>
      <c r="W479" s="556"/>
      <c r="X479" s="556"/>
      <c r="Y479" s="556"/>
      <c r="Z479" s="556"/>
      <c r="AA479" s="535"/>
      <c r="AB479" s="535"/>
      <c r="AC479" s="535"/>
    </row>
    <row r="480" spans="1:68" ht="27" customHeight="1" x14ac:dyDescent="0.25">
      <c r="A480" s="54" t="s">
        <v>729</v>
      </c>
      <c r="B480" s="54" t="s">
        <v>730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732</v>
      </c>
      <c r="B481" s="54" t="s">
        <v>733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734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5"/>
      <c r="B482" s="556"/>
      <c r="C482" s="556"/>
      <c r="D482" s="556"/>
      <c r="E482" s="556"/>
      <c r="F482" s="556"/>
      <c r="G482" s="556"/>
      <c r="H482" s="556"/>
      <c r="I482" s="556"/>
      <c r="J482" s="556"/>
      <c r="K482" s="556"/>
      <c r="L482" s="556"/>
      <c r="M482" s="556"/>
      <c r="N482" s="556"/>
      <c r="O482" s="557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6"/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57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735</v>
      </c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56"/>
      <c r="P484" s="556"/>
      <c r="Q484" s="556"/>
      <c r="R484" s="556"/>
      <c r="S484" s="556"/>
      <c r="T484" s="556"/>
      <c r="U484" s="556"/>
      <c r="V484" s="556"/>
      <c r="W484" s="556"/>
      <c r="X484" s="556"/>
      <c r="Y484" s="556"/>
      <c r="Z484" s="556"/>
      <c r="AA484" s="536"/>
      <c r="AB484" s="536"/>
      <c r="AC484" s="536"/>
    </row>
    <row r="485" spans="1:68" ht="14.25" customHeight="1" x14ac:dyDescent="0.25">
      <c r="A485" s="558" t="s">
        <v>136</v>
      </c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6"/>
      <c r="P485" s="556"/>
      <c r="Q485" s="556"/>
      <c r="R485" s="556"/>
      <c r="S485" s="556"/>
      <c r="T485" s="556"/>
      <c r="U485" s="556"/>
      <c r="V485" s="556"/>
      <c r="W485" s="556"/>
      <c r="X485" s="556"/>
      <c r="Y485" s="556"/>
      <c r="Z485" s="556"/>
      <c r="AA485" s="535"/>
      <c r="AB485" s="535"/>
      <c r="AC485" s="535"/>
    </row>
    <row r="486" spans="1:68" ht="27" customHeight="1" x14ac:dyDescent="0.25">
      <c r="A486" s="54" t="s">
        <v>736</v>
      </c>
      <c r="B486" s="54" t="s">
        <v>737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738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5"/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557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6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557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701"/>
      <c r="P489" s="630" t="s">
        <v>739</v>
      </c>
      <c r="Q489" s="631"/>
      <c r="R489" s="631"/>
      <c r="S489" s="631"/>
      <c r="T489" s="631"/>
      <c r="U489" s="631"/>
      <c r="V489" s="632"/>
      <c r="W489" s="37" t="s">
        <v>69</v>
      </c>
      <c r="X489" s="5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4454</v>
      </c>
      <c r="Y489" s="5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4517.1400000000003</v>
      </c>
      <c r="Z489" s="37"/>
      <c r="AA489" s="544"/>
      <c r="AB489" s="544"/>
      <c r="AC489" s="544"/>
    </row>
    <row r="490" spans="1:68" x14ac:dyDescent="0.2">
      <c r="A490" s="55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701"/>
      <c r="P490" s="630" t="s">
        <v>740</v>
      </c>
      <c r="Q490" s="631"/>
      <c r="R490" s="631"/>
      <c r="S490" s="631"/>
      <c r="T490" s="631"/>
      <c r="U490" s="631"/>
      <c r="V490" s="632"/>
      <c r="W490" s="37" t="s">
        <v>69</v>
      </c>
      <c r="X490" s="543">
        <f>IFERROR(SUM(BM22:BM486),"0")</f>
        <v>4660.3345289405197</v>
      </c>
      <c r="Y490" s="543">
        <f>IFERROR(SUM(BN22:BN486),"0")</f>
        <v>4726.4279999999999</v>
      </c>
      <c r="Z490" s="37"/>
      <c r="AA490" s="544"/>
      <c r="AB490" s="544"/>
      <c r="AC490" s="544"/>
    </row>
    <row r="491" spans="1:68" x14ac:dyDescent="0.2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701"/>
      <c r="P491" s="630" t="s">
        <v>741</v>
      </c>
      <c r="Q491" s="631"/>
      <c r="R491" s="631"/>
      <c r="S491" s="631"/>
      <c r="T491" s="631"/>
      <c r="U491" s="631"/>
      <c r="V491" s="632"/>
      <c r="W491" s="37" t="s">
        <v>742</v>
      </c>
      <c r="X491" s="38">
        <f>ROUNDUP(SUM(BO22:BO486),0)</f>
        <v>8</v>
      </c>
      <c r="Y491" s="38">
        <f>ROUNDUP(SUM(BP22:BP486),0)</f>
        <v>8</v>
      </c>
      <c r="Z491" s="37"/>
      <c r="AA491" s="544"/>
      <c r="AB491" s="544"/>
      <c r="AC491" s="544"/>
    </row>
    <row r="492" spans="1:68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701"/>
      <c r="P492" s="630" t="s">
        <v>743</v>
      </c>
      <c r="Q492" s="631"/>
      <c r="R492" s="631"/>
      <c r="S492" s="631"/>
      <c r="T492" s="631"/>
      <c r="U492" s="631"/>
      <c r="V492" s="632"/>
      <c r="W492" s="37" t="s">
        <v>69</v>
      </c>
      <c r="X492" s="543">
        <f>GrossWeightTotal+PalletQtyTotal*25</f>
        <v>4860.3345289405197</v>
      </c>
      <c r="Y492" s="543">
        <f>GrossWeightTotalR+PalletQtyTotalR*25</f>
        <v>4926.4279999999999</v>
      </c>
      <c r="Z492" s="37"/>
      <c r="AA492" s="544"/>
      <c r="AB492" s="544"/>
      <c r="AC492" s="544"/>
    </row>
    <row r="493" spans="1:68" x14ac:dyDescent="0.2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701"/>
      <c r="P493" s="630" t="s">
        <v>744</v>
      </c>
      <c r="Q493" s="631"/>
      <c r="R493" s="631"/>
      <c r="S493" s="631"/>
      <c r="T493" s="631"/>
      <c r="U493" s="631"/>
      <c r="V493" s="632"/>
      <c r="W493" s="37" t="s">
        <v>742</v>
      </c>
      <c r="X493" s="5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493.60307609869017</v>
      </c>
      <c r="Y493" s="5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501</v>
      </c>
      <c r="Z493" s="37"/>
      <c r="AA493" s="544"/>
      <c r="AB493" s="544"/>
      <c r="AC493" s="544"/>
    </row>
    <row r="494" spans="1:68" ht="14.25" customHeight="1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701"/>
      <c r="P494" s="630" t="s">
        <v>745</v>
      </c>
      <c r="Q494" s="631"/>
      <c r="R494" s="631"/>
      <c r="S494" s="631"/>
      <c r="T494" s="631"/>
      <c r="U494" s="631"/>
      <c r="V494" s="632"/>
      <c r="W494" s="39" t="s">
        <v>746</v>
      </c>
      <c r="X494" s="37"/>
      <c r="Y494" s="37"/>
      <c r="Z494" s="37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8.518950000000002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747</v>
      </c>
      <c r="B496" s="533" t="s">
        <v>63</v>
      </c>
      <c r="C496" s="591" t="s">
        <v>99</v>
      </c>
      <c r="D496" s="653"/>
      <c r="E496" s="653"/>
      <c r="F496" s="653"/>
      <c r="G496" s="653"/>
      <c r="H496" s="622"/>
      <c r="I496" s="591" t="s">
        <v>255</v>
      </c>
      <c r="J496" s="653"/>
      <c r="K496" s="653"/>
      <c r="L496" s="653"/>
      <c r="M496" s="653"/>
      <c r="N496" s="653"/>
      <c r="O496" s="653"/>
      <c r="P496" s="653"/>
      <c r="Q496" s="653"/>
      <c r="R496" s="622"/>
      <c r="S496" s="591" t="s">
        <v>536</v>
      </c>
      <c r="T496" s="622"/>
      <c r="U496" s="591" t="s">
        <v>588</v>
      </c>
      <c r="V496" s="653"/>
      <c r="W496" s="622"/>
      <c r="X496" s="533" t="s">
        <v>639</v>
      </c>
      <c r="Y496" s="591" t="s">
        <v>699</v>
      </c>
      <c r="Z496" s="622"/>
      <c r="AB496" s="52"/>
      <c r="AC496" s="52"/>
      <c r="AF496" s="534"/>
    </row>
    <row r="497" spans="1:32" ht="14.25" customHeight="1" thickTop="1" x14ac:dyDescent="0.2">
      <c r="A497" s="834" t="s">
        <v>748</v>
      </c>
      <c r="B497" s="591" t="s">
        <v>63</v>
      </c>
      <c r="C497" s="591" t="s">
        <v>100</v>
      </c>
      <c r="D497" s="591" t="s">
        <v>117</v>
      </c>
      <c r="E497" s="591" t="s">
        <v>171</v>
      </c>
      <c r="F497" s="591" t="s">
        <v>190</v>
      </c>
      <c r="G497" s="591" t="s">
        <v>220</v>
      </c>
      <c r="H497" s="591" t="s">
        <v>99</v>
      </c>
      <c r="I497" s="591" t="s">
        <v>256</v>
      </c>
      <c r="J497" s="591" t="s">
        <v>297</v>
      </c>
      <c r="K497" s="591" t="s">
        <v>357</v>
      </c>
      <c r="L497" s="591" t="s">
        <v>399</v>
      </c>
      <c r="M497" s="591" t="s">
        <v>415</v>
      </c>
      <c r="N497" s="534"/>
      <c r="O497" s="591" t="s">
        <v>426</v>
      </c>
      <c r="P497" s="591" t="s">
        <v>435</v>
      </c>
      <c r="Q497" s="591" t="s">
        <v>445</v>
      </c>
      <c r="R497" s="591" t="s">
        <v>526</v>
      </c>
      <c r="S497" s="591" t="s">
        <v>537</v>
      </c>
      <c r="T497" s="591" t="s">
        <v>572</v>
      </c>
      <c r="U497" s="591" t="s">
        <v>589</v>
      </c>
      <c r="V497" s="591" t="s">
        <v>620</v>
      </c>
      <c r="W497" s="591" t="s">
        <v>635</v>
      </c>
      <c r="X497" s="591" t="s">
        <v>639</v>
      </c>
      <c r="Y497" s="591" t="s">
        <v>699</v>
      </c>
      <c r="Z497" s="591" t="s">
        <v>735</v>
      </c>
      <c r="AB497" s="52"/>
      <c r="AC497" s="52"/>
      <c r="AF497" s="534"/>
    </row>
    <row r="498" spans="1:32" ht="13.5" customHeight="1" thickBot="1" x14ac:dyDescent="0.25">
      <c r="A498" s="835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4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52"/>
      <c r="AC498" s="52"/>
      <c r="AF498" s="534"/>
    </row>
    <row r="499" spans="1:32" ht="18" customHeight="1" thickTop="1" thickBot="1" x14ac:dyDescent="0.25">
      <c r="A499" s="40" t="s">
        <v>749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54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183.60000000000002</v>
      </c>
      <c r="E499" s="46">
        <f>IFERROR(Y85*1,"0")+IFERROR(Y86*1,"0")+IFERROR(Y87*1,"0")+IFERROR(Y91*1,"0")+IFERROR(Y92*1,"0")+IFERROR(Y93*1,"0")+IFERROR(Y94*1,"0")</f>
        <v>75.600000000000009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40.5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4"/>
      <c r="O499" s="46">
        <f>IFERROR(Y271*1,"0")+IFERROR(Y272*1,"0")+IFERROR(Y273*1,"0")</f>
        <v>0</v>
      </c>
      <c r="P499" s="46">
        <f>IFERROR(Y278*1,"0")+IFERROR(Y279*1,"0")+IFERROR(Y283*1,"0")</f>
        <v>0</v>
      </c>
      <c r="Q499" s="46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1365.8799999999999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1755</v>
      </c>
      <c r="T499" s="46">
        <f>IFERROR(Y368*1,"0")+IFERROR(Y369*1,"0")+IFERROR(Y373*1,"0")+IFERROR(Y374*1,"0")+IFERROR(Y378*1,"0")+IFERROR(Y379*1,"0")</f>
        <v>306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16.200000000000003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591.36000000000013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129</v>
      </c>
      <c r="Z499" s="46">
        <f>IFERROR(Y486*1,"0")</f>
        <v>0</v>
      </c>
      <c r="AB499" s="52"/>
      <c r="AC499" s="52"/>
      <c r="AF499" s="534"/>
    </row>
  </sheetData>
  <sheetProtection algorithmName="SHA-512" hashValue="opWSQxOqg5NUh1yzJABrUsovkIX6m/bEaBWTjpIEKKCyqWQveXY8uHjnDJdRBzDnkMPr2Hvgsd0KMEklD1uPSg==" saltValue="olqZioCsyCaJV8mBFBGIL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G497:G498"/>
    <mergeCell ref="Q497:Q498"/>
    <mergeCell ref="D42:E42"/>
    <mergeCell ref="P356:V356"/>
    <mergeCell ref="P363:T363"/>
    <mergeCell ref="A468:O469"/>
    <mergeCell ref="D17:E18"/>
    <mergeCell ref="D344:E344"/>
    <mergeCell ref="A479:Z479"/>
    <mergeCell ref="D471:E471"/>
    <mergeCell ref="I497:I498"/>
    <mergeCell ref="X17:X18"/>
    <mergeCell ref="P202:T202"/>
    <mergeCell ref="P307:T307"/>
    <mergeCell ref="D421:E421"/>
    <mergeCell ref="P373:T373"/>
    <mergeCell ref="P444:T444"/>
    <mergeCell ref="D408:E408"/>
    <mergeCell ref="P216:V216"/>
    <mergeCell ref="A8:C8"/>
    <mergeCell ref="P124:T124"/>
    <mergeCell ref="D293:E293"/>
    <mergeCell ref="A477:O478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A489:O494"/>
    <mergeCell ref="P60:T60"/>
    <mergeCell ref="D291:E291"/>
    <mergeCell ref="P174:T174"/>
    <mergeCell ref="D266:E266"/>
    <mergeCell ref="U17:V17"/>
    <mergeCell ref="Y17:Y18"/>
    <mergeCell ref="P385:T385"/>
    <mergeCell ref="P410:T410"/>
    <mergeCell ref="A484:Z484"/>
    <mergeCell ref="A487:O488"/>
    <mergeCell ref="A33:Z33"/>
    <mergeCell ref="T497:T498"/>
    <mergeCell ref="D196:E196"/>
    <mergeCell ref="A269:Z269"/>
    <mergeCell ref="A440:Z440"/>
    <mergeCell ref="V497:V498"/>
    <mergeCell ref="A126:O127"/>
    <mergeCell ref="P23:V23"/>
    <mergeCell ref="P381:V381"/>
    <mergeCell ref="A262:Z262"/>
    <mergeCell ref="A333:Z333"/>
    <mergeCell ref="D54:E54"/>
    <mergeCell ref="P160:V160"/>
    <mergeCell ref="D271:E271"/>
    <mergeCell ref="D191:E191"/>
    <mergeCell ref="D458:E458"/>
    <mergeCell ref="P368:T368"/>
    <mergeCell ref="A362:Z362"/>
    <mergeCell ref="P43:V43"/>
    <mergeCell ref="A39:Z39"/>
    <mergeCell ref="D237:E237"/>
    <mergeCell ref="P285:V285"/>
    <mergeCell ref="A215:O216"/>
    <mergeCell ref="A497:A498"/>
    <mergeCell ref="D170:E170"/>
    <mergeCell ref="A31:O32"/>
    <mergeCell ref="N17:N18"/>
    <mergeCell ref="P72:T72"/>
    <mergeCell ref="Q5:R5"/>
    <mergeCell ref="F17:F18"/>
    <mergeCell ref="P132:V132"/>
    <mergeCell ref="P199:T199"/>
    <mergeCell ref="P297:T297"/>
    <mergeCell ref="P435:T435"/>
    <mergeCell ref="D107:E107"/>
    <mergeCell ref="D163:E163"/>
    <mergeCell ref="D278:E278"/>
    <mergeCell ref="P291:T291"/>
    <mergeCell ref="P288:T288"/>
    <mergeCell ref="P263:T263"/>
    <mergeCell ref="P305:V305"/>
    <mergeCell ref="P228:T228"/>
    <mergeCell ref="P293:T293"/>
    <mergeCell ref="A149:O150"/>
    <mergeCell ref="D336:E336"/>
    <mergeCell ref="D407:E407"/>
    <mergeCell ref="A447:O448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A236:Z236"/>
    <mergeCell ref="A223:Z223"/>
    <mergeCell ref="V11:W11"/>
    <mergeCell ref="D392:E392"/>
    <mergeCell ref="A370:O371"/>
    <mergeCell ref="D165:E165"/>
    <mergeCell ref="P75:T75"/>
    <mergeCell ref="P146:T146"/>
    <mergeCell ref="D152:E152"/>
    <mergeCell ref="A136:O137"/>
    <mergeCell ref="A192:O193"/>
    <mergeCell ref="D279:E279"/>
    <mergeCell ref="P317:T317"/>
    <mergeCell ref="W497:W498"/>
    <mergeCell ref="D10:E10"/>
    <mergeCell ref="A23:O24"/>
    <mergeCell ref="F10:G10"/>
    <mergeCell ref="P135:T135"/>
    <mergeCell ref="D34:E34"/>
    <mergeCell ref="A181:O182"/>
    <mergeCell ref="P191:T191"/>
    <mergeCell ref="D99:E99"/>
    <mergeCell ref="P349:T349"/>
    <mergeCell ref="D397:E397"/>
    <mergeCell ref="P376:V376"/>
    <mergeCell ref="D310:E310"/>
    <mergeCell ref="D430:E430"/>
    <mergeCell ref="P469:V469"/>
    <mergeCell ref="P486:T486"/>
    <mergeCell ref="D323:E323"/>
    <mergeCell ref="D450:E450"/>
    <mergeCell ref="D29:E29"/>
    <mergeCell ref="D265:E265"/>
    <mergeCell ref="P344:T344"/>
    <mergeCell ref="A20:Z20"/>
    <mergeCell ref="P371:V371"/>
    <mergeCell ref="D452:E452"/>
    <mergeCell ref="P2:W3"/>
    <mergeCell ref="A57:O58"/>
    <mergeCell ref="P298:T298"/>
    <mergeCell ref="P198:T198"/>
    <mergeCell ref="D241:E241"/>
    <mergeCell ref="P54:T54"/>
    <mergeCell ref="P347:T347"/>
    <mergeCell ref="P369:T369"/>
    <mergeCell ref="D437:E437"/>
    <mergeCell ref="D228:E228"/>
    <mergeCell ref="P312:V312"/>
    <mergeCell ref="P421:T421"/>
    <mergeCell ref="A411:O412"/>
    <mergeCell ref="P408:T408"/>
    <mergeCell ref="P137:V137"/>
    <mergeCell ref="D218:E218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P492:V492"/>
    <mergeCell ref="B497:B498"/>
    <mergeCell ref="A103:O104"/>
    <mergeCell ref="P415:T415"/>
    <mergeCell ref="S496:T496"/>
    <mergeCell ref="M17:M18"/>
    <mergeCell ref="O17:O18"/>
    <mergeCell ref="P336:T336"/>
    <mergeCell ref="P131:V131"/>
    <mergeCell ref="P187:V187"/>
    <mergeCell ref="A453:O454"/>
    <mergeCell ref="P430:T430"/>
    <mergeCell ref="P494:V494"/>
    <mergeCell ref="P350:V350"/>
    <mergeCell ref="P102:T102"/>
    <mergeCell ref="P196:T196"/>
    <mergeCell ref="P281:V281"/>
    <mergeCell ref="D226:E226"/>
    <mergeCell ref="P354:T354"/>
    <mergeCell ref="D164:E164"/>
    <mergeCell ref="P62:T62"/>
    <mergeCell ref="U497:U498"/>
    <mergeCell ref="I496:R496"/>
    <mergeCell ref="P493:V493"/>
    <mergeCell ref="L497:L498"/>
    <mergeCell ref="A318:O319"/>
    <mergeCell ref="P47:V47"/>
    <mergeCell ref="P176:T176"/>
    <mergeCell ref="P114:T114"/>
    <mergeCell ref="P247:T247"/>
    <mergeCell ref="P241:T241"/>
    <mergeCell ref="P41:T41"/>
    <mergeCell ref="D22:E22"/>
    <mergeCell ref="A35:O36"/>
    <mergeCell ref="A157:Z157"/>
    <mergeCell ref="A455:Z455"/>
    <mergeCell ref="A222:Z222"/>
    <mergeCell ref="P301:T301"/>
    <mergeCell ref="D385:E385"/>
    <mergeCell ref="P34:T34"/>
    <mergeCell ref="D481:E481"/>
    <mergeCell ref="D86:E86"/>
    <mergeCell ref="P214:T214"/>
    <mergeCell ref="D257:E257"/>
    <mergeCell ref="D213:E213"/>
    <mergeCell ref="P192:V192"/>
    <mergeCell ref="A457:Z457"/>
    <mergeCell ref="P284:V284"/>
    <mergeCell ref="A9:C9"/>
    <mergeCell ref="P125:T125"/>
    <mergeCell ref="P321:T321"/>
    <mergeCell ref="D202:E202"/>
    <mergeCell ref="D373:E373"/>
    <mergeCell ref="A242:O243"/>
    <mergeCell ref="P112:T112"/>
    <mergeCell ref="A179:Z179"/>
    <mergeCell ref="C496:H496"/>
    <mergeCell ref="P348:T348"/>
    <mergeCell ref="P323:T323"/>
    <mergeCell ref="A414:Z414"/>
    <mergeCell ref="D231:E231"/>
    <mergeCell ref="D358:E358"/>
    <mergeCell ref="P70:V70"/>
    <mergeCell ref="A156:Z156"/>
    <mergeCell ref="A327:Z327"/>
    <mergeCell ref="P116:V116"/>
    <mergeCell ref="P32:V32"/>
    <mergeCell ref="P474:V474"/>
    <mergeCell ref="P103:V103"/>
    <mergeCell ref="Q13:R13"/>
    <mergeCell ref="A155:Z155"/>
    <mergeCell ref="P268:V268"/>
    <mergeCell ref="H5:M5"/>
    <mergeCell ref="P31:V31"/>
    <mergeCell ref="P473:V473"/>
    <mergeCell ref="D212:E212"/>
    <mergeCell ref="D146:E146"/>
    <mergeCell ref="P225:T225"/>
    <mergeCell ref="D317:E317"/>
    <mergeCell ref="D6:M6"/>
    <mergeCell ref="A341:Z341"/>
    <mergeCell ref="A456:Z456"/>
    <mergeCell ref="A306:Z306"/>
    <mergeCell ref="P461:T461"/>
    <mergeCell ref="P175:T175"/>
    <mergeCell ref="P95:V95"/>
    <mergeCell ref="P162:T162"/>
    <mergeCell ref="P331:V331"/>
    <mergeCell ref="P460:T460"/>
    <mergeCell ref="P227:T227"/>
    <mergeCell ref="P398:T398"/>
    <mergeCell ref="D441:E441"/>
    <mergeCell ref="D368:E368"/>
    <mergeCell ref="P106:T106"/>
    <mergeCell ref="P93:T93"/>
    <mergeCell ref="P226:T226"/>
    <mergeCell ref="S497:S498"/>
    <mergeCell ref="K497:K498"/>
    <mergeCell ref="D415:E415"/>
    <mergeCell ref="M497:M498"/>
    <mergeCell ref="P394:V394"/>
    <mergeCell ref="P257:T257"/>
    <mergeCell ref="P80:T80"/>
    <mergeCell ref="Z17:Z18"/>
    <mergeCell ref="AB17:AB18"/>
    <mergeCell ref="A90:Z90"/>
    <mergeCell ref="A277:Z277"/>
    <mergeCell ref="D446:E446"/>
    <mergeCell ref="P44:V44"/>
    <mergeCell ref="D85:E85"/>
    <mergeCell ref="P164:T164"/>
    <mergeCell ref="D207:E207"/>
    <mergeCell ref="P120:V120"/>
    <mergeCell ref="D256:E256"/>
    <mergeCell ref="A294:O295"/>
    <mergeCell ref="P335:T335"/>
    <mergeCell ref="D299:E299"/>
    <mergeCell ref="P405:V405"/>
    <mergeCell ref="A401:Z401"/>
    <mergeCell ref="G17:G18"/>
    <mergeCell ref="V6:W9"/>
    <mergeCell ref="P256:T256"/>
    <mergeCell ref="D199:E199"/>
    <mergeCell ref="P234:V234"/>
    <mergeCell ref="A59:Z59"/>
    <mergeCell ref="A404:O405"/>
    <mergeCell ref="D186:E186"/>
    <mergeCell ref="D435:E435"/>
    <mergeCell ref="P345:T345"/>
    <mergeCell ref="P22:T22"/>
    <mergeCell ref="P40:T40"/>
    <mergeCell ref="D428:E428"/>
    <mergeCell ref="P57:V57"/>
    <mergeCell ref="A81:O82"/>
    <mergeCell ref="P171:V171"/>
    <mergeCell ref="P242:V242"/>
    <mergeCell ref="D80:E80"/>
    <mergeCell ref="P121:V121"/>
    <mergeCell ref="A296:Z296"/>
    <mergeCell ref="D288:E288"/>
    <mergeCell ref="P130:T130"/>
    <mergeCell ref="P190:T190"/>
    <mergeCell ref="P46:T46"/>
    <mergeCell ref="D225:E225"/>
    <mergeCell ref="AC17:AC18"/>
    <mergeCell ref="A377:Z377"/>
    <mergeCell ref="A122:Z122"/>
    <mergeCell ref="P108:T108"/>
    <mergeCell ref="P279:T279"/>
    <mergeCell ref="D393:E393"/>
    <mergeCell ref="A420:Z420"/>
    <mergeCell ref="P472:T472"/>
    <mergeCell ref="P254:T254"/>
    <mergeCell ref="P343:T343"/>
    <mergeCell ref="A462:O463"/>
    <mergeCell ref="D459:E459"/>
    <mergeCell ref="P409:T409"/>
    <mergeCell ref="A399:O400"/>
    <mergeCell ref="D461:E461"/>
    <mergeCell ref="P61:T61"/>
    <mergeCell ref="D200:E200"/>
    <mergeCell ref="P359:T359"/>
    <mergeCell ref="D436:E436"/>
    <mergeCell ref="D292:E292"/>
    <mergeCell ref="P346:T346"/>
    <mergeCell ref="D227:E227"/>
    <mergeCell ref="P339:V339"/>
    <mergeCell ref="P201:T201"/>
    <mergeCell ref="P483:V483"/>
    <mergeCell ref="D298:E298"/>
    <mergeCell ref="P91:T91"/>
    <mergeCell ref="P404:V404"/>
    <mergeCell ref="D273:E273"/>
    <mergeCell ref="P468:V468"/>
    <mergeCell ref="A464:Z464"/>
    <mergeCell ref="H10:M10"/>
    <mergeCell ref="AA17:AA18"/>
    <mergeCell ref="P212:T212"/>
    <mergeCell ref="P482:V482"/>
    <mergeCell ref="D389:E389"/>
    <mergeCell ref="P107:T107"/>
    <mergeCell ref="P278:T278"/>
    <mergeCell ref="D321:E321"/>
    <mergeCell ref="P63:V63"/>
    <mergeCell ref="P101:T101"/>
    <mergeCell ref="D386:E386"/>
    <mergeCell ref="P465:T465"/>
    <mergeCell ref="P250:V250"/>
    <mergeCell ref="A364:O365"/>
    <mergeCell ref="P200:T200"/>
    <mergeCell ref="P134:T134"/>
    <mergeCell ref="P436:T436"/>
    <mergeCell ref="P459:T459"/>
    <mergeCell ref="D465:E465"/>
    <mergeCell ref="P104:V104"/>
    <mergeCell ref="A252:Z252"/>
    <mergeCell ref="P275:V275"/>
    <mergeCell ref="D427:E427"/>
    <mergeCell ref="P27:T27"/>
    <mergeCell ref="A284:O285"/>
    <mergeCell ref="D75:E75"/>
    <mergeCell ref="D206:E206"/>
    <mergeCell ref="P390:T390"/>
    <mergeCell ref="P292:T292"/>
    <mergeCell ref="A360:O361"/>
    <mergeCell ref="D102:E102"/>
    <mergeCell ref="P81:V81"/>
    <mergeCell ref="P85:T85"/>
    <mergeCell ref="P454:V454"/>
    <mergeCell ref="D56:E56"/>
    <mergeCell ref="P206:T206"/>
    <mergeCell ref="P233:T233"/>
    <mergeCell ref="D176:E176"/>
    <mergeCell ref="D347:E347"/>
    <mergeCell ref="D114:E114"/>
    <mergeCell ref="C497:C498"/>
    <mergeCell ref="E497:E498"/>
    <mergeCell ref="P220:V220"/>
    <mergeCell ref="P248:T248"/>
    <mergeCell ref="P441:T441"/>
    <mergeCell ref="D349:E349"/>
    <mergeCell ref="D476:E476"/>
    <mergeCell ref="P207:T207"/>
    <mergeCell ref="A131:O132"/>
    <mergeCell ref="A372:Z372"/>
    <mergeCell ref="P172:V172"/>
    <mergeCell ref="P299:T299"/>
    <mergeCell ref="P150:V150"/>
    <mergeCell ref="P221:V221"/>
    <mergeCell ref="P326:V326"/>
    <mergeCell ref="P215:V215"/>
    <mergeCell ref="P393:T393"/>
    <mergeCell ref="A419:Z419"/>
    <mergeCell ref="A153:O154"/>
    <mergeCell ref="A133:Z133"/>
    <mergeCell ref="D125:E125"/>
    <mergeCell ref="P446:T446"/>
    <mergeCell ref="J9:M9"/>
    <mergeCell ref="D112:E112"/>
    <mergeCell ref="D283:E283"/>
    <mergeCell ref="A418:Z418"/>
    <mergeCell ref="D348:E348"/>
    <mergeCell ref="D62:E62"/>
    <mergeCell ref="P141:T141"/>
    <mergeCell ref="D51:E51"/>
    <mergeCell ref="A38:Z38"/>
    <mergeCell ref="D374:E374"/>
    <mergeCell ref="P232:T232"/>
    <mergeCell ref="P330:T330"/>
    <mergeCell ref="D140:E140"/>
    <mergeCell ref="A340:Z340"/>
    <mergeCell ref="D425:E425"/>
    <mergeCell ref="D359:E359"/>
    <mergeCell ref="H17:H18"/>
    <mergeCell ref="A220:O221"/>
    <mergeCell ref="P388:T388"/>
    <mergeCell ref="P451:T451"/>
    <mergeCell ref="P126:V126"/>
    <mergeCell ref="A470:Z470"/>
    <mergeCell ref="D424:E424"/>
    <mergeCell ref="P224:T224"/>
    <mergeCell ref="P322:T322"/>
    <mergeCell ref="P211:T211"/>
    <mergeCell ref="P309:T309"/>
    <mergeCell ref="P51:T51"/>
    <mergeCell ref="P324:T324"/>
    <mergeCell ref="A143:O144"/>
    <mergeCell ref="A261:Z261"/>
    <mergeCell ref="P338:V338"/>
    <mergeCell ref="P313:V313"/>
    <mergeCell ref="A138:Z138"/>
    <mergeCell ref="P58:V58"/>
    <mergeCell ref="D61:E61"/>
    <mergeCell ref="P115:T115"/>
    <mergeCell ref="D254:E254"/>
    <mergeCell ref="A367:Z367"/>
    <mergeCell ref="A183:Z183"/>
    <mergeCell ref="A88:O89"/>
    <mergeCell ref="D346:E346"/>
    <mergeCell ref="P229:T229"/>
    <mergeCell ref="T5:U5"/>
    <mergeCell ref="D119:E119"/>
    <mergeCell ref="V5:W5"/>
    <mergeCell ref="D190:E190"/>
    <mergeCell ref="D46:E46"/>
    <mergeCell ref="D246:E246"/>
    <mergeCell ref="P294:V294"/>
    <mergeCell ref="D40:E40"/>
    <mergeCell ref="P374:T374"/>
    <mergeCell ref="D233:E233"/>
    <mergeCell ref="Q8:R8"/>
    <mergeCell ref="P140:T140"/>
    <mergeCell ref="P311:T311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45:Z145"/>
    <mergeCell ref="D497:D498"/>
    <mergeCell ref="A14:M14"/>
    <mergeCell ref="A111:Z111"/>
    <mergeCell ref="P163:T163"/>
    <mergeCell ref="D480:E480"/>
    <mergeCell ref="F497:F498"/>
    <mergeCell ref="D345:E345"/>
    <mergeCell ref="A280:O281"/>
    <mergeCell ref="P424:T424"/>
    <mergeCell ref="D467:E467"/>
    <mergeCell ref="D409:E409"/>
    <mergeCell ref="D444:E444"/>
    <mergeCell ref="P425:T425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D328:E328"/>
    <mergeCell ref="P136:V136"/>
    <mergeCell ref="A253:Z253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D201:E201"/>
    <mergeCell ref="D335:E335"/>
    <mergeCell ref="A375:O376"/>
    <mergeCell ref="P245:T245"/>
    <mergeCell ref="P26:T26"/>
    <mergeCell ref="A13:M13"/>
    <mergeCell ref="A15:M15"/>
    <mergeCell ref="D198:E198"/>
    <mergeCell ref="V12:W12"/>
    <mergeCell ref="D52:E52"/>
    <mergeCell ref="P110:V110"/>
    <mergeCell ref="D27:E27"/>
    <mergeCell ref="A338:O339"/>
    <mergeCell ref="P208:T208"/>
    <mergeCell ref="P15:T16"/>
    <mergeCell ref="P450:T450"/>
    <mergeCell ref="A325:O326"/>
    <mergeCell ref="D91:E91"/>
    <mergeCell ref="P219:T219"/>
    <mergeCell ref="D162:E162"/>
    <mergeCell ref="A69:O70"/>
    <mergeCell ref="P272:T272"/>
    <mergeCell ref="P210:T210"/>
    <mergeCell ref="D398:E398"/>
    <mergeCell ref="P439:V439"/>
    <mergeCell ref="A267:O268"/>
    <mergeCell ref="P308:T308"/>
    <mergeCell ref="P433:V433"/>
    <mergeCell ref="A438:O439"/>
    <mergeCell ref="D106:E106"/>
    <mergeCell ref="P185:T185"/>
    <mergeCell ref="P427:T427"/>
    <mergeCell ref="P283:T283"/>
    <mergeCell ref="P53:T53"/>
    <mergeCell ref="D167:E167"/>
    <mergeCell ref="P289:T289"/>
    <mergeCell ref="P422:T422"/>
    <mergeCell ref="D232:E232"/>
    <mergeCell ref="D403:E403"/>
    <mergeCell ref="Z497:Z498"/>
    <mergeCell ref="P238:V238"/>
    <mergeCell ref="P264:T264"/>
    <mergeCell ref="P68:T68"/>
    <mergeCell ref="D169:E169"/>
    <mergeCell ref="A312:O313"/>
    <mergeCell ref="P353:T353"/>
    <mergeCell ref="P82:V82"/>
    <mergeCell ref="P204:V204"/>
    <mergeCell ref="P303:T303"/>
    <mergeCell ref="A357:Z357"/>
    <mergeCell ref="D330:E330"/>
    <mergeCell ref="P304:V304"/>
    <mergeCell ref="P181:V181"/>
    <mergeCell ref="A98:Z98"/>
    <mergeCell ref="A396:Z396"/>
    <mergeCell ref="D460:E460"/>
    <mergeCell ref="D93:E93"/>
    <mergeCell ref="P491:V491"/>
    <mergeCell ref="A5:C5"/>
    <mergeCell ref="P412:V412"/>
    <mergeCell ref="P64:V64"/>
    <mergeCell ref="A485:Z485"/>
    <mergeCell ref="D166:E166"/>
    <mergeCell ref="D337:E337"/>
    <mergeCell ref="A17:A18"/>
    <mergeCell ref="K17:K18"/>
    <mergeCell ref="A189:Z189"/>
    <mergeCell ref="A118:Z118"/>
    <mergeCell ref="C17:C18"/>
    <mergeCell ref="P431:T431"/>
    <mergeCell ref="P364:V364"/>
    <mergeCell ref="P300:T300"/>
    <mergeCell ref="P195:T195"/>
    <mergeCell ref="D230:E230"/>
    <mergeCell ref="P358:T358"/>
    <mergeCell ref="D168:E168"/>
    <mergeCell ref="P380:V380"/>
    <mergeCell ref="D466:E466"/>
    <mergeCell ref="P66:T66"/>
    <mergeCell ref="D9:E9"/>
    <mergeCell ref="D180:E180"/>
    <mergeCell ref="O497:O498"/>
    <mergeCell ref="A6:C6"/>
    <mergeCell ref="D309:E309"/>
    <mergeCell ref="D113:E113"/>
    <mergeCell ref="U496:W496"/>
    <mergeCell ref="P180:T180"/>
    <mergeCell ref="P167:T167"/>
    <mergeCell ref="P142:T142"/>
    <mergeCell ref="D26:E26"/>
    <mergeCell ref="D148:E148"/>
    <mergeCell ref="A161:Z161"/>
    <mergeCell ref="D324:E324"/>
    <mergeCell ref="A259:O260"/>
    <mergeCell ref="P378:T378"/>
    <mergeCell ref="P403:T403"/>
    <mergeCell ref="P55:T55"/>
    <mergeCell ref="D115:E115"/>
    <mergeCell ref="D311:E311"/>
    <mergeCell ref="P417:V417"/>
    <mergeCell ref="P480:T480"/>
    <mergeCell ref="Q12:R12"/>
    <mergeCell ref="A203:O204"/>
    <mergeCell ref="P169:T169"/>
    <mergeCell ref="A274:O275"/>
    <mergeCell ref="R497:R498"/>
    <mergeCell ref="P497:P498"/>
    <mergeCell ref="D108:E108"/>
    <mergeCell ref="P258:T258"/>
    <mergeCell ref="P429:T429"/>
    <mergeCell ref="D369:E369"/>
    <mergeCell ref="A304:O305"/>
    <mergeCell ref="P52:T52"/>
    <mergeCell ref="P423:T423"/>
    <mergeCell ref="P481:T481"/>
    <mergeCell ref="D141:E141"/>
    <mergeCell ref="D135:E135"/>
    <mergeCell ref="P203:V203"/>
    <mergeCell ref="D72:E72"/>
    <mergeCell ref="P295:V295"/>
    <mergeCell ref="P178:V178"/>
    <mergeCell ref="A177:O178"/>
    <mergeCell ref="P267:V267"/>
    <mergeCell ref="P463:V463"/>
    <mergeCell ref="D451:E451"/>
    <mergeCell ref="D255:E255"/>
    <mergeCell ref="P478:V478"/>
    <mergeCell ref="A97:Z97"/>
    <mergeCell ref="D322:E322"/>
    <mergeCell ref="P490:V490"/>
    <mergeCell ref="A382:Z382"/>
    <mergeCell ref="A116:O117"/>
    <mergeCell ref="P428:T428"/>
    <mergeCell ref="D100:E100"/>
    <mergeCell ref="P113:T113"/>
    <mergeCell ref="A173:Z173"/>
    <mergeCell ref="P17:T18"/>
    <mergeCell ref="P129:T129"/>
    <mergeCell ref="A482:O483"/>
    <mergeCell ref="A416:O417"/>
    <mergeCell ref="D158:E158"/>
    <mergeCell ref="D329:E329"/>
    <mergeCell ref="D229:E229"/>
    <mergeCell ref="A402:Z402"/>
    <mergeCell ref="I17:I18"/>
    <mergeCell ref="P36:V36"/>
    <mergeCell ref="D388:E388"/>
    <mergeCell ref="P442:T442"/>
    <mergeCell ref="P467:T467"/>
    <mergeCell ref="P489:V489"/>
    <mergeCell ref="P119:T119"/>
    <mergeCell ref="A43:O44"/>
    <mergeCell ref="P246:T246"/>
    <mergeCell ref="D445:E445"/>
    <mergeCell ref="D224:E224"/>
    <mergeCell ref="P230:T230"/>
    <mergeCell ref="P168:T168"/>
    <mergeCell ref="D211:E211"/>
    <mergeCell ref="D1:F1"/>
    <mergeCell ref="P466:T466"/>
    <mergeCell ref="A71:Z71"/>
    <mergeCell ref="P488:V488"/>
    <mergeCell ref="J17:J18"/>
    <mergeCell ref="L17:L18"/>
    <mergeCell ref="A184:Z184"/>
    <mergeCell ref="P48:V48"/>
    <mergeCell ref="A244:Z244"/>
    <mergeCell ref="P255:T255"/>
    <mergeCell ref="P426:T426"/>
    <mergeCell ref="A342:Z342"/>
    <mergeCell ref="Q9:R9"/>
    <mergeCell ref="Q11:R11"/>
    <mergeCell ref="P127:V127"/>
    <mergeCell ref="A123:Z123"/>
    <mergeCell ref="D390:E390"/>
    <mergeCell ref="P197:T197"/>
    <mergeCell ref="F9:G9"/>
    <mergeCell ref="X497:X498"/>
    <mergeCell ref="D354:E354"/>
    <mergeCell ref="A475:Z475"/>
    <mergeCell ref="P177:V177"/>
    <mergeCell ref="A45:Z45"/>
    <mergeCell ref="P462:V462"/>
    <mergeCell ref="A287:Z287"/>
    <mergeCell ref="P35:V35"/>
    <mergeCell ref="P399:V399"/>
    <mergeCell ref="P273:T273"/>
    <mergeCell ref="D316:E316"/>
    <mergeCell ref="D387:E387"/>
    <mergeCell ref="D272:E272"/>
    <mergeCell ref="D443:E443"/>
    <mergeCell ref="D210:E210"/>
    <mergeCell ref="Y496:Z496"/>
    <mergeCell ref="A250:O251"/>
    <mergeCell ref="D308:E308"/>
    <mergeCell ref="D87:E87"/>
    <mergeCell ref="P166:T166"/>
    <mergeCell ref="D147:E147"/>
    <mergeCell ref="P188:V188"/>
    <mergeCell ref="A187:O188"/>
    <mergeCell ref="D209:E209"/>
    <mergeCell ref="H1:Q1"/>
    <mergeCell ref="P109:V109"/>
    <mergeCell ref="P280:V280"/>
    <mergeCell ref="P274:V274"/>
    <mergeCell ref="A366:Z366"/>
    <mergeCell ref="D214:E214"/>
    <mergeCell ref="A286:Z286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P148:T148"/>
    <mergeCell ref="A109:O110"/>
    <mergeCell ref="A47:O48"/>
    <mergeCell ref="D7:M7"/>
    <mergeCell ref="D129:E129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71:T271"/>
    <mergeCell ref="P94:T94"/>
    <mergeCell ref="P265:T265"/>
    <mergeCell ref="D208:E208"/>
    <mergeCell ref="D8:M8"/>
    <mergeCell ref="D379:E379"/>
    <mergeCell ref="D300:E300"/>
    <mergeCell ref="P237:T237"/>
    <mergeCell ref="P158:T158"/>
    <mergeCell ref="P329:T329"/>
    <mergeCell ref="P251:V251"/>
    <mergeCell ref="P416:V416"/>
    <mergeCell ref="H497:H498"/>
    <mergeCell ref="J497:J498"/>
    <mergeCell ref="P395:V395"/>
    <mergeCell ref="P209:T209"/>
    <mergeCell ref="P147:T147"/>
    <mergeCell ref="P445:T445"/>
    <mergeCell ref="W17:W18"/>
    <mergeCell ref="A50:Z50"/>
    <mergeCell ref="P96:V96"/>
    <mergeCell ref="A434:Z434"/>
    <mergeCell ref="P332:V332"/>
    <mergeCell ref="A331:O332"/>
    <mergeCell ref="A384:Z384"/>
    <mergeCell ref="A151:Z151"/>
    <mergeCell ref="A449:Z449"/>
    <mergeCell ref="P154:V154"/>
    <mergeCell ref="P325:V325"/>
    <mergeCell ref="D142:E142"/>
    <mergeCell ref="A120:O121"/>
    <mergeCell ref="D378:E378"/>
    <mergeCell ref="P458:T458"/>
    <mergeCell ref="P487:V487"/>
    <mergeCell ref="P266:T266"/>
    <mergeCell ref="P182:V182"/>
    <mergeCell ref="P477:V477"/>
    <mergeCell ref="D124:E124"/>
    <mergeCell ref="P56:T56"/>
    <mergeCell ref="V10:W10"/>
    <mergeCell ref="D195:E195"/>
    <mergeCell ref="P379:T379"/>
    <mergeCell ref="D431:E431"/>
    <mergeCell ref="P99:T99"/>
    <mergeCell ref="P170:T170"/>
    <mergeCell ref="D66:E66"/>
    <mergeCell ref="P316:T316"/>
    <mergeCell ref="P443:T443"/>
    <mergeCell ref="D197:E197"/>
    <mergeCell ref="D53:E53"/>
    <mergeCell ref="A84:Z84"/>
    <mergeCell ref="P159:V159"/>
    <mergeCell ref="D289:E289"/>
    <mergeCell ref="A473:O474"/>
    <mergeCell ref="P476:T476"/>
    <mergeCell ref="P407:T407"/>
    <mergeCell ref="P471:T471"/>
    <mergeCell ref="D245:E245"/>
    <mergeCell ref="A282:Z282"/>
    <mergeCell ref="D301:E301"/>
    <mergeCell ref="D486:E486"/>
    <mergeCell ref="P86:T86"/>
    <mergeCell ref="P328:T328"/>
    <mergeCell ref="D134:E134"/>
    <mergeCell ref="P213:T213"/>
    <mergeCell ref="P249:T249"/>
    <mergeCell ref="D363:E363"/>
    <mergeCell ref="R1:T1"/>
    <mergeCell ref="P28:T28"/>
    <mergeCell ref="P392:T392"/>
    <mergeCell ref="D307:E307"/>
    <mergeCell ref="P386:T386"/>
    <mergeCell ref="P165:T165"/>
    <mergeCell ref="P400:V400"/>
    <mergeCell ref="P30:T30"/>
    <mergeCell ref="D73:E73"/>
    <mergeCell ref="P77:V77"/>
    <mergeCell ref="A76:O77"/>
    <mergeCell ref="P152:T152"/>
    <mergeCell ref="P375:V375"/>
    <mergeCell ref="P290:T290"/>
    <mergeCell ref="P452:T452"/>
    <mergeCell ref="P448:V448"/>
    <mergeCell ref="A63:O64"/>
    <mergeCell ref="D472:E472"/>
    <mergeCell ref="A270:Z270"/>
    <mergeCell ref="H9:I9"/>
    <mergeCell ref="A49:Z49"/>
    <mergeCell ref="P24:V24"/>
    <mergeCell ref="P89:V89"/>
    <mergeCell ref="P260:V260"/>
    <mergeCell ref="P389:T389"/>
    <mergeCell ref="P453:V453"/>
    <mergeCell ref="A334:Z334"/>
    <mergeCell ref="A383:Z383"/>
    <mergeCell ref="D297:E297"/>
    <mergeCell ref="P88:V88"/>
    <mergeCell ref="P259:V259"/>
    <mergeCell ref="A78:Z78"/>
    <mergeCell ref="P153:V153"/>
    <mergeCell ref="A205:Z205"/>
    <mergeCell ref="A350:O351"/>
    <mergeCell ref="D263:E263"/>
    <mergeCell ref="A65:Z65"/>
    <mergeCell ref="P391:T391"/>
    <mergeCell ref="D426:E426"/>
    <mergeCell ref="A234:O235"/>
    <mergeCell ref="B17:B18"/>
    <mergeCell ref="P79:T79"/>
    <mergeCell ref="D60:E60"/>
    <mergeCell ref="P73:T73"/>
    <mergeCell ref="P315:T315"/>
    <mergeCell ref="P437:T437"/>
    <mergeCell ref="P231:T231"/>
    <mergeCell ref="D423:E423"/>
    <mergeCell ref="D174:E174"/>
    <mergeCell ref="P302:T302"/>
    <mergeCell ref="A432:O433"/>
    <mergeCell ref="A352:Z352"/>
    <mergeCell ref="A83:Z83"/>
    <mergeCell ref="D410:E410"/>
    <mergeCell ref="A276:Z276"/>
    <mergeCell ref="P143:V143"/>
    <mergeCell ref="A171:O172"/>
    <mergeCell ref="P235:V235"/>
    <mergeCell ref="D258:E258"/>
    <mergeCell ref="P337:T337"/>
    <mergeCell ref="A105:Z105"/>
    <mergeCell ref="D264:E264"/>
    <mergeCell ref="D391:E391"/>
    <mergeCell ref="P370:V370"/>
    <mergeCell ref="A394:O39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3 X75 X79:X80 X85 X87 X91 X94 X99:X101 X112:X115 X119 X124:X125 X129:X130 X135 X141 X146 X148 X162 X164:X166 X168 X186 X195:X200 X202 X208:X214 X218 X227 X232 X254 X256 X258 X273 X283 X289:X293 X297:X298 X300:X301 X303 X307 X310 X315:X317 X324 X335:X337 X343:X345 X349 X353 X358:X359 X368:X369 X373 X378:X379 X385 X387 X397:X398 X407 X421:X423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VH4ELRuFmW6laICfdnTkClULP/G/rgdt4+zGPsuGDH6UnARn6Ra/PAqL8oT5rQO5QysJf+xphYPVWFWV+awKlw==" saltValue="jTyKS0mXBAmyPo+bTjDk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2025-11-11T08:49:19Z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