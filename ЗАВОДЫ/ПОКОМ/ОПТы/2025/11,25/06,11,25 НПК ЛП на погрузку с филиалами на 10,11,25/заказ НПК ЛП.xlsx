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НПК ЛП на погрузку с филиалами на 10,11,25\"/>
    </mc:Choice>
  </mc:AlternateContent>
  <xr:revisionPtr revIDLastSave="0" documentId="13_ncr:1_{CABAB114-E72A-4A13-8C36-5C7AC8B842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BP346" i="1" s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346" i="1" l="1"/>
  <c r="BN346" i="1"/>
  <c r="Z43" i="1"/>
  <c r="Y31" i="1"/>
  <c r="Y43" i="1"/>
  <c r="Y58" i="1"/>
  <c r="Y64" i="1"/>
  <c r="Y70" i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3" i="1" l="1"/>
  <c r="X492" i="1"/>
  <c r="Y492" i="1"/>
  <c r="Z394" i="1"/>
  <c r="Z294" i="1"/>
  <c r="Z171" i="1"/>
  <c r="Z438" i="1"/>
  <c r="Z447" i="1"/>
  <c r="Z432" i="1"/>
  <c r="Z69" i="1"/>
  <c r="Y489" i="1"/>
  <c r="Z203" i="1"/>
  <c r="Z177" i="1"/>
  <c r="Z494" i="1" s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<sst xmlns="http://schemas.openxmlformats.org/spreadsheetml/2006/main" count="2346" uniqueCount="765">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</sst>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807" t="s">
        <v>0</v>
      </c>
      <c r="E1" s="757"/>
      <c r="F1" s="757"/>
      <c r="G1" s="12" t="s">
        <v>1</v>
      </c>
      <c r="H1" s="807" t="s">
        <v>2</v>
      </c>
      <c r="I1" s="757"/>
      <c r="J1" s="757"/>
      <c r="K1" s="757"/>
      <c r="L1" s="757"/>
      <c r="M1" s="757"/>
      <c r="N1" s="757"/>
      <c r="O1" s="757"/>
      <c r="P1" s="757"/>
      <c r="Q1" s="757"/>
      <c r="R1" s="851" t="s">
        <v>3</v>
      </c>
      <c r="S1" s="757"/>
      <c r="T1" s="75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776" t="s">
        <v>8</v>
      </c>
      <c r="B5" s="628"/>
      <c r="C5" s="578"/>
      <c r="D5" s="653"/>
      <c r="E5" s="655"/>
      <c r="F5" s="603" t="s">
        <v>9</v>
      </c>
      <c r="G5" s="578"/>
      <c r="H5" s="653"/>
      <c r="I5" s="654"/>
      <c r="J5" s="654"/>
      <c r="K5" s="654"/>
      <c r="L5" s="654"/>
      <c r="M5" s="655"/>
      <c r="N5" s="58"/>
      <c r="P5" s="24" t="s">
        <v>10</v>
      </c>
      <c r="Q5" s="587">
        <v>45974</v>
      </c>
      <c r="R5" s="588"/>
      <c r="T5" s="735" t="s">
        <v>11</v>
      </c>
      <c r="U5" s="574"/>
      <c r="V5" s="736" t="s">
        <v>12</v>
      </c>
      <c r="W5" s="588"/>
      <c r="AB5" s="51"/>
      <c r="AC5" s="51"/>
      <c r="AD5" s="51"/>
      <c r="AE5" s="51"/>
    </row>
    <row r="6" spans="1:32" s="538" customFormat="1" ht="24" customHeight="1" x14ac:dyDescent="0.2">
      <c r="A6" s="776" t="s">
        <v>13</v>
      </c>
      <c r="B6" s="628"/>
      <c r="C6" s="578"/>
      <c r="D6" s="657" t="s">
        <v>14</v>
      </c>
      <c r="E6" s="658"/>
      <c r="F6" s="658"/>
      <c r="G6" s="658"/>
      <c r="H6" s="658"/>
      <c r="I6" s="658"/>
      <c r="J6" s="658"/>
      <c r="K6" s="658"/>
      <c r="L6" s="658"/>
      <c r="M6" s="588"/>
      <c r="N6" s="59"/>
      <c r="P6" s="24" t="s">
        <v>15</v>
      </c>
      <c r="Q6" s="62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42" t="s">
        <v>16</v>
      </c>
      <c r="U6" s="574"/>
      <c r="V6" s="675" t="s">
        <v>17</v>
      </c>
      <c r="W6" s="676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818" t="str">
        <f>IFERROR(VLOOKUP(DeliveryAddress,Table,3,0),1)</f>
        <v>1</v>
      </c>
      <c r="E7" s="819"/>
      <c r="F7" s="819"/>
      <c r="G7" s="819"/>
      <c r="H7" s="819"/>
      <c r="I7" s="819"/>
      <c r="J7" s="819"/>
      <c r="K7" s="819"/>
      <c r="L7" s="819"/>
      <c r="M7" s="739"/>
      <c r="N7" s="60"/>
      <c r="P7" s="24"/>
      <c r="Q7" s="42"/>
      <c r="R7" s="42"/>
      <c r="T7" s="556"/>
      <c r="U7" s="574"/>
      <c r="V7" s="677"/>
      <c r="W7" s="678"/>
      <c r="AB7" s="51"/>
      <c r="AC7" s="51"/>
      <c r="AD7" s="51"/>
      <c r="AE7" s="51"/>
    </row>
    <row r="8" spans="1:32" s="538" customFormat="1" ht="25.5" customHeight="1" x14ac:dyDescent="0.2">
      <c r="A8" s="568" t="s">
        <v>18</v>
      </c>
      <c r="B8" s="550"/>
      <c r="C8" s="551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8">
        <v>0.41666666666666669</v>
      </c>
      <c r="R8" s="739"/>
      <c r="T8" s="556"/>
      <c r="U8" s="574"/>
      <c r="V8" s="677"/>
      <c r="W8" s="678"/>
      <c r="AB8" s="51"/>
      <c r="AC8" s="51"/>
      <c r="AD8" s="51"/>
      <c r="AE8" s="51"/>
    </row>
    <row r="9" spans="1:32" s="538" customFormat="1" ht="39.950000000000003" customHeight="1" x14ac:dyDescent="0.2">
      <c r="A9" s="5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11"/>
      <c r="E9" s="612"/>
      <c r="F9" s="5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2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72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539"/>
      <c r="P9" s="26" t="s">
        <v>21</v>
      </c>
      <c r="Q9" s="811"/>
      <c r="R9" s="607"/>
      <c r="T9" s="556"/>
      <c r="U9" s="574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5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11"/>
      <c r="E10" s="612"/>
      <c r="F10" s="5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99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43"/>
      <c r="R10" s="744"/>
      <c r="U10" s="24" t="s">
        <v>23</v>
      </c>
      <c r="V10" s="838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2"/>
      <c r="R11" s="588"/>
      <c r="U11" s="24" t="s">
        <v>27</v>
      </c>
      <c r="V11" s="606" t="s">
        <v>28</v>
      </c>
      <c r="W11" s="607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745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578"/>
      <c r="N12" s="62"/>
      <c r="P12" s="24" t="s">
        <v>30</v>
      </c>
      <c r="Q12" s="738"/>
      <c r="R12" s="739"/>
      <c r="S12" s="23"/>
      <c r="U12" s="24"/>
      <c r="V12" s="757"/>
      <c r="W12" s="556"/>
      <c r="AB12" s="51"/>
      <c r="AC12" s="51"/>
      <c r="AD12" s="51"/>
      <c r="AE12" s="51"/>
    </row>
    <row r="13" spans="1:32" s="538" customFormat="1" ht="23.25" customHeight="1" x14ac:dyDescent="0.2">
      <c r="A13" s="745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578"/>
      <c r="N13" s="62"/>
      <c r="O13" s="26"/>
      <c r="P13" s="26" t="s">
        <v>32</v>
      </c>
      <c r="Q13" s="606"/>
      <c r="R13" s="6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745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56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578"/>
      <c r="N15" s="63"/>
      <c r="P15" s="759" t="s">
        <v>35</v>
      </c>
      <c r="Q15" s="757"/>
      <c r="R15" s="757"/>
      <c r="S15" s="757"/>
      <c r="T15" s="75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8" t="s">
        <v>36</v>
      </c>
      <c r="B17" s="558" t="s">
        <v>37</v>
      </c>
      <c r="C17" s="777" t="s">
        <v>38</v>
      </c>
      <c r="D17" s="558" t="s">
        <v>39</v>
      </c>
      <c r="E17" s="559"/>
      <c r="F17" s="558" t="s">
        <v>40</v>
      </c>
      <c r="G17" s="558" t="s">
        <v>41</v>
      </c>
      <c r="H17" s="558" t="s">
        <v>42</v>
      </c>
      <c r="I17" s="558" t="s">
        <v>43</v>
      </c>
      <c r="J17" s="558" t="s">
        <v>44</v>
      </c>
      <c r="K17" s="558" t="s">
        <v>45</v>
      </c>
      <c r="L17" s="558" t="s">
        <v>46</v>
      </c>
      <c r="M17" s="558" t="s">
        <v>47</v>
      </c>
      <c r="N17" s="558" t="s">
        <v>48</v>
      </c>
      <c r="O17" s="558" t="s">
        <v>49</v>
      </c>
      <c r="P17" s="558" t="s">
        <v>50</v>
      </c>
      <c r="Q17" s="798"/>
      <c r="R17" s="798"/>
      <c r="S17" s="798"/>
      <c r="T17" s="559"/>
      <c r="U17" s="577" t="s">
        <v>51</v>
      </c>
      <c r="V17" s="578"/>
      <c r="W17" s="558" t="s">
        <v>52</v>
      </c>
      <c r="X17" s="558" t="s">
        <v>53</v>
      </c>
      <c r="Y17" s="579" t="s">
        <v>54</v>
      </c>
      <c r="Z17" s="670" t="s">
        <v>55</v>
      </c>
      <c r="AA17" s="597" t="s">
        <v>56</v>
      </c>
      <c r="AB17" s="597" t="s">
        <v>57</v>
      </c>
      <c r="AC17" s="597" t="s">
        <v>58</v>
      </c>
      <c r="AD17" s="597" t="s">
        <v>59</v>
      </c>
      <c r="AE17" s="598"/>
      <c r="AF17" s="599"/>
      <c r="AG17" s="66"/>
      <c r="BD17" s="65" t="s">
        <v>60</v>
      </c>
    </row>
    <row r="18" spans="1:68" ht="14.25" customHeight="1" x14ac:dyDescent="0.2">
      <c r="A18" s="563"/>
      <c r="B18" s="563"/>
      <c r="C18" s="563"/>
      <c r="D18" s="560"/>
      <c r="E18" s="561"/>
      <c r="F18" s="563"/>
      <c r="G18" s="563"/>
      <c r="H18" s="563"/>
      <c r="I18" s="563"/>
      <c r="J18" s="563"/>
      <c r="K18" s="563"/>
      <c r="L18" s="563"/>
      <c r="M18" s="563"/>
      <c r="N18" s="563"/>
      <c r="O18" s="563"/>
      <c r="P18" s="560"/>
      <c r="Q18" s="799"/>
      <c r="R18" s="799"/>
      <c r="S18" s="799"/>
      <c r="T18" s="561"/>
      <c r="U18" s="67" t="s">
        <v>61</v>
      </c>
      <c r="V18" s="67" t="s">
        <v>62</v>
      </c>
      <c r="W18" s="563"/>
      <c r="X18" s="563"/>
      <c r="Y18" s="580"/>
      <c r="Z18" s="671"/>
      <c r="AA18" s="672"/>
      <c r="AB18" s="672"/>
      <c r="AC18" s="672"/>
      <c r="AD18" s="600"/>
      <c r="AE18" s="601"/>
      <c r="AF18" s="602"/>
      <c r="AG18" s="66"/>
      <c r="BD18" s="65"/>
    </row>
    <row r="19" spans="1:68" ht="27.75" customHeight="1" x14ac:dyDescent="0.2">
      <c r="A19" s="643" t="s">
        <v>63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571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62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62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62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3" t="s">
        <v>99</v>
      </c>
      <c r="B37" s="644"/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4"/>
      <c r="N37" s="644"/>
      <c r="O37" s="644"/>
      <c r="P37" s="644"/>
      <c r="Q37" s="644"/>
      <c r="R37" s="644"/>
      <c r="S37" s="644"/>
      <c r="T37" s="644"/>
      <c r="U37" s="644"/>
      <c r="V37" s="644"/>
      <c r="W37" s="644"/>
      <c r="X37" s="644"/>
      <c r="Y37" s="644"/>
      <c r="Z37" s="644"/>
      <c r="AA37" s="48"/>
      <c r="AB37" s="48"/>
      <c r="AC37" s="48"/>
    </row>
    <row r="38" spans="1:68" ht="16.5" customHeight="1" x14ac:dyDescent="0.25">
      <c r="A38" s="571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62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62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8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71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62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800</v>
      </c>
      <c r="Y56" s="542">
        <f t="shared" si="0"/>
        <v>801</v>
      </c>
      <c r="Z56" s="36">
        <f>IFERROR(IF(Y56=0,"",ROUNDUP(Y56/H56,0)*0.00902),"")</f>
        <v>1.6055600000000001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833.77777777777783</v>
      </c>
      <c r="BN56" s="64">
        <f t="shared" si="2"/>
        <v>834.82000000000016</v>
      </c>
      <c r="BO56" s="64">
        <f t="shared" si="3"/>
        <v>1.3468013468013469</v>
      </c>
      <c r="BP56" s="64">
        <f t="shared" si="4"/>
        <v>1.3484848484848486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191.50132275132273</v>
      </c>
      <c r="Y57" s="543">
        <f>IFERROR(Y51/H51,"0")+IFERROR(Y52/H52,"0")+IFERROR(Y53/H53,"0")+IFERROR(Y54/H54,"0")+IFERROR(Y55/H55,"0")+IFERROR(Y56/H56,"0")</f>
        <v>193</v>
      </c>
      <c r="Z57" s="543">
        <f>IFERROR(IF(Z51="",0,Z51),"0")+IFERROR(IF(Z52="",0,Z52),"0")+IFERROR(IF(Z53="",0,Z53),"0")+IFERROR(IF(Z54="",0,Z54),"0")+IFERROR(IF(Z55="",0,Z55),"0")+IFERROR(IF(Z56="",0,Z56),"0")</f>
        <v>1.8902600000000001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950</v>
      </c>
      <c r="Y58" s="543">
        <f>IFERROR(SUM(Y51:Y56),"0")</f>
        <v>965</v>
      </c>
      <c r="Z58" s="37"/>
      <c r="AA58" s="544"/>
      <c r="AB58" s="544"/>
      <c r="AC58" s="544"/>
    </row>
    <row r="59" spans="1:68" ht="14.25" customHeight="1" x14ac:dyDescent="0.25">
      <c r="A59" s="562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customHeight="1" x14ac:dyDescent="0.25">
      <c r="A65" s="562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8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7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62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49" t="s">
        <v>71</v>
      </c>
      <c r="Q76" s="550"/>
      <c r="R76" s="550"/>
      <c r="S76" s="550"/>
      <c r="T76" s="550"/>
      <c r="U76" s="550"/>
      <c r="V76" s="55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49" t="s">
        <v>71</v>
      </c>
      <c r="Q77" s="550"/>
      <c r="R77" s="550"/>
      <c r="S77" s="550"/>
      <c r="T77" s="550"/>
      <c r="U77" s="550"/>
      <c r="V77" s="55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62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49" t="s">
        <v>71</v>
      </c>
      <c r="Q81" s="550"/>
      <c r="R81" s="550"/>
      <c r="S81" s="550"/>
      <c r="T81" s="550"/>
      <c r="U81" s="550"/>
      <c r="V81" s="55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49" t="s">
        <v>71</v>
      </c>
      <c r="Q82" s="550"/>
      <c r="R82" s="550"/>
      <c r="S82" s="550"/>
      <c r="T82" s="550"/>
      <c r="U82" s="550"/>
      <c r="V82" s="55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71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62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49" t="s">
        <v>71</v>
      </c>
      <c r="Q88" s="550"/>
      <c r="R88" s="550"/>
      <c r="S88" s="550"/>
      <c r="T88" s="550"/>
      <c r="U88" s="550"/>
      <c r="V88" s="551"/>
      <c r="W88" s="37" t="s">
        <v>72</v>
      </c>
      <c r="X88" s="543">
        <f>IFERROR(X85/H85,"0")+IFERROR(X86/H86,"0")+IFERROR(X87/H87,"0")</f>
        <v>9.2592592592592595</v>
      </c>
      <c r="Y88" s="543">
        <f>IFERROR(Y85/H85,"0")+IFERROR(Y86/H86,"0")+IFERROR(Y87/H87,"0")</f>
        <v>10</v>
      </c>
      <c r="Z88" s="543">
        <f>IFERROR(IF(Z85="",0,Z85),"0")+IFERROR(IF(Z86="",0,Z86),"0")+IFERROR(IF(Z87="",0,Z87),"0")</f>
        <v>0.1898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49" t="s">
        <v>71</v>
      </c>
      <c r="Q89" s="550"/>
      <c r="R89" s="550"/>
      <c r="S89" s="550"/>
      <c r="T89" s="550"/>
      <c r="U89" s="550"/>
      <c r="V89" s="551"/>
      <c r="W89" s="37" t="s">
        <v>69</v>
      </c>
      <c r="X89" s="543">
        <f>IFERROR(SUM(X85:X87),"0")</f>
        <v>100</v>
      </c>
      <c r="Y89" s="543">
        <f>IFERROR(SUM(Y85:Y87),"0")</f>
        <v>108</v>
      </c>
      <c r="Z89" s="37"/>
      <c r="AA89" s="544"/>
      <c r="AB89" s="544"/>
      <c r="AC89" s="544"/>
    </row>
    <row r="90" spans="1:68" ht="14.25" customHeight="1" x14ac:dyDescent="0.25">
      <c r="A90" s="562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150</v>
      </c>
      <c r="Y94" s="542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49" t="s">
        <v>71</v>
      </c>
      <c r="Q95" s="550"/>
      <c r="R95" s="550"/>
      <c r="S95" s="550"/>
      <c r="T95" s="550"/>
      <c r="U95" s="550"/>
      <c r="V95" s="551"/>
      <c r="W95" s="37" t="s">
        <v>72</v>
      </c>
      <c r="X95" s="543">
        <f>IFERROR(X91/H91,"0")+IFERROR(X92/H92,"0")+IFERROR(X93/H93,"0")+IFERROR(X94/H94,"0")</f>
        <v>75.757575757575765</v>
      </c>
      <c r="Y95" s="543">
        <f>IFERROR(Y91/H91,"0")+IFERROR(Y92/H92,"0")+IFERROR(Y93/H93,"0")+IFERROR(Y94/H94,"0")</f>
        <v>76</v>
      </c>
      <c r="Z95" s="543">
        <f>IFERROR(IF(Z91="",0,Z91),"0")+IFERROR(IF(Z92="",0,Z92),"0")+IFERROR(IF(Z93="",0,Z93),"0")+IFERROR(IF(Z94="",0,Z94),"0")</f>
        <v>0.49476000000000003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49" t="s">
        <v>71</v>
      </c>
      <c r="Q96" s="550"/>
      <c r="R96" s="550"/>
      <c r="S96" s="550"/>
      <c r="T96" s="550"/>
      <c r="U96" s="550"/>
      <c r="V96" s="551"/>
      <c r="W96" s="37" t="s">
        <v>69</v>
      </c>
      <c r="X96" s="543">
        <f>IFERROR(SUM(X91:X94),"0")</f>
        <v>150</v>
      </c>
      <c r="Y96" s="543">
        <f>IFERROR(SUM(Y91:Y94),"0")</f>
        <v>150.47999999999999</v>
      </c>
      <c r="Z96" s="37"/>
      <c r="AA96" s="544"/>
      <c r="AB96" s="544"/>
      <c r="AC96" s="544"/>
    </row>
    <row r="97" spans="1:68" ht="16.5" customHeight="1" x14ac:dyDescent="0.25">
      <c r="A97" s="571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62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120</v>
      </c>
      <c r="Y100" s="542">
        <f>IFERROR(IF(X100="",0,CEILING((X100/$H100),1)*$H100),"")</f>
        <v>120</v>
      </c>
      <c r="Z100" s="36">
        <f>IFERROR(IF(Y100=0,"",ROUNDUP(Y100/H100,0)*0.00902),"")</f>
        <v>0.28864000000000001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126.08</v>
      </c>
      <c r="BN100" s="64">
        <f>IFERROR(Y100*I100/H100,"0")</f>
        <v>126.08</v>
      </c>
      <c r="BO100" s="64">
        <f>IFERROR(1/J100*(X100/H100),"0")</f>
        <v>0.24242424242424243</v>
      </c>
      <c r="BP100" s="64">
        <f>IFERROR(1/J100*(Y100/H100),"0")</f>
        <v>0.24242424242424243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49" t="s">
        <v>71</v>
      </c>
      <c r="Q103" s="550"/>
      <c r="R103" s="550"/>
      <c r="S103" s="550"/>
      <c r="T103" s="550"/>
      <c r="U103" s="550"/>
      <c r="V103" s="551"/>
      <c r="W103" s="37" t="s">
        <v>72</v>
      </c>
      <c r="X103" s="543">
        <f>IFERROR(X99/H99,"0")+IFERROR(X100/H100,"0")+IFERROR(X101/H101,"0")+IFERROR(X102/H102,"0")</f>
        <v>32</v>
      </c>
      <c r="Y103" s="543">
        <f>IFERROR(Y99/H99,"0")+IFERROR(Y100/H100,"0")+IFERROR(Y101/H101,"0")+IFERROR(Y102/H102,"0")</f>
        <v>32</v>
      </c>
      <c r="Z103" s="543">
        <f>IFERROR(IF(Z99="",0,Z99),"0")+IFERROR(IF(Z100="",0,Z100),"0")+IFERROR(IF(Z101="",0,Z101),"0")+IFERROR(IF(Z102="",0,Z102),"0")</f>
        <v>0.28864000000000001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49" t="s">
        <v>71</v>
      </c>
      <c r="Q104" s="550"/>
      <c r="R104" s="550"/>
      <c r="S104" s="550"/>
      <c r="T104" s="550"/>
      <c r="U104" s="550"/>
      <c r="V104" s="551"/>
      <c r="W104" s="37" t="s">
        <v>69</v>
      </c>
      <c r="X104" s="543">
        <f>IFERROR(SUM(X99:X102),"0")</f>
        <v>120</v>
      </c>
      <c r="Y104" s="543">
        <f>IFERROR(SUM(Y99:Y102),"0")</f>
        <v>120</v>
      </c>
      <c r="Z104" s="37"/>
      <c r="AA104" s="544"/>
      <c r="AB104" s="544"/>
      <c r="AC104" s="544"/>
    </row>
    <row r="105" spans="1:68" ht="14.25" customHeight="1" x14ac:dyDescent="0.25">
      <c r="A105" s="562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100</v>
      </c>
      <c r="Y106" s="542">
        <f>IFERROR(IF(X106="",0,CEILING((X106/$H106),1)*$H106),"")</f>
        <v>108</v>
      </c>
      <c r="Z106" s="36">
        <f>IFERROR(IF(Y106=0,"",ROUNDUP(Y106/H106,0)*0.01898),"")</f>
        <v>0.1898</v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103.79629629629629</v>
      </c>
      <c r="BN106" s="64">
        <f>IFERROR(Y106*I106/H106,"0")</f>
        <v>112.1</v>
      </c>
      <c r="BO106" s="64">
        <f>IFERROR(1/J106*(X106/H106),"0")</f>
        <v>0.14467592592592593</v>
      </c>
      <c r="BP106" s="64">
        <f>IFERROR(1/J106*(Y106/H106),"0")</f>
        <v>0.15625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49" t="s">
        <v>71</v>
      </c>
      <c r="Q109" s="550"/>
      <c r="R109" s="550"/>
      <c r="S109" s="550"/>
      <c r="T109" s="550"/>
      <c r="U109" s="550"/>
      <c r="V109" s="551"/>
      <c r="W109" s="37" t="s">
        <v>72</v>
      </c>
      <c r="X109" s="543">
        <f>IFERROR(X106/H106,"0")+IFERROR(X107/H107,"0")+IFERROR(X108/H108,"0")</f>
        <v>9.2592592592592595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0.1898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49" t="s">
        <v>71</v>
      </c>
      <c r="Q110" s="550"/>
      <c r="R110" s="550"/>
      <c r="S110" s="550"/>
      <c r="T110" s="550"/>
      <c r="U110" s="550"/>
      <c r="V110" s="551"/>
      <c r="W110" s="37" t="s">
        <v>69</v>
      </c>
      <c r="X110" s="543">
        <f>IFERROR(SUM(X106:X108),"0")</f>
        <v>100</v>
      </c>
      <c r="Y110" s="543">
        <f>IFERROR(SUM(Y106:Y108),"0")</f>
        <v>108</v>
      </c>
      <c r="Z110" s="37"/>
      <c r="AA110" s="544"/>
      <c r="AB110" s="544"/>
      <c r="AC110" s="544"/>
    </row>
    <row r="111" spans="1:68" ht="14.25" customHeight="1" x14ac:dyDescent="0.25">
      <c r="A111" s="562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600</v>
      </c>
      <c r="Y114" s="542">
        <f>IFERROR(IF(X114="",0,CEILING((X114/$H114),1)*$H114),"")</f>
        <v>602.1</v>
      </c>
      <c r="Z114" s="36">
        <f>IFERROR(IF(Y114=0,"",ROUNDUP(Y114/H114,0)*0.00651),"")</f>
        <v>1.45173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656</v>
      </c>
      <c r="BN114" s="64">
        <f>IFERROR(Y114*I114/H114,"0")</f>
        <v>658.29599999999994</v>
      </c>
      <c r="BO114" s="64">
        <f>IFERROR(1/J114*(X114/H114),"0")</f>
        <v>1.2210012210012209</v>
      </c>
      <c r="BP114" s="64">
        <f>IFERROR(1/J114*(Y114/H114),"0")</f>
        <v>1.2252747252747254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49" t="s">
        <v>71</v>
      </c>
      <c r="Q116" s="550"/>
      <c r="R116" s="550"/>
      <c r="S116" s="550"/>
      <c r="T116" s="550"/>
      <c r="U116" s="550"/>
      <c r="V116" s="551"/>
      <c r="W116" s="37" t="s">
        <v>72</v>
      </c>
      <c r="X116" s="543">
        <f>IFERROR(X112/H112,"0")+IFERROR(X113/H113,"0")+IFERROR(X114/H114,"0")+IFERROR(X115/H115,"0")</f>
        <v>222.2222222222222</v>
      </c>
      <c r="Y116" s="543">
        <f>IFERROR(Y112/H112,"0")+IFERROR(Y113/H113,"0")+IFERROR(Y114/H114,"0")+IFERROR(Y115/H115,"0")</f>
        <v>223</v>
      </c>
      <c r="Z116" s="543">
        <f>IFERROR(IF(Z112="",0,Z112),"0")+IFERROR(IF(Z113="",0,Z113),"0")+IFERROR(IF(Z114="",0,Z114),"0")+IFERROR(IF(Z115="",0,Z115),"0")</f>
        <v>1.45173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49" t="s">
        <v>71</v>
      </c>
      <c r="Q117" s="550"/>
      <c r="R117" s="550"/>
      <c r="S117" s="550"/>
      <c r="T117" s="550"/>
      <c r="U117" s="550"/>
      <c r="V117" s="551"/>
      <c r="W117" s="37" t="s">
        <v>69</v>
      </c>
      <c r="X117" s="543">
        <f>IFERROR(SUM(X112:X115),"0")</f>
        <v>600</v>
      </c>
      <c r="Y117" s="543">
        <f>IFERROR(SUM(Y112:Y115),"0")</f>
        <v>602.1</v>
      </c>
      <c r="Z117" s="37"/>
      <c r="AA117" s="544"/>
      <c r="AB117" s="544"/>
      <c r="AC117" s="544"/>
    </row>
    <row r="118" spans="1:68" ht="14.25" customHeight="1" x14ac:dyDescent="0.25">
      <c r="A118" s="562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8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49" t="s">
        <v>71</v>
      </c>
      <c r="Q120" s="550"/>
      <c r="R120" s="550"/>
      <c r="S120" s="550"/>
      <c r="T120" s="550"/>
      <c r="U120" s="550"/>
      <c r="V120" s="55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49" t="s">
        <v>71</v>
      </c>
      <c r="Q121" s="550"/>
      <c r="R121" s="550"/>
      <c r="S121" s="550"/>
      <c r="T121" s="550"/>
      <c r="U121" s="550"/>
      <c r="V121" s="55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71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62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49" t="s">
        <v>71</v>
      </c>
      <c r="Q126" s="550"/>
      <c r="R126" s="550"/>
      <c r="S126" s="550"/>
      <c r="T126" s="550"/>
      <c r="U126" s="550"/>
      <c r="V126" s="55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49" t="s">
        <v>71</v>
      </c>
      <c r="Q127" s="550"/>
      <c r="R127" s="550"/>
      <c r="S127" s="550"/>
      <c r="T127" s="550"/>
      <c r="U127" s="550"/>
      <c r="V127" s="55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62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49" t="s">
        <v>71</v>
      </c>
      <c r="Q131" s="550"/>
      <c r="R131" s="550"/>
      <c r="S131" s="550"/>
      <c r="T131" s="550"/>
      <c r="U131" s="550"/>
      <c r="V131" s="55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49" t="s">
        <v>71</v>
      </c>
      <c r="Q132" s="550"/>
      <c r="R132" s="550"/>
      <c r="S132" s="550"/>
      <c r="T132" s="550"/>
      <c r="U132" s="550"/>
      <c r="V132" s="55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62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0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49" t="s">
        <v>71</v>
      </c>
      <c r="Q136" s="550"/>
      <c r="R136" s="550"/>
      <c r="S136" s="550"/>
      <c r="T136" s="550"/>
      <c r="U136" s="550"/>
      <c r="V136" s="55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49" t="s">
        <v>71</v>
      </c>
      <c r="Q137" s="550"/>
      <c r="R137" s="550"/>
      <c r="S137" s="550"/>
      <c r="T137" s="550"/>
      <c r="U137" s="550"/>
      <c r="V137" s="55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71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62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3"/>
      <c r="R142" s="553"/>
      <c r="S142" s="553"/>
      <c r="T142" s="554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49" t="s">
        <v>71</v>
      </c>
      <c r="Q143" s="550"/>
      <c r="R143" s="550"/>
      <c r="S143" s="550"/>
      <c r="T143" s="550"/>
      <c r="U143" s="550"/>
      <c r="V143" s="55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49" t="s">
        <v>71</v>
      </c>
      <c r="Q144" s="550"/>
      <c r="R144" s="550"/>
      <c r="S144" s="550"/>
      <c r="T144" s="550"/>
      <c r="U144" s="550"/>
      <c r="V144" s="55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62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1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49" t="s">
        <v>71</v>
      </c>
      <c r="Q149" s="550"/>
      <c r="R149" s="550"/>
      <c r="S149" s="550"/>
      <c r="T149" s="550"/>
      <c r="U149" s="550"/>
      <c r="V149" s="55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49" t="s">
        <v>71</v>
      </c>
      <c r="Q150" s="550"/>
      <c r="R150" s="550"/>
      <c r="S150" s="550"/>
      <c r="T150" s="550"/>
      <c r="U150" s="550"/>
      <c r="V150" s="55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62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7" t="s">
        <v>252</v>
      </c>
      <c r="Q152" s="553"/>
      <c r="R152" s="553"/>
      <c r="S152" s="553"/>
      <c r="T152" s="554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49" t="s">
        <v>71</v>
      </c>
      <c r="Q153" s="550"/>
      <c r="R153" s="550"/>
      <c r="S153" s="550"/>
      <c r="T153" s="550"/>
      <c r="U153" s="550"/>
      <c r="V153" s="55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49" t="s">
        <v>71</v>
      </c>
      <c r="Q154" s="550"/>
      <c r="R154" s="550"/>
      <c r="S154" s="550"/>
      <c r="T154" s="550"/>
      <c r="U154" s="550"/>
      <c r="V154" s="55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43" t="s">
        <v>255</v>
      </c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44"/>
      <c r="P155" s="644"/>
      <c r="Q155" s="644"/>
      <c r="R155" s="644"/>
      <c r="S155" s="644"/>
      <c r="T155" s="644"/>
      <c r="U155" s="644"/>
      <c r="V155" s="644"/>
      <c r="W155" s="644"/>
      <c r="X155" s="644"/>
      <c r="Y155" s="644"/>
      <c r="Z155" s="644"/>
      <c r="AA155" s="48"/>
      <c r="AB155" s="48"/>
      <c r="AC155" s="48"/>
    </row>
    <row r="156" spans="1:68" ht="16.5" customHeight="1" x14ac:dyDescent="0.25">
      <c r="A156" s="571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62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49" t="s">
        <v>71</v>
      </c>
      <c r="Q159" s="550"/>
      <c r="R159" s="550"/>
      <c r="S159" s="550"/>
      <c r="T159" s="550"/>
      <c r="U159" s="550"/>
      <c r="V159" s="55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49" t="s">
        <v>71</v>
      </c>
      <c r="Q160" s="550"/>
      <c r="R160" s="550"/>
      <c r="S160" s="550"/>
      <c r="T160" s="550"/>
      <c r="U160" s="550"/>
      <c r="V160" s="55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62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7">
        <v>4680115880993</v>
      </c>
      <c r="E162" s="548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66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7">
        <v>4680115881761</v>
      </c>
      <c r="E163" s="548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7">
        <v>4680115881563</v>
      </c>
      <c r="E164" s="548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100</v>
      </c>
      <c r="Y164" s="542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7">
        <v>4680115880986</v>
      </c>
      <c r="E165" s="548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7">
        <v>4680115881785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7">
        <v>4680115886537</v>
      </c>
      <c r="E167" s="548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8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7">
        <v>4680115881679</v>
      </c>
      <c r="E168" s="548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7">
        <v>4680115880191</v>
      </c>
      <c r="E169" s="548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7">
        <v>4680115883963</v>
      </c>
      <c r="E170" s="548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49" t="s">
        <v>71</v>
      </c>
      <c r="Q171" s="550"/>
      <c r="R171" s="550"/>
      <c r="S171" s="550"/>
      <c r="T171" s="550"/>
      <c r="U171" s="550"/>
      <c r="V171" s="551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23.80952380952381</v>
      </c>
      <c r="Y171" s="543">
        <f>IFERROR(Y162/H162,"0")+IFERROR(Y163/H163,"0")+IFERROR(Y164/H164,"0")+IFERROR(Y165/H165,"0")+IFERROR(Y166/H166,"0")+IFERROR(Y167/H167,"0")+IFERROR(Y168/H168,"0")+IFERROR(Y169/H169,"0")+IFERROR(Y170/H170,"0")</f>
        <v>24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49" t="s">
        <v>71</v>
      </c>
      <c r="Q172" s="550"/>
      <c r="R172" s="550"/>
      <c r="S172" s="550"/>
      <c r="T172" s="550"/>
      <c r="U172" s="550"/>
      <c r="V172" s="551"/>
      <c r="W172" s="37" t="s">
        <v>69</v>
      </c>
      <c r="X172" s="543">
        <f>IFERROR(SUM(X162:X170),"0")</f>
        <v>100</v>
      </c>
      <c r="Y172" s="543">
        <f>IFERROR(SUM(Y162:Y170),"0")</f>
        <v>100.80000000000001</v>
      </c>
      <c r="Z172" s="37"/>
      <c r="AA172" s="544"/>
      <c r="AB172" s="544"/>
      <c r="AC172" s="544"/>
    </row>
    <row r="173" spans="1:68" ht="14.25" customHeight="1" x14ac:dyDescent="0.25">
      <c r="A173" s="562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7">
        <v>4680115886780</v>
      </c>
      <c r="E174" s="548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7">
        <v>4680115886742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7">
        <v>4680115886766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49" t="s">
        <v>71</v>
      </c>
      <c r="Q177" s="550"/>
      <c r="R177" s="550"/>
      <c r="S177" s="550"/>
      <c r="T177" s="550"/>
      <c r="U177" s="550"/>
      <c r="V177" s="551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49" t="s">
        <v>71</v>
      </c>
      <c r="Q178" s="550"/>
      <c r="R178" s="550"/>
      <c r="S178" s="550"/>
      <c r="T178" s="550"/>
      <c r="U178" s="550"/>
      <c r="V178" s="551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62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7">
        <v>4680115886797</v>
      </c>
      <c r="E180" s="548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49" t="s">
        <v>71</v>
      </c>
      <c r="Q181" s="550"/>
      <c r="R181" s="550"/>
      <c r="S181" s="550"/>
      <c r="T181" s="550"/>
      <c r="U181" s="550"/>
      <c r="V181" s="551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49" t="s">
        <v>71</v>
      </c>
      <c r="Q182" s="550"/>
      <c r="R182" s="550"/>
      <c r="S182" s="550"/>
      <c r="T182" s="550"/>
      <c r="U182" s="550"/>
      <c r="V182" s="551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71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62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7">
        <v>4680115881402</v>
      </c>
      <c r="E185" s="548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7">
        <v>4680115881396</v>
      </c>
      <c r="E186" s="548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49" t="s">
        <v>71</v>
      </c>
      <c r="Q187" s="550"/>
      <c r="R187" s="550"/>
      <c r="S187" s="550"/>
      <c r="T187" s="550"/>
      <c r="U187" s="550"/>
      <c r="V187" s="551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49" t="s">
        <v>71</v>
      </c>
      <c r="Q188" s="550"/>
      <c r="R188" s="550"/>
      <c r="S188" s="550"/>
      <c r="T188" s="550"/>
      <c r="U188" s="550"/>
      <c r="V188" s="551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62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7">
        <v>4680115882935</v>
      </c>
      <c r="E190" s="548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7">
        <v>4680115880764</v>
      </c>
      <c r="E191" s="548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49" t="s">
        <v>71</v>
      </c>
      <c r="Q192" s="550"/>
      <c r="R192" s="550"/>
      <c r="S192" s="550"/>
      <c r="T192" s="550"/>
      <c r="U192" s="550"/>
      <c r="V192" s="551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49" t="s">
        <v>71</v>
      </c>
      <c r="Q193" s="550"/>
      <c r="R193" s="550"/>
      <c r="S193" s="550"/>
      <c r="T193" s="550"/>
      <c r="U193" s="550"/>
      <c r="V193" s="551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62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7">
        <v>4680115882683</v>
      </c>
      <c r="E195" s="548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7">
        <v>4680115882690</v>
      </c>
      <c r="E196" s="548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7">
        <v>4680115882669</v>
      </c>
      <c r="E197" s="548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300</v>
      </c>
      <c r="Y197" s="542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7">
        <v>4680115882676</v>
      </c>
      <c r="E198" s="548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7">
        <v>4680115884014</v>
      </c>
      <c r="E199" s="548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58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7">
        <v>4680115884007</v>
      </c>
      <c r="E200" s="548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7">
        <v>4680115884038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7">
        <v>4680115884021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49" t="s">
        <v>71</v>
      </c>
      <c r="Q203" s="550"/>
      <c r="R203" s="550"/>
      <c r="S203" s="550"/>
      <c r="T203" s="550"/>
      <c r="U203" s="550"/>
      <c r="V203" s="551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166.66666666666666</v>
      </c>
      <c r="Y203" s="543">
        <f>IFERROR(Y195/H195,"0")+IFERROR(Y196/H196,"0")+IFERROR(Y197/H197,"0")+IFERROR(Y198/H198,"0")+IFERROR(Y199/H199,"0")+IFERROR(Y200/H200,"0")+IFERROR(Y201/H201,"0")+IFERROR(Y202/H202,"0")</f>
        <v>170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1.5334000000000001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49" t="s">
        <v>71</v>
      </c>
      <c r="Q204" s="550"/>
      <c r="R204" s="550"/>
      <c r="S204" s="550"/>
      <c r="T204" s="550"/>
      <c r="U204" s="550"/>
      <c r="V204" s="551"/>
      <c r="W204" s="37" t="s">
        <v>69</v>
      </c>
      <c r="X204" s="543">
        <f>IFERROR(SUM(X195:X202),"0")</f>
        <v>900</v>
      </c>
      <c r="Y204" s="543">
        <f>IFERROR(SUM(Y195:Y202),"0")</f>
        <v>918.00000000000011</v>
      </c>
      <c r="Z204" s="37"/>
      <c r="AA204" s="544"/>
      <c r="AB204" s="544"/>
      <c r="AC204" s="544"/>
    </row>
    <row r="205" spans="1:68" ht="14.25" customHeight="1" x14ac:dyDescent="0.25">
      <c r="A205" s="562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7">
        <v>4680115881594</v>
      </c>
      <c r="E206" s="548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50</v>
      </c>
      <c r="Y206" s="542">
        <f t="shared" ref="Y206:Y214" si="15">IFERROR(IF(X206="",0,CEILING((X206/$H206),1)*$H206),"")</f>
        <v>56.699999999999996</v>
      </c>
      <c r="Z206" s="36">
        <f>IFERROR(IF(Y206=0,"",ROUNDUP(Y206/H206,0)*0.01898),"")</f>
        <v>0.13286000000000001</v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53.049382716049386</v>
      </c>
      <c r="BN206" s="64">
        <f t="shared" ref="BN206:BN214" si="17">IFERROR(Y206*I206/H206,"0")</f>
        <v>60.157999999999994</v>
      </c>
      <c r="BO206" s="64">
        <f t="shared" ref="BO206:BO214" si="18">IFERROR(1/J206*(X206/H206),"0")</f>
        <v>9.6450617283950615E-2</v>
      </c>
      <c r="BP206" s="64">
        <f t="shared" ref="BP206:BP214" si="19">IFERROR(1/J206*(Y206/H206),"0")</f>
        <v>0.109375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7">
        <v>4680115881617</v>
      </c>
      <c r="E207" s="548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7">
        <v>4680115880573</v>
      </c>
      <c r="E208" s="548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150</v>
      </c>
      <c r="Y208" s="542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7">
        <v>4680115882195</v>
      </c>
      <c r="E209" s="548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7">
        <v>4680115882607</v>
      </c>
      <c r="E210" s="548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7">
        <v>4680115880092</v>
      </c>
      <c r="E211" s="548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400</v>
      </c>
      <c r="Y211" s="542">
        <f t="shared" si="15"/>
        <v>400.8</v>
      </c>
      <c r="Z211" s="36">
        <f t="shared" si="20"/>
        <v>1.08717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7">
        <v>4680115880221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400</v>
      </c>
      <c r="Y212" s="542">
        <f t="shared" si="15"/>
        <v>400.8</v>
      </c>
      <c r="Z212" s="36">
        <f t="shared" si="20"/>
        <v>1.08717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442</v>
      </c>
      <c r="BN212" s="64">
        <f t="shared" si="17"/>
        <v>442.88400000000007</v>
      </c>
      <c r="BO212" s="64">
        <f t="shared" si="18"/>
        <v>0.91575091575091594</v>
      </c>
      <c r="BP212" s="64">
        <f t="shared" si="19"/>
        <v>0.91758241758241765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7">
        <v>4680115880504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4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200</v>
      </c>
      <c r="Y213" s="542">
        <f t="shared" si="15"/>
        <v>201.6</v>
      </c>
      <c r="Z213" s="36">
        <f t="shared" si="20"/>
        <v>0.54683999999999999</v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221</v>
      </c>
      <c r="BN213" s="64">
        <f t="shared" si="17"/>
        <v>222.768</v>
      </c>
      <c r="BO213" s="64">
        <f t="shared" si="18"/>
        <v>0.45787545787545797</v>
      </c>
      <c r="BP213" s="64">
        <f t="shared" si="19"/>
        <v>0.46153846153846156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7">
        <v>4680115882164</v>
      </c>
      <c r="E214" s="548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49" t="s">
        <v>71</v>
      </c>
      <c r="Q215" s="550"/>
      <c r="R215" s="550"/>
      <c r="S215" s="550"/>
      <c r="T215" s="550"/>
      <c r="U215" s="550"/>
      <c r="V215" s="551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523.41421881651775</v>
      </c>
      <c r="Y215" s="543">
        <f>IFERROR(Y206/H206,"0")+IFERROR(Y207/H207,"0")+IFERROR(Y208/H208,"0")+IFERROR(Y209/H209,"0")+IFERROR(Y210/H210,"0")+IFERROR(Y211/H211,"0")+IFERROR(Y212/H212,"0")+IFERROR(Y213/H213,"0")+IFERROR(Y214/H214,"0")</f>
        <v>527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3.7425199999999998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49" t="s">
        <v>71</v>
      </c>
      <c r="Q216" s="550"/>
      <c r="R216" s="550"/>
      <c r="S216" s="550"/>
      <c r="T216" s="550"/>
      <c r="U216" s="550"/>
      <c r="V216" s="551"/>
      <c r="W216" s="37" t="s">
        <v>69</v>
      </c>
      <c r="X216" s="543">
        <f>IFERROR(SUM(X206:X214),"0")</f>
        <v>1400</v>
      </c>
      <c r="Y216" s="543">
        <f>IFERROR(SUM(Y206:Y214),"0")</f>
        <v>1418.1</v>
      </c>
      <c r="Z216" s="37"/>
      <c r="AA216" s="544"/>
      <c r="AB216" s="544"/>
      <c r="AC216" s="544"/>
    </row>
    <row r="217" spans="1:68" ht="14.25" customHeight="1" x14ac:dyDescent="0.25">
      <c r="A217" s="562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7">
        <v>4680115880818</v>
      </c>
      <c r="E218" s="548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7">
        <v>4680115880801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49" t="s">
        <v>71</v>
      </c>
      <c r="Q220" s="550"/>
      <c r="R220" s="550"/>
      <c r="S220" s="550"/>
      <c r="T220" s="550"/>
      <c r="U220" s="550"/>
      <c r="V220" s="551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49" t="s">
        <v>71</v>
      </c>
      <c r="Q221" s="550"/>
      <c r="R221" s="550"/>
      <c r="S221" s="550"/>
      <c r="T221" s="550"/>
      <c r="U221" s="550"/>
      <c r="V221" s="551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71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62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7">
        <v>4680115884137</v>
      </c>
      <c r="E224" s="548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7">
        <v>4680115884236</v>
      </c>
      <c r="E225" s="548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7">
        <v>4680115884175</v>
      </c>
      <c r="E226" s="548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7">
        <v>4680115884144</v>
      </c>
      <c r="E227" s="548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7">
        <v>4680115886551</v>
      </c>
      <c r="E229" s="548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7">
        <v>4680115884182</v>
      </c>
      <c r="E230" s="548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7">
        <v>4680115887282</v>
      </c>
      <c r="E231" s="548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7">
        <v>4680115884205</v>
      </c>
      <c r="E232" s="548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49" t="s">
        <v>71</v>
      </c>
      <c r="Q234" s="550"/>
      <c r="R234" s="550"/>
      <c r="S234" s="550"/>
      <c r="T234" s="550"/>
      <c r="U234" s="550"/>
      <c r="V234" s="551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49" t="s">
        <v>71</v>
      </c>
      <c r="Q235" s="550"/>
      <c r="R235" s="550"/>
      <c r="S235" s="550"/>
      <c r="T235" s="550"/>
      <c r="U235" s="550"/>
      <c r="V235" s="551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62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7">
        <v>4680115885981</v>
      </c>
      <c r="E237" s="548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49" t="s">
        <v>71</v>
      </c>
      <c r="Q238" s="550"/>
      <c r="R238" s="550"/>
      <c r="S238" s="550"/>
      <c r="T238" s="550"/>
      <c r="U238" s="550"/>
      <c r="V238" s="551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49" t="s">
        <v>71</v>
      </c>
      <c r="Q239" s="550"/>
      <c r="R239" s="550"/>
      <c r="S239" s="550"/>
      <c r="T239" s="550"/>
      <c r="U239" s="550"/>
      <c r="V239" s="551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62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7">
        <v>4680115886803</v>
      </c>
      <c r="E241" s="548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49" t="s">
        <v>71</v>
      </c>
      <c r="Q242" s="550"/>
      <c r="R242" s="550"/>
      <c r="S242" s="550"/>
      <c r="T242" s="550"/>
      <c r="U242" s="550"/>
      <c r="V242" s="551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49" t="s">
        <v>71</v>
      </c>
      <c r="Q243" s="550"/>
      <c r="R243" s="550"/>
      <c r="S243" s="550"/>
      <c r="T243" s="550"/>
      <c r="U243" s="550"/>
      <c r="V243" s="551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62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7">
        <v>4680115886704</v>
      </c>
      <c r="E245" s="548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7">
        <v>4680115886681</v>
      </c>
      <c r="E246" s="548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8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7">
        <v>4680115886735</v>
      </c>
      <c r="E247" s="548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7">
        <v>4680115886728</v>
      </c>
      <c r="E248" s="548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7">
        <v>4680115886711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49" t="s">
        <v>71</v>
      </c>
      <c r="Q250" s="550"/>
      <c r="R250" s="550"/>
      <c r="S250" s="550"/>
      <c r="T250" s="550"/>
      <c r="U250" s="550"/>
      <c r="V250" s="551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49" t="s">
        <v>71</v>
      </c>
      <c r="Q251" s="550"/>
      <c r="R251" s="550"/>
      <c r="S251" s="550"/>
      <c r="T251" s="550"/>
      <c r="U251" s="550"/>
      <c r="V251" s="551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71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62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7">
        <v>4680115885837</v>
      </c>
      <c r="E254" s="548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7">
        <v>4680115885851</v>
      </c>
      <c r="E255" s="548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7">
        <v>4680115885806</v>
      </c>
      <c r="E256" s="548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7">
        <v>4680115885844</v>
      </c>
      <c r="E257" s="548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7">
        <v>4680115885820</v>
      </c>
      <c r="E258" s="548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49" t="s">
        <v>71</v>
      </c>
      <c r="Q259" s="550"/>
      <c r="R259" s="550"/>
      <c r="S259" s="550"/>
      <c r="T259" s="550"/>
      <c r="U259" s="550"/>
      <c r="V259" s="551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49" t="s">
        <v>71</v>
      </c>
      <c r="Q260" s="550"/>
      <c r="R260" s="550"/>
      <c r="S260" s="550"/>
      <c r="T260" s="550"/>
      <c r="U260" s="550"/>
      <c r="V260" s="551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71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62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7">
        <v>4607091383423</v>
      </c>
      <c r="E263" s="548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7">
        <v>4680115886957</v>
      </c>
      <c r="E264" s="548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7">
        <v>4680115885660</v>
      </c>
      <c r="E265" s="548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7">
        <v>4680115886773</v>
      </c>
      <c r="E266" s="548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3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49" t="s">
        <v>71</v>
      </c>
      <c r="Q267" s="550"/>
      <c r="R267" s="550"/>
      <c r="S267" s="550"/>
      <c r="T267" s="550"/>
      <c r="U267" s="550"/>
      <c r="V267" s="551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49" t="s">
        <v>71</v>
      </c>
      <c r="Q268" s="550"/>
      <c r="R268" s="550"/>
      <c r="S268" s="550"/>
      <c r="T268" s="550"/>
      <c r="U268" s="550"/>
      <c r="V268" s="551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71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62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7">
        <v>4680115886186</v>
      </c>
      <c r="E271" s="548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7">
        <v>4680115881228</v>
      </c>
      <c r="E272" s="548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50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7">
        <v>4680115881211</v>
      </c>
      <c r="E273" s="548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50</v>
      </c>
      <c r="Y273" s="542">
        <f>IFERROR(IF(X273="",0,CEILING((X273/$H273),1)*$H273),"")</f>
        <v>50.4</v>
      </c>
      <c r="Z273" s="36">
        <f>IFERROR(IF(Y273=0,"",ROUNDUP(Y273/H273,0)*0.00651),"")</f>
        <v>0.13671</v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53.75</v>
      </c>
      <c r="BN273" s="64">
        <f>IFERROR(Y273*I273/H273,"0")</f>
        <v>54.180000000000007</v>
      </c>
      <c r="BO273" s="64">
        <f>IFERROR(1/J273*(X273/H273),"0")</f>
        <v>0.11446886446886449</v>
      </c>
      <c r="BP273" s="64">
        <f>IFERROR(1/J273*(Y273/H273),"0")</f>
        <v>0.11538461538461539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49" t="s">
        <v>71</v>
      </c>
      <c r="Q274" s="550"/>
      <c r="R274" s="550"/>
      <c r="S274" s="550"/>
      <c r="T274" s="550"/>
      <c r="U274" s="550"/>
      <c r="V274" s="551"/>
      <c r="W274" s="37" t="s">
        <v>72</v>
      </c>
      <c r="X274" s="543">
        <f>IFERROR(X271/H271,"0")+IFERROR(X272/H272,"0")+IFERROR(X273/H273,"0")</f>
        <v>41.666666666666671</v>
      </c>
      <c r="Y274" s="543">
        <f>IFERROR(Y271/H271,"0")+IFERROR(Y272/H272,"0")+IFERROR(Y273/H273,"0")</f>
        <v>42</v>
      </c>
      <c r="Z274" s="543">
        <f>IFERROR(IF(Z271="",0,Z271),"0")+IFERROR(IF(Z272="",0,Z272),"0")+IFERROR(IF(Z273="",0,Z273),"0")</f>
        <v>0.27342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49" t="s">
        <v>71</v>
      </c>
      <c r="Q275" s="550"/>
      <c r="R275" s="550"/>
      <c r="S275" s="550"/>
      <c r="T275" s="550"/>
      <c r="U275" s="550"/>
      <c r="V275" s="551"/>
      <c r="W275" s="37" t="s">
        <v>69</v>
      </c>
      <c r="X275" s="543">
        <f>IFERROR(SUM(X271:X273),"0")</f>
        <v>100</v>
      </c>
      <c r="Y275" s="543">
        <f>IFERROR(SUM(Y271:Y273),"0")</f>
        <v>100.8</v>
      </c>
      <c r="Z275" s="37"/>
      <c r="AA275" s="544"/>
      <c r="AB275" s="544"/>
      <c r="AC275" s="544"/>
    </row>
    <row r="276" spans="1:68" ht="16.5" customHeight="1" x14ac:dyDescent="0.25">
      <c r="A276" s="571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62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7">
        <v>4680115880344</v>
      </c>
      <c r="E278" s="548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7">
        <v>4680115886919</v>
      </c>
      <c r="E279" s="548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49" t="s">
        <v>71</v>
      </c>
      <c r="Q280" s="550"/>
      <c r="R280" s="550"/>
      <c r="S280" s="550"/>
      <c r="T280" s="550"/>
      <c r="U280" s="550"/>
      <c r="V280" s="551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49" t="s">
        <v>71</v>
      </c>
      <c r="Q281" s="550"/>
      <c r="R281" s="550"/>
      <c r="S281" s="550"/>
      <c r="T281" s="550"/>
      <c r="U281" s="550"/>
      <c r="V281" s="551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62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7">
        <v>4680115884618</v>
      </c>
      <c r="E283" s="548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49" t="s">
        <v>71</v>
      </c>
      <c r="Q284" s="550"/>
      <c r="R284" s="550"/>
      <c r="S284" s="550"/>
      <c r="T284" s="550"/>
      <c r="U284" s="550"/>
      <c r="V284" s="551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49" t="s">
        <v>71</v>
      </c>
      <c r="Q285" s="550"/>
      <c r="R285" s="550"/>
      <c r="S285" s="550"/>
      <c r="T285" s="550"/>
      <c r="U285" s="550"/>
      <c r="V285" s="551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71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62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7">
        <v>4607091386004</v>
      </c>
      <c r="E288" s="548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5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3"/>
      <c r="R288" s="553"/>
      <c r="S288" s="553"/>
      <c r="T288" s="554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7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8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1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customHeight="1" x14ac:dyDescent="0.25">
      <c r="A296" s="562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5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3"/>
      <c r="R297" s="553"/>
      <c r="S297" s="553"/>
      <c r="T297" s="554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6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6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7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62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5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69</v>
      </c>
      <c r="X307" s="541">
        <v>50</v>
      </c>
      <c r="Y307" s="542">
        <f>IFERROR(IF(X307="",0,CEILING((X307/$H307),1)*$H307),"")</f>
        <v>54.6</v>
      </c>
      <c r="Z307" s="36">
        <f>IFERROR(IF(Y307=0,"",ROUNDUP(Y307/H307,0)*0.01898),"")</f>
        <v>0.13286000000000001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53.128205128205131</v>
      </c>
      <c r="BN307" s="64">
        <f>IFERROR(Y307*I307/H307,"0")</f>
        <v>58.016000000000005</v>
      </c>
      <c r="BO307" s="64">
        <f>IFERROR(1/J307*(X307/H307),"0")</f>
        <v>0.10016025641025642</v>
      </c>
      <c r="BP307" s="64">
        <f>IFERROR(1/J307*(Y307/H307),"0")</f>
        <v>0.109375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4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6.4102564102564106</v>
      </c>
      <c r="Y312" s="543">
        <f>IFERROR(Y307/H307,"0")+IFERROR(Y308/H308,"0")+IFERROR(Y309/H309,"0")+IFERROR(Y310/H310,"0")+IFERROR(Y311/H311,"0")</f>
        <v>7</v>
      </c>
      <c r="Z312" s="543">
        <f>IFERROR(IF(Z307="",0,Z307),"0")+IFERROR(IF(Z308="",0,Z308),"0")+IFERROR(IF(Z309="",0,Z309),"0")+IFERROR(IF(Z310="",0,Z310),"0")+IFERROR(IF(Z311="",0,Z311),"0")</f>
        <v>0.13286000000000001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50</v>
      </c>
      <c r="Y313" s="543">
        <f>IFERROR(SUM(Y307:Y311),"0")</f>
        <v>54.6</v>
      </c>
      <c r="Z313" s="37"/>
      <c r="AA313" s="544"/>
      <c r="AB313" s="544"/>
      <c r="AC313" s="544"/>
    </row>
    <row r="314" spans="1:68" ht="14.25" customHeight="1" x14ac:dyDescent="0.25">
      <c r="A314" s="562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170</v>
      </c>
      <c r="Y316" s="542">
        <f>IFERROR(IF(X316="",0,CEILING((X316/$H316),1)*$H316),"")</f>
        <v>171.6</v>
      </c>
      <c r="Z316" s="36">
        <f>IFERROR(IF(Y316=0,"",ROUNDUP(Y316/H316,0)*0.01898),"")</f>
        <v>0.41755999999999999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180.76666666666668</v>
      </c>
      <c r="BN316" s="64">
        <f>IFERROR(Y316*I316/H316,"0")</f>
        <v>182.46800000000002</v>
      </c>
      <c r="BO316" s="64">
        <f>IFERROR(1/J316*(X316/H316),"0")</f>
        <v>0.34054487179487181</v>
      </c>
      <c r="BP316" s="64">
        <f>IFERROR(1/J316*(Y316/H316),"0")</f>
        <v>0.34375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21.794871794871796</v>
      </c>
      <c r="Y318" s="543">
        <f>IFERROR(Y315/H315,"0")+IFERROR(Y316/H316,"0")+IFERROR(Y317/H317,"0")</f>
        <v>22</v>
      </c>
      <c r="Z318" s="543">
        <f>IFERROR(IF(Z315="",0,Z315),"0")+IFERROR(IF(Z316="",0,Z316),"0")+IFERROR(IF(Z317="",0,Z317),"0")</f>
        <v>0.41755999999999999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170</v>
      </c>
      <c r="Y319" s="543">
        <f>IFERROR(SUM(Y315:Y317),"0")</f>
        <v>171.6</v>
      </c>
      <c r="Z319" s="37"/>
      <c r="AA319" s="544"/>
      <c r="AB319" s="544"/>
      <c r="AC319" s="544"/>
    </row>
    <row r="320" spans="1:68" ht="14.25" customHeight="1" x14ac:dyDescent="0.25">
      <c r="A320" s="562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8" t="s">
        <v>511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62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8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8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71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62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50</v>
      </c>
      <c r="Y337" s="542">
        <f>IFERROR(IF(X337="",0,CEILING((X337/$H337),1)*$H337),"")</f>
        <v>50.400000000000006</v>
      </c>
      <c r="Z337" s="36">
        <f>IFERROR(IF(Y337=0,"",ROUNDUP(Y337/H337,0)*0.00651),"")</f>
        <v>0.15623999999999999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55.714285714285715</v>
      </c>
      <c r="BN337" s="64">
        <f>IFERROR(Y337*I337/H337,"0")</f>
        <v>56.160000000000004</v>
      </c>
      <c r="BO337" s="64">
        <f>IFERROR(1/J337*(X337/H337),"0")</f>
        <v>0.13082155939298798</v>
      </c>
      <c r="BP337" s="64">
        <f>IFERROR(1/J337*(Y337/H337),"0")</f>
        <v>0.13186813186813187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23.80952380952381</v>
      </c>
      <c r="Y338" s="543">
        <f>IFERROR(Y335/H335,"0")+IFERROR(Y336/H336,"0")+IFERROR(Y337/H337,"0")</f>
        <v>24</v>
      </c>
      <c r="Z338" s="543">
        <f>IFERROR(IF(Z335="",0,Z335),"0")+IFERROR(IF(Z336="",0,Z336),"0")+IFERROR(IF(Z337="",0,Z337),"0")</f>
        <v>0.15623999999999999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50</v>
      </c>
      <c r="Y339" s="543">
        <f>IFERROR(SUM(Y335:Y337),"0")</f>
        <v>50.400000000000006</v>
      </c>
      <c r="Z339" s="37"/>
      <c r="AA339" s="544"/>
      <c r="AB339" s="544"/>
      <c r="AC339" s="544"/>
    </row>
    <row r="340" spans="1:68" ht="27.75" customHeight="1" x14ac:dyDescent="0.2">
      <c r="A340" s="643" t="s">
        <v>536</v>
      </c>
      <c r="B340" s="644"/>
      <c r="C340" s="644"/>
      <c r="D340" s="644"/>
      <c r="E340" s="644"/>
      <c r="F340" s="644"/>
      <c r="G340" s="644"/>
      <c r="H340" s="644"/>
      <c r="I340" s="644"/>
      <c r="J340" s="644"/>
      <c r="K340" s="644"/>
      <c r="L340" s="644"/>
      <c r="M340" s="644"/>
      <c r="N340" s="644"/>
      <c r="O340" s="644"/>
      <c r="P340" s="644"/>
      <c r="Q340" s="644"/>
      <c r="R340" s="644"/>
      <c r="S340" s="644"/>
      <c r="T340" s="644"/>
      <c r="U340" s="644"/>
      <c r="V340" s="644"/>
      <c r="W340" s="644"/>
      <c r="X340" s="644"/>
      <c r="Y340" s="644"/>
      <c r="Z340" s="644"/>
      <c r="AA340" s="48"/>
      <c r="AB340" s="48"/>
      <c r="AC340" s="48"/>
    </row>
    <row r="341" spans="1:68" ht="16.5" customHeight="1" x14ac:dyDescent="0.25">
      <c r="A341" s="571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62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300</v>
      </c>
      <c r="Y343" s="542">
        <f t="shared" ref="Y343:Y349" si="36">IFERROR(IF(X343="",0,CEILING((X343/$H343),1)*$H343),"")</f>
        <v>300</v>
      </c>
      <c r="Z343" s="36">
        <f>IFERROR(IF(Y343=0,"",ROUNDUP(Y343/H343,0)*0.02175),"")</f>
        <v>0.43499999999999994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309.39999999999998</v>
      </c>
      <c r="BN343" s="64">
        <f t="shared" ref="BN343:BN349" si="38">IFERROR(Y343*I343/H343,"0")</f>
        <v>309.39999999999998</v>
      </c>
      <c r="BO343" s="64">
        <f t="shared" ref="BO343:BO349" si="39">IFERROR(1/J343*(X343/H343),"0")</f>
        <v>0.41666666666666663</v>
      </c>
      <c r="BP343" s="64">
        <f t="shared" ref="BP343:BP349" si="40">IFERROR(1/J343*(Y343/H343),"0")</f>
        <v>0.41666666666666663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7">
        <v>4680115884830</v>
      </c>
      <c r="E345" s="548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7">
        <v>4680115887046</v>
      </c>
      <c r="E346" s="548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6" t="s">
        <v>549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100</v>
      </c>
      <c r="Y346" s="542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33.333333333333336</v>
      </c>
      <c r="Y350" s="543">
        <f>IFERROR(Y343/H343,"0")+IFERROR(Y344/H344,"0")+IFERROR(Y345/H345,"0")+IFERROR(Y346/H346,"0")+IFERROR(Y347/H347,"0")+IFERROR(Y348/H348,"0")+IFERROR(Y349/H349,"0")</f>
        <v>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500</v>
      </c>
      <c r="Y351" s="543">
        <f>IFERROR(SUM(Y343:Y349),"0")</f>
        <v>510</v>
      </c>
      <c r="Z351" s="37"/>
      <c r="AA351" s="544"/>
      <c r="AB351" s="544"/>
      <c r="AC351" s="544"/>
    </row>
    <row r="352" spans="1:68" ht="14.25" customHeight="1" x14ac:dyDescent="0.25">
      <c r="A352" s="562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customHeight="1" x14ac:dyDescent="0.25">
      <c r="A357" s="562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62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120</v>
      </c>
      <c r="Y363" s="542">
        <f>IFERROR(IF(X363="",0,CEILING((X363/$H363),1)*$H363),"")</f>
        <v>126</v>
      </c>
      <c r="Z363" s="36">
        <f>IFERROR(IF(Y363=0,"",ROUNDUP(Y363/H363,0)*0.01898),"")</f>
        <v>0.26572000000000001</v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126.58666666666666</v>
      </c>
      <c r="BN363" s="64">
        <f>IFERROR(Y363*I363/H363,"0")</f>
        <v>132.916</v>
      </c>
      <c r="BO363" s="64">
        <f>IFERROR(1/J363*(X363/H363),"0")</f>
        <v>0.20833333333333334</v>
      </c>
      <c r="BP363" s="64">
        <f>IFERROR(1/J363*(Y363/H363),"0")</f>
        <v>0.21875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13.333333333333334</v>
      </c>
      <c r="Y364" s="543">
        <f>IFERROR(Y363/H363,"0")</f>
        <v>14</v>
      </c>
      <c r="Z364" s="543">
        <f>IFERROR(IF(Z363="",0,Z363),"0")</f>
        <v>0.26572000000000001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120</v>
      </c>
      <c r="Y365" s="543">
        <f>IFERROR(SUM(Y363:Y363),"0")</f>
        <v>126</v>
      </c>
      <c r="Z365" s="37"/>
      <c r="AA365" s="544"/>
      <c r="AB365" s="544"/>
      <c r="AC365" s="544"/>
    </row>
    <row r="366" spans="1:68" ht="16.5" customHeight="1" x14ac:dyDescent="0.25">
      <c r="A366" s="571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62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150</v>
      </c>
      <c r="Y368" s="542">
        <f>IFERROR(IF(X368="",0,CEILING((X368/$H368),1)*$H368),"")</f>
        <v>156</v>
      </c>
      <c r="Z368" s="36">
        <f>IFERROR(IF(Y368=0,"",ROUNDUP(Y368/H368,0)*0.01898),"")</f>
        <v>0.24674000000000001</v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155.125</v>
      </c>
      <c r="BN368" s="64">
        <f>IFERROR(Y368*I368/H368,"0")</f>
        <v>161.33000000000001</v>
      </c>
      <c r="BO368" s="64">
        <f>IFERROR(1/J368*(X368/H368),"0")</f>
        <v>0.1953125</v>
      </c>
      <c r="BP368" s="64">
        <f>IFERROR(1/J368*(Y368/H368),"0")</f>
        <v>0.203125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12.5</v>
      </c>
      <c r="Y370" s="543">
        <f>IFERROR(Y368/H368,"0")+IFERROR(Y369/H369,"0")</f>
        <v>13</v>
      </c>
      <c r="Z370" s="543">
        <f>IFERROR(IF(Z368="",0,Z368),"0")+IFERROR(IF(Z369="",0,Z369),"0")</f>
        <v>0.24674000000000001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150</v>
      </c>
      <c r="Y371" s="543">
        <f>IFERROR(SUM(Y368:Y369),"0")</f>
        <v>156</v>
      </c>
      <c r="Z371" s="37"/>
      <c r="AA371" s="544"/>
      <c r="AB371" s="544"/>
      <c r="AC371" s="544"/>
    </row>
    <row r="372" spans="1:68" ht="14.25" customHeight="1" x14ac:dyDescent="0.25">
      <c r="A372" s="562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3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62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350</v>
      </c>
      <c r="Y379" s="542">
        <f>IFERROR(IF(X379="",0,CEILING((X379/$H379),1)*$H379),"")</f>
        <v>350.4</v>
      </c>
      <c r="Z379" s="36">
        <f>IFERROR(IF(Y379=0,"",ROUNDUP(Y379/H379,0)*0.00651),"")</f>
        <v>0.95045999999999997</v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388.50000000000006</v>
      </c>
      <c r="BN379" s="64">
        <f>IFERROR(Y379*I379/H379,"0")</f>
        <v>388.94400000000002</v>
      </c>
      <c r="BO379" s="64">
        <f>IFERROR(1/J379*(X379/H379),"0")</f>
        <v>0.80128205128205143</v>
      </c>
      <c r="BP379" s="64">
        <f>IFERROR(1/J379*(Y379/H379),"0")</f>
        <v>0.80219780219780223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145.83333333333334</v>
      </c>
      <c r="Y380" s="543">
        <f>IFERROR(Y378/H378,"0")+IFERROR(Y379/H379,"0")</f>
        <v>146</v>
      </c>
      <c r="Z380" s="543">
        <f>IFERROR(IF(Z378="",0,Z378),"0")+IFERROR(IF(Z379="",0,Z379),"0")</f>
        <v>0.95045999999999997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350</v>
      </c>
      <c r="Y381" s="543">
        <f>IFERROR(SUM(Y378:Y379),"0")</f>
        <v>350.4</v>
      </c>
      <c r="Z381" s="37"/>
      <c r="AA381" s="544"/>
      <c r="AB381" s="544"/>
      <c r="AC381" s="544"/>
    </row>
    <row r="382" spans="1:68" ht="27.75" customHeight="1" x14ac:dyDescent="0.2">
      <c r="A382" s="643" t="s">
        <v>588</v>
      </c>
      <c r="B382" s="644"/>
      <c r="C382" s="644"/>
      <c r="D382" s="644"/>
      <c r="E382" s="644"/>
      <c r="F382" s="644"/>
      <c r="G382" s="644"/>
      <c r="H382" s="644"/>
      <c r="I382" s="644"/>
      <c r="J382" s="644"/>
      <c r="K382" s="644"/>
      <c r="L382" s="644"/>
      <c r="M382" s="644"/>
      <c r="N382" s="644"/>
      <c r="O382" s="644"/>
      <c r="P382" s="644"/>
      <c r="Q382" s="644"/>
      <c r="R382" s="644"/>
      <c r="S382" s="644"/>
      <c r="T382" s="644"/>
      <c r="U382" s="644"/>
      <c r="V382" s="644"/>
      <c r="W382" s="644"/>
      <c r="X382" s="644"/>
      <c r="Y382" s="644"/>
      <c r="Z382" s="644"/>
      <c r="AA382" s="48"/>
      <c r="AB382" s="48"/>
      <c r="AC382" s="48"/>
    </row>
    <row r="383" spans="1:68" ht="16.5" customHeight="1" x14ac:dyDescent="0.25">
      <c r="A383" s="571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62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62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71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62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62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71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62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3" t="s">
        <v>639</v>
      </c>
      <c r="B418" s="644"/>
      <c r="C418" s="644"/>
      <c r="D418" s="644"/>
      <c r="E418" s="644"/>
      <c r="F418" s="644"/>
      <c r="G418" s="644"/>
      <c r="H418" s="644"/>
      <c r="I418" s="644"/>
      <c r="J418" s="644"/>
      <c r="K418" s="644"/>
      <c r="L418" s="644"/>
      <c r="M418" s="644"/>
      <c r="N418" s="644"/>
      <c r="O418" s="644"/>
      <c r="P418" s="644"/>
      <c r="Q418" s="644"/>
      <c r="R418" s="644"/>
      <c r="S418" s="644"/>
      <c r="T418" s="644"/>
      <c r="U418" s="644"/>
      <c r="V418" s="644"/>
      <c r="W418" s="644"/>
      <c r="X418" s="644"/>
      <c r="Y418" s="644"/>
      <c r="Z418" s="644"/>
      <c r="AA418" s="48"/>
      <c r="AB418" s="48"/>
      <c r="AC418" s="48"/>
    </row>
    <row r="419" spans="1:68" ht="16.5" customHeight="1" x14ac:dyDescent="0.25">
      <c r="A419" s="571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62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200</v>
      </c>
      <c r="Y422" s="542">
        <f t="shared" si="47"/>
        <v>200.64000000000001</v>
      </c>
      <c r="Z422" s="36">
        <f t="shared" si="48"/>
        <v>0.45448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213.25757575757575</v>
      </c>
      <c r="BN422" s="64">
        <f t="shared" si="50"/>
        <v>213.94</v>
      </c>
      <c r="BO422" s="64">
        <f t="shared" si="51"/>
        <v>0.36421911421911418</v>
      </c>
      <c r="BP422" s="64">
        <f t="shared" si="52"/>
        <v>0.36538461538461542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1000</v>
      </c>
      <c r="Y431" s="542">
        <f t="shared" si="47"/>
        <v>1003.1999999999999</v>
      </c>
      <c r="Z431" s="36">
        <f>IFERROR(IF(Y431=0,"",ROUNDUP(Y431/H431,0)*0.00902),"")</f>
        <v>1.8851800000000001</v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1439.5833333333335</v>
      </c>
      <c r="BN431" s="64">
        <f t="shared" si="50"/>
        <v>1444.19</v>
      </c>
      <c r="BO431" s="64">
        <f t="shared" si="51"/>
        <v>1.5782828282828285</v>
      </c>
      <c r="BP431" s="64">
        <f t="shared" si="52"/>
        <v>1.5833333333333335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246.21212121212122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2.3396600000000003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1200</v>
      </c>
      <c r="Y433" s="543">
        <f>IFERROR(SUM(Y421:Y431),"0")</f>
        <v>1203.8399999999999</v>
      </c>
      <c r="Z433" s="37"/>
      <c r="AA433" s="544"/>
      <c r="AB433" s="544"/>
      <c r="AC433" s="544"/>
    </row>
    <row r="434" spans="1:68" ht="14.25" customHeight="1" x14ac:dyDescent="0.25">
      <c r="A434" s="562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customHeight="1" x14ac:dyDescent="0.25">
      <c r="A440" s="562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8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62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3" t="s">
        <v>699</v>
      </c>
      <c r="B455" s="644"/>
      <c r="C455" s="644"/>
      <c r="D455" s="644"/>
      <c r="E455" s="644"/>
      <c r="F455" s="644"/>
      <c r="G455" s="644"/>
      <c r="H455" s="644"/>
      <c r="I455" s="644"/>
      <c r="J455" s="644"/>
      <c r="K455" s="644"/>
      <c r="L455" s="644"/>
      <c r="M455" s="644"/>
      <c r="N455" s="644"/>
      <c r="O455" s="644"/>
      <c r="P455" s="644"/>
      <c r="Q455" s="644"/>
      <c r="R455" s="644"/>
      <c r="S455" s="644"/>
      <c r="T455" s="644"/>
      <c r="U455" s="644"/>
      <c r="V455" s="644"/>
      <c r="W455" s="644"/>
      <c r="X455" s="644"/>
      <c r="Y455" s="644"/>
      <c r="Z455" s="644"/>
      <c r="AA455" s="48"/>
      <c r="AB455" s="48"/>
      <c r="AC455" s="48"/>
    </row>
    <row r="456" spans="1:68" ht="16.5" customHeight="1" x14ac:dyDescent="0.25">
      <c r="A456" s="571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62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62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80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62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4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62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62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71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62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74"/>
      <c r="P489" s="627" t="s">
        <v>739</v>
      </c>
      <c r="Q489" s="628"/>
      <c r="R489" s="628"/>
      <c r="S489" s="628"/>
      <c r="T489" s="628"/>
      <c r="U489" s="628"/>
      <c r="V489" s="578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8660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8781.32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74"/>
      <c r="P490" s="627" t="s">
        <v>740</v>
      </c>
      <c r="Q490" s="628"/>
      <c r="R490" s="628"/>
      <c r="S490" s="628"/>
      <c r="T490" s="628"/>
      <c r="U490" s="628"/>
      <c r="V490" s="578"/>
      <c r="W490" s="37" t="s">
        <v>69</v>
      </c>
      <c r="X490" s="543">
        <f>IFERROR(SUM(BM22:BM486),"0")</f>
        <v>9594.0606721769072</v>
      </c>
      <c r="Y490" s="543">
        <f>IFERROR(SUM(BN22:BN486),"0")</f>
        <v>9722.2980000000007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74"/>
      <c r="P491" s="627" t="s">
        <v>741</v>
      </c>
      <c r="Q491" s="628"/>
      <c r="R491" s="628"/>
      <c r="S491" s="628"/>
      <c r="T491" s="628"/>
      <c r="U491" s="628"/>
      <c r="V491" s="578"/>
      <c r="W491" s="37" t="s">
        <v>742</v>
      </c>
      <c r="X491" s="38">
        <f>ROUNDUP(SUM(BO22:BO486),0)</f>
        <v>16</v>
      </c>
      <c r="Y491" s="38">
        <f>ROUNDUP(SUM(BP22:BP486),0)</f>
        <v>16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74"/>
      <c r="P492" s="627" t="s">
        <v>743</v>
      </c>
      <c r="Q492" s="628"/>
      <c r="R492" s="628"/>
      <c r="S492" s="628"/>
      <c r="T492" s="628"/>
      <c r="U492" s="628"/>
      <c r="V492" s="578"/>
      <c r="W492" s="37" t="s">
        <v>69</v>
      </c>
      <c r="X492" s="543">
        <f>GrossWeightTotal+PalletQtyTotal*25</f>
        <v>9994.0606721769072</v>
      </c>
      <c r="Y492" s="543">
        <f>GrossWeightTotalR+PalletQtyTotalR*25</f>
        <v>10122.298000000001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74"/>
      <c r="P493" s="627" t="s">
        <v>744</v>
      </c>
      <c r="Q493" s="628"/>
      <c r="R493" s="628"/>
      <c r="S493" s="628"/>
      <c r="T493" s="628"/>
      <c r="U493" s="628"/>
      <c r="V493" s="578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2026.1403907926892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2043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74"/>
      <c r="P494" s="627" t="s">
        <v>745</v>
      </c>
      <c r="Q494" s="628"/>
      <c r="R494" s="628"/>
      <c r="S494" s="628"/>
      <c r="T494" s="628"/>
      <c r="U494" s="628"/>
      <c r="V494" s="578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18.626350000000002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45" t="s">
        <v>99</v>
      </c>
      <c r="D496" s="637"/>
      <c r="E496" s="637"/>
      <c r="F496" s="637"/>
      <c r="G496" s="637"/>
      <c r="H496" s="630"/>
      <c r="I496" s="545" t="s">
        <v>255</v>
      </c>
      <c r="J496" s="637"/>
      <c r="K496" s="637"/>
      <c r="L496" s="637"/>
      <c r="M496" s="637"/>
      <c r="N496" s="637"/>
      <c r="O496" s="637"/>
      <c r="P496" s="637"/>
      <c r="Q496" s="637"/>
      <c r="R496" s="630"/>
      <c r="S496" s="545" t="s">
        <v>536</v>
      </c>
      <c r="T496" s="630"/>
      <c r="U496" s="545" t="s">
        <v>588</v>
      </c>
      <c r="V496" s="637"/>
      <c r="W496" s="630"/>
      <c r="X496" s="533" t="s">
        <v>639</v>
      </c>
      <c r="Y496" s="545" t="s">
        <v>699</v>
      </c>
      <c r="Z496" s="630"/>
      <c r="AB496" s="52"/>
      <c r="AC496" s="52"/>
      <c r="AF496" s="534"/>
    </row>
    <row r="497" spans="1:32" ht="14.25" customHeight="1" thickTop="1" x14ac:dyDescent="0.2">
      <c r="A497" s="584" t="s">
        <v>748</v>
      </c>
      <c r="B497" s="545" t="s">
        <v>63</v>
      </c>
      <c r="C497" s="545" t="s">
        <v>100</v>
      </c>
      <c r="D497" s="545" t="s">
        <v>117</v>
      </c>
      <c r="E497" s="545" t="s">
        <v>171</v>
      </c>
      <c r="F497" s="545" t="s">
        <v>190</v>
      </c>
      <c r="G497" s="545" t="s">
        <v>220</v>
      </c>
      <c r="H497" s="545" t="s">
        <v>99</v>
      </c>
      <c r="I497" s="545" t="s">
        <v>256</v>
      </c>
      <c r="J497" s="545" t="s">
        <v>297</v>
      </c>
      <c r="K497" s="545" t="s">
        <v>357</v>
      </c>
      <c r="L497" s="545" t="s">
        <v>399</v>
      </c>
      <c r="M497" s="545" t="s">
        <v>415</v>
      </c>
      <c r="N497" s="534"/>
      <c r="O497" s="545" t="s">
        <v>426</v>
      </c>
      <c r="P497" s="545" t="s">
        <v>435</v>
      </c>
      <c r="Q497" s="545" t="s">
        <v>445</v>
      </c>
      <c r="R497" s="545" t="s">
        <v>526</v>
      </c>
      <c r="S497" s="545" t="s">
        <v>537</v>
      </c>
      <c r="T497" s="545" t="s">
        <v>572</v>
      </c>
      <c r="U497" s="545" t="s">
        <v>589</v>
      </c>
      <c r="V497" s="545" t="s">
        <v>620</v>
      </c>
      <c r="W497" s="545" t="s">
        <v>635</v>
      </c>
      <c r="X497" s="545" t="s">
        <v>639</v>
      </c>
      <c r="Y497" s="545" t="s">
        <v>699</v>
      </c>
      <c r="Z497" s="545" t="s">
        <v>735</v>
      </c>
      <c r="AB497" s="52"/>
      <c r="AC497" s="52"/>
      <c r="AF497" s="534"/>
    </row>
    <row r="498" spans="1:32" ht="13.5" customHeight="1" thickBot="1" x14ac:dyDescent="0.25">
      <c r="A498" s="585"/>
      <c r="B498" s="546"/>
      <c r="C498" s="546"/>
      <c r="D498" s="546"/>
      <c r="E498" s="546"/>
      <c r="F498" s="546"/>
      <c r="G498" s="546"/>
      <c r="H498" s="546"/>
      <c r="I498" s="546"/>
      <c r="J498" s="546"/>
      <c r="K498" s="546"/>
      <c r="L498" s="546"/>
      <c r="M498" s="546"/>
      <c r="N498" s="534"/>
      <c r="O498" s="546"/>
      <c r="P498" s="546"/>
      <c r="Q498" s="546"/>
      <c r="R498" s="546"/>
      <c r="S498" s="546"/>
      <c r="T498" s="546"/>
      <c r="U498" s="546"/>
      <c r="V498" s="546"/>
      <c r="W498" s="546"/>
      <c r="X498" s="546"/>
      <c r="Y498" s="546"/>
      <c r="Z498" s="546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1019</v>
      </c>
      <c r="E499" s="46">
        <f>IFERROR(Y85*1,"0")+IFERROR(Y86*1,"0")+IFERROR(Y87*1,"0")+IFERROR(Y91*1,"0")+IFERROR(Y92*1,"0")+IFERROR(Y93*1,"0")+IFERROR(Y94*1,"0")</f>
        <v>258.48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830.1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2336.1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100.8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226.2</v>
      </c>
      <c r="R499" s="46">
        <f>IFERROR(Y335*1,"0")+IFERROR(Y336*1,"0")+IFERROR(Y337*1,"0")</f>
        <v>50.400000000000006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1146</v>
      </c>
      <c r="T499" s="46">
        <f>IFERROR(Y368*1,"0")+IFERROR(Y369*1,"0")+IFERROR(Y373*1,"0")+IFERROR(Y374*1,"0")+IFERROR(Y378*1,"0")+IFERROR(Y379*1,"0")</f>
        <v>506.4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2207.04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P109:V109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