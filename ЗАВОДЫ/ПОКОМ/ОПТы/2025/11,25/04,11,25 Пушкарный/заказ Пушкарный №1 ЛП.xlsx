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4,11,25 Пушкарный\"/>
    </mc:Choice>
  </mc:AlternateContent>
  <xr:revisionPtr revIDLastSave="0" documentId="13_ncr:1_{8B5CDC01-6915-4009-AF13-AB8A0B423B4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Y448" i="1" s="1"/>
  <c r="P442" i="1"/>
  <c r="X440" i="1"/>
  <c r="X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Y433" i="1" s="1"/>
  <c r="P423" i="1"/>
  <c r="BP422" i="1"/>
  <c r="BO422" i="1"/>
  <c r="BN422" i="1"/>
  <c r="BM422" i="1"/>
  <c r="Z422" i="1"/>
  <c r="Y422" i="1"/>
  <c r="X500" i="1" s="1"/>
  <c r="P422" i="1"/>
  <c r="X418" i="1"/>
  <c r="Y417" i="1"/>
  <c r="X417" i="1"/>
  <c r="BP416" i="1"/>
  <c r="BO416" i="1"/>
  <c r="BN416" i="1"/>
  <c r="BM416" i="1"/>
  <c r="Z416" i="1"/>
  <c r="Z417" i="1" s="1"/>
  <c r="Y416" i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Y413" i="1" s="1"/>
  <c r="P408" i="1"/>
  <c r="X406" i="1"/>
  <c r="X405" i="1"/>
  <c r="BO404" i="1"/>
  <c r="BM404" i="1"/>
  <c r="Y404" i="1"/>
  <c r="V500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Y400" i="1" s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Y395" i="1" s="1"/>
  <c r="P386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2" i="1" s="1"/>
  <c r="P379" i="1"/>
  <c r="X377" i="1"/>
  <c r="X376" i="1"/>
  <c r="BO375" i="1"/>
  <c r="BM375" i="1"/>
  <c r="Y375" i="1"/>
  <c r="BP375" i="1" s="1"/>
  <c r="P375" i="1"/>
  <c r="BP374" i="1"/>
  <c r="BO374" i="1"/>
  <c r="BN374" i="1"/>
  <c r="BM374" i="1"/>
  <c r="Z374" i="1"/>
  <c r="Y374" i="1"/>
  <c r="Y376" i="1" s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T500" i="1" s="1"/>
  <c r="P369" i="1"/>
  <c r="X366" i="1"/>
  <c r="X365" i="1"/>
  <c r="BO364" i="1"/>
  <c r="BM364" i="1"/>
  <c r="Y364" i="1"/>
  <c r="Y365" i="1" s="1"/>
  <c r="P364" i="1"/>
  <c r="X362" i="1"/>
  <c r="X361" i="1"/>
  <c r="BO360" i="1"/>
  <c r="BM360" i="1"/>
  <c r="Y360" i="1"/>
  <c r="BP360" i="1" s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Y357" i="1" s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N344" i="1"/>
  <c r="BM344" i="1"/>
  <c r="Z344" i="1"/>
  <c r="Y344" i="1"/>
  <c r="P344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Y339" i="1" s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Y333" i="1" s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BP324" i="1" s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Y314" i="1" s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Y306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Q500" i="1" s="1"/>
  <c r="P289" i="1"/>
  <c r="X286" i="1"/>
  <c r="X285" i="1"/>
  <c r="BO284" i="1"/>
  <c r="BM284" i="1"/>
  <c r="Y284" i="1"/>
  <c r="Y285" i="1" s="1"/>
  <c r="P284" i="1"/>
  <c r="X282" i="1"/>
  <c r="X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M500" i="1" s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500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1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Y236" i="1" s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2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Z176" i="1" s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Y172" i="1" s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1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H500" i="1" s="1"/>
  <c r="P141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Y128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00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8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00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90" i="1" s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Z43" i="1" s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Z77" i="1" s="1"/>
  <c r="BN73" i="1"/>
  <c r="BP73" i="1"/>
  <c r="Z75" i="1"/>
  <c r="BN75" i="1"/>
  <c r="Z81" i="1"/>
  <c r="Z82" i="1" s="1"/>
  <c r="BN81" i="1"/>
  <c r="BP81" i="1"/>
  <c r="Z86" i="1"/>
  <c r="Z89" i="1" s="1"/>
  <c r="BN86" i="1"/>
  <c r="BP86" i="1"/>
  <c r="Z88" i="1"/>
  <c r="BN88" i="1"/>
  <c r="Y89" i="1"/>
  <c r="Z92" i="1"/>
  <c r="Z96" i="1" s="1"/>
  <c r="BN92" i="1"/>
  <c r="BP92" i="1"/>
  <c r="Z94" i="1"/>
  <c r="BN94" i="1"/>
  <c r="Y97" i="1"/>
  <c r="F500" i="1"/>
  <c r="Z101" i="1"/>
  <c r="Z104" i="1" s="1"/>
  <c r="BN101" i="1"/>
  <c r="BP101" i="1"/>
  <c r="Z103" i="1"/>
  <c r="BN103" i="1"/>
  <c r="Y104" i="1"/>
  <c r="Z107" i="1"/>
  <c r="BN107" i="1"/>
  <c r="BP107" i="1"/>
  <c r="Z109" i="1"/>
  <c r="BN109" i="1"/>
  <c r="Y110" i="1"/>
  <c r="Z113" i="1"/>
  <c r="BN113" i="1"/>
  <c r="BP113" i="1"/>
  <c r="Z115" i="1"/>
  <c r="BN115" i="1"/>
  <c r="Y118" i="1"/>
  <c r="G500" i="1"/>
  <c r="Z126" i="1"/>
  <c r="Z127" i="1" s="1"/>
  <c r="BN126" i="1"/>
  <c r="BP126" i="1"/>
  <c r="Y127" i="1"/>
  <c r="Z130" i="1"/>
  <c r="Z132" i="1" s="1"/>
  <c r="BN130" i="1"/>
  <c r="BP130" i="1"/>
  <c r="Y133" i="1"/>
  <c r="Z136" i="1"/>
  <c r="Z137" i="1" s="1"/>
  <c r="BN136" i="1"/>
  <c r="BP136" i="1"/>
  <c r="Z141" i="1"/>
  <c r="BN141" i="1"/>
  <c r="BP141" i="1"/>
  <c r="Z143" i="1"/>
  <c r="BN143" i="1"/>
  <c r="Y144" i="1"/>
  <c r="Z147" i="1"/>
  <c r="BN147" i="1"/>
  <c r="BP147" i="1"/>
  <c r="Z149" i="1"/>
  <c r="BN149" i="1"/>
  <c r="Y150" i="1"/>
  <c r="I500" i="1"/>
  <c r="Y161" i="1"/>
  <c r="Z164" i="1"/>
  <c r="Z172" i="1" s="1"/>
  <c r="BN164" i="1"/>
  <c r="Z166" i="1"/>
  <c r="BN166" i="1"/>
  <c r="Z168" i="1"/>
  <c r="BN168" i="1"/>
  <c r="Z170" i="1"/>
  <c r="BN170" i="1"/>
  <c r="Y173" i="1"/>
  <c r="Y179" i="1"/>
  <c r="H9" i="1"/>
  <c r="Y24" i="1"/>
  <c r="Y44" i="1"/>
  <c r="Y57" i="1"/>
  <c r="Y90" i="1"/>
  <c r="Y145" i="1"/>
  <c r="Z178" i="1"/>
  <c r="BP176" i="1"/>
  <c r="BN176" i="1"/>
  <c r="Y178" i="1"/>
  <c r="Z188" i="1"/>
  <c r="BP187" i="1"/>
  <c r="BN187" i="1"/>
  <c r="Z187" i="1"/>
  <c r="Y189" i="1"/>
  <c r="Y193" i="1"/>
  <c r="Y205" i="1"/>
  <c r="Y217" i="1"/>
  <c r="Y221" i="1"/>
  <c r="Y240" i="1"/>
  <c r="Y244" i="1"/>
  <c r="Y252" i="1"/>
  <c r="Y261" i="1"/>
  <c r="Y268" i="1"/>
  <c r="Y275" i="1"/>
  <c r="Y282" i="1"/>
  <c r="Y286" i="1"/>
  <c r="Y295" i="1"/>
  <c r="Y305" i="1"/>
  <c r="Y313" i="1"/>
  <c r="Y319" i="1"/>
  <c r="Y326" i="1"/>
  <c r="Y332" i="1"/>
  <c r="BP346" i="1"/>
  <c r="BN346" i="1"/>
  <c r="Z346" i="1"/>
  <c r="BP350" i="1"/>
  <c r="BN350" i="1"/>
  <c r="Z350" i="1"/>
  <c r="J500" i="1"/>
  <c r="Y188" i="1"/>
  <c r="Z191" i="1"/>
  <c r="Z193" i="1" s="1"/>
  <c r="BN191" i="1"/>
  <c r="BP191" i="1"/>
  <c r="Z197" i="1"/>
  <c r="Z204" i="1" s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K500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BN246" i="1"/>
  <c r="BP246" i="1"/>
  <c r="Z248" i="1"/>
  <c r="BN248" i="1"/>
  <c r="Z250" i="1"/>
  <c r="BN250" i="1"/>
  <c r="Z255" i="1"/>
  <c r="Z260" i="1" s="1"/>
  <c r="BN255" i="1"/>
  <c r="BP255" i="1"/>
  <c r="Z257" i="1"/>
  <c r="BN257" i="1"/>
  <c r="Z259" i="1"/>
  <c r="BN259" i="1"/>
  <c r="Y260" i="1"/>
  <c r="Z264" i="1"/>
  <c r="Z268" i="1" s="1"/>
  <c r="BN264" i="1"/>
  <c r="BP264" i="1"/>
  <c r="Z266" i="1"/>
  <c r="BN266" i="1"/>
  <c r="Y269" i="1"/>
  <c r="O500" i="1"/>
  <c r="Z273" i="1"/>
  <c r="Z275" i="1" s="1"/>
  <c r="BN273" i="1"/>
  <c r="Y276" i="1"/>
  <c r="P500" i="1"/>
  <c r="Z280" i="1"/>
  <c r="Z281" i="1" s="1"/>
  <c r="BN280" i="1"/>
  <c r="Y281" i="1"/>
  <c r="Z284" i="1"/>
  <c r="Z285" i="1" s="1"/>
  <c r="BN284" i="1"/>
  <c r="BP284" i="1"/>
  <c r="Z289" i="1"/>
  <c r="BN289" i="1"/>
  <c r="BP289" i="1"/>
  <c r="Z291" i="1"/>
  <c r="BN291" i="1"/>
  <c r="Z293" i="1"/>
  <c r="BN293" i="1"/>
  <c r="Y296" i="1"/>
  <c r="Z299" i="1"/>
  <c r="Z305" i="1" s="1"/>
  <c r="BN299" i="1"/>
  <c r="Z301" i="1"/>
  <c r="BN301" i="1"/>
  <c r="Z303" i="1"/>
  <c r="BN303" i="1"/>
  <c r="Z309" i="1"/>
  <c r="Z313" i="1" s="1"/>
  <c r="BN309" i="1"/>
  <c r="Z311" i="1"/>
  <c r="BN311" i="1"/>
  <c r="Z317" i="1"/>
  <c r="Z319" i="1" s="1"/>
  <c r="BN317" i="1"/>
  <c r="Z324" i="1"/>
  <c r="Z326" i="1" s="1"/>
  <c r="BN324" i="1"/>
  <c r="Z330" i="1"/>
  <c r="Z332" i="1" s="1"/>
  <c r="BN330" i="1"/>
  <c r="R500" i="1"/>
  <c r="Z337" i="1"/>
  <c r="Z339" i="1" s="1"/>
  <c r="BN337" i="1"/>
  <c r="Y340" i="1"/>
  <c r="S500" i="1"/>
  <c r="Y351" i="1"/>
  <c r="BP344" i="1"/>
  <c r="Y352" i="1"/>
  <c r="BP348" i="1"/>
  <c r="BN348" i="1"/>
  <c r="Z348" i="1"/>
  <c r="Z351" i="1" s="1"/>
  <c r="Y356" i="1"/>
  <c r="Y362" i="1"/>
  <c r="Y366" i="1"/>
  <c r="Y371" i="1"/>
  <c r="Y377" i="1"/>
  <c r="Y381" i="1"/>
  <c r="Y401" i="1"/>
  <c r="Y406" i="1"/>
  <c r="Y412" i="1"/>
  <c r="BP425" i="1"/>
  <c r="BN425" i="1"/>
  <c r="Z425" i="1"/>
  <c r="BP429" i="1"/>
  <c r="BN429" i="1"/>
  <c r="Z429" i="1"/>
  <c r="Z439" i="1"/>
  <c r="BP437" i="1"/>
  <c r="BN437" i="1"/>
  <c r="Z437" i="1"/>
  <c r="BP445" i="1"/>
  <c r="BN445" i="1"/>
  <c r="Z445" i="1"/>
  <c r="BP453" i="1"/>
  <c r="BN453" i="1"/>
  <c r="Z453" i="1"/>
  <c r="Y455" i="1"/>
  <c r="Y500" i="1"/>
  <c r="Y464" i="1"/>
  <c r="BP459" i="1"/>
  <c r="BN459" i="1"/>
  <c r="Z459" i="1"/>
  <c r="Y463" i="1"/>
  <c r="BP467" i="1"/>
  <c r="BN467" i="1"/>
  <c r="Z467" i="1"/>
  <c r="Z469" i="1" s="1"/>
  <c r="Z354" i="1"/>
  <c r="Z356" i="1" s="1"/>
  <c r="BN354" i="1"/>
  <c r="BP354" i="1"/>
  <c r="Z360" i="1"/>
  <c r="Z361" i="1" s="1"/>
  <c r="BN360" i="1"/>
  <c r="Z364" i="1"/>
  <c r="Z365" i="1" s="1"/>
  <c r="BN364" i="1"/>
  <c r="BP364" i="1"/>
  <c r="Z369" i="1"/>
  <c r="Z371" i="1" s="1"/>
  <c r="BN369" i="1"/>
  <c r="BP369" i="1"/>
  <c r="Y372" i="1"/>
  <c r="Z375" i="1"/>
  <c r="Z376" i="1" s="1"/>
  <c r="BN375" i="1"/>
  <c r="Z379" i="1"/>
  <c r="Z381" i="1" s="1"/>
  <c r="BN379" i="1"/>
  <c r="BP379" i="1"/>
  <c r="U500" i="1"/>
  <c r="Z387" i="1"/>
  <c r="Z395" i="1" s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W500" i="1"/>
  <c r="Y418" i="1"/>
  <c r="BP423" i="1"/>
  <c r="BN423" i="1"/>
  <c r="Z423" i="1"/>
  <c r="Z433" i="1" s="1"/>
  <c r="BP427" i="1"/>
  <c r="BN427" i="1"/>
  <c r="Z427" i="1"/>
  <c r="BP431" i="1"/>
  <c r="BN431" i="1"/>
  <c r="Z431" i="1"/>
  <c r="Y440" i="1"/>
  <c r="Y439" i="1"/>
  <c r="BP443" i="1"/>
  <c r="BN443" i="1"/>
  <c r="Z443" i="1"/>
  <c r="Z448" i="1" s="1"/>
  <c r="BP447" i="1"/>
  <c r="BN447" i="1"/>
  <c r="Z447" i="1"/>
  <c r="Y449" i="1"/>
  <c r="Y454" i="1"/>
  <c r="BP451" i="1"/>
  <c r="BN451" i="1"/>
  <c r="Z451" i="1"/>
  <c r="Z454" i="1" s="1"/>
  <c r="BP461" i="1"/>
  <c r="BN461" i="1"/>
  <c r="Z461" i="1"/>
  <c r="Y470" i="1"/>
  <c r="Y469" i="1"/>
  <c r="BP473" i="1"/>
  <c r="BN473" i="1"/>
  <c r="Z473" i="1"/>
  <c r="Z474" i="1" s="1"/>
  <c r="Y475" i="1"/>
  <c r="Y478" i="1"/>
  <c r="BP477" i="1"/>
  <c r="BN477" i="1"/>
  <c r="Z477" i="1"/>
  <c r="Z478" i="1" s="1"/>
  <c r="Y479" i="1"/>
  <c r="Y484" i="1"/>
  <c r="BP481" i="1"/>
  <c r="BN481" i="1"/>
  <c r="Z481" i="1"/>
  <c r="Z483" i="1" s="1"/>
  <c r="Y434" i="1"/>
  <c r="Y489" i="1"/>
  <c r="Z487" i="1"/>
  <c r="Z488" i="1" s="1"/>
  <c r="BN487" i="1"/>
  <c r="BP487" i="1"/>
  <c r="Y488" i="1"/>
  <c r="Z412" i="1" l="1"/>
  <c r="Y492" i="1"/>
  <c r="Z463" i="1"/>
  <c r="Z295" i="1"/>
  <c r="Z251" i="1"/>
  <c r="Z216" i="1"/>
  <c r="Y490" i="1"/>
  <c r="Z150" i="1"/>
  <c r="Z144" i="1"/>
  <c r="Z117" i="1"/>
  <c r="Z110" i="1"/>
  <c r="Z495" i="1" s="1"/>
  <c r="Y494" i="1"/>
  <c r="Y491" i="1"/>
  <c r="Y493" i="1" s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<sst xmlns="http://schemas.openxmlformats.org/spreadsheetml/2006/main" count="2355" uniqueCount="766">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</sst>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80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795" t="s">
        <v>0</v>
      </c>
      <c r="E1" s="569"/>
      <c r="F1" s="569"/>
      <c r="G1" s="12" t="s">
        <v>1</v>
      </c>
      <c r="H1" s="795" t="s">
        <v>2</v>
      </c>
      <c r="I1" s="569"/>
      <c r="J1" s="569"/>
      <c r="K1" s="569"/>
      <c r="L1" s="569"/>
      <c r="M1" s="569"/>
      <c r="N1" s="569"/>
      <c r="O1" s="569"/>
      <c r="P1" s="569"/>
      <c r="Q1" s="569"/>
      <c r="R1" s="845" t="s">
        <v>3</v>
      </c>
      <c r="S1" s="569"/>
      <c r="T1" s="5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762" t="s">
        <v>8</v>
      </c>
      <c r="B5" s="589"/>
      <c r="C5" s="575"/>
      <c r="D5" s="654"/>
      <c r="E5" s="656"/>
      <c r="F5" s="626" t="s">
        <v>9</v>
      </c>
      <c r="G5" s="575"/>
      <c r="H5" s="654"/>
      <c r="I5" s="655"/>
      <c r="J5" s="655"/>
      <c r="K5" s="655"/>
      <c r="L5" s="655"/>
      <c r="M5" s="656"/>
      <c r="N5" s="58"/>
      <c r="P5" s="24" t="s">
        <v>10</v>
      </c>
      <c r="Q5" s="576">
        <v>45967</v>
      </c>
      <c r="R5" s="577"/>
      <c r="T5" s="732" t="s">
        <v>11</v>
      </c>
      <c r="U5" s="723"/>
      <c r="V5" s="734" t="s">
        <v>12</v>
      </c>
      <c r="W5" s="577"/>
      <c r="AB5" s="51"/>
      <c r="AC5" s="51"/>
      <c r="AD5" s="51"/>
      <c r="AE5" s="51"/>
    </row>
    <row r="6" spans="1:32" s="537" customFormat="1" ht="24" customHeight="1" x14ac:dyDescent="0.2">
      <c r="A6" s="762" t="s">
        <v>13</v>
      </c>
      <c r="B6" s="589"/>
      <c r="C6" s="575"/>
      <c r="D6" s="659" t="s">
        <v>14</v>
      </c>
      <c r="E6" s="660"/>
      <c r="F6" s="660"/>
      <c r="G6" s="660"/>
      <c r="H6" s="660"/>
      <c r="I6" s="660"/>
      <c r="J6" s="660"/>
      <c r="K6" s="660"/>
      <c r="L6" s="660"/>
      <c r="M6" s="577"/>
      <c r="N6" s="59"/>
      <c r="P6" s="24" t="s">
        <v>15</v>
      </c>
      <c r="Q6" s="585" t="str">
        <f>IF(Q5=0," ",CHOOSE(WEEKDAY(Q5,2),"Понедельник","Вторник","Среда","Четверг","Пятница","Суббота","Воскресенье"))</f>
        <v>Четверг</v>
      </c>
      <c r="R6" s="561"/>
      <c r="T6" s="722" t="s">
        <v>16</v>
      </c>
      <c r="U6" s="723"/>
      <c r="V6" s="667" t="s">
        <v>17</v>
      </c>
      <c r="W6" s="668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819" t="str">
        <f>IFERROR(VLOOKUP(DeliveryAddress,Table,3,0),1)</f>
        <v>1</v>
      </c>
      <c r="E7" s="820"/>
      <c r="F7" s="820"/>
      <c r="G7" s="820"/>
      <c r="H7" s="820"/>
      <c r="I7" s="820"/>
      <c r="J7" s="820"/>
      <c r="K7" s="820"/>
      <c r="L7" s="820"/>
      <c r="M7" s="738"/>
      <c r="N7" s="60"/>
      <c r="P7" s="24"/>
      <c r="Q7" s="42"/>
      <c r="R7" s="42"/>
      <c r="T7" s="555"/>
      <c r="U7" s="723"/>
      <c r="V7" s="669"/>
      <c r="W7" s="670"/>
      <c r="AB7" s="51"/>
      <c r="AC7" s="51"/>
      <c r="AD7" s="51"/>
      <c r="AE7" s="51"/>
    </row>
    <row r="8" spans="1:32" s="537" customFormat="1" ht="25.5" customHeight="1" x14ac:dyDescent="0.2">
      <c r="A8" s="547" t="s">
        <v>18</v>
      </c>
      <c r="B8" s="548"/>
      <c r="C8" s="549"/>
      <c r="D8" s="827" t="s">
        <v>19</v>
      </c>
      <c r="E8" s="828"/>
      <c r="F8" s="828"/>
      <c r="G8" s="828"/>
      <c r="H8" s="828"/>
      <c r="I8" s="828"/>
      <c r="J8" s="828"/>
      <c r="K8" s="828"/>
      <c r="L8" s="828"/>
      <c r="M8" s="829"/>
      <c r="N8" s="61"/>
      <c r="P8" s="24" t="s">
        <v>20</v>
      </c>
      <c r="Q8" s="737">
        <v>0.41666666666666669</v>
      </c>
      <c r="R8" s="738"/>
      <c r="T8" s="555"/>
      <c r="U8" s="723"/>
      <c r="V8" s="669"/>
      <c r="W8" s="670"/>
      <c r="AB8" s="51"/>
      <c r="AC8" s="51"/>
      <c r="AD8" s="51"/>
      <c r="AE8" s="51"/>
    </row>
    <row r="9" spans="1:32" s="537" customFormat="1" ht="39.950000000000003" customHeight="1" x14ac:dyDescent="0.2">
      <c r="A9" s="5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1"/>
      <c r="E9" s="622"/>
      <c r="F9" s="5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22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2"/>
      <c r="L9" s="622"/>
      <c r="M9" s="622"/>
      <c r="N9" s="535"/>
      <c r="P9" s="26" t="s">
        <v>21</v>
      </c>
      <c r="Q9" s="775"/>
      <c r="R9" s="628"/>
      <c r="T9" s="555"/>
      <c r="U9" s="723"/>
      <c r="V9" s="671"/>
      <c r="W9" s="672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5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1"/>
      <c r="E10" s="622"/>
      <c r="F10" s="5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83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24"/>
      <c r="R10" s="725"/>
      <c r="U10" s="24" t="s">
        <v>23</v>
      </c>
      <c r="V10" s="862" t="s">
        <v>24</v>
      </c>
      <c r="W10" s="668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7"/>
      <c r="R11" s="577"/>
      <c r="U11" s="24" t="s">
        <v>27</v>
      </c>
      <c r="V11" s="627" t="s">
        <v>28</v>
      </c>
      <c r="W11" s="628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3" t="s">
        <v>29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75"/>
      <c r="N12" s="62"/>
      <c r="P12" s="24" t="s">
        <v>30</v>
      </c>
      <c r="Q12" s="737"/>
      <c r="R12" s="738"/>
      <c r="S12" s="23"/>
      <c r="U12" s="24"/>
      <c r="V12" s="569"/>
      <c r="W12" s="555"/>
      <c r="AB12" s="51"/>
      <c r="AC12" s="51"/>
      <c r="AD12" s="51"/>
      <c r="AE12" s="51"/>
    </row>
    <row r="13" spans="1:32" s="537" customFormat="1" ht="23.25" customHeight="1" x14ac:dyDescent="0.2">
      <c r="A13" s="713" t="s">
        <v>31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75"/>
      <c r="N13" s="62"/>
      <c r="O13" s="26"/>
      <c r="P13" s="26" t="s">
        <v>32</v>
      </c>
      <c r="Q13" s="627"/>
      <c r="R13" s="62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3" t="s">
        <v>33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15" t="s">
        <v>34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75"/>
      <c r="N15" s="63"/>
      <c r="P15" s="750" t="s">
        <v>35</v>
      </c>
      <c r="Q15" s="569"/>
      <c r="R15" s="569"/>
      <c r="S15" s="569"/>
      <c r="T15" s="5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1"/>
      <c r="Q16" s="751"/>
      <c r="R16" s="751"/>
      <c r="S16" s="751"/>
      <c r="T16" s="75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64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97"/>
      <c r="R17" s="797"/>
      <c r="S17" s="797"/>
      <c r="T17" s="564"/>
      <c r="U17" s="574" t="s">
        <v>51</v>
      </c>
      <c r="V17" s="575"/>
      <c r="W17" s="563" t="s">
        <v>52</v>
      </c>
      <c r="X17" s="563" t="s">
        <v>53</v>
      </c>
      <c r="Y17" s="572" t="s">
        <v>54</v>
      </c>
      <c r="Z17" s="680" t="s">
        <v>55</v>
      </c>
      <c r="AA17" s="605" t="s">
        <v>56</v>
      </c>
      <c r="AB17" s="605" t="s">
        <v>57</v>
      </c>
      <c r="AC17" s="605" t="s">
        <v>58</v>
      </c>
      <c r="AD17" s="605" t="s">
        <v>59</v>
      </c>
      <c r="AE17" s="606"/>
      <c r="AF17" s="607"/>
      <c r="AG17" s="66"/>
      <c r="BD17" s="65" t="s">
        <v>60</v>
      </c>
    </row>
    <row r="18" spans="1:68" ht="14.25" customHeight="1" x14ac:dyDescent="0.2">
      <c r="A18" s="568"/>
      <c r="B18" s="568"/>
      <c r="C18" s="568"/>
      <c r="D18" s="565"/>
      <c r="E18" s="566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5"/>
      <c r="Q18" s="798"/>
      <c r="R18" s="798"/>
      <c r="S18" s="798"/>
      <c r="T18" s="566"/>
      <c r="U18" s="67" t="s">
        <v>61</v>
      </c>
      <c r="V18" s="67" t="s">
        <v>62</v>
      </c>
      <c r="W18" s="568"/>
      <c r="X18" s="568"/>
      <c r="Y18" s="573"/>
      <c r="Z18" s="681"/>
      <c r="AA18" s="653"/>
      <c r="AB18" s="653"/>
      <c r="AC18" s="653"/>
      <c r="AD18" s="608"/>
      <c r="AE18" s="609"/>
      <c r="AF18" s="610"/>
      <c r="AG18" s="66"/>
      <c r="BD18" s="65"/>
    </row>
    <row r="19" spans="1:68" ht="27.75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customHeight="1" x14ac:dyDescent="0.25">
      <c r="A20" s="59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60">
        <v>4680115886643</v>
      </c>
      <c r="E22" s="56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7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3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3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60">
        <v>4680115885912</v>
      </c>
      <c r="E26" s="56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60">
        <v>4607091388237</v>
      </c>
      <c r="E27" s="56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60">
        <v>4680115887350</v>
      </c>
      <c r="E28" s="56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60">
        <v>4680115885905</v>
      </c>
      <c r="E29" s="56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60">
        <v>4607091388244</v>
      </c>
      <c r="E30" s="56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3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3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9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60">
        <v>4607091388503</v>
      </c>
      <c r="E34" s="56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3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3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644" t="s">
        <v>99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customHeight="1" x14ac:dyDescent="0.25">
      <c r="A38" s="596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59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60">
        <v>4607091385670</v>
      </c>
      <c r="E40" s="561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4"/>
      <c r="V40" s="34"/>
      <c r="W40" s="35" t="s">
        <v>69</v>
      </c>
      <c r="X40" s="543">
        <v>800</v>
      </c>
      <c r="Y40" s="544">
        <f>IFERROR(IF(X40="",0,CEILING((X40/$H40),1)*$H40),"")</f>
        <v>810</v>
      </c>
      <c r="Z40" s="36">
        <f>IFERROR(IF(Y40=0,"",ROUNDUP(Y40/H40,0)*0.01898),"")</f>
        <v>1.4235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832.22222222222217</v>
      </c>
      <c r="BN40" s="64">
        <f>IFERROR(Y40*I40/H40,"0")</f>
        <v>842.625</v>
      </c>
      <c r="BO40" s="64">
        <f>IFERROR(1/J40*(X40/H40),"0")</f>
        <v>1.1574074074074074</v>
      </c>
      <c r="BP40" s="64">
        <f>IFERROR(1/J40*(Y40/H40),"0")</f>
        <v>1.171875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60">
        <v>4607091385687</v>
      </c>
      <c r="E41" s="561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4"/>
      <c r="V41" s="34"/>
      <c r="W41" s="35" t="s">
        <v>69</v>
      </c>
      <c r="X41" s="543">
        <v>120</v>
      </c>
      <c r="Y41" s="544">
        <f>IFERROR(IF(X41="",0,CEILING((X41/$H41),1)*$H41),"")</f>
        <v>120</v>
      </c>
      <c r="Z41" s="36">
        <f>IFERROR(IF(Y41=0,"",ROUNDUP(Y41/H41,0)*0.00902),"")</f>
        <v>0.27060000000000001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126.3</v>
      </c>
      <c r="BN41" s="64">
        <f>IFERROR(Y41*I41/H41,"0")</f>
        <v>126.3</v>
      </c>
      <c r="BO41" s="64">
        <f>IFERROR(1/J41*(X41/H41),"0")</f>
        <v>0.22727272727272729</v>
      </c>
      <c r="BP41" s="64">
        <f>IFERROR(1/J41*(Y41/H41),"0")</f>
        <v>0.22727272727272729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60">
        <v>4680115882539</v>
      </c>
      <c r="E42" s="561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3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5">
        <f>IFERROR(X40/H40,"0")+IFERROR(X41/H41,"0")+IFERROR(X42/H42,"0")</f>
        <v>104.07407407407408</v>
      </c>
      <c r="Y43" s="545">
        <f>IFERROR(Y40/H40,"0")+IFERROR(Y41/H41,"0")+IFERROR(Y42/H42,"0")</f>
        <v>105</v>
      </c>
      <c r="Z43" s="545">
        <f>IFERROR(IF(Z40="",0,Z40),"0")+IFERROR(IF(Z41="",0,Z41),"0")+IFERROR(IF(Z42="",0,Z42),"0")</f>
        <v>1.6940999999999999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3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5">
        <f>IFERROR(SUM(X40:X42),"0")</f>
        <v>920</v>
      </c>
      <c r="Y44" s="545">
        <f>IFERROR(SUM(Y40:Y42),"0")</f>
        <v>930</v>
      </c>
      <c r="Z44" s="37"/>
      <c r="AA44" s="546"/>
      <c r="AB44" s="546"/>
      <c r="AC44" s="546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60">
        <v>4680115884915</v>
      </c>
      <c r="E46" s="56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3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3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96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59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60">
        <v>4680115885882</v>
      </c>
      <c r="E51" s="561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60">
        <v>4680115881426</v>
      </c>
      <c r="E52" s="561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8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60">
        <v>4680115880283</v>
      </c>
      <c r="E53" s="561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60">
        <v>4680115881525</v>
      </c>
      <c r="E54" s="561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60">
        <v>4680115885899</v>
      </c>
      <c r="E55" s="56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60">
        <v>4680115881419</v>
      </c>
      <c r="E56" s="561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3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3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customHeight="1" x14ac:dyDescent="0.25">
      <c r="A59" s="559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60">
        <v>4680115881440</v>
      </c>
      <c r="E60" s="561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4"/>
      <c r="V60" s="34"/>
      <c r="W60" s="35" t="s">
        <v>69</v>
      </c>
      <c r="X60" s="543">
        <v>1300</v>
      </c>
      <c r="Y60" s="544">
        <f>IFERROR(IF(X60="",0,CEILING((X60/$H60),1)*$H60),"")</f>
        <v>1306.8000000000002</v>
      </c>
      <c r="Z60" s="36">
        <f>IFERROR(IF(Y60=0,"",ROUNDUP(Y60/H60,0)*0.01898),"")</f>
        <v>2.2965800000000001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1352.3611111111111</v>
      </c>
      <c r="BN60" s="64">
        <f>IFERROR(Y60*I60/H60,"0")</f>
        <v>1359.4349999999999</v>
      </c>
      <c r="BO60" s="64">
        <f>IFERROR(1/J60*(X60/H60),"0")</f>
        <v>1.880787037037037</v>
      </c>
      <c r="BP60" s="64">
        <f>IFERROR(1/J60*(Y60/H60),"0")</f>
        <v>1.8906250000000002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60">
        <v>4680115885950</v>
      </c>
      <c r="E61" s="56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60">
        <v>4680115881433</v>
      </c>
      <c r="E62" s="56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4"/>
      <c r="V62" s="34"/>
      <c r="W62" s="35" t="s">
        <v>69</v>
      </c>
      <c r="X62" s="543">
        <v>491</v>
      </c>
      <c r="Y62" s="544">
        <f>IFERROR(IF(X62="",0,CEILING((X62/$H62),1)*$H62),"")</f>
        <v>491.40000000000003</v>
      </c>
      <c r="Z62" s="36">
        <f>IFERROR(IF(Y62=0,"",ROUNDUP(Y62/H62,0)*0.00651),"")</f>
        <v>1.18482</v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523.73333333333323</v>
      </c>
      <c r="BN62" s="64">
        <f>IFERROR(Y62*I62/H62,"0")</f>
        <v>524.16</v>
      </c>
      <c r="BO62" s="64">
        <f>IFERROR(1/J62*(X62/H62),"0")</f>
        <v>0.99918599918599926</v>
      </c>
      <c r="BP62" s="64">
        <f>IFERROR(1/J62*(Y62/H62),"0")</f>
        <v>1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3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5">
        <f>IFERROR(X60/H60,"0")+IFERROR(X61/H61,"0")+IFERROR(X62/H62,"0")</f>
        <v>302.22222222222223</v>
      </c>
      <c r="Y63" s="545">
        <f>IFERROR(Y60/H60,"0")+IFERROR(Y61/H61,"0")+IFERROR(Y62/H62,"0")</f>
        <v>303</v>
      </c>
      <c r="Z63" s="545">
        <f>IFERROR(IF(Z60="",0,Z60),"0")+IFERROR(IF(Z61="",0,Z61),"0")+IFERROR(IF(Z62="",0,Z62),"0")</f>
        <v>3.4813999999999998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3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5">
        <f>IFERROR(SUM(X60:X62),"0")</f>
        <v>1791</v>
      </c>
      <c r="Y64" s="545">
        <f>IFERROR(SUM(Y60:Y62),"0")</f>
        <v>1798.2000000000003</v>
      </c>
      <c r="Z64" s="37"/>
      <c r="AA64" s="546"/>
      <c r="AB64" s="546"/>
      <c r="AC64" s="546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60">
        <v>4680115885073</v>
      </c>
      <c r="E66" s="56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60">
        <v>4680115885059</v>
      </c>
      <c r="E67" s="56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60">
        <v>4680115885097</v>
      </c>
      <c r="E68" s="56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1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3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3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16.5" customHeight="1" x14ac:dyDescent="0.25">
      <c r="A72" s="54" t="s">
        <v>153</v>
      </c>
      <c r="B72" s="54" t="s">
        <v>154</v>
      </c>
      <c r="C72" s="31">
        <v>4301051838</v>
      </c>
      <c r="D72" s="560">
        <v>4680115881891</v>
      </c>
      <c r="E72" s="561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60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1"/>
      <c r="R72" s="551"/>
      <c r="S72" s="551"/>
      <c r="T72" s="552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60">
        <v>4680115885769</v>
      </c>
      <c r="E73" s="561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1"/>
      <c r="R73" s="551"/>
      <c r="S73" s="551"/>
      <c r="T73" s="552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60">
        <v>4680115884311</v>
      </c>
      <c r="E74" s="561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1"/>
      <c r="R74" s="551"/>
      <c r="S74" s="551"/>
      <c r="T74" s="552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60">
        <v>4680115885929</v>
      </c>
      <c r="E75" s="561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61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1"/>
      <c r="R75" s="551"/>
      <c r="S75" s="551"/>
      <c r="T75" s="552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60">
        <v>4680115884403</v>
      </c>
      <c r="E76" s="561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1"/>
      <c r="R76" s="551"/>
      <c r="S76" s="551"/>
      <c r="T76" s="552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4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3" t="s">
        <v>71</v>
      </c>
      <c r="Q77" s="548"/>
      <c r="R77" s="548"/>
      <c r="S77" s="548"/>
      <c r="T77" s="548"/>
      <c r="U77" s="548"/>
      <c r="V77" s="549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5"/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6"/>
      <c r="P78" s="553" t="s">
        <v>71</v>
      </c>
      <c r="Q78" s="548"/>
      <c r="R78" s="548"/>
      <c r="S78" s="548"/>
      <c r="T78" s="548"/>
      <c r="U78" s="548"/>
      <c r="V78" s="549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customHeight="1" x14ac:dyDescent="0.25">
      <c r="A79" s="559" t="s">
        <v>166</v>
      </c>
      <c r="B79" s="555"/>
      <c r="C79" s="555"/>
      <c r="D79" s="555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60">
        <v>4680115881532</v>
      </c>
      <c r="E80" s="561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1"/>
      <c r="R80" s="551"/>
      <c r="S80" s="551"/>
      <c r="T80" s="552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60">
        <v>4680115881464</v>
      </c>
      <c r="E81" s="561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8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1"/>
      <c r="R81" s="551"/>
      <c r="S81" s="551"/>
      <c r="T81" s="552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4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3" t="s">
        <v>71</v>
      </c>
      <c r="Q82" s="548"/>
      <c r="R82" s="548"/>
      <c r="S82" s="548"/>
      <c r="T82" s="548"/>
      <c r="U82" s="548"/>
      <c r="V82" s="549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5"/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6"/>
      <c r="P83" s="553" t="s">
        <v>71</v>
      </c>
      <c r="Q83" s="548"/>
      <c r="R83" s="548"/>
      <c r="S83" s="548"/>
      <c r="T83" s="548"/>
      <c r="U83" s="548"/>
      <c r="V83" s="549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96" t="s">
        <v>173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8"/>
      <c r="AB84" s="538"/>
      <c r="AC84" s="538"/>
    </row>
    <row r="85" spans="1:68" ht="14.25" customHeight="1" x14ac:dyDescent="0.25">
      <c r="A85" s="559" t="s">
        <v>101</v>
      </c>
      <c r="B85" s="555"/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55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60">
        <v>4680115881327</v>
      </c>
      <c r="E86" s="561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1"/>
      <c r="R86" s="551"/>
      <c r="S86" s="551"/>
      <c r="T86" s="552"/>
      <c r="U86" s="34"/>
      <c r="V86" s="34"/>
      <c r="W86" s="35" t="s">
        <v>69</v>
      </c>
      <c r="X86" s="543">
        <v>200</v>
      </c>
      <c r="Y86" s="544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208.05555555555554</v>
      </c>
      <c r="BN86" s="64">
        <f>IFERROR(Y86*I86/H86,"0")</f>
        <v>213.46499999999997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1"/>
      <c r="R87" s="551"/>
      <c r="S87" s="551"/>
      <c r="T87" s="552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1"/>
      <c r="R88" s="551"/>
      <c r="S88" s="551"/>
      <c r="T88" s="552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4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3" t="s">
        <v>71</v>
      </c>
      <c r="Q89" s="548"/>
      <c r="R89" s="548"/>
      <c r="S89" s="548"/>
      <c r="T89" s="548"/>
      <c r="U89" s="548"/>
      <c r="V89" s="549"/>
      <c r="W89" s="37" t="s">
        <v>72</v>
      </c>
      <c r="X89" s="545">
        <f>IFERROR(X86/H86,"0")+IFERROR(X87/H87,"0")+IFERROR(X88/H88,"0")</f>
        <v>18.518518518518519</v>
      </c>
      <c r="Y89" s="545">
        <f>IFERROR(Y86/H86,"0")+IFERROR(Y87/H87,"0")+IFERROR(Y88/H88,"0")</f>
        <v>19</v>
      </c>
      <c r="Z89" s="545">
        <f>IFERROR(IF(Z86="",0,Z86),"0")+IFERROR(IF(Z87="",0,Z87),"0")+IFERROR(IF(Z88="",0,Z88),"0")</f>
        <v>0.36062</v>
      </c>
      <c r="AA89" s="546"/>
      <c r="AB89" s="546"/>
      <c r="AC89" s="546"/>
    </row>
    <row r="90" spans="1:68" x14ac:dyDescent="0.2">
      <c r="A90" s="555"/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6"/>
      <c r="P90" s="553" t="s">
        <v>71</v>
      </c>
      <c r="Q90" s="548"/>
      <c r="R90" s="548"/>
      <c r="S90" s="548"/>
      <c r="T90" s="548"/>
      <c r="U90" s="548"/>
      <c r="V90" s="549"/>
      <c r="W90" s="37" t="s">
        <v>69</v>
      </c>
      <c r="X90" s="545">
        <f>IFERROR(SUM(X86:X88),"0")</f>
        <v>200</v>
      </c>
      <c r="Y90" s="545">
        <f>IFERROR(SUM(Y86:Y88),"0")</f>
        <v>205.20000000000002</v>
      </c>
      <c r="Z90" s="37"/>
      <c r="AA90" s="546"/>
      <c r="AB90" s="546"/>
      <c r="AC90" s="546"/>
    </row>
    <row r="91" spans="1:68" ht="14.25" customHeight="1" x14ac:dyDescent="0.25">
      <c r="A91" s="559" t="s">
        <v>73</v>
      </c>
      <c r="B91" s="55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5"/>
      <c r="V91" s="555"/>
      <c r="W91" s="555"/>
      <c r="X91" s="555"/>
      <c r="Y91" s="555"/>
      <c r="Z91" s="555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82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1"/>
      <c r="R92" s="551"/>
      <c r="S92" s="551"/>
      <c r="T92" s="552"/>
      <c r="U92" s="34"/>
      <c r="V92" s="34"/>
      <c r="W92" s="35" t="s">
        <v>69</v>
      </c>
      <c r="X92" s="543">
        <v>200</v>
      </c>
      <c r="Y92" s="544">
        <f>IFERROR(IF(X92="",0,CEILING((X92/$H92),1)*$H92),"")</f>
        <v>202.5</v>
      </c>
      <c r="Z92" s="36">
        <f>IFERROR(IF(Y92=0,"",ROUNDUP(Y92/H92,0)*0.01898),"")</f>
        <v>0.47450000000000003</v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212.81481481481481</v>
      </c>
      <c r="BN92" s="64">
        <f>IFERROR(Y92*I92/H92,"0")</f>
        <v>215.47499999999999</v>
      </c>
      <c r="BO92" s="64">
        <f>IFERROR(1/J92*(X92/H92),"0")</f>
        <v>0.38580246913580246</v>
      </c>
      <c r="BP92" s="64">
        <f>IFERROR(1/J92*(Y92/H92),"0")</f>
        <v>0.390625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68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1"/>
      <c r="R93" s="551"/>
      <c r="S93" s="551"/>
      <c r="T93" s="552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0">
        <v>4607091385731</v>
      </c>
      <c r="E94" s="561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1"/>
      <c r="R94" s="551"/>
      <c r="S94" s="551"/>
      <c r="T94" s="552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83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1"/>
      <c r="R95" s="551"/>
      <c r="S95" s="551"/>
      <c r="T95" s="552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4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3" t="s">
        <v>71</v>
      </c>
      <c r="Q96" s="548"/>
      <c r="R96" s="548"/>
      <c r="S96" s="548"/>
      <c r="T96" s="548"/>
      <c r="U96" s="548"/>
      <c r="V96" s="549"/>
      <c r="W96" s="37" t="s">
        <v>72</v>
      </c>
      <c r="X96" s="545">
        <f>IFERROR(X92/H92,"0")+IFERROR(X93/H93,"0")+IFERROR(X94/H94,"0")+IFERROR(X95/H95,"0")</f>
        <v>24.691358024691358</v>
      </c>
      <c r="Y96" s="545">
        <f>IFERROR(Y92/H92,"0")+IFERROR(Y93/H93,"0")+IFERROR(Y94/H94,"0")+IFERROR(Y95/H95,"0")</f>
        <v>25</v>
      </c>
      <c r="Z96" s="545">
        <f>IFERROR(IF(Z92="",0,Z92),"0")+IFERROR(IF(Z93="",0,Z93),"0")+IFERROR(IF(Z94="",0,Z94),"0")+IFERROR(IF(Z95="",0,Z95),"0")</f>
        <v>0.47450000000000003</v>
      </c>
      <c r="AA96" s="546"/>
      <c r="AB96" s="546"/>
      <c r="AC96" s="546"/>
    </row>
    <row r="97" spans="1:68" x14ac:dyDescent="0.2">
      <c r="A97" s="555"/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6"/>
      <c r="P97" s="553" t="s">
        <v>71</v>
      </c>
      <c r="Q97" s="548"/>
      <c r="R97" s="548"/>
      <c r="S97" s="548"/>
      <c r="T97" s="548"/>
      <c r="U97" s="548"/>
      <c r="V97" s="549"/>
      <c r="W97" s="37" t="s">
        <v>69</v>
      </c>
      <c r="X97" s="545">
        <f>IFERROR(SUM(X92:X95),"0")</f>
        <v>200</v>
      </c>
      <c r="Y97" s="545">
        <f>IFERROR(SUM(Y92:Y95),"0")</f>
        <v>202.5</v>
      </c>
      <c r="Z97" s="37"/>
      <c r="AA97" s="546"/>
      <c r="AB97" s="546"/>
      <c r="AC97" s="546"/>
    </row>
    <row r="98" spans="1:68" ht="16.5" customHeight="1" x14ac:dyDescent="0.25">
      <c r="A98" s="596" t="s">
        <v>192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8"/>
      <c r="AB98" s="538"/>
      <c r="AC98" s="538"/>
    </row>
    <row r="99" spans="1:68" ht="14.25" customHeight="1" x14ac:dyDescent="0.25">
      <c r="A99" s="559" t="s">
        <v>101</v>
      </c>
      <c r="B99" s="555"/>
      <c r="C99" s="555"/>
      <c r="D99" s="555"/>
      <c r="E99" s="555"/>
      <c r="F99" s="555"/>
      <c r="G99" s="555"/>
      <c r="H99" s="555"/>
      <c r="I99" s="555"/>
      <c r="J99" s="555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  <c r="W99" s="555"/>
      <c r="X99" s="555"/>
      <c r="Y99" s="555"/>
      <c r="Z99" s="555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1"/>
      <c r="R100" s="551"/>
      <c r="S100" s="551"/>
      <c r="T100" s="552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60">
        <v>4680115880269</v>
      </c>
      <c r="E101" s="561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4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1"/>
      <c r="R101" s="551"/>
      <c r="S101" s="551"/>
      <c r="T101" s="552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60">
        <v>4680115880429</v>
      </c>
      <c r="E102" s="561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6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1"/>
      <c r="R102" s="551"/>
      <c r="S102" s="551"/>
      <c r="T102" s="552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60">
        <v>4680115881457</v>
      </c>
      <c r="E103" s="561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1"/>
      <c r="R103" s="551"/>
      <c r="S103" s="551"/>
      <c r="T103" s="552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4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3" t="s">
        <v>71</v>
      </c>
      <c r="Q104" s="548"/>
      <c r="R104" s="548"/>
      <c r="S104" s="548"/>
      <c r="T104" s="548"/>
      <c r="U104" s="548"/>
      <c r="V104" s="549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6"/>
      <c r="P105" s="553" t="s">
        <v>71</v>
      </c>
      <c r="Q105" s="548"/>
      <c r="R105" s="548"/>
      <c r="S105" s="548"/>
      <c r="T105" s="548"/>
      <c r="U105" s="548"/>
      <c r="V105" s="549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customHeight="1" x14ac:dyDescent="0.25">
      <c r="A106" s="559" t="s">
        <v>136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39"/>
      <c r="AB106" s="539"/>
      <c r="AC106" s="539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60">
        <v>4680115881488</v>
      </c>
      <c r="E107" s="561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64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1"/>
      <c r="R107" s="551"/>
      <c r="S107" s="551"/>
      <c r="T107" s="552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60">
        <v>4680115882775</v>
      </c>
      <c r="E108" s="561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6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1"/>
      <c r="R108" s="551"/>
      <c r="S108" s="551"/>
      <c r="T108" s="552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60">
        <v>4680115880658</v>
      </c>
      <c r="E109" s="561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67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1"/>
      <c r="R109" s="551"/>
      <c r="S109" s="551"/>
      <c r="T109" s="552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4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3" t="s">
        <v>71</v>
      </c>
      <c r="Q110" s="548"/>
      <c r="R110" s="548"/>
      <c r="S110" s="548"/>
      <c r="T110" s="548"/>
      <c r="U110" s="548"/>
      <c r="V110" s="549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5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6"/>
      <c r="P111" s="553" t="s">
        <v>71</v>
      </c>
      <c r="Q111" s="548"/>
      <c r="R111" s="548"/>
      <c r="S111" s="548"/>
      <c r="T111" s="548"/>
      <c r="U111" s="548"/>
      <c r="V111" s="549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9" t="s">
        <v>73</v>
      </c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  <c r="W112" s="555"/>
      <c r="X112" s="555"/>
      <c r="Y112" s="555"/>
      <c r="Z112" s="555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60">
        <v>4607091385168</v>
      </c>
      <c r="E113" s="561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1"/>
      <c r="R113" s="551"/>
      <c r="S113" s="551"/>
      <c r="T113" s="552"/>
      <c r="U113" s="34"/>
      <c r="V113" s="34"/>
      <c r="W113" s="35" t="s">
        <v>69</v>
      </c>
      <c r="X113" s="543">
        <v>500</v>
      </c>
      <c r="Y113" s="544">
        <f>IFERROR(IF(X113="",0,CEILING((X113/$H113),1)*$H113),"")</f>
        <v>502.2</v>
      </c>
      <c r="Z113" s="36">
        <f>IFERROR(IF(Y113=0,"",ROUNDUP(Y113/H113,0)*0.01898),"")</f>
        <v>1.17676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531.66666666666674</v>
      </c>
      <c r="BN113" s="64">
        <f>IFERROR(Y113*I113/H113,"0")</f>
        <v>534.00599999999997</v>
      </c>
      <c r="BO113" s="64">
        <f>IFERROR(1/J113*(X113/H113),"0")</f>
        <v>0.96450617283950624</v>
      </c>
      <c r="BP113" s="64">
        <f>IFERROR(1/J113*(Y113/H113),"0")</f>
        <v>0.96875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60">
        <v>4607091383256</v>
      </c>
      <c r="E114" s="561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1"/>
      <c r="R114" s="551"/>
      <c r="S114" s="551"/>
      <c r="T114" s="552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60">
        <v>4607091385748</v>
      </c>
      <c r="E115" s="561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1"/>
      <c r="R115" s="551"/>
      <c r="S115" s="551"/>
      <c r="T115" s="552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60">
        <v>4680115884533</v>
      </c>
      <c r="E116" s="561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8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1"/>
      <c r="R116" s="551"/>
      <c r="S116" s="551"/>
      <c r="T116" s="552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4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3" t="s">
        <v>71</v>
      </c>
      <c r="Q117" s="548"/>
      <c r="R117" s="548"/>
      <c r="S117" s="548"/>
      <c r="T117" s="548"/>
      <c r="U117" s="548"/>
      <c r="V117" s="549"/>
      <c r="W117" s="37" t="s">
        <v>72</v>
      </c>
      <c r="X117" s="545">
        <f>IFERROR(X113/H113,"0")+IFERROR(X114/H114,"0")+IFERROR(X115/H115,"0")+IFERROR(X116/H116,"0")</f>
        <v>61.728395061728399</v>
      </c>
      <c r="Y117" s="545">
        <f>IFERROR(Y113/H113,"0")+IFERROR(Y114/H114,"0")+IFERROR(Y115/H115,"0")+IFERROR(Y116/H116,"0")</f>
        <v>62</v>
      </c>
      <c r="Z117" s="545">
        <f>IFERROR(IF(Z113="",0,Z113),"0")+IFERROR(IF(Z114="",0,Z114),"0")+IFERROR(IF(Z115="",0,Z115),"0")+IFERROR(IF(Z116="",0,Z116),"0")</f>
        <v>1.17676</v>
      </c>
      <c r="AA117" s="546"/>
      <c r="AB117" s="546"/>
      <c r="AC117" s="546"/>
    </row>
    <row r="118" spans="1:68" x14ac:dyDescent="0.2">
      <c r="A118" s="555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6"/>
      <c r="P118" s="553" t="s">
        <v>71</v>
      </c>
      <c r="Q118" s="548"/>
      <c r="R118" s="548"/>
      <c r="S118" s="548"/>
      <c r="T118" s="548"/>
      <c r="U118" s="548"/>
      <c r="V118" s="549"/>
      <c r="W118" s="37" t="s">
        <v>69</v>
      </c>
      <c r="X118" s="545">
        <f>IFERROR(SUM(X113:X116),"0")</f>
        <v>500</v>
      </c>
      <c r="Y118" s="545">
        <f>IFERROR(SUM(Y113:Y116),"0")</f>
        <v>502.2</v>
      </c>
      <c r="Z118" s="37"/>
      <c r="AA118" s="546"/>
      <c r="AB118" s="546"/>
      <c r="AC118" s="546"/>
    </row>
    <row r="119" spans="1:68" ht="14.25" customHeight="1" x14ac:dyDescent="0.25">
      <c r="A119" s="559" t="s">
        <v>166</v>
      </c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5"/>
      <c r="P119" s="555"/>
      <c r="Q119" s="555"/>
      <c r="R119" s="555"/>
      <c r="S119" s="555"/>
      <c r="T119" s="555"/>
      <c r="U119" s="555"/>
      <c r="V119" s="555"/>
      <c r="W119" s="555"/>
      <c r="X119" s="555"/>
      <c r="Y119" s="555"/>
      <c r="Z119" s="555"/>
      <c r="AA119" s="539"/>
      <c r="AB119" s="539"/>
      <c r="AC119" s="539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60">
        <v>4680115880238</v>
      </c>
      <c r="E120" s="561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8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1"/>
      <c r="R120" s="551"/>
      <c r="S120" s="551"/>
      <c r="T120" s="552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4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3" t="s">
        <v>71</v>
      </c>
      <c r="Q121" s="548"/>
      <c r="R121" s="548"/>
      <c r="S121" s="548"/>
      <c r="T121" s="548"/>
      <c r="U121" s="548"/>
      <c r="V121" s="549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6"/>
      <c r="P122" s="553" t="s">
        <v>71</v>
      </c>
      <c r="Q122" s="548"/>
      <c r="R122" s="548"/>
      <c r="S122" s="548"/>
      <c r="T122" s="548"/>
      <c r="U122" s="548"/>
      <c r="V122" s="549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96" t="s">
        <v>222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8"/>
      <c r="AB123" s="538"/>
      <c r="AC123" s="538"/>
    </row>
    <row r="124" spans="1:68" ht="14.25" customHeight="1" x14ac:dyDescent="0.25">
      <c r="A124" s="559" t="s">
        <v>101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60">
        <v>4680115882577</v>
      </c>
      <c r="E125" s="56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64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1"/>
      <c r="R125" s="551"/>
      <c r="S125" s="551"/>
      <c r="T125" s="552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60">
        <v>4680115882577</v>
      </c>
      <c r="E126" s="561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5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1"/>
      <c r="R126" s="551"/>
      <c r="S126" s="551"/>
      <c r="T126" s="552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4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3" t="s">
        <v>71</v>
      </c>
      <c r="Q127" s="548"/>
      <c r="R127" s="548"/>
      <c r="S127" s="548"/>
      <c r="T127" s="548"/>
      <c r="U127" s="548"/>
      <c r="V127" s="549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6"/>
      <c r="P128" s="553" t="s">
        <v>71</v>
      </c>
      <c r="Q128" s="548"/>
      <c r="R128" s="548"/>
      <c r="S128" s="548"/>
      <c r="T128" s="548"/>
      <c r="U128" s="548"/>
      <c r="V128" s="549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9" t="s">
        <v>64</v>
      </c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  <c r="W129" s="555"/>
      <c r="X129" s="555"/>
      <c r="Y129" s="555"/>
      <c r="Z129" s="555"/>
      <c r="AA129" s="539"/>
      <c r="AB129" s="539"/>
      <c r="AC129" s="539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60">
        <v>4680115883444</v>
      </c>
      <c r="E130" s="56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8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60">
        <v>4680115883444</v>
      </c>
      <c r="E131" s="561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7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1"/>
      <c r="R131" s="551"/>
      <c r="S131" s="551"/>
      <c r="T131" s="552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4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3" t="s">
        <v>71</v>
      </c>
      <c r="Q132" s="548"/>
      <c r="R132" s="548"/>
      <c r="S132" s="548"/>
      <c r="T132" s="548"/>
      <c r="U132" s="548"/>
      <c r="V132" s="549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5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6"/>
      <c r="P133" s="553" t="s">
        <v>71</v>
      </c>
      <c r="Q133" s="548"/>
      <c r="R133" s="548"/>
      <c r="S133" s="548"/>
      <c r="T133" s="548"/>
      <c r="U133" s="548"/>
      <c r="V133" s="549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9" t="s">
        <v>73</v>
      </c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  <c r="W134" s="555"/>
      <c r="X134" s="555"/>
      <c r="Y134" s="555"/>
      <c r="Z134" s="555"/>
      <c r="AA134" s="539"/>
      <c r="AB134" s="539"/>
      <c r="AC134" s="539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60">
        <v>4680115882584</v>
      </c>
      <c r="E135" s="56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62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1"/>
      <c r="R135" s="551"/>
      <c r="S135" s="551"/>
      <c r="T135" s="552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60">
        <v>4680115882584</v>
      </c>
      <c r="E136" s="561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5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1"/>
      <c r="R136" s="551"/>
      <c r="S136" s="551"/>
      <c r="T136" s="552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4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3" t="s">
        <v>71</v>
      </c>
      <c r="Q137" s="548"/>
      <c r="R137" s="548"/>
      <c r="S137" s="548"/>
      <c r="T137" s="548"/>
      <c r="U137" s="548"/>
      <c r="V137" s="549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5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6"/>
      <c r="P138" s="553" t="s">
        <v>71</v>
      </c>
      <c r="Q138" s="548"/>
      <c r="R138" s="548"/>
      <c r="S138" s="548"/>
      <c r="T138" s="548"/>
      <c r="U138" s="548"/>
      <c r="V138" s="549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96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8"/>
      <c r="AB139" s="538"/>
      <c r="AC139" s="538"/>
    </row>
    <row r="140" spans="1:68" ht="14.25" customHeight="1" x14ac:dyDescent="0.25">
      <c r="A140" s="559" t="s">
        <v>101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39"/>
      <c r="AB140" s="539"/>
      <c r="AC140" s="539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60">
        <v>4680115887374</v>
      </c>
      <c r="E141" s="561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1"/>
      <c r="R141" s="551"/>
      <c r="S141" s="551"/>
      <c r="T141" s="552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60">
        <v>4607091384604</v>
      </c>
      <c r="E142" s="561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1"/>
      <c r="R142" s="551"/>
      <c r="S142" s="551"/>
      <c r="T142" s="552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60">
        <v>4680115886810</v>
      </c>
      <c r="E143" s="561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0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1"/>
      <c r="R143" s="551"/>
      <c r="S143" s="551"/>
      <c r="T143" s="552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4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3" t="s">
        <v>71</v>
      </c>
      <c r="Q144" s="548"/>
      <c r="R144" s="548"/>
      <c r="S144" s="548"/>
      <c r="T144" s="548"/>
      <c r="U144" s="548"/>
      <c r="V144" s="549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6"/>
      <c r="P145" s="553" t="s">
        <v>71</v>
      </c>
      <c r="Q145" s="548"/>
      <c r="R145" s="548"/>
      <c r="S145" s="548"/>
      <c r="T145" s="548"/>
      <c r="U145" s="548"/>
      <c r="V145" s="549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customHeight="1" x14ac:dyDescent="0.25">
      <c r="A146" s="559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39"/>
      <c r="AB146" s="539"/>
      <c r="AC146" s="539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60">
        <v>4607091387667</v>
      </c>
      <c r="E147" s="561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1"/>
      <c r="R147" s="551"/>
      <c r="S147" s="551"/>
      <c r="T147" s="552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60">
        <v>4607091387636</v>
      </c>
      <c r="E148" s="561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8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1"/>
      <c r="R148" s="551"/>
      <c r="S148" s="551"/>
      <c r="T148" s="552"/>
      <c r="U148" s="34"/>
      <c r="V148" s="34"/>
      <c r="W148" s="35" t="s">
        <v>69</v>
      </c>
      <c r="X148" s="543">
        <v>25</v>
      </c>
      <c r="Y148" s="544">
        <f>IFERROR(IF(X148="",0,CEILING((X148/$H148),1)*$H148),"")</f>
        <v>25.200000000000003</v>
      </c>
      <c r="Z148" s="36">
        <f>IFERROR(IF(Y148=0,"",ROUNDUP(Y148/H148,0)*0.00651),"")</f>
        <v>3.9059999999999997E-2</v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26.607142857142858</v>
      </c>
      <c r="BN148" s="64">
        <f>IFERROR(Y148*I148/H148,"0")</f>
        <v>26.82</v>
      </c>
      <c r="BO148" s="64">
        <f>IFERROR(1/J148*(X148/H148),"0")</f>
        <v>3.2705389848246995E-2</v>
      </c>
      <c r="BP148" s="64">
        <f>IFERROR(1/J148*(Y148/H148),"0")</f>
        <v>3.2967032967032968E-2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60">
        <v>4607091382426</v>
      </c>
      <c r="E149" s="561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57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1"/>
      <c r="R149" s="551"/>
      <c r="S149" s="551"/>
      <c r="T149" s="552"/>
      <c r="U149" s="34"/>
      <c r="V149" s="34"/>
      <c r="W149" s="35" t="s">
        <v>69</v>
      </c>
      <c r="X149" s="543">
        <v>250</v>
      </c>
      <c r="Y149" s="544">
        <f>IFERROR(IF(X149="",0,CEILING((X149/$H149),1)*$H149),"")</f>
        <v>252</v>
      </c>
      <c r="Z149" s="36">
        <f>IFERROR(IF(Y149=0,"",ROUNDUP(Y149/H149,0)*0.01898),"")</f>
        <v>0.53144000000000002</v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266.25</v>
      </c>
      <c r="BN149" s="64">
        <f>IFERROR(Y149*I149/H149,"0")</f>
        <v>268.38</v>
      </c>
      <c r="BO149" s="64">
        <f>IFERROR(1/J149*(X149/H149),"0")</f>
        <v>0.43402777777777779</v>
      </c>
      <c r="BP149" s="64">
        <f>IFERROR(1/J149*(Y149/H149),"0")</f>
        <v>0.4375</v>
      </c>
    </row>
    <row r="150" spans="1:68" x14ac:dyDescent="0.2">
      <c r="A150" s="554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3" t="s">
        <v>71</v>
      </c>
      <c r="Q150" s="548"/>
      <c r="R150" s="548"/>
      <c r="S150" s="548"/>
      <c r="T150" s="548"/>
      <c r="U150" s="548"/>
      <c r="V150" s="549"/>
      <c r="W150" s="37" t="s">
        <v>72</v>
      </c>
      <c r="X150" s="545">
        <f>IFERROR(X147/H147,"0")+IFERROR(X148/H148,"0")+IFERROR(X149/H149,"0")</f>
        <v>33.730158730158735</v>
      </c>
      <c r="Y150" s="545">
        <f>IFERROR(Y147/H147,"0")+IFERROR(Y148/H148,"0")+IFERROR(Y149/H149,"0")</f>
        <v>34</v>
      </c>
      <c r="Z150" s="545">
        <f>IFERROR(IF(Z147="",0,Z147),"0")+IFERROR(IF(Z148="",0,Z148),"0")+IFERROR(IF(Z149="",0,Z149),"0")</f>
        <v>0.57050000000000001</v>
      </c>
      <c r="AA150" s="546"/>
      <c r="AB150" s="546"/>
      <c r="AC150" s="546"/>
    </row>
    <row r="151" spans="1:68" x14ac:dyDescent="0.2">
      <c r="A151" s="555"/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6"/>
      <c r="P151" s="553" t="s">
        <v>71</v>
      </c>
      <c r="Q151" s="548"/>
      <c r="R151" s="548"/>
      <c r="S151" s="548"/>
      <c r="T151" s="548"/>
      <c r="U151" s="548"/>
      <c r="V151" s="549"/>
      <c r="W151" s="37" t="s">
        <v>69</v>
      </c>
      <c r="X151" s="545">
        <f>IFERROR(SUM(X147:X149),"0")</f>
        <v>275</v>
      </c>
      <c r="Y151" s="545">
        <f>IFERROR(SUM(Y147:Y149),"0")</f>
        <v>277.2</v>
      </c>
      <c r="Z151" s="37"/>
      <c r="AA151" s="546"/>
      <c r="AB151" s="546"/>
      <c r="AC151" s="546"/>
    </row>
    <row r="152" spans="1:68" ht="14.25" customHeight="1" x14ac:dyDescent="0.25">
      <c r="A152" s="559" t="s">
        <v>73</v>
      </c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5"/>
      <c r="P152" s="555"/>
      <c r="Q152" s="555"/>
      <c r="R152" s="555"/>
      <c r="S152" s="555"/>
      <c r="T152" s="555"/>
      <c r="U152" s="555"/>
      <c r="V152" s="555"/>
      <c r="W152" s="555"/>
      <c r="X152" s="555"/>
      <c r="Y152" s="555"/>
      <c r="Z152" s="555"/>
      <c r="AA152" s="539"/>
      <c r="AB152" s="539"/>
      <c r="AC152" s="539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60">
        <v>4680115887459</v>
      </c>
      <c r="E153" s="561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60" t="s">
        <v>255</v>
      </c>
      <c r="Q153" s="551"/>
      <c r="R153" s="551"/>
      <c r="S153" s="551"/>
      <c r="T153" s="552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4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3" t="s">
        <v>71</v>
      </c>
      <c r="Q154" s="548"/>
      <c r="R154" s="548"/>
      <c r="S154" s="548"/>
      <c r="T154" s="548"/>
      <c r="U154" s="548"/>
      <c r="V154" s="549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5"/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6"/>
      <c r="P155" s="553" t="s">
        <v>71</v>
      </c>
      <c r="Q155" s="548"/>
      <c r="R155" s="548"/>
      <c r="S155" s="548"/>
      <c r="T155" s="548"/>
      <c r="U155" s="548"/>
      <c r="V155" s="549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customHeight="1" x14ac:dyDescent="0.2">
      <c r="A156" s="644" t="s">
        <v>257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customHeight="1" x14ac:dyDescent="0.25">
      <c r="A157" s="596" t="s">
        <v>258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8"/>
      <c r="AB157" s="538"/>
      <c r="AC157" s="538"/>
    </row>
    <row r="158" spans="1:68" ht="14.25" customHeight="1" x14ac:dyDescent="0.25">
      <c r="A158" s="559" t="s">
        <v>136</v>
      </c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5"/>
      <c r="P158" s="555"/>
      <c r="Q158" s="555"/>
      <c r="R158" s="555"/>
      <c r="S158" s="555"/>
      <c r="T158" s="555"/>
      <c r="U158" s="555"/>
      <c r="V158" s="555"/>
      <c r="W158" s="555"/>
      <c r="X158" s="555"/>
      <c r="Y158" s="555"/>
      <c r="Z158" s="555"/>
      <c r="AA158" s="539"/>
      <c r="AB158" s="539"/>
      <c r="AC158" s="539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60">
        <v>4680115886223</v>
      </c>
      <c r="E159" s="561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1"/>
      <c r="R159" s="551"/>
      <c r="S159" s="551"/>
      <c r="T159" s="552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4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3" t="s">
        <v>71</v>
      </c>
      <c r="Q160" s="548"/>
      <c r="R160" s="548"/>
      <c r="S160" s="548"/>
      <c r="T160" s="548"/>
      <c r="U160" s="548"/>
      <c r="V160" s="549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x14ac:dyDescent="0.2">
      <c r="A161" s="555"/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6"/>
      <c r="P161" s="553" t="s">
        <v>71</v>
      </c>
      <c r="Q161" s="548"/>
      <c r="R161" s="548"/>
      <c r="S161" s="548"/>
      <c r="T161" s="548"/>
      <c r="U161" s="548"/>
      <c r="V161" s="549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customHeight="1" x14ac:dyDescent="0.25">
      <c r="A162" s="559" t="s">
        <v>64</v>
      </c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5"/>
      <c r="P162" s="555"/>
      <c r="Q162" s="555"/>
      <c r="R162" s="555"/>
      <c r="S162" s="555"/>
      <c r="T162" s="555"/>
      <c r="U162" s="555"/>
      <c r="V162" s="555"/>
      <c r="W162" s="555"/>
      <c r="X162" s="555"/>
      <c r="Y162" s="555"/>
      <c r="Z162" s="555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60">
        <v>4680115880993</v>
      </c>
      <c r="E163" s="561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1"/>
      <c r="R163" s="551"/>
      <c r="S163" s="551"/>
      <c r="T163" s="552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60">
        <v>4680115881761</v>
      </c>
      <c r="E164" s="561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6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1"/>
      <c r="R164" s="551"/>
      <c r="S164" s="551"/>
      <c r="T164" s="552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60">
        <v>4680115881563</v>
      </c>
      <c r="E165" s="561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1"/>
      <c r="R165" s="551"/>
      <c r="S165" s="551"/>
      <c r="T165" s="552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60">
        <v>4680115880986</v>
      </c>
      <c r="E166" s="56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8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1"/>
      <c r="R166" s="551"/>
      <c r="S166" s="551"/>
      <c r="T166" s="552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60">
        <v>4680115881785</v>
      </c>
      <c r="E167" s="56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7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1"/>
      <c r="R167" s="551"/>
      <c r="S167" s="551"/>
      <c r="T167" s="552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60">
        <v>4680115886537</v>
      </c>
      <c r="E168" s="56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1"/>
      <c r="R168" s="551"/>
      <c r="S168" s="551"/>
      <c r="T168" s="552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60">
        <v>4680115881679</v>
      </c>
      <c r="E169" s="56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77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1"/>
      <c r="R169" s="551"/>
      <c r="S169" s="551"/>
      <c r="T169" s="552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60">
        <v>4680115880191</v>
      </c>
      <c r="E170" s="56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7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1"/>
      <c r="R170" s="551"/>
      <c r="S170" s="551"/>
      <c r="T170" s="552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60">
        <v>4680115883963</v>
      </c>
      <c r="E171" s="56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1"/>
      <c r="R171" s="551"/>
      <c r="S171" s="551"/>
      <c r="T171" s="552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3" t="s">
        <v>71</v>
      </c>
      <c r="Q172" s="548"/>
      <c r="R172" s="548"/>
      <c r="S172" s="548"/>
      <c r="T172" s="548"/>
      <c r="U172" s="548"/>
      <c r="V172" s="549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3" t="s">
        <v>71</v>
      </c>
      <c r="Q173" s="548"/>
      <c r="R173" s="548"/>
      <c r="S173" s="548"/>
      <c r="T173" s="548"/>
      <c r="U173" s="548"/>
      <c r="V173" s="549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customHeight="1" x14ac:dyDescent="0.25">
      <c r="A174" s="559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60">
        <v>4680115886780</v>
      </c>
      <c r="E175" s="56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66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1"/>
      <c r="R175" s="551"/>
      <c r="S175" s="551"/>
      <c r="T175" s="552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60">
        <v>4680115886742</v>
      </c>
      <c r="E176" s="56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6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1"/>
      <c r="R176" s="551"/>
      <c r="S176" s="551"/>
      <c r="T176" s="552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60">
        <v>4680115886766</v>
      </c>
      <c r="E177" s="56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6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1"/>
      <c r="R177" s="551"/>
      <c r="S177" s="551"/>
      <c r="T177" s="552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3" t="s">
        <v>71</v>
      </c>
      <c r="Q178" s="548"/>
      <c r="R178" s="548"/>
      <c r="S178" s="548"/>
      <c r="T178" s="548"/>
      <c r="U178" s="548"/>
      <c r="V178" s="549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3" t="s">
        <v>71</v>
      </c>
      <c r="Q179" s="548"/>
      <c r="R179" s="548"/>
      <c r="S179" s="548"/>
      <c r="T179" s="548"/>
      <c r="U179" s="548"/>
      <c r="V179" s="549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9" t="s">
        <v>296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60">
        <v>4680115886797</v>
      </c>
      <c r="E181" s="56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5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1"/>
      <c r="R181" s="551"/>
      <c r="S181" s="551"/>
      <c r="T181" s="552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3" t="s">
        <v>71</v>
      </c>
      <c r="Q182" s="548"/>
      <c r="R182" s="548"/>
      <c r="S182" s="548"/>
      <c r="T182" s="548"/>
      <c r="U182" s="548"/>
      <c r="V182" s="549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3" t="s">
        <v>71</v>
      </c>
      <c r="Q183" s="548"/>
      <c r="R183" s="548"/>
      <c r="S183" s="548"/>
      <c r="T183" s="548"/>
      <c r="U183" s="548"/>
      <c r="V183" s="549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96" t="s">
        <v>299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59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60">
        <v>4680115881402</v>
      </c>
      <c r="E186" s="561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6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1"/>
      <c r="R186" s="551"/>
      <c r="S186" s="551"/>
      <c r="T186" s="552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60">
        <v>4680115881396</v>
      </c>
      <c r="E187" s="56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1"/>
      <c r="R187" s="551"/>
      <c r="S187" s="551"/>
      <c r="T187" s="552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3" t="s">
        <v>71</v>
      </c>
      <c r="Q188" s="548"/>
      <c r="R188" s="548"/>
      <c r="S188" s="548"/>
      <c r="T188" s="548"/>
      <c r="U188" s="548"/>
      <c r="V188" s="549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3" t="s">
        <v>71</v>
      </c>
      <c r="Q189" s="548"/>
      <c r="R189" s="548"/>
      <c r="S189" s="548"/>
      <c r="T189" s="548"/>
      <c r="U189" s="548"/>
      <c r="V189" s="549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9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60">
        <v>4680115882935</v>
      </c>
      <c r="E191" s="561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6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1"/>
      <c r="R191" s="551"/>
      <c r="S191" s="551"/>
      <c r="T191" s="552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60">
        <v>4680115880764</v>
      </c>
      <c r="E192" s="56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7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1"/>
      <c r="R192" s="551"/>
      <c r="S192" s="551"/>
      <c r="T192" s="552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3" t="s">
        <v>71</v>
      </c>
      <c r="Q193" s="548"/>
      <c r="R193" s="548"/>
      <c r="S193" s="548"/>
      <c r="T193" s="548"/>
      <c r="U193" s="548"/>
      <c r="V193" s="549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3" t="s">
        <v>71</v>
      </c>
      <c r="Q194" s="548"/>
      <c r="R194" s="548"/>
      <c r="S194" s="548"/>
      <c r="T194" s="548"/>
      <c r="U194" s="548"/>
      <c r="V194" s="549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9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0">
        <v>4680115882683</v>
      </c>
      <c r="E196" s="561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1"/>
      <c r="R196" s="551"/>
      <c r="S196" s="551"/>
      <c r="T196" s="552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0">
        <v>4680115882690</v>
      </c>
      <c r="E197" s="561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8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1"/>
      <c r="R197" s="551"/>
      <c r="S197" s="551"/>
      <c r="T197" s="552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60">
        <v>4680115882669</v>
      </c>
      <c r="E198" s="561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1"/>
      <c r="R198" s="551"/>
      <c r="S198" s="551"/>
      <c r="T198" s="552"/>
      <c r="U198" s="34"/>
      <c r="V198" s="34"/>
      <c r="W198" s="35" t="s">
        <v>69</v>
      </c>
      <c r="X198" s="543">
        <v>200</v>
      </c>
      <c r="Y198" s="544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207.77777777777777</v>
      </c>
      <c r="BN198" s="64">
        <f t="shared" si="12"/>
        <v>213.18000000000004</v>
      </c>
      <c r="BO198" s="64">
        <f t="shared" si="13"/>
        <v>0.28058361391694725</v>
      </c>
      <c r="BP198" s="64">
        <f t="shared" si="14"/>
        <v>0.2878787878787879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0">
        <v>4680115882676</v>
      </c>
      <c r="E199" s="561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57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1"/>
      <c r="R199" s="551"/>
      <c r="S199" s="551"/>
      <c r="T199" s="552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60">
        <v>4680115884014</v>
      </c>
      <c r="E200" s="56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5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1"/>
      <c r="R200" s="551"/>
      <c r="S200" s="551"/>
      <c r="T200" s="552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60">
        <v>4680115884007</v>
      </c>
      <c r="E201" s="56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6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1"/>
      <c r="R201" s="551"/>
      <c r="S201" s="551"/>
      <c r="T201" s="552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60">
        <v>4680115884038</v>
      </c>
      <c r="E202" s="56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5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1"/>
      <c r="R202" s="551"/>
      <c r="S202" s="551"/>
      <c r="T202" s="552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60">
        <v>4680115884021</v>
      </c>
      <c r="E203" s="56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1"/>
      <c r="R203" s="551"/>
      <c r="S203" s="551"/>
      <c r="T203" s="552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3" t="s">
        <v>71</v>
      </c>
      <c r="Q204" s="548"/>
      <c r="R204" s="548"/>
      <c r="S204" s="548"/>
      <c r="T204" s="548"/>
      <c r="U204" s="548"/>
      <c r="V204" s="549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37.037037037037038</v>
      </c>
      <c r="Y204" s="545">
        <f>IFERROR(Y196/H196,"0")+IFERROR(Y197/H197,"0")+IFERROR(Y198/H198,"0")+IFERROR(Y199/H199,"0")+IFERROR(Y200/H200,"0")+IFERROR(Y201/H201,"0")+IFERROR(Y202/H202,"0")+IFERROR(Y203/H203,"0")</f>
        <v>38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0.34276000000000001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3" t="s">
        <v>71</v>
      </c>
      <c r="Q205" s="548"/>
      <c r="R205" s="548"/>
      <c r="S205" s="548"/>
      <c r="T205" s="548"/>
      <c r="U205" s="548"/>
      <c r="V205" s="549"/>
      <c r="W205" s="37" t="s">
        <v>69</v>
      </c>
      <c r="X205" s="545">
        <f>IFERROR(SUM(X196:X203),"0")</f>
        <v>200</v>
      </c>
      <c r="Y205" s="545">
        <f>IFERROR(SUM(Y196:Y203),"0")</f>
        <v>205.20000000000002</v>
      </c>
      <c r="Z205" s="37"/>
      <c r="AA205" s="546"/>
      <c r="AB205" s="546"/>
      <c r="AC205" s="546"/>
    </row>
    <row r="206" spans="1:68" ht="14.25" customHeight="1" x14ac:dyDescent="0.25">
      <c r="A206" s="559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60">
        <v>4680115881594</v>
      </c>
      <c r="E207" s="561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1"/>
      <c r="R207" s="551"/>
      <c r="S207" s="551"/>
      <c r="T207" s="552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60">
        <v>4680115881617</v>
      </c>
      <c r="E208" s="561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7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1"/>
      <c r="R208" s="551"/>
      <c r="S208" s="551"/>
      <c r="T208" s="552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60">
        <v>4680115880573</v>
      </c>
      <c r="E209" s="561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83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1"/>
      <c r="R209" s="551"/>
      <c r="S209" s="551"/>
      <c r="T209" s="552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60">
        <v>4680115882195</v>
      </c>
      <c r="E210" s="56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1"/>
      <c r="R210" s="551"/>
      <c r="S210" s="551"/>
      <c r="T210" s="552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60">
        <v>4680115882607</v>
      </c>
      <c r="E211" s="56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1"/>
      <c r="R211" s="551"/>
      <c r="S211" s="551"/>
      <c r="T211" s="552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60">
        <v>4680115880092</v>
      </c>
      <c r="E212" s="56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1"/>
      <c r="R212" s="551"/>
      <c r="S212" s="551"/>
      <c r="T212" s="552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60">
        <v>4680115880221</v>
      </c>
      <c r="E213" s="56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1"/>
      <c r="R213" s="551"/>
      <c r="S213" s="551"/>
      <c r="T213" s="552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60">
        <v>4680115880504</v>
      </c>
      <c r="E214" s="56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6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1"/>
      <c r="R214" s="551"/>
      <c r="S214" s="551"/>
      <c r="T214" s="552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60">
        <v>4680115882164</v>
      </c>
      <c r="E215" s="56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8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1"/>
      <c r="R215" s="551"/>
      <c r="S215" s="551"/>
      <c r="T215" s="552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3" t="s">
        <v>71</v>
      </c>
      <c r="Q216" s="548"/>
      <c r="R216" s="548"/>
      <c r="S216" s="548"/>
      <c r="T216" s="548"/>
      <c r="U216" s="548"/>
      <c r="V216" s="549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3" t="s">
        <v>71</v>
      </c>
      <c r="Q217" s="548"/>
      <c r="R217" s="548"/>
      <c r="S217" s="548"/>
      <c r="T217" s="548"/>
      <c r="U217" s="548"/>
      <c r="V217" s="549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59" t="s">
        <v>166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60">
        <v>4680115880818</v>
      </c>
      <c r="E219" s="56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1"/>
      <c r="R219" s="551"/>
      <c r="S219" s="551"/>
      <c r="T219" s="552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60">
        <v>4680115880801</v>
      </c>
      <c r="E220" s="56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1"/>
      <c r="R220" s="551"/>
      <c r="S220" s="551"/>
      <c r="T220" s="552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3" t="s">
        <v>71</v>
      </c>
      <c r="Q221" s="548"/>
      <c r="R221" s="548"/>
      <c r="S221" s="548"/>
      <c r="T221" s="548"/>
      <c r="U221" s="548"/>
      <c r="V221" s="549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3" t="s">
        <v>71</v>
      </c>
      <c r="Q222" s="548"/>
      <c r="R222" s="548"/>
      <c r="S222" s="548"/>
      <c r="T222" s="548"/>
      <c r="U222" s="548"/>
      <c r="V222" s="549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96" t="s">
        <v>359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59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60">
        <v>4680115884137</v>
      </c>
      <c r="E225" s="561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5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1"/>
      <c r="R225" s="551"/>
      <c r="S225" s="551"/>
      <c r="T225" s="552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60">
        <v>4680115884236</v>
      </c>
      <c r="E226" s="561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4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1"/>
      <c r="R226" s="551"/>
      <c r="S226" s="551"/>
      <c r="T226" s="552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60">
        <v>4680115884175</v>
      </c>
      <c r="E227" s="561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6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1"/>
      <c r="R227" s="551"/>
      <c r="S227" s="551"/>
      <c r="T227" s="552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60">
        <v>4680115884144</v>
      </c>
      <c r="E228" s="561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5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1"/>
      <c r="R228" s="551"/>
      <c r="S228" s="551"/>
      <c r="T228" s="552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60">
        <v>4680115884144</v>
      </c>
      <c r="E229" s="561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1"/>
      <c r="R229" s="551"/>
      <c r="S229" s="551"/>
      <c r="T229" s="552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60">
        <v>4680115886551</v>
      </c>
      <c r="E230" s="561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1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1"/>
      <c r="R230" s="551"/>
      <c r="S230" s="551"/>
      <c r="T230" s="552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60">
        <v>4680115884182</v>
      </c>
      <c r="E231" s="561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1"/>
      <c r="R231" s="551"/>
      <c r="S231" s="551"/>
      <c r="T231" s="552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60">
        <v>4680115887282</v>
      </c>
      <c r="E232" s="56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1"/>
      <c r="R232" s="551"/>
      <c r="S232" s="551"/>
      <c r="T232" s="552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60">
        <v>4680115884205</v>
      </c>
      <c r="E233" s="561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1"/>
      <c r="R233" s="551"/>
      <c r="S233" s="551"/>
      <c r="T233" s="552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60">
        <v>4680115884205</v>
      </c>
      <c r="E234" s="561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1"/>
      <c r="R234" s="551"/>
      <c r="S234" s="551"/>
      <c r="T234" s="552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3" t="s">
        <v>71</v>
      </c>
      <c r="Q235" s="548"/>
      <c r="R235" s="548"/>
      <c r="S235" s="548"/>
      <c r="T235" s="548"/>
      <c r="U235" s="548"/>
      <c r="V235" s="549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3" t="s">
        <v>71</v>
      </c>
      <c r="Q236" s="548"/>
      <c r="R236" s="548"/>
      <c r="S236" s="548"/>
      <c r="T236" s="548"/>
      <c r="U236" s="548"/>
      <c r="V236" s="549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9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60">
        <v>4680115885981</v>
      </c>
      <c r="E238" s="56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1"/>
      <c r="R238" s="551"/>
      <c r="S238" s="551"/>
      <c r="T238" s="552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3" t="s">
        <v>71</v>
      </c>
      <c r="Q239" s="548"/>
      <c r="R239" s="548"/>
      <c r="S239" s="548"/>
      <c r="T239" s="548"/>
      <c r="U239" s="548"/>
      <c r="V239" s="549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3" t="s">
        <v>71</v>
      </c>
      <c r="Q240" s="548"/>
      <c r="R240" s="548"/>
      <c r="S240" s="548"/>
      <c r="T240" s="548"/>
      <c r="U240" s="548"/>
      <c r="V240" s="549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9" t="s">
        <v>385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60">
        <v>4680115886803</v>
      </c>
      <c r="E242" s="56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8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1"/>
      <c r="R242" s="551"/>
      <c r="S242" s="551"/>
      <c r="T242" s="552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3" t="s">
        <v>71</v>
      </c>
      <c r="Q243" s="548"/>
      <c r="R243" s="548"/>
      <c r="S243" s="548"/>
      <c r="T243" s="548"/>
      <c r="U243" s="548"/>
      <c r="V243" s="549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3" t="s">
        <v>71</v>
      </c>
      <c r="Q244" s="548"/>
      <c r="R244" s="548"/>
      <c r="S244" s="548"/>
      <c r="T244" s="548"/>
      <c r="U244" s="548"/>
      <c r="V244" s="549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9" t="s">
        <v>389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60">
        <v>4680115886704</v>
      </c>
      <c r="E246" s="56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7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1"/>
      <c r="R246" s="551"/>
      <c r="S246" s="551"/>
      <c r="T246" s="552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60">
        <v>4680115886681</v>
      </c>
      <c r="E247" s="56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6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1"/>
      <c r="R247" s="551"/>
      <c r="S247" s="551"/>
      <c r="T247" s="552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60">
        <v>4680115886735</v>
      </c>
      <c r="E248" s="56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1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1"/>
      <c r="R248" s="551"/>
      <c r="S248" s="551"/>
      <c r="T248" s="552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60">
        <v>4680115886728</v>
      </c>
      <c r="E249" s="56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8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1"/>
      <c r="R249" s="551"/>
      <c r="S249" s="551"/>
      <c r="T249" s="552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60">
        <v>4680115886711</v>
      </c>
      <c r="E250" s="56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1"/>
      <c r="R250" s="551"/>
      <c r="S250" s="551"/>
      <c r="T250" s="552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3" t="s">
        <v>71</v>
      </c>
      <c r="Q251" s="548"/>
      <c r="R251" s="548"/>
      <c r="S251" s="548"/>
      <c r="T251" s="548"/>
      <c r="U251" s="548"/>
      <c r="V251" s="549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3" t="s">
        <v>71</v>
      </c>
      <c r="Q252" s="548"/>
      <c r="R252" s="548"/>
      <c r="S252" s="548"/>
      <c r="T252" s="548"/>
      <c r="U252" s="548"/>
      <c r="V252" s="549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96" t="s">
        <v>401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59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60">
        <v>4680115885837</v>
      </c>
      <c r="E255" s="561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1"/>
      <c r="R255" s="551"/>
      <c r="S255" s="551"/>
      <c r="T255" s="552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60">
        <v>4680115885851</v>
      </c>
      <c r="E256" s="561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6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1"/>
      <c r="R256" s="551"/>
      <c r="S256" s="551"/>
      <c r="T256" s="552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60">
        <v>4680115885806</v>
      </c>
      <c r="E257" s="561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1"/>
      <c r="R257" s="551"/>
      <c r="S257" s="551"/>
      <c r="T257" s="552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60">
        <v>4680115885844</v>
      </c>
      <c r="E258" s="561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7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1"/>
      <c r="R258" s="551"/>
      <c r="S258" s="551"/>
      <c r="T258" s="552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60">
        <v>4680115885820</v>
      </c>
      <c r="E259" s="561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0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1"/>
      <c r="R259" s="551"/>
      <c r="S259" s="551"/>
      <c r="T259" s="552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3" t="s">
        <v>71</v>
      </c>
      <c r="Q260" s="548"/>
      <c r="R260" s="548"/>
      <c r="S260" s="548"/>
      <c r="T260" s="548"/>
      <c r="U260" s="548"/>
      <c r="V260" s="549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3" t="s">
        <v>71</v>
      </c>
      <c r="Q261" s="548"/>
      <c r="R261" s="548"/>
      <c r="S261" s="548"/>
      <c r="T261" s="548"/>
      <c r="U261" s="548"/>
      <c r="V261" s="549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96" t="s">
        <v>417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59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60">
        <v>4607091383423</v>
      </c>
      <c r="E264" s="561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81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1"/>
      <c r="R264" s="551"/>
      <c r="S264" s="551"/>
      <c r="T264" s="552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60">
        <v>4680115886957</v>
      </c>
      <c r="E265" s="561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82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1"/>
      <c r="R265" s="551"/>
      <c r="S265" s="551"/>
      <c r="T265" s="552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60">
        <v>4680115885660</v>
      </c>
      <c r="E266" s="561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83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1"/>
      <c r="R266" s="551"/>
      <c r="S266" s="551"/>
      <c r="T266" s="552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60">
        <v>4680115886773</v>
      </c>
      <c r="E267" s="561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4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1"/>
      <c r="R267" s="551"/>
      <c r="S267" s="551"/>
      <c r="T267" s="552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3" t="s">
        <v>71</v>
      </c>
      <c r="Q268" s="548"/>
      <c r="R268" s="548"/>
      <c r="S268" s="548"/>
      <c r="T268" s="548"/>
      <c r="U268" s="548"/>
      <c r="V268" s="549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3" t="s">
        <v>71</v>
      </c>
      <c r="Q269" s="548"/>
      <c r="R269" s="548"/>
      <c r="S269" s="548"/>
      <c r="T269" s="548"/>
      <c r="U269" s="548"/>
      <c r="V269" s="549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96" t="s">
        <v>428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59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60">
        <v>4680115886186</v>
      </c>
      <c r="E272" s="56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1"/>
      <c r="R272" s="551"/>
      <c r="S272" s="551"/>
      <c r="T272" s="552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60">
        <v>4680115881228</v>
      </c>
      <c r="E273" s="56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8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1"/>
      <c r="R273" s="551"/>
      <c r="S273" s="551"/>
      <c r="T273" s="552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60">
        <v>4680115881211</v>
      </c>
      <c r="E274" s="56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1"/>
      <c r="R274" s="551"/>
      <c r="S274" s="551"/>
      <c r="T274" s="552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3" t="s">
        <v>71</v>
      </c>
      <c r="Q275" s="548"/>
      <c r="R275" s="548"/>
      <c r="S275" s="548"/>
      <c r="T275" s="548"/>
      <c r="U275" s="548"/>
      <c r="V275" s="549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3" t="s">
        <v>71</v>
      </c>
      <c r="Q276" s="548"/>
      <c r="R276" s="548"/>
      <c r="S276" s="548"/>
      <c r="T276" s="548"/>
      <c r="U276" s="548"/>
      <c r="V276" s="549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96" t="s">
        <v>437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59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60">
        <v>4680115880344</v>
      </c>
      <c r="E279" s="56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6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1"/>
      <c r="R279" s="551"/>
      <c r="S279" s="551"/>
      <c r="T279" s="552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60">
        <v>4680115886919</v>
      </c>
      <c r="E280" s="56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7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1"/>
      <c r="R280" s="551"/>
      <c r="S280" s="551"/>
      <c r="T280" s="552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3" t="s">
        <v>71</v>
      </c>
      <c r="Q281" s="548"/>
      <c r="R281" s="548"/>
      <c r="S281" s="548"/>
      <c r="T281" s="548"/>
      <c r="U281" s="548"/>
      <c r="V281" s="549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3" t="s">
        <v>71</v>
      </c>
      <c r="Q282" s="548"/>
      <c r="R282" s="548"/>
      <c r="S282" s="548"/>
      <c r="T282" s="548"/>
      <c r="U282" s="548"/>
      <c r="V282" s="549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9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60">
        <v>4680115884618</v>
      </c>
      <c r="E284" s="561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7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1"/>
      <c r="R284" s="551"/>
      <c r="S284" s="551"/>
      <c r="T284" s="552"/>
      <c r="U284" s="34"/>
      <c r="V284" s="34"/>
      <c r="W284" s="35" t="s">
        <v>69</v>
      </c>
      <c r="X284" s="543">
        <v>36</v>
      </c>
      <c r="Y284" s="544">
        <f>IFERROR(IF(X284="",0,CEILING((X284/$H284),1)*$H284),"")</f>
        <v>36</v>
      </c>
      <c r="Z284" s="36">
        <f>IFERROR(IF(Y284=0,"",ROUNDUP(Y284/H284,0)*0.00902),"")</f>
        <v>9.0200000000000002E-2</v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38.1</v>
      </c>
      <c r="BN284" s="64">
        <f>IFERROR(Y284*I284/H284,"0")</f>
        <v>38.1</v>
      </c>
      <c r="BO284" s="64">
        <f>IFERROR(1/J284*(X284/H284),"0")</f>
        <v>7.575757575757576E-2</v>
      </c>
      <c r="BP284" s="64">
        <f>IFERROR(1/J284*(Y284/H284),"0")</f>
        <v>7.575757575757576E-2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53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5">
        <f>IFERROR(X284/H284,"0")</f>
        <v>10</v>
      </c>
      <c r="Y285" s="545">
        <f>IFERROR(Y284/H284,"0")</f>
        <v>10</v>
      </c>
      <c r="Z285" s="545">
        <f>IFERROR(IF(Z284="",0,Z284),"0")</f>
        <v>9.0200000000000002E-2</v>
      </c>
      <c r="AA285" s="546"/>
      <c r="AB285" s="546"/>
      <c r="AC285" s="546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3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5">
        <f>IFERROR(SUM(X284:X284),"0")</f>
        <v>36</v>
      </c>
      <c r="Y286" s="545">
        <f>IFERROR(SUM(Y284:Y284),"0")</f>
        <v>36</v>
      </c>
      <c r="Z286" s="37"/>
      <c r="AA286" s="546"/>
      <c r="AB286" s="546"/>
      <c r="AC286" s="546"/>
    </row>
    <row r="287" spans="1:68" ht="16.5" customHeight="1" x14ac:dyDescent="0.25">
      <c r="A287" s="596" t="s">
        <v>447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8"/>
      <c r="AB287" s="538"/>
      <c r="AC287" s="538"/>
    </row>
    <row r="288" spans="1:68" ht="14.25" customHeight="1" x14ac:dyDescent="0.25">
      <c r="A288" s="559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9"/>
      <c r="AB288" s="539"/>
      <c r="AC288" s="539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60">
        <v>4607091386004</v>
      </c>
      <c r="E289" s="561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7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1"/>
      <c r="R289" s="551"/>
      <c r="S289" s="551"/>
      <c r="T289" s="552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60">
        <v>4680115885615</v>
      </c>
      <c r="E290" s="561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1"/>
      <c r="R290" s="551"/>
      <c r="S290" s="551"/>
      <c r="T290" s="552"/>
      <c r="U290" s="34"/>
      <c r="V290" s="34"/>
      <c r="W290" s="35" t="s">
        <v>69</v>
      </c>
      <c r="X290" s="543">
        <v>150</v>
      </c>
      <c r="Y290" s="544">
        <f t="shared" si="26"/>
        <v>151.20000000000002</v>
      </c>
      <c r="Z290" s="36">
        <f>IFERROR(IF(Y290=0,"",ROUNDUP(Y290/H290,0)*0.01898),"")</f>
        <v>0.26572000000000001</v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156.04166666666666</v>
      </c>
      <c r="BN290" s="64">
        <f t="shared" si="28"/>
        <v>157.29000000000002</v>
      </c>
      <c r="BO290" s="64">
        <f t="shared" si="29"/>
        <v>0.21701388888888887</v>
      </c>
      <c r="BP290" s="64">
        <f t="shared" si="30"/>
        <v>0.21875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60">
        <v>4680115885646</v>
      </c>
      <c r="E291" s="561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1"/>
      <c r="R291" s="551"/>
      <c r="S291" s="551"/>
      <c r="T291" s="552"/>
      <c r="U291" s="34"/>
      <c r="V291" s="34"/>
      <c r="W291" s="35" t="s">
        <v>69</v>
      </c>
      <c r="X291" s="543">
        <v>200</v>
      </c>
      <c r="Y291" s="544">
        <f t="shared" si="26"/>
        <v>205.20000000000002</v>
      </c>
      <c r="Z291" s="36">
        <f>IFERROR(IF(Y291=0,"",ROUNDUP(Y291/H291,0)*0.01898),"")</f>
        <v>0.36062</v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208.05555555555554</v>
      </c>
      <c r="BN291" s="64">
        <f t="shared" si="28"/>
        <v>213.46499999999997</v>
      </c>
      <c r="BO291" s="64">
        <f t="shared" si="29"/>
        <v>0.28935185185185186</v>
      </c>
      <c r="BP291" s="64">
        <f t="shared" si="30"/>
        <v>0.296875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60">
        <v>4680115885554</v>
      </c>
      <c r="E292" s="561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5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1"/>
      <c r="R292" s="551"/>
      <c r="S292" s="551"/>
      <c r="T292" s="552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60">
        <v>4680115885622</v>
      </c>
      <c r="E293" s="561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1"/>
      <c r="R293" s="551"/>
      <c r="S293" s="551"/>
      <c r="T293" s="552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60">
        <v>4680115885608</v>
      </c>
      <c r="E294" s="561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1"/>
      <c r="R294" s="551"/>
      <c r="S294" s="551"/>
      <c r="T294" s="552"/>
      <c r="U294" s="34"/>
      <c r="V294" s="34"/>
      <c r="W294" s="35" t="s">
        <v>69</v>
      </c>
      <c r="X294" s="543">
        <v>528</v>
      </c>
      <c r="Y294" s="544">
        <f t="shared" si="26"/>
        <v>528</v>
      </c>
      <c r="Z294" s="36">
        <f>IFERROR(IF(Y294=0,"",ROUNDUP(Y294/H294,0)*0.00902),"")</f>
        <v>1.1906400000000001</v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555.72</v>
      </c>
      <c r="BN294" s="64">
        <f t="shared" si="28"/>
        <v>555.72</v>
      </c>
      <c r="BO294" s="64">
        <f t="shared" si="29"/>
        <v>1</v>
      </c>
      <c r="BP294" s="64">
        <f t="shared" si="30"/>
        <v>1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3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5">
        <f>IFERROR(X289/H289,"0")+IFERROR(X290/H290,"0")+IFERROR(X291/H291,"0")+IFERROR(X292/H292,"0")+IFERROR(X293/H293,"0")+IFERROR(X294/H294,"0")</f>
        <v>164.40740740740739</v>
      </c>
      <c r="Y295" s="545">
        <f>IFERROR(Y289/H289,"0")+IFERROR(Y290/H290,"0")+IFERROR(Y291/H291,"0")+IFERROR(Y292/H292,"0")+IFERROR(Y293/H293,"0")+IFERROR(Y294/H294,"0")</f>
        <v>165</v>
      </c>
      <c r="Z295" s="545">
        <f>IFERROR(IF(Z289="",0,Z289),"0")+IFERROR(IF(Z290="",0,Z290),"0")+IFERROR(IF(Z291="",0,Z291),"0")+IFERROR(IF(Z292="",0,Z292),"0")+IFERROR(IF(Z293="",0,Z293),"0")+IFERROR(IF(Z294="",0,Z294),"0")</f>
        <v>1.81698</v>
      </c>
      <c r="AA295" s="546"/>
      <c r="AB295" s="546"/>
      <c r="AC295" s="546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3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5">
        <f>IFERROR(SUM(X289:X294),"0")</f>
        <v>878</v>
      </c>
      <c r="Y296" s="545">
        <f>IFERROR(SUM(Y289:Y294),"0")</f>
        <v>884.40000000000009</v>
      </c>
      <c r="Z296" s="37"/>
      <c r="AA296" s="546"/>
      <c r="AB296" s="546"/>
      <c r="AC296" s="546"/>
    </row>
    <row r="297" spans="1:68" ht="14.25" customHeight="1" x14ac:dyDescent="0.25">
      <c r="A297" s="559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60">
        <v>4607091387193</v>
      </c>
      <c r="E298" s="561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6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1"/>
      <c r="R298" s="551"/>
      <c r="S298" s="551"/>
      <c r="T298" s="552"/>
      <c r="U298" s="34"/>
      <c r="V298" s="34"/>
      <c r="W298" s="35" t="s">
        <v>69</v>
      </c>
      <c r="X298" s="543">
        <v>300</v>
      </c>
      <c r="Y298" s="544">
        <f t="shared" ref="Y298:Y304" si="31">IFERROR(IF(X298="",0,CEILING((X298/$H298),1)*$H298),"")</f>
        <v>302.40000000000003</v>
      </c>
      <c r="Z298" s="36">
        <f>IFERROR(IF(Y298=0,"",ROUNDUP(Y298/H298,0)*0.00902),"")</f>
        <v>0.64944000000000002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319.28571428571428</v>
      </c>
      <c r="BN298" s="64">
        <f t="shared" ref="BN298:BN304" si="33">IFERROR(Y298*I298/H298,"0")</f>
        <v>321.83999999999997</v>
      </c>
      <c r="BO298" s="64">
        <f t="shared" ref="BO298:BO304" si="34">IFERROR(1/J298*(X298/H298),"0")</f>
        <v>0.54112554112554112</v>
      </c>
      <c r="BP298" s="64">
        <f t="shared" ref="BP298:BP304" si="35">IFERROR(1/J298*(Y298/H298),"0")</f>
        <v>0.54545454545454541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60">
        <v>4607091387230</v>
      </c>
      <c r="E299" s="561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1"/>
      <c r="R299" s="551"/>
      <c r="S299" s="551"/>
      <c r="T299" s="552"/>
      <c r="U299" s="34"/>
      <c r="V299" s="34"/>
      <c r="W299" s="35" t="s">
        <v>69</v>
      </c>
      <c r="X299" s="543">
        <v>400</v>
      </c>
      <c r="Y299" s="544">
        <f t="shared" si="31"/>
        <v>403.20000000000005</v>
      </c>
      <c r="Z299" s="36">
        <f>IFERROR(IF(Y299=0,"",ROUNDUP(Y299/H299,0)*0.00902),"")</f>
        <v>0.86592000000000002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425.71428571428572</v>
      </c>
      <c r="BN299" s="64">
        <f t="shared" si="33"/>
        <v>429.12</v>
      </c>
      <c r="BO299" s="64">
        <f t="shared" si="34"/>
        <v>0.72150072150072153</v>
      </c>
      <c r="BP299" s="64">
        <f t="shared" si="35"/>
        <v>0.72727272727272729</v>
      </c>
    </row>
    <row r="300" spans="1:68" ht="27" customHeight="1" x14ac:dyDescent="0.25">
      <c r="A300" s="54" t="s">
        <v>471</v>
      </c>
      <c r="B300" s="54" t="s">
        <v>472</v>
      </c>
      <c r="C300" s="31">
        <v>4301031154</v>
      </c>
      <c r="D300" s="560">
        <v>4607091387292</v>
      </c>
      <c r="E300" s="561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1"/>
      <c r="R300" s="551"/>
      <c r="S300" s="551"/>
      <c r="T300" s="552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60">
        <v>4607091387285</v>
      </c>
      <c r="E301" s="56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63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1"/>
      <c r="R301" s="551"/>
      <c r="S301" s="551"/>
      <c r="T301" s="552"/>
      <c r="U301" s="34"/>
      <c r="V301" s="34"/>
      <c r="W301" s="35" t="s">
        <v>69</v>
      </c>
      <c r="X301" s="543">
        <v>28</v>
      </c>
      <c r="Y301" s="544">
        <f t="shared" si="31"/>
        <v>29.400000000000002</v>
      </c>
      <c r="Z301" s="36">
        <f>IFERROR(IF(Y301=0,"",ROUNDUP(Y301/H301,0)*0.00502),"")</f>
        <v>7.0280000000000009E-2</v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29.733333333333331</v>
      </c>
      <c r="BN301" s="64">
        <f t="shared" si="33"/>
        <v>31.22</v>
      </c>
      <c r="BO301" s="64">
        <f t="shared" si="34"/>
        <v>5.6980056980056981E-2</v>
      </c>
      <c r="BP301" s="64">
        <f t="shared" si="35"/>
        <v>5.9829059829059839E-2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60">
        <v>4607091389845</v>
      </c>
      <c r="E302" s="56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1"/>
      <c r="R302" s="551"/>
      <c r="S302" s="551"/>
      <c r="T302" s="552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4301031306</v>
      </c>
      <c r="D303" s="560">
        <v>4680115882881</v>
      </c>
      <c r="E303" s="56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1"/>
      <c r="R303" s="551"/>
      <c r="S303" s="551"/>
      <c r="T303" s="552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60">
        <v>4607091383836</v>
      </c>
      <c r="E304" s="56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0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1"/>
      <c r="R304" s="551"/>
      <c r="S304" s="551"/>
      <c r="T304" s="552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3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5">
        <f>IFERROR(X298/H298,"0")+IFERROR(X299/H299,"0")+IFERROR(X300/H300,"0")+IFERROR(X301/H301,"0")+IFERROR(X302/H302,"0")+IFERROR(X303/H303,"0")+IFERROR(X304/H304,"0")</f>
        <v>180.00000000000003</v>
      </c>
      <c r="Y305" s="545">
        <f>IFERROR(Y298/H298,"0")+IFERROR(Y299/H299,"0")+IFERROR(Y300/H300,"0")+IFERROR(Y301/H301,"0")+IFERROR(Y302/H302,"0")+IFERROR(Y303/H303,"0")+IFERROR(Y304/H304,"0")</f>
        <v>182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1.5856400000000002</v>
      </c>
      <c r="AA305" s="546"/>
      <c r="AB305" s="546"/>
      <c r="AC305" s="546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3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5">
        <f>IFERROR(SUM(X298:X304),"0")</f>
        <v>728</v>
      </c>
      <c r="Y306" s="545">
        <f>IFERROR(SUM(Y298:Y304),"0")</f>
        <v>735.00000000000011</v>
      </c>
      <c r="Z306" s="37"/>
      <c r="AA306" s="546"/>
      <c r="AB306" s="546"/>
      <c r="AC306" s="546"/>
    </row>
    <row r="307" spans="1:68" ht="14.25" customHeight="1" x14ac:dyDescent="0.25">
      <c r="A307" s="559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60">
        <v>4607091387766</v>
      </c>
      <c r="E308" s="561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1"/>
      <c r="R308" s="551"/>
      <c r="S308" s="551"/>
      <c r="T308" s="552"/>
      <c r="U308" s="34"/>
      <c r="V308" s="34"/>
      <c r="W308" s="35" t="s">
        <v>69</v>
      </c>
      <c r="X308" s="543">
        <v>3000</v>
      </c>
      <c r="Y308" s="544">
        <f>IFERROR(IF(X308="",0,CEILING((X308/$H308),1)*$H308),"")</f>
        <v>3003</v>
      </c>
      <c r="Z308" s="36">
        <f>IFERROR(IF(Y308=0,"",ROUNDUP(Y308/H308,0)*0.01898),"")</f>
        <v>7.3073000000000006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3197.3076923076928</v>
      </c>
      <c r="BN308" s="64">
        <f>IFERROR(Y308*I308/H308,"0")</f>
        <v>3200.5050000000006</v>
      </c>
      <c r="BO308" s="64">
        <f>IFERROR(1/J308*(X308/H308),"0")</f>
        <v>6.009615384615385</v>
      </c>
      <c r="BP308" s="64">
        <f>IFERROR(1/J308*(Y308/H308),"0")</f>
        <v>6.015625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60">
        <v>4607091387957</v>
      </c>
      <c r="E309" s="561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1"/>
      <c r="R309" s="551"/>
      <c r="S309" s="551"/>
      <c r="T309" s="552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60">
        <v>4607091387964</v>
      </c>
      <c r="E310" s="561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1"/>
      <c r="R310" s="551"/>
      <c r="S310" s="551"/>
      <c r="T310" s="552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60">
        <v>4680115884588</v>
      </c>
      <c r="E311" s="56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1"/>
      <c r="R311" s="551"/>
      <c r="S311" s="551"/>
      <c r="T311" s="552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496</v>
      </c>
      <c r="B312" s="54" t="s">
        <v>497</v>
      </c>
      <c r="C312" s="31">
        <v>4301051578</v>
      </c>
      <c r="D312" s="560">
        <v>4607091387513</v>
      </c>
      <c r="E312" s="561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77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1"/>
      <c r="R312" s="551"/>
      <c r="S312" s="551"/>
      <c r="T312" s="552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3" t="s">
        <v>71</v>
      </c>
      <c r="Q313" s="548"/>
      <c r="R313" s="548"/>
      <c r="S313" s="548"/>
      <c r="T313" s="548"/>
      <c r="U313" s="548"/>
      <c r="V313" s="549"/>
      <c r="W313" s="37" t="s">
        <v>72</v>
      </c>
      <c r="X313" s="545">
        <f>IFERROR(X308/H308,"0")+IFERROR(X309/H309,"0")+IFERROR(X310/H310,"0")+IFERROR(X311/H311,"0")+IFERROR(X312/H312,"0")</f>
        <v>384.61538461538464</v>
      </c>
      <c r="Y313" s="545">
        <f>IFERROR(Y308/H308,"0")+IFERROR(Y309/H309,"0")+IFERROR(Y310/H310,"0")+IFERROR(Y311/H311,"0")+IFERROR(Y312/H312,"0")</f>
        <v>385</v>
      </c>
      <c r="Z313" s="545">
        <f>IFERROR(IF(Z308="",0,Z308),"0")+IFERROR(IF(Z309="",0,Z309),"0")+IFERROR(IF(Z310="",0,Z310),"0")+IFERROR(IF(Z311="",0,Z311),"0")+IFERROR(IF(Z312="",0,Z312),"0")</f>
        <v>7.3073000000000006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3" t="s">
        <v>71</v>
      </c>
      <c r="Q314" s="548"/>
      <c r="R314" s="548"/>
      <c r="S314" s="548"/>
      <c r="T314" s="548"/>
      <c r="U314" s="548"/>
      <c r="V314" s="549"/>
      <c r="W314" s="37" t="s">
        <v>69</v>
      </c>
      <c r="X314" s="545">
        <f>IFERROR(SUM(X308:X312),"0")</f>
        <v>3000</v>
      </c>
      <c r="Y314" s="545">
        <f>IFERROR(SUM(Y308:Y312),"0")</f>
        <v>3003</v>
      </c>
      <c r="Z314" s="37"/>
      <c r="AA314" s="546"/>
      <c r="AB314" s="546"/>
      <c r="AC314" s="546"/>
    </row>
    <row r="315" spans="1:68" ht="14.25" customHeight="1" x14ac:dyDescent="0.25">
      <c r="A315" s="559" t="s">
        <v>166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60">
        <v>4607091380880</v>
      </c>
      <c r="E316" s="561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1"/>
      <c r="R316" s="551"/>
      <c r="S316" s="551"/>
      <c r="T316" s="552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60">
        <v>4607091384482</v>
      </c>
      <c r="E317" s="561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1"/>
      <c r="R317" s="551"/>
      <c r="S317" s="551"/>
      <c r="T317" s="552"/>
      <c r="U317" s="34"/>
      <c r="V317" s="34"/>
      <c r="W317" s="35" t="s">
        <v>69</v>
      </c>
      <c r="X317" s="543">
        <v>350</v>
      </c>
      <c r="Y317" s="544">
        <f>IFERROR(IF(X317="",0,CEILING((X317/$H317),1)*$H317),"")</f>
        <v>351</v>
      </c>
      <c r="Z317" s="36">
        <f>IFERROR(IF(Y317=0,"",ROUNDUP(Y317/H317,0)*0.01898),"")</f>
        <v>0.85409999999999997</v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373.28846153846155</v>
      </c>
      <c r="BN317" s="64">
        <f>IFERROR(Y317*I317/H317,"0")</f>
        <v>374.35500000000008</v>
      </c>
      <c r="BO317" s="64">
        <f>IFERROR(1/J317*(X317/H317),"0")</f>
        <v>0.70112179487179493</v>
      </c>
      <c r="BP317" s="64">
        <f>IFERROR(1/J317*(Y317/H317),"0")</f>
        <v>0.703125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60">
        <v>4607091380897</v>
      </c>
      <c r="E318" s="561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6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1"/>
      <c r="R318" s="551"/>
      <c r="S318" s="551"/>
      <c r="T318" s="552"/>
      <c r="U318" s="34"/>
      <c r="V318" s="34"/>
      <c r="W318" s="35" t="s">
        <v>69</v>
      </c>
      <c r="X318" s="543">
        <v>80</v>
      </c>
      <c r="Y318" s="544">
        <f>IFERROR(IF(X318="",0,CEILING((X318/$H318),1)*$H318),"")</f>
        <v>84</v>
      </c>
      <c r="Z318" s="36">
        <f>IFERROR(IF(Y318=0,"",ROUNDUP(Y318/H318,0)*0.01898),"")</f>
        <v>0.1898</v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84.942857142857136</v>
      </c>
      <c r="BN318" s="64">
        <f>IFERROR(Y318*I318/H318,"0")</f>
        <v>89.19</v>
      </c>
      <c r="BO318" s="64">
        <f>IFERROR(1/J318*(X318/H318),"0")</f>
        <v>0.14880952380952381</v>
      </c>
      <c r="BP318" s="64">
        <f>IFERROR(1/J318*(Y318/H318),"0")</f>
        <v>0.15625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3" t="s">
        <v>71</v>
      </c>
      <c r="Q319" s="548"/>
      <c r="R319" s="548"/>
      <c r="S319" s="548"/>
      <c r="T319" s="548"/>
      <c r="U319" s="548"/>
      <c r="V319" s="549"/>
      <c r="W319" s="37" t="s">
        <v>72</v>
      </c>
      <c r="X319" s="545">
        <f>IFERROR(X316/H316,"0")+IFERROR(X317/H317,"0")+IFERROR(X318/H318,"0")</f>
        <v>54.395604395604401</v>
      </c>
      <c r="Y319" s="545">
        <f>IFERROR(Y316/H316,"0")+IFERROR(Y317/H317,"0")+IFERROR(Y318/H318,"0")</f>
        <v>55</v>
      </c>
      <c r="Z319" s="545">
        <f>IFERROR(IF(Z316="",0,Z316),"0")+IFERROR(IF(Z317="",0,Z317),"0")+IFERROR(IF(Z318="",0,Z318),"0")</f>
        <v>1.0439000000000001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3" t="s">
        <v>71</v>
      </c>
      <c r="Q320" s="548"/>
      <c r="R320" s="548"/>
      <c r="S320" s="548"/>
      <c r="T320" s="548"/>
      <c r="U320" s="548"/>
      <c r="V320" s="549"/>
      <c r="W320" s="37" t="s">
        <v>69</v>
      </c>
      <c r="X320" s="545">
        <f>IFERROR(SUM(X316:X318),"0")</f>
        <v>430</v>
      </c>
      <c r="Y320" s="545">
        <f>IFERROR(SUM(Y316:Y318),"0")</f>
        <v>435</v>
      </c>
      <c r="Z320" s="37"/>
      <c r="AA320" s="546"/>
      <c r="AB320" s="546"/>
      <c r="AC320" s="546"/>
    </row>
    <row r="321" spans="1:68" ht="14.25" customHeight="1" x14ac:dyDescent="0.25">
      <c r="A321" s="559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60">
        <v>4607091388381</v>
      </c>
      <c r="E322" s="561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1"/>
      <c r="R322" s="551"/>
      <c r="S322" s="551"/>
      <c r="T322" s="552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60">
        <v>4607091388374</v>
      </c>
      <c r="E323" s="561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643" t="s">
        <v>513</v>
      </c>
      <c r="Q323" s="551"/>
      <c r="R323" s="551"/>
      <c r="S323" s="551"/>
      <c r="T323" s="552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4301032015</v>
      </c>
      <c r="D324" s="560">
        <v>4607091383102</v>
      </c>
      <c r="E324" s="56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1"/>
      <c r="R324" s="551"/>
      <c r="S324" s="551"/>
      <c r="T324" s="552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60">
        <v>4607091388404</v>
      </c>
      <c r="E325" s="56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6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1"/>
      <c r="R325" s="551"/>
      <c r="S325" s="551"/>
      <c r="T325" s="552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3" t="s">
        <v>71</v>
      </c>
      <c r="Q326" s="548"/>
      <c r="R326" s="548"/>
      <c r="S326" s="548"/>
      <c r="T326" s="548"/>
      <c r="U326" s="548"/>
      <c r="V326" s="549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3" t="s">
        <v>71</v>
      </c>
      <c r="Q327" s="548"/>
      <c r="R327" s="548"/>
      <c r="S327" s="548"/>
      <c r="T327" s="548"/>
      <c r="U327" s="548"/>
      <c r="V327" s="549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59" t="s">
        <v>519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520</v>
      </c>
      <c r="B329" s="54" t="s">
        <v>521</v>
      </c>
      <c r="C329" s="31">
        <v>4301180007</v>
      </c>
      <c r="D329" s="560">
        <v>4680115881808</v>
      </c>
      <c r="E329" s="56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1"/>
      <c r="R329" s="551"/>
      <c r="S329" s="551"/>
      <c r="T329" s="552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4301180006</v>
      </c>
      <c r="D330" s="560">
        <v>4680115881822</v>
      </c>
      <c r="E330" s="56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1"/>
      <c r="R330" s="551"/>
      <c r="S330" s="551"/>
      <c r="T330" s="552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526</v>
      </c>
      <c r="B331" s="54" t="s">
        <v>527</v>
      </c>
      <c r="C331" s="31">
        <v>4301180001</v>
      </c>
      <c r="D331" s="560">
        <v>4680115880016</v>
      </c>
      <c r="E331" s="56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1"/>
      <c r="R331" s="551"/>
      <c r="S331" s="551"/>
      <c r="T331" s="552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3" t="s">
        <v>71</v>
      </c>
      <c r="Q332" s="548"/>
      <c r="R332" s="548"/>
      <c r="S332" s="548"/>
      <c r="T332" s="548"/>
      <c r="U332" s="548"/>
      <c r="V332" s="549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3" t="s">
        <v>71</v>
      </c>
      <c r="Q333" s="548"/>
      <c r="R333" s="548"/>
      <c r="S333" s="548"/>
      <c r="T333" s="548"/>
      <c r="U333" s="548"/>
      <c r="V333" s="549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96" t="s">
        <v>528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59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60">
        <v>4607091387919</v>
      </c>
      <c r="E336" s="561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6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1"/>
      <c r="R336" s="551"/>
      <c r="S336" s="551"/>
      <c r="T336" s="552"/>
      <c r="U336" s="34"/>
      <c r="V336" s="34"/>
      <c r="W336" s="35" t="s">
        <v>69</v>
      </c>
      <c r="X336" s="543">
        <v>150</v>
      </c>
      <c r="Y336" s="544">
        <f>IFERROR(IF(X336="",0,CEILING((X336/$H336),1)*$H336),"")</f>
        <v>153.9</v>
      </c>
      <c r="Z336" s="36">
        <f>IFERROR(IF(Y336=0,"",ROUNDUP(Y336/H336,0)*0.01898),"")</f>
        <v>0.36062</v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159.61111111111111</v>
      </c>
      <c r="BN336" s="64">
        <f>IFERROR(Y336*I336/H336,"0")</f>
        <v>163.761</v>
      </c>
      <c r="BO336" s="64">
        <f>IFERROR(1/J336*(X336/H336),"0")</f>
        <v>0.28935185185185186</v>
      </c>
      <c r="BP336" s="64">
        <f>IFERROR(1/J336*(Y336/H336),"0")</f>
        <v>0.296875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60">
        <v>4680115883604</v>
      </c>
      <c r="E337" s="56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1"/>
      <c r="R337" s="551"/>
      <c r="S337" s="551"/>
      <c r="T337" s="552"/>
      <c r="U337" s="34"/>
      <c r="V337" s="34"/>
      <c r="W337" s="35" t="s">
        <v>69</v>
      </c>
      <c r="X337" s="543">
        <v>105</v>
      </c>
      <c r="Y337" s="544">
        <f>IFERROR(IF(X337="",0,CEILING((X337/$H337),1)*$H337),"")</f>
        <v>105</v>
      </c>
      <c r="Z337" s="36">
        <f>IFERROR(IF(Y337=0,"",ROUNDUP(Y337/H337,0)*0.00651),"")</f>
        <v>0.32550000000000001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117.59999999999998</v>
      </c>
      <c r="BN337" s="64">
        <f>IFERROR(Y337*I337/H337,"0")</f>
        <v>117.59999999999998</v>
      </c>
      <c r="BO337" s="64">
        <f>IFERROR(1/J337*(X337/H337),"0")</f>
        <v>0.27472527472527475</v>
      </c>
      <c r="BP337" s="64">
        <f>IFERROR(1/J337*(Y337/H337),"0")</f>
        <v>0.27472527472527475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60">
        <v>4680115883567</v>
      </c>
      <c r="E338" s="56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5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1"/>
      <c r="R338" s="551"/>
      <c r="S338" s="551"/>
      <c r="T338" s="552"/>
      <c r="U338" s="34"/>
      <c r="V338" s="34"/>
      <c r="W338" s="35" t="s">
        <v>69</v>
      </c>
      <c r="X338" s="543">
        <v>35</v>
      </c>
      <c r="Y338" s="544">
        <f>IFERROR(IF(X338="",0,CEILING((X338/$H338),1)*$H338),"")</f>
        <v>35.700000000000003</v>
      </c>
      <c r="Z338" s="36">
        <f>IFERROR(IF(Y338=0,"",ROUNDUP(Y338/H338,0)*0.00651),"")</f>
        <v>0.11067</v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38.999999999999993</v>
      </c>
      <c r="BN338" s="64">
        <f>IFERROR(Y338*I338/H338,"0")</f>
        <v>39.779999999999994</v>
      </c>
      <c r="BO338" s="64">
        <f>IFERROR(1/J338*(X338/H338),"0")</f>
        <v>9.1575091575091569E-2</v>
      </c>
      <c r="BP338" s="64">
        <f>IFERROR(1/J338*(Y338/H338),"0")</f>
        <v>9.3406593406593408E-2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3" t="s">
        <v>71</v>
      </c>
      <c r="Q339" s="548"/>
      <c r="R339" s="548"/>
      <c r="S339" s="548"/>
      <c r="T339" s="548"/>
      <c r="U339" s="548"/>
      <c r="V339" s="549"/>
      <c r="W339" s="37" t="s">
        <v>72</v>
      </c>
      <c r="X339" s="545">
        <f>IFERROR(X336/H336,"0")+IFERROR(X337/H337,"0")+IFERROR(X338/H338,"0")</f>
        <v>85.18518518518519</v>
      </c>
      <c r="Y339" s="545">
        <f>IFERROR(Y336/H336,"0")+IFERROR(Y337/H337,"0")+IFERROR(Y338/H338,"0")</f>
        <v>86</v>
      </c>
      <c r="Z339" s="545">
        <f>IFERROR(IF(Z336="",0,Z336),"0")+IFERROR(IF(Z337="",0,Z337),"0")+IFERROR(IF(Z338="",0,Z338),"0")</f>
        <v>0.79679000000000011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3" t="s">
        <v>71</v>
      </c>
      <c r="Q340" s="548"/>
      <c r="R340" s="548"/>
      <c r="S340" s="548"/>
      <c r="T340" s="548"/>
      <c r="U340" s="548"/>
      <c r="V340" s="549"/>
      <c r="W340" s="37" t="s">
        <v>69</v>
      </c>
      <c r="X340" s="545">
        <f>IFERROR(SUM(X336:X338),"0")</f>
        <v>290</v>
      </c>
      <c r="Y340" s="545">
        <f>IFERROR(SUM(Y336:Y338),"0")</f>
        <v>294.59999999999997</v>
      </c>
      <c r="Z340" s="37"/>
      <c r="AA340" s="546"/>
      <c r="AB340" s="546"/>
      <c r="AC340" s="546"/>
    </row>
    <row r="341" spans="1:68" ht="27.75" customHeight="1" x14ac:dyDescent="0.2">
      <c r="A341" s="644" t="s">
        <v>538</v>
      </c>
      <c r="B341" s="645"/>
      <c r="C341" s="645"/>
      <c r="D341" s="645"/>
      <c r="E341" s="645"/>
      <c r="F341" s="645"/>
      <c r="G341" s="645"/>
      <c r="H341" s="645"/>
      <c r="I341" s="645"/>
      <c r="J341" s="645"/>
      <c r="K341" s="645"/>
      <c r="L341" s="645"/>
      <c r="M341" s="645"/>
      <c r="N341" s="645"/>
      <c r="O341" s="645"/>
      <c r="P341" s="645"/>
      <c r="Q341" s="645"/>
      <c r="R341" s="645"/>
      <c r="S341" s="645"/>
      <c r="T341" s="645"/>
      <c r="U341" s="645"/>
      <c r="V341" s="645"/>
      <c r="W341" s="645"/>
      <c r="X341" s="645"/>
      <c r="Y341" s="645"/>
      <c r="Z341" s="645"/>
      <c r="AA341" s="48"/>
      <c r="AB341" s="48"/>
      <c r="AC341" s="48"/>
    </row>
    <row r="342" spans="1:68" ht="16.5" customHeight="1" x14ac:dyDescent="0.25">
      <c r="A342" s="596" t="s">
        <v>539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59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60">
        <v>4680115884847</v>
      </c>
      <c r="E344" s="561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1"/>
      <c r="R344" s="551"/>
      <c r="S344" s="551"/>
      <c r="T344" s="552"/>
      <c r="U344" s="34"/>
      <c r="V344" s="34"/>
      <c r="W344" s="35" t="s">
        <v>69</v>
      </c>
      <c r="X344" s="543">
        <v>750</v>
      </c>
      <c r="Y344" s="544">
        <f t="shared" ref="Y344:Y350" si="36">IFERROR(IF(X344="",0,CEILING((X344/$H344),1)*$H344),"")</f>
        <v>750</v>
      </c>
      <c r="Z344" s="36">
        <f>IFERROR(IF(Y344=0,"",ROUNDUP(Y344/H344,0)*0.02175),"")</f>
        <v>1.0874999999999999</v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774</v>
      </c>
      <c r="BN344" s="64">
        <f t="shared" ref="BN344:BN350" si="38">IFERROR(Y344*I344/H344,"0")</f>
        <v>774</v>
      </c>
      <c r="BO344" s="64">
        <f t="shared" ref="BO344:BO350" si="39">IFERROR(1/J344*(X344/H344),"0")</f>
        <v>1.0416666666666665</v>
      </c>
      <c r="BP344" s="64">
        <f t="shared" ref="BP344:BP350" si="40">IFERROR(1/J344*(Y344/H344),"0")</f>
        <v>1.0416666666666665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60">
        <v>4680115884854</v>
      </c>
      <c r="E345" s="561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7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1"/>
      <c r="R345" s="551"/>
      <c r="S345" s="551"/>
      <c r="T345" s="552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60">
        <v>4607091383997</v>
      </c>
      <c r="E346" s="561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1"/>
      <c r="R346" s="551"/>
      <c r="S346" s="551"/>
      <c r="T346" s="552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60">
        <v>4680115884830</v>
      </c>
      <c r="E347" s="561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6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1"/>
      <c r="R347" s="551"/>
      <c r="S347" s="551"/>
      <c r="T347" s="552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4301011433</v>
      </c>
      <c r="D348" s="560">
        <v>4680115882638</v>
      </c>
      <c r="E348" s="561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64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1"/>
      <c r="R348" s="551"/>
      <c r="S348" s="551"/>
      <c r="T348" s="552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60">
        <v>4680115884922</v>
      </c>
      <c r="E349" s="561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6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1"/>
      <c r="R349" s="551"/>
      <c r="S349" s="551"/>
      <c r="T349" s="552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60">
        <v>4680115884861</v>
      </c>
      <c r="E350" s="561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8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1"/>
      <c r="R350" s="551"/>
      <c r="S350" s="551"/>
      <c r="T350" s="552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3" t="s">
        <v>71</v>
      </c>
      <c r="Q351" s="548"/>
      <c r="R351" s="548"/>
      <c r="S351" s="548"/>
      <c r="T351" s="548"/>
      <c r="U351" s="548"/>
      <c r="V351" s="549"/>
      <c r="W351" s="37" t="s">
        <v>72</v>
      </c>
      <c r="X351" s="545">
        <f>IFERROR(X344/H344,"0")+IFERROR(X345/H345,"0")+IFERROR(X346/H346,"0")+IFERROR(X347/H347,"0")+IFERROR(X348/H348,"0")+IFERROR(X349/H349,"0")+IFERROR(X350/H350,"0")</f>
        <v>50</v>
      </c>
      <c r="Y351" s="545">
        <f>IFERROR(Y344/H344,"0")+IFERROR(Y345/H345,"0")+IFERROR(Y346/H346,"0")+IFERROR(Y347/H347,"0")+IFERROR(Y348/H348,"0")+IFERROR(Y349/H349,"0")+IFERROR(Y350/H350,"0")</f>
        <v>50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1.0874999999999999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3" t="s">
        <v>71</v>
      </c>
      <c r="Q352" s="548"/>
      <c r="R352" s="548"/>
      <c r="S352" s="548"/>
      <c r="T352" s="548"/>
      <c r="U352" s="548"/>
      <c r="V352" s="549"/>
      <c r="W352" s="37" t="s">
        <v>69</v>
      </c>
      <c r="X352" s="545">
        <f>IFERROR(SUM(X344:X350),"0")</f>
        <v>750</v>
      </c>
      <c r="Y352" s="545">
        <f>IFERROR(SUM(Y344:Y350),"0")</f>
        <v>750</v>
      </c>
      <c r="Z352" s="37"/>
      <c r="AA352" s="546"/>
      <c r="AB352" s="546"/>
      <c r="AC352" s="546"/>
    </row>
    <row r="353" spans="1:68" ht="14.25" customHeight="1" x14ac:dyDescent="0.25">
      <c r="A353" s="559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60">
        <v>4607091383980</v>
      </c>
      <c r="E354" s="561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1"/>
      <c r="R354" s="551"/>
      <c r="S354" s="551"/>
      <c r="T354" s="552"/>
      <c r="U354" s="34"/>
      <c r="V354" s="34"/>
      <c r="W354" s="35" t="s">
        <v>69</v>
      </c>
      <c r="X354" s="543">
        <v>5000</v>
      </c>
      <c r="Y354" s="544">
        <f>IFERROR(IF(X354="",0,CEILING((X354/$H354),1)*$H354),"")</f>
        <v>5010</v>
      </c>
      <c r="Z354" s="36">
        <f>IFERROR(IF(Y354=0,"",ROUNDUP(Y354/H354,0)*0.02175),"")</f>
        <v>7.2644999999999991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5160</v>
      </c>
      <c r="BN354" s="64">
        <f>IFERROR(Y354*I354/H354,"0")</f>
        <v>5170.3200000000006</v>
      </c>
      <c r="BO354" s="64">
        <f>IFERROR(1/J354*(X354/H354),"0")</f>
        <v>6.9444444444444438</v>
      </c>
      <c r="BP354" s="64">
        <f>IFERROR(1/J354*(Y354/H354),"0")</f>
        <v>6.958333333333333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60">
        <v>4607091384178</v>
      </c>
      <c r="E355" s="561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5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1"/>
      <c r="R355" s="551"/>
      <c r="S355" s="551"/>
      <c r="T355" s="552"/>
      <c r="U355" s="34"/>
      <c r="V355" s="34"/>
      <c r="W355" s="35" t="s">
        <v>69</v>
      </c>
      <c r="X355" s="543">
        <v>40</v>
      </c>
      <c r="Y355" s="544">
        <f>IFERROR(IF(X355="",0,CEILING((X355/$H355),1)*$H355),"")</f>
        <v>40</v>
      </c>
      <c r="Z355" s="36">
        <f>IFERROR(IF(Y355=0,"",ROUNDUP(Y355/H355,0)*0.00902),"")</f>
        <v>9.0200000000000002E-2</v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42.1</v>
      </c>
      <c r="BN355" s="64">
        <f>IFERROR(Y355*I355/H355,"0")</f>
        <v>42.1</v>
      </c>
      <c r="BO355" s="64">
        <f>IFERROR(1/J355*(X355/H355),"0")</f>
        <v>7.575757575757576E-2</v>
      </c>
      <c r="BP355" s="64">
        <f>IFERROR(1/J355*(Y355/H355),"0")</f>
        <v>7.575757575757576E-2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3" t="s">
        <v>71</v>
      </c>
      <c r="Q356" s="548"/>
      <c r="R356" s="548"/>
      <c r="S356" s="548"/>
      <c r="T356" s="548"/>
      <c r="U356" s="548"/>
      <c r="V356" s="549"/>
      <c r="W356" s="37" t="s">
        <v>72</v>
      </c>
      <c r="X356" s="545">
        <f>IFERROR(X354/H354,"0")+IFERROR(X355/H355,"0")</f>
        <v>343.33333333333331</v>
      </c>
      <c r="Y356" s="545">
        <f>IFERROR(Y354/H354,"0")+IFERROR(Y355/H355,"0")</f>
        <v>344</v>
      </c>
      <c r="Z356" s="545">
        <f>IFERROR(IF(Z354="",0,Z354),"0")+IFERROR(IF(Z355="",0,Z355),"0")</f>
        <v>7.3546999999999993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3" t="s">
        <v>71</v>
      </c>
      <c r="Q357" s="548"/>
      <c r="R357" s="548"/>
      <c r="S357" s="548"/>
      <c r="T357" s="548"/>
      <c r="U357" s="548"/>
      <c r="V357" s="549"/>
      <c r="W357" s="37" t="s">
        <v>69</v>
      </c>
      <c r="X357" s="545">
        <f>IFERROR(SUM(X354:X355),"0")</f>
        <v>5040</v>
      </c>
      <c r="Y357" s="545">
        <f>IFERROR(SUM(Y354:Y355),"0")</f>
        <v>5050</v>
      </c>
      <c r="Z357" s="37"/>
      <c r="AA357" s="546"/>
      <c r="AB357" s="546"/>
      <c r="AC357" s="546"/>
    </row>
    <row r="358" spans="1:68" ht="14.25" customHeight="1" x14ac:dyDescent="0.25">
      <c r="A358" s="559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60">
        <v>4607091383928</v>
      </c>
      <c r="E359" s="561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1"/>
      <c r="R359" s="551"/>
      <c r="S359" s="551"/>
      <c r="T359" s="552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60">
        <v>4607091384260</v>
      </c>
      <c r="E360" s="561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5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1"/>
      <c r="R360" s="551"/>
      <c r="S360" s="551"/>
      <c r="T360" s="552"/>
      <c r="U360" s="34"/>
      <c r="V360" s="34"/>
      <c r="W360" s="35" t="s">
        <v>69</v>
      </c>
      <c r="X360" s="543">
        <v>90</v>
      </c>
      <c r="Y360" s="544">
        <f>IFERROR(IF(X360="",0,CEILING((X360/$H360),1)*$H360),"")</f>
        <v>90</v>
      </c>
      <c r="Z360" s="36">
        <f>IFERROR(IF(Y360=0,"",ROUNDUP(Y360/H360,0)*0.01898),"")</f>
        <v>0.1898</v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95.19</v>
      </c>
      <c r="BN360" s="64">
        <f>IFERROR(Y360*I360/H360,"0")</f>
        <v>95.19</v>
      </c>
      <c r="BO360" s="64">
        <f>IFERROR(1/J360*(X360/H360),"0")</f>
        <v>0.15625</v>
      </c>
      <c r="BP360" s="64">
        <f>IFERROR(1/J360*(Y360/H360),"0")</f>
        <v>0.15625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3" t="s">
        <v>71</v>
      </c>
      <c r="Q361" s="548"/>
      <c r="R361" s="548"/>
      <c r="S361" s="548"/>
      <c r="T361" s="548"/>
      <c r="U361" s="548"/>
      <c r="V361" s="549"/>
      <c r="W361" s="37" t="s">
        <v>72</v>
      </c>
      <c r="X361" s="545">
        <f>IFERROR(X359/H359,"0")+IFERROR(X360/H360,"0")</f>
        <v>10</v>
      </c>
      <c r="Y361" s="545">
        <f>IFERROR(Y359/H359,"0")+IFERROR(Y360/H360,"0")</f>
        <v>10</v>
      </c>
      <c r="Z361" s="545">
        <f>IFERROR(IF(Z359="",0,Z359),"0")+IFERROR(IF(Z360="",0,Z360),"0")</f>
        <v>0.1898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3" t="s">
        <v>71</v>
      </c>
      <c r="Q362" s="548"/>
      <c r="R362" s="548"/>
      <c r="S362" s="548"/>
      <c r="T362" s="548"/>
      <c r="U362" s="548"/>
      <c r="V362" s="549"/>
      <c r="W362" s="37" t="s">
        <v>69</v>
      </c>
      <c r="X362" s="545">
        <f>IFERROR(SUM(X359:X360),"0")</f>
        <v>90</v>
      </c>
      <c r="Y362" s="545">
        <f>IFERROR(SUM(Y359:Y360),"0")</f>
        <v>90</v>
      </c>
      <c r="Z362" s="37"/>
      <c r="AA362" s="546"/>
      <c r="AB362" s="546"/>
      <c r="AC362" s="546"/>
    </row>
    <row r="363" spans="1:68" ht="14.25" customHeight="1" x14ac:dyDescent="0.25">
      <c r="A363" s="559" t="s">
        <v>166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60">
        <v>4607091384673</v>
      </c>
      <c r="E364" s="561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6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1"/>
      <c r="R364" s="551"/>
      <c r="S364" s="551"/>
      <c r="T364" s="552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3" t="s">
        <v>71</v>
      </c>
      <c r="Q365" s="548"/>
      <c r="R365" s="548"/>
      <c r="S365" s="548"/>
      <c r="T365" s="548"/>
      <c r="U365" s="548"/>
      <c r="V365" s="549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3" t="s">
        <v>71</v>
      </c>
      <c r="Q366" s="548"/>
      <c r="R366" s="548"/>
      <c r="S366" s="548"/>
      <c r="T366" s="548"/>
      <c r="U366" s="548"/>
      <c r="V366" s="549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96" t="s">
        <v>573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59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60">
        <v>4680115884885</v>
      </c>
      <c r="E369" s="561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6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1"/>
      <c r="R369" s="551"/>
      <c r="S369" s="551"/>
      <c r="T369" s="552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577</v>
      </c>
      <c r="B370" s="54" t="s">
        <v>578</v>
      </c>
      <c r="C370" s="31">
        <v>4301011871</v>
      </c>
      <c r="D370" s="560">
        <v>4680115884908</v>
      </c>
      <c r="E370" s="561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5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1"/>
      <c r="R370" s="551"/>
      <c r="S370" s="551"/>
      <c r="T370" s="552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3" t="s">
        <v>71</v>
      </c>
      <c r="Q371" s="548"/>
      <c r="R371" s="548"/>
      <c r="S371" s="548"/>
      <c r="T371" s="548"/>
      <c r="U371" s="548"/>
      <c r="V371" s="549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3" t="s">
        <v>71</v>
      </c>
      <c r="Q372" s="548"/>
      <c r="R372" s="548"/>
      <c r="S372" s="548"/>
      <c r="T372" s="548"/>
      <c r="U372" s="548"/>
      <c r="V372" s="549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59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60">
        <v>4607091384802</v>
      </c>
      <c r="E374" s="561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3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1"/>
      <c r="R374" s="551"/>
      <c r="S374" s="551"/>
      <c r="T374" s="552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579</v>
      </c>
      <c r="B375" s="54" t="s">
        <v>582</v>
      </c>
      <c r="C375" s="31">
        <v>4301031457</v>
      </c>
      <c r="D375" s="560">
        <v>4607091384802</v>
      </c>
      <c r="E375" s="561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1"/>
      <c r="R375" s="551"/>
      <c r="S375" s="551"/>
      <c r="T375" s="552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3" t="s">
        <v>71</v>
      </c>
      <c r="Q376" s="548"/>
      <c r="R376" s="548"/>
      <c r="S376" s="548"/>
      <c r="T376" s="548"/>
      <c r="U376" s="548"/>
      <c r="V376" s="549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3" t="s">
        <v>71</v>
      </c>
      <c r="Q377" s="548"/>
      <c r="R377" s="548"/>
      <c r="S377" s="548"/>
      <c r="T377" s="548"/>
      <c r="U377" s="548"/>
      <c r="V377" s="549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59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60">
        <v>4607091384246</v>
      </c>
      <c r="E379" s="561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8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1"/>
      <c r="R379" s="551"/>
      <c r="S379" s="551"/>
      <c r="T379" s="552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60">
        <v>4607091384253</v>
      </c>
      <c r="E380" s="56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1"/>
      <c r="R380" s="551"/>
      <c r="S380" s="551"/>
      <c r="T380" s="552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3" t="s">
        <v>71</v>
      </c>
      <c r="Q381" s="548"/>
      <c r="R381" s="548"/>
      <c r="S381" s="548"/>
      <c r="T381" s="548"/>
      <c r="U381" s="548"/>
      <c r="V381" s="549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3" t="s">
        <v>71</v>
      </c>
      <c r="Q382" s="548"/>
      <c r="R382" s="548"/>
      <c r="S382" s="548"/>
      <c r="T382" s="548"/>
      <c r="U382" s="548"/>
      <c r="V382" s="549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644" t="s">
        <v>589</v>
      </c>
      <c r="B383" s="645"/>
      <c r="C383" s="645"/>
      <c r="D383" s="645"/>
      <c r="E383" s="645"/>
      <c r="F383" s="645"/>
      <c r="G383" s="645"/>
      <c r="H383" s="645"/>
      <c r="I383" s="645"/>
      <c r="J383" s="645"/>
      <c r="K383" s="645"/>
      <c r="L383" s="645"/>
      <c r="M383" s="645"/>
      <c r="N383" s="645"/>
      <c r="O383" s="645"/>
      <c r="P383" s="645"/>
      <c r="Q383" s="645"/>
      <c r="R383" s="645"/>
      <c r="S383" s="645"/>
      <c r="T383" s="645"/>
      <c r="U383" s="645"/>
      <c r="V383" s="645"/>
      <c r="W383" s="645"/>
      <c r="X383" s="645"/>
      <c r="Y383" s="645"/>
      <c r="Z383" s="645"/>
      <c r="AA383" s="48"/>
      <c r="AB383" s="48"/>
      <c r="AC383" s="48"/>
    </row>
    <row r="384" spans="1:68" ht="16.5" customHeight="1" x14ac:dyDescent="0.25">
      <c r="A384" s="596" t="s">
        <v>590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59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60">
        <v>4680115886100</v>
      </c>
      <c r="E386" s="561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1"/>
      <c r="R386" s="551"/>
      <c r="S386" s="551"/>
      <c r="T386" s="552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60">
        <v>4680115886117</v>
      </c>
      <c r="E387" s="561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1"/>
      <c r="R387" s="551"/>
      <c r="S387" s="551"/>
      <c r="T387" s="552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60">
        <v>4680115886124</v>
      </c>
      <c r="E388" s="561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1"/>
      <c r="R388" s="551"/>
      <c r="S388" s="551"/>
      <c r="T388" s="552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4301031366</v>
      </c>
      <c r="D389" s="560">
        <v>4680115883147</v>
      </c>
      <c r="E389" s="56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1"/>
      <c r="R389" s="551"/>
      <c r="S389" s="551"/>
      <c r="T389" s="552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60">
        <v>4607091384338</v>
      </c>
      <c r="E390" s="56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1"/>
      <c r="R390" s="551"/>
      <c r="S390" s="551"/>
      <c r="T390" s="552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604</v>
      </c>
      <c r="B391" s="54" t="s">
        <v>605</v>
      </c>
      <c r="C391" s="31">
        <v>4301031361</v>
      </c>
      <c r="D391" s="560">
        <v>4607091389524</v>
      </c>
      <c r="E391" s="56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1"/>
      <c r="R391" s="551"/>
      <c r="S391" s="551"/>
      <c r="T391" s="552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4301031364</v>
      </c>
      <c r="D392" s="560">
        <v>4680115883161</v>
      </c>
      <c r="E392" s="56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4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1"/>
      <c r="R392" s="551"/>
      <c r="S392" s="551"/>
      <c r="T392" s="552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610</v>
      </c>
      <c r="B393" s="54" t="s">
        <v>611</v>
      </c>
      <c r="C393" s="31">
        <v>4301031358</v>
      </c>
      <c r="D393" s="560">
        <v>4607091389531</v>
      </c>
      <c r="E393" s="56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1"/>
      <c r="R393" s="551"/>
      <c r="S393" s="551"/>
      <c r="T393" s="552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613</v>
      </c>
      <c r="B394" s="54" t="s">
        <v>614</v>
      </c>
      <c r="C394" s="31">
        <v>4301031360</v>
      </c>
      <c r="D394" s="560">
        <v>4607091384345</v>
      </c>
      <c r="E394" s="56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1"/>
      <c r="R394" s="551"/>
      <c r="S394" s="551"/>
      <c r="T394" s="552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3" t="s">
        <v>71</v>
      </c>
      <c r="Q395" s="548"/>
      <c r="R395" s="548"/>
      <c r="S395" s="548"/>
      <c r="T395" s="548"/>
      <c r="U395" s="548"/>
      <c r="V395" s="549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3" t="s">
        <v>71</v>
      </c>
      <c r="Q396" s="548"/>
      <c r="R396" s="548"/>
      <c r="S396" s="548"/>
      <c r="T396" s="548"/>
      <c r="U396" s="548"/>
      <c r="V396" s="549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59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615</v>
      </c>
      <c r="B398" s="54" t="s">
        <v>616</v>
      </c>
      <c r="C398" s="31">
        <v>4301051284</v>
      </c>
      <c r="D398" s="560">
        <v>4607091384352</v>
      </c>
      <c r="E398" s="561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6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1"/>
      <c r="R398" s="551"/>
      <c r="S398" s="551"/>
      <c r="T398" s="552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618</v>
      </c>
      <c r="B399" s="54" t="s">
        <v>619</v>
      </c>
      <c r="C399" s="31">
        <v>4301051431</v>
      </c>
      <c r="D399" s="560">
        <v>4607091389654</v>
      </c>
      <c r="E399" s="56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6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1"/>
      <c r="R399" s="551"/>
      <c r="S399" s="551"/>
      <c r="T399" s="552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3" t="s">
        <v>71</v>
      </c>
      <c r="Q400" s="548"/>
      <c r="R400" s="548"/>
      <c r="S400" s="548"/>
      <c r="T400" s="548"/>
      <c r="U400" s="548"/>
      <c r="V400" s="549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3" t="s">
        <v>71</v>
      </c>
      <c r="Q401" s="548"/>
      <c r="R401" s="548"/>
      <c r="S401" s="548"/>
      <c r="T401" s="548"/>
      <c r="U401" s="548"/>
      <c r="V401" s="549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96" t="s">
        <v>621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59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622</v>
      </c>
      <c r="B404" s="54" t="s">
        <v>623</v>
      </c>
      <c r="C404" s="31">
        <v>4301020319</v>
      </c>
      <c r="D404" s="560">
        <v>4680115885240</v>
      </c>
      <c r="E404" s="56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8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1"/>
      <c r="R404" s="551"/>
      <c r="S404" s="551"/>
      <c r="T404" s="552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3" t="s">
        <v>71</v>
      </c>
      <c r="Q405" s="548"/>
      <c r="R405" s="548"/>
      <c r="S405" s="548"/>
      <c r="T405" s="548"/>
      <c r="U405" s="548"/>
      <c r="V405" s="549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3" t="s">
        <v>71</v>
      </c>
      <c r="Q406" s="548"/>
      <c r="R406" s="548"/>
      <c r="S406" s="548"/>
      <c r="T406" s="548"/>
      <c r="U406" s="548"/>
      <c r="V406" s="549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9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60">
        <v>4680115886094</v>
      </c>
      <c r="E408" s="561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1"/>
      <c r="R408" s="551"/>
      <c r="S408" s="551"/>
      <c r="T408" s="552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4301031363</v>
      </c>
      <c r="D409" s="560">
        <v>4607091389425</v>
      </c>
      <c r="E409" s="56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1"/>
      <c r="R409" s="551"/>
      <c r="S409" s="551"/>
      <c r="T409" s="552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4301031373</v>
      </c>
      <c r="D410" s="560">
        <v>4680115880771</v>
      </c>
      <c r="E410" s="56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1"/>
      <c r="R410" s="551"/>
      <c r="S410" s="551"/>
      <c r="T410" s="552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634</v>
      </c>
      <c r="B411" s="54" t="s">
        <v>635</v>
      </c>
      <c r="C411" s="31">
        <v>4301031359</v>
      </c>
      <c r="D411" s="560">
        <v>4607091389500</v>
      </c>
      <c r="E411" s="56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7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1"/>
      <c r="R411" s="551"/>
      <c r="S411" s="551"/>
      <c r="T411" s="552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3" t="s">
        <v>71</v>
      </c>
      <c r="Q412" s="548"/>
      <c r="R412" s="548"/>
      <c r="S412" s="548"/>
      <c r="T412" s="548"/>
      <c r="U412" s="548"/>
      <c r="V412" s="549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3" t="s">
        <v>71</v>
      </c>
      <c r="Q413" s="548"/>
      <c r="R413" s="548"/>
      <c r="S413" s="548"/>
      <c r="T413" s="548"/>
      <c r="U413" s="548"/>
      <c r="V413" s="549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96" t="s">
        <v>636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59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637</v>
      </c>
      <c r="B416" s="54" t="s">
        <v>638</v>
      </c>
      <c r="C416" s="31">
        <v>4301031347</v>
      </c>
      <c r="D416" s="560">
        <v>4680115885110</v>
      </c>
      <c r="E416" s="56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76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1"/>
      <c r="R416" s="551"/>
      <c r="S416" s="551"/>
      <c r="T416" s="552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3" t="s">
        <v>71</v>
      </c>
      <c r="Q417" s="548"/>
      <c r="R417" s="548"/>
      <c r="S417" s="548"/>
      <c r="T417" s="548"/>
      <c r="U417" s="548"/>
      <c r="V417" s="549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3" t="s">
        <v>71</v>
      </c>
      <c r="Q418" s="548"/>
      <c r="R418" s="548"/>
      <c r="S418" s="548"/>
      <c r="T418" s="548"/>
      <c r="U418" s="548"/>
      <c r="V418" s="549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644" t="s">
        <v>640</v>
      </c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5"/>
      <c r="P419" s="645"/>
      <c r="Q419" s="645"/>
      <c r="R419" s="645"/>
      <c r="S419" s="645"/>
      <c r="T419" s="645"/>
      <c r="U419" s="645"/>
      <c r="V419" s="645"/>
      <c r="W419" s="645"/>
      <c r="X419" s="645"/>
      <c r="Y419" s="645"/>
      <c r="Z419" s="645"/>
      <c r="AA419" s="48"/>
      <c r="AB419" s="48"/>
      <c r="AC419" s="48"/>
    </row>
    <row r="420" spans="1:68" ht="16.5" customHeight="1" x14ac:dyDescent="0.25">
      <c r="A420" s="596" t="s">
        <v>640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59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60">
        <v>4607091389067</v>
      </c>
      <c r="E422" s="561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1"/>
      <c r="R422" s="551"/>
      <c r="S422" s="551"/>
      <c r="T422" s="552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60">
        <v>4680115885271</v>
      </c>
      <c r="E423" s="561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1"/>
      <c r="R423" s="551"/>
      <c r="S423" s="551"/>
      <c r="T423" s="552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60">
        <v>4680115885226</v>
      </c>
      <c r="E424" s="561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1"/>
      <c r="R424" s="551"/>
      <c r="S424" s="551"/>
      <c r="T424" s="552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60">
        <v>4607091383522</v>
      </c>
      <c r="E425" s="561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1"/>
      <c r="R425" s="551"/>
      <c r="S425" s="551"/>
      <c r="T425" s="552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652</v>
      </c>
      <c r="B426" s="54" t="s">
        <v>653</v>
      </c>
      <c r="C426" s="31">
        <v>4301011774</v>
      </c>
      <c r="D426" s="560">
        <v>4680115884502</v>
      </c>
      <c r="E426" s="561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1"/>
      <c r="R426" s="551"/>
      <c r="S426" s="551"/>
      <c r="T426" s="552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60">
        <v>4607091389104</v>
      </c>
      <c r="E427" s="561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5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1"/>
      <c r="R427" s="551"/>
      <c r="S427" s="551"/>
      <c r="T427" s="552"/>
      <c r="U427" s="34"/>
      <c r="V427" s="34"/>
      <c r="W427" s="35" t="s">
        <v>69</v>
      </c>
      <c r="X427" s="543">
        <v>550</v>
      </c>
      <c r="Y427" s="544">
        <f t="shared" si="47"/>
        <v>554.4</v>
      </c>
      <c r="Z427" s="36">
        <f t="shared" si="48"/>
        <v>1.2558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587.5</v>
      </c>
      <c r="BN427" s="64">
        <f t="shared" si="50"/>
        <v>592.19999999999993</v>
      </c>
      <c r="BO427" s="64">
        <f t="shared" si="51"/>
        <v>1.0016025641025641</v>
      </c>
      <c r="BP427" s="64">
        <f t="shared" si="52"/>
        <v>1.0096153846153846</v>
      </c>
    </row>
    <row r="428" spans="1:68" ht="27" customHeight="1" x14ac:dyDescent="0.25">
      <c r="A428" s="54" t="s">
        <v>658</v>
      </c>
      <c r="B428" s="54" t="s">
        <v>659</v>
      </c>
      <c r="C428" s="31">
        <v>4301012125</v>
      </c>
      <c r="D428" s="560">
        <v>4680115886391</v>
      </c>
      <c r="E428" s="56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7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1"/>
      <c r="R428" s="551"/>
      <c r="S428" s="551"/>
      <c r="T428" s="552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60">
        <v>4680115880603</v>
      </c>
      <c r="E429" s="561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7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1"/>
      <c r="R429" s="551"/>
      <c r="S429" s="551"/>
      <c r="T429" s="552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4301012036</v>
      </c>
      <c r="D430" s="560">
        <v>4680115882782</v>
      </c>
      <c r="E430" s="56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1"/>
      <c r="R430" s="551"/>
      <c r="S430" s="551"/>
      <c r="T430" s="552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4301012050</v>
      </c>
      <c r="D431" s="560">
        <v>4680115885479</v>
      </c>
      <c r="E431" s="56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76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1"/>
      <c r="R431" s="551"/>
      <c r="S431" s="551"/>
      <c r="T431" s="552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4301012034</v>
      </c>
      <c r="D432" s="560">
        <v>4607091389982</v>
      </c>
      <c r="E432" s="561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1"/>
      <c r="R432" s="551"/>
      <c r="S432" s="551"/>
      <c r="T432" s="552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3" t="s">
        <v>71</v>
      </c>
      <c r="Q433" s="548"/>
      <c r="R433" s="548"/>
      <c r="S433" s="548"/>
      <c r="T433" s="548"/>
      <c r="U433" s="548"/>
      <c r="V433" s="549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104.16666666666666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104.99999999999999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1.2558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3" t="s">
        <v>71</v>
      </c>
      <c r="Q434" s="548"/>
      <c r="R434" s="548"/>
      <c r="S434" s="548"/>
      <c r="T434" s="548"/>
      <c r="U434" s="548"/>
      <c r="V434" s="549"/>
      <c r="W434" s="37" t="s">
        <v>69</v>
      </c>
      <c r="X434" s="545">
        <f>IFERROR(SUM(X422:X432),"0")</f>
        <v>550</v>
      </c>
      <c r="Y434" s="545">
        <f>IFERROR(SUM(Y422:Y432),"0")</f>
        <v>554.4</v>
      </c>
      <c r="Z434" s="37"/>
      <c r="AA434" s="546"/>
      <c r="AB434" s="546"/>
      <c r="AC434" s="546"/>
    </row>
    <row r="435" spans="1:68" ht="14.25" customHeight="1" x14ac:dyDescent="0.25">
      <c r="A435" s="559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60">
        <v>4607091388930</v>
      </c>
      <c r="E436" s="561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5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1"/>
      <c r="R436" s="551"/>
      <c r="S436" s="551"/>
      <c r="T436" s="552"/>
      <c r="U436" s="34"/>
      <c r="V436" s="34"/>
      <c r="W436" s="35" t="s">
        <v>69</v>
      </c>
      <c r="X436" s="543">
        <v>550</v>
      </c>
      <c r="Y436" s="544">
        <f>IFERROR(IF(X436="",0,CEILING((X436/$H436),1)*$H436),"")</f>
        <v>554.4</v>
      </c>
      <c r="Z436" s="36">
        <f>IFERROR(IF(Y436=0,"",ROUNDUP(Y436/H436,0)*0.01196),"")</f>
        <v>1.2558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587.5</v>
      </c>
      <c r="BN436" s="64">
        <f>IFERROR(Y436*I436/H436,"0")</f>
        <v>592.19999999999993</v>
      </c>
      <c r="BO436" s="64">
        <f>IFERROR(1/J436*(X436/H436),"0")</f>
        <v>1.0016025641025641</v>
      </c>
      <c r="BP436" s="64">
        <f>IFERROR(1/J436*(Y436/H436),"0")</f>
        <v>1.0096153846153846</v>
      </c>
    </row>
    <row r="437" spans="1:68" ht="16.5" customHeight="1" x14ac:dyDescent="0.25">
      <c r="A437" s="54" t="s">
        <v>672</v>
      </c>
      <c r="B437" s="54" t="s">
        <v>673</v>
      </c>
      <c r="C437" s="31">
        <v>4301020384</v>
      </c>
      <c r="D437" s="560">
        <v>4680115886407</v>
      </c>
      <c r="E437" s="56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8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1"/>
      <c r="R437" s="551"/>
      <c r="S437" s="551"/>
      <c r="T437" s="552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674</v>
      </c>
      <c r="B438" s="54" t="s">
        <v>675</v>
      </c>
      <c r="C438" s="31">
        <v>4301020385</v>
      </c>
      <c r="D438" s="560">
        <v>4680115880054</v>
      </c>
      <c r="E438" s="561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4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1"/>
      <c r="R438" s="551"/>
      <c r="S438" s="551"/>
      <c r="T438" s="552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3" t="s">
        <v>71</v>
      </c>
      <c r="Q439" s="548"/>
      <c r="R439" s="548"/>
      <c r="S439" s="548"/>
      <c r="T439" s="548"/>
      <c r="U439" s="548"/>
      <c r="V439" s="549"/>
      <c r="W439" s="37" t="s">
        <v>72</v>
      </c>
      <c r="X439" s="545">
        <f>IFERROR(X436/H436,"0")+IFERROR(X437/H437,"0")+IFERROR(X438/H438,"0")</f>
        <v>104.16666666666666</v>
      </c>
      <c r="Y439" s="545">
        <f>IFERROR(Y436/H436,"0")+IFERROR(Y437/H437,"0")+IFERROR(Y438/H438,"0")</f>
        <v>104.99999999999999</v>
      </c>
      <c r="Z439" s="545">
        <f>IFERROR(IF(Z436="",0,Z436),"0")+IFERROR(IF(Z437="",0,Z437),"0")+IFERROR(IF(Z438="",0,Z438),"0")</f>
        <v>1.2558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3" t="s">
        <v>71</v>
      </c>
      <c r="Q440" s="548"/>
      <c r="R440" s="548"/>
      <c r="S440" s="548"/>
      <c r="T440" s="548"/>
      <c r="U440" s="548"/>
      <c r="V440" s="549"/>
      <c r="W440" s="37" t="s">
        <v>69</v>
      </c>
      <c r="X440" s="545">
        <f>IFERROR(SUM(X436:X438),"0")</f>
        <v>550</v>
      </c>
      <c r="Y440" s="545">
        <f>IFERROR(SUM(Y436:Y438),"0")</f>
        <v>554.4</v>
      </c>
      <c r="Z440" s="37"/>
      <c r="AA440" s="546"/>
      <c r="AB440" s="546"/>
      <c r="AC440" s="546"/>
    </row>
    <row r="441" spans="1:68" ht="14.25" customHeight="1" x14ac:dyDescent="0.25">
      <c r="A441" s="559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60">
        <v>4680115883116</v>
      </c>
      <c r="E442" s="561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7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1"/>
      <c r="R442" s="551"/>
      <c r="S442" s="551"/>
      <c r="T442" s="552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60">
        <v>4680115883093</v>
      </c>
      <c r="E443" s="561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1"/>
      <c r="R443" s="551"/>
      <c r="S443" s="551"/>
      <c r="T443" s="552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60">
        <v>4680115883109</v>
      </c>
      <c r="E444" s="561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6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1"/>
      <c r="R444" s="551"/>
      <c r="S444" s="551"/>
      <c r="T444" s="552"/>
      <c r="U444" s="34"/>
      <c r="V444" s="34"/>
      <c r="W444" s="35" t="s">
        <v>69</v>
      </c>
      <c r="X444" s="543">
        <v>150</v>
      </c>
      <c r="Y444" s="544">
        <f t="shared" si="53"/>
        <v>153.12</v>
      </c>
      <c r="Z444" s="36">
        <f>IFERROR(IF(Y444=0,"",ROUNDUP(Y444/H444,0)*0.01196),"")</f>
        <v>0.34683999999999998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160.22727272727272</v>
      </c>
      <c r="BN444" s="64">
        <f t="shared" si="55"/>
        <v>163.56</v>
      </c>
      <c r="BO444" s="64">
        <f t="shared" si="56"/>
        <v>0.27316433566433568</v>
      </c>
      <c r="BP444" s="64">
        <f t="shared" si="57"/>
        <v>0.27884615384615385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60">
        <v>4680115882072</v>
      </c>
      <c r="E445" s="561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1"/>
      <c r="R445" s="551"/>
      <c r="S445" s="551"/>
      <c r="T445" s="552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4301031418</v>
      </c>
      <c r="D446" s="560">
        <v>4680115882102</v>
      </c>
      <c r="E446" s="561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1"/>
      <c r="R446" s="551"/>
      <c r="S446" s="551"/>
      <c r="T446" s="552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689</v>
      </c>
      <c r="B447" s="54" t="s">
        <v>690</v>
      </c>
      <c r="C447" s="31">
        <v>4301031417</v>
      </c>
      <c r="D447" s="560">
        <v>4680115882096</v>
      </c>
      <c r="E447" s="561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5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1"/>
      <c r="R447" s="551"/>
      <c r="S447" s="551"/>
      <c r="T447" s="552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3" t="s">
        <v>71</v>
      </c>
      <c r="Q448" s="548"/>
      <c r="R448" s="548"/>
      <c r="S448" s="548"/>
      <c r="T448" s="548"/>
      <c r="U448" s="548"/>
      <c r="V448" s="549"/>
      <c r="W448" s="37" t="s">
        <v>72</v>
      </c>
      <c r="X448" s="545">
        <f>IFERROR(X442/H442,"0")+IFERROR(X443/H443,"0")+IFERROR(X444/H444,"0")+IFERROR(X445/H445,"0")+IFERROR(X446/H446,"0")+IFERROR(X447/H447,"0")</f>
        <v>28.409090909090907</v>
      </c>
      <c r="Y448" s="545">
        <f>IFERROR(Y442/H442,"0")+IFERROR(Y443/H443,"0")+IFERROR(Y444/H444,"0")+IFERROR(Y445/H445,"0")+IFERROR(Y446/H446,"0")+IFERROR(Y447/H447,"0")</f>
        <v>29</v>
      </c>
      <c r="Z448" s="545">
        <f>IFERROR(IF(Z442="",0,Z442),"0")+IFERROR(IF(Z443="",0,Z443),"0")+IFERROR(IF(Z444="",0,Z444),"0")+IFERROR(IF(Z445="",0,Z445),"0")+IFERROR(IF(Z446="",0,Z446),"0")+IFERROR(IF(Z447="",0,Z447),"0")</f>
        <v>0.34683999999999998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3" t="s">
        <v>71</v>
      </c>
      <c r="Q449" s="548"/>
      <c r="R449" s="548"/>
      <c r="S449" s="548"/>
      <c r="T449" s="548"/>
      <c r="U449" s="548"/>
      <c r="V449" s="549"/>
      <c r="W449" s="37" t="s">
        <v>69</v>
      </c>
      <c r="X449" s="545">
        <f>IFERROR(SUM(X442:X447),"0")</f>
        <v>150</v>
      </c>
      <c r="Y449" s="545">
        <f>IFERROR(SUM(Y442:Y447),"0")</f>
        <v>153.12</v>
      </c>
      <c r="Z449" s="37"/>
      <c r="AA449" s="546"/>
      <c r="AB449" s="546"/>
      <c r="AC449" s="546"/>
    </row>
    <row r="450" spans="1:68" ht="14.25" customHeight="1" x14ac:dyDescent="0.25">
      <c r="A450" s="559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691</v>
      </c>
      <c r="B451" s="54" t="s">
        <v>692</v>
      </c>
      <c r="C451" s="31">
        <v>4301051232</v>
      </c>
      <c r="D451" s="560">
        <v>4607091383409</v>
      </c>
      <c r="E451" s="561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1"/>
      <c r="R451" s="551"/>
      <c r="S451" s="551"/>
      <c r="T451" s="552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694</v>
      </c>
      <c r="B452" s="54" t="s">
        <v>695</v>
      </c>
      <c r="C452" s="31">
        <v>4301051233</v>
      </c>
      <c r="D452" s="560">
        <v>4607091383416</v>
      </c>
      <c r="E452" s="561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86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1"/>
      <c r="R452" s="551"/>
      <c r="S452" s="551"/>
      <c r="T452" s="552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4301051064</v>
      </c>
      <c r="D453" s="560">
        <v>4680115883536</v>
      </c>
      <c r="E453" s="56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1"/>
      <c r="R453" s="551"/>
      <c r="S453" s="551"/>
      <c r="T453" s="552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3" t="s">
        <v>71</v>
      </c>
      <c r="Q454" s="548"/>
      <c r="R454" s="548"/>
      <c r="S454" s="548"/>
      <c r="T454" s="548"/>
      <c r="U454" s="548"/>
      <c r="V454" s="549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3" t="s">
        <v>71</v>
      </c>
      <c r="Q455" s="548"/>
      <c r="R455" s="548"/>
      <c r="S455" s="548"/>
      <c r="T455" s="548"/>
      <c r="U455" s="548"/>
      <c r="V455" s="549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44" t="s">
        <v>700</v>
      </c>
      <c r="B456" s="645"/>
      <c r="C456" s="645"/>
      <c r="D456" s="645"/>
      <c r="E456" s="645"/>
      <c r="F456" s="645"/>
      <c r="G456" s="645"/>
      <c r="H456" s="645"/>
      <c r="I456" s="645"/>
      <c r="J456" s="645"/>
      <c r="K456" s="645"/>
      <c r="L456" s="645"/>
      <c r="M456" s="645"/>
      <c r="N456" s="645"/>
      <c r="O456" s="645"/>
      <c r="P456" s="645"/>
      <c r="Q456" s="645"/>
      <c r="R456" s="645"/>
      <c r="S456" s="645"/>
      <c r="T456" s="645"/>
      <c r="U456" s="645"/>
      <c r="V456" s="645"/>
      <c r="W456" s="645"/>
      <c r="X456" s="645"/>
      <c r="Y456" s="645"/>
      <c r="Z456" s="645"/>
      <c r="AA456" s="48"/>
      <c r="AB456" s="48"/>
      <c r="AC456" s="48"/>
    </row>
    <row r="457" spans="1:68" ht="16.5" customHeight="1" x14ac:dyDescent="0.25">
      <c r="A457" s="596" t="s">
        <v>700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59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701</v>
      </c>
      <c r="B459" s="54" t="s">
        <v>702</v>
      </c>
      <c r="C459" s="31">
        <v>4301011763</v>
      </c>
      <c r="D459" s="560">
        <v>4640242181011</v>
      </c>
      <c r="E459" s="561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69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1"/>
      <c r="R459" s="551"/>
      <c r="S459" s="551"/>
      <c r="T459" s="552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4301011585</v>
      </c>
      <c r="D460" s="560">
        <v>4640242180441</v>
      </c>
      <c r="E460" s="561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66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1"/>
      <c r="R460" s="551"/>
      <c r="S460" s="551"/>
      <c r="T460" s="552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60">
        <v>4640242180564</v>
      </c>
      <c r="E461" s="561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1"/>
      <c r="R461" s="551"/>
      <c r="S461" s="551"/>
      <c r="T461" s="552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710</v>
      </c>
      <c r="B462" s="54" t="s">
        <v>711</v>
      </c>
      <c r="C462" s="31">
        <v>4301011764</v>
      </c>
      <c r="D462" s="560">
        <v>4640242181189</v>
      </c>
      <c r="E462" s="561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65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1"/>
      <c r="R462" s="551"/>
      <c r="S462" s="551"/>
      <c r="T462" s="552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3" t="s">
        <v>71</v>
      </c>
      <c r="Q463" s="548"/>
      <c r="R463" s="548"/>
      <c r="S463" s="548"/>
      <c r="T463" s="548"/>
      <c r="U463" s="548"/>
      <c r="V463" s="549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3" t="s">
        <v>71</v>
      </c>
      <c r="Q464" s="548"/>
      <c r="R464" s="548"/>
      <c r="S464" s="548"/>
      <c r="T464" s="548"/>
      <c r="U464" s="548"/>
      <c r="V464" s="549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9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712</v>
      </c>
      <c r="B466" s="54" t="s">
        <v>713</v>
      </c>
      <c r="C466" s="31">
        <v>4301020400</v>
      </c>
      <c r="D466" s="560">
        <v>4640242180519</v>
      </c>
      <c r="E466" s="561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1"/>
      <c r="R466" s="551"/>
      <c r="S466" s="551"/>
      <c r="T466" s="552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4301020260</v>
      </c>
      <c r="D467" s="560">
        <v>4640242180526</v>
      </c>
      <c r="E467" s="561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1"/>
      <c r="R467" s="551"/>
      <c r="S467" s="551"/>
      <c r="T467" s="552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718</v>
      </c>
      <c r="B468" s="54" t="s">
        <v>719</v>
      </c>
      <c r="C468" s="31">
        <v>4301020295</v>
      </c>
      <c r="D468" s="560">
        <v>4640242181363</v>
      </c>
      <c r="E468" s="561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8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1"/>
      <c r="R468" s="551"/>
      <c r="S468" s="551"/>
      <c r="T468" s="552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3" t="s">
        <v>71</v>
      </c>
      <c r="Q469" s="548"/>
      <c r="R469" s="548"/>
      <c r="S469" s="548"/>
      <c r="T469" s="548"/>
      <c r="U469" s="548"/>
      <c r="V469" s="549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3" t="s">
        <v>71</v>
      </c>
      <c r="Q470" s="548"/>
      <c r="R470" s="548"/>
      <c r="S470" s="548"/>
      <c r="T470" s="548"/>
      <c r="U470" s="548"/>
      <c r="V470" s="549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9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60">
        <v>4640242180816</v>
      </c>
      <c r="E472" s="561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8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1"/>
      <c r="R472" s="551"/>
      <c r="S472" s="551"/>
      <c r="T472" s="552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60">
        <v>4640242180595</v>
      </c>
      <c r="E473" s="561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8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1"/>
      <c r="R473" s="551"/>
      <c r="S473" s="551"/>
      <c r="T473" s="552"/>
      <c r="U473" s="34"/>
      <c r="V473" s="34"/>
      <c r="W473" s="35" t="s">
        <v>69</v>
      </c>
      <c r="X473" s="543">
        <v>1300</v>
      </c>
      <c r="Y473" s="544">
        <f>IFERROR(IF(X473="",0,CEILING((X473/$H473),1)*$H473),"")</f>
        <v>1302</v>
      </c>
      <c r="Z473" s="36">
        <f>IFERROR(IF(Y473=0,"",ROUNDUP(Y473/H473,0)*0.00902),"")</f>
        <v>2.7962000000000002</v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1383.5714285714284</v>
      </c>
      <c r="BN473" s="64">
        <f>IFERROR(Y473*I473/H473,"0")</f>
        <v>1385.6999999999998</v>
      </c>
      <c r="BO473" s="64">
        <f>IFERROR(1/J473*(X473/H473),"0")</f>
        <v>2.3448773448773448</v>
      </c>
      <c r="BP473" s="64">
        <f>IFERROR(1/J473*(Y473/H473),"0")</f>
        <v>2.3484848484848486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3" t="s">
        <v>71</v>
      </c>
      <c r="Q474" s="548"/>
      <c r="R474" s="548"/>
      <c r="S474" s="548"/>
      <c r="T474" s="548"/>
      <c r="U474" s="548"/>
      <c r="V474" s="549"/>
      <c r="W474" s="37" t="s">
        <v>72</v>
      </c>
      <c r="X474" s="545">
        <f>IFERROR(X472/H472,"0")+IFERROR(X473/H473,"0")</f>
        <v>309.52380952380952</v>
      </c>
      <c r="Y474" s="545">
        <f>IFERROR(Y472/H472,"0")+IFERROR(Y473/H473,"0")</f>
        <v>310</v>
      </c>
      <c r="Z474" s="545">
        <f>IFERROR(IF(Z472="",0,Z472),"0")+IFERROR(IF(Z473="",0,Z473),"0")</f>
        <v>2.7962000000000002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3" t="s">
        <v>71</v>
      </c>
      <c r="Q475" s="548"/>
      <c r="R475" s="548"/>
      <c r="S475" s="548"/>
      <c r="T475" s="548"/>
      <c r="U475" s="548"/>
      <c r="V475" s="549"/>
      <c r="W475" s="37" t="s">
        <v>69</v>
      </c>
      <c r="X475" s="545">
        <f>IFERROR(SUM(X472:X473),"0")</f>
        <v>1300</v>
      </c>
      <c r="Y475" s="545">
        <f>IFERROR(SUM(Y472:Y473),"0")</f>
        <v>1302</v>
      </c>
      <c r="Z475" s="37"/>
      <c r="AA475" s="546"/>
      <c r="AB475" s="546"/>
      <c r="AC475" s="546"/>
    </row>
    <row r="476" spans="1:68" ht="14.25" customHeight="1" x14ac:dyDescent="0.25">
      <c r="A476" s="559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60">
        <v>4640242180533</v>
      </c>
      <c r="E477" s="561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1"/>
      <c r="R477" s="551"/>
      <c r="S477" s="551"/>
      <c r="T477" s="552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3" t="s">
        <v>71</v>
      </c>
      <c r="Q478" s="548"/>
      <c r="R478" s="548"/>
      <c r="S478" s="548"/>
      <c r="T478" s="548"/>
      <c r="U478" s="548"/>
      <c r="V478" s="549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3" t="s">
        <v>71</v>
      </c>
      <c r="Q479" s="548"/>
      <c r="R479" s="548"/>
      <c r="S479" s="548"/>
      <c r="T479" s="548"/>
      <c r="U479" s="548"/>
      <c r="V479" s="549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9" t="s">
        <v>166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730</v>
      </c>
      <c r="B481" s="54" t="s">
        <v>731</v>
      </c>
      <c r="C481" s="31">
        <v>4301060491</v>
      </c>
      <c r="D481" s="560">
        <v>4640242180120</v>
      </c>
      <c r="E481" s="561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80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1"/>
      <c r="R481" s="551"/>
      <c r="S481" s="551"/>
      <c r="T481" s="552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4301060493</v>
      </c>
      <c r="D482" s="560">
        <v>4640242180137</v>
      </c>
      <c r="E482" s="561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80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1"/>
      <c r="R482" s="551"/>
      <c r="S482" s="551"/>
      <c r="T482" s="552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3" t="s">
        <v>71</v>
      </c>
      <c r="Q483" s="548"/>
      <c r="R483" s="548"/>
      <c r="S483" s="548"/>
      <c r="T483" s="548"/>
      <c r="U483" s="548"/>
      <c r="V483" s="549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3" t="s">
        <v>71</v>
      </c>
      <c r="Q484" s="548"/>
      <c r="R484" s="548"/>
      <c r="S484" s="548"/>
      <c r="T484" s="548"/>
      <c r="U484" s="548"/>
      <c r="V484" s="549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96" t="s">
        <v>736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59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737</v>
      </c>
      <c r="B487" s="54" t="s">
        <v>738</v>
      </c>
      <c r="C487" s="31">
        <v>4301020314</v>
      </c>
      <c r="D487" s="560">
        <v>4640242180090</v>
      </c>
      <c r="E487" s="561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6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1"/>
      <c r="R487" s="551"/>
      <c r="S487" s="551"/>
      <c r="T487" s="552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3" t="s">
        <v>71</v>
      </c>
      <c r="Q488" s="548"/>
      <c r="R488" s="548"/>
      <c r="S488" s="548"/>
      <c r="T488" s="548"/>
      <c r="U488" s="548"/>
      <c r="V488" s="549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3" t="s">
        <v>71</v>
      </c>
      <c r="Q489" s="548"/>
      <c r="R489" s="548"/>
      <c r="S489" s="548"/>
      <c r="T489" s="548"/>
      <c r="U489" s="548"/>
      <c r="V489" s="549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6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23"/>
      <c r="P490" s="588" t="s">
        <v>740</v>
      </c>
      <c r="Q490" s="589"/>
      <c r="R490" s="589"/>
      <c r="S490" s="589"/>
      <c r="T490" s="589"/>
      <c r="U490" s="589"/>
      <c r="V490" s="575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17878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17962.419999999998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23"/>
      <c r="P491" s="588" t="s">
        <v>741</v>
      </c>
      <c r="Q491" s="589"/>
      <c r="R491" s="589"/>
      <c r="S491" s="589"/>
      <c r="T491" s="589"/>
      <c r="U491" s="589"/>
      <c r="V491" s="575"/>
      <c r="W491" s="37" t="s">
        <v>69</v>
      </c>
      <c r="X491" s="545">
        <f>IFERROR(SUM(BM22:BM487),"0")</f>
        <v>18782.278003293002</v>
      </c>
      <c r="Y491" s="545">
        <f>IFERROR(SUM(BN22:BN487),"0")</f>
        <v>18871.062000000009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23"/>
      <c r="P492" s="588" t="s">
        <v>742</v>
      </c>
      <c r="Q492" s="589"/>
      <c r="R492" s="589"/>
      <c r="S492" s="589"/>
      <c r="T492" s="589"/>
      <c r="U492" s="589"/>
      <c r="V492" s="575"/>
      <c r="W492" s="37" t="s">
        <v>743</v>
      </c>
      <c r="X492" s="38">
        <f>ROUNDUP(SUM(BO22:BO487),0)</f>
        <v>30</v>
      </c>
      <c r="Y492" s="38">
        <f>ROUNDUP(SUM(BP22:BP487),0)</f>
        <v>31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23"/>
      <c r="P493" s="588" t="s">
        <v>744</v>
      </c>
      <c r="Q493" s="589"/>
      <c r="R493" s="589"/>
      <c r="S493" s="589"/>
      <c r="T493" s="589"/>
      <c r="U493" s="589"/>
      <c r="V493" s="575"/>
      <c r="W493" s="37" t="s">
        <v>69</v>
      </c>
      <c r="X493" s="545">
        <f>GrossWeightTotal+PalletQtyTotal*25</f>
        <v>19532.278003293002</v>
      </c>
      <c r="Y493" s="545">
        <f>GrossWeightTotalR+PalletQtyTotalR*25</f>
        <v>19646.062000000009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23"/>
      <c r="P494" s="588" t="s">
        <v>745</v>
      </c>
      <c r="Q494" s="589"/>
      <c r="R494" s="589"/>
      <c r="S494" s="589"/>
      <c r="T494" s="589"/>
      <c r="U494" s="589"/>
      <c r="V494" s="575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2410.2049123715792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2422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23"/>
      <c r="P495" s="588" t="s">
        <v>746</v>
      </c>
      <c r="Q495" s="589"/>
      <c r="R495" s="589"/>
      <c r="S495" s="589"/>
      <c r="T495" s="589"/>
      <c r="U495" s="589"/>
      <c r="V495" s="575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35.028089999999999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0" t="s">
        <v>99</v>
      </c>
      <c r="D497" s="594"/>
      <c r="E497" s="594"/>
      <c r="F497" s="594"/>
      <c r="G497" s="594"/>
      <c r="H497" s="595"/>
      <c r="I497" s="590" t="s">
        <v>257</v>
      </c>
      <c r="J497" s="594"/>
      <c r="K497" s="594"/>
      <c r="L497" s="594"/>
      <c r="M497" s="594"/>
      <c r="N497" s="594"/>
      <c r="O497" s="594"/>
      <c r="P497" s="594"/>
      <c r="Q497" s="594"/>
      <c r="R497" s="595"/>
      <c r="S497" s="590" t="s">
        <v>538</v>
      </c>
      <c r="T497" s="595"/>
      <c r="U497" s="590" t="s">
        <v>589</v>
      </c>
      <c r="V497" s="594"/>
      <c r="W497" s="595"/>
      <c r="X497" s="540" t="s">
        <v>640</v>
      </c>
      <c r="Y497" s="590" t="s">
        <v>700</v>
      </c>
      <c r="Z497" s="595"/>
      <c r="AB497" s="52"/>
      <c r="AC497" s="52"/>
      <c r="AF497" s="541"/>
    </row>
    <row r="498" spans="1:32" ht="14.25" customHeight="1" thickTop="1" x14ac:dyDescent="0.2">
      <c r="A498" s="841" t="s">
        <v>749</v>
      </c>
      <c r="B498" s="590" t="s">
        <v>63</v>
      </c>
      <c r="C498" s="590" t="s">
        <v>100</v>
      </c>
      <c r="D498" s="590" t="s">
        <v>117</v>
      </c>
      <c r="E498" s="590" t="s">
        <v>173</v>
      </c>
      <c r="F498" s="590" t="s">
        <v>192</v>
      </c>
      <c r="G498" s="590" t="s">
        <v>222</v>
      </c>
      <c r="H498" s="590" t="s">
        <v>99</v>
      </c>
      <c r="I498" s="590" t="s">
        <v>258</v>
      </c>
      <c r="J498" s="590" t="s">
        <v>299</v>
      </c>
      <c r="K498" s="590" t="s">
        <v>359</v>
      </c>
      <c r="L498" s="590" t="s">
        <v>401</v>
      </c>
      <c r="M498" s="590" t="s">
        <v>417</v>
      </c>
      <c r="N498" s="541"/>
      <c r="O498" s="590" t="s">
        <v>428</v>
      </c>
      <c r="P498" s="590" t="s">
        <v>437</v>
      </c>
      <c r="Q498" s="590" t="s">
        <v>447</v>
      </c>
      <c r="R498" s="590" t="s">
        <v>528</v>
      </c>
      <c r="S498" s="590" t="s">
        <v>539</v>
      </c>
      <c r="T498" s="590" t="s">
        <v>573</v>
      </c>
      <c r="U498" s="590" t="s">
        <v>590</v>
      </c>
      <c r="V498" s="590" t="s">
        <v>621</v>
      </c>
      <c r="W498" s="590" t="s">
        <v>636</v>
      </c>
      <c r="X498" s="590" t="s">
        <v>640</v>
      </c>
      <c r="Y498" s="590" t="s">
        <v>700</v>
      </c>
      <c r="Z498" s="590" t="s">
        <v>736</v>
      </c>
      <c r="AB498" s="52"/>
      <c r="AC498" s="52"/>
      <c r="AF498" s="541"/>
    </row>
    <row r="499" spans="1:32" ht="13.5" customHeight="1" thickBot="1" x14ac:dyDescent="0.25">
      <c r="A499" s="842"/>
      <c r="B499" s="591"/>
      <c r="C499" s="591"/>
      <c r="D499" s="591"/>
      <c r="E499" s="591"/>
      <c r="F499" s="591"/>
      <c r="G499" s="591"/>
      <c r="H499" s="591"/>
      <c r="I499" s="591"/>
      <c r="J499" s="591"/>
      <c r="K499" s="591"/>
      <c r="L499" s="591"/>
      <c r="M499" s="591"/>
      <c r="N499" s="541"/>
      <c r="O499" s="591"/>
      <c r="P499" s="591"/>
      <c r="Q499" s="591"/>
      <c r="R499" s="591"/>
      <c r="S499" s="591"/>
      <c r="T499" s="591"/>
      <c r="U499" s="591"/>
      <c r="V499" s="591"/>
      <c r="W499" s="591"/>
      <c r="X499" s="591"/>
      <c r="Y499" s="591"/>
      <c r="Z499" s="591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930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1798.2000000000003</v>
      </c>
      <c r="E500" s="46">
        <f>IFERROR(Y86*1,"0")+IFERROR(Y87*1,"0")+IFERROR(Y88*1,"0")+IFERROR(Y92*1,"0")+IFERROR(Y93*1,"0")+IFERROR(Y94*1,"0")+IFERROR(Y95*1,"0")</f>
        <v>407.70000000000005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502.2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277.2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205.20000000000002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36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5057.4000000000005</v>
      </c>
      <c r="R500" s="46">
        <f>IFERROR(Y336*1,"0")+IFERROR(Y337*1,"0")+IFERROR(Y338*1,"0")</f>
        <v>294.59999999999997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5890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1261.92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1302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D374:E374"/>
    <mergeCell ref="P396:V396"/>
    <mergeCell ref="A395:O396"/>
    <mergeCell ref="P259:T259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A415:Z415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2025-11-04T07:27:27Z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