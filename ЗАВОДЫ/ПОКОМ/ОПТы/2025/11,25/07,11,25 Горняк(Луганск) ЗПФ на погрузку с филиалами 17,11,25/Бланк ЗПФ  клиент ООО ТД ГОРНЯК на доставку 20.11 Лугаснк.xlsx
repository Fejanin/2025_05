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Setting!$B$9:$B$9</definedName>
    <definedName name="UnloadAdressList0002">Setting!$B$11:$B$11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09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43" fillId="0" borderId="11" applyAlignment="1" applyProtection="1" pivotButton="0" quotePrefix="0" xfId="0">
      <alignment wrapText="1"/>
      <protection locked="1" hidden="1"/>
    </xf>
    <xf numFmtId="0" fontId="344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1" fontId="48" fillId="0" borderId="16" applyAlignment="1" pivotButton="0" quotePrefix="0" xfId="0">
      <alignment horizontal="center" vertical="center"/>
    </xf>
    <xf numFmtId="0" fontId="339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342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324" fillId="0" borderId="45" applyAlignment="1" pivotButton="0" quotePrefix="0" xfId="0">
      <alignment horizontal="left" vertical="center" wrapText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2" fontId="28" fillId="26" borderId="0" applyAlignment="1" applyProtection="1" pivotButton="0" quotePrefix="0" xfId="0">
      <alignment horizontal="center"/>
      <protection locked="1" hidden="1"/>
    </xf>
    <xf numFmtId="0" fontId="315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0" fontId="309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0" fontId="291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63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34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88"/>
  <sheetViews>
    <sheetView showGridLines="0" tabSelected="1" topLeftCell="A266" zoomScaleNormal="100" zoomScaleSheetLayoutView="100" workbookViewId="0">
      <selection activeCell="AA285" sqref="AA285"/>
    </sheetView>
  </sheetViews>
  <sheetFormatPr baseColWidth="8" defaultColWidth="9.140625" defaultRowHeight="12.75"/>
  <cols>
    <col width="9.140625" customWidth="1" style="273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273" min="18" max="18"/>
    <col width="6.140625" customWidth="1" style="273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273" min="24" max="24"/>
    <col width="11" customWidth="1" style="273" min="25" max="25"/>
    <col width="10" customWidth="1" style="273" min="26" max="26"/>
    <col width="11.5703125" customWidth="1" style="273" min="27" max="27"/>
    <col width="10.42578125" customWidth="1" style="273" min="28" max="28"/>
    <col width="30" customWidth="1" style="273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273" min="33" max="33"/>
    <col width="9.140625" customWidth="1" style="273" min="34" max="16384"/>
  </cols>
  <sheetData>
    <row r="1" ht="45" customFormat="1" customHeight="1" s="423">
      <c r="A1" s="45" t="n"/>
      <c r="B1" s="45" t="n"/>
      <c r="C1" s="45" t="n"/>
      <c r="D1" s="442" t="inlineStr">
        <is>
          <t xml:space="preserve">  БЛАНК ЗАКАЗА </t>
        </is>
      </c>
      <c r="G1" s="14" t="inlineStr">
        <is>
          <t>ЗПФ</t>
        </is>
      </c>
      <c r="H1" s="442" t="inlineStr">
        <is>
          <t>на отгрузку продукции с ООО Трейд-Сервис с</t>
        </is>
      </c>
      <c r="R1" s="443" t="inlineStr">
        <is>
          <t>24.10.2025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423">
      <c r="A2" s="32" t="inlineStr">
        <is>
          <t>бланк создан</t>
        </is>
      </c>
      <c r="B2" s="33" t="inlineStr">
        <is>
          <t>22.10.2025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44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3" t="n"/>
      <c r="R2" s="273" t="n"/>
      <c r="S2" s="273" t="n"/>
      <c r="T2" s="273" t="n"/>
      <c r="U2" s="273" t="n"/>
      <c r="V2" s="273" t="n"/>
      <c r="W2" s="273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423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423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423">
      <c r="A5" s="424" t="inlineStr">
        <is>
          <t xml:space="preserve">Ваш контактный телефон и имя: </t>
        </is>
      </c>
      <c r="B5" s="453" t="n"/>
      <c r="C5" s="454" t="n"/>
      <c r="D5" s="446" t="n"/>
      <c r="E5" s="455" t="n"/>
      <c r="F5" s="447" t="inlineStr">
        <is>
          <t>Комментарий к заказу:</t>
        </is>
      </c>
      <c r="G5" s="454" t="n"/>
      <c r="H5" s="446" t="n"/>
      <c r="I5" s="456" t="n"/>
      <c r="J5" s="456" t="n"/>
      <c r="K5" s="456" t="n"/>
      <c r="L5" s="456" t="n"/>
      <c r="M5" s="455" t="n"/>
      <c r="N5" s="72" t="n"/>
      <c r="P5" s="26" t="inlineStr">
        <is>
          <t>Дата загрузки</t>
        </is>
      </c>
      <c r="Q5" s="457" t="n">
        <v>45977</v>
      </c>
      <c r="R5" s="458" t="n"/>
      <c r="T5" s="450" t="inlineStr">
        <is>
          <t>Способ доставки (доставка/самовывоз)</t>
        </is>
      </c>
      <c r="U5" s="459" t="n"/>
      <c r="V5" s="460" t="inlineStr">
        <is>
          <t>Доставка</t>
        </is>
      </c>
      <c r="W5" s="458" t="n"/>
      <c r="AB5" s="57" t="n"/>
      <c r="AC5" s="57" t="n"/>
      <c r="AD5" s="57" t="n"/>
      <c r="AE5" s="57" t="n"/>
    </row>
    <row r="6" ht="24" customFormat="1" customHeight="1" s="423">
      <c r="A6" s="424" t="inlineStr">
        <is>
          <t>Адрес доставки:</t>
        </is>
      </c>
      <c r="B6" s="453" t="n"/>
      <c r="C6" s="454" t="n"/>
      <c r="D6" s="425" t="inlineStr">
        <is>
          <t>ГОРНЯК, ТД, ООО, Луганская Народная Респ, Возрождения ул, д. 2А,</t>
        </is>
      </c>
      <c r="E6" s="461" t="n"/>
      <c r="F6" s="461" t="n"/>
      <c r="G6" s="461" t="n"/>
      <c r="H6" s="461" t="n"/>
      <c r="I6" s="461" t="n"/>
      <c r="J6" s="461" t="n"/>
      <c r="K6" s="461" t="n"/>
      <c r="L6" s="461" t="n"/>
      <c r="M6" s="458" t="n"/>
      <c r="N6" s="73" t="n"/>
      <c r="P6" s="26" t="inlineStr">
        <is>
          <t>День недели</t>
        </is>
      </c>
      <c r="Q6" s="426">
        <f>IF(Q5=0," ",CHOOSE(WEEKDAY(Q5,2),"Понедельник","Вторник","Среда","Четверг","Пятница","Суббота","Воскресенье"))</f>
        <v/>
      </c>
      <c r="R6" s="462" t="n"/>
      <c r="T6" s="428" t="inlineStr">
        <is>
          <t>Наименование клиента</t>
        </is>
      </c>
      <c r="U6" s="459" t="n"/>
      <c r="V6" s="463" t="inlineStr">
        <is>
          <t>ОБЩЕСТВО С ОГРАНИЧЕННОЙ ОТВЕТСТВЕННОСТЬЮ "ТОРГОВЫЙ ДОМ "ГОРНЯК"</t>
        </is>
      </c>
      <c r="W6" s="464" t="n"/>
      <c r="AB6" s="57" t="n"/>
      <c r="AC6" s="57" t="n"/>
      <c r="AD6" s="57" t="n"/>
      <c r="AE6" s="57" t="n"/>
    </row>
    <row r="7" hidden="1" ht="21.75" customFormat="1" customHeight="1" s="423">
      <c r="A7" s="61" t="n"/>
      <c r="B7" s="61" t="n"/>
      <c r="C7" s="61" t="n"/>
      <c r="D7" s="465">
        <f>IFERROR(VLOOKUP(DeliveryAddress,Table,3,0),1)</f>
        <v/>
      </c>
      <c r="E7" s="466" t="n"/>
      <c r="F7" s="466" t="n"/>
      <c r="G7" s="466" t="n"/>
      <c r="H7" s="466" t="n"/>
      <c r="I7" s="466" t="n"/>
      <c r="J7" s="466" t="n"/>
      <c r="K7" s="466" t="n"/>
      <c r="L7" s="466" t="n"/>
      <c r="M7" s="467" t="n"/>
      <c r="N7" s="74" t="n"/>
      <c r="P7" s="26" t="n"/>
      <c r="Q7" s="46" t="n"/>
      <c r="R7" s="46" t="n"/>
      <c r="T7" s="273" t="n"/>
      <c r="U7" s="459" t="n"/>
      <c r="V7" s="468" t="n"/>
      <c r="W7" s="469" t="n"/>
      <c r="AB7" s="57" t="n"/>
      <c r="AC7" s="57" t="n"/>
      <c r="AD7" s="57" t="n"/>
      <c r="AE7" s="57" t="n"/>
    </row>
    <row r="8" ht="25.5" customFormat="1" customHeight="1" s="423">
      <c r="A8" s="438" t="inlineStr">
        <is>
          <t>Адрес сдачи груза:</t>
        </is>
      </c>
      <c r="B8" s="470" t="n"/>
      <c r="C8" s="471" t="n"/>
      <c r="D8" s="439" t="n"/>
      <c r="E8" s="472" t="n"/>
      <c r="F8" s="472" t="n"/>
      <c r="G8" s="472" t="n"/>
      <c r="H8" s="472" t="n"/>
      <c r="I8" s="472" t="n"/>
      <c r="J8" s="472" t="n"/>
      <c r="K8" s="472" t="n"/>
      <c r="L8" s="472" t="n"/>
      <c r="M8" s="473" t="n"/>
      <c r="N8" s="75" t="n"/>
      <c r="P8" s="26" t="inlineStr">
        <is>
          <t>Время загрузки</t>
        </is>
      </c>
      <c r="Q8" s="422" t="n">
        <v>0.375</v>
      </c>
      <c r="R8" s="467" t="n"/>
      <c r="T8" s="273" t="n"/>
      <c r="U8" s="459" t="n"/>
      <c r="V8" s="468" t="n"/>
      <c r="W8" s="469" t="n"/>
      <c r="AB8" s="57" t="n"/>
      <c r="AC8" s="57" t="n"/>
      <c r="AD8" s="57" t="n"/>
      <c r="AE8" s="57" t="n"/>
    </row>
    <row r="9" ht="39.95" customFormat="1" customHeight="1" s="423">
      <c r="A9" s="414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3" t="n"/>
      <c r="C9" s="273" t="n"/>
      <c r="D9" s="415" t="inlineStr"/>
      <c r="E9" s="3" t="n"/>
      <c r="F9" s="414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3" t="n"/>
      <c r="H9" s="440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440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440" t="n"/>
      <c r="P9" s="29" t="inlineStr">
        <is>
          <t>Дата доставки</t>
        </is>
      </c>
      <c r="Q9" s="474" t="n">
        <v>45981</v>
      </c>
      <c r="R9" s="475" t="n"/>
      <c r="T9" s="273" t="n"/>
      <c r="U9" s="459" t="n"/>
      <c r="V9" s="476" t="n"/>
      <c r="W9" s="477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423">
      <c r="A10" s="414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3" t="n"/>
      <c r="C10" s="273" t="n"/>
      <c r="D10" s="415" t="n"/>
      <c r="E10" s="3" t="n"/>
      <c r="F10" s="414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3" t="n"/>
      <c r="H10" s="417">
        <f>IFERROR(VLOOKUP($D$10,Proxy,2,FALSE),"")</f>
        <v/>
      </c>
      <c r="I10" s="273" t="n"/>
      <c r="J10" s="273" t="n"/>
      <c r="K10" s="273" t="n"/>
      <c r="L10" s="273" t="n"/>
      <c r="M10" s="273" t="n"/>
      <c r="N10" s="417" t="n"/>
      <c r="P10" s="29" t="inlineStr">
        <is>
          <t>Время доставки</t>
        </is>
      </c>
      <c r="Q10" s="418" t="n">
        <v>0.5416666666666666</v>
      </c>
      <c r="R10" s="478" t="n"/>
      <c r="U10" s="26" t="inlineStr">
        <is>
          <t>КОД Аксапты Клиента</t>
        </is>
      </c>
      <c r="V10" s="479" t="inlineStr">
        <is>
          <t>596516</t>
        </is>
      </c>
      <c r="W10" s="464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423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421" t="n"/>
      <c r="R11" s="458" t="n"/>
      <c r="U11" s="26" t="inlineStr">
        <is>
          <t>Тип заказа</t>
        </is>
      </c>
      <c r="V11" s="400" t="inlineStr">
        <is>
          <t>Основной заказ</t>
        </is>
      </c>
      <c r="W11" s="475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423">
      <c r="A12" s="399" t="inlineStr">
        <is>
          <t>Телефоны для заказов:8(919)022-63-02 E-mail: Zamorozka@abiproduct.ru, Телефон сотрудников склада: 8-980-75-76-203</t>
        </is>
      </c>
      <c r="B12" s="453" t="n"/>
      <c r="C12" s="453" t="n"/>
      <c r="D12" s="453" t="n"/>
      <c r="E12" s="453" t="n"/>
      <c r="F12" s="453" t="n"/>
      <c r="G12" s="453" t="n"/>
      <c r="H12" s="453" t="n"/>
      <c r="I12" s="453" t="n"/>
      <c r="J12" s="453" t="n"/>
      <c r="K12" s="453" t="n"/>
      <c r="L12" s="453" t="n"/>
      <c r="M12" s="454" t="n"/>
      <c r="N12" s="76" t="n"/>
      <c r="P12" s="26" t="inlineStr">
        <is>
          <t>Время доставки 3 машины</t>
        </is>
      </c>
      <c r="Q12" s="422" t="n"/>
      <c r="R12" s="467" t="n"/>
      <c r="S12" s="27" t="n"/>
      <c r="U12" s="26" t="inlineStr"/>
      <c r="V12" s="423" t="n"/>
      <c r="W12" s="273" t="n"/>
      <c r="AB12" s="57" t="n"/>
      <c r="AC12" s="57" t="n"/>
      <c r="AD12" s="57" t="n"/>
      <c r="AE12" s="57" t="n"/>
    </row>
    <row r="13" ht="23.25" customFormat="1" customHeight="1" s="423">
      <c r="A13" s="399" t="inlineStr">
        <is>
          <t>График приема заказов: Заказы принимаются за ДВА дня до отгрузки Пн-Пт: с 9:00 до 14:00, Суб. - Вс. выходной</t>
        </is>
      </c>
      <c r="B13" s="453" t="n"/>
      <c r="C13" s="453" t="n"/>
      <c r="D13" s="453" t="n"/>
      <c r="E13" s="453" t="n"/>
      <c r="F13" s="453" t="n"/>
      <c r="G13" s="453" t="n"/>
      <c r="H13" s="453" t="n"/>
      <c r="I13" s="453" t="n"/>
      <c r="J13" s="453" t="n"/>
      <c r="K13" s="453" t="n"/>
      <c r="L13" s="453" t="n"/>
      <c r="M13" s="454" t="n"/>
      <c r="N13" s="76" t="n"/>
      <c r="O13" s="29" t="n"/>
      <c r="P13" s="29" t="inlineStr">
        <is>
          <t>Время доставки 4 машины</t>
        </is>
      </c>
      <c r="Q13" s="400" t="n"/>
      <c r="R13" s="475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423">
      <c r="A14" s="399" t="inlineStr">
        <is>
          <t>Телефон менеджера по логистике: 8 (919) 012-30-55 - по вопросам доставки продукции</t>
        </is>
      </c>
      <c r="B14" s="453" t="n"/>
      <c r="C14" s="453" t="n"/>
      <c r="D14" s="453" t="n"/>
      <c r="E14" s="453" t="n"/>
      <c r="F14" s="453" t="n"/>
      <c r="G14" s="453" t="n"/>
      <c r="H14" s="453" t="n"/>
      <c r="I14" s="453" t="n"/>
      <c r="J14" s="453" t="n"/>
      <c r="K14" s="453" t="n"/>
      <c r="L14" s="453" t="n"/>
      <c r="M14" s="454" t="n"/>
      <c r="N14" s="76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423">
      <c r="A15" s="401" t="inlineStr">
        <is>
          <t>Телефон по работе с претензиями/жалобами (WhatSapp): 8 (980) 757-69-93       E-mail: Claims@abiproduct.ru</t>
        </is>
      </c>
      <c r="B15" s="453" t="n"/>
      <c r="C15" s="453" t="n"/>
      <c r="D15" s="453" t="n"/>
      <c r="E15" s="453" t="n"/>
      <c r="F15" s="453" t="n"/>
      <c r="G15" s="453" t="n"/>
      <c r="H15" s="453" t="n"/>
      <c r="I15" s="453" t="n"/>
      <c r="J15" s="453" t="n"/>
      <c r="K15" s="453" t="n"/>
      <c r="L15" s="453" t="n"/>
      <c r="M15" s="454" t="n"/>
      <c r="N15" s="77" t="n"/>
      <c r="P15" s="403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480" t="n"/>
      <c r="Q16" s="480" t="n"/>
      <c r="R16" s="480" t="n"/>
      <c r="S16" s="480" t="n"/>
      <c r="T16" s="480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481" t="inlineStr">
        <is>
          <t>Код единицы продаж</t>
        </is>
      </c>
      <c r="B17" s="481" t="inlineStr">
        <is>
          <t>Код продукта</t>
        </is>
      </c>
      <c r="C17" s="482" t="inlineStr">
        <is>
          <t>Номер варианта</t>
        </is>
      </c>
      <c r="D17" s="481" t="inlineStr">
        <is>
          <t xml:space="preserve">Штрих-код </t>
        </is>
      </c>
      <c r="E17" s="483" t="n"/>
      <c r="F17" s="481" t="inlineStr">
        <is>
          <t>Вес нетто штуки, кг</t>
        </is>
      </c>
      <c r="G17" s="481" t="inlineStr">
        <is>
          <t>Кол-во штук в коробе, шт</t>
        </is>
      </c>
      <c r="H17" s="481" t="inlineStr">
        <is>
          <t>Вес нетто короба, кг</t>
        </is>
      </c>
      <c r="I17" s="481" t="inlineStr">
        <is>
          <t>Вес брутто короба, кг</t>
        </is>
      </c>
      <c r="J17" s="481" t="inlineStr">
        <is>
          <t>Кол-во кор. на паллте, шт</t>
        </is>
      </c>
      <c r="K17" s="481" t="inlineStr">
        <is>
          <t>Коробов в слое</t>
        </is>
      </c>
      <c r="L17" s="481" t="inlineStr">
        <is>
          <t>Квант заказа</t>
        </is>
      </c>
      <c r="M17" s="481" t="inlineStr">
        <is>
          <t>Завод</t>
        </is>
      </c>
      <c r="N17" s="481" t="inlineStr">
        <is>
          <t>Внешний код номенклатуры</t>
        </is>
      </c>
      <c r="O17" s="481" t="inlineStr">
        <is>
          <t>Срок годности, сут.</t>
        </is>
      </c>
      <c r="P17" s="481" t="inlineStr">
        <is>
          <t>Наименование</t>
        </is>
      </c>
      <c r="Q17" s="484" t="n"/>
      <c r="R17" s="484" t="n"/>
      <c r="S17" s="484" t="n"/>
      <c r="T17" s="483" t="n"/>
      <c r="U17" s="81" t="inlineStr">
        <is>
          <t>Доступно к отгрузке</t>
        </is>
      </c>
      <c r="V17" s="454" t="n"/>
      <c r="W17" s="481" t="inlineStr">
        <is>
          <t>Ед. изм.</t>
        </is>
      </c>
      <c r="X17" s="481" t="inlineStr">
        <is>
          <t>Заказ</t>
        </is>
      </c>
      <c r="Y17" s="485" t="inlineStr">
        <is>
          <t>Заказ с округлением до короба</t>
        </is>
      </c>
      <c r="Z17" s="486" t="inlineStr">
        <is>
          <t>Объём заказа, м3</t>
        </is>
      </c>
      <c r="AA17" s="487" t="inlineStr">
        <is>
          <t>Примечание по продуктку</t>
        </is>
      </c>
      <c r="AB17" s="487" t="inlineStr">
        <is>
          <t>Признак "НОВИНКА"</t>
        </is>
      </c>
      <c r="AC17" s="487" t="inlineStr">
        <is>
          <t>Декларация/Сертификат</t>
        </is>
      </c>
      <c r="AD17" s="487" t="inlineStr">
        <is>
          <t>Для формул</t>
        </is>
      </c>
      <c r="AE17" s="488" t="n"/>
      <c r="AF17" s="489" t="n"/>
      <c r="AG17" s="80" t="n"/>
      <c r="BD17" s="79" t="inlineStr">
        <is>
          <t>Вид продукции</t>
        </is>
      </c>
    </row>
    <row r="18" ht="14.25" customHeight="1">
      <c r="A18" s="490" t="n"/>
      <c r="B18" s="490" t="n"/>
      <c r="C18" s="490" t="n"/>
      <c r="D18" s="491" t="n"/>
      <c r="E18" s="492" t="n"/>
      <c r="F18" s="490" t="n"/>
      <c r="G18" s="490" t="n"/>
      <c r="H18" s="490" t="n"/>
      <c r="I18" s="490" t="n"/>
      <c r="J18" s="490" t="n"/>
      <c r="K18" s="490" t="n"/>
      <c r="L18" s="490" t="n"/>
      <c r="M18" s="490" t="n"/>
      <c r="N18" s="490" t="n"/>
      <c r="O18" s="490" t="n"/>
      <c r="P18" s="491" t="n"/>
      <c r="Q18" s="493" t="n"/>
      <c r="R18" s="493" t="n"/>
      <c r="S18" s="493" t="n"/>
      <c r="T18" s="492" t="n"/>
      <c r="U18" s="81" t="inlineStr">
        <is>
          <t>начиная с</t>
        </is>
      </c>
      <c r="V18" s="81" t="inlineStr">
        <is>
          <t>до</t>
        </is>
      </c>
      <c r="W18" s="490" t="n"/>
      <c r="X18" s="490" t="n"/>
      <c r="Y18" s="494" t="n"/>
      <c r="Z18" s="495" t="n"/>
      <c r="AA18" s="496" t="n"/>
      <c r="AB18" s="496" t="n"/>
      <c r="AC18" s="496" t="n"/>
      <c r="AD18" s="497" t="n"/>
      <c r="AE18" s="498" t="n"/>
      <c r="AF18" s="499" t="n"/>
      <c r="AG18" s="80" t="n"/>
      <c r="BD18" s="79" t="n"/>
    </row>
    <row r="19" ht="27.75" customHeight="1">
      <c r="A19" s="305" t="inlineStr">
        <is>
          <t>Ядрена копоть</t>
        </is>
      </c>
      <c r="B19" s="500" t="n"/>
      <c r="C19" s="500" t="n"/>
      <c r="D19" s="500" t="n"/>
      <c r="E19" s="500" t="n"/>
      <c r="F19" s="500" t="n"/>
      <c r="G19" s="500" t="n"/>
      <c r="H19" s="500" t="n"/>
      <c r="I19" s="500" t="n"/>
      <c r="J19" s="500" t="n"/>
      <c r="K19" s="500" t="n"/>
      <c r="L19" s="500" t="n"/>
      <c r="M19" s="500" t="n"/>
      <c r="N19" s="500" t="n"/>
      <c r="O19" s="500" t="n"/>
      <c r="P19" s="500" t="n"/>
      <c r="Q19" s="500" t="n"/>
      <c r="R19" s="500" t="n"/>
      <c r="S19" s="500" t="n"/>
      <c r="T19" s="500" t="n"/>
      <c r="U19" s="500" t="n"/>
      <c r="V19" s="500" t="n"/>
      <c r="W19" s="500" t="n"/>
      <c r="X19" s="500" t="n"/>
      <c r="Y19" s="500" t="n"/>
      <c r="Z19" s="500" t="n"/>
      <c r="AA19" s="52" t="n"/>
      <c r="AB19" s="52" t="n"/>
      <c r="AC19" s="52" t="n"/>
    </row>
    <row r="20" ht="16.5" customHeight="1">
      <c r="A20" s="306" t="inlineStr">
        <is>
          <t>Ядрена копоть</t>
        </is>
      </c>
      <c r="B20" s="273" t="n"/>
      <c r="C20" s="273" t="n"/>
      <c r="D20" s="273" t="n"/>
      <c r="E20" s="273" t="n"/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306" t="n"/>
      <c r="AB20" s="306" t="n"/>
      <c r="AC20" s="306" t="n"/>
    </row>
    <row r="21" ht="14.25" customHeight="1">
      <c r="A21" s="295" t="inlineStr">
        <is>
          <t>Пельмени</t>
        </is>
      </c>
      <c r="B21" s="273" t="n"/>
      <c r="C21" s="273" t="n"/>
      <c r="D21" s="273" t="n"/>
      <c r="E21" s="273" t="n"/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95" t="n"/>
      <c r="AB21" s="295" t="n"/>
      <c r="AC21" s="295" t="n"/>
    </row>
    <row r="22" ht="27" customHeight="1">
      <c r="A22" s="60" t="inlineStr">
        <is>
          <t>SU002224</t>
        </is>
      </c>
      <c r="B22" s="60" t="inlineStr">
        <is>
          <t>P002928</t>
        </is>
      </c>
      <c r="C22" s="34" t="n">
        <v>4301070899</v>
      </c>
      <c r="D22" s="276" t="n">
        <v>4607111035752</v>
      </c>
      <c r="E22" s="462" t="n"/>
      <c r="F22" s="501" t="n">
        <v>0.43</v>
      </c>
      <c r="G22" s="35" t="n">
        <v>16</v>
      </c>
      <c r="H22" s="501" t="n">
        <v>6.88</v>
      </c>
      <c r="I22" s="501" t="n">
        <v>7.254</v>
      </c>
      <c r="J22" s="35" t="n">
        <v>84</v>
      </c>
      <c r="K22" s="35" t="inlineStr">
        <is>
          <t>12</t>
        </is>
      </c>
      <c r="L22" s="35" t="inlineStr">
        <is>
          <t>Короб, мин. 1</t>
        </is>
      </c>
      <c r="M22" s="36" t="inlineStr">
        <is>
          <t>МГ</t>
        </is>
      </c>
      <c r="N22" s="36" t="n"/>
      <c r="O22" s="35" t="n">
        <v>180</v>
      </c>
      <c r="P22" s="502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/>
      </c>
      <c r="Q22" s="503" t="n"/>
      <c r="R22" s="503" t="n"/>
      <c r="S22" s="503" t="n"/>
      <c r="T22" s="504" t="n"/>
      <c r="U22" s="37" t="inlineStr"/>
      <c r="V22" s="37" t="inlineStr"/>
      <c r="W22" s="38" t="inlineStr">
        <is>
          <t>кор</t>
        </is>
      </c>
      <c r="X22" s="505" t="n">
        <v>0</v>
      </c>
      <c r="Y22" s="506">
        <f>IFERROR(IF(X22="","",X22),"")</f>
        <v/>
      </c>
      <c r="Z22" s="39">
        <f>IFERROR(IF(X22="","",X22*0.0155),"")</f>
        <v/>
      </c>
      <c r="AA22" s="65" t="inlineStr"/>
      <c r="AB22" s="66" t="inlineStr"/>
      <c r="AC22" s="84" t="inlineStr">
        <is>
          <t>ЕАЭС N RU Д-RU.РА01.В.80841/20</t>
        </is>
      </c>
      <c r="AG22" s="78" t="n"/>
      <c r="AJ22" s="82" t="inlineStr">
        <is>
          <t>Короб</t>
        </is>
      </c>
      <c r="AK22" s="82" t="n">
        <v>1</v>
      </c>
      <c r="BB22" s="85" t="inlineStr">
        <is>
          <t>ЗПФ</t>
        </is>
      </c>
      <c r="BM22" s="78">
        <f>IFERROR(X22*I22,"0")</f>
        <v/>
      </c>
      <c r="BN22" s="78">
        <f>IFERROR(Y22*I22,"0")</f>
        <v/>
      </c>
      <c r="BO22" s="78">
        <f>IFERROR(X22/J22,"0")</f>
        <v/>
      </c>
      <c r="BP22" s="78">
        <f>IFERROR(Y22/J22,"0")</f>
        <v/>
      </c>
    </row>
    <row r="23">
      <c r="A23" s="285" t="n"/>
      <c r="B23" s="273" t="n"/>
      <c r="C23" s="273" t="n"/>
      <c r="D23" s="273" t="n"/>
      <c r="E23" s="273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507" t="n"/>
      <c r="P23" s="508" t="inlineStr">
        <is>
          <t>Итого</t>
        </is>
      </c>
      <c r="Q23" s="470" t="n"/>
      <c r="R23" s="470" t="n"/>
      <c r="S23" s="470" t="n"/>
      <c r="T23" s="470" t="n"/>
      <c r="U23" s="470" t="n"/>
      <c r="V23" s="471" t="n"/>
      <c r="W23" s="40" t="inlineStr">
        <is>
          <t>кор</t>
        </is>
      </c>
      <c r="X23" s="509">
        <f>IFERROR(SUM(X22:X22),"0")</f>
        <v/>
      </c>
      <c r="Y23" s="509">
        <f>IFERROR(SUM(Y22:Y22),"0")</f>
        <v/>
      </c>
      <c r="Z23" s="509">
        <f>IFERROR(IF(Z22="",0,Z22),"0")</f>
        <v/>
      </c>
      <c r="AA23" s="510" t="n"/>
      <c r="AB23" s="510" t="n"/>
      <c r="AC23" s="510" t="n"/>
    </row>
    <row r="24">
      <c r="A24" s="273" t="n"/>
      <c r="B24" s="273" t="n"/>
      <c r="C24" s="273" t="n"/>
      <c r="D24" s="273" t="n"/>
      <c r="E24" s="273" t="n"/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507" t="n"/>
      <c r="P24" s="508" t="inlineStr">
        <is>
          <t>Итого</t>
        </is>
      </c>
      <c r="Q24" s="470" t="n"/>
      <c r="R24" s="470" t="n"/>
      <c r="S24" s="470" t="n"/>
      <c r="T24" s="470" t="n"/>
      <c r="U24" s="470" t="n"/>
      <c r="V24" s="471" t="n"/>
      <c r="W24" s="40" t="inlineStr">
        <is>
          <t>кг</t>
        </is>
      </c>
      <c r="X24" s="509">
        <f>IFERROR(SUMPRODUCT(X22:X22*H22:H22),"0")</f>
        <v/>
      </c>
      <c r="Y24" s="509">
        <f>IFERROR(SUMPRODUCT(Y22:Y22*H22:H22),"0")</f>
        <v/>
      </c>
      <c r="Z24" s="40" t="n"/>
      <c r="AA24" s="510" t="n"/>
      <c r="AB24" s="510" t="n"/>
      <c r="AC24" s="510" t="n"/>
    </row>
    <row r="25" ht="27.75" customHeight="1">
      <c r="A25" s="305" t="inlineStr">
        <is>
          <t>Горячая штучка</t>
        </is>
      </c>
      <c r="B25" s="500" t="n"/>
      <c r="C25" s="500" t="n"/>
      <c r="D25" s="500" t="n"/>
      <c r="E25" s="500" t="n"/>
      <c r="F25" s="500" t="n"/>
      <c r="G25" s="500" t="n"/>
      <c r="H25" s="500" t="n"/>
      <c r="I25" s="500" t="n"/>
      <c r="J25" s="500" t="n"/>
      <c r="K25" s="500" t="n"/>
      <c r="L25" s="500" t="n"/>
      <c r="M25" s="500" t="n"/>
      <c r="N25" s="500" t="n"/>
      <c r="O25" s="500" t="n"/>
      <c r="P25" s="500" t="n"/>
      <c r="Q25" s="500" t="n"/>
      <c r="R25" s="500" t="n"/>
      <c r="S25" s="500" t="n"/>
      <c r="T25" s="500" t="n"/>
      <c r="U25" s="500" t="n"/>
      <c r="V25" s="500" t="n"/>
      <c r="W25" s="500" t="n"/>
      <c r="X25" s="500" t="n"/>
      <c r="Y25" s="500" t="n"/>
      <c r="Z25" s="500" t="n"/>
      <c r="AA25" s="52" t="n"/>
      <c r="AB25" s="52" t="n"/>
      <c r="AC25" s="52" t="n"/>
    </row>
    <row r="26" ht="16.5" customHeight="1">
      <c r="A26" s="306" t="inlineStr">
        <is>
          <t>Наггетсы ГШ</t>
        </is>
      </c>
      <c r="B26" s="273" t="n"/>
      <c r="C26" s="273" t="n"/>
      <c r="D26" s="273" t="n"/>
      <c r="E26" s="273" t="n"/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306" t="n"/>
      <c r="AB26" s="306" t="n"/>
      <c r="AC26" s="306" t="n"/>
    </row>
    <row r="27" ht="14.25" customHeight="1">
      <c r="A27" s="295" t="inlineStr">
        <is>
          <t>Наггетсы</t>
        </is>
      </c>
      <c r="B27" s="273" t="n"/>
      <c r="C27" s="273" t="n"/>
      <c r="D27" s="273" t="n"/>
      <c r="E27" s="273" t="n"/>
      <c r="F27" s="273" t="n"/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95" t="n"/>
      <c r="AB27" s="295" t="n"/>
      <c r="AC27" s="295" t="n"/>
    </row>
    <row r="28" ht="27" customHeight="1">
      <c r="A28" s="60" t="inlineStr">
        <is>
          <t>SU003598</t>
        </is>
      </c>
      <c r="B28" s="60" t="inlineStr">
        <is>
          <t>P004602</t>
        </is>
      </c>
      <c r="C28" s="34" t="n">
        <v>4301132190</v>
      </c>
      <c r="D28" s="276" t="n">
        <v>4607111036537</v>
      </c>
      <c r="E28" s="462" t="n"/>
      <c r="F28" s="501" t="n">
        <v>0.25</v>
      </c>
      <c r="G28" s="35" t="n">
        <v>6</v>
      </c>
      <c r="H28" s="501" t="n">
        <v>1.5</v>
      </c>
      <c r="I28" s="501" t="n">
        <v>1.9218</v>
      </c>
      <c r="J28" s="35" t="n">
        <v>140</v>
      </c>
      <c r="K28" s="35" t="inlineStr">
        <is>
          <t>14</t>
        </is>
      </c>
      <c r="L28" s="35" t="inlineStr">
        <is>
          <t>Слой, мин. 1</t>
        </is>
      </c>
      <c r="M28" s="36" t="inlineStr">
        <is>
          <t>МГ</t>
        </is>
      </c>
      <c r="N28" s="36" t="n"/>
      <c r="O28" s="35" t="n">
        <v>365</v>
      </c>
      <c r="P28" s="511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28" s="503" t="n"/>
      <c r="R28" s="503" t="n"/>
      <c r="S28" s="503" t="n"/>
      <c r="T28" s="504" t="n"/>
      <c r="U28" s="37" t="inlineStr"/>
      <c r="V28" s="37" t="inlineStr"/>
      <c r="W28" s="38" t="inlineStr">
        <is>
          <t>кор</t>
        </is>
      </c>
      <c r="X28" s="505" t="n">
        <v>0</v>
      </c>
      <c r="Y28" s="506">
        <f>IFERROR(IF(X28="","",X28),"")</f>
        <v/>
      </c>
      <c r="Z28" s="39">
        <f>IFERROR(IF(X28="","",X28*0.00941),"")</f>
        <v/>
      </c>
      <c r="AA28" s="65" t="inlineStr"/>
      <c r="AB28" s="66" t="inlineStr"/>
      <c r="AC28" s="86" t="inlineStr">
        <is>
          <t>ЕАЭС N RU Д-RU.РА10.В.22386/23</t>
        </is>
      </c>
      <c r="AG28" s="78" t="n"/>
      <c r="AJ28" s="82" t="inlineStr">
        <is>
          <t>Слой</t>
        </is>
      </c>
      <c r="AK28" s="82" t="n">
        <v>14</v>
      </c>
      <c r="BB28" s="87" t="inlineStr">
        <is>
          <t>ПГП</t>
        </is>
      </c>
      <c r="BM28" s="78">
        <f>IFERROR(X28*I28,"0")</f>
        <v/>
      </c>
      <c r="BN28" s="78">
        <f>IFERROR(Y28*I28,"0")</f>
        <v/>
      </c>
      <c r="BO28" s="78">
        <f>IFERROR(X28/J28,"0")</f>
        <v/>
      </c>
      <c r="BP28" s="78">
        <f>IFERROR(Y28/J28,"0")</f>
        <v/>
      </c>
    </row>
    <row r="29" ht="27" customHeight="1">
      <c r="A29" s="60" t="inlineStr">
        <is>
          <t>SU003600</t>
        </is>
      </c>
      <c r="B29" s="60" t="inlineStr">
        <is>
          <t>P004600</t>
        </is>
      </c>
      <c r="C29" s="34" t="n">
        <v>4301132188</v>
      </c>
      <c r="D29" s="276" t="n">
        <v>4607111036605</v>
      </c>
      <c r="E29" s="462" t="n"/>
      <c r="F29" s="501" t="n">
        <v>0.25</v>
      </c>
      <c r="G29" s="35" t="n">
        <v>6</v>
      </c>
      <c r="H29" s="501" t="n">
        <v>1.5</v>
      </c>
      <c r="I29" s="501" t="n">
        <v>1.9218</v>
      </c>
      <c r="J29" s="35" t="n">
        <v>140</v>
      </c>
      <c r="K29" s="35" t="inlineStr">
        <is>
          <t>14</t>
        </is>
      </c>
      <c r="L29" s="35" t="inlineStr">
        <is>
          <t>Короб, мин. 1</t>
        </is>
      </c>
      <c r="M29" s="36" t="inlineStr">
        <is>
          <t>МГ</t>
        </is>
      </c>
      <c r="N29" s="36" t="n"/>
      <c r="O29" s="35" t="n">
        <v>365</v>
      </c>
      <c r="P29" s="512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29" s="503" t="n"/>
      <c r="R29" s="503" t="n"/>
      <c r="S29" s="503" t="n"/>
      <c r="T29" s="504" t="n"/>
      <c r="U29" s="37" t="inlineStr"/>
      <c r="V29" s="37" t="inlineStr"/>
      <c r="W29" s="38" t="inlineStr">
        <is>
          <t>кор</t>
        </is>
      </c>
      <c r="X29" s="505" t="n">
        <v>0</v>
      </c>
      <c r="Y29" s="506">
        <f>IFERROR(IF(X29="","",X29),"")</f>
        <v/>
      </c>
      <c r="Z29" s="39">
        <f>IFERROR(IF(X29="","",X29*0.00941),"")</f>
        <v/>
      </c>
      <c r="AA29" s="65" t="inlineStr"/>
      <c r="AB29" s="66" t="inlineStr"/>
      <c r="AC29" s="88" t="inlineStr">
        <is>
          <t>ЕАЭС N RU Д-RU.РА10.В.22386/23</t>
        </is>
      </c>
      <c r="AG29" s="78" t="n"/>
      <c r="AJ29" s="82" t="inlineStr">
        <is>
          <t>Короб</t>
        </is>
      </c>
      <c r="AK29" s="82" t="n">
        <v>1</v>
      </c>
      <c r="BB29" s="89" t="inlineStr">
        <is>
          <t>ПГП</t>
        </is>
      </c>
      <c r="BM29" s="78">
        <f>IFERROR(X29*I29,"0")</f>
        <v/>
      </c>
      <c r="BN29" s="78">
        <f>IFERROR(Y29*I29,"0")</f>
        <v/>
      </c>
      <c r="BO29" s="78">
        <f>IFERROR(X29/J29,"0")</f>
        <v/>
      </c>
      <c r="BP29" s="78">
        <f>IFERROR(Y29/J29,"0")</f>
        <v/>
      </c>
    </row>
    <row r="30">
      <c r="A30" s="285" t="n"/>
      <c r="B30" s="273" t="n"/>
      <c r="C30" s="273" t="n"/>
      <c r="D30" s="273" t="n"/>
      <c r="E30" s="273" t="n"/>
      <c r="F30" s="273" t="n"/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507" t="n"/>
      <c r="P30" s="508" t="inlineStr">
        <is>
          <t>Итого</t>
        </is>
      </c>
      <c r="Q30" s="470" t="n"/>
      <c r="R30" s="470" t="n"/>
      <c r="S30" s="470" t="n"/>
      <c r="T30" s="470" t="n"/>
      <c r="U30" s="470" t="n"/>
      <c r="V30" s="471" t="n"/>
      <c r="W30" s="40" t="inlineStr">
        <is>
          <t>кор</t>
        </is>
      </c>
      <c r="X30" s="509">
        <f>IFERROR(SUM(X28:X29),"0")</f>
        <v/>
      </c>
      <c r="Y30" s="509">
        <f>IFERROR(SUM(Y28:Y29),"0")</f>
        <v/>
      </c>
      <c r="Z30" s="509">
        <f>IFERROR(IF(Z28="",0,Z28),"0")+IFERROR(IF(Z29="",0,Z29),"0")</f>
        <v/>
      </c>
      <c r="AA30" s="510" t="n"/>
      <c r="AB30" s="510" t="n"/>
      <c r="AC30" s="510" t="n"/>
    </row>
    <row r="31">
      <c r="A31" s="273" t="n"/>
      <c r="B31" s="273" t="n"/>
      <c r="C31" s="273" t="n"/>
      <c r="D31" s="273" t="n"/>
      <c r="E31" s="273" t="n"/>
      <c r="F31" s="273" t="n"/>
      <c r="G31" s="273" t="n"/>
      <c r="H31" s="273" t="n"/>
      <c r="I31" s="273" t="n"/>
      <c r="J31" s="273" t="n"/>
      <c r="K31" s="273" t="n"/>
      <c r="L31" s="273" t="n"/>
      <c r="M31" s="273" t="n"/>
      <c r="N31" s="273" t="n"/>
      <c r="O31" s="507" t="n"/>
      <c r="P31" s="508" t="inlineStr">
        <is>
          <t>Итого</t>
        </is>
      </c>
      <c r="Q31" s="470" t="n"/>
      <c r="R31" s="470" t="n"/>
      <c r="S31" s="470" t="n"/>
      <c r="T31" s="470" t="n"/>
      <c r="U31" s="470" t="n"/>
      <c r="V31" s="471" t="n"/>
      <c r="W31" s="40" t="inlineStr">
        <is>
          <t>кг</t>
        </is>
      </c>
      <c r="X31" s="509">
        <f>IFERROR(SUMPRODUCT(X28:X29*H28:H29),"0")</f>
        <v/>
      </c>
      <c r="Y31" s="509">
        <f>IFERROR(SUMPRODUCT(Y28:Y29*H28:H29),"0")</f>
        <v/>
      </c>
      <c r="Z31" s="40" t="n"/>
      <c r="AA31" s="510" t="n"/>
      <c r="AB31" s="510" t="n"/>
      <c r="AC31" s="510" t="n"/>
    </row>
    <row r="32" ht="16.5" customHeight="1">
      <c r="A32" s="306" t="inlineStr">
        <is>
          <t>Grandmeni</t>
        </is>
      </c>
      <c r="B32" s="273" t="n"/>
      <c r="C32" s="273" t="n"/>
      <c r="D32" s="273" t="n"/>
      <c r="E32" s="273" t="n"/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306" t="n"/>
      <c r="AB32" s="306" t="n"/>
      <c r="AC32" s="306" t="n"/>
    </row>
    <row r="33" ht="14.25" customHeight="1">
      <c r="A33" s="295" t="inlineStr">
        <is>
          <t>Пельмени</t>
        </is>
      </c>
      <c r="B33" s="273" t="n"/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95" t="n"/>
      <c r="AB33" s="295" t="n"/>
      <c r="AC33" s="295" t="n"/>
    </row>
    <row r="34" ht="27" customHeight="1">
      <c r="A34" s="60" t="inlineStr">
        <is>
          <t>SU003826</t>
        </is>
      </c>
      <c r="B34" s="60" t="inlineStr">
        <is>
          <t>P004887</t>
        </is>
      </c>
      <c r="C34" s="34" t="n">
        <v>4301071090</v>
      </c>
      <c r="D34" s="276" t="n">
        <v>4620207490075</v>
      </c>
      <c r="E34" s="462" t="n"/>
      <c r="F34" s="501" t="n">
        <v>0.7</v>
      </c>
      <c r="G34" s="35" t="n">
        <v>8</v>
      </c>
      <c r="H34" s="501" t="n">
        <v>5.6</v>
      </c>
      <c r="I34" s="501" t="n">
        <v>5.87</v>
      </c>
      <c r="J34" s="35" t="n">
        <v>84</v>
      </c>
      <c r="K34" s="35" t="inlineStr">
        <is>
          <t>12</t>
        </is>
      </c>
      <c r="L34" s="35" t="inlineStr">
        <is>
          <t>Слой, мин. 1</t>
        </is>
      </c>
      <c r="M34" s="36" t="inlineStr">
        <is>
          <t>МГ</t>
        </is>
      </c>
      <c r="N34" s="36" t="n"/>
      <c r="O34" s="35" t="n">
        <v>180</v>
      </c>
      <c r="P34" s="513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34" s="503" t="n"/>
      <c r="R34" s="503" t="n"/>
      <c r="S34" s="503" t="n"/>
      <c r="T34" s="504" t="n"/>
      <c r="U34" s="37" t="inlineStr"/>
      <c r="V34" s="37" t="inlineStr"/>
      <c r="W34" s="38" t="inlineStr">
        <is>
          <t>кор</t>
        </is>
      </c>
      <c r="X34" s="505" t="n">
        <v>0</v>
      </c>
      <c r="Y34" s="506">
        <f>IFERROR(IF(X34="","",X34),"")</f>
        <v/>
      </c>
      <c r="Z34" s="39">
        <f>IFERROR(IF(X34="","",X34*0.0155),"")</f>
        <v/>
      </c>
      <c r="AA34" s="65" t="inlineStr"/>
      <c r="AB34" s="66" t="inlineStr"/>
      <c r="AC34" s="90" t="inlineStr">
        <is>
          <t>ЕАЭС N RU Д-RU.РА05.В.25234/24</t>
        </is>
      </c>
      <c r="AG34" s="78" t="n"/>
      <c r="AJ34" s="82" t="inlineStr">
        <is>
          <t>Слой</t>
        </is>
      </c>
      <c r="AK34" s="82" t="n">
        <v>12</v>
      </c>
      <c r="BB34" s="91" t="inlineStr">
        <is>
          <t>ЗПФ</t>
        </is>
      </c>
      <c r="BM34" s="78">
        <f>IFERROR(X34*I34,"0")</f>
        <v/>
      </c>
      <c r="BN34" s="78">
        <f>IFERROR(Y34*I34,"0")</f>
        <v/>
      </c>
      <c r="BO34" s="78">
        <f>IFERROR(X34/J34,"0")</f>
        <v/>
      </c>
      <c r="BP34" s="78">
        <f>IFERROR(Y34/J34,"0")</f>
        <v/>
      </c>
    </row>
    <row r="35" ht="27" customHeight="1">
      <c r="A35" s="60" t="inlineStr">
        <is>
          <t>SU003828</t>
        </is>
      </c>
      <c r="B35" s="60" t="inlineStr">
        <is>
          <t>P004889</t>
        </is>
      </c>
      <c r="C35" s="34" t="n">
        <v>4301071092</v>
      </c>
      <c r="D35" s="276" t="n">
        <v>4620207490174</v>
      </c>
      <c r="E35" s="462" t="n"/>
      <c r="F35" s="501" t="n">
        <v>0.7</v>
      </c>
      <c r="G35" s="35" t="n">
        <v>8</v>
      </c>
      <c r="H35" s="501" t="n">
        <v>5.6</v>
      </c>
      <c r="I35" s="501" t="n">
        <v>5.87</v>
      </c>
      <c r="J35" s="35" t="n">
        <v>84</v>
      </c>
      <c r="K35" s="35" t="inlineStr">
        <is>
          <t>12</t>
        </is>
      </c>
      <c r="L35" s="35" t="inlineStr">
        <is>
          <t>Слой, мин. 1</t>
        </is>
      </c>
      <c r="M35" s="36" t="inlineStr">
        <is>
          <t>МГ</t>
        </is>
      </c>
      <c r="N35" s="36" t="n"/>
      <c r="O35" s="35" t="n">
        <v>180</v>
      </c>
      <c r="P35" s="514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35" s="503" t="n"/>
      <c r="R35" s="503" t="n"/>
      <c r="S35" s="503" t="n"/>
      <c r="T35" s="504" t="n"/>
      <c r="U35" s="37" t="inlineStr"/>
      <c r="V35" s="37" t="inlineStr"/>
      <c r="W35" s="38" t="inlineStr">
        <is>
          <t>кор</t>
        </is>
      </c>
      <c r="X35" s="505" t="n">
        <v>24</v>
      </c>
      <c r="Y35" s="506">
        <f>IFERROR(IF(X35="","",X35),"")</f>
        <v/>
      </c>
      <c r="Z35" s="39">
        <f>IFERROR(IF(X35="","",X35*0.0155),"")</f>
        <v/>
      </c>
      <c r="AA35" s="65" t="inlineStr"/>
      <c r="AB35" s="66" t="inlineStr"/>
      <c r="AC35" s="92" t="inlineStr">
        <is>
          <t>ЕАЭС N RU Д-RU.РА05.В.16662/24</t>
        </is>
      </c>
      <c r="AG35" s="78" t="n"/>
      <c r="AJ35" s="82" t="inlineStr">
        <is>
          <t>Слой</t>
        </is>
      </c>
      <c r="AK35" s="82" t="n">
        <v>12</v>
      </c>
      <c r="BB35" s="93" t="inlineStr">
        <is>
          <t>ЗПФ</t>
        </is>
      </c>
      <c r="BM35" s="78">
        <f>IFERROR(X35*I35,"0")</f>
        <v/>
      </c>
      <c r="BN35" s="78">
        <f>IFERROR(Y35*I35,"0")</f>
        <v/>
      </c>
      <c r="BO35" s="78">
        <f>IFERROR(X35/J35,"0")</f>
        <v/>
      </c>
      <c r="BP35" s="78">
        <f>IFERROR(Y35/J35,"0")</f>
        <v/>
      </c>
    </row>
    <row r="36" ht="27" customHeight="1">
      <c r="A36" s="60" t="inlineStr">
        <is>
          <t>SU003827</t>
        </is>
      </c>
      <c r="B36" s="60" t="inlineStr">
        <is>
          <t>P004888</t>
        </is>
      </c>
      <c r="C36" s="34" t="n">
        <v>4301071091</v>
      </c>
      <c r="D36" s="276" t="n">
        <v>4620207490044</v>
      </c>
      <c r="E36" s="462" t="n"/>
      <c r="F36" s="501" t="n">
        <v>0.7</v>
      </c>
      <c r="G36" s="35" t="n">
        <v>8</v>
      </c>
      <c r="H36" s="501" t="n">
        <v>5.6</v>
      </c>
      <c r="I36" s="501" t="n">
        <v>5.87</v>
      </c>
      <c r="J36" s="35" t="n">
        <v>84</v>
      </c>
      <c r="K36" s="35" t="inlineStr">
        <is>
          <t>12</t>
        </is>
      </c>
      <c r="L36" s="35" t="inlineStr">
        <is>
          <t>Слой, мин. 1</t>
        </is>
      </c>
      <c r="M36" s="36" t="inlineStr">
        <is>
          <t>МГ</t>
        </is>
      </c>
      <c r="N36" s="36" t="n"/>
      <c r="O36" s="35" t="n">
        <v>180</v>
      </c>
      <c r="P36" s="515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36" s="503" t="n"/>
      <c r="R36" s="503" t="n"/>
      <c r="S36" s="503" t="n"/>
      <c r="T36" s="504" t="n"/>
      <c r="U36" s="37" t="inlineStr"/>
      <c r="V36" s="37" t="inlineStr"/>
      <c r="W36" s="38" t="inlineStr">
        <is>
          <t>кор</t>
        </is>
      </c>
      <c r="X36" s="505" t="n">
        <v>24</v>
      </c>
      <c r="Y36" s="506">
        <f>IFERROR(IF(X36="","",X36),"")</f>
        <v/>
      </c>
      <c r="Z36" s="39">
        <f>IFERROR(IF(X36="","",X36*0.0155),"")</f>
        <v/>
      </c>
      <c r="AA36" s="65" t="inlineStr"/>
      <c r="AB36" s="66" t="inlineStr"/>
      <c r="AC36" s="94" t="inlineStr">
        <is>
          <t>ЕАЭС N RU Д-RU.РА05.В.39960/24</t>
        </is>
      </c>
      <c r="AG36" s="78" t="n"/>
      <c r="AJ36" s="82" t="inlineStr">
        <is>
          <t>Слой</t>
        </is>
      </c>
      <c r="AK36" s="82" t="n">
        <v>12</v>
      </c>
      <c r="BB36" s="95" t="inlineStr">
        <is>
          <t>ЗПФ</t>
        </is>
      </c>
      <c r="BM36" s="78">
        <f>IFERROR(X36*I36,"0")</f>
        <v/>
      </c>
      <c r="BN36" s="78">
        <f>IFERROR(Y36*I36,"0")</f>
        <v/>
      </c>
      <c r="BO36" s="78">
        <f>IFERROR(X36/J36,"0")</f>
        <v/>
      </c>
      <c r="BP36" s="78">
        <f>IFERROR(Y36/J36,"0")</f>
        <v/>
      </c>
    </row>
    <row r="37">
      <c r="A37" s="285" t="n"/>
      <c r="B37" s="273" t="n"/>
      <c r="C37" s="273" t="n"/>
      <c r="D37" s="273" t="n"/>
      <c r="E37" s="273" t="n"/>
      <c r="F37" s="273" t="n"/>
      <c r="G37" s="273" t="n"/>
      <c r="H37" s="273" t="n"/>
      <c r="I37" s="273" t="n"/>
      <c r="J37" s="273" t="n"/>
      <c r="K37" s="273" t="n"/>
      <c r="L37" s="273" t="n"/>
      <c r="M37" s="273" t="n"/>
      <c r="N37" s="273" t="n"/>
      <c r="O37" s="507" t="n"/>
      <c r="P37" s="508" t="inlineStr">
        <is>
          <t>Итого</t>
        </is>
      </c>
      <c r="Q37" s="470" t="n"/>
      <c r="R37" s="470" t="n"/>
      <c r="S37" s="470" t="n"/>
      <c r="T37" s="470" t="n"/>
      <c r="U37" s="470" t="n"/>
      <c r="V37" s="471" t="n"/>
      <c r="W37" s="40" t="inlineStr">
        <is>
          <t>кор</t>
        </is>
      </c>
      <c r="X37" s="509">
        <f>IFERROR(SUM(X34:X36),"0")</f>
        <v/>
      </c>
      <c r="Y37" s="509">
        <f>IFERROR(SUM(Y34:Y36),"0")</f>
        <v/>
      </c>
      <c r="Z37" s="509">
        <f>IFERROR(IF(Z34="",0,Z34),"0")+IFERROR(IF(Z35="",0,Z35),"0")+IFERROR(IF(Z36="",0,Z36),"0")</f>
        <v/>
      </c>
      <c r="AA37" s="510" t="n"/>
      <c r="AB37" s="510" t="n"/>
      <c r="AC37" s="510" t="n"/>
    </row>
    <row r="38">
      <c r="A38" s="273" t="n"/>
      <c r="B38" s="273" t="n"/>
      <c r="C38" s="273" t="n"/>
      <c r="D38" s="273" t="n"/>
      <c r="E38" s="273" t="n"/>
      <c r="F38" s="273" t="n"/>
      <c r="G38" s="273" t="n"/>
      <c r="H38" s="273" t="n"/>
      <c r="I38" s="273" t="n"/>
      <c r="J38" s="273" t="n"/>
      <c r="K38" s="273" t="n"/>
      <c r="L38" s="273" t="n"/>
      <c r="M38" s="273" t="n"/>
      <c r="N38" s="273" t="n"/>
      <c r="O38" s="507" t="n"/>
      <c r="P38" s="508" t="inlineStr">
        <is>
          <t>Итого</t>
        </is>
      </c>
      <c r="Q38" s="470" t="n"/>
      <c r="R38" s="470" t="n"/>
      <c r="S38" s="470" t="n"/>
      <c r="T38" s="470" t="n"/>
      <c r="U38" s="470" t="n"/>
      <c r="V38" s="471" t="n"/>
      <c r="W38" s="40" t="inlineStr">
        <is>
          <t>кг</t>
        </is>
      </c>
      <c r="X38" s="509">
        <f>IFERROR(SUMPRODUCT(X34:X36*H34:H36),"0")</f>
        <v/>
      </c>
      <c r="Y38" s="509">
        <f>IFERROR(SUMPRODUCT(Y34:Y36*H34:H36),"0")</f>
        <v/>
      </c>
      <c r="Z38" s="40" t="n"/>
      <c r="AA38" s="510" t="n"/>
      <c r="AB38" s="510" t="n"/>
      <c r="AC38" s="510" t="n"/>
    </row>
    <row r="39" ht="16.5" customHeight="1">
      <c r="A39" s="306" t="inlineStr">
        <is>
          <t>Бигбули ГШ</t>
        </is>
      </c>
      <c r="B39" s="273" t="n"/>
      <c r="C39" s="273" t="n"/>
      <c r="D39" s="273" t="n"/>
      <c r="E39" s="273" t="n"/>
      <c r="F39" s="273" t="n"/>
      <c r="G39" s="273" t="n"/>
      <c r="H39" s="273" t="n"/>
      <c r="I39" s="273" t="n"/>
      <c r="J39" s="273" t="n"/>
      <c r="K39" s="273" t="n"/>
      <c r="L39" s="273" t="n"/>
      <c r="M39" s="273" t="n"/>
      <c r="N39" s="273" t="n"/>
      <c r="O39" s="273" t="n"/>
      <c r="P39" s="273" t="n"/>
      <c r="Q39" s="273" t="n"/>
      <c r="R39" s="273" t="n"/>
      <c r="S39" s="273" t="n"/>
      <c r="T39" s="273" t="n"/>
      <c r="U39" s="273" t="n"/>
      <c r="V39" s="273" t="n"/>
      <c r="W39" s="273" t="n"/>
      <c r="X39" s="273" t="n"/>
      <c r="Y39" s="273" t="n"/>
      <c r="Z39" s="273" t="n"/>
      <c r="AA39" s="306" t="n"/>
      <c r="AB39" s="306" t="n"/>
      <c r="AC39" s="306" t="n"/>
    </row>
    <row r="40" ht="14.25" customHeight="1">
      <c r="A40" s="295" t="inlineStr">
        <is>
          <t>Пельмени</t>
        </is>
      </c>
      <c r="B40" s="273" t="n"/>
      <c r="C40" s="273" t="n"/>
      <c r="D40" s="273" t="n"/>
      <c r="E40" s="273" t="n"/>
      <c r="F40" s="273" t="n"/>
      <c r="G40" s="273" t="n"/>
      <c r="H40" s="273" t="n"/>
      <c r="I40" s="273" t="n"/>
      <c r="J40" s="273" t="n"/>
      <c r="K40" s="273" t="n"/>
      <c r="L40" s="273" t="n"/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3" t="n"/>
      <c r="V40" s="273" t="n"/>
      <c r="W40" s="273" t="n"/>
      <c r="X40" s="273" t="n"/>
      <c r="Y40" s="273" t="n"/>
      <c r="Z40" s="273" t="n"/>
      <c r="AA40" s="295" t="n"/>
      <c r="AB40" s="295" t="n"/>
      <c r="AC40" s="295" t="n"/>
    </row>
    <row r="41" ht="27" customHeight="1">
      <c r="A41" s="60" t="inlineStr">
        <is>
          <t>SU003532</t>
        </is>
      </c>
      <c r="B41" s="60" t="inlineStr">
        <is>
          <t>P004440</t>
        </is>
      </c>
      <c r="C41" s="34" t="n">
        <v>4301071044</v>
      </c>
      <c r="D41" s="276" t="n">
        <v>4607111039385</v>
      </c>
      <c r="E41" s="462" t="n"/>
      <c r="F41" s="501" t="n">
        <v>0.7</v>
      </c>
      <c r="G41" s="35" t="n">
        <v>10</v>
      </c>
      <c r="H41" s="501" t="n">
        <v>7</v>
      </c>
      <c r="I41" s="501" t="n">
        <v>7.3</v>
      </c>
      <c r="J41" s="35" t="n">
        <v>84</v>
      </c>
      <c r="K41" s="35" t="inlineStr">
        <is>
          <t>12</t>
        </is>
      </c>
      <c r="L41" s="35" t="inlineStr">
        <is>
          <t>Слой, мин. 1</t>
        </is>
      </c>
      <c r="M41" s="36" t="inlineStr">
        <is>
          <t>МГ</t>
        </is>
      </c>
      <c r="N41" s="36" t="n"/>
      <c r="O41" s="35" t="n">
        <v>180</v>
      </c>
      <c r="P41" s="516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41" s="503" t="n"/>
      <c r="R41" s="503" t="n"/>
      <c r="S41" s="503" t="n"/>
      <c r="T41" s="504" t="n"/>
      <c r="U41" s="37" t="inlineStr"/>
      <c r="V41" s="37" t="inlineStr"/>
      <c r="W41" s="38" t="inlineStr">
        <is>
          <t>кор</t>
        </is>
      </c>
      <c r="X41" s="505" t="n">
        <v>24</v>
      </c>
      <c r="Y41" s="506">
        <f>IFERROR(IF(X41="","",X41),"")</f>
        <v/>
      </c>
      <c r="Z41" s="39">
        <f>IFERROR(IF(X41="","",X41*0.0155),"")</f>
        <v/>
      </c>
      <c r="AA41" s="65" t="inlineStr"/>
      <c r="AB41" s="66" t="inlineStr"/>
      <c r="AC41" s="96" t="inlineStr">
        <is>
          <t>ЕАЭС N RU Д-RU.РА06.В.58287/22</t>
        </is>
      </c>
      <c r="AG41" s="78" t="n"/>
      <c r="AJ41" s="82" t="inlineStr">
        <is>
          <t>Слой</t>
        </is>
      </c>
      <c r="AK41" s="82" t="n">
        <v>12</v>
      </c>
      <c r="BB41" s="97" t="inlineStr">
        <is>
          <t>ЗПФ</t>
        </is>
      </c>
      <c r="BM41" s="78">
        <f>IFERROR(X41*I41,"0")</f>
        <v/>
      </c>
      <c r="BN41" s="78">
        <f>IFERROR(Y41*I41,"0")</f>
        <v/>
      </c>
      <c r="BO41" s="78">
        <f>IFERROR(X41/J41,"0")</f>
        <v/>
      </c>
      <c r="BP41" s="78">
        <f>IFERROR(Y41/J41,"0")</f>
        <v/>
      </c>
    </row>
    <row r="42" ht="27" customHeight="1">
      <c r="A42" s="60" t="inlineStr">
        <is>
          <t>SU003385</t>
        </is>
      </c>
      <c r="B42" s="60" t="inlineStr">
        <is>
          <t>P004203</t>
        </is>
      </c>
      <c r="C42" s="34" t="n">
        <v>4301071031</v>
      </c>
      <c r="D42" s="276" t="n">
        <v>4607111038982</v>
      </c>
      <c r="E42" s="462" t="n"/>
      <c r="F42" s="501" t="n">
        <v>0.7</v>
      </c>
      <c r="G42" s="35" t="n">
        <v>10</v>
      </c>
      <c r="H42" s="501" t="n">
        <v>7</v>
      </c>
      <c r="I42" s="501" t="n">
        <v>7.286</v>
      </c>
      <c r="J42" s="35" t="n">
        <v>84</v>
      </c>
      <c r="K42" s="35" t="inlineStr">
        <is>
          <t>12</t>
        </is>
      </c>
      <c r="L42" s="35" t="inlineStr">
        <is>
          <t>Слой, мин. 1</t>
        </is>
      </c>
      <c r="M42" s="36" t="inlineStr">
        <is>
          <t>МГ</t>
        </is>
      </c>
      <c r="N42" s="36" t="n"/>
      <c r="O42" s="35" t="n">
        <v>180</v>
      </c>
      <c r="P42" s="517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42" s="503" t="n"/>
      <c r="R42" s="503" t="n"/>
      <c r="S42" s="503" t="n"/>
      <c r="T42" s="504" t="n"/>
      <c r="U42" s="37" t="inlineStr"/>
      <c r="V42" s="37" t="inlineStr"/>
      <c r="W42" s="38" t="inlineStr">
        <is>
          <t>кор</t>
        </is>
      </c>
      <c r="X42" s="505" t="n">
        <v>24</v>
      </c>
      <c r="Y42" s="506">
        <f>IFERROR(IF(X42="","",X42),"")</f>
        <v/>
      </c>
      <c r="Z42" s="39">
        <f>IFERROR(IF(X42="","",X42*0.0155),"")</f>
        <v/>
      </c>
      <c r="AA42" s="65" t="inlineStr"/>
      <c r="AB42" s="66" t="inlineStr"/>
      <c r="AC42" s="98" t="inlineStr">
        <is>
          <t>ЕАЭС N RU Д-RU.РА04.В.26948/22</t>
        </is>
      </c>
      <c r="AG42" s="78" t="n"/>
      <c r="AJ42" s="82" t="inlineStr">
        <is>
          <t>Слой</t>
        </is>
      </c>
      <c r="AK42" s="82" t="n">
        <v>12</v>
      </c>
      <c r="BB42" s="99" t="inlineStr">
        <is>
          <t>ЗПФ</t>
        </is>
      </c>
      <c r="BM42" s="78">
        <f>IFERROR(X42*I42,"0")</f>
        <v/>
      </c>
      <c r="BN42" s="78">
        <f>IFERROR(Y42*I42,"0")</f>
        <v/>
      </c>
      <c r="BO42" s="78">
        <f>IFERROR(X42/J42,"0")</f>
        <v/>
      </c>
      <c r="BP42" s="78">
        <f>IFERROR(Y42/J42,"0")</f>
        <v/>
      </c>
    </row>
    <row r="43" ht="27" customHeight="1">
      <c r="A43" s="60" t="inlineStr">
        <is>
          <t>SU003530</t>
        </is>
      </c>
      <c r="B43" s="60" t="inlineStr">
        <is>
          <t>P004443</t>
        </is>
      </c>
      <c r="C43" s="34" t="n">
        <v>4301071046</v>
      </c>
      <c r="D43" s="276" t="n">
        <v>4607111039354</v>
      </c>
      <c r="E43" s="462" t="n"/>
      <c r="F43" s="501" t="n">
        <v>0.4</v>
      </c>
      <c r="G43" s="35" t="n">
        <v>16</v>
      </c>
      <c r="H43" s="501" t="n">
        <v>6.4</v>
      </c>
      <c r="I43" s="501" t="n">
        <v>6.7196</v>
      </c>
      <c r="J43" s="35" t="n">
        <v>84</v>
      </c>
      <c r="K43" s="35" t="inlineStr">
        <is>
          <t>12</t>
        </is>
      </c>
      <c r="L43" s="35" t="inlineStr">
        <is>
          <t>Слой, мин. 1</t>
        </is>
      </c>
      <c r="M43" s="36" t="inlineStr">
        <is>
          <t>МГ</t>
        </is>
      </c>
      <c r="N43" s="36" t="n"/>
      <c r="O43" s="35" t="n">
        <v>180</v>
      </c>
      <c r="P43" s="518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43" s="503" t="n"/>
      <c r="R43" s="503" t="n"/>
      <c r="S43" s="503" t="n"/>
      <c r="T43" s="504" t="n"/>
      <c r="U43" s="37" t="inlineStr"/>
      <c r="V43" s="37" t="inlineStr"/>
      <c r="W43" s="38" t="inlineStr">
        <is>
          <t>кор</t>
        </is>
      </c>
      <c r="X43" s="505" t="n">
        <v>0</v>
      </c>
      <c r="Y43" s="506">
        <f>IFERROR(IF(X43="","",X43),"")</f>
        <v/>
      </c>
      <c r="Z43" s="39">
        <f>IFERROR(IF(X43="","",X43*0.0155),"")</f>
        <v/>
      </c>
      <c r="AA43" s="65" t="inlineStr"/>
      <c r="AB43" s="66" t="inlineStr"/>
      <c r="AC43" s="100" t="inlineStr">
        <is>
          <t>ЕАЭС N RU Д-RU.РА04.В.26948/22</t>
        </is>
      </c>
      <c r="AG43" s="78" t="n"/>
      <c r="AJ43" s="82" t="inlineStr">
        <is>
          <t>Слой</t>
        </is>
      </c>
      <c r="AK43" s="82" t="n">
        <v>12</v>
      </c>
      <c r="BB43" s="101" t="inlineStr">
        <is>
          <t>ЗПФ</t>
        </is>
      </c>
      <c r="BM43" s="78">
        <f>IFERROR(X43*I43,"0")</f>
        <v/>
      </c>
      <c r="BN43" s="78">
        <f>IFERROR(Y43*I43,"0")</f>
        <v/>
      </c>
      <c r="BO43" s="78">
        <f>IFERROR(X43/J43,"0")</f>
        <v/>
      </c>
      <c r="BP43" s="78">
        <f>IFERROR(Y43/J43,"0")</f>
        <v/>
      </c>
    </row>
    <row r="44" ht="27" customHeight="1">
      <c r="A44" s="60" t="inlineStr">
        <is>
          <t>SU003529</t>
        </is>
      </c>
      <c r="B44" s="60" t="inlineStr">
        <is>
          <t>P004442</t>
        </is>
      </c>
      <c r="C44" s="34" t="n">
        <v>4301071047</v>
      </c>
      <c r="D44" s="276" t="n">
        <v>4607111039330</v>
      </c>
      <c r="E44" s="462" t="n"/>
      <c r="F44" s="501" t="n">
        <v>0.7</v>
      </c>
      <c r="G44" s="35" t="n">
        <v>10</v>
      </c>
      <c r="H44" s="501" t="n">
        <v>7</v>
      </c>
      <c r="I44" s="501" t="n">
        <v>7.3</v>
      </c>
      <c r="J44" s="35" t="n">
        <v>84</v>
      </c>
      <c r="K44" s="35" t="inlineStr">
        <is>
          <t>12</t>
        </is>
      </c>
      <c r="L44" s="35" t="inlineStr">
        <is>
          <t>Слой, мин. 1</t>
        </is>
      </c>
      <c r="M44" s="36" t="inlineStr">
        <is>
          <t>МГ</t>
        </is>
      </c>
      <c r="N44" s="36" t="n"/>
      <c r="O44" s="35" t="n">
        <v>180</v>
      </c>
      <c r="P44" s="519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44" s="503" t="n"/>
      <c r="R44" s="503" t="n"/>
      <c r="S44" s="503" t="n"/>
      <c r="T44" s="504" t="n"/>
      <c r="U44" s="37" t="inlineStr"/>
      <c r="V44" s="37" t="inlineStr"/>
      <c r="W44" s="38" t="inlineStr">
        <is>
          <t>кор</t>
        </is>
      </c>
      <c r="X44" s="505" t="n">
        <v>24</v>
      </c>
      <c r="Y44" s="506">
        <f>IFERROR(IF(X44="","",X44),"")</f>
        <v/>
      </c>
      <c r="Z44" s="39">
        <f>IFERROR(IF(X44="","",X44*0.0155),"")</f>
        <v/>
      </c>
      <c r="AA44" s="65" t="inlineStr"/>
      <c r="AB44" s="66" t="inlineStr"/>
      <c r="AC44" s="102" t="inlineStr">
        <is>
          <t>ЕАЭС N RU Д-RU.РА04.В.26948/22</t>
        </is>
      </c>
      <c r="AG44" s="78" t="n"/>
      <c r="AJ44" s="82" t="inlineStr">
        <is>
          <t>Слой</t>
        </is>
      </c>
      <c r="AK44" s="82" t="n">
        <v>12</v>
      </c>
      <c r="BB44" s="103" t="inlineStr">
        <is>
          <t>ЗПФ</t>
        </is>
      </c>
      <c r="BM44" s="78">
        <f>IFERROR(X44*I44,"0")</f>
        <v/>
      </c>
      <c r="BN44" s="78">
        <f>IFERROR(Y44*I44,"0")</f>
        <v/>
      </c>
      <c r="BO44" s="78">
        <f>IFERROR(X44/J44,"0")</f>
        <v/>
      </c>
      <c r="BP44" s="78">
        <f>IFERROR(Y44/J44,"0")</f>
        <v/>
      </c>
    </row>
    <row r="45">
      <c r="A45" s="285" t="n"/>
      <c r="B45" s="273" t="n"/>
      <c r="C45" s="273" t="n"/>
      <c r="D45" s="273" t="n"/>
      <c r="E45" s="273" t="n"/>
      <c r="F45" s="273" t="n"/>
      <c r="G45" s="273" t="n"/>
      <c r="H45" s="273" t="n"/>
      <c r="I45" s="273" t="n"/>
      <c r="J45" s="273" t="n"/>
      <c r="K45" s="273" t="n"/>
      <c r="L45" s="273" t="n"/>
      <c r="M45" s="273" t="n"/>
      <c r="N45" s="273" t="n"/>
      <c r="O45" s="507" t="n"/>
      <c r="P45" s="508" t="inlineStr">
        <is>
          <t>Итого</t>
        </is>
      </c>
      <c r="Q45" s="470" t="n"/>
      <c r="R45" s="470" t="n"/>
      <c r="S45" s="470" t="n"/>
      <c r="T45" s="470" t="n"/>
      <c r="U45" s="470" t="n"/>
      <c r="V45" s="471" t="n"/>
      <c r="W45" s="40" t="inlineStr">
        <is>
          <t>кор</t>
        </is>
      </c>
      <c r="X45" s="509">
        <f>IFERROR(SUM(X41:X44),"0")</f>
        <v/>
      </c>
      <c r="Y45" s="509">
        <f>IFERROR(SUM(Y41:Y44),"0")</f>
        <v/>
      </c>
      <c r="Z45" s="509">
        <f>IFERROR(IF(Z41="",0,Z41),"0")+IFERROR(IF(Z42="",0,Z42),"0")+IFERROR(IF(Z43="",0,Z43),"0")+IFERROR(IF(Z44="",0,Z44),"0")</f>
        <v/>
      </c>
      <c r="AA45" s="510" t="n"/>
      <c r="AB45" s="510" t="n"/>
      <c r="AC45" s="510" t="n"/>
    </row>
    <row r="46">
      <c r="A46" s="273" t="n"/>
      <c r="B46" s="273" t="n"/>
      <c r="C46" s="273" t="n"/>
      <c r="D46" s="273" t="n"/>
      <c r="E46" s="273" t="n"/>
      <c r="F46" s="273" t="n"/>
      <c r="G46" s="273" t="n"/>
      <c r="H46" s="273" t="n"/>
      <c r="I46" s="273" t="n"/>
      <c r="J46" s="273" t="n"/>
      <c r="K46" s="273" t="n"/>
      <c r="L46" s="273" t="n"/>
      <c r="M46" s="273" t="n"/>
      <c r="N46" s="273" t="n"/>
      <c r="O46" s="507" t="n"/>
      <c r="P46" s="508" t="inlineStr">
        <is>
          <t>Итого</t>
        </is>
      </c>
      <c r="Q46" s="470" t="n"/>
      <c r="R46" s="470" t="n"/>
      <c r="S46" s="470" t="n"/>
      <c r="T46" s="470" t="n"/>
      <c r="U46" s="470" t="n"/>
      <c r="V46" s="471" t="n"/>
      <c r="W46" s="40" t="inlineStr">
        <is>
          <t>кг</t>
        </is>
      </c>
      <c r="X46" s="509">
        <f>IFERROR(SUMPRODUCT(X41:X44*H41:H44),"0")</f>
        <v/>
      </c>
      <c r="Y46" s="509">
        <f>IFERROR(SUMPRODUCT(Y41:Y44*H41:H44),"0")</f>
        <v/>
      </c>
      <c r="Z46" s="40" t="n"/>
      <c r="AA46" s="510" t="n"/>
      <c r="AB46" s="510" t="n"/>
      <c r="AC46" s="510" t="n"/>
    </row>
    <row r="47" ht="16.5" customHeight="1">
      <c r="A47" s="306" t="inlineStr">
        <is>
          <t>Foodgital</t>
        </is>
      </c>
      <c r="B47" s="273" t="n"/>
      <c r="C47" s="273" t="n"/>
      <c r="D47" s="273" t="n"/>
      <c r="E47" s="273" t="n"/>
      <c r="F47" s="273" t="n"/>
      <c r="G47" s="273" t="n"/>
      <c r="H47" s="273" t="n"/>
      <c r="I47" s="273" t="n"/>
      <c r="J47" s="273" t="n"/>
      <c r="K47" s="273" t="n"/>
      <c r="L47" s="273" t="n"/>
      <c r="M47" s="273" t="n"/>
      <c r="N47" s="273" t="n"/>
      <c r="O47" s="273" t="n"/>
      <c r="P47" s="273" t="n"/>
      <c r="Q47" s="273" t="n"/>
      <c r="R47" s="273" t="n"/>
      <c r="S47" s="273" t="n"/>
      <c r="T47" s="273" t="n"/>
      <c r="U47" s="273" t="n"/>
      <c r="V47" s="273" t="n"/>
      <c r="W47" s="273" t="n"/>
      <c r="X47" s="273" t="n"/>
      <c r="Y47" s="273" t="n"/>
      <c r="Z47" s="273" t="n"/>
      <c r="AA47" s="306" t="n"/>
      <c r="AB47" s="306" t="n"/>
      <c r="AC47" s="306" t="n"/>
    </row>
    <row r="48" ht="14.25" customHeight="1">
      <c r="A48" s="295" t="inlineStr">
        <is>
          <t>Пельмени</t>
        </is>
      </c>
      <c r="B48" s="273" t="n"/>
      <c r="C48" s="273" t="n"/>
      <c r="D48" s="273" t="n"/>
      <c r="E48" s="273" t="n"/>
      <c r="F48" s="273" t="n"/>
      <c r="G48" s="273" t="n"/>
      <c r="H48" s="273" t="n"/>
      <c r="I48" s="273" t="n"/>
      <c r="J48" s="273" t="n"/>
      <c r="K48" s="273" t="n"/>
      <c r="L48" s="273" t="n"/>
      <c r="M48" s="273" t="n"/>
      <c r="N48" s="273" t="n"/>
      <c r="O48" s="273" t="n"/>
      <c r="P48" s="273" t="n"/>
      <c r="Q48" s="273" t="n"/>
      <c r="R48" s="273" t="n"/>
      <c r="S48" s="273" t="n"/>
      <c r="T48" s="273" t="n"/>
      <c r="U48" s="273" t="n"/>
      <c r="V48" s="273" t="n"/>
      <c r="W48" s="273" t="n"/>
      <c r="X48" s="273" t="n"/>
      <c r="Y48" s="273" t="n"/>
      <c r="Z48" s="273" t="n"/>
      <c r="AA48" s="295" t="n"/>
      <c r="AB48" s="295" t="n"/>
      <c r="AC48" s="295" t="n"/>
    </row>
    <row r="49" ht="16.5" customHeight="1">
      <c r="A49" s="60" t="inlineStr">
        <is>
          <t>SU003691</t>
        </is>
      </c>
      <c r="B49" s="60" t="inlineStr">
        <is>
          <t>P004772</t>
        </is>
      </c>
      <c r="C49" s="34" t="n">
        <v>4301071073</v>
      </c>
      <c r="D49" s="276" t="n">
        <v>4620207490822</v>
      </c>
      <c r="E49" s="462" t="n"/>
      <c r="F49" s="501" t="n">
        <v>0.43</v>
      </c>
      <c r="G49" s="35" t="n">
        <v>8</v>
      </c>
      <c r="H49" s="501" t="n">
        <v>3.44</v>
      </c>
      <c r="I49" s="501" t="n">
        <v>3.64</v>
      </c>
      <c r="J49" s="35" t="n">
        <v>144</v>
      </c>
      <c r="K49" s="35" t="inlineStr">
        <is>
          <t>12</t>
        </is>
      </c>
      <c r="L49" s="35" t="inlineStr">
        <is>
          <t>Короб, мин. 1</t>
        </is>
      </c>
      <c r="M49" s="36" t="inlineStr">
        <is>
          <t>МГ</t>
        </is>
      </c>
      <c r="N49" s="36" t="n"/>
      <c r="O49" s="35" t="n">
        <v>365</v>
      </c>
      <c r="P49" s="520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49" s="503" t="n"/>
      <c r="R49" s="503" t="n"/>
      <c r="S49" s="503" t="n"/>
      <c r="T49" s="504" t="n"/>
      <c r="U49" s="37" t="inlineStr"/>
      <c r="V49" s="37" t="inlineStr"/>
      <c r="W49" s="38" t="inlineStr">
        <is>
          <t>кор</t>
        </is>
      </c>
      <c r="X49" s="505" t="n">
        <v>0</v>
      </c>
      <c r="Y49" s="506">
        <f>IFERROR(IF(X49="","",X49),"")</f>
        <v/>
      </c>
      <c r="Z49" s="39">
        <f>IFERROR(IF(X49="","",X49*0.00866),"")</f>
        <v/>
      </c>
      <c r="AA49" s="65" t="inlineStr"/>
      <c r="AB49" s="66" t="inlineStr"/>
      <c r="AC49" s="104" t="inlineStr">
        <is>
          <t>ЕАЭС N RU Д-RU.РА08.В.01107/24</t>
        </is>
      </c>
      <c r="AG49" s="78" t="n"/>
      <c r="AJ49" s="82" t="inlineStr">
        <is>
          <t>Короб</t>
        </is>
      </c>
      <c r="AK49" s="82" t="n">
        <v>1</v>
      </c>
      <c r="BB49" s="105" t="inlineStr">
        <is>
          <t>ЗПФ</t>
        </is>
      </c>
      <c r="BM49" s="78">
        <f>IFERROR(X49*I49,"0")</f>
        <v/>
      </c>
      <c r="BN49" s="78">
        <f>IFERROR(Y49*I49,"0")</f>
        <v/>
      </c>
      <c r="BO49" s="78">
        <f>IFERROR(X49/J49,"0")</f>
        <v/>
      </c>
      <c r="BP49" s="78">
        <f>IFERROR(Y49/J49,"0")</f>
        <v/>
      </c>
    </row>
    <row r="50">
      <c r="A50" s="285" t="n"/>
      <c r="B50" s="273" t="n"/>
      <c r="C50" s="273" t="n"/>
      <c r="D50" s="273" t="n"/>
      <c r="E50" s="273" t="n"/>
      <c r="F50" s="273" t="n"/>
      <c r="G50" s="273" t="n"/>
      <c r="H50" s="273" t="n"/>
      <c r="I50" s="273" t="n"/>
      <c r="J50" s="273" t="n"/>
      <c r="K50" s="273" t="n"/>
      <c r="L50" s="273" t="n"/>
      <c r="M50" s="273" t="n"/>
      <c r="N50" s="273" t="n"/>
      <c r="O50" s="507" t="n"/>
      <c r="P50" s="508" t="inlineStr">
        <is>
          <t>Итого</t>
        </is>
      </c>
      <c r="Q50" s="470" t="n"/>
      <c r="R50" s="470" t="n"/>
      <c r="S50" s="470" t="n"/>
      <c r="T50" s="470" t="n"/>
      <c r="U50" s="470" t="n"/>
      <c r="V50" s="471" t="n"/>
      <c r="W50" s="40" t="inlineStr">
        <is>
          <t>кор</t>
        </is>
      </c>
      <c r="X50" s="509">
        <f>IFERROR(SUM(X49:X49),"0")</f>
        <v/>
      </c>
      <c r="Y50" s="509">
        <f>IFERROR(SUM(Y49:Y49),"0")</f>
        <v/>
      </c>
      <c r="Z50" s="509">
        <f>IFERROR(IF(Z49="",0,Z49),"0")</f>
        <v/>
      </c>
      <c r="AA50" s="510" t="n"/>
      <c r="AB50" s="510" t="n"/>
      <c r="AC50" s="510" t="n"/>
    </row>
    <row r="51">
      <c r="A51" s="273" t="n"/>
      <c r="B51" s="273" t="n"/>
      <c r="C51" s="273" t="n"/>
      <c r="D51" s="273" t="n"/>
      <c r="E51" s="273" t="n"/>
      <c r="F51" s="273" t="n"/>
      <c r="G51" s="273" t="n"/>
      <c r="H51" s="273" t="n"/>
      <c r="I51" s="273" t="n"/>
      <c r="J51" s="273" t="n"/>
      <c r="K51" s="273" t="n"/>
      <c r="L51" s="273" t="n"/>
      <c r="M51" s="273" t="n"/>
      <c r="N51" s="273" t="n"/>
      <c r="O51" s="507" t="n"/>
      <c r="P51" s="508" t="inlineStr">
        <is>
          <t>Итого</t>
        </is>
      </c>
      <c r="Q51" s="470" t="n"/>
      <c r="R51" s="470" t="n"/>
      <c r="S51" s="470" t="n"/>
      <c r="T51" s="470" t="n"/>
      <c r="U51" s="470" t="n"/>
      <c r="V51" s="471" t="n"/>
      <c r="W51" s="40" t="inlineStr">
        <is>
          <t>кг</t>
        </is>
      </c>
      <c r="X51" s="509">
        <f>IFERROR(SUMPRODUCT(X49:X49*H49:H49),"0")</f>
        <v/>
      </c>
      <c r="Y51" s="509">
        <f>IFERROR(SUMPRODUCT(Y49:Y49*H49:H49),"0")</f>
        <v/>
      </c>
      <c r="Z51" s="40" t="n"/>
      <c r="AA51" s="510" t="n"/>
      <c r="AB51" s="510" t="n"/>
      <c r="AC51" s="510" t="n"/>
    </row>
    <row r="52" ht="14.25" customHeight="1">
      <c r="A52" s="295" t="inlineStr">
        <is>
          <t>Наггетсы</t>
        </is>
      </c>
      <c r="B52" s="273" t="n"/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95" t="n"/>
      <c r="AB52" s="295" t="n"/>
      <c r="AC52" s="295" t="n"/>
    </row>
    <row r="53" ht="27" customHeight="1">
      <c r="A53" s="60" t="inlineStr">
        <is>
          <t>SU003678</t>
        </is>
      </c>
      <c r="B53" s="60" t="inlineStr">
        <is>
          <t>P004731</t>
        </is>
      </c>
      <c r="C53" s="34" t="n">
        <v>4301132194</v>
      </c>
      <c r="D53" s="276" t="n">
        <v>4607111039712</v>
      </c>
      <c r="E53" s="462" t="n"/>
      <c r="F53" s="501" t="n">
        <v>0.2</v>
      </c>
      <c r="G53" s="35" t="n">
        <v>6</v>
      </c>
      <c r="H53" s="501" t="n">
        <v>1.2</v>
      </c>
      <c r="I53" s="501" t="n">
        <v>1.56</v>
      </c>
      <c r="J53" s="35" t="n">
        <v>140</v>
      </c>
      <c r="K53" s="35" t="inlineStr">
        <is>
          <t>14</t>
        </is>
      </c>
      <c r="L53" s="35" t="inlineStr">
        <is>
          <t>Короб, мин. 1</t>
        </is>
      </c>
      <c r="M53" s="36" t="inlineStr">
        <is>
          <t>МГ</t>
        </is>
      </c>
      <c r="N53" s="36" t="n"/>
      <c r="O53" s="35" t="n">
        <v>365</v>
      </c>
      <c r="P53" s="521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53" s="503" t="n"/>
      <c r="R53" s="503" t="n"/>
      <c r="S53" s="503" t="n"/>
      <c r="T53" s="504" t="n"/>
      <c r="U53" s="37" t="inlineStr"/>
      <c r="V53" s="37" t="inlineStr"/>
      <c r="W53" s="38" t="inlineStr">
        <is>
          <t>кор</t>
        </is>
      </c>
      <c r="X53" s="505" t="n">
        <v>0</v>
      </c>
      <c r="Y53" s="506">
        <f>IFERROR(IF(X53="","",X53),"")</f>
        <v/>
      </c>
      <c r="Z53" s="39">
        <f>IFERROR(IF(X53="","",X53*0.00941),"")</f>
        <v/>
      </c>
      <c r="AA53" s="65" t="inlineStr"/>
      <c r="AB53" s="66" t="inlineStr"/>
      <c r="AC53" s="106" t="inlineStr">
        <is>
          <t>ЕАЭС N RU Д-RU.РА03.В.95139/22</t>
        </is>
      </c>
      <c r="AG53" s="78" t="n"/>
      <c r="AJ53" s="82" t="inlineStr">
        <is>
          <t>Короб</t>
        </is>
      </c>
      <c r="AK53" s="82" t="n">
        <v>1</v>
      </c>
      <c r="BB53" s="107" t="inlineStr">
        <is>
          <t>ПГП</t>
        </is>
      </c>
      <c r="BM53" s="78">
        <f>IFERROR(X53*I53,"0")</f>
        <v/>
      </c>
      <c r="BN53" s="78">
        <f>IFERROR(Y53*I53,"0")</f>
        <v/>
      </c>
      <c r="BO53" s="78">
        <f>IFERROR(X53/J53,"0")</f>
        <v/>
      </c>
      <c r="BP53" s="78">
        <f>IFERROR(Y53/J53,"0")</f>
        <v/>
      </c>
    </row>
    <row r="54">
      <c r="A54" s="285" t="n"/>
      <c r="B54" s="273" t="n"/>
      <c r="C54" s="273" t="n"/>
      <c r="D54" s="273" t="n"/>
      <c r="E54" s="273" t="n"/>
      <c r="F54" s="273" t="n"/>
      <c r="G54" s="273" t="n"/>
      <c r="H54" s="273" t="n"/>
      <c r="I54" s="273" t="n"/>
      <c r="J54" s="273" t="n"/>
      <c r="K54" s="273" t="n"/>
      <c r="L54" s="273" t="n"/>
      <c r="M54" s="273" t="n"/>
      <c r="N54" s="273" t="n"/>
      <c r="O54" s="507" t="n"/>
      <c r="P54" s="508" t="inlineStr">
        <is>
          <t>Итого</t>
        </is>
      </c>
      <c r="Q54" s="470" t="n"/>
      <c r="R54" s="470" t="n"/>
      <c r="S54" s="470" t="n"/>
      <c r="T54" s="470" t="n"/>
      <c r="U54" s="470" t="n"/>
      <c r="V54" s="471" t="n"/>
      <c r="W54" s="40" t="inlineStr">
        <is>
          <t>кор</t>
        </is>
      </c>
      <c r="X54" s="509">
        <f>IFERROR(SUM(X53:X53),"0")</f>
        <v/>
      </c>
      <c r="Y54" s="509">
        <f>IFERROR(SUM(Y53:Y53),"0")</f>
        <v/>
      </c>
      <c r="Z54" s="509">
        <f>IFERROR(IF(Z53="",0,Z53),"0")</f>
        <v/>
      </c>
      <c r="AA54" s="510" t="n"/>
      <c r="AB54" s="510" t="n"/>
      <c r="AC54" s="510" t="n"/>
    </row>
    <row r="55">
      <c r="A55" s="273" t="n"/>
      <c r="B55" s="273" t="n"/>
      <c r="C55" s="273" t="n"/>
      <c r="D55" s="273" t="n"/>
      <c r="E55" s="273" t="n"/>
      <c r="F55" s="273" t="n"/>
      <c r="G55" s="273" t="n"/>
      <c r="H55" s="273" t="n"/>
      <c r="I55" s="273" t="n"/>
      <c r="J55" s="273" t="n"/>
      <c r="K55" s="273" t="n"/>
      <c r="L55" s="273" t="n"/>
      <c r="M55" s="273" t="n"/>
      <c r="N55" s="273" t="n"/>
      <c r="O55" s="507" t="n"/>
      <c r="P55" s="508" t="inlineStr">
        <is>
          <t>Итого</t>
        </is>
      </c>
      <c r="Q55" s="470" t="n"/>
      <c r="R55" s="470" t="n"/>
      <c r="S55" s="470" t="n"/>
      <c r="T55" s="470" t="n"/>
      <c r="U55" s="470" t="n"/>
      <c r="V55" s="471" t="n"/>
      <c r="W55" s="40" t="inlineStr">
        <is>
          <t>кг</t>
        </is>
      </c>
      <c r="X55" s="509">
        <f>IFERROR(SUMPRODUCT(X53:X53*H53:H53),"0")</f>
        <v/>
      </c>
      <c r="Y55" s="509">
        <f>IFERROR(SUMPRODUCT(Y53:Y53*H53:H53),"0")</f>
        <v/>
      </c>
      <c r="Z55" s="40" t="n"/>
      <c r="AA55" s="510" t="n"/>
      <c r="AB55" s="510" t="n"/>
      <c r="AC55" s="510" t="n"/>
    </row>
    <row r="56" ht="14.25" customHeight="1">
      <c r="A56" s="295" t="inlineStr">
        <is>
          <t>Чебуреки</t>
        </is>
      </c>
      <c r="B56" s="273" t="n"/>
      <c r="C56" s="273" t="n"/>
      <c r="D56" s="273" t="n"/>
      <c r="E56" s="273" t="n"/>
      <c r="F56" s="273" t="n"/>
      <c r="G56" s="273" t="n"/>
      <c r="H56" s="273" t="n"/>
      <c r="I56" s="273" t="n"/>
      <c r="J56" s="273" t="n"/>
      <c r="K56" s="273" t="n"/>
      <c r="L56" s="273" t="n"/>
      <c r="M56" s="273" t="n"/>
      <c r="N56" s="273" t="n"/>
      <c r="O56" s="273" t="n"/>
      <c r="P56" s="273" t="n"/>
      <c r="Q56" s="273" t="n"/>
      <c r="R56" s="273" t="n"/>
      <c r="S56" s="273" t="n"/>
      <c r="T56" s="273" t="n"/>
      <c r="U56" s="273" t="n"/>
      <c r="V56" s="273" t="n"/>
      <c r="W56" s="273" t="n"/>
      <c r="X56" s="273" t="n"/>
      <c r="Y56" s="273" t="n"/>
      <c r="Z56" s="273" t="n"/>
      <c r="AA56" s="295" t="n"/>
      <c r="AB56" s="295" t="n"/>
      <c r="AC56" s="295" t="n"/>
    </row>
    <row r="57" ht="16.5" customHeight="1">
      <c r="A57" s="60" t="inlineStr">
        <is>
          <t>SU002657</t>
        </is>
      </c>
      <c r="B57" s="60" t="inlineStr">
        <is>
          <t>P003038</t>
        </is>
      </c>
      <c r="C57" s="34" t="n">
        <v>4301136018</v>
      </c>
      <c r="D57" s="276" t="n">
        <v>4607111037008</v>
      </c>
      <c r="E57" s="462" t="n"/>
      <c r="F57" s="501" t="n">
        <v>0.36</v>
      </c>
      <c r="G57" s="35" t="n">
        <v>4</v>
      </c>
      <c r="H57" s="501" t="n">
        <v>1.44</v>
      </c>
      <c r="I57" s="501" t="n">
        <v>1.74</v>
      </c>
      <c r="J57" s="35" t="n">
        <v>140</v>
      </c>
      <c r="K57" s="35" t="inlineStr">
        <is>
          <t>14</t>
        </is>
      </c>
      <c r="L57" s="35" t="inlineStr">
        <is>
          <t>Короб, мин. 1</t>
        </is>
      </c>
      <c r="M57" s="36" t="inlineStr">
        <is>
          <t>МГ</t>
        </is>
      </c>
      <c r="N57" s="36" t="n"/>
      <c r="O57" s="35" t="n">
        <v>365</v>
      </c>
      <c r="P57" s="522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57" s="503" t="n"/>
      <c r="R57" s="503" t="n"/>
      <c r="S57" s="503" t="n"/>
      <c r="T57" s="504" t="n"/>
      <c r="U57" s="37" t="inlineStr"/>
      <c r="V57" s="37" t="inlineStr"/>
      <c r="W57" s="38" t="inlineStr">
        <is>
          <t>кор</t>
        </is>
      </c>
      <c r="X57" s="505" t="n">
        <v>0</v>
      </c>
      <c r="Y57" s="506">
        <f>IFERROR(IF(X57="","",X57),"")</f>
        <v/>
      </c>
      <c r="Z57" s="39">
        <f>IFERROR(IF(X57="","",X57*0.00941),"")</f>
        <v/>
      </c>
      <c r="AA57" s="65" t="inlineStr"/>
      <c r="AB57" s="66" t="inlineStr"/>
      <c r="AC57" s="108" t="inlineStr">
        <is>
          <t>ЕАЭС N RU Д-RU.РА03.В.64590/22</t>
        </is>
      </c>
      <c r="AG57" s="78" t="n"/>
      <c r="AJ57" s="82" t="inlineStr">
        <is>
          <t>Короб</t>
        </is>
      </c>
      <c r="AK57" s="82" t="n">
        <v>1</v>
      </c>
      <c r="BB57" s="109" t="inlineStr">
        <is>
          <t>ПГП</t>
        </is>
      </c>
      <c r="BM57" s="78">
        <f>IFERROR(X57*I57,"0")</f>
        <v/>
      </c>
      <c r="BN57" s="78">
        <f>IFERROR(Y57*I57,"0")</f>
        <v/>
      </c>
      <c r="BO57" s="78">
        <f>IFERROR(X57/J57,"0")</f>
        <v/>
      </c>
      <c r="BP57" s="78">
        <f>IFERROR(Y57/J57,"0")</f>
        <v/>
      </c>
    </row>
    <row r="58" ht="16.5" customHeight="1">
      <c r="A58" s="60" t="inlineStr">
        <is>
          <t>SU002607</t>
        </is>
      </c>
      <c r="B58" s="60" t="inlineStr">
        <is>
          <t>P002938</t>
        </is>
      </c>
      <c r="C58" s="34" t="n">
        <v>4301136015</v>
      </c>
      <c r="D58" s="276" t="n">
        <v>4607111037398</v>
      </c>
      <c r="E58" s="462" t="n"/>
      <c r="F58" s="501" t="n">
        <v>0.09</v>
      </c>
      <c r="G58" s="35" t="n">
        <v>24</v>
      </c>
      <c r="H58" s="501" t="n">
        <v>2.16</v>
      </c>
      <c r="I58" s="501" t="n">
        <v>4.02</v>
      </c>
      <c r="J58" s="35" t="n">
        <v>126</v>
      </c>
      <c r="K58" s="35" t="inlineStr">
        <is>
          <t>14</t>
        </is>
      </c>
      <c r="L58" s="35" t="inlineStr">
        <is>
          <t>Короб, мин. 1</t>
        </is>
      </c>
      <c r="M58" s="36" t="inlineStr">
        <is>
          <t>МГ</t>
        </is>
      </c>
      <c r="N58" s="36" t="n"/>
      <c r="O58" s="35" t="n">
        <v>365</v>
      </c>
      <c r="P58" s="523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58" s="503" t="n"/>
      <c r="R58" s="503" t="n"/>
      <c r="S58" s="503" t="n"/>
      <c r="T58" s="504" t="n"/>
      <c r="U58" s="37" t="inlineStr"/>
      <c r="V58" s="37" t="inlineStr"/>
      <c r="W58" s="38" t="inlineStr">
        <is>
          <t>кор</t>
        </is>
      </c>
      <c r="X58" s="505" t="n">
        <v>0</v>
      </c>
      <c r="Y58" s="506">
        <f>IFERROR(IF(X58="","",X58),"")</f>
        <v/>
      </c>
      <c r="Z58" s="39">
        <f>IFERROR(IF(X58="","",X58*0.00936),"")</f>
        <v/>
      </c>
      <c r="AA58" s="65" t="inlineStr"/>
      <c r="AB58" s="66" t="inlineStr"/>
      <c r="AC58" s="110" t="inlineStr">
        <is>
          <t>ЕАЭС N RU Д-RU.РА03.В.64590/22</t>
        </is>
      </c>
      <c r="AG58" s="78" t="n"/>
      <c r="AJ58" s="82" t="inlineStr">
        <is>
          <t>Короб</t>
        </is>
      </c>
      <c r="AK58" s="82" t="n">
        <v>1</v>
      </c>
      <c r="BB58" s="111" t="inlineStr">
        <is>
          <t>ПГП</t>
        </is>
      </c>
      <c r="BM58" s="78">
        <f>IFERROR(X58*I58,"0")</f>
        <v/>
      </c>
      <c r="BN58" s="78">
        <f>IFERROR(Y58*I58,"0")</f>
        <v/>
      </c>
      <c r="BO58" s="78">
        <f>IFERROR(X58/J58,"0")</f>
        <v/>
      </c>
      <c r="BP58" s="78">
        <f>IFERROR(Y58/J58,"0")</f>
        <v/>
      </c>
    </row>
    <row r="59">
      <c r="A59" s="285" t="n"/>
      <c r="B59" s="273" t="n"/>
      <c r="C59" s="273" t="n"/>
      <c r="D59" s="273" t="n"/>
      <c r="E59" s="273" t="n"/>
      <c r="F59" s="273" t="n"/>
      <c r="G59" s="273" t="n"/>
      <c r="H59" s="273" t="n"/>
      <c r="I59" s="273" t="n"/>
      <c r="J59" s="273" t="n"/>
      <c r="K59" s="273" t="n"/>
      <c r="L59" s="273" t="n"/>
      <c r="M59" s="273" t="n"/>
      <c r="N59" s="273" t="n"/>
      <c r="O59" s="507" t="n"/>
      <c r="P59" s="508" t="inlineStr">
        <is>
          <t>Итого</t>
        </is>
      </c>
      <c r="Q59" s="470" t="n"/>
      <c r="R59" s="470" t="n"/>
      <c r="S59" s="470" t="n"/>
      <c r="T59" s="470" t="n"/>
      <c r="U59" s="470" t="n"/>
      <c r="V59" s="471" t="n"/>
      <c r="W59" s="40" t="inlineStr">
        <is>
          <t>кор</t>
        </is>
      </c>
      <c r="X59" s="509">
        <f>IFERROR(SUM(X57:X58),"0")</f>
        <v/>
      </c>
      <c r="Y59" s="509">
        <f>IFERROR(SUM(Y57:Y58),"0")</f>
        <v/>
      </c>
      <c r="Z59" s="509">
        <f>IFERROR(IF(Z57="",0,Z57),"0")+IFERROR(IF(Z58="",0,Z58),"0")</f>
        <v/>
      </c>
      <c r="AA59" s="510" t="n"/>
      <c r="AB59" s="510" t="n"/>
      <c r="AC59" s="510" t="n"/>
    </row>
    <row r="60">
      <c r="A60" s="273" t="n"/>
      <c r="B60" s="273" t="n"/>
      <c r="C60" s="273" t="n"/>
      <c r="D60" s="273" t="n"/>
      <c r="E60" s="273" t="n"/>
      <c r="F60" s="273" t="n"/>
      <c r="G60" s="273" t="n"/>
      <c r="H60" s="273" t="n"/>
      <c r="I60" s="273" t="n"/>
      <c r="J60" s="273" t="n"/>
      <c r="K60" s="273" t="n"/>
      <c r="L60" s="273" t="n"/>
      <c r="M60" s="273" t="n"/>
      <c r="N60" s="273" t="n"/>
      <c r="O60" s="507" t="n"/>
      <c r="P60" s="508" t="inlineStr">
        <is>
          <t>Итого</t>
        </is>
      </c>
      <c r="Q60" s="470" t="n"/>
      <c r="R60" s="470" t="n"/>
      <c r="S60" s="470" t="n"/>
      <c r="T60" s="470" t="n"/>
      <c r="U60" s="470" t="n"/>
      <c r="V60" s="471" t="n"/>
      <c r="W60" s="40" t="inlineStr">
        <is>
          <t>кг</t>
        </is>
      </c>
      <c r="X60" s="509">
        <f>IFERROR(SUMPRODUCT(X57:X58*H57:H58),"0")</f>
        <v/>
      </c>
      <c r="Y60" s="509">
        <f>IFERROR(SUMPRODUCT(Y57:Y58*H57:H58),"0")</f>
        <v/>
      </c>
      <c r="Z60" s="40" t="n"/>
      <c r="AA60" s="510" t="n"/>
      <c r="AB60" s="510" t="n"/>
      <c r="AC60" s="510" t="n"/>
    </row>
    <row r="61" ht="14.25" customHeight="1">
      <c r="A61" s="295" t="inlineStr">
        <is>
          <t>Снеки</t>
        </is>
      </c>
      <c r="B61" s="273" t="n"/>
      <c r="C61" s="273" t="n"/>
      <c r="D61" s="273" t="n"/>
      <c r="E61" s="273" t="n"/>
      <c r="F61" s="273" t="n"/>
      <c r="G61" s="273" t="n"/>
      <c r="H61" s="273" t="n"/>
      <c r="I61" s="273" t="n"/>
      <c r="J61" s="273" t="n"/>
      <c r="K61" s="273" t="n"/>
      <c r="L61" s="273" t="n"/>
      <c r="M61" s="273" t="n"/>
      <c r="N61" s="273" t="n"/>
      <c r="O61" s="273" t="n"/>
      <c r="P61" s="273" t="n"/>
      <c r="Q61" s="273" t="n"/>
      <c r="R61" s="273" t="n"/>
      <c r="S61" s="273" t="n"/>
      <c r="T61" s="273" t="n"/>
      <c r="U61" s="273" t="n"/>
      <c r="V61" s="273" t="n"/>
      <c r="W61" s="273" t="n"/>
      <c r="X61" s="273" t="n"/>
      <c r="Y61" s="273" t="n"/>
      <c r="Z61" s="273" t="n"/>
      <c r="AA61" s="295" t="n"/>
      <c r="AB61" s="295" t="n"/>
      <c r="AC61" s="295" t="n"/>
    </row>
    <row r="62" ht="27" customHeight="1">
      <c r="A62" s="60" t="inlineStr">
        <is>
          <t>SU003680</t>
        </is>
      </c>
      <c r="B62" s="60" t="inlineStr">
        <is>
          <t>P004732</t>
        </is>
      </c>
      <c r="C62" s="34" t="n">
        <v>4301135664</v>
      </c>
      <c r="D62" s="276" t="n">
        <v>4607111039705</v>
      </c>
      <c r="E62" s="462" t="n"/>
      <c r="F62" s="501" t="n">
        <v>0.2</v>
      </c>
      <c r="G62" s="35" t="n">
        <v>6</v>
      </c>
      <c r="H62" s="501" t="n">
        <v>1.2</v>
      </c>
      <c r="I62" s="501" t="n">
        <v>1.56</v>
      </c>
      <c r="J62" s="35" t="n">
        <v>140</v>
      </c>
      <c r="K62" s="35" t="inlineStr">
        <is>
          <t>14</t>
        </is>
      </c>
      <c r="L62" s="35" t="inlineStr">
        <is>
          <t>Короб, мин. 1</t>
        </is>
      </c>
      <c r="M62" s="36" t="inlineStr">
        <is>
          <t>МГ</t>
        </is>
      </c>
      <c r="N62" s="36" t="n"/>
      <c r="O62" s="35" t="n">
        <v>365</v>
      </c>
      <c r="P62" s="524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62" s="503" t="n"/>
      <c r="R62" s="503" t="n"/>
      <c r="S62" s="503" t="n"/>
      <c r="T62" s="504" t="n"/>
      <c r="U62" s="37" t="inlineStr"/>
      <c r="V62" s="37" t="inlineStr"/>
      <c r="W62" s="38" t="inlineStr">
        <is>
          <t>кор</t>
        </is>
      </c>
      <c r="X62" s="505" t="n">
        <v>0</v>
      </c>
      <c r="Y62" s="506">
        <f>IFERROR(IF(X62="","",X62),"")</f>
        <v/>
      </c>
      <c r="Z62" s="39">
        <f>IFERROR(IF(X62="","",X62*0.00941),"")</f>
        <v/>
      </c>
      <c r="AA62" s="65" t="inlineStr"/>
      <c r="AB62" s="66" t="inlineStr"/>
      <c r="AC62" s="112" t="inlineStr">
        <is>
          <t>ЕАЭС N RU Д-RU.РА03.В.64590/22</t>
        </is>
      </c>
      <c r="AG62" s="78" t="n"/>
      <c r="AJ62" s="82" t="inlineStr">
        <is>
          <t>Короб</t>
        </is>
      </c>
      <c r="AK62" s="82" t="n">
        <v>1</v>
      </c>
      <c r="BB62" s="113" t="inlineStr">
        <is>
          <t>ПГП</t>
        </is>
      </c>
      <c r="BM62" s="78">
        <f>IFERROR(X62*I62,"0")</f>
        <v/>
      </c>
      <c r="BN62" s="78">
        <f>IFERROR(Y62*I62,"0")</f>
        <v/>
      </c>
      <c r="BO62" s="78">
        <f>IFERROR(X62/J62,"0")</f>
        <v/>
      </c>
      <c r="BP62" s="78">
        <f>IFERROR(Y62/J62,"0")</f>
        <v/>
      </c>
    </row>
    <row r="63" ht="27" customHeight="1">
      <c r="A63" s="60" t="inlineStr">
        <is>
          <t>SU003677</t>
        </is>
      </c>
      <c r="B63" s="60" t="inlineStr">
        <is>
          <t>P004733</t>
        </is>
      </c>
      <c r="C63" s="34" t="n">
        <v>4301135665</v>
      </c>
      <c r="D63" s="276" t="n">
        <v>4607111039729</v>
      </c>
      <c r="E63" s="462" t="n"/>
      <c r="F63" s="501" t="n">
        <v>0.2</v>
      </c>
      <c r="G63" s="35" t="n">
        <v>6</v>
      </c>
      <c r="H63" s="501" t="n">
        <v>1.2</v>
      </c>
      <c r="I63" s="501" t="n">
        <v>1.56</v>
      </c>
      <c r="J63" s="35" t="n">
        <v>140</v>
      </c>
      <c r="K63" s="35" t="inlineStr">
        <is>
          <t>14</t>
        </is>
      </c>
      <c r="L63" s="35" t="inlineStr">
        <is>
          <t>Короб, мин. 1</t>
        </is>
      </c>
      <c r="M63" s="36" t="inlineStr">
        <is>
          <t>МГ</t>
        </is>
      </c>
      <c r="N63" s="36" t="n"/>
      <c r="O63" s="35" t="n">
        <v>365</v>
      </c>
      <c r="P63" s="525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63" s="503" t="n"/>
      <c r="R63" s="503" t="n"/>
      <c r="S63" s="503" t="n"/>
      <c r="T63" s="504" t="n"/>
      <c r="U63" s="37" t="inlineStr"/>
      <c r="V63" s="37" t="inlineStr"/>
      <c r="W63" s="38" t="inlineStr">
        <is>
          <t>кор</t>
        </is>
      </c>
      <c r="X63" s="505" t="n">
        <v>0</v>
      </c>
      <c r="Y63" s="506">
        <f>IFERROR(IF(X63="","",X63),"")</f>
        <v/>
      </c>
      <c r="Z63" s="39">
        <f>IFERROR(IF(X63="","",X63*0.00941),"")</f>
        <v/>
      </c>
      <c r="AA63" s="65" t="inlineStr"/>
      <c r="AB63" s="66" t="inlineStr"/>
      <c r="AC63" s="114" t="inlineStr">
        <is>
          <t>ЕАЭС N RU Д-RU.РА04.В.97529/23</t>
        </is>
      </c>
      <c r="AG63" s="78" t="n"/>
      <c r="AJ63" s="82" t="inlineStr">
        <is>
          <t>Короб</t>
        </is>
      </c>
      <c r="AK63" s="82" t="n">
        <v>1</v>
      </c>
      <c r="BB63" s="115" t="inlineStr">
        <is>
          <t>ПГП</t>
        </is>
      </c>
      <c r="BM63" s="78">
        <f>IFERROR(X63*I63,"0")</f>
        <v/>
      </c>
      <c r="BN63" s="78">
        <f>IFERROR(Y63*I63,"0")</f>
        <v/>
      </c>
      <c r="BO63" s="78">
        <f>IFERROR(X63/J63,"0")</f>
        <v/>
      </c>
      <c r="BP63" s="78">
        <f>IFERROR(Y63/J63,"0")</f>
        <v/>
      </c>
    </row>
    <row r="64" ht="27" customHeight="1">
      <c r="A64" s="60" t="inlineStr">
        <is>
          <t>SU003676</t>
        </is>
      </c>
      <c r="B64" s="60" t="inlineStr">
        <is>
          <t>P004818</t>
        </is>
      </c>
      <c r="C64" s="34" t="n">
        <v>4301135702</v>
      </c>
      <c r="D64" s="276" t="n">
        <v>4620207490228</v>
      </c>
      <c r="E64" s="462" t="n"/>
      <c r="F64" s="501" t="n">
        <v>0.2</v>
      </c>
      <c r="G64" s="35" t="n">
        <v>6</v>
      </c>
      <c r="H64" s="501" t="n">
        <v>1.2</v>
      </c>
      <c r="I64" s="501" t="n">
        <v>1.56</v>
      </c>
      <c r="J64" s="35" t="n">
        <v>140</v>
      </c>
      <c r="K64" s="35" t="inlineStr">
        <is>
          <t>14</t>
        </is>
      </c>
      <c r="L64" s="35" t="inlineStr">
        <is>
          <t>Короб, мин. 1</t>
        </is>
      </c>
      <c r="M64" s="36" t="inlineStr">
        <is>
          <t>МГ</t>
        </is>
      </c>
      <c r="N64" s="36" t="n"/>
      <c r="O64" s="35" t="n">
        <v>365</v>
      </c>
      <c r="P64" s="526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64" s="503" t="n"/>
      <c r="R64" s="503" t="n"/>
      <c r="S64" s="503" t="n"/>
      <c r="T64" s="504" t="n"/>
      <c r="U64" s="37" t="inlineStr"/>
      <c r="V64" s="37" t="inlineStr"/>
      <c r="W64" s="38" t="inlineStr">
        <is>
          <t>кор</t>
        </is>
      </c>
      <c r="X64" s="505" t="n">
        <v>0</v>
      </c>
      <c r="Y64" s="506">
        <f>IFERROR(IF(X64="","",X64),"")</f>
        <v/>
      </c>
      <c r="Z64" s="39">
        <f>IFERROR(IF(X64="","",X64*0.00941),"")</f>
        <v/>
      </c>
      <c r="AA64" s="65" t="inlineStr"/>
      <c r="AB64" s="66" t="inlineStr"/>
      <c r="AC64" s="116" t="inlineStr">
        <is>
          <t>ЕАЭС N RU Д-RU.РА04.В.97529/23</t>
        </is>
      </c>
      <c r="AG64" s="78" t="n"/>
      <c r="AJ64" s="82" t="inlineStr">
        <is>
          <t>Короб</t>
        </is>
      </c>
      <c r="AK64" s="82" t="n">
        <v>1</v>
      </c>
      <c r="BB64" s="117" t="inlineStr">
        <is>
          <t>ПГП</t>
        </is>
      </c>
      <c r="BM64" s="78">
        <f>IFERROR(X64*I64,"0")</f>
        <v/>
      </c>
      <c r="BN64" s="78">
        <f>IFERROR(Y64*I64,"0")</f>
        <v/>
      </c>
      <c r="BO64" s="78">
        <f>IFERROR(X64/J64,"0")</f>
        <v/>
      </c>
      <c r="BP64" s="78">
        <f>IFERROR(Y64/J64,"0")</f>
        <v/>
      </c>
    </row>
    <row r="65">
      <c r="A65" s="285" t="n"/>
      <c r="B65" s="273" t="n"/>
      <c r="C65" s="273" t="n"/>
      <c r="D65" s="273" t="n"/>
      <c r="E65" s="273" t="n"/>
      <c r="F65" s="273" t="n"/>
      <c r="G65" s="273" t="n"/>
      <c r="H65" s="273" t="n"/>
      <c r="I65" s="273" t="n"/>
      <c r="J65" s="273" t="n"/>
      <c r="K65" s="273" t="n"/>
      <c r="L65" s="273" t="n"/>
      <c r="M65" s="273" t="n"/>
      <c r="N65" s="273" t="n"/>
      <c r="O65" s="507" t="n"/>
      <c r="P65" s="508" t="inlineStr">
        <is>
          <t>Итого</t>
        </is>
      </c>
      <c r="Q65" s="470" t="n"/>
      <c r="R65" s="470" t="n"/>
      <c r="S65" s="470" t="n"/>
      <c r="T65" s="470" t="n"/>
      <c r="U65" s="470" t="n"/>
      <c r="V65" s="471" t="n"/>
      <c r="W65" s="40" t="inlineStr">
        <is>
          <t>кор</t>
        </is>
      </c>
      <c r="X65" s="509">
        <f>IFERROR(SUM(X62:X64),"0")</f>
        <v/>
      </c>
      <c r="Y65" s="509">
        <f>IFERROR(SUM(Y62:Y64),"0")</f>
        <v/>
      </c>
      <c r="Z65" s="509">
        <f>IFERROR(IF(Z62="",0,Z62),"0")+IFERROR(IF(Z63="",0,Z63),"0")+IFERROR(IF(Z64="",0,Z64),"0")</f>
        <v/>
      </c>
      <c r="AA65" s="510" t="n"/>
      <c r="AB65" s="510" t="n"/>
      <c r="AC65" s="510" t="n"/>
    </row>
    <row r="66">
      <c r="A66" s="273" t="n"/>
      <c r="B66" s="273" t="n"/>
      <c r="C66" s="273" t="n"/>
      <c r="D66" s="273" t="n"/>
      <c r="E66" s="273" t="n"/>
      <c r="F66" s="273" t="n"/>
      <c r="G66" s="273" t="n"/>
      <c r="H66" s="273" t="n"/>
      <c r="I66" s="273" t="n"/>
      <c r="J66" s="273" t="n"/>
      <c r="K66" s="273" t="n"/>
      <c r="L66" s="273" t="n"/>
      <c r="M66" s="273" t="n"/>
      <c r="N66" s="273" t="n"/>
      <c r="O66" s="507" t="n"/>
      <c r="P66" s="508" t="inlineStr">
        <is>
          <t>Итого</t>
        </is>
      </c>
      <c r="Q66" s="470" t="n"/>
      <c r="R66" s="470" t="n"/>
      <c r="S66" s="470" t="n"/>
      <c r="T66" s="470" t="n"/>
      <c r="U66" s="470" t="n"/>
      <c r="V66" s="471" t="n"/>
      <c r="W66" s="40" t="inlineStr">
        <is>
          <t>кг</t>
        </is>
      </c>
      <c r="X66" s="509">
        <f>IFERROR(SUMPRODUCT(X62:X64*H62:H64),"0")</f>
        <v/>
      </c>
      <c r="Y66" s="509">
        <f>IFERROR(SUMPRODUCT(Y62:Y64*H62:H64),"0")</f>
        <v/>
      </c>
      <c r="Z66" s="40" t="n"/>
      <c r="AA66" s="510" t="n"/>
      <c r="AB66" s="510" t="n"/>
      <c r="AC66" s="510" t="n"/>
    </row>
    <row r="67" ht="16.5" customHeight="1">
      <c r="A67" s="306" t="inlineStr">
        <is>
          <t>Бульмени вес ГШ</t>
        </is>
      </c>
      <c r="B67" s="273" t="n"/>
      <c r="C67" s="273" t="n"/>
      <c r="D67" s="273" t="n"/>
      <c r="E67" s="273" t="n"/>
      <c r="F67" s="273" t="n"/>
      <c r="G67" s="273" t="n"/>
      <c r="H67" s="273" t="n"/>
      <c r="I67" s="273" t="n"/>
      <c r="J67" s="273" t="n"/>
      <c r="K67" s="273" t="n"/>
      <c r="L67" s="273" t="n"/>
      <c r="M67" s="273" t="n"/>
      <c r="N67" s="273" t="n"/>
      <c r="O67" s="273" t="n"/>
      <c r="P67" s="273" t="n"/>
      <c r="Q67" s="273" t="n"/>
      <c r="R67" s="273" t="n"/>
      <c r="S67" s="273" t="n"/>
      <c r="T67" s="273" t="n"/>
      <c r="U67" s="273" t="n"/>
      <c r="V67" s="273" t="n"/>
      <c r="W67" s="273" t="n"/>
      <c r="X67" s="273" t="n"/>
      <c r="Y67" s="273" t="n"/>
      <c r="Z67" s="273" t="n"/>
      <c r="AA67" s="306" t="n"/>
      <c r="AB67" s="306" t="n"/>
      <c r="AC67" s="306" t="n"/>
    </row>
    <row r="68" ht="14.25" customHeight="1">
      <c r="A68" s="295" t="inlineStr">
        <is>
          <t>Пельмени</t>
        </is>
      </c>
      <c r="B68" s="273" t="n"/>
      <c r="C68" s="273" t="n"/>
      <c r="D68" s="273" t="n"/>
      <c r="E68" s="273" t="n"/>
      <c r="F68" s="273" t="n"/>
      <c r="G68" s="273" t="n"/>
      <c r="H68" s="273" t="n"/>
      <c r="I68" s="273" t="n"/>
      <c r="J68" s="273" t="n"/>
      <c r="K68" s="273" t="n"/>
      <c r="L68" s="273" t="n"/>
      <c r="M68" s="273" t="n"/>
      <c r="N68" s="273" t="n"/>
      <c r="O68" s="273" t="n"/>
      <c r="P68" s="273" t="n"/>
      <c r="Q68" s="273" t="n"/>
      <c r="R68" s="273" t="n"/>
      <c r="S68" s="273" t="n"/>
      <c r="T68" s="273" t="n"/>
      <c r="U68" s="273" t="n"/>
      <c r="V68" s="273" t="n"/>
      <c r="W68" s="273" t="n"/>
      <c r="X68" s="273" t="n"/>
      <c r="Y68" s="273" t="n"/>
      <c r="Z68" s="273" t="n"/>
      <c r="AA68" s="295" t="n"/>
      <c r="AB68" s="295" t="n"/>
      <c r="AC68" s="295" t="n"/>
    </row>
    <row r="69" ht="27" customHeight="1">
      <c r="A69" s="60" t="inlineStr">
        <is>
          <t>SU002798</t>
        </is>
      </c>
      <c r="B69" s="60" t="inlineStr">
        <is>
          <t>P003687</t>
        </is>
      </c>
      <c r="C69" s="34" t="n">
        <v>4301070977</v>
      </c>
      <c r="D69" s="276" t="n">
        <v>4607111037411</v>
      </c>
      <c r="E69" s="462" t="n"/>
      <c r="F69" s="501" t="n">
        <v>2.7</v>
      </c>
      <c r="G69" s="35" t="n">
        <v>1</v>
      </c>
      <c r="H69" s="501" t="n">
        <v>2.7</v>
      </c>
      <c r="I69" s="501" t="n">
        <v>2.8132</v>
      </c>
      <c r="J69" s="35" t="n">
        <v>234</v>
      </c>
      <c r="K69" s="35" t="inlineStr">
        <is>
          <t>18</t>
        </is>
      </c>
      <c r="L69" s="35" t="inlineStr">
        <is>
          <t>Слой, мин. 1</t>
        </is>
      </c>
      <c r="M69" s="36" t="inlineStr">
        <is>
          <t>МГ</t>
        </is>
      </c>
      <c r="N69" s="36" t="n"/>
      <c r="O69" s="35" t="n">
        <v>180</v>
      </c>
      <c r="P69" s="527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69" s="503" t="n"/>
      <c r="R69" s="503" t="n"/>
      <c r="S69" s="503" t="n"/>
      <c r="T69" s="504" t="n"/>
      <c r="U69" s="37" t="inlineStr"/>
      <c r="V69" s="37" t="inlineStr"/>
      <c r="W69" s="38" t="inlineStr">
        <is>
          <t>кор</t>
        </is>
      </c>
      <c r="X69" s="505" t="n">
        <v>0</v>
      </c>
      <c r="Y69" s="506">
        <f>IFERROR(IF(X69="","",X69),"")</f>
        <v/>
      </c>
      <c r="Z69" s="39">
        <f>IFERROR(IF(X69="","",X69*0.00502),"")</f>
        <v/>
      </c>
      <c r="AA69" s="65" t="inlineStr"/>
      <c r="AB69" s="66" t="inlineStr"/>
      <c r="AC69" s="118" t="inlineStr">
        <is>
          <t>ЕАЭС N RU Д-RU.РА02.В.13673/23</t>
        </is>
      </c>
      <c r="AG69" s="78" t="n"/>
      <c r="AJ69" s="82" t="inlineStr">
        <is>
          <t>Слой</t>
        </is>
      </c>
      <c r="AK69" s="82" t="n">
        <v>18</v>
      </c>
      <c r="BB69" s="119" t="inlineStr">
        <is>
          <t>ЗПФ</t>
        </is>
      </c>
      <c r="BM69" s="78">
        <f>IFERROR(X69*I69,"0")</f>
        <v/>
      </c>
      <c r="BN69" s="78">
        <f>IFERROR(Y69*I69,"0")</f>
        <v/>
      </c>
      <c r="BO69" s="78">
        <f>IFERROR(X69/J69,"0")</f>
        <v/>
      </c>
      <c r="BP69" s="78">
        <f>IFERROR(Y69/J69,"0")</f>
        <v/>
      </c>
    </row>
    <row r="70" ht="27" customHeight="1">
      <c r="A70" s="60" t="inlineStr">
        <is>
          <t>SU002595</t>
        </is>
      </c>
      <c r="B70" s="60" t="inlineStr">
        <is>
          <t>P003697</t>
        </is>
      </c>
      <c r="C70" s="34" t="n">
        <v>4301070981</v>
      </c>
      <c r="D70" s="276" t="n">
        <v>4607111036728</v>
      </c>
      <c r="E70" s="462" t="n"/>
      <c r="F70" s="501" t="n">
        <v>5</v>
      </c>
      <c r="G70" s="35" t="n">
        <v>1</v>
      </c>
      <c r="H70" s="501" t="n">
        <v>5</v>
      </c>
      <c r="I70" s="501" t="n">
        <v>5.2132</v>
      </c>
      <c r="J70" s="35" t="n">
        <v>144</v>
      </c>
      <c r="K70" s="35" t="inlineStr">
        <is>
          <t>12</t>
        </is>
      </c>
      <c r="L70" s="35" t="inlineStr">
        <is>
          <t>Слой, мин. 1</t>
        </is>
      </c>
      <c r="M70" s="36" t="inlineStr">
        <is>
          <t>МГ</t>
        </is>
      </c>
      <c r="N70" s="36" t="n"/>
      <c r="O70" s="35" t="n">
        <v>180</v>
      </c>
      <c r="P70" s="528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0" s="503" t="n"/>
      <c r="R70" s="503" t="n"/>
      <c r="S70" s="503" t="n"/>
      <c r="T70" s="504" t="n"/>
      <c r="U70" s="37" t="inlineStr"/>
      <c r="V70" s="37" t="inlineStr"/>
      <c r="W70" s="38" t="inlineStr">
        <is>
          <t>кор</t>
        </is>
      </c>
      <c r="X70" s="505" t="n">
        <v>24</v>
      </c>
      <c r="Y70" s="506">
        <f>IFERROR(IF(X70="","",X70),"")</f>
        <v/>
      </c>
      <c r="Z70" s="39">
        <f>IFERROR(IF(X70="","",X70*0.00866),"")</f>
        <v/>
      </c>
      <c r="AA70" s="65" t="inlineStr"/>
      <c r="AB70" s="66" t="inlineStr"/>
      <c r="AC70" s="120" t="inlineStr">
        <is>
          <t>ЕАЭС N RU Д-RU.РА02.В.13673/23</t>
        </is>
      </c>
      <c r="AG70" s="78" t="n"/>
      <c r="AJ70" s="82" t="inlineStr">
        <is>
          <t>Слой</t>
        </is>
      </c>
      <c r="AK70" s="82" t="n">
        <v>12</v>
      </c>
      <c r="BB70" s="121" t="inlineStr">
        <is>
          <t>ЗПФ</t>
        </is>
      </c>
      <c r="BM70" s="78">
        <f>IFERROR(X70*I70,"0")</f>
        <v/>
      </c>
      <c r="BN70" s="78">
        <f>IFERROR(Y70*I70,"0")</f>
        <v/>
      </c>
      <c r="BO70" s="78">
        <f>IFERROR(X70/J70,"0")</f>
        <v/>
      </c>
      <c r="BP70" s="78">
        <f>IFERROR(Y70/J70,"0")</f>
        <v/>
      </c>
    </row>
    <row r="71">
      <c r="A71" s="285" t="n"/>
      <c r="B71" s="273" t="n"/>
      <c r="C71" s="273" t="n"/>
      <c r="D71" s="273" t="n"/>
      <c r="E71" s="273" t="n"/>
      <c r="F71" s="273" t="n"/>
      <c r="G71" s="273" t="n"/>
      <c r="H71" s="273" t="n"/>
      <c r="I71" s="273" t="n"/>
      <c r="J71" s="273" t="n"/>
      <c r="K71" s="273" t="n"/>
      <c r="L71" s="273" t="n"/>
      <c r="M71" s="273" t="n"/>
      <c r="N71" s="273" t="n"/>
      <c r="O71" s="507" t="n"/>
      <c r="P71" s="508" t="inlineStr">
        <is>
          <t>Итого</t>
        </is>
      </c>
      <c r="Q71" s="470" t="n"/>
      <c r="R71" s="470" t="n"/>
      <c r="S71" s="470" t="n"/>
      <c r="T71" s="470" t="n"/>
      <c r="U71" s="470" t="n"/>
      <c r="V71" s="471" t="n"/>
      <c r="W71" s="40" t="inlineStr">
        <is>
          <t>кор</t>
        </is>
      </c>
      <c r="X71" s="509">
        <f>IFERROR(SUM(X69:X70),"0")</f>
        <v/>
      </c>
      <c r="Y71" s="509">
        <f>IFERROR(SUM(Y69:Y70),"0")</f>
        <v/>
      </c>
      <c r="Z71" s="509">
        <f>IFERROR(IF(Z69="",0,Z69),"0")+IFERROR(IF(Z70="",0,Z70),"0")</f>
        <v/>
      </c>
      <c r="AA71" s="510" t="n"/>
      <c r="AB71" s="510" t="n"/>
      <c r="AC71" s="510" t="n"/>
    </row>
    <row r="72">
      <c r="A72" s="273" t="n"/>
      <c r="B72" s="273" t="n"/>
      <c r="C72" s="273" t="n"/>
      <c r="D72" s="273" t="n"/>
      <c r="E72" s="273" t="n"/>
      <c r="F72" s="273" t="n"/>
      <c r="G72" s="273" t="n"/>
      <c r="H72" s="273" t="n"/>
      <c r="I72" s="273" t="n"/>
      <c r="J72" s="273" t="n"/>
      <c r="K72" s="273" t="n"/>
      <c r="L72" s="273" t="n"/>
      <c r="M72" s="273" t="n"/>
      <c r="N72" s="273" t="n"/>
      <c r="O72" s="507" t="n"/>
      <c r="P72" s="508" t="inlineStr">
        <is>
          <t>Итого</t>
        </is>
      </c>
      <c r="Q72" s="470" t="n"/>
      <c r="R72" s="470" t="n"/>
      <c r="S72" s="470" t="n"/>
      <c r="T72" s="470" t="n"/>
      <c r="U72" s="470" t="n"/>
      <c r="V72" s="471" t="n"/>
      <c r="W72" s="40" t="inlineStr">
        <is>
          <t>кг</t>
        </is>
      </c>
      <c r="X72" s="509">
        <f>IFERROR(SUMPRODUCT(X69:X70*H69:H70),"0")</f>
        <v/>
      </c>
      <c r="Y72" s="509">
        <f>IFERROR(SUMPRODUCT(Y69:Y70*H69:H70),"0")</f>
        <v/>
      </c>
      <c r="Z72" s="40" t="n"/>
      <c r="AA72" s="510" t="n"/>
      <c r="AB72" s="510" t="n"/>
      <c r="AC72" s="510" t="n"/>
    </row>
    <row r="73" ht="16.5" customHeight="1">
      <c r="A73" s="306" t="inlineStr">
        <is>
          <t>Бельмеши</t>
        </is>
      </c>
      <c r="B73" s="273" t="n"/>
      <c r="C73" s="273" t="n"/>
      <c r="D73" s="273" t="n"/>
      <c r="E73" s="273" t="n"/>
      <c r="F73" s="273" t="n"/>
      <c r="G73" s="273" t="n"/>
      <c r="H73" s="273" t="n"/>
      <c r="I73" s="273" t="n"/>
      <c r="J73" s="273" t="n"/>
      <c r="K73" s="273" t="n"/>
      <c r="L73" s="273" t="n"/>
      <c r="M73" s="273" t="n"/>
      <c r="N73" s="273" t="n"/>
      <c r="O73" s="273" t="n"/>
      <c r="P73" s="273" t="n"/>
      <c r="Q73" s="273" t="n"/>
      <c r="R73" s="273" t="n"/>
      <c r="S73" s="273" t="n"/>
      <c r="T73" s="273" t="n"/>
      <c r="U73" s="273" t="n"/>
      <c r="V73" s="273" t="n"/>
      <c r="W73" s="273" t="n"/>
      <c r="X73" s="273" t="n"/>
      <c r="Y73" s="273" t="n"/>
      <c r="Z73" s="273" t="n"/>
      <c r="AA73" s="306" t="n"/>
      <c r="AB73" s="306" t="n"/>
      <c r="AC73" s="306" t="n"/>
    </row>
    <row r="74" ht="14.25" customHeight="1">
      <c r="A74" s="295" t="inlineStr">
        <is>
          <t>Снеки</t>
        </is>
      </c>
      <c r="B74" s="273" t="n"/>
      <c r="C74" s="273" t="n"/>
      <c r="D74" s="273" t="n"/>
      <c r="E74" s="273" t="n"/>
      <c r="F74" s="273" t="n"/>
      <c r="G74" s="273" t="n"/>
      <c r="H74" s="273" t="n"/>
      <c r="I74" s="273" t="n"/>
      <c r="J74" s="273" t="n"/>
      <c r="K74" s="273" t="n"/>
      <c r="L74" s="273" t="n"/>
      <c r="M74" s="273" t="n"/>
      <c r="N74" s="273" t="n"/>
      <c r="O74" s="273" t="n"/>
      <c r="P74" s="273" t="n"/>
      <c r="Q74" s="273" t="n"/>
      <c r="R74" s="273" t="n"/>
      <c r="S74" s="273" t="n"/>
      <c r="T74" s="273" t="n"/>
      <c r="U74" s="273" t="n"/>
      <c r="V74" s="273" t="n"/>
      <c r="W74" s="273" t="n"/>
      <c r="X74" s="273" t="n"/>
      <c r="Y74" s="273" t="n"/>
      <c r="Z74" s="273" t="n"/>
      <c r="AA74" s="295" t="n"/>
      <c r="AB74" s="295" t="n"/>
      <c r="AC74" s="295" t="n"/>
    </row>
    <row r="75" ht="27" customHeight="1">
      <c r="A75" s="60" t="inlineStr">
        <is>
          <t>SU003593</t>
        </is>
      </c>
      <c r="B75" s="60" t="inlineStr">
        <is>
          <t>P004598</t>
        </is>
      </c>
      <c r="C75" s="34" t="n">
        <v>4301135574</v>
      </c>
      <c r="D75" s="276" t="n">
        <v>4607111033659</v>
      </c>
      <c r="E75" s="462" t="n"/>
      <c r="F75" s="501" t="n">
        <v>0.3</v>
      </c>
      <c r="G75" s="35" t="n">
        <v>12</v>
      </c>
      <c r="H75" s="501" t="n">
        <v>3.6</v>
      </c>
      <c r="I75" s="501" t="n">
        <v>4.3036</v>
      </c>
      <c r="J75" s="35" t="n">
        <v>70</v>
      </c>
      <c r="K75" s="35" t="inlineStr">
        <is>
          <t>14</t>
        </is>
      </c>
      <c r="L75" s="35" t="inlineStr">
        <is>
          <t>Слой, мин. 1</t>
        </is>
      </c>
      <c r="M75" s="36" t="inlineStr">
        <is>
          <t>МГ</t>
        </is>
      </c>
      <c r="N75" s="36" t="n"/>
      <c r="O75" s="35" t="n">
        <v>180</v>
      </c>
      <c r="P75" s="529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75" s="503" t="n"/>
      <c r="R75" s="503" t="n"/>
      <c r="S75" s="503" t="n"/>
      <c r="T75" s="504" t="n"/>
      <c r="U75" s="37" t="inlineStr"/>
      <c r="V75" s="37" t="inlineStr"/>
      <c r="W75" s="38" t="inlineStr">
        <is>
          <t>кор</t>
        </is>
      </c>
      <c r="X75" s="505" t="n">
        <v>0</v>
      </c>
      <c r="Y75" s="506">
        <f>IFERROR(IF(X75="","",X75),"")</f>
        <v/>
      </c>
      <c r="Z75" s="39">
        <f>IFERROR(IF(X75="","",X75*0.01788),"")</f>
        <v/>
      </c>
      <c r="AA75" s="65" t="inlineStr"/>
      <c r="AB75" s="66" t="inlineStr"/>
      <c r="AC75" s="122" t="inlineStr">
        <is>
          <t>ЕАЭС N RU Д-RU.РА02.В.49579/23</t>
        </is>
      </c>
      <c r="AG75" s="78" t="n"/>
      <c r="AJ75" s="82" t="inlineStr">
        <is>
          <t>Слой</t>
        </is>
      </c>
      <c r="AK75" s="82" t="n">
        <v>14</v>
      </c>
      <c r="BB75" s="123" t="inlineStr">
        <is>
          <t>ПГП</t>
        </is>
      </c>
      <c r="BM75" s="78">
        <f>IFERROR(X75*I75,"0")</f>
        <v/>
      </c>
      <c r="BN75" s="78">
        <f>IFERROR(Y75*I75,"0")</f>
        <v/>
      </c>
      <c r="BO75" s="78">
        <f>IFERROR(X75/J75,"0")</f>
        <v/>
      </c>
      <c r="BP75" s="78">
        <f>IFERROR(Y75/J75,"0")</f>
        <v/>
      </c>
    </row>
    <row r="76">
      <c r="A76" s="285" t="n"/>
      <c r="B76" s="273" t="n"/>
      <c r="C76" s="273" t="n"/>
      <c r="D76" s="273" t="n"/>
      <c r="E76" s="273" t="n"/>
      <c r="F76" s="273" t="n"/>
      <c r="G76" s="273" t="n"/>
      <c r="H76" s="273" t="n"/>
      <c r="I76" s="273" t="n"/>
      <c r="J76" s="273" t="n"/>
      <c r="K76" s="273" t="n"/>
      <c r="L76" s="273" t="n"/>
      <c r="M76" s="273" t="n"/>
      <c r="N76" s="273" t="n"/>
      <c r="O76" s="507" t="n"/>
      <c r="P76" s="508" t="inlineStr">
        <is>
          <t>Итого</t>
        </is>
      </c>
      <c r="Q76" s="470" t="n"/>
      <c r="R76" s="470" t="n"/>
      <c r="S76" s="470" t="n"/>
      <c r="T76" s="470" t="n"/>
      <c r="U76" s="470" t="n"/>
      <c r="V76" s="471" t="n"/>
      <c r="W76" s="40" t="inlineStr">
        <is>
          <t>кор</t>
        </is>
      </c>
      <c r="X76" s="509">
        <f>IFERROR(SUM(X75:X75),"0")</f>
        <v/>
      </c>
      <c r="Y76" s="509">
        <f>IFERROR(SUM(Y75:Y75),"0")</f>
        <v/>
      </c>
      <c r="Z76" s="509">
        <f>IFERROR(IF(Z75="",0,Z75),"0")</f>
        <v/>
      </c>
      <c r="AA76" s="510" t="n"/>
      <c r="AB76" s="510" t="n"/>
      <c r="AC76" s="510" t="n"/>
    </row>
    <row r="77">
      <c r="A77" s="273" t="n"/>
      <c r="B77" s="273" t="n"/>
      <c r="C77" s="273" t="n"/>
      <c r="D77" s="273" t="n"/>
      <c r="E77" s="273" t="n"/>
      <c r="F77" s="273" t="n"/>
      <c r="G77" s="273" t="n"/>
      <c r="H77" s="273" t="n"/>
      <c r="I77" s="273" t="n"/>
      <c r="J77" s="273" t="n"/>
      <c r="K77" s="273" t="n"/>
      <c r="L77" s="273" t="n"/>
      <c r="M77" s="273" t="n"/>
      <c r="N77" s="273" t="n"/>
      <c r="O77" s="507" t="n"/>
      <c r="P77" s="508" t="inlineStr">
        <is>
          <t>Итого</t>
        </is>
      </c>
      <c r="Q77" s="470" t="n"/>
      <c r="R77" s="470" t="n"/>
      <c r="S77" s="470" t="n"/>
      <c r="T77" s="470" t="n"/>
      <c r="U77" s="470" t="n"/>
      <c r="V77" s="471" t="n"/>
      <c r="W77" s="40" t="inlineStr">
        <is>
          <t>кг</t>
        </is>
      </c>
      <c r="X77" s="509">
        <f>IFERROR(SUMPRODUCT(X75:X75*H75:H75),"0")</f>
        <v/>
      </c>
      <c r="Y77" s="509">
        <f>IFERROR(SUMPRODUCT(Y75:Y75*H75:H75),"0")</f>
        <v/>
      </c>
      <c r="Z77" s="40" t="n"/>
      <c r="AA77" s="510" t="n"/>
      <c r="AB77" s="510" t="n"/>
      <c r="AC77" s="510" t="n"/>
    </row>
    <row r="78" ht="16.5" customHeight="1">
      <c r="A78" s="306" t="inlineStr">
        <is>
          <t>Крылышки ГШ</t>
        </is>
      </c>
      <c r="B78" s="273" t="n"/>
      <c r="C78" s="273" t="n"/>
      <c r="D78" s="273" t="n"/>
      <c r="E78" s="273" t="n"/>
      <c r="F78" s="273" t="n"/>
      <c r="G78" s="273" t="n"/>
      <c r="H78" s="273" t="n"/>
      <c r="I78" s="273" t="n"/>
      <c r="J78" s="273" t="n"/>
      <c r="K78" s="273" t="n"/>
      <c r="L78" s="273" t="n"/>
      <c r="M78" s="273" t="n"/>
      <c r="N78" s="273" t="n"/>
      <c r="O78" s="273" t="n"/>
      <c r="P78" s="273" t="n"/>
      <c r="Q78" s="273" t="n"/>
      <c r="R78" s="273" t="n"/>
      <c r="S78" s="273" t="n"/>
      <c r="T78" s="273" t="n"/>
      <c r="U78" s="273" t="n"/>
      <c r="V78" s="273" t="n"/>
      <c r="W78" s="273" t="n"/>
      <c r="X78" s="273" t="n"/>
      <c r="Y78" s="273" t="n"/>
      <c r="Z78" s="273" t="n"/>
      <c r="AA78" s="306" t="n"/>
      <c r="AB78" s="306" t="n"/>
      <c r="AC78" s="306" t="n"/>
    </row>
    <row r="79" ht="14.25" customHeight="1">
      <c r="A79" s="295" t="inlineStr">
        <is>
          <t>Крылья</t>
        </is>
      </c>
      <c r="B79" s="273" t="n"/>
      <c r="C79" s="273" t="n"/>
      <c r="D79" s="273" t="n"/>
      <c r="E79" s="273" t="n"/>
      <c r="F79" s="273" t="n"/>
      <c r="G79" s="273" t="n"/>
      <c r="H79" s="273" t="n"/>
      <c r="I79" s="273" t="n"/>
      <c r="J79" s="273" t="n"/>
      <c r="K79" s="273" t="n"/>
      <c r="L79" s="273" t="n"/>
      <c r="M79" s="273" t="n"/>
      <c r="N79" s="273" t="n"/>
      <c r="O79" s="273" t="n"/>
      <c r="P79" s="273" t="n"/>
      <c r="Q79" s="273" t="n"/>
      <c r="R79" s="273" t="n"/>
      <c r="S79" s="273" t="n"/>
      <c r="T79" s="273" t="n"/>
      <c r="U79" s="273" t="n"/>
      <c r="V79" s="273" t="n"/>
      <c r="W79" s="273" t="n"/>
      <c r="X79" s="273" t="n"/>
      <c r="Y79" s="273" t="n"/>
      <c r="Z79" s="273" t="n"/>
      <c r="AA79" s="295" t="n"/>
      <c r="AB79" s="295" t="n"/>
      <c r="AC79" s="295" t="n"/>
    </row>
    <row r="80" ht="27" customHeight="1">
      <c r="A80" s="60" t="inlineStr">
        <is>
          <t>SU003591</t>
        </is>
      </c>
      <c r="B80" s="60" t="inlineStr">
        <is>
          <t>P004588</t>
        </is>
      </c>
      <c r="C80" s="34" t="n">
        <v>4301131047</v>
      </c>
      <c r="D80" s="276" t="n">
        <v>4607111034120</v>
      </c>
      <c r="E80" s="462" t="n"/>
      <c r="F80" s="501" t="n">
        <v>0.3</v>
      </c>
      <c r="G80" s="35" t="n">
        <v>12</v>
      </c>
      <c r="H80" s="501" t="n">
        <v>3.6</v>
      </c>
      <c r="I80" s="501" t="n">
        <v>4.3036</v>
      </c>
      <c r="J80" s="35" t="n">
        <v>70</v>
      </c>
      <c r="K80" s="35" t="inlineStr">
        <is>
          <t>14</t>
        </is>
      </c>
      <c r="L80" s="35" t="inlineStr">
        <is>
          <t>Слой, мин. 1</t>
        </is>
      </c>
      <c r="M80" s="36" t="inlineStr">
        <is>
          <t>МГ</t>
        </is>
      </c>
      <c r="N80" s="36" t="n"/>
      <c r="O80" s="35" t="n">
        <v>180</v>
      </c>
      <c r="P80" s="530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0" s="503" t="n"/>
      <c r="R80" s="503" t="n"/>
      <c r="S80" s="503" t="n"/>
      <c r="T80" s="504" t="n"/>
      <c r="U80" s="37" t="inlineStr"/>
      <c r="V80" s="37" t="inlineStr"/>
      <c r="W80" s="38" t="inlineStr">
        <is>
          <t>кор</t>
        </is>
      </c>
      <c r="X80" s="505" t="n">
        <v>0</v>
      </c>
      <c r="Y80" s="506">
        <f>IFERROR(IF(X80="","",X80),"")</f>
        <v/>
      </c>
      <c r="Z80" s="39">
        <f>IFERROR(IF(X80="","",X80*0.01788),"")</f>
        <v/>
      </c>
      <c r="AA80" s="65" t="inlineStr"/>
      <c r="AB80" s="66" t="inlineStr"/>
      <c r="AC80" s="124" t="inlineStr">
        <is>
          <t>ЕАЭС N RU Д-RU.РА10.В.35725/23</t>
        </is>
      </c>
      <c r="AG80" s="78" t="n"/>
      <c r="AJ80" s="82" t="inlineStr">
        <is>
          <t>Слой</t>
        </is>
      </c>
      <c r="AK80" s="82" t="n">
        <v>14</v>
      </c>
      <c r="BB80" s="125" t="inlineStr">
        <is>
          <t>ПГП</t>
        </is>
      </c>
      <c r="BM80" s="78">
        <f>IFERROR(X80*I80,"0")</f>
        <v/>
      </c>
      <c r="BN80" s="78">
        <f>IFERROR(Y80*I80,"0")</f>
        <v/>
      </c>
      <c r="BO80" s="78">
        <f>IFERROR(X80/J80,"0")</f>
        <v/>
      </c>
      <c r="BP80" s="78">
        <f>IFERROR(Y80/J80,"0")</f>
        <v/>
      </c>
    </row>
    <row r="81" ht="27" customHeight="1">
      <c r="A81" s="60" t="inlineStr">
        <is>
          <t>SU003607</t>
        </is>
      </c>
      <c r="B81" s="60" t="inlineStr">
        <is>
          <t>P004589</t>
        </is>
      </c>
      <c r="C81" s="34" t="n">
        <v>4301131046</v>
      </c>
      <c r="D81" s="276" t="n">
        <v>4607111034137</v>
      </c>
      <c r="E81" s="462" t="n"/>
      <c r="F81" s="501" t="n">
        <v>0.3</v>
      </c>
      <c r="G81" s="35" t="n">
        <v>12</v>
      </c>
      <c r="H81" s="501" t="n">
        <v>3.6</v>
      </c>
      <c r="I81" s="501" t="n">
        <v>4.3036</v>
      </c>
      <c r="J81" s="35" t="n">
        <v>70</v>
      </c>
      <c r="K81" s="35" t="inlineStr">
        <is>
          <t>14</t>
        </is>
      </c>
      <c r="L81" s="35" t="inlineStr">
        <is>
          <t>Короб, мин. 1</t>
        </is>
      </c>
      <c r="M81" s="36" t="inlineStr">
        <is>
          <t>МГ</t>
        </is>
      </c>
      <c r="N81" s="36" t="n"/>
      <c r="O81" s="35" t="n">
        <v>180</v>
      </c>
      <c r="P81" s="531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1" s="503" t="n"/>
      <c r="R81" s="503" t="n"/>
      <c r="S81" s="503" t="n"/>
      <c r="T81" s="504" t="n"/>
      <c r="U81" s="37" t="inlineStr"/>
      <c r="V81" s="37" t="inlineStr"/>
      <c r="W81" s="38" t="inlineStr">
        <is>
          <t>кор</t>
        </is>
      </c>
      <c r="X81" s="505" t="n">
        <v>0</v>
      </c>
      <c r="Y81" s="506">
        <f>IFERROR(IF(X81="","",X81),"")</f>
        <v/>
      </c>
      <c r="Z81" s="39">
        <f>IFERROR(IF(X81="","",X81*0.01788),"")</f>
        <v/>
      </c>
      <c r="AA81" s="65" t="inlineStr"/>
      <c r="AB81" s="66" t="inlineStr"/>
      <c r="AC81" s="126" t="inlineStr">
        <is>
          <t>ЕАЭС N RU Д-RU.РА01.В.97554/24</t>
        </is>
      </c>
      <c r="AG81" s="78" t="n"/>
      <c r="AJ81" s="82" t="inlineStr">
        <is>
          <t>Короб</t>
        </is>
      </c>
      <c r="AK81" s="82" t="n">
        <v>1</v>
      </c>
      <c r="BB81" s="127" t="inlineStr">
        <is>
          <t>ПГП</t>
        </is>
      </c>
      <c r="BM81" s="78">
        <f>IFERROR(X81*I81,"0")</f>
        <v/>
      </c>
      <c r="BN81" s="78">
        <f>IFERROR(Y81*I81,"0")</f>
        <v/>
      </c>
      <c r="BO81" s="78">
        <f>IFERROR(X81/J81,"0")</f>
        <v/>
      </c>
      <c r="BP81" s="78">
        <f>IFERROR(Y81/J81,"0")</f>
        <v/>
      </c>
    </row>
    <row r="82">
      <c r="A82" s="285" t="n"/>
      <c r="B82" s="273" t="n"/>
      <c r="C82" s="273" t="n"/>
      <c r="D82" s="273" t="n"/>
      <c r="E82" s="273" t="n"/>
      <c r="F82" s="273" t="n"/>
      <c r="G82" s="273" t="n"/>
      <c r="H82" s="273" t="n"/>
      <c r="I82" s="273" t="n"/>
      <c r="J82" s="273" t="n"/>
      <c r="K82" s="273" t="n"/>
      <c r="L82" s="273" t="n"/>
      <c r="M82" s="273" t="n"/>
      <c r="N82" s="273" t="n"/>
      <c r="O82" s="507" t="n"/>
      <c r="P82" s="508" t="inlineStr">
        <is>
          <t>Итого</t>
        </is>
      </c>
      <c r="Q82" s="470" t="n"/>
      <c r="R82" s="470" t="n"/>
      <c r="S82" s="470" t="n"/>
      <c r="T82" s="470" t="n"/>
      <c r="U82" s="470" t="n"/>
      <c r="V82" s="471" t="n"/>
      <c r="W82" s="40" t="inlineStr">
        <is>
          <t>кор</t>
        </is>
      </c>
      <c r="X82" s="509">
        <f>IFERROR(SUM(X80:X81),"0")</f>
        <v/>
      </c>
      <c r="Y82" s="509">
        <f>IFERROR(SUM(Y80:Y81),"0")</f>
        <v/>
      </c>
      <c r="Z82" s="509">
        <f>IFERROR(IF(Z80="",0,Z80),"0")+IFERROR(IF(Z81="",0,Z81),"0")</f>
        <v/>
      </c>
      <c r="AA82" s="510" t="n"/>
      <c r="AB82" s="510" t="n"/>
      <c r="AC82" s="510" t="n"/>
    </row>
    <row r="83">
      <c r="A83" s="273" t="n"/>
      <c r="B83" s="273" t="n"/>
      <c r="C83" s="273" t="n"/>
      <c r="D83" s="273" t="n"/>
      <c r="E83" s="273" t="n"/>
      <c r="F83" s="273" t="n"/>
      <c r="G83" s="273" t="n"/>
      <c r="H83" s="273" t="n"/>
      <c r="I83" s="273" t="n"/>
      <c r="J83" s="273" t="n"/>
      <c r="K83" s="273" t="n"/>
      <c r="L83" s="273" t="n"/>
      <c r="M83" s="273" t="n"/>
      <c r="N83" s="273" t="n"/>
      <c r="O83" s="507" t="n"/>
      <c r="P83" s="508" t="inlineStr">
        <is>
          <t>Итого</t>
        </is>
      </c>
      <c r="Q83" s="470" t="n"/>
      <c r="R83" s="470" t="n"/>
      <c r="S83" s="470" t="n"/>
      <c r="T83" s="470" t="n"/>
      <c r="U83" s="470" t="n"/>
      <c r="V83" s="471" t="n"/>
      <c r="W83" s="40" t="inlineStr">
        <is>
          <t>кг</t>
        </is>
      </c>
      <c r="X83" s="509">
        <f>IFERROR(SUMPRODUCT(X80:X81*H80:H81),"0")</f>
        <v/>
      </c>
      <c r="Y83" s="509">
        <f>IFERROR(SUMPRODUCT(Y80:Y81*H80:H81),"0")</f>
        <v/>
      </c>
      <c r="Z83" s="40" t="n"/>
      <c r="AA83" s="510" t="n"/>
      <c r="AB83" s="510" t="n"/>
      <c r="AC83" s="510" t="n"/>
    </row>
    <row r="84" ht="16.5" customHeight="1">
      <c r="A84" s="306" t="inlineStr">
        <is>
          <t>Чебупели</t>
        </is>
      </c>
      <c r="B84" s="273" t="n"/>
      <c r="C84" s="273" t="n"/>
      <c r="D84" s="273" t="n"/>
      <c r="E84" s="273" t="n"/>
      <c r="F84" s="273" t="n"/>
      <c r="G84" s="273" t="n"/>
      <c r="H84" s="273" t="n"/>
      <c r="I84" s="273" t="n"/>
      <c r="J84" s="273" t="n"/>
      <c r="K84" s="273" t="n"/>
      <c r="L84" s="273" t="n"/>
      <c r="M84" s="273" t="n"/>
      <c r="N84" s="273" t="n"/>
      <c r="O84" s="273" t="n"/>
      <c r="P84" s="273" t="n"/>
      <c r="Q84" s="273" t="n"/>
      <c r="R84" s="273" t="n"/>
      <c r="S84" s="273" t="n"/>
      <c r="T84" s="273" t="n"/>
      <c r="U84" s="273" t="n"/>
      <c r="V84" s="273" t="n"/>
      <c r="W84" s="273" t="n"/>
      <c r="X84" s="273" t="n"/>
      <c r="Y84" s="273" t="n"/>
      <c r="Z84" s="273" t="n"/>
      <c r="AA84" s="306" t="n"/>
      <c r="AB84" s="306" t="n"/>
      <c r="AC84" s="306" t="n"/>
    </row>
    <row r="85" ht="14.25" customHeight="1">
      <c r="A85" s="295" t="inlineStr">
        <is>
          <t>Снеки</t>
        </is>
      </c>
      <c r="B85" s="273" t="n"/>
      <c r="C85" s="273" t="n"/>
      <c r="D85" s="273" t="n"/>
      <c r="E85" s="273" t="n"/>
      <c r="F85" s="273" t="n"/>
      <c r="G85" s="273" t="n"/>
      <c r="H85" s="273" t="n"/>
      <c r="I85" s="273" t="n"/>
      <c r="J85" s="273" t="n"/>
      <c r="K85" s="273" t="n"/>
      <c r="L85" s="273" t="n"/>
      <c r="M85" s="273" t="n"/>
      <c r="N85" s="273" t="n"/>
      <c r="O85" s="273" t="n"/>
      <c r="P85" s="273" t="n"/>
      <c r="Q85" s="273" t="n"/>
      <c r="R85" s="273" t="n"/>
      <c r="S85" s="273" t="n"/>
      <c r="T85" s="273" t="n"/>
      <c r="U85" s="273" t="n"/>
      <c r="V85" s="273" t="n"/>
      <c r="W85" s="273" t="n"/>
      <c r="X85" s="273" t="n"/>
      <c r="Y85" s="273" t="n"/>
      <c r="Z85" s="273" t="n"/>
      <c r="AA85" s="295" t="n"/>
      <c r="AB85" s="295" t="n"/>
      <c r="AC85" s="295" t="n"/>
    </row>
    <row r="86" ht="27" customHeight="1">
      <c r="A86" s="60" t="inlineStr">
        <is>
          <t>SU003887</t>
        </is>
      </c>
      <c r="B86" s="60" t="inlineStr">
        <is>
          <t>P004969</t>
        </is>
      </c>
      <c r="C86" s="34" t="n">
        <v>4301135763</v>
      </c>
      <c r="D86" s="276" t="n">
        <v>4620207491027</v>
      </c>
      <c r="E86" s="462" t="n"/>
      <c r="F86" s="501" t="n">
        <v>0.24</v>
      </c>
      <c r="G86" s="35" t="n">
        <v>12</v>
      </c>
      <c r="H86" s="501" t="n">
        <v>2.88</v>
      </c>
      <c r="I86" s="501" t="n">
        <v>3.5836</v>
      </c>
      <c r="J86" s="35" t="n">
        <v>70</v>
      </c>
      <c r="K86" s="35" t="inlineStr">
        <is>
          <t>14</t>
        </is>
      </c>
      <c r="L86" s="35" t="inlineStr">
        <is>
          <t>Короб, мин. 1</t>
        </is>
      </c>
      <c r="M86" s="36" t="inlineStr">
        <is>
          <t>МГ</t>
        </is>
      </c>
      <c r="N86" s="36" t="n"/>
      <c r="O86" s="35" t="n">
        <v>180</v>
      </c>
      <c r="P86" s="532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86" s="503" t="n"/>
      <c r="R86" s="503" t="n"/>
      <c r="S86" s="503" t="n"/>
      <c r="T86" s="504" t="n"/>
      <c r="U86" s="37" t="inlineStr"/>
      <c r="V86" s="37" t="inlineStr"/>
      <c r="W86" s="38" t="inlineStr">
        <is>
          <t>кор</t>
        </is>
      </c>
      <c r="X86" s="505" t="n">
        <v>0</v>
      </c>
      <c r="Y86" s="506">
        <f>IFERROR(IF(X86="","",X86),"")</f>
        <v/>
      </c>
      <c r="Z86" s="39">
        <f>IFERROR(IF(X86="","",X86*0.01788),"")</f>
        <v/>
      </c>
      <c r="AA86" s="65" t="inlineStr"/>
      <c r="AB86" s="66" t="inlineStr"/>
      <c r="AC86" s="128" t="inlineStr">
        <is>
          <t>ЕАЭС N RU Д-RU.РА02.В.49579/23</t>
        </is>
      </c>
      <c r="AG86" s="78" t="n"/>
      <c r="AJ86" s="82" t="inlineStr">
        <is>
          <t>Короб</t>
        </is>
      </c>
      <c r="AK86" s="82" t="n">
        <v>1</v>
      </c>
      <c r="BB86" s="129" t="inlineStr">
        <is>
          <t>ПГП</t>
        </is>
      </c>
      <c r="BM86" s="78">
        <f>IFERROR(X86*I86,"0")</f>
        <v/>
      </c>
      <c r="BN86" s="78">
        <f>IFERROR(Y86*I86,"0")</f>
        <v/>
      </c>
      <c r="BO86" s="78">
        <f>IFERROR(X86/J86,"0")</f>
        <v/>
      </c>
      <c r="BP86" s="78">
        <f>IFERROR(Y86/J86,"0")</f>
        <v/>
      </c>
    </row>
    <row r="87" ht="27" customHeight="1">
      <c r="A87" s="60" t="inlineStr">
        <is>
          <t>SU003889</t>
        </is>
      </c>
      <c r="B87" s="60" t="inlineStr">
        <is>
          <t>P004971</t>
        </is>
      </c>
      <c r="C87" s="34" t="n">
        <v>4301135793</v>
      </c>
      <c r="D87" s="276" t="n">
        <v>4620207491003</v>
      </c>
      <c r="E87" s="462" t="n"/>
      <c r="F87" s="501" t="n">
        <v>0.24</v>
      </c>
      <c r="G87" s="35" t="n">
        <v>12</v>
      </c>
      <c r="H87" s="501" t="n">
        <v>2.88</v>
      </c>
      <c r="I87" s="501" t="n">
        <v>3.5836</v>
      </c>
      <c r="J87" s="35" t="n">
        <v>70</v>
      </c>
      <c r="K87" s="35" t="inlineStr">
        <is>
          <t>14</t>
        </is>
      </c>
      <c r="L87" s="35" t="inlineStr">
        <is>
          <t>Слой, мин. 1</t>
        </is>
      </c>
      <c r="M87" s="36" t="inlineStr">
        <is>
          <t>МГ</t>
        </is>
      </c>
      <c r="N87" s="36" t="n"/>
      <c r="O87" s="35" t="n">
        <v>180</v>
      </c>
      <c r="P87" s="533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/>
      </c>
      <c r="Q87" s="503" t="n"/>
      <c r="R87" s="503" t="n"/>
      <c r="S87" s="503" t="n"/>
      <c r="T87" s="504" t="n"/>
      <c r="U87" s="37" t="inlineStr"/>
      <c r="V87" s="37" t="inlineStr"/>
      <c r="W87" s="38" t="inlineStr">
        <is>
          <t>кор</t>
        </is>
      </c>
      <c r="X87" s="505" t="n">
        <v>70</v>
      </c>
      <c r="Y87" s="506">
        <f>IFERROR(IF(X87="","",X87),"")</f>
        <v/>
      </c>
      <c r="Z87" s="39">
        <f>IFERROR(IF(X87="","",X87*0.01788),"")</f>
        <v/>
      </c>
      <c r="AA87" s="65" t="inlineStr"/>
      <c r="AB87" s="66" t="inlineStr"/>
      <c r="AC87" s="130" t="inlineStr">
        <is>
          <t>ЕАЭС N RU Д-RU.РА02.В.49579/23</t>
        </is>
      </c>
      <c r="AG87" s="78" t="n"/>
      <c r="AJ87" s="82" t="inlineStr">
        <is>
          <t>Слой</t>
        </is>
      </c>
      <c r="AK87" s="82" t="n">
        <v>14</v>
      </c>
      <c r="BB87" s="131" t="inlineStr">
        <is>
          <t>ПГП</t>
        </is>
      </c>
      <c r="BM87" s="78">
        <f>IFERROR(X87*I87,"0")</f>
        <v/>
      </c>
      <c r="BN87" s="78">
        <f>IFERROR(Y87*I87,"0")</f>
        <v/>
      </c>
      <c r="BO87" s="78">
        <f>IFERROR(X87/J87,"0")</f>
        <v/>
      </c>
      <c r="BP87" s="78">
        <f>IFERROR(Y87/J87,"0")</f>
        <v/>
      </c>
    </row>
    <row r="88" ht="27" customHeight="1">
      <c r="A88" s="60" t="inlineStr">
        <is>
          <t>SU003892</t>
        </is>
      </c>
      <c r="B88" s="60" t="inlineStr">
        <is>
          <t>P004974</t>
        </is>
      </c>
      <c r="C88" s="34" t="n">
        <v>4301135768</v>
      </c>
      <c r="D88" s="276" t="n">
        <v>4620207491034</v>
      </c>
      <c r="E88" s="462" t="n"/>
      <c r="F88" s="501" t="n">
        <v>0.24</v>
      </c>
      <c r="G88" s="35" t="n">
        <v>12</v>
      </c>
      <c r="H88" s="501" t="n">
        <v>2.88</v>
      </c>
      <c r="I88" s="501" t="n">
        <v>3.5836</v>
      </c>
      <c r="J88" s="35" t="n">
        <v>70</v>
      </c>
      <c r="K88" s="35" t="inlineStr">
        <is>
          <t>14</t>
        </is>
      </c>
      <c r="L88" s="35" t="inlineStr">
        <is>
          <t>Короб, мин. 1</t>
        </is>
      </c>
      <c r="M88" s="36" t="inlineStr">
        <is>
          <t>МГ</t>
        </is>
      </c>
      <c r="N88" s="36" t="n"/>
      <c r="O88" s="35" t="n">
        <v>180</v>
      </c>
      <c r="P88" s="534">
        <f>HYPERLINK("https://abi.ru/products/Замороженные/Горячая штучка/Чебупели/Снеки/P004974/","Снеки «Готовые чебупели с мясом» Фикс.вес 0,24 ТМ «Горячая штучка»")</f>
        <v/>
      </c>
      <c r="Q88" s="503" t="n"/>
      <c r="R88" s="503" t="n"/>
      <c r="S88" s="503" t="n"/>
      <c r="T88" s="504" t="n"/>
      <c r="U88" s="37" t="inlineStr"/>
      <c r="V88" s="37" t="inlineStr"/>
      <c r="W88" s="38" t="inlineStr">
        <is>
          <t>кор</t>
        </is>
      </c>
      <c r="X88" s="505" t="n">
        <v>0</v>
      </c>
      <c r="Y88" s="506">
        <f>IFERROR(IF(X88="","",X88),"")</f>
        <v/>
      </c>
      <c r="Z88" s="39">
        <f>IFERROR(IF(X88="","",X88*0.01788),"")</f>
        <v/>
      </c>
      <c r="AA88" s="65" t="inlineStr"/>
      <c r="AB88" s="66" t="inlineStr"/>
      <c r="AC88" s="132" t="inlineStr">
        <is>
          <t>ЕАЭС N RU Д-RU.РА01.В.13713/23</t>
        </is>
      </c>
      <c r="AG88" s="78" t="n"/>
      <c r="AJ88" s="82" t="inlineStr">
        <is>
          <t>Короб</t>
        </is>
      </c>
      <c r="AK88" s="82" t="n">
        <v>1</v>
      </c>
      <c r="BB88" s="133" t="inlineStr">
        <is>
          <t>ПГП</t>
        </is>
      </c>
      <c r="BM88" s="78">
        <f>IFERROR(X88*I88,"0")</f>
        <v/>
      </c>
      <c r="BN88" s="78">
        <f>IFERROR(Y88*I88,"0")</f>
        <v/>
      </c>
      <c r="BO88" s="78">
        <f>IFERROR(X88/J88,"0")</f>
        <v/>
      </c>
      <c r="BP88" s="78">
        <f>IFERROR(Y88/J88,"0")</f>
        <v/>
      </c>
    </row>
    <row r="89" ht="27" customHeight="1">
      <c r="A89" s="60" t="inlineStr">
        <is>
          <t>SU003884</t>
        </is>
      </c>
      <c r="B89" s="60" t="inlineStr">
        <is>
          <t>P004966</t>
        </is>
      </c>
      <c r="C89" s="34" t="n">
        <v>4301135760</v>
      </c>
      <c r="D89" s="276" t="n">
        <v>4620207491010</v>
      </c>
      <c r="E89" s="462" t="n"/>
      <c r="F89" s="501" t="n">
        <v>0.24</v>
      </c>
      <c r="G89" s="35" t="n">
        <v>12</v>
      </c>
      <c r="H89" s="501" t="n">
        <v>2.88</v>
      </c>
      <c r="I89" s="501" t="n">
        <v>3.5836</v>
      </c>
      <c r="J89" s="35" t="n">
        <v>70</v>
      </c>
      <c r="K89" s="35" t="inlineStr">
        <is>
          <t>14</t>
        </is>
      </c>
      <c r="L89" s="35" t="inlineStr">
        <is>
          <t>Слой, мин. 1</t>
        </is>
      </c>
      <c r="M89" s="36" t="inlineStr">
        <is>
          <t>МГ</t>
        </is>
      </c>
      <c r="N89" s="36" t="n"/>
      <c r="O89" s="35" t="n">
        <v>180</v>
      </c>
      <c r="P89" s="535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89" s="503" t="n"/>
      <c r="R89" s="503" t="n"/>
      <c r="S89" s="503" t="n"/>
      <c r="T89" s="504" t="n"/>
      <c r="U89" s="37" t="inlineStr"/>
      <c r="V89" s="37" t="inlineStr"/>
      <c r="W89" s="38" t="inlineStr">
        <is>
          <t>кор</t>
        </is>
      </c>
      <c r="X89" s="505" t="n">
        <v>14</v>
      </c>
      <c r="Y89" s="506">
        <f>IFERROR(IF(X89="","",X89),"")</f>
        <v/>
      </c>
      <c r="Z89" s="39">
        <f>IFERROR(IF(X89="","",X89*0.01788),"")</f>
        <v/>
      </c>
      <c r="AA89" s="65" t="inlineStr"/>
      <c r="AB89" s="66" t="inlineStr"/>
      <c r="AC89" s="134" t="inlineStr">
        <is>
          <t>ЕАЭС N RU Д-RU.РА02.В.49579/23</t>
        </is>
      </c>
      <c r="AG89" s="78" t="n"/>
      <c r="AJ89" s="82" t="inlineStr">
        <is>
          <t>Слой</t>
        </is>
      </c>
      <c r="AK89" s="82" t="n">
        <v>14</v>
      </c>
      <c r="BB89" s="135" t="inlineStr">
        <is>
          <t>ПГП</t>
        </is>
      </c>
      <c r="BM89" s="78">
        <f>IFERROR(X89*I89,"0")</f>
        <v/>
      </c>
      <c r="BN89" s="78">
        <f>IFERROR(Y89*I89,"0")</f>
        <v/>
      </c>
      <c r="BO89" s="78">
        <f>IFERROR(X89/J89,"0")</f>
        <v/>
      </c>
      <c r="BP89" s="78">
        <f>IFERROR(Y89/J89,"0")</f>
        <v/>
      </c>
    </row>
    <row r="90" ht="27" customHeight="1">
      <c r="A90" s="60" t="inlineStr">
        <is>
          <t>SU003605</t>
        </is>
      </c>
      <c r="B90" s="60" t="inlineStr">
        <is>
          <t>P004595</t>
        </is>
      </c>
      <c r="C90" s="34" t="n">
        <v>4301135571</v>
      </c>
      <c r="D90" s="276" t="n">
        <v>4607111035028</v>
      </c>
      <c r="E90" s="462" t="n"/>
      <c r="F90" s="501" t="n">
        <v>0.48</v>
      </c>
      <c r="G90" s="35" t="n">
        <v>8</v>
      </c>
      <c r="H90" s="501" t="n">
        <v>3.84</v>
      </c>
      <c r="I90" s="501" t="n">
        <v>4.4488</v>
      </c>
      <c r="J90" s="35" t="n">
        <v>70</v>
      </c>
      <c r="K90" s="35" t="inlineStr">
        <is>
          <t>14</t>
        </is>
      </c>
      <c r="L90" s="35" t="inlineStr">
        <is>
          <t>Короб, мин. 1</t>
        </is>
      </c>
      <c r="M90" s="36" t="inlineStr">
        <is>
          <t>МГ</t>
        </is>
      </c>
      <c r="N90" s="36" t="n"/>
      <c r="O90" s="35" t="n">
        <v>180</v>
      </c>
      <c r="P90" s="536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/>
      </c>
      <c r="Q90" s="503" t="n"/>
      <c r="R90" s="503" t="n"/>
      <c r="S90" s="503" t="n"/>
      <c r="T90" s="504" t="n"/>
      <c r="U90" s="37" t="inlineStr"/>
      <c r="V90" s="37" t="inlineStr"/>
      <c r="W90" s="38" t="inlineStr">
        <is>
          <t>кор</t>
        </is>
      </c>
      <c r="X90" s="505" t="n">
        <v>0</v>
      </c>
      <c r="Y90" s="506">
        <f>IFERROR(IF(X90="","",X90),"")</f>
        <v/>
      </c>
      <c r="Z90" s="39">
        <f>IFERROR(IF(X90="","",X90*0.01788),"")</f>
        <v/>
      </c>
      <c r="AA90" s="65" t="inlineStr"/>
      <c r="AB90" s="66" t="inlineStr"/>
      <c r="AC90" s="136" t="inlineStr">
        <is>
          <t>ЕАЭС N RU Д-RU.РА02.В.49579/23</t>
        </is>
      </c>
      <c r="AG90" s="78" t="n"/>
      <c r="AJ90" s="82" t="inlineStr">
        <is>
          <t>Короб</t>
        </is>
      </c>
      <c r="AK90" s="82" t="n">
        <v>1</v>
      </c>
      <c r="BB90" s="137" t="inlineStr">
        <is>
          <t>ПГП</t>
        </is>
      </c>
      <c r="BM90" s="78">
        <f>IFERROR(X90*I90,"0")</f>
        <v/>
      </c>
      <c r="BN90" s="78">
        <f>IFERROR(Y90*I90,"0")</f>
        <v/>
      </c>
      <c r="BO90" s="78">
        <f>IFERROR(X90/J90,"0")</f>
        <v/>
      </c>
      <c r="BP90" s="78">
        <f>IFERROR(Y90/J90,"0")</f>
        <v/>
      </c>
    </row>
    <row r="91" ht="27" customHeight="1">
      <c r="A91" s="60" t="inlineStr">
        <is>
          <t>SU002293</t>
        </is>
      </c>
      <c r="B91" s="60" t="inlineStr">
        <is>
          <t>P004113</t>
        </is>
      </c>
      <c r="C91" s="34" t="n">
        <v>4301135285</v>
      </c>
      <c r="D91" s="276" t="n">
        <v>4607111036407</v>
      </c>
      <c r="E91" s="462" t="n"/>
      <c r="F91" s="501" t="n">
        <v>0.3</v>
      </c>
      <c r="G91" s="35" t="n">
        <v>14</v>
      </c>
      <c r="H91" s="501" t="n">
        <v>4.2</v>
      </c>
      <c r="I91" s="501" t="n">
        <v>4.5292</v>
      </c>
      <c r="J91" s="35" t="n">
        <v>70</v>
      </c>
      <c r="K91" s="35" t="inlineStr">
        <is>
          <t>14</t>
        </is>
      </c>
      <c r="L91" s="35" t="inlineStr">
        <is>
          <t>Слой, мин. 1</t>
        </is>
      </c>
      <c r="M91" s="36" t="inlineStr">
        <is>
          <t>МГ</t>
        </is>
      </c>
      <c r="N91" s="36" t="n"/>
      <c r="O91" s="35" t="n">
        <v>180</v>
      </c>
      <c r="P91" s="537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1" s="503" t="n"/>
      <c r="R91" s="503" t="n"/>
      <c r="S91" s="503" t="n"/>
      <c r="T91" s="504" t="n"/>
      <c r="U91" s="37" t="inlineStr"/>
      <c r="V91" s="37" t="inlineStr"/>
      <c r="W91" s="38" t="inlineStr">
        <is>
          <t>кор</t>
        </is>
      </c>
      <c r="X91" s="505" t="n">
        <v>0</v>
      </c>
      <c r="Y91" s="506">
        <f>IFERROR(IF(X91="","",X91),"")</f>
        <v/>
      </c>
      <c r="Z91" s="39">
        <f>IFERROR(IF(X91="","",X91*0.01788),"")</f>
        <v/>
      </c>
      <c r="AA91" s="65" t="inlineStr"/>
      <c r="AB91" s="66" t="inlineStr"/>
      <c r="AC91" s="138" t="inlineStr">
        <is>
          <t>ЕАЭС N RU Д-RU.РА01.В.78287/24, ЕАЭС N RU Д-RU.РА01.В.92613/21</t>
        </is>
      </c>
      <c r="AG91" s="78" t="n"/>
      <c r="AJ91" s="82" t="inlineStr">
        <is>
          <t>Слой</t>
        </is>
      </c>
      <c r="AK91" s="82" t="n">
        <v>14</v>
      </c>
      <c r="BB91" s="139" t="inlineStr">
        <is>
          <t>ПГП</t>
        </is>
      </c>
      <c r="BM91" s="78">
        <f>IFERROR(X91*I91,"0")</f>
        <v/>
      </c>
      <c r="BN91" s="78">
        <f>IFERROR(Y91*I91,"0")</f>
        <v/>
      </c>
      <c r="BO91" s="78">
        <f>IFERROR(X91/J91,"0")</f>
        <v/>
      </c>
      <c r="BP91" s="78">
        <f>IFERROR(Y91/J91,"0")</f>
        <v/>
      </c>
    </row>
    <row r="92">
      <c r="A92" s="285" t="n"/>
      <c r="B92" s="273" t="n"/>
      <c r="C92" s="273" t="n"/>
      <c r="D92" s="273" t="n"/>
      <c r="E92" s="273" t="n"/>
      <c r="F92" s="273" t="n"/>
      <c r="G92" s="273" t="n"/>
      <c r="H92" s="273" t="n"/>
      <c r="I92" s="273" t="n"/>
      <c r="J92" s="273" t="n"/>
      <c r="K92" s="273" t="n"/>
      <c r="L92" s="273" t="n"/>
      <c r="M92" s="273" t="n"/>
      <c r="N92" s="273" t="n"/>
      <c r="O92" s="507" t="n"/>
      <c r="P92" s="508" t="inlineStr">
        <is>
          <t>Итого</t>
        </is>
      </c>
      <c r="Q92" s="470" t="n"/>
      <c r="R92" s="470" t="n"/>
      <c r="S92" s="470" t="n"/>
      <c r="T92" s="470" t="n"/>
      <c r="U92" s="470" t="n"/>
      <c r="V92" s="471" t="n"/>
      <c r="W92" s="40" t="inlineStr">
        <is>
          <t>кор</t>
        </is>
      </c>
      <c r="X92" s="509">
        <f>IFERROR(SUM(X86:X91),"0")</f>
        <v/>
      </c>
      <c r="Y92" s="509">
        <f>IFERROR(SUM(Y86:Y91),"0")</f>
        <v/>
      </c>
      <c r="Z92" s="509">
        <f>IFERROR(IF(Z86="",0,Z86),"0")+IFERROR(IF(Z87="",0,Z87),"0")+IFERROR(IF(Z88="",0,Z88),"0")+IFERROR(IF(Z89="",0,Z89),"0")+IFERROR(IF(Z90="",0,Z90),"0")+IFERROR(IF(Z91="",0,Z91),"0")</f>
        <v/>
      </c>
      <c r="AA92" s="510" t="n"/>
      <c r="AB92" s="510" t="n"/>
      <c r="AC92" s="510" t="n"/>
    </row>
    <row r="93">
      <c r="A93" s="273" t="n"/>
      <c r="B93" s="273" t="n"/>
      <c r="C93" s="273" t="n"/>
      <c r="D93" s="273" t="n"/>
      <c r="E93" s="273" t="n"/>
      <c r="F93" s="273" t="n"/>
      <c r="G93" s="273" t="n"/>
      <c r="H93" s="273" t="n"/>
      <c r="I93" s="273" t="n"/>
      <c r="J93" s="273" t="n"/>
      <c r="K93" s="273" t="n"/>
      <c r="L93" s="273" t="n"/>
      <c r="M93" s="273" t="n"/>
      <c r="N93" s="273" t="n"/>
      <c r="O93" s="507" t="n"/>
      <c r="P93" s="508" t="inlineStr">
        <is>
          <t>Итого</t>
        </is>
      </c>
      <c r="Q93" s="470" t="n"/>
      <c r="R93" s="470" t="n"/>
      <c r="S93" s="470" t="n"/>
      <c r="T93" s="470" t="n"/>
      <c r="U93" s="470" t="n"/>
      <c r="V93" s="471" t="n"/>
      <c r="W93" s="40" t="inlineStr">
        <is>
          <t>кг</t>
        </is>
      </c>
      <c r="X93" s="509">
        <f>IFERROR(SUMPRODUCT(X86:X91*H86:H91),"0")</f>
        <v/>
      </c>
      <c r="Y93" s="509">
        <f>IFERROR(SUMPRODUCT(Y86:Y91*H86:H91),"0")</f>
        <v/>
      </c>
      <c r="Z93" s="40" t="n"/>
      <c r="AA93" s="510" t="n"/>
      <c r="AB93" s="510" t="n"/>
      <c r="AC93" s="510" t="n"/>
    </row>
    <row r="94" ht="16.5" customHeight="1">
      <c r="A94" s="306" t="inlineStr">
        <is>
          <t>Чебуреки ГШ</t>
        </is>
      </c>
      <c r="B94" s="273" t="n"/>
      <c r="C94" s="273" t="n"/>
      <c r="D94" s="273" t="n"/>
      <c r="E94" s="273" t="n"/>
      <c r="F94" s="273" t="n"/>
      <c r="G94" s="273" t="n"/>
      <c r="H94" s="273" t="n"/>
      <c r="I94" s="273" t="n"/>
      <c r="J94" s="273" t="n"/>
      <c r="K94" s="273" t="n"/>
      <c r="L94" s="273" t="n"/>
      <c r="M94" s="273" t="n"/>
      <c r="N94" s="273" t="n"/>
      <c r="O94" s="273" t="n"/>
      <c r="P94" s="273" t="n"/>
      <c r="Q94" s="273" t="n"/>
      <c r="R94" s="273" t="n"/>
      <c r="S94" s="273" t="n"/>
      <c r="T94" s="273" t="n"/>
      <c r="U94" s="273" t="n"/>
      <c r="V94" s="273" t="n"/>
      <c r="W94" s="273" t="n"/>
      <c r="X94" s="273" t="n"/>
      <c r="Y94" s="273" t="n"/>
      <c r="Z94" s="273" t="n"/>
      <c r="AA94" s="306" t="n"/>
      <c r="AB94" s="306" t="n"/>
      <c r="AC94" s="306" t="n"/>
    </row>
    <row r="95" ht="14.25" customHeight="1">
      <c r="A95" s="295" t="inlineStr">
        <is>
          <t>Чебуреки</t>
        </is>
      </c>
      <c r="B95" s="273" t="n"/>
      <c r="C95" s="273" t="n"/>
      <c r="D95" s="273" t="n"/>
      <c r="E95" s="273" t="n"/>
      <c r="F95" s="273" t="n"/>
      <c r="G95" s="273" t="n"/>
      <c r="H95" s="273" t="n"/>
      <c r="I95" s="273" t="n"/>
      <c r="J95" s="273" t="n"/>
      <c r="K95" s="273" t="n"/>
      <c r="L95" s="273" t="n"/>
      <c r="M95" s="273" t="n"/>
      <c r="N95" s="273" t="n"/>
      <c r="O95" s="273" t="n"/>
      <c r="P95" s="273" t="n"/>
      <c r="Q95" s="273" t="n"/>
      <c r="R95" s="273" t="n"/>
      <c r="S95" s="273" t="n"/>
      <c r="T95" s="273" t="n"/>
      <c r="U95" s="273" t="n"/>
      <c r="V95" s="273" t="n"/>
      <c r="W95" s="273" t="n"/>
      <c r="X95" s="273" t="n"/>
      <c r="Y95" s="273" t="n"/>
      <c r="Z95" s="273" t="n"/>
      <c r="AA95" s="295" t="n"/>
      <c r="AB95" s="295" t="n"/>
      <c r="AC95" s="295" t="n"/>
    </row>
    <row r="96" ht="27" customHeight="1">
      <c r="A96" s="60" t="inlineStr">
        <is>
          <t>SU002573</t>
        </is>
      </c>
      <c r="B96" s="60" t="inlineStr">
        <is>
          <t>P004138</t>
        </is>
      </c>
      <c r="C96" s="34" t="n">
        <v>4301136070</v>
      </c>
      <c r="D96" s="276" t="n">
        <v>4607025784012</v>
      </c>
      <c r="E96" s="462" t="n"/>
      <c r="F96" s="501" t="n">
        <v>0.09</v>
      </c>
      <c r="G96" s="35" t="n">
        <v>24</v>
      </c>
      <c r="H96" s="501" t="n">
        <v>2.16</v>
      </c>
      <c r="I96" s="501" t="n">
        <v>2.4912</v>
      </c>
      <c r="J96" s="35" t="n">
        <v>126</v>
      </c>
      <c r="K96" s="35" t="inlineStr">
        <is>
          <t>14</t>
        </is>
      </c>
      <c r="L96" s="35" t="inlineStr">
        <is>
          <t>Короб, мин. 1</t>
        </is>
      </c>
      <c r="M96" s="36" t="inlineStr">
        <is>
          <t>МГ</t>
        </is>
      </c>
      <c r="N96" s="36" t="n"/>
      <c r="O96" s="35" t="n">
        <v>180</v>
      </c>
      <c r="P96" s="538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96" s="503" t="n"/>
      <c r="R96" s="503" t="n"/>
      <c r="S96" s="503" t="n"/>
      <c r="T96" s="504" t="n"/>
      <c r="U96" s="37" t="inlineStr"/>
      <c r="V96" s="37" t="inlineStr"/>
      <c r="W96" s="38" t="inlineStr">
        <is>
          <t>кор</t>
        </is>
      </c>
      <c r="X96" s="505" t="n">
        <v>0</v>
      </c>
      <c r="Y96" s="506">
        <f>IFERROR(IF(X96="","",X96),"")</f>
        <v/>
      </c>
      <c r="Z96" s="39">
        <f>IFERROR(IF(X96="","",X96*0.00936),"")</f>
        <v/>
      </c>
      <c r="AA96" s="65" t="inlineStr"/>
      <c r="AB96" s="66" t="inlineStr"/>
      <c r="AC96" s="140" t="inlineStr">
        <is>
          <t>ЕАЭС N RU Д-RU.РА01.В.13713/23, ЕАЭС N RU Д-RU.РА05.В.14262/23</t>
        </is>
      </c>
      <c r="AG96" s="78" t="n"/>
      <c r="AJ96" s="82" t="inlineStr">
        <is>
          <t>Короб</t>
        </is>
      </c>
      <c r="AK96" s="82" t="n">
        <v>1</v>
      </c>
      <c r="BB96" s="141" t="inlineStr">
        <is>
          <t>ПГП</t>
        </is>
      </c>
      <c r="BM96" s="78">
        <f>IFERROR(X96*I96,"0")</f>
        <v/>
      </c>
      <c r="BN96" s="78">
        <f>IFERROR(Y96*I96,"0")</f>
        <v/>
      </c>
      <c r="BO96" s="78">
        <f>IFERROR(X96/J96,"0")</f>
        <v/>
      </c>
      <c r="BP96" s="78">
        <f>IFERROR(Y96/J96,"0")</f>
        <v/>
      </c>
    </row>
    <row r="97" ht="27" customHeight="1">
      <c r="A97" s="60" t="inlineStr">
        <is>
          <t>SU003613</t>
        </is>
      </c>
      <c r="B97" s="60" t="inlineStr">
        <is>
          <t>P004583</t>
        </is>
      </c>
      <c r="C97" s="34" t="n">
        <v>4301136079</v>
      </c>
      <c r="D97" s="276" t="n">
        <v>4607025784319</v>
      </c>
      <c r="E97" s="462" t="n"/>
      <c r="F97" s="501" t="n">
        <v>0.36</v>
      </c>
      <c r="G97" s="35" t="n">
        <v>10</v>
      </c>
      <c r="H97" s="501" t="n">
        <v>3.6</v>
      </c>
      <c r="I97" s="501" t="n">
        <v>4.244</v>
      </c>
      <c r="J97" s="35" t="n">
        <v>70</v>
      </c>
      <c r="K97" s="35" t="inlineStr">
        <is>
          <t>14</t>
        </is>
      </c>
      <c r="L97" s="35" t="inlineStr">
        <is>
          <t>Короб, мин. 1</t>
        </is>
      </c>
      <c r="M97" s="36" t="inlineStr">
        <is>
          <t>МГ</t>
        </is>
      </c>
      <c r="N97" s="36" t="n"/>
      <c r="O97" s="35" t="n">
        <v>180</v>
      </c>
      <c r="P97" s="539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97" s="503" t="n"/>
      <c r="R97" s="503" t="n"/>
      <c r="S97" s="503" t="n"/>
      <c r="T97" s="504" t="n"/>
      <c r="U97" s="37" t="inlineStr"/>
      <c r="V97" s="37" t="inlineStr"/>
      <c r="W97" s="38" t="inlineStr">
        <is>
          <t>кор</t>
        </is>
      </c>
      <c r="X97" s="505" t="n">
        <v>0</v>
      </c>
      <c r="Y97" s="506">
        <f>IFERROR(IF(X97="","",X97),"")</f>
        <v/>
      </c>
      <c r="Z97" s="39">
        <f>IFERROR(IF(X97="","",X97*0.01788),"")</f>
        <v/>
      </c>
      <c r="AA97" s="65" t="inlineStr"/>
      <c r="AB97" s="66" t="inlineStr"/>
      <c r="AC97" s="142" t="inlineStr">
        <is>
          <t>ЕАЭС N RU Д-RU.РА02.В.49579/23</t>
        </is>
      </c>
      <c r="AG97" s="78" t="n"/>
      <c r="AJ97" s="82" t="inlineStr">
        <is>
          <t>Короб</t>
        </is>
      </c>
      <c r="AK97" s="82" t="n">
        <v>1</v>
      </c>
      <c r="BB97" s="143" t="inlineStr">
        <is>
          <t>ПГП</t>
        </is>
      </c>
      <c r="BM97" s="78">
        <f>IFERROR(X97*I97,"0")</f>
        <v/>
      </c>
      <c r="BN97" s="78">
        <f>IFERROR(Y97*I97,"0")</f>
        <v/>
      </c>
      <c r="BO97" s="78">
        <f>IFERROR(X97/J97,"0")</f>
        <v/>
      </c>
      <c r="BP97" s="78">
        <f>IFERROR(Y97/J97,"0")</f>
        <v/>
      </c>
    </row>
    <row r="98">
      <c r="A98" s="285" t="n"/>
      <c r="B98" s="273" t="n"/>
      <c r="C98" s="273" t="n"/>
      <c r="D98" s="273" t="n"/>
      <c r="E98" s="273" t="n"/>
      <c r="F98" s="273" t="n"/>
      <c r="G98" s="273" t="n"/>
      <c r="H98" s="273" t="n"/>
      <c r="I98" s="273" t="n"/>
      <c r="J98" s="273" t="n"/>
      <c r="K98" s="273" t="n"/>
      <c r="L98" s="273" t="n"/>
      <c r="M98" s="273" t="n"/>
      <c r="N98" s="273" t="n"/>
      <c r="O98" s="507" t="n"/>
      <c r="P98" s="508" t="inlineStr">
        <is>
          <t>Итого</t>
        </is>
      </c>
      <c r="Q98" s="470" t="n"/>
      <c r="R98" s="470" t="n"/>
      <c r="S98" s="470" t="n"/>
      <c r="T98" s="470" t="n"/>
      <c r="U98" s="470" t="n"/>
      <c r="V98" s="471" t="n"/>
      <c r="W98" s="40" t="inlineStr">
        <is>
          <t>кор</t>
        </is>
      </c>
      <c r="X98" s="509">
        <f>IFERROR(SUM(X96:X97),"0")</f>
        <v/>
      </c>
      <c r="Y98" s="509">
        <f>IFERROR(SUM(Y96:Y97),"0")</f>
        <v/>
      </c>
      <c r="Z98" s="509">
        <f>IFERROR(IF(Z96="",0,Z96),"0")+IFERROR(IF(Z97="",0,Z97),"0")</f>
        <v/>
      </c>
      <c r="AA98" s="510" t="n"/>
      <c r="AB98" s="510" t="n"/>
      <c r="AC98" s="510" t="n"/>
    </row>
    <row r="99">
      <c r="A99" s="273" t="n"/>
      <c r="B99" s="273" t="n"/>
      <c r="C99" s="273" t="n"/>
      <c r="D99" s="273" t="n"/>
      <c r="E99" s="273" t="n"/>
      <c r="F99" s="273" t="n"/>
      <c r="G99" s="273" t="n"/>
      <c r="H99" s="273" t="n"/>
      <c r="I99" s="273" t="n"/>
      <c r="J99" s="273" t="n"/>
      <c r="K99" s="273" t="n"/>
      <c r="L99" s="273" t="n"/>
      <c r="M99" s="273" t="n"/>
      <c r="N99" s="273" t="n"/>
      <c r="O99" s="507" t="n"/>
      <c r="P99" s="508" t="inlineStr">
        <is>
          <t>Итого</t>
        </is>
      </c>
      <c r="Q99" s="470" t="n"/>
      <c r="R99" s="470" t="n"/>
      <c r="S99" s="470" t="n"/>
      <c r="T99" s="470" t="n"/>
      <c r="U99" s="470" t="n"/>
      <c r="V99" s="471" t="n"/>
      <c r="W99" s="40" t="inlineStr">
        <is>
          <t>кг</t>
        </is>
      </c>
      <c r="X99" s="509">
        <f>IFERROR(SUMPRODUCT(X96:X97*H96:H97),"0")</f>
        <v/>
      </c>
      <c r="Y99" s="509">
        <f>IFERROR(SUMPRODUCT(Y96:Y97*H96:H97),"0")</f>
        <v/>
      </c>
      <c r="Z99" s="40" t="n"/>
      <c r="AA99" s="510" t="n"/>
      <c r="AB99" s="510" t="n"/>
      <c r="AC99" s="510" t="n"/>
    </row>
    <row r="100" ht="16.5" customHeight="1">
      <c r="A100" s="306" t="inlineStr">
        <is>
          <t>Бульмени ГШ</t>
        </is>
      </c>
      <c r="B100" s="273" t="n"/>
      <c r="C100" s="273" t="n"/>
      <c r="D100" s="273" t="n"/>
      <c r="E100" s="273" t="n"/>
      <c r="F100" s="273" t="n"/>
      <c r="G100" s="273" t="n"/>
      <c r="H100" s="273" t="n"/>
      <c r="I100" s="273" t="n"/>
      <c r="J100" s="273" t="n"/>
      <c r="K100" s="273" t="n"/>
      <c r="L100" s="273" t="n"/>
      <c r="M100" s="273" t="n"/>
      <c r="N100" s="273" t="n"/>
      <c r="O100" s="273" t="n"/>
      <c r="P100" s="273" t="n"/>
      <c r="Q100" s="273" t="n"/>
      <c r="R100" s="273" t="n"/>
      <c r="S100" s="273" t="n"/>
      <c r="T100" s="273" t="n"/>
      <c r="U100" s="273" t="n"/>
      <c r="V100" s="273" t="n"/>
      <c r="W100" s="273" t="n"/>
      <c r="X100" s="273" t="n"/>
      <c r="Y100" s="273" t="n"/>
      <c r="Z100" s="273" t="n"/>
      <c r="AA100" s="306" t="n"/>
      <c r="AB100" s="306" t="n"/>
      <c r="AC100" s="306" t="n"/>
    </row>
    <row r="101" ht="14.25" customHeight="1">
      <c r="A101" s="295" t="inlineStr">
        <is>
          <t>Пельмени</t>
        </is>
      </c>
      <c r="B101" s="273" t="n"/>
      <c r="C101" s="273" t="n"/>
      <c r="D101" s="273" t="n"/>
      <c r="E101" s="273" t="n"/>
      <c r="F101" s="273" t="n"/>
      <c r="G101" s="273" t="n"/>
      <c r="H101" s="273" t="n"/>
      <c r="I101" s="273" t="n"/>
      <c r="J101" s="273" t="n"/>
      <c r="K101" s="273" t="n"/>
      <c r="L101" s="273" t="n"/>
      <c r="M101" s="273" t="n"/>
      <c r="N101" s="273" t="n"/>
      <c r="O101" s="273" t="n"/>
      <c r="P101" s="273" t="n"/>
      <c r="Q101" s="273" t="n"/>
      <c r="R101" s="273" t="n"/>
      <c r="S101" s="273" t="n"/>
      <c r="T101" s="273" t="n"/>
      <c r="U101" s="273" t="n"/>
      <c r="V101" s="273" t="n"/>
      <c r="W101" s="273" t="n"/>
      <c r="X101" s="273" t="n"/>
      <c r="Y101" s="273" t="n"/>
      <c r="Z101" s="273" t="n"/>
      <c r="AA101" s="295" t="n"/>
      <c r="AB101" s="295" t="n"/>
      <c r="AC101" s="295" t="n"/>
    </row>
    <row r="102" ht="27" customHeight="1">
      <c r="A102" s="60" t="inlineStr">
        <is>
          <t>SU003717</t>
        </is>
      </c>
      <c r="B102" s="60" t="inlineStr">
        <is>
          <t>P004819</t>
        </is>
      </c>
      <c r="C102" s="34" t="n">
        <v>4301071074</v>
      </c>
      <c r="D102" s="276" t="n">
        <v>4620207491157</v>
      </c>
      <c r="E102" s="462" t="n"/>
      <c r="F102" s="501" t="n">
        <v>0.7</v>
      </c>
      <c r="G102" s="35" t="n">
        <v>10</v>
      </c>
      <c r="H102" s="501" t="n">
        <v>7</v>
      </c>
      <c r="I102" s="501" t="n">
        <v>7.28</v>
      </c>
      <c r="J102" s="35" t="n">
        <v>84</v>
      </c>
      <c r="K102" s="35" t="inlineStr">
        <is>
          <t>12</t>
        </is>
      </c>
      <c r="L102" s="35" t="inlineStr">
        <is>
          <t>Короб, мин. 1</t>
        </is>
      </c>
      <c r="M102" s="36" t="inlineStr">
        <is>
          <t>МГ</t>
        </is>
      </c>
      <c r="N102" s="36" t="n"/>
      <c r="O102" s="35" t="n">
        <v>180</v>
      </c>
      <c r="P102" s="540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02" s="503" t="n"/>
      <c r="R102" s="503" t="n"/>
      <c r="S102" s="503" t="n"/>
      <c r="T102" s="504" t="n"/>
      <c r="U102" s="37" t="inlineStr"/>
      <c r="V102" s="37" t="inlineStr"/>
      <c r="W102" s="38" t="inlineStr">
        <is>
          <t>кор</t>
        </is>
      </c>
      <c r="X102" s="505" t="n">
        <v>0</v>
      </c>
      <c r="Y102" s="506">
        <f>IFERROR(IF(X102="","",X102),"")</f>
        <v/>
      </c>
      <c r="Z102" s="39">
        <f>IFERROR(IF(X102="","",X102*0.0155),"")</f>
        <v/>
      </c>
      <c r="AA102" s="65" t="inlineStr"/>
      <c r="AB102" s="66" t="inlineStr"/>
      <c r="AC102" s="144" t="inlineStr">
        <is>
          <t>ЕАЭС N RU Д-RU.РА01.В.70735/25</t>
        </is>
      </c>
      <c r="AG102" s="78" t="n"/>
      <c r="AJ102" s="82" t="inlineStr">
        <is>
          <t>Короб</t>
        </is>
      </c>
      <c r="AK102" s="82" t="n">
        <v>1</v>
      </c>
      <c r="BB102" s="145" t="inlineStr">
        <is>
          <t>ЗПФ</t>
        </is>
      </c>
      <c r="BM102" s="78">
        <f>IFERROR(X102*I102,"0")</f>
        <v/>
      </c>
      <c r="BN102" s="78">
        <f>IFERROR(Y102*I102,"0")</f>
        <v/>
      </c>
      <c r="BO102" s="78">
        <f>IFERROR(X102/J102,"0")</f>
        <v/>
      </c>
      <c r="BP102" s="78">
        <f>IFERROR(Y102/J102,"0")</f>
        <v/>
      </c>
    </row>
    <row r="103" ht="27" customHeight="1">
      <c r="A103" s="60" t="inlineStr">
        <is>
          <t>SU003527</t>
        </is>
      </c>
      <c r="B103" s="60" t="inlineStr">
        <is>
          <t>P004474</t>
        </is>
      </c>
      <c r="C103" s="34" t="n">
        <v>4301071051</v>
      </c>
      <c r="D103" s="276" t="n">
        <v>4607111039262</v>
      </c>
      <c r="E103" s="462" t="n"/>
      <c r="F103" s="501" t="n">
        <v>0.4</v>
      </c>
      <c r="G103" s="35" t="n">
        <v>16</v>
      </c>
      <c r="H103" s="501" t="n">
        <v>6.4</v>
      </c>
      <c r="I103" s="501" t="n">
        <v>6.7196</v>
      </c>
      <c r="J103" s="35" t="n">
        <v>84</v>
      </c>
      <c r="K103" s="35" t="inlineStr">
        <is>
          <t>12</t>
        </is>
      </c>
      <c r="L103" s="35" t="inlineStr">
        <is>
          <t>Слой, мин. 1</t>
        </is>
      </c>
      <c r="M103" s="36" t="inlineStr">
        <is>
          <t>МГ</t>
        </is>
      </c>
      <c r="N103" s="36" t="n"/>
      <c r="O103" s="35" t="n">
        <v>180</v>
      </c>
      <c r="P103" s="541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03" s="503" t="n"/>
      <c r="R103" s="503" t="n"/>
      <c r="S103" s="503" t="n"/>
      <c r="T103" s="504" t="n"/>
      <c r="U103" s="37" t="inlineStr"/>
      <c r="V103" s="37" t="inlineStr"/>
      <c r="W103" s="38" t="inlineStr">
        <is>
          <t>кор</t>
        </is>
      </c>
      <c r="X103" s="505" t="n">
        <v>0</v>
      </c>
      <c r="Y103" s="506">
        <f>IFERROR(IF(X103="","",X103),"")</f>
        <v/>
      </c>
      <c r="Z103" s="39">
        <f>IFERROR(IF(X103="","",X103*0.0155),"")</f>
        <v/>
      </c>
      <c r="AA103" s="65" t="inlineStr"/>
      <c r="AB103" s="66" t="inlineStr"/>
      <c r="AC103" s="146" t="inlineStr">
        <is>
          <t>ЕАЭС N RU Д-RU.РА02.В.13673/23</t>
        </is>
      </c>
      <c r="AG103" s="78" t="n"/>
      <c r="AJ103" s="82" t="inlineStr">
        <is>
          <t>Слой</t>
        </is>
      </c>
      <c r="AK103" s="82" t="n">
        <v>12</v>
      </c>
      <c r="BB103" s="147" t="inlineStr">
        <is>
          <t>ЗПФ</t>
        </is>
      </c>
      <c r="BM103" s="78">
        <f>IFERROR(X103*I103,"0")</f>
        <v/>
      </c>
      <c r="BN103" s="78">
        <f>IFERROR(Y103*I103,"0")</f>
        <v/>
      </c>
      <c r="BO103" s="78">
        <f>IFERROR(X103/J103,"0")</f>
        <v/>
      </c>
      <c r="BP103" s="78">
        <f>IFERROR(Y103/J103,"0")</f>
        <v/>
      </c>
    </row>
    <row r="104" ht="27" customHeight="1">
      <c r="A104" s="60" t="inlineStr">
        <is>
          <t>SU003460</t>
        </is>
      </c>
      <c r="B104" s="60" t="inlineStr">
        <is>
          <t>P004345</t>
        </is>
      </c>
      <c r="C104" s="34" t="n">
        <v>4301071038</v>
      </c>
      <c r="D104" s="276" t="n">
        <v>4607111039248</v>
      </c>
      <c r="E104" s="462" t="n"/>
      <c r="F104" s="501" t="n">
        <v>0.7</v>
      </c>
      <c r="G104" s="35" t="n">
        <v>10</v>
      </c>
      <c r="H104" s="501" t="n">
        <v>7</v>
      </c>
      <c r="I104" s="501" t="n">
        <v>7.3</v>
      </c>
      <c r="J104" s="35" t="n">
        <v>84</v>
      </c>
      <c r="K104" s="35" t="inlineStr">
        <is>
          <t>12</t>
        </is>
      </c>
      <c r="L104" s="35" t="inlineStr">
        <is>
          <t>Слой, мин. 1</t>
        </is>
      </c>
      <c r="M104" s="36" t="inlineStr">
        <is>
          <t>МГ</t>
        </is>
      </c>
      <c r="N104" s="36" t="n"/>
      <c r="O104" s="35" t="n">
        <v>180</v>
      </c>
      <c r="P104" s="542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04" s="503" t="n"/>
      <c r="R104" s="503" t="n"/>
      <c r="S104" s="503" t="n"/>
      <c r="T104" s="504" t="n"/>
      <c r="U104" s="37" t="inlineStr"/>
      <c r="V104" s="37" t="inlineStr"/>
      <c r="W104" s="38" t="inlineStr">
        <is>
          <t>кор</t>
        </is>
      </c>
      <c r="X104" s="505" t="n">
        <v>84</v>
      </c>
      <c r="Y104" s="506">
        <f>IFERROR(IF(X104="","",X104),"")</f>
        <v/>
      </c>
      <c r="Z104" s="39">
        <f>IFERROR(IF(X104="","",X104*0.0155),"")</f>
        <v/>
      </c>
      <c r="AA104" s="65" t="inlineStr"/>
      <c r="AB104" s="66" t="inlineStr"/>
      <c r="AC104" s="148" t="inlineStr">
        <is>
          <t>ЕАЭС N RU Д-RU.РА02.В.13673/23</t>
        </is>
      </c>
      <c r="AG104" s="78" t="n"/>
      <c r="AJ104" s="82" t="inlineStr">
        <is>
          <t>Слой</t>
        </is>
      </c>
      <c r="AK104" s="82" t="n">
        <v>12</v>
      </c>
      <c r="BB104" s="149" t="inlineStr">
        <is>
          <t>ЗПФ</t>
        </is>
      </c>
      <c r="BM104" s="78">
        <f>IFERROR(X104*I104,"0")</f>
        <v/>
      </c>
      <c r="BN104" s="78">
        <f>IFERROR(Y104*I104,"0")</f>
        <v/>
      </c>
      <c r="BO104" s="78">
        <f>IFERROR(X104/J104,"0")</f>
        <v/>
      </c>
      <c r="BP104" s="78">
        <f>IFERROR(Y104/J104,"0")</f>
        <v/>
      </c>
    </row>
    <row r="105" ht="27" customHeight="1">
      <c r="A105" s="60" t="inlineStr">
        <is>
          <t>SU002863</t>
        </is>
      </c>
      <c r="B105" s="60" t="inlineStr">
        <is>
          <t>P003689</t>
        </is>
      </c>
      <c r="C105" s="34" t="n">
        <v>4301070979</v>
      </c>
      <c r="D105" s="276" t="n">
        <v>4607111037145</v>
      </c>
      <c r="E105" s="462" t="n"/>
      <c r="F105" s="501" t="n">
        <v>0.8</v>
      </c>
      <c r="G105" s="35" t="n">
        <v>8</v>
      </c>
      <c r="H105" s="501" t="n">
        <v>6.4</v>
      </c>
      <c r="I105" s="501" t="n">
        <v>6.6748</v>
      </c>
      <c r="J105" s="35" t="n">
        <v>84</v>
      </c>
      <c r="K105" s="35" t="inlineStr">
        <is>
          <t>12</t>
        </is>
      </c>
      <c r="L105" s="35" t="inlineStr">
        <is>
          <t>Короб, мин. 1</t>
        </is>
      </c>
      <c r="M105" s="36" t="inlineStr">
        <is>
          <t>МГ</t>
        </is>
      </c>
      <c r="N105" s="36" t="n"/>
      <c r="O105" s="35" t="n">
        <v>180</v>
      </c>
      <c r="P105" s="543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05" s="503" t="n"/>
      <c r="R105" s="503" t="n"/>
      <c r="S105" s="503" t="n"/>
      <c r="T105" s="504" t="n"/>
      <c r="U105" s="37" t="inlineStr"/>
      <c r="V105" s="37" t="inlineStr"/>
      <c r="W105" s="38" t="inlineStr">
        <is>
          <t>кор</t>
        </is>
      </c>
      <c r="X105" s="505" t="n">
        <v>0</v>
      </c>
      <c r="Y105" s="506">
        <f>IFERROR(IF(X105="","",X105),"")</f>
        <v/>
      </c>
      <c r="Z105" s="39">
        <f>IFERROR(IF(X105="","",X105*0.0155),"")</f>
        <v/>
      </c>
      <c r="AA105" s="65" t="inlineStr"/>
      <c r="AB105" s="66" t="inlineStr"/>
      <c r="AC105" s="150" t="inlineStr">
        <is>
          <t>ЕАЭС N RU Д-RU.РА05.В.26638/22</t>
        </is>
      </c>
      <c r="AG105" s="78" t="n"/>
      <c r="AJ105" s="82" t="inlineStr">
        <is>
          <t>Короб</t>
        </is>
      </c>
      <c r="AK105" s="82" t="n">
        <v>1</v>
      </c>
      <c r="BB105" s="151" t="inlineStr">
        <is>
          <t>ЗПФ</t>
        </is>
      </c>
      <c r="BM105" s="78">
        <f>IFERROR(X105*I105,"0")</f>
        <v/>
      </c>
      <c r="BN105" s="78">
        <f>IFERROR(Y105*I105,"0")</f>
        <v/>
      </c>
      <c r="BO105" s="78">
        <f>IFERROR(X105/J105,"0")</f>
        <v/>
      </c>
      <c r="BP105" s="78">
        <f>IFERROR(Y105/J105,"0")</f>
        <v/>
      </c>
    </row>
    <row r="106" ht="27" customHeight="1">
      <c r="A106" s="60" t="inlineStr">
        <is>
          <t>SU003528</t>
        </is>
      </c>
      <c r="B106" s="60" t="inlineStr">
        <is>
          <t>P004444</t>
        </is>
      </c>
      <c r="C106" s="34" t="n">
        <v>4301071049</v>
      </c>
      <c r="D106" s="276" t="n">
        <v>4607111039293</v>
      </c>
      <c r="E106" s="462" t="n"/>
      <c r="F106" s="501" t="n">
        <v>0.4</v>
      </c>
      <c r="G106" s="35" t="n">
        <v>16</v>
      </c>
      <c r="H106" s="501" t="n">
        <v>6.4</v>
      </c>
      <c r="I106" s="501" t="n">
        <v>6.7196</v>
      </c>
      <c r="J106" s="35" t="n">
        <v>84</v>
      </c>
      <c r="K106" s="35" t="inlineStr">
        <is>
          <t>12</t>
        </is>
      </c>
      <c r="L106" s="35" t="inlineStr">
        <is>
          <t>Слой, мин. 1</t>
        </is>
      </c>
      <c r="M106" s="36" t="inlineStr">
        <is>
          <t>МГ</t>
        </is>
      </c>
      <c r="N106" s="36" t="n"/>
      <c r="O106" s="35" t="n">
        <v>180</v>
      </c>
      <c r="P106" s="544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06" s="503" t="n"/>
      <c r="R106" s="503" t="n"/>
      <c r="S106" s="503" t="n"/>
      <c r="T106" s="504" t="n"/>
      <c r="U106" s="37" t="inlineStr"/>
      <c r="V106" s="37" t="inlineStr"/>
      <c r="W106" s="38" t="inlineStr">
        <is>
          <t>кор</t>
        </is>
      </c>
      <c r="X106" s="505" t="n">
        <v>0</v>
      </c>
      <c r="Y106" s="506">
        <f>IFERROR(IF(X106="","",X106),"")</f>
        <v/>
      </c>
      <c r="Z106" s="39">
        <f>IFERROR(IF(X106="","",X106*0.0155),"")</f>
        <v/>
      </c>
      <c r="AA106" s="65" t="inlineStr"/>
      <c r="AB106" s="66" t="inlineStr"/>
      <c r="AC106" s="152" t="inlineStr">
        <is>
          <t>ЕАЭС N RU Д-RU.РА02.В.13673/23</t>
        </is>
      </c>
      <c r="AG106" s="78" t="n"/>
      <c r="AJ106" s="82" t="inlineStr">
        <is>
          <t>Слой</t>
        </is>
      </c>
      <c r="AK106" s="82" t="n">
        <v>12</v>
      </c>
      <c r="BB106" s="153" t="inlineStr">
        <is>
          <t>ЗПФ</t>
        </is>
      </c>
      <c r="BM106" s="78">
        <f>IFERROR(X106*I106,"0")</f>
        <v/>
      </c>
      <c r="BN106" s="78">
        <f>IFERROR(Y106*I106,"0")</f>
        <v/>
      </c>
      <c r="BO106" s="78">
        <f>IFERROR(X106/J106,"0")</f>
        <v/>
      </c>
      <c r="BP106" s="78">
        <f>IFERROR(Y106/J106,"0")</f>
        <v/>
      </c>
    </row>
    <row r="107" ht="27" customHeight="1">
      <c r="A107" s="60" t="inlineStr">
        <is>
          <t>SU003459</t>
        </is>
      </c>
      <c r="B107" s="60" t="inlineStr">
        <is>
          <t>P004346</t>
        </is>
      </c>
      <c r="C107" s="34" t="n">
        <v>4301071039</v>
      </c>
      <c r="D107" s="276" t="n">
        <v>4607111039279</v>
      </c>
      <c r="E107" s="462" t="n"/>
      <c r="F107" s="501" t="n">
        <v>0.7</v>
      </c>
      <c r="G107" s="35" t="n">
        <v>10</v>
      </c>
      <c r="H107" s="501" t="n">
        <v>7</v>
      </c>
      <c r="I107" s="501" t="n">
        <v>7.3</v>
      </c>
      <c r="J107" s="35" t="n">
        <v>84</v>
      </c>
      <c r="K107" s="35" t="inlineStr">
        <is>
          <t>12</t>
        </is>
      </c>
      <c r="L107" s="35" t="inlineStr">
        <is>
          <t>Слой, мин. 1</t>
        </is>
      </c>
      <c r="M107" s="36" t="inlineStr">
        <is>
          <t>МГ</t>
        </is>
      </c>
      <c r="N107" s="36" t="n"/>
      <c r="O107" s="35" t="n">
        <v>180</v>
      </c>
      <c r="P107" s="545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07" s="503" t="n"/>
      <c r="R107" s="503" t="n"/>
      <c r="S107" s="503" t="n"/>
      <c r="T107" s="504" t="n"/>
      <c r="U107" s="37" t="inlineStr"/>
      <c r="V107" s="37" t="inlineStr"/>
      <c r="W107" s="38" t="inlineStr">
        <is>
          <t>кор</t>
        </is>
      </c>
      <c r="X107" s="505" t="n">
        <v>12</v>
      </c>
      <c r="Y107" s="506">
        <f>IFERROR(IF(X107="","",X107),"")</f>
        <v/>
      </c>
      <c r="Z107" s="39">
        <f>IFERROR(IF(X107="","",X107*0.0155),"")</f>
        <v/>
      </c>
      <c r="AA107" s="65" t="inlineStr"/>
      <c r="AB107" s="66" t="inlineStr"/>
      <c r="AC107" s="154" t="inlineStr">
        <is>
          <t>ЕАЭС N RU Д-RU.РА02.В.13673/23</t>
        </is>
      </c>
      <c r="AG107" s="78" t="n"/>
      <c r="AJ107" s="82" t="inlineStr">
        <is>
          <t>Слой</t>
        </is>
      </c>
      <c r="AK107" s="82" t="n">
        <v>12</v>
      </c>
      <c r="BB107" s="155" t="inlineStr">
        <is>
          <t>ЗПФ</t>
        </is>
      </c>
      <c r="BM107" s="78">
        <f>IFERROR(X107*I107,"0")</f>
        <v/>
      </c>
      <c r="BN107" s="78">
        <f>IFERROR(Y107*I107,"0")</f>
        <v/>
      </c>
      <c r="BO107" s="78">
        <f>IFERROR(X107/J107,"0")</f>
        <v/>
      </c>
      <c r="BP107" s="78">
        <f>IFERROR(Y107/J107,"0")</f>
        <v/>
      </c>
    </row>
    <row r="108" ht="27" customHeight="1">
      <c r="A108" s="60" t="inlineStr">
        <is>
          <t>SU002864</t>
        </is>
      </c>
      <c r="B108" s="60" t="inlineStr">
        <is>
          <t>P003688</t>
        </is>
      </c>
      <c r="C108" s="34" t="n">
        <v>4301070978</v>
      </c>
      <c r="D108" s="276" t="n">
        <v>4607111037435</v>
      </c>
      <c r="E108" s="462" t="n"/>
      <c r="F108" s="501" t="n">
        <v>0.8</v>
      </c>
      <c r="G108" s="35" t="n">
        <v>8</v>
      </c>
      <c r="H108" s="501" t="n">
        <v>6.4</v>
      </c>
      <c r="I108" s="501" t="n">
        <v>6.686</v>
      </c>
      <c r="J108" s="35" t="n">
        <v>84</v>
      </c>
      <c r="K108" s="35" t="inlineStr">
        <is>
          <t>12</t>
        </is>
      </c>
      <c r="L108" s="35" t="inlineStr">
        <is>
          <t>Короб, мин. 1</t>
        </is>
      </c>
      <c r="M108" s="36" t="inlineStr">
        <is>
          <t>МГ</t>
        </is>
      </c>
      <c r="N108" s="36" t="n"/>
      <c r="O108" s="35" t="n">
        <v>180</v>
      </c>
      <c r="P108" s="546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/>
      </c>
      <c r="Q108" s="503" t="n"/>
      <c r="R108" s="503" t="n"/>
      <c r="S108" s="503" t="n"/>
      <c r="T108" s="504" t="n"/>
      <c r="U108" s="37" t="inlineStr"/>
      <c r="V108" s="37" t="inlineStr"/>
      <c r="W108" s="38" t="inlineStr">
        <is>
          <t>кор</t>
        </is>
      </c>
      <c r="X108" s="505" t="n">
        <v>0</v>
      </c>
      <c r="Y108" s="506">
        <f>IFERROR(IF(X108="","",X108),"")</f>
        <v/>
      </c>
      <c r="Z108" s="39">
        <f>IFERROR(IF(X108="","",X108*0.0155),"")</f>
        <v/>
      </c>
      <c r="AA108" s="65" t="inlineStr"/>
      <c r="AB108" s="66" t="inlineStr"/>
      <c r="AC108" s="156" t="inlineStr">
        <is>
          <t>ЕАЭС N RU Д-RU.РА08.В.95149/22</t>
        </is>
      </c>
      <c r="AG108" s="78" t="n"/>
      <c r="AJ108" s="82" t="inlineStr">
        <is>
          <t>Короб</t>
        </is>
      </c>
      <c r="AK108" s="82" t="n">
        <v>1</v>
      </c>
      <c r="BB108" s="157" t="inlineStr">
        <is>
          <t>ЗПФ</t>
        </is>
      </c>
      <c r="BM108" s="78">
        <f>IFERROR(X108*I108,"0")</f>
        <v/>
      </c>
      <c r="BN108" s="78">
        <f>IFERROR(Y108*I108,"0")</f>
        <v/>
      </c>
      <c r="BO108" s="78">
        <f>IFERROR(X108/J108,"0")</f>
        <v/>
      </c>
      <c r="BP108" s="78">
        <f>IFERROR(Y108/J108,"0")</f>
        <v/>
      </c>
    </row>
    <row r="109">
      <c r="A109" s="285" t="n"/>
      <c r="B109" s="273" t="n"/>
      <c r="C109" s="273" t="n"/>
      <c r="D109" s="273" t="n"/>
      <c r="E109" s="273" t="n"/>
      <c r="F109" s="273" t="n"/>
      <c r="G109" s="273" t="n"/>
      <c r="H109" s="273" t="n"/>
      <c r="I109" s="273" t="n"/>
      <c r="J109" s="273" t="n"/>
      <c r="K109" s="273" t="n"/>
      <c r="L109" s="273" t="n"/>
      <c r="M109" s="273" t="n"/>
      <c r="N109" s="273" t="n"/>
      <c r="O109" s="507" t="n"/>
      <c r="P109" s="508" t="inlineStr">
        <is>
          <t>Итого</t>
        </is>
      </c>
      <c r="Q109" s="470" t="n"/>
      <c r="R109" s="470" t="n"/>
      <c r="S109" s="470" t="n"/>
      <c r="T109" s="470" t="n"/>
      <c r="U109" s="470" t="n"/>
      <c r="V109" s="471" t="n"/>
      <c r="W109" s="40" t="inlineStr">
        <is>
          <t>кор</t>
        </is>
      </c>
      <c r="X109" s="509">
        <f>IFERROR(SUM(X102:X108),"0")</f>
        <v/>
      </c>
      <c r="Y109" s="509">
        <f>IFERROR(SUM(Y102:Y108),"0")</f>
        <v/>
      </c>
      <c r="Z109" s="509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510" t="n"/>
      <c r="AB109" s="510" t="n"/>
      <c r="AC109" s="510" t="n"/>
    </row>
    <row r="110">
      <c r="A110" s="273" t="n"/>
      <c r="B110" s="273" t="n"/>
      <c r="C110" s="273" t="n"/>
      <c r="D110" s="273" t="n"/>
      <c r="E110" s="273" t="n"/>
      <c r="F110" s="273" t="n"/>
      <c r="G110" s="273" t="n"/>
      <c r="H110" s="273" t="n"/>
      <c r="I110" s="273" t="n"/>
      <c r="J110" s="273" t="n"/>
      <c r="K110" s="273" t="n"/>
      <c r="L110" s="273" t="n"/>
      <c r="M110" s="273" t="n"/>
      <c r="N110" s="273" t="n"/>
      <c r="O110" s="507" t="n"/>
      <c r="P110" s="508" t="inlineStr">
        <is>
          <t>Итого</t>
        </is>
      </c>
      <c r="Q110" s="470" t="n"/>
      <c r="R110" s="470" t="n"/>
      <c r="S110" s="470" t="n"/>
      <c r="T110" s="470" t="n"/>
      <c r="U110" s="470" t="n"/>
      <c r="V110" s="471" t="n"/>
      <c r="W110" s="40" t="inlineStr">
        <is>
          <t>кг</t>
        </is>
      </c>
      <c r="X110" s="509">
        <f>IFERROR(SUMPRODUCT(X102:X108*H102:H108),"0")</f>
        <v/>
      </c>
      <c r="Y110" s="509">
        <f>IFERROR(SUMPRODUCT(Y102:Y108*H102:H108),"0")</f>
        <v/>
      </c>
      <c r="Z110" s="40" t="n"/>
      <c r="AA110" s="510" t="n"/>
      <c r="AB110" s="510" t="n"/>
      <c r="AC110" s="510" t="n"/>
    </row>
    <row r="111" ht="14.25" customHeight="1">
      <c r="A111" s="295" t="inlineStr">
        <is>
          <t>Снеки</t>
        </is>
      </c>
      <c r="B111" s="273" t="n"/>
      <c r="C111" s="273" t="n"/>
      <c r="D111" s="273" t="n"/>
      <c r="E111" s="273" t="n"/>
      <c r="F111" s="273" t="n"/>
      <c r="G111" s="273" t="n"/>
      <c r="H111" s="273" t="n"/>
      <c r="I111" s="273" t="n"/>
      <c r="J111" s="273" t="n"/>
      <c r="K111" s="273" t="n"/>
      <c r="L111" s="273" t="n"/>
      <c r="M111" s="273" t="n"/>
      <c r="N111" s="273" t="n"/>
      <c r="O111" s="273" t="n"/>
      <c r="P111" s="273" t="n"/>
      <c r="Q111" s="273" t="n"/>
      <c r="R111" s="273" t="n"/>
      <c r="S111" s="273" t="n"/>
      <c r="T111" s="273" t="n"/>
      <c r="U111" s="273" t="n"/>
      <c r="V111" s="273" t="n"/>
      <c r="W111" s="273" t="n"/>
      <c r="X111" s="273" t="n"/>
      <c r="Y111" s="273" t="n"/>
      <c r="Z111" s="273" t="n"/>
      <c r="AA111" s="295" t="n"/>
      <c r="AB111" s="295" t="n"/>
      <c r="AC111" s="295" t="n"/>
    </row>
    <row r="112" ht="27" customHeight="1">
      <c r="A112" s="60" t="inlineStr">
        <is>
          <t>SU003945</t>
        </is>
      </c>
      <c r="B112" s="60" t="inlineStr">
        <is>
          <t>P005065</t>
        </is>
      </c>
      <c r="C112" s="34" t="n">
        <v>4301135826</v>
      </c>
      <c r="D112" s="276" t="n">
        <v>4620207490983</v>
      </c>
      <c r="E112" s="462" t="n"/>
      <c r="F112" s="501" t="n">
        <v>0.22</v>
      </c>
      <c r="G112" s="35" t="n">
        <v>12</v>
      </c>
      <c r="H112" s="501" t="n">
        <v>2.64</v>
      </c>
      <c r="I112" s="501" t="n">
        <v>3.3436</v>
      </c>
      <c r="J112" s="35" t="n">
        <v>70</v>
      </c>
      <c r="K112" s="35" t="inlineStr">
        <is>
          <t>14</t>
        </is>
      </c>
      <c r="L112" s="35" t="inlineStr">
        <is>
          <t>Короб, мин. 1</t>
        </is>
      </c>
      <c r="M112" s="36" t="inlineStr">
        <is>
          <t>МГ</t>
        </is>
      </c>
      <c r="N112" s="36" t="n"/>
      <c r="O112" s="35" t="n">
        <v>180</v>
      </c>
      <c r="P112" s="547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12" s="503" t="n"/>
      <c r="R112" s="503" t="n"/>
      <c r="S112" s="503" t="n"/>
      <c r="T112" s="504" t="n"/>
      <c r="U112" s="37" t="inlineStr"/>
      <c r="V112" s="37" t="inlineStr"/>
      <c r="W112" s="38" t="inlineStr">
        <is>
          <t>кор</t>
        </is>
      </c>
      <c r="X112" s="505" t="n">
        <v>0</v>
      </c>
      <c r="Y112" s="506">
        <f>IFERROR(IF(X112="","",X112),"")</f>
        <v/>
      </c>
      <c r="Z112" s="39">
        <f>IFERROR(IF(X112="","",X112*0.01788),"")</f>
        <v/>
      </c>
      <c r="AA112" s="65" t="inlineStr"/>
      <c r="AB112" s="66" t="inlineStr"/>
      <c r="AC112" s="158" t="inlineStr">
        <is>
          <t>ЕАЭС N RU Д-RU.РА07.В.27335/25</t>
        </is>
      </c>
      <c r="AG112" s="78" t="n"/>
      <c r="AJ112" s="82" t="inlineStr">
        <is>
          <t>Короб</t>
        </is>
      </c>
      <c r="AK112" s="82" t="n">
        <v>1</v>
      </c>
      <c r="BB112" s="159" t="inlineStr">
        <is>
          <t>ПГП</t>
        </is>
      </c>
      <c r="BM112" s="78">
        <f>IFERROR(X112*I112,"0")</f>
        <v/>
      </c>
      <c r="BN112" s="78">
        <f>IFERROR(Y112*I112,"0")</f>
        <v/>
      </c>
      <c r="BO112" s="78">
        <f>IFERROR(X112/J112,"0")</f>
        <v/>
      </c>
      <c r="BP112" s="78">
        <f>IFERROR(Y112/J112,"0")</f>
        <v/>
      </c>
    </row>
    <row r="113">
      <c r="A113" s="285" t="n"/>
      <c r="B113" s="273" t="n"/>
      <c r="C113" s="273" t="n"/>
      <c r="D113" s="273" t="n"/>
      <c r="E113" s="273" t="n"/>
      <c r="F113" s="273" t="n"/>
      <c r="G113" s="273" t="n"/>
      <c r="H113" s="273" t="n"/>
      <c r="I113" s="273" t="n"/>
      <c r="J113" s="273" t="n"/>
      <c r="K113" s="273" t="n"/>
      <c r="L113" s="273" t="n"/>
      <c r="M113" s="273" t="n"/>
      <c r="N113" s="273" t="n"/>
      <c r="O113" s="507" t="n"/>
      <c r="P113" s="508" t="inlineStr">
        <is>
          <t>Итого</t>
        </is>
      </c>
      <c r="Q113" s="470" t="n"/>
      <c r="R113" s="470" t="n"/>
      <c r="S113" s="470" t="n"/>
      <c r="T113" s="470" t="n"/>
      <c r="U113" s="470" t="n"/>
      <c r="V113" s="471" t="n"/>
      <c r="W113" s="40" t="inlineStr">
        <is>
          <t>кор</t>
        </is>
      </c>
      <c r="X113" s="509">
        <f>IFERROR(SUM(X112:X112),"0")</f>
        <v/>
      </c>
      <c r="Y113" s="509">
        <f>IFERROR(SUM(Y112:Y112),"0")</f>
        <v/>
      </c>
      <c r="Z113" s="509">
        <f>IFERROR(IF(Z112="",0,Z112),"0")</f>
        <v/>
      </c>
      <c r="AA113" s="510" t="n"/>
      <c r="AB113" s="510" t="n"/>
      <c r="AC113" s="510" t="n"/>
    </row>
    <row r="114">
      <c r="A114" s="273" t="n"/>
      <c r="B114" s="273" t="n"/>
      <c r="C114" s="273" t="n"/>
      <c r="D114" s="273" t="n"/>
      <c r="E114" s="273" t="n"/>
      <c r="F114" s="273" t="n"/>
      <c r="G114" s="273" t="n"/>
      <c r="H114" s="273" t="n"/>
      <c r="I114" s="273" t="n"/>
      <c r="J114" s="273" t="n"/>
      <c r="K114" s="273" t="n"/>
      <c r="L114" s="273" t="n"/>
      <c r="M114" s="273" t="n"/>
      <c r="N114" s="273" t="n"/>
      <c r="O114" s="507" t="n"/>
      <c r="P114" s="508" t="inlineStr">
        <is>
          <t>Итого</t>
        </is>
      </c>
      <c r="Q114" s="470" t="n"/>
      <c r="R114" s="470" t="n"/>
      <c r="S114" s="470" t="n"/>
      <c r="T114" s="470" t="n"/>
      <c r="U114" s="470" t="n"/>
      <c r="V114" s="471" t="n"/>
      <c r="W114" s="40" t="inlineStr">
        <is>
          <t>кг</t>
        </is>
      </c>
      <c r="X114" s="509">
        <f>IFERROR(SUMPRODUCT(X112:X112*H112:H112),"0")</f>
        <v/>
      </c>
      <c r="Y114" s="509">
        <f>IFERROR(SUMPRODUCT(Y112:Y112*H112:H112),"0")</f>
        <v/>
      </c>
      <c r="Z114" s="40" t="n"/>
      <c r="AA114" s="510" t="n"/>
      <c r="AB114" s="510" t="n"/>
      <c r="AC114" s="510" t="n"/>
    </row>
    <row r="115" ht="14.25" customHeight="1">
      <c r="A115" s="295" t="inlineStr">
        <is>
          <t>Пельмени ПГП</t>
        </is>
      </c>
      <c r="B115" s="273" t="n"/>
      <c r="C115" s="273" t="n"/>
      <c r="D115" s="273" t="n"/>
      <c r="E115" s="273" t="n"/>
      <c r="F115" s="273" t="n"/>
      <c r="G115" s="273" t="n"/>
      <c r="H115" s="273" t="n"/>
      <c r="I115" s="273" t="n"/>
      <c r="J115" s="273" t="n"/>
      <c r="K115" s="273" t="n"/>
      <c r="L115" s="273" t="n"/>
      <c r="M115" s="273" t="n"/>
      <c r="N115" s="273" t="n"/>
      <c r="O115" s="273" t="n"/>
      <c r="P115" s="273" t="n"/>
      <c r="Q115" s="273" t="n"/>
      <c r="R115" s="273" t="n"/>
      <c r="S115" s="273" t="n"/>
      <c r="T115" s="273" t="n"/>
      <c r="U115" s="273" t="n"/>
      <c r="V115" s="273" t="n"/>
      <c r="W115" s="273" t="n"/>
      <c r="X115" s="273" t="n"/>
      <c r="Y115" s="273" t="n"/>
      <c r="Z115" s="273" t="n"/>
      <c r="AA115" s="295" t="n"/>
      <c r="AB115" s="295" t="n"/>
      <c r="AC115" s="295" t="n"/>
    </row>
    <row r="116" ht="27" customHeight="1">
      <c r="A116" s="60" t="inlineStr">
        <is>
          <t>SU003845</t>
        </is>
      </c>
      <c r="B116" s="60" t="inlineStr">
        <is>
          <t>P004909</t>
        </is>
      </c>
      <c r="C116" s="34" t="n">
        <v>4301071094</v>
      </c>
      <c r="D116" s="276" t="n">
        <v>4620207491140</v>
      </c>
      <c r="E116" s="462" t="n"/>
      <c r="F116" s="501" t="n">
        <v>0.6</v>
      </c>
      <c r="G116" s="35" t="n">
        <v>10</v>
      </c>
      <c r="H116" s="501" t="n">
        <v>6</v>
      </c>
      <c r="I116" s="501" t="n">
        <v>6.28</v>
      </c>
      <c r="J116" s="35" t="n">
        <v>84</v>
      </c>
      <c r="K116" s="35" t="inlineStr">
        <is>
          <t>12</t>
        </is>
      </c>
      <c r="L116" s="35" t="inlineStr">
        <is>
          <t>Короб, мин. 1</t>
        </is>
      </c>
      <c r="M116" s="36" t="inlineStr">
        <is>
          <t>МГ</t>
        </is>
      </c>
      <c r="N116" s="36" t="n"/>
      <c r="O116" s="35" t="n">
        <v>180</v>
      </c>
      <c r="P116" s="548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16" s="503" t="n"/>
      <c r="R116" s="503" t="n"/>
      <c r="S116" s="503" t="n"/>
      <c r="T116" s="504" t="n"/>
      <c r="U116" s="37" t="inlineStr"/>
      <c r="V116" s="37" t="inlineStr"/>
      <c r="W116" s="38" t="inlineStr">
        <is>
          <t>кор</t>
        </is>
      </c>
      <c r="X116" s="505" t="n">
        <v>0</v>
      </c>
      <c r="Y116" s="506">
        <f>IFERROR(IF(X116="","",X116),"")</f>
        <v/>
      </c>
      <c r="Z116" s="39">
        <f>IFERROR(IF(X116="","",X116*0.0155),"")</f>
        <v/>
      </c>
      <c r="AA116" s="65" t="inlineStr"/>
      <c r="AB116" s="66" t="inlineStr"/>
      <c r="AC116" s="160" t="inlineStr">
        <is>
          <t>ЕАЭС N RU Д-RU.РА04.В.40597/25</t>
        </is>
      </c>
      <c r="AG116" s="78" t="n"/>
      <c r="AJ116" s="82" t="inlineStr">
        <is>
          <t>Короб</t>
        </is>
      </c>
      <c r="AK116" s="82" t="n">
        <v>1</v>
      </c>
      <c r="BB116" s="161" t="inlineStr">
        <is>
          <t>ПГП</t>
        </is>
      </c>
      <c r="BM116" s="78">
        <f>IFERROR(X116*I116,"0")</f>
        <v/>
      </c>
      <c r="BN116" s="78">
        <f>IFERROR(Y116*I116,"0")</f>
        <v/>
      </c>
      <c r="BO116" s="78">
        <f>IFERROR(X116/J116,"0")</f>
        <v/>
      </c>
      <c r="BP116" s="78">
        <f>IFERROR(Y116/J116,"0")</f>
        <v/>
      </c>
    </row>
    <row r="117">
      <c r="A117" s="285" t="n"/>
      <c r="B117" s="273" t="n"/>
      <c r="C117" s="273" t="n"/>
      <c r="D117" s="273" t="n"/>
      <c r="E117" s="273" t="n"/>
      <c r="F117" s="273" t="n"/>
      <c r="G117" s="273" t="n"/>
      <c r="H117" s="273" t="n"/>
      <c r="I117" s="273" t="n"/>
      <c r="J117" s="273" t="n"/>
      <c r="K117" s="273" t="n"/>
      <c r="L117" s="273" t="n"/>
      <c r="M117" s="273" t="n"/>
      <c r="N117" s="273" t="n"/>
      <c r="O117" s="507" t="n"/>
      <c r="P117" s="508" t="inlineStr">
        <is>
          <t>Итого</t>
        </is>
      </c>
      <c r="Q117" s="470" t="n"/>
      <c r="R117" s="470" t="n"/>
      <c r="S117" s="470" t="n"/>
      <c r="T117" s="470" t="n"/>
      <c r="U117" s="470" t="n"/>
      <c r="V117" s="471" t="n"/>
      <c r="W117" s="40" t="inlineStr">
        <is>
          <t>кор</t>
        </is>
      </c>
      <c r="X117" s="509">
        <f>IFERROR(SUM(X116:X116),"0")</f>
        <v/>
      </c>
      <c r="Y117" s="509">
        <f>IFERROR(SUM(Y116:Y116),"0")</f>
        <v/>
      </c>
      <c r="Z117" s="509">
        <f>IFERROR(IF(Z116="",0,Z116),"0")</f>
        <v/>
      </c>
      <c r="AA117" s="510" t="n"/>
      <c r="AB117" s="510" t="n"/>
      <c r="AC117" s="510" t="n"/>
    </row>
    <row r="118">
      <c r="A118" s="273" t="n"/>
      <c r="B118" s="273" t="n"/>
      <c r="C118" s="273" t="n"/>
      <c r="D118" s="273" t="n"/>
      <c r="E118" s="273" t="n"/>
      <c r="F118" s="273" t="n"/>
      <c r="G118" s="273" t="n"/>
      <c r="H118" s="273" t="n"/>
      <c r="I118" s="273" t="n"/>
      <c r="J118" s="273" t="n"/>
      <c r="K118" s="273" t="n"/>
      <c r="L118" s="273" t="n"/>
      <c r="M118" s="273" t="n"/>
      <c r="N118" s="273" t="n"/>
      <c r="O118" s="507" t="n"/>
      <c r="P118" s="508" t="inlineStr">
        <is>
          <t>Итого</t>
        </is>
      </c>
      <c r="Q118" s="470" t="n"/>
      <c r="R118" s="470" t="n"/>
      <c r="S118" s="470" t="n"/>
      <c r="T118" s="470" t="n"/>
      <c r="U118" s="470" t="n"/>
      <c r="V118" s="471" t="n"/>
      <c r="W118" s="40" t="inlineStr">
        <is>
          <t>кг</t>
        </is>
      </c>
      <c r="X118" s="509">
        <f>IFERROR(SUMPRODUCT(X116:X116*H116:H116),"0")</f>
        <v/>
      </c>
      <c r="Y118" s="509">
        <f>IFERROR(SUMPRODUCT(Y116:Y116*H116:H116),"0")</f>
        <v/>
      </c>
      <c r="Z118" s="40" t="n"/>
      <c r="AA118" s="510" t="n"/>
      <c r="AB118" s="510" t="n"/>
      <c r="AC118" s="510" t="n"/>
    </row>
    <row r="119" ht="16.5" customHeight="1">
      <c r="A119" s="306" t="inlineStr">
        <is>
          <t>Чебупицца</t>
        </is>
      </c>
      <c r="B119" s="273" t="n"/>
      <c r="C119" s="273" t="n"/>
      <c r="D119" s="273" t="n"/>
      <c r="E119" s="273" t="n"/>
      <c r="F119" s="273" t="n"/>
      <c r="G119" s="273" t="n"/>
      <c r="H119" s="273" t="n"/>
      <c r="I119" s="273" t="n"/>
      <c r="J119" s="273" t="n"/>
      <c r="K119" s="273" t="n"/>
      <c r="L119" s="273" t="n"/>
      <c r="M119" s="273" t="n"/>
      <c r="N119" s="273" t="n"/>
      <c r="O119" s="273" t="n"/>
      <c r="P119" s="273" t="n"/>
      <c r="Q119" s="273" t="n"/>
      <c r="R119" s="273" t="n"/>
      <c r="S119" s="273" t="n"/>
      <c r="T119" s="273" t="n"/>
      <c r="U119" s="273" t="n"/>
      <c r="V119" s="273" t="n"/>
      <c r="W119" s="273" t="n"/>
      <c r="X119" s="273" t="n"/>
      <c r="Y119" s="273" t="n"/>
      <c r="Z119" s="273" t="n"/>
      <c r="AA119" s="306" t="n"/>
      <c r="AB119" s="306" t="n"/>
      <c r="AC119" s="306" t="n"/>
    </row>
    <row r="120" ht="14.25" customHeight="1">
      <c r="A120" s="295" t="inlineStr">
        <is>
          <t>Снеки</t>
        </is>
      </c>
      <c r="B120" s="273" t="n"/>
      <c r="C120" s="273" t="n"/>
      <c r="D120" s="273" t="n"/>
      <c r="E120" s="273" t="n"/>
      <c r="F120" s="273" t="n"/>
      <c r="G120" s="273" t="n"/>
      <c r="H120" s="273" t="n"/>
      <c r="I120" s="273" t="n"/>
      <c r="J120" s="273" t="n"/>
      <c r="K120" s="273" t="n"/>
      <c r="L120" s="273" t="n"/>
      <c r="M120" s="273" t="n"/>
      <c r="N120" s="273" t="n"/>
      <c r="O120" s="273" t="n"/>
      <c r="P120" s="273" t="n"/>
      <c r="Q120" s="273" t="n"/>
      <c r="R120" s="273" t="n"/>
      <c r="S120" s="273" t="n"/>
      <c r="T120" s="273" t="n"/>
      <c r="U120" s="273" t="n"/>
      <c r="V120" s="273" t="n"/>
      <c r="W120" s="273" t="n"/>
      <c r="X120" s="273" t="n"/>
      <c r="Y120" s="273" t="n"/>
      <c r="Z120" s="273" t="n"/>
      <c r="AA120" s="295" t="n"/>
      <c r="AB120" s="295" t="n"/>
      <c r="AC120" s="295" t="n"/>
    </row>
    <row r="121" ht="27" customHeight="1">
      <c r="A121" s="60" t="inlineStr">
        <is>
          <t>SU003578</t>
        </is>
      </c>
      <c r="B121" s="60" t="inlineStr">
        <is>
          <t>P004484</t>
        </is>
      </c>
      <c r="C121" s="34" t="n">
        <v>4301135555</v>
      </c>
      <c r="D121" s="276" t="n">
        <v>4607111034014</v>
      </c>
      <c r="E121" s="462" t="n"/>
      <c r="F121" s="501" t="n">
        <v>0.25</v>
      </c>
      <c r="G121" s="35" t="n">
        <v>12</v>
      </c>
      <c r="H121" s="501" t="n">
        <v>3</v>
      </c>
      <c r="I121" s="501" t="n">
        <v>3.7036</v>
      </c>
      <c r="J121" s="35" t="n">
        <v>70</v>
      </c>
      <c r="K121" s="35" t="inlineStr">
        <is>
          <t>14</t>
        </is>
      </c>
      <c r="L121" s="35" t="inlineStr">
        <is>
          <t>Слой, мин. 1</t>
        </is>
      </c>
      <c r="M121" s="36" t="inlineStr">
        <is>
          <t>МГ</t>
        </is>
      </c>
      <c r="N121" s="36" t="n"/>
      <c r="O121" s="35" t="n">
        <v>180</v>
      </c>
      <c r="P121" s="549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21" s="503" t="n"/>
      <c r="R121" s="503" t="n"/>
      <c r="S121" s="503" t="n"/>
      <c r="T121" s="504" t="n"/>
      <c r="U121" s="37" t="inlineStr"/>
      <c r="V121" s="37" t="inlineStr"/>
      <c r="W121" s="38" t="inlineStr">
        <is>
          <t>кор</t>
        </is>
      </c>
      <c r="X121" s="505" t="n">
        <v>140</v>
      </c>
      <c r="Y121" s="506">
        <f>IFERROR(IF(X121="","",X121),"")</f>
        <v/>
      </c>
      <c r="Z121" s="39">
        <f>IFERROR(IF(X121="","",X121*0.01788),"")</f>
        <v/>
      </c>
      <c r="AA121" s="65" t="inlineStr"/>
      <c r="AB121" s="66" t="inlineStr"/>
      <c r="AC121" s="162" t="inlineStr">
        <is>
          <t>ЕАЭС N RU Д-RU.РА10.В.33475/23</t>
        </is>
      </c>
      <c r="AG121" s="78" t="n"/>
      <c r="AJ121" s="82" t="inlineStr">
        <is>
          <t>Слой</t>
        </is>
      </c>
      <c r="AK121" s="82" t="n">
        <v>14</v>
      </c>
      <c r="BB121" s="163" t="inlineStr">
        <is>
          <t>ПГП</t>
        </is>
      </c>
      <c r="BM121" s="78">
        <f>IFERROR(X121*I121,"0")</f>
        <v/>
      </c>
      <c r="BN121" s="78">
        <f>IFERROR(Y121*I121,"0")</f>
        <v/>
      </c>
      <c r="BO121" s="78">
        <f>IFERROR(X121/J121,"0")</f>
        <v/>
      </c>
      <c r="BP121" s="78">
        <f>IFERROR(Y121/J121,"0")</f>
        <v/>
      </c>
    </row>
    <row r="122" ht="27" customHeight="1">
      <c r="A122" s="60" t="inlineStr">
        <is>
          <t>SU003580</t>
        </is>
      </c>
      <c r="B122" s="60" t="inlineStr">
        <is>
          <t>P004486</t>
        </is>
      </c>
      <c r="C122" s="34" t="n">
        <v>4301135532</v>
      </c>
      <c r="D122" s="276" t="n">
        <v>4607111033994</v>
      </c>
      <c r="E122" s="462" t="n"/>
      <c r="F122" s="501" t="n">
        <v>0.25</v>
      </c>
      <c r="G122" s="35" t="n">
        <v>12</v>
      </c>
      <c r="H122" s="501" t="n">
        <v>3</v>
      </c>
      <c r="I122" s="501" t="n">
        <v>3.7036</v>
      </c>
      <c r="J122" s="35" t="n">
        <v>70</v>
      </c>
      <c r="K122" s="35" t="inlineStr">
        <is>
          <t>14</t>
        </is>
      </c>
      <c r="L122" s="35" t="inlineStr">
        <is>
          <t>Слой, мин. 1</t>
        </is>
      </c>
      <c r="M122" s="36" t="inlineStr">
        <is>
          <t>МГ</t>
        </is>
      </c>
      <c r="N122" s="36" t="n"/>
      <c r="O122" s="35" t="n">
        <v>180</v>
      </c>
      <c r="P122" s="550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22" s="503" t="n"/>
      <c r="R122" s="503" t="n"/>
      <c r="S122" s="503" t="n"/>
      <c r="T122" s="504" t="n"/>
      <c r="U122" s="37" t="inlineStr"/>
      <c r="V122" s="37" t="inlineStr"/>
      <c r="W122" s="38" t="inlineStr">
        <is>
          <t>кор</t>
        </is>
      </c>
      <c r="X122" s="505" t="n">
        <v>140</v>
      </c>
      <c r="Y122" s="506">
        <f>IFERROR(IF(X122="","",X122),"")</f>
        <v/>
      </c>
      <c r="Z122" s="39">
        <f>IFERROR(IF(X122="","",X122*0.01788),"")</f>
        <v/>
      </c>
      <c r="AA122" s="65" t="inlineStr"/>
      <c r="AB122" s="66" t="inlineStr"/>
      <c r="AC122" s="164" t="inlineStr">
        <is>
          <t>ЕАЭС N RU Д-RU.РА02.В.49579/23</t>
        </is>
      </c>
      <c r="AG122" s="78" t="n"/>
      <c r="AJ122" s="82" t="inlineStr">
        <is>
          <t>Слой</t>
        </is>
      </c>
      <c r="AK122" s="82" t="n">
        <v>14</v>
      </c>
      <c r="BB122" s="165" t="inlineStr">
        <is>
          <t>ПГП</t>
        </is>
      </c>
      <c r="BM122" s="78">
        <f>IFERROR(X122*I122,"0")</f>
        <v/>
      </c>
      <c r="BN122" s="78">
        <f>IFERROR(Y122*I122,"0")</f>
        <v/>
      </c>
      <c r="BO122" s="78">
        <f>IFERROR(X122/J122,"0")</f>
        <v/>
      </c>
      <c r="BP122" s="78">
        <f>IFERROR(Y122/J122,"0")</f>
        <v/>
      </c>
    </row>
    <row r="123">
      <c r="A123" s="285" t="n"/>
      <c r="B123" s="273" t="n"/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3" t="n"/>
      <c r="M123" s="273" t="n"/>
      <c r="N123" s="273" t="n"/>
      <c r="O123" s="507" t="n"/>
      <c r="P123" s="508" t="inlineStr">
        <is>
          <t>Итого</t>
        </is>
      </c>
      <c r="Q123" s="470" t="n"/>
      <c r="R123" s="470" t="n"/>
      <c r="S123" s="470" t="n"/>
      <c r="T123" s="470" t="n"/>
      <c r="U123" s="470" t="n"/>
      <c r="V123" s="471" t="n"/>
      <c r="W123" s="40" t="inlineStr">
        <is>
          <t>кор</t>
        </is>
      </c>
      <c r="X123" s="509">
        <f>IFERROR(SUM(X121:X122),"0")</f>
        <v/>
      </c>
      <c r="Y123" s="509">
        <f>IFERROR(SUM(Y121:Y122),"0")</f>
        <v/>
      </c>
      <c r="Z123" s="509">
        <f>IFERROR(IF(Z121="",0,Z121),"0")+IFERROR(IF(Z122="",0,Z122),"0")</f>
        <v/>
      </c>
      <c r="AA123" s="510" t="n"/>
      <c r="AB123" s="510" t="n"/>
      <c r="AC123" s="510" t="n"/>
    </row>
    <row r="124">
      <c r="A124" s="273" t="n"/>
      <c r="B124" s="273" t="n"/>
      <c r="C124" s="273" t="n"/>
      <c r="D124" s="273" t="n"/>
      <c r="E124" s="273" t="n"/>
      <c r="F124" s="273" t="n"/>
      <c r="G124" s="273" t="n"/>
      <c r="H124" s="273" t="n"/>
      <c r="I124" s="273" t="n"/>
      <c r="J124" s="273" t="n"/>
      <c r="K124" s="273" t="n"/>
      <c r="L124" s="273" t="n"/>
      <c r="M124" s="273" t="n"/>
      <c r="N124" s="273" t="n"/>
      <c r="O124" s="507" t="n"/>
      <c r="P124" s="508" t="inlineStr">
        <is>
          <t>Итого</t>
        </is>
      </c>
      <c r="Q124" s="470" t="n"/>
      <c r="R124" s="470" t="n"/>
      <c r="S124" s="470" t="n"/>
      <c r="T124" s="470" t="n"/>
      <c r="U124" s="470" t="n"/>
      <c r="V124" s="471" t="n"/>
      <c r="W124" s="40" t="inlineStr">
        <is>
          <t>кг</t>
        </is>
      </c>
      <c r="X124" s="509">
        <f>IFERROR(SUMPRODUCT(X121:X122*H121:H122),"0")</f>
        <v/>
      </c>
      <c r="Y124" s="509">
        <f>IFERROR(SUMPRODUCT(Y121:Y122*H121:H122),"0")</f>
        <v/>
      </c>
      <c r="Z124" s="40" t="n"/>
      <c r="AA124" s="510" t="n"/>
      <c r="AB124" s="510" t="n"/>
      <c r="AC124" s="510" t="n"/>
    </row>
    <row r="125" ht="16.5" customHeight="1">
      <c r="A125" s="306" t="inlineStr">
        <is>
          <t>Хотстеры</t>
        </is>
      </c>
      <c r="B125" s="273" t="n"/>
      <c r="C125" s="273" t="n"/>
      <c r="D125" s="273" t="n"/>
      <c r="E125" s="273" t="n"/>
      <c r="F125" s="273" t="n"/>
      <c r="G125" s="273" t="n"/>
      <c r="H125" s="273" t="n"/>
      <c r="I125" s="273" t="n"/>
      <c r="J125" s="273" t="n"/>
      <c r="K125" s="273" t="n"/>
      <c r="L125" s="273" t="n"/>
      <c r="M125" s="273" t="n"/>
      <c r="N125" s="273" t="n"/>
      <c r="O125" s="273" t="n"/>
      <c r="P125" s="273" t="n"/>
      <c r="Q125" s="273" t="n"/>
      <c r="R125" s="273" t="n"/>
      <c r="S125" s="273" t="n"/>
      <c r="T125" s="273" t="n"/>
      <c r="U125" s="273" t="n"/>
      <c r="V125" s="273" t="n"/>
      <c r="W125" s="273" t="n"/>
      <c r="X125" s="273" t="n"/>
      <c r="Y125" s="273" t="n"/>
      <c r="Z125" s="273" t="n"/>
      <c r="AA125" s="306" t="n"/>
      <c r="AB125" s="306" t="n"/>
      <c r="AC125" s="306" t="n"/>
    </row>
    <row r="126" ht="14.25" customHeight="1">
      <c r="A126" s="295" t="inlineStr">
        <is>
          <t>Снеки</t>
        </is>
      </c>
      <c r="B126" s="273" t="n"/>
      <c r="C126" s="273" t="n"/>
      <c r="D126" s="273" t="n"/>
      <c r="E126" s="273" t="n"/>
      <c r="F126" s="273" t="n"/>
      <c r="G126" s="273" t="n"/>
      <c r="H126" s="273" t="n"/>
      <c r="I126" s="273" t="n"/>
      <c r="J126" s="273" t="n"/>
      <c r="K126" s="273" t="n"/>
      <c r="L126" s="273" t="n"/>
      <c r="M126" s="273" t="n"/>
      <c r="N126" s="273" t="n"/>
      <c r="O126" s="273" t="n"/>
      <c r="P126" s="273" t="n"/>
      <c r="Q126" s="273" t="n"/>
      <c r="R126" s="273" t="n"/>
      <c r="S126" s="273" t="n"/>
      <c r="T126" s="273" t="n"/>
      <c r="U126" s="273" t="n"/>
      <c r="V126" s="273" t="n"/>
      <c r="W126" s="273" t="n"/>
      <c r="X126" s="273" t="n"/>
      <c r="Y126" s="273" t="n"/>
      <c r="Z126" s="273" t="n"/>
      <c r="AA126" s="295" t="n"/>
      <c r="AB126" s="295" t="n"/>
      <c r="AC126" s="295" t="n"/>
    </row>
    <row r="127" ht="27" customHeight="1">
      <c r="A127" s="60" t="inlineStr">
        <is>
          <t>SU003944</t>
        </is>
      </c>
      <c r="B127" s="60" t="inlineStr">
        <is>
          <t>P005058</t>
        </is>
      </c>
      <c r="C127" s="34" t="n">
        <v>4301135824</v>
      </c>
      <c r="D127" s="276" t="n">
        <v>4607111039095</v>
      </c>
      <c r="E127" s="462" t="n"/>
      <c r="F127" s="501" t="n">
        <v>0.25</v>
      </c>
      <c r="G127" s="35" t="n">
        <v>12</v>
      </c>
      <c r="H127" s="501" t="n">
        <v>3</v>
      </c>
      <c r="I127" s="501" t="n">
        <v>3.748</v>
      </c>
      <c r="J127" s="35" t="n">
        <v>70</v>
      </c>
      <c r="K127" s="35" t="inlineStr">
        <is>
          <t>14</t>
        </is>
      </c>
      <c r="L127" s="35" t="inlineStr">
        <is>
          <t>Короб, мин. 1</t>
        </is>
      </c>
      <c r="M127" s="36" t="inlineStr">
        <is>
          <t>МГ</t>
        </is>
      </c>
      <c r="N127" s="36" t="n"/>
      <c r="O127" s="35" t="n">
        <v>180</v>
      </c>
      <c r="P127" s="551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27" s="503" t="n"/>
      <c r="R127" s="503" t="n"/>
      <c r="S127" s="503" t="n"/>
      <c r="T127" s="504" t="n"/>
      <c r="U127" s="37" t="inlineStr"/>
      <c r="V127" s="37" t="inlineStr"/>
      <c r="W127" s="38" t="inlineStr">
        <is>
          <t>кор</t>
        </is>
      </c>
      <c r="X127" s="505" t="n">
        <v>0</v>
      </c>
      <c r="Y127" s="506">
        <f>IFERROR(IF(X127="","",X127),"")</f>
        <v/>
      </c>
      <c r="Z127" s="39">
        <f>IFERROR(IF(X127="","",X127*0.01788),"")</f>
        <v/>
      </c>
      <c r="AA127" s="65" t="inlineStr"/>
      <c r="AB127" s="66" t="inlineStr"/>
      <c r="AC127" s="166" t="inlineStr">
        <is>
          <t>ЕАЭС N RU Д-RU.РА02.В.13267/24</t>
        </is>
      </c>
      <c r="AG127" s="78" t="n"/>
      <c r="AJ127" s="82" t="inlineStr">
        <is>
          <t>Короб</t>
        </is>
      </c>
      <c r="AK127" s="82" t="n">
        <v>1</v>
      </c>
      <c r="BB127" s="167" t="inlineStr">
        <is>
          <t>ПГП</t>
        </is>
      </c>
      <c r="BM127" s="78">
        <f>IFERROR(X127*I127,"0")</f>
        <v/>
      </c>
      <c r="BN127" s="78">
        <f>IFERROR(Y127*I127,"0")</f>
        <v/>
      </c>
      <c r="BO127" s="78">
        <f>IFERROR(X127/J127,"0")</f>
        <v/>
      </c>
      <c r="BP127" s="78">
        <f>IFERROR(Y127/J127,"0")</f>
        <v/>
      </c>
    </row>
    <row r="128" ht="16.5" customHeight="1">
      <c r="A128" s="60" t="inlineStr">
        <is>
          <t>SU003576</t>
        </is>
      </c>
      <c r="B128" s="60" t="inlineStr">
        <is>
          <t>P004489</t>
        </is>
      </c>
      <c r="C128" s="34" t="n">
        <v>4301135550</v>
      </c>
      <c r="D128" s="276" t="n">
        <v>4607111034199</v>
      </c>
      <c r="E128" s="462" t="n"/>
      <c r="F128" s="501" t="n">
        <v>0.25</v>
      </c>
      <c r="G128" s="35" t="n">
        <v>12</v>
      </c>
      <c r="H128" s="501" t="n">
        <v>3</v>
      </c>
      <c r="I128" s="501" t="n">
        <v>3.7036</v>
      </c>
      <c r="J128" s="35" t="n">
        <v>70</v>
      </c>
      <c r="K128" s="35" t="inlineStr">
        <is>
          <t>14</t>
        </is>
      </c>
      <c r="L128" s="35" t="inlineStr">
        <is>
          <t>Слой, мин. 1</t>
        </is>
      </c>
      <c r="M128" s="36" t="inlineStr">
        <is>
          <t>МГ</t>
        </is>
      </c>
      <c r="N128" s="36" t="n"/>
      <c r="O128" s="35" t="n">
        <v>180</v>
      </c>
      <c r="P128" s="552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28" s="503" t="n"/>
      <c r="R128" s="503" t="n"/>
      <c r="S128" s="503" t="n"/>
      <c r="T128" s="504" t="n"/>
      <c r="U128" s="37" t="inlineStr"/>
      <c r="V128" s="37" t="inlineStr"/>
      <c r="W128" s="38" t="inlineStr">
        <is>
          <t>кор</t>
        </is>
      </c>
      <c r="X128" s="505" t="n">
        <v>0</v>
      </c>
      <c r="Y128" s="506">
        <f>IFERROR(IF(X128="","",X128),"")</f>
        <v/>
      </c>
      <c r="Z128" s="39">
        <f>IFERROR(IF(X128="","",X128*0.01788),"")</f>
        <v/>
      </c>
      <c r="AA128" s="65" t="inlineStr"/>
      <c r="AB128" s="66" t="inlineStr"/>
      <c r="AC128" s="168" t="inlineStr">
        <is>
          <t>ЕАЭС N RU Д-RU.РА05.В.14086/23</t>
        </is>
      </c>
      <c r="AG128" s="78" t="n"/>
      <c r="AJ128" s="82" t="inlineStr">
        <is>
          <t>Слой</t>
        </is>
      </c>
      <c r="AK128" s="82" t="n">
        <v>14</v>
      </c>
      <c r="BB128" s="169" t="inlineStr">
        <is>
          <t>ПГП</t>
        </is>
      </c>
      <c r="BM128" s="78">
        <f>IFERROR(X128*I128,"0")</f>
        <v/>
      </c>
      <c r="BN128" s="78">
        <f>IFERROR(Y128*I128,"0")</f>
        <v/>
      </c>
      <c r="BO128" s="78">
        <f>IFERROR(X128/J128,"0")</f>
        <v/>
      </c>
      <c r="BP128" s="78">
        <f>IFERROR(Y128/J128,"0")</f>
        <v/>
      </c>
    </row>
    <row r="129">
      <c r="A129" s="285" t="n"/>
      <c r="B129" s="273" t="n"/>
      <c r="C129" s="273" t="n"/>
      <c r="D129" s="273" t="n"/>
      <c r="E129" s="273" t="n"/>
      <c r="F129" s="273" t="n"/>
      <c r="G129" s="273" t="n"/>
      <c r="H129" s="273" t="n"/>
      <c r="I129" s="273" t="n"/>
      <c r="J129" s="273" t="n"/>
      <c r="K129" s="273" t="n"/>
      <c r="L129" s="273" t="n"/>
      <c r="M129" s="273" t="n"/>
      <c r="N129" s="273" t="n"/>
      <c r="O129" s="507" t="n"/>
      <c r="P129" s="508" t="inlineStr">
        <is>
          <t>Итого</t>
        </is>
      </c>
      <c r="Q129" s="470" t="n"/>
      <c r="R129" s="470" t="n"/>
      <c r="S129" s="470" t="n"/>
      <c r="T129" s="470" t="n"/>
      <c r="U129" s="470" t="n"/>
      <c r="V129" s="471" t="n"/>
      <c r="W129" s="40" t="inlineStr">
        <is>
          <t>кор</t>
        </is>
      </c>
      <c r="X129" s="509">
        <f>IFERROR(SUM(X127:X128),"0")</f>
        <v/>
      </c>
      <c r="Y129" s="509">
        <f>IFERROR(SUM(Y127:Y128),"0")</f>
        <v/>
      </c>
      <c r="Z129" s="509">
        <f>IFERROR(IF(Z127="",0,Z127),"0")+IFERROR(IF(Z128="",0,Z128),"0")</f>
        <v/>
      </c>
      <c r="AA129" s="510" t="n"/>
      <c r="AB129" s="510" t="n"/>
      <c r="AC129" s="510" t="n"/>
    </row>
    <row r="130">
      <c r="A130" s="273" t="n"/>
      <c r="B130" s="273" t="n"/>
      <c r="C130" s="273" t="n"/>
      <c r="D130" s="273" t="n"/>
      <c r="E130" s="273" t="n"/>
      <c r="F130" s="273" t="n"/>
      <c r="G130" s="273" t="n"/>
      <c r="H130" s="273" t="n"/>
      <c r="I130" s="273" t="n"/>
      <c r="J130" s="273" t="n"/>
      <c r="K130" s="273" t="n"/>
      <c r="L130" s="273" t="n"/>
      <c r="M130" s="273" t="n"/>
      <c r="N130" s="273" t="n"/>
      <c r="O130" s="507" t="n"/>
      <c r="P130" s="508" t="inlineStr">
        <is>
          <t>Итого</t>
        </is>
      </c>
      <c r="Q130" s="470" t="n"/>
      <c r="R130" s="470" t="n"/>
      <c r="S130" s="470" t="n"/>
      <c r="T130" s="470" t="n"/>
      <c r="U130" s="470" t="n"/>
      <c r="V130" s="471" t="n"/>
      <c r="W130" s="40" t="inlineStr">
        <is>
          <t>кг</t>
        </is>
      </c>
      <c r="X130" s="509">
        <f>IFERROR(SUMPRODUCT(X127:X128*H127:H128),"0")</f>
        <v/>
      </c>
      <c r="Y130" s="509">
        <f>IFERROR(SUMPRODUCT(Y127:Y128*H127:H128),"0")</f>
        <v/>
      </c>
      <c r="Z130" s="40" t="n"/>
      <c r="AA130" s="510" t="n"/>
      <c r="AB130" s="510" t="n"/>
      <c r="AC130" s="510" t="n"/>
    </row>
    <row r="131" ht="16.5" customHeight="1">
      <c r="A131" s="306" t="inlineStr">
        <is>
          <t>Круггетсы</t>
        </is>
      </c>
      <c r="B131" s="273" t="n"/>
      <c r="C131" s="273" t="n"/>
      <c r="D131" s="273" t="n"/>
      <c r="E131" s="273" t="n"/>
      <c r="F131" s="273" t="n"/>
      <c r="G131" s="273" t="n"/>
      <c r="H131" s="273" t="n"/>
      <c r="I131" s="273" t="n"/>
      <c r="J131" s="273" t="n"/>
      <c r="K131" s="273" t="n"/>
      <c r="L131" s="273" t="n"/>
      <c r="M131" s="273" t="n"/>
      <c r="N131" s="273" t="n"/>
      <c r="O131" s="273" t="n"/>
      <c r="P131" s="273" t="n"/>
      <c r="Q131" s="273" t="n"/>
      <c r="R131" s="273" t="n"/>
      <c r="S131" s="273" t="n"/>
      <c r="T131" s="273" t="n"/>
      <c r="U131" s="273" t="n"/>
      <c r="V131" s="273" t="n"/>
      <c r="W131" s="273" t="n"/>
      <c r="X131" s="273" t="n"/>
      <c r="Y131" s="273" t="n"/>
      <c r="Z131" s="273" t="n"/>
      <c r="AA131" s="306" t="n"/>
      <c r="AB131" s="306" t="n"/>
      <c r="AC131" s="306" t="n"/>
    </row>
    <row r="132" ht="14.25" customHeight="1">
      <c r="A132" s="295" t="inlineStr">
        <is>
          <t>Снеки</t>
        </is>
      </c>
      <c r="B132" s="273" t="n"/>
      <c r="C132" s="273" t="n"/>
      <c r="D132" s="273" t="n"/>
      <c r="E132" s="273" t="n"/>
      <c r="F132" s="273" t="n"/>
      <c r="G132" s="273" t="n"/>
      <c r="H132" s="273" t="n"/>
      <c r="I132" s="273" t="n"/>
      <c r="J132" s="273" t="n"/>
      <c r="K132" s="273" t="n"/>
      <c r="L132" s="273" t="n"/>
      <c r="M132" s="273" t="n"/>
      <c r="N132" s="273" t="n"/>
      <c r="O132" s="273" t="n"/>
      <c r="P132" s="273" t="n"/>
      <c r="Q132" s="273" t="n"/>
      <c r="R132" s="273" t="n"/>
      <c r="S132" s="273" t="n"/>
      <c r="T132" s="273" t="n"/>
      <c r="U132" s="273" t="n"/>
      <c r="V132" s="273" t="n"/>
      <c r="W132" s="273" t="n"/>
      <c r="X132" s="273" t="n"/>
      <c r="Y132" s="273" t="n"/>
      <c r="Z132" s="273" t="n"/>
      <c r="AA132" s="295" t="n"/>
      <c r="AB132" s="295" t="n"/>
      <c r="AC132" s="295" t="n"/>
    </row>
    <row r="133" ht="27" customHeight="1">
      <c r="A133" s="60" t="inlineStr">
        <is>
          <t>SU003872</t>
        </is>
      </c>
      <c r="B133" s="60" t="inlineStr">
        <is>
          <t>P004956</t>
        </is>
      </c>
      <c r="C133" s="34" t="n">
        <v>4301135753</v>
      </c>
      <c r="D133" s="276" t="n">
        <v>4620207490914</v>
      </c>
      <c r="E133" s="462" t="n"/>
      <c r="F133" s="501" t="n">
        <v>0.2</v>
      </c>
      <c r="G133" s="35" t="n">
        <v>12</v>
      </c>
      <c r="H133" s="501" t="n">
        <v>2.4</v>
      </c>
      <c r="I133" s="501" t="n">
        <v>2.68</v>
      </c>
      <c r="J133" s="35" t="n">
        <v>70</v>
      </c>
      <c r="K133" s="35" t="inlineStr">
        <is>
          <t>14</t>
        </is>
      </c>
      <c r="L133" s="35" t="inlineStr">
        <is>
          <t>Короб, мин. 1</t>
        </is>
      </c>
      <c r="M133" s="36" t="inlineStr">
        <is>
          <t>МГ</t>
        </is>
      </c>
      <c r="N133" s="36" t="n"/>
      <c r="O133" s="35" t="n">
        <v>180</v>
      </c>
      <c r="P133" s="553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33" s="503" t="n"/>
      <c r="R133" s="503" t="n"/>
      <c r="S133" s="503" t="n"/>
      <c r="T133" s="504" t="n"/>
      <c r="U133" s="37" t="inlineStr"/>
      <c r="V133" s="37" t="inlineStr"/>
      <c r="W133" s="38" t="inlineStr">
        <is>
          <t>кор</t>
        </is>
      </c>
      <c r="X133" s="505" t="n">
        <v>0</v>
      </c>
      <c r="Y133" s="506">
        <f>IFERROR(IF(X133="","",X133),"")</f>
        <v/>
      </c>
      <c r="Z133" s="39">
        <f>IFERROR(IF(X133="","",X133*0.01788),"")</f>
        <v/>
      </c>
      <c r="AA133" s="65" t="inlineStr"/>
      <c r="AB133" s="66" t="inlineStr"/>
      <c r="AC133" s="170" t="inlineStr">
        <is>
          <t>ЕАЭС N RU Д-RU.РА10.В.33475/23</t>
        </is>
      </c>
      <c r="AG133" s="78" t="n"/>
      <c r="AJ133" s="82" t="inlineStr">
        <is>
          <t>Короб</t>
        </is>
      </c>
      <c r="AK133" s="82" t="n">
        <v>1</v>
      </c>
      <c r="BB133" s="171" t="inlineStr">
        <is>
          <t>ПГП</t>
        </is>
      </c>
      <c r="BM133" s="78">
        <f>IFERROR(X133*I133,"0")</f>
        <v/>
      </c>
      <c r="BN133" s="78">
        <f>IFERROR(Y133*I133,"0")</f>
        <v/>
      </c>
      <c r="BO133" s="78">
        <f>IFERROR(X133/J133,"0")</f>
        <v/>
      </c>
      <c r="BP133" s="78">
        <f>IFERROR(Y133/J133,"0")</f>
        <v/>
      </c>
    </row>
    <row r="134" ht="27" customHeight="1">
      <c r="A134" s="60" t="inlineStr">
        <is>
          <t>SU003870</t>
        </is>
      </c>
      <c r="B134" s="60" t="inlineStr">
        <is>
          <t>P004953</t>
        </is>
      </c>
      <c r="C134" s="34" t="n">
        <v>4301135778</v>
      </c>
      <c r="D134" s="276" t="n">
        <v>4620207490853</v>
      </c>
      <c r="E134" s="462" t="n"/>
      <c r="F134" s="501" t="n">
        <v>0.2</v>
      </c>
      <c r="G134" s="35" t="n">
        <v>12</v>
      </c>
      <c r="H134" s="501" t="n">
        <v>2.4</v>
      </c>
      <c r="I134" s="501" t="n">
        <v>2.68</v>
      </c>
      <c r="J134" s="35" t="n">
        <v>70</v>
      </c>
      <c r="K134" s="35" t="inlineStr">
        <is>
          <t>14</t>
        </is>
      </c>
      <c r="L134" s="35" t="inlineStr">
        <is>
          <t>Короб, мин. 1</t>
        </is>
      </c>
      <c r="M134" s="36" t="inlineStr">
        <is>
          <t>МГ</t>
        </is>
      </c>
      <c r="N134" s="36" t="n"/>
      <c r="O134" s="35" t="n">
        <v>180</v>
      </c>
      <c r="P134" s="554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34" s="503" t="n"/>
      <c r="R134" s="503" t="n"/>
      <c r="S134" s="503" t="n"/>
      <c r="T134" s="504" t="n"/>
      <c r="U134" s="37" t="inlineStr"/>
      <c r="V134" s="37" t="inlineStr"/>
      <c r="W134" s="38" t="inlineStr">
        <is>
          <t>кор</t>
        </is>
      </c>
      <c r="X134" s="505" t="n">
        <v>0</v>
      </c>
      <c r="Y134" s="506">
        <f>IFERROR(IF(X134="","",X134),"")</f>
        <v/>
      </c>
      <c r="Z134" s="39">
        <f>IFERROR(IF(X134="","",X134*0.01788),"")</f>
        <v/>
      </c>
      <c r="AA134" s="65" t="inlineStr"/>
      <c r="AB134" s="66" t="inlineStr"/>
      <c r="AC134" s="172" t="inlineStr">
        <is>
          <t>ЕАЭС N RU Д-RU.РА10.В.33475/23</t>
        </is>
      </c>
      <c r="AG134" s="78" t="n"/>
      <c r="AJ134" s="82" t="inlineStr">
        <is>
          <t>Короб</t>
        </is>
      </c>
      <c r="AK134" s="82" t="n">
        <v>1</v>
      </c>
      <c r="BB134" s="173" t="inlineStr">
        <is>
          <t>ПГП</t>
        </is>
      </c>
      <c r="BM134" s="78">
        <f>IFERROR(X134*I134,"0")</f>
        <v/>
      </c>
      <c r="BN134" s="78">
        <f>IFERROR(Y134*I134,"0")</f>
        <v/>
      </c>
      <c r="BO134" s="78">
        <f>IFERROR(X134/J134,"0")</f>
        <v/>
      </c>
      <c r="BP134" s="78">
        <f>IFERROR(Y134/J134,"0")</f>
        <v/>
      </c>
    </row>
    <row r="135">
      <c r="A135" s="285" t="n"/>
      <c r="B135" s="273" t="n"/>
      <c r="C135" s="273" t="n"/>
      <c r="D135" s="273" t="n"/>
      <c r="E135" s="273" t="n"/>
      <c r="F135" s="273" t="n"/>
      <c r="G135" s="273" t="n"/>
      <c r="H135" s="273" t="n"/>
      <c r="I135" s="273" t="n"/>
      <c r="J135" s="273" t="n"/>
      <c r="K135" s="273" t="n"/>
      <c r="L135" s="273" t="n"/>
      <c r="M135" s="273" t="n"/>
      <c r="N135" s="273" t="n"/>
      <c r="O135" s="507" t="n"/>
      <c r="P135" s="508" t="inlineStr">
        <is>
          <t>Итого</t>
        </is>
      </c>
      <c r="Q135" s="470" t="n"/>
      <c r="R135" s="470" t="n"/>
      <c r="S135" s="470" t="n"/>
      <c r="T135" s="470" t="n"/>
      <c r="U135" s="470" t="n"/>
      <c r="V135" s="471" t="n"/>
      <c r="W135" s="40" t="inlineStr">
        <is>
          <t>кор</t>
        </is>
      </c>
      <c r="X135" s="509">
        <f>IFERROR(SUM(X133:X134),"0")</f>
        <v/>
      </c>
      <c r="Y135" s="509">
        <f>IFERROR(SUM(Y133:Y134),"0")</f>
        <v/>
      </c>
      <c r="Z135" s="509">
        <f>IFERROR(IF(Z133="",0,Z133),"0")+IFERROR(IF(Z134="",0,Z134),"0")</f>
        <v/>
      </c>
      <c r="AA135" s="510" t="n"/>
      <c r="AB135" s="510" t="n"/>
      <c r="AC135" s="510" t="n"/>
    </row>
    <row r="136">
      <c r="A136" s="273" t="n"/>
      <c r="B136" s="273" t="n"/>
      <c r="C136" s="273" t="n"/>
      <c r="D136" s="273" t="n"/>
      <c r="E136" s="273" t="n"/>
      <c r="F136" s="273" t="n"/>
      <c r="G136" s="273" t="n"/>
      <c r="H136" s="273" t="n"/>
      <c r="I136" s="273" t="n"/>
      <c r="J136" s="273" t="n"/>
      <c r="K136" s="273" t="n"/>
      <c r="L136" s="273" t="n"/>
      <c r="M136" s="273" t="n"/>
      <c r="N136" s="273" t="n"/>
      <c r="O136" s="507" t="n"/>
      <c r="P136" s="508" t="inlineStr">
        <is>
          <t>Итого</t>
        </is>
      </c>
      <c r="Q136" s="470" t="n"/>
      <c r="R136" s="470" t="n"/>
      <c r="S136" s="470" t="n"/>
      <c r="T136" s="470" t="n"/>
      <c r="U136" s="470" t="n"/>
      <c r="V136" s="471" t="n"/>
      <c r="W136" s="40" t="inlineStr">
        <is>
          <t>кг</t>
        </is>
      </c>
      <c r="X136" s="509">
        <f>IFERROR(SUMPRODUCT(X133:X134*H133:H134),"0")</f>
        <v/>
      </c>
      <c r="Y136" s="509">
        <f>IFERROR(SUMPRODUCT(Y133:Y134*H133:H134),"0")</f>
        <v/>
      </c>
      <c r="Z136" s="40" t="n"/>
      <c r="AA136" s="510" t="n"/>
      <c r="AB136" s="510" t="n"/>
      <c r="AC136" s="510" t="n"/>
    </row>
    <row r="137" ht="16.5" customHeight="1">
      <c r="A137" s="306" t="inlineStr">
        <is>
          <t>Пекерсы</t>
        </is>
      </c>
      <c r="B137" s="273" t="n"/>
      <c r="C137" s="273" t="n"/>
      <c r="D137" s="273" t="n"/>
      <c r="E137" s="273" t="n"/>
      <c r="F137" s="273" t="n"/>
      <c r="G137" s="273" t="n"/>
      <c r="H137" s="273" t="n"/>
      <c r="I137" s="273" t="n"/>
      <c r="J137" s="273" t="n"/>
      <c r="K137" s="273" t="n"/>
      <c r="L137" s="273" t="n"/>
      <c r="M137" s="273" t="n"/>
      <c r="N137" s="273" t="n"/>
      <c r="O137" s="273" t="n"/>
      <c r="P137" s="273" t="n"/>
      <c r="Q137" s="273" t="n"/>
      <c r="R137" s="273" t="n"/>
      <c r="S137" s="273" t="n"/>
      <c r="T137" s="273" t="n"/>
      <c r="U137" s="273" t="n"/>
      <c r="V137" s="273" t="n"/>
      <c r="W137" s="273" t="n"/>
      <c r="X137" s="273" t="n"/>
      <c r="Y137" s="273" t="n"/>
      <c r="Z137" s="273" t="n"/>
      <c r="AA137" s="306" t="n"/>
      <c r="AB137" s="306" t="n"/>
      <c r="AC137" s="306" t="n"/>
    </row>
    <row r="138" ht="14.25" customHeight="1">
      <c r="A138" s="295" t="inlineStr">
        <is>
          <t>Снеки</t>
        </is>
      </c>
      <c r="B138" s="273" t="n"/>
      <c r="C138" s="273" t="n"/>
      <c r="D138" s="273" t="n"/>
      <c r="E138" s="273" t="n"/>
      <c r="F138" s="273" t="n"/>
      <c r="G138" s="273" t="n"/>
      <c r="H138" s="273" t="n"/>
      <c r="I138" s="273" t="n"/>
      <c r="J138" s="273" t="n"/>
      <c r="K138" s="273" t="n"/>
      <c r="L138" s="273" t="n"/>
      <c r="M138" s="273" t="n"/>
      <c r="N138" s="273" t="n"/>
      <c r="O138" s="273" t="n"/>
      <c r="P138" s="273" t="n"/>
      <c r="Q138" s="273" t="n"/>
      <c r="R138" s="273" t="n"/>
      <c r="S138" s="273" t="n"/>
      <c r="T138" s="273" t="n"/>
      <c r="U138" s="273" t="n"/>
      <c r="V138" s="273" t="n"/>
      <c r="W138" s="273" t="n"/>
      <c r="X138" s="273" t="n"/>
      <c r="Y138" s="273" t="n"/>
      <c r="Z138" s="273" t="n"/>
      <c r="AA138" s="295" t="n"/>
      <c r="AB138" s="295" t="n"/>
      <c r="AC138" s="295" t="n"/>
    </row>
    <row r="139" ht="27" customHeight="1">
      <c r="A139" s="60" t="inlineStr">
        <is>
          <t>SU003596</t>
        </is>
      </c>
      <c r="B139" s="60" t="inlineStr">
        <is>
          <t>P004594</t>
        </is>
      </c>
      <c r="C139" s="34" t="n">
        <v>4301135570</v>
      </c>
      <c r="D139" s="276" t="n">
        <v>4607111035806</v>
      </c>
      <c r="E139" s="462" t="n"/>
      <c r="F139" s="501" t="n">
        <v>0.25</v>
      </c>
      <c r="G139" s="35" t="n">
        <v>12</v>
      </c>
      <c r="H139" s="501" t="n">
        <v>3</v>
      </c>
      <c r="I139" s="501" t="n">
        <v>3.7036</v>
      </c>
      <c r="J139" s="35" t="n">
        <v>70</v>
      </c>
      <c r="K139" s="35" t="inlineStr">
        <is>
          <t>14</t>
        </is>
      </c>
      <c r="L139" s="35" t="inlineStr">
        <is>
          <t>Слой, мин. 1</t>
        </is>
      </c>
      <c r="M139" s="36" t="inlineStr">
        <is>
          <t>МГ</t>
        </is>
      </c>
      <c r="N139" s="36" t="n"/>
      <c r="O139" s="35" t="n">
        <v>180</v>
      </c>
      <c r="P139" s="555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39" s="503" t="n"/>
      <c r="R139" s="503" t="n"/>
      <c r="S139" s="503" t="n"/>
      <c r="T139" s="504" t="n"/>
      <c r="U139" s="37" t="inlineStr"/>
      <c r="V139" s="37" t="inlineStr"/>
      <c r="W139" s="38" t="inlineStr">
        <is>
          <t>кор</t>
        </is>
      </c>
      <c r="X139" s="505" t="n">
        <v>70</v>
      </c>
      <c r="Y139" s="506">
        <f>IFERROR(IF(X139="","",X139),"")</f>
        <v/>
      </c>
      <c r="Z139" s="39">
        <f>IFERROR(IF(X139="","",X139*0.01788),"")</f>
        <v/>
      </c>
      <c r="AA139" s="65" t="inlineStr"/>
      <c r="AB139" s="66" t="inlineStr"/>
      <c r="AC139" s="174" t="inlineStr">
        <is>
          <t>ЕАЭС N RU Д-RU.РА05.В.54714/24</t>
        </is>
      </c>
      <c r="AG139" s="78" t="n"/>
      <c r="AJ139" s="82" t="inlineStr">
        <is>
          <t>Слой</t>
        </is>
      </c>
      <c r="AK139" s="82" t="n">
        <v>14</v>
      </c>
      <c r="BB139" s="175" t="inlineStr">
        <is>
          <t>ПГП</t>
        </is>
      </c>
      <c r="BM139" s="78">
        <f>IFERROR(X139*I139,"0")</f>
        <v/>
      </c>
      <c r="BN139" s="78">
        <f>IFERROR(Y139*I139,"0")</f>
        <v/>
      </c>
      <c r="BO139" s="78">
        <f>IFERROR(X139/J139,"0")</f>
        <v/>
      </c>
      <c r="BP139" s="78">
        <f>IFERROR(Y139/J139,"0")</f>
        <v/>
      </c>
    </row>
    <row r="140">
      <c r="A140" s="285" t="n"/>
      <c r="B140" s="273" t="n"/>
      <c r="C140" s="273" t="n"/>
      <c r="D140" s="273" t="n"/>
      <c r="E140" s="273" t="n"/>
      <c r="F140" s="273" t="n"/>
      <c r="G140" s="273" t="n"/>
      <c r="H140" s="273" t="n"/>
      <c r="I140" s="273" t="n"/>
      <c r="J140" s="273" t="n"/>
      <c r="K140" s="273" t="n"/>
      <c r="L140" s="273" t="n"/>
      <c r="M140" s="273" t="n"/>
      <c r="N140" s="273" t="n"/>
      <c r="O140" s="507" t="n"/>
      <c r="P140" s="508" t="inlineStr">
        <is>
          <t>Итого</t>
        </is>
      </c>
      <c r="Q140" s="470" t="n"/>
      <c r="R140" s="470" t="n"/>
      <c r="S140" s="470" t="n"/>
      <c r="T140" s="470" t="n"/>
      <c r="U140" s="470" t="n"/>
      <c r="V140" s="471" t="n"/>
      <c r="W140" s="40" t="inlineStr">
        <is>
          <t>кор</t>
        </is>
      </c>
      <c r="X140" s="509">
        <f>IFERROR(SUM(X139:X139),"0")</f>
        <v/>
      </c>
      <c r="Y140" s="509">
        <f>IFERROR(SUM(Y139:Y139),"0")</f>
        <v/>
      </c>
      <c r="Z140" s="509">
        <f>IFERROR(IF(Z139="",0,Z139),"0")</f>
        <v/>
      </c>
      <c r="AA140" s="510" t="n"/>
      <c r="AB140" s="510" t="n"/>
      <c r="AC140" s="510" t="n"/>
    </row>
    <row r="141">
      <c r="A141" s="273" t="n"/>
      <c r="B141" s="273" t="n"/>
      <c r="C141" s="273" t="n"/>
      <c r="D141" s="273" t="n"/>
      <c r="E141" s="273" t="n"/>
      <c r="F141" s="273" t="n"/>
      <c r="G141" s="273" t="n"/>
      <c r="H141" s="273" t="n"/>
      <c r="I141" s="273" t="n"/>
      <c r="J141" s="273" t="n"/>
      <c r="K141" s="273" t="n"/>
      <c r="L141" s="273" t="n"/>
      <c r="M141" s="273" t="n"/>
      <c r="N141" s="273" t="n"/>
      <c r="O141" s="507" t="n"/>
      <c r="P141" s="508" t="inlineStr">
        <is>
          <t>Итого</t>
        </is>
      </c>
      <c r="Q141" s="470" t="n"/>
      <c r="R141" s="470" t="n"/>
      <c r="S141" s="470" t="n"/>
      <c r="T141" s="470" t="n"/>
      <c r="U141" s="470" t="n"/>
      <c r="V141" s="471" t="n"/>
      <c r="W141" s="40" t="inlineStr">
        <is>
          <t>кг</t>
        </is>
      </c>
      <c r="X141" s="509">
        <f>IFERROR(SUMPRODUCT(X139:X139*H139:H139),"0")</f>
        <v/>
      </c>
      <c r="Y141" s="509">
        <f>IFERROR(SUMPRODUCT(Y139:Y139*H139:H139),"0")</f>
        <v/>
      </c>
      <c r="Z141" s="40" t="n"/>
      <c r="AA141" s="510" t="n"/>
      <c r="AB141" s="510" t="n"/>
      <c r="AC141" s="510" t="n"/>
    </row>
    <row r="142" ht="16.5" customHeight="1">
      <c r="A142" s="306" t="inlineStr">
        <is>
          <t>Хот-Догстер</t>
        </is>
      </c>
      <c r="B142" s="273" t="n"/>
      <c r="C142" s="273" t="n"/>
      <c r="D142" s="273" t="n"/>
      <c r="E142" s="273" t="n"/>
      <c r="F142" s="273" t="n"/>
      <c r="G142" s="273" t="n"/>
      <c r="H142" s="273" t="n"/>
      <c r="I142" s="273" t="n"/>
      <c r="J142" s="273" t="n"/>
      <c r="K142" s="273" t="n"/>
      <c r="L142" s="273" t="n"/>
      <c r="M142" s="273" t="n"/>
      <c r="N142" s="273" t="n"/>
      <c r="O142" s="273" t="n"/>
      <c r="P142" s="273" t="n"/>
      <c r="Q142" s="273" t="n"/>
      <c r="R142" s="273" t="n"/>
      <c r="S142" s="273" t="n"/>
      <c r="T142" s="273" t="n"/>
      <c r="U142" s="273" t="n"/>
      <c r="V142" s="273" t="n"/>
      <c r="W142" s="273" t="n"/>
      <c r="X142" s="273" t="n"/>
      <c r="Y142" s="273" t="n"/>
      <c r="Z142" s="273" t="n"/>
      <c r="AA142" s="306" t="n"/>
      <c r="AB142" s="306" t="n"/>
      <c r="AC142" s="306" t="n"/>
    </row>
    <row r="143" ht="14.25" customHeight="1">
      <c r="A143" s="295" t="inlineStr">
        <is>
          <t>Снеки</t>
        </is>
      </c>
      <c r="B143" s="273" t="n"/>
      <c r="C143" s="273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  <c r="P143" s="273" t="n"/>
      <c r="Q143" s="273" t="n"/>
      <c r="R143" s="273" t="n"/>
      <c r="S143" s="273" t="n"/>
      <c r="T143" s="273" t="n"/>
      <c r="U143" s="273" t="n"/>
      <c r="V143" s="273" t="n"/>
      <c r="W143" s="273" t="n"/>
      <c r="X143" s="273" t="n"/>
      <c r="Y143" s="273" t="n"/>
      <c r="Z143" s="273" t="n"/>
      <c r="AA143" s="295" t="n"/>
      <c r="AB143" s="295" t="n"/>
      <c r="AC143" s="295" t="n"/>
    </row>
    <row r="144" ht="16.5" customHeight="1">
      <c r="A144" s="60" t="inlineStr">
        <is>
          <t>SU003632</t>
        </is>
      </c>
      <c r="B144" s="60" t="inlineStr">
        <is>
          <t>P004630</t>
        </is>
      </c>
      <c r="C144" s="34" t="n">
        <v>4301135607</v>
      </c>
      <c r="D144" s="276" t="n">
        <v>4607111039613</v>
      </c>
      <c r="E144" s="462" t="n"/>
      <c r="F144" s="501" t="n">
        <v>0.09</v>
      </c>
      <c r="G144" s="35" t="n">
        <v>30</v>
      </c>
      <c r="H144" s="501" t="n">
        <v>2.7</v>
      </c>
      <c r="I144" s="501" t="n">
        <v>3.09</v>
      </c>
      <c r="J144" s="35" t="n">
        <v>126</v>
      </c>
      <c r="K144" s="35" t="inlineStr">
        <is>
          <t>14</t>
        </is>
      </c>
      <c r="L144" s="35" t="inlineStr">
        <is>
          <t>Короб, мин. 1</t>
        </is>
      </c>
      <c r="M144" s="36" t="inlineStr">
        <is>
          <t>МГ</t>
        </is>
      </c>
      <c r="N144" s="36" t="n"/>
      <c r="O144" s="35" t="n">
        <v>180</v>
      </c>
      <c r="P144" s="556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44" s="503" t="n"/>
      <c r="R144" s="503" t="n"/>
      <c r="S144" s="503" t="n"/>
      <c r="T144" s="504" t="n"/>
      <c r="U144" s="37" t="inlineStr"/>
      <c r="V144" s="37" t="inlineStr"/>
      <c r="W144" s="38" t="inlineStr">
        <is>
          <t>кор</t>
        </is>
      </c>
      <c r="X144" s="505" t="n">
        <v>0</v>
      </c>
      <c r="Y144" s="506">
        <f>IFERROR(IF(X144="","",X144),"")</f>
        <v/>
      </c>
      <c r="Z144" s="39">
        <f>IFERROR(IF(X144="","",X144*0.00936),"")</f>
        <v/>
      </c>
      <c r="AA144" s="65" t="inlineStr"/>
      <c r="AB144" s="66" t="inlineStr"/>
      <c r="AC144" s="176" t="inlineStr">
        <is>
          <t>ЕАЭС N RU Д-RU.РА02.В.13267/24</t>
        </is>
      </c>
      <c r="AG144" s="78" t="n"/>
      <c r="AJ144" s="82" t="inlineStr">
        <is>
          <t>Короб</t>
        </is>
      </c>
      <c r="AK144" s="82" t="n">
        <v>1</v>
      </c>
      <c r="BB144" s="177" t="inlineStr">
        <is>
          <t>ПГП</t>
        </is>
      </c>
      <c r="BM144" s="78">
        <f>IFERROR(X144*I144,"0")</f>
        <v/>
      </c>
      <c r="BN144" s="78">
        <f>IFERROR(Y144*I144,"0")</f>
        <v/>
      </c>
      <c r="BO144" s="78">
        <f>IFERROR(X144/J144,"0")</f>
        <v/>
      </c>
      <c r="BP144" s="78">
        <f>IFERROR(Y144/J144,"0")</f>
        <v/>
      </c>
    </row>
    <row r="145">
      <c r="A145" s="285" t="n"/>
      <c r="B145" s="273" t="n"/>
      <c r="C145" s="273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507" t="n"/>
      <c r="P145" s="508" t="inlineStr">
        <is>
          <t>Итого</t>
        </is>
      </c>
      <c r="Q145" s="470" t="n"/>
      <c r="R145" s="470" t="n"/>
      <c r="S145" s="470" t="n"/>
      <c r="T145" s="470" t="n"/>
      <c r="U145" s="470" t="n"/>
      <c r="V145" s="471" t="n"/>
      <c r="W145" s="40" t="inlineStr">
        <is>
          <t>кор</t>
        </is>
      </c>
      <c r="X145" s="509">
        <f>IFERROR(SUM(X144:X144),"0")</f>
        <v/>
      </c>
      <c r="Y145" s="509">
        <f>IFERROR(SUM(Y144:Y144),"0")</f>
        <v/>
      </c>
      <c r="Z145" s="509">
        <f>IFERROR(IF(Z144="",0,Z144),"0")</f>
        <v/>
      </c>
      <c r="AA145" s="510" t="n"/>
      <c r="AB145" s="510" t="n"/>
      <c r="AC145" s="510" t="n"/>
    </row>
    <row r="146">
      <c r="A146" s="273" t="n"/>
      <c r="B146" s="273" t="n"/>
      <c r="C146" s="273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507" t="n"/>
      <c r="P146" s="508" t="inlineStr">
        <is>
          <t>Итого</t>
        </is>
      </c>
      <c r="Q146" s="470" t="n"/>
      <c r="R146" s="470" t="n"/>
      <c r="S146" s="470" t="n"/>
      <c r="T146" s="470" t="n"/>
      <c r="U146" s="470" t="n"/>
      <c r="V146" s="471" t="n"/>
      <c r="W146" s="40" t="inlineStr">
        <is>
          <t>кг</t>
        </is>
      </c>
      <c r="X146" s="509">
        <f>IFERROR(SUMPRODUCT(X144:X144*H144:H144),"0")</f>
        <v/>
      </c>
      <c r="Y146" s="509">
        <f>IFERROR(SUMPRODUCT(Y144:Y144*H144:H144),"0")</f>
        <v/>
      </c>
      <c r="Z146" s="40" t="n"/>
      <c r="AA146" s="510" t="n"/>
      <c r="AB146" s="510" t="n"/>
      <c r="AC146" s="510" t="n"/>
    </row>
    <row r="147" ht="16.5" customHeight="1">
      <c r="A147" s="306" t="inlineStr">
        <is>
          <t>Супермени</t>
        </is>
      </c>
      <c r="B147" s="273" t="n"/>
      <c r="C147" s="273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  <c r="P147" s="273" t="n"/>
      <c r="Q147" s="273" t="n"/>
      <c r="R147" s="273" t="n"/>
      <c r="S147" s="273" t="n"/>
      <c r="T147" s="273" t="n"/>
      <c r="U147" s="273" t="n"/>
      <c r="V147" s="273" t="n"/>
      <c r="W147" s="273" t="n"/>
      <c r="X147" s="273" t="n"/>
      <c r="Y147" s="273" t="n"/>
      <c r="Z147" s="273" t="n"/>
      <c r="AA147" s="306" t="n"/>
      <c r="AB147" s="306" t="n"/>
      <c r="AC147" s="306" t="n"/>
    </row>
    <row r="148" ht="14.25" customHeight="1">
      <c r="A148" s="295" t="inlineStr">
        <is>
          <t>Пельмени ПГП</t>
        </is>
      </c>
      <c r="B148" s="273" t="n"/>
      <c r="C148" s="273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  <c r="P148" s="273" t="n"/>
      <c r="Q148" s="273" t="n"/>
      <c r="R148" s="273" t="n"/>
      <c r="S148" s="273" t="n"/>
      <c r="T148" s="273" t="n"/>
      <c r="U148" s="273" t="n"/>
      <c r="V148" s="273" t="n"/>
      <c r="W148" s="273" t="n"/>
      <c r="X148" s="273" t="n"/>
      <c r="Y148" s="273" t="n"/>
      <c r="Z148" s="273" t="n"/>
      <c r="AA148" s="295" t="n"/>
      <c r="AB148" s="295" t="n"/>
      <c r="AC148" s="295" t="n"/>
    </row>
    <row r="149" ht="27" customHeight="1">
      <c r="A149" s="60" t="inlineStr">
        <is>
          <t>SU002177</t>
        </is>
      </c>
      <c r="B149" s="60" t="inlineStr">
        <is>
          <t>P004523</t>
        </is>
      </c>
      <c r="C149" s="34" t="n">
        <v>4301135540</v>
      </c>
      <c r="D149" s="276" t="n">
        <v>4607111035646</v>
      </c>
      <c r="E149" s="462" t="n"/>
      <c r="F149" s="501" t="n">
        <v>0.2</v>
      </c>
      <c r="G149" s="35" t="n">
        <v>8</v>
      </c>
      <c r="H149" s="501" t="n">
        <v>1.6</v>
      </c>
      <c r="I149" s="501" t="n">
        <v>2.12</v>
      </c>
      <c r="J149" s="35" t="n">
        <v>72</v>
      </c>
      <c r="K149" s="35" t="inlineStr">
        <is>
          <t>6</t>
        </is>
      </c>
      <c r="L149" s="35" t="inlineStr">
        <is>
          <t>Короб, мин. 1</t>
        </is>
      </c>
      <c r="M149" s="36" t="inlineStr">
        <is>
          <t>МГ</t>
        </is>
      </c>
      <c r="N149" s="36" t="n"/>
      <c r="O149" s="35" t="n">
        <v>180</v>
      </c>
      <c r="P149" s="557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49" s="503" t="n"/>
      <c r="R149" s="503" t="n"/>
      <c r="S149" s="503" t="n"/>
      <c r="T149" s="504" t="n"/>
      <c r="U149" s="37" t="inlineStr"/>
      <c r="V149" s="37" t="inlineStr"/>
      <c r="W149" s="38" t="inlineStr">
        <is>
          <t>кор</t>
        </is>
      </c>
      <c r="X149" s="505" t="n">
        <v>0</v>
      </c>
      <c r="Y149" s="506">
        <f>IFERROR(IF(X149="","",X149),"")</f>
        <v/>
      </c>
      <c r="Z149" s="39">
        <f>IFERROR(IF(X149="","",X149*0.01157),"")</f>
        <v/>
      </c>
      <c r="AA149" s="65" t="inlineStr"/>
      <c r="AB149" s="66" t="inlineStr"/>
      <c r="AC149" s="178" t="inlineStr">
        <is>
          <t>ЕАЭС N RU Д-RU.РА02.В.69059/24</t>
        </is>
      </c>
      <c r="AG149" s="78" t="n"/>
      <c r="AJ149" s="82" t="inlineStr">
        <is>
          <t>Короб</t>
        </is>
      </c>
      <c r="AK149" s="82" t="n">
        <v>1</v>
      </c>
      <c r="BB149" s="179" t="inlineStr">
        <is>
          <t>ПГП</t>
        </is>
      </c>
      <c r="BM149" s="78">
        <f>IFERROR(X149*I149,"0")</f>
        <v/>
      </c>
      <c r="BN149" s="78">
        <f>IFERROR(Y149*I149,"0")</f>
        <v/>
      </c>
      <c r="BO149" s="78">
        <f>IFERROR(X149/J149,"0")</f>
        <v/>
      </c>
      <c r="BP149" s="78">
        <f>IFERROR(Y149/J149,"0")</f>
        <v/>
      </c>
    </row>
    <row r="150">
      <c r="A150" s="285" t="n"/>
      <c r="B150" s="273" t="n"/>
      <c r="C150" s="273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507" t="n"/>
      <c r="P150" s="508" t="inlineStr">
        <is>
          <t>Итого</t>
        </is>
      </c>
      <c r="Q150" s="470" t="n"/>
      <c r="R150" s="470" t="n"/>
      <c r="S150" s="470" t="n"/>
      <c r="T150" s="470" t="n"/>
      <c r="U150" s="470" t="n"/>
      <c r="V150" s="471" t="n"/>
      <c r="W150" s="40" t="inlineStr">
        <is>
          <t>кор</t>
        </is>
      </c>
      <c r="X150" s="509">
        <f>IFERROR(SUM(X149:X149),"0")</f>
        <v/>
      </c>
      <c r="Y150" s="509">
        <f>IFERROR(SUM(Y149:Y149),"0")</f>
        <v/>
      </c>
      <c r="Z150" s="509">
        <f>IFERROR(IF(Z149="",0,Z149),"0")</f>
        <v/>
      </c>
      <c r="AA150" s="510" t="n"/>
      <c r="AB150" s="510" t="n"/>
      <c r="AC150" s="510" t="n"/>
    </row>
    <row r="151">
      <c r="A151" s="273" t="n"/>
      <c r="B151" s="273" t="n"/>
      <c r="C151" s="273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507" t="n"/>
      <c r="P151" s="508" t="inlineStr">
        <is>
          <t>Итого</t>
        </is>
      </c>
      <c r="Q151" s="470" t="n"/>
      <c r="R151" s="470" t="n"/>
      <c r="S151" s="470" t="n"/>
      <c r="T151" s="470" t="n"/>
      <c r="U151" s="470" t="n"/>
      <c r="V151" s="471" t="n"/>
      <c r="W151" s="40" t="inlineStr">
        <is>
          <t>кг</t>
        </is>
      </c>
      <c r="X151" s="509">
        <f>IFERROR(SUMPRODUCT(X149:X149*H149:H149),"0")</f>
        <v/>
      </c>
      <c r="Y151" s="509">
        <f>IFERROR(SUMPRODUCT(Y149:Y149*H149:H149),"0")</f>
        <v/>
      </c>
      <c r="Z151" s="40" t="n"/>
      <c r="AA151" s="510" t="n"/>
      <c r="AB151" s="510" t="n"/>
      <c r="AC151" s="510" t="n"/>
    </row>
    <row r="152" ht="16.5" customHeight="1">
      <c r="A152" s="306" t="inlineStr">
        <is>
          <t>Чебуманы</t>
        </is>
      </c>
      <c r="B152" s="273" t="n"/>
      <c r="C152" s="273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  <c r="P152" s="273" t="n"/>
      <c r="Q152" s="273" t="n"/>
      <c r="R152" s="273" t="n"/>
      <c r="S152" s="273" t="n"/>
      <c r="T152" s="273" t="n"/>
      <c r="U152" s="273" t="n"/>
      <c r="V152" s="273" t="n"/>
      <c r="W152" s="273" t="n"/>
      <c r="X152" s="273" t="n"/>
      <c r="Y152" s="273" t="n"/>
      <c r="Z152" s="273" t="n"/>
      <c r="AA152" s="306" t="n"/>
      <c r="AB152" s="306" t="n"/>
      <c r="AC152" s="306" t="n"/>
    </row>
    <row r="153" ht="14.25" customHeight="1">
      <c r="A153" s="295" t="inlineStr">
        <is>
          <t>Снеки</t>
        </is>
      </c>
      <c r="B153" s="273" t="n"/>
      <c r="C153" s="273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  <c r="P153" s="273" t="n"/>
      <c r="Q153" s="273" t="n"/>
      <c r="R153" s="273" t="n"/>
      <c r="S153" s="273" t="n"/>
      <c r="T153" s="273" t="n"/>
      <c r="U153" s="273" t="n"/>
      <c r="V153" s="273" t="n"/>
      <c r="W153" s="273" t="n"/>
      <c r="X153" s="273" t="n"/>
      <c r="Y153" s="273" t="n"/>
      <c r="Z153" s="273" t="n"/>
      <c r="AA153" s="295" t="n"/>
      <c r="AB153" s="295" t="n"/>
      <c r="AC153" s="295" t="n"/>
    </row>
    <row r="154" ht="27" customHeight="1">
      <c r="A154" s="60" t="inlineStr">
        <is>
          <t>SU003601</t>
        </is>
      </c>
      <c r="B154" s="60" t="inlineStr">
        <is>
          <t>P004597</t>
        </is>
      </c>
      <c r="C154" s="34" t="n">
        <v>4301135591</v>
      </c>
      <c r="D154" s="276" t="n">
        <v>4607111036568</v>
      </c>
      <c r="E154" s="462" t="n"/>
      <c r="F154" s="501" t="n">
        <v>0.28</v>
      </c>
      <c r="G154" s="35" t="n">
        <v>6</v>
      </c>
      <c r="H154" s="501" t="n">
        <v>1.68</v>
      </c>
      <c r="I154" s="501" t="n">
        <v>2.1018</v>
      </c>
      <c r="J154" s="35" t="n">
        <v>140</v>
      </c>
      <c r="K154" s="35" t="inlineStr">
        <is>
          <t>14</t>
        </is>
      </c>
      <c r="L154" s="35" t="inlineStr">
        <is>
          <t>Короб, мин. 1</t>
        </is>
      </c>
      <c r="M154" s="36" t="inlineStr">
        <is>
          <t>МГ</t>
        </is>
      </c>
      <c r="N154" s="36" t="n"/>
      <c r="O154" s="35" t="n">
        <v>180</v>
      </c>
      <c r="P154" s="558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54" s="503" t="n"/>
      <c r="R154" s="503" t="n"/>
      <c r="S154" s="503" t="n"/>
      <c r="T154" s="504" t="n"/>
      <c r="U154" s="37" t="inlineStr"/>
      <c r="V154" s="37" t="inlineStr"/>
      <c r="W154" s="38" t="inlineStr">
        <is>
          <t>кор</t>
        </is>
      </c>
      <c r="X154" s="505" t="n">
        <v>0</v>
      </c>
      <c r="Y154" s="506">
        <f>IFERROR(IF(X154="","",X154),"")</f>
        <v/>
      </c>
      <c r="Z154" s="39">
        <f>IFERROR(IF(X154="","",X154*0.00941),"")</f>
        <v/>
      </c>
      <c r="AA154" s="65" t="inlineStr"/>
      <c r="AB154" s="66" t="inlineStr"/>
      <c r="AC154" s="180" t="inlineStr">
        <is>
          <t>ЕАЭС N RU Д-RU.РА02.В.49579/23, ЕАЭС N RU Д-RU.РА07.В.66009/22</t>
        </is>
      </c>
      <c r="AG154" s="78" t="n"/>
      <c r="AJ154" s="82" t="inlineStr">
        <is>
          <t>Короб</t>
        </is>
      </c>
      <c r="AK154" s="82" t="n">
        <v>1</v>
      </c>
      <c r="BB154" s="181" t="inlineStr">
        <is>
          <t>ПГП</t>
        </is>
      </c>
      <c r="BM154" s="78">
        <f>IFERROR(X154*I154,"0")</f>
        <v/>
      </c>
      <c r="BN154" s="78">
        <f>IFERROR(Y154*I154,"0")</f>
        <v/>
      </c>
      <c r="BO154" s="78">
        <f>IFERROR(X154/J154,"0")</f>
        <v/>
      </c>
      <c r="BP154" s="78">
        <f>IFERROR(Y154/J154,"0")</f>
        <v/>
      </c>
    </row>
    <row r="155">
      <c r="A155" s="285" t="n"/>
      <c r="B155" s="273" t="n"/>
      <c r="C155" s="273" t="n"/>
      <c r="D155" s="273" t="n"/>
      <c r="E155" s="273" t="n"/>
      <c r="F155" s="273" t="n"/>
      <c r="G155" s="273" t="n"/>
      <c r="H155" s="273" t="n"/>
      <c r="I155" s="273" t="n"/>
      <c r="J155" s="273" t="n"/>
      <c r="K155" s="273" t="n"/>
      <c r="L155" s="273" t="n"/>
      <c r="M155" s="273" t="n"/>
      <c r="N155" s="273" t="n"/>
      <c r="O155" s="507" t="n"/>
      <c r="P155" s="508" t="inlineStr">
        <is>
          <t>Итого</t>
        </is>
      </c>
      <c r="Q155" s="470" t="n"/>
      <c r="R155" s="470" t="n"/>
      <c r="S155" s="470" t="n"/>
      <c r="T155" s="470" t="n"/>
      <c r="U155" s="470" t="n"/>
      <c r="V155" s="471" t="n"/>
      <c r="W155" s="40" t="inlineStr">
        <is>
          <t>кор</t>
        </is>
      </c>
      <c r="X155" s="509">
        <f>IFERROR(SUM(X154:X154),"0")</f>
        <v/>
      </c>
      <c r="Y155" s="509">
        <f>IFERROR(SUM(Y154:Y154),"0")</f>
        <v/>
      </c>
      <c r="Z155" s="509">
        <f>IFERROR(IF(Z154="",0,Z154),"0")</f>
        <v/>
      </c>
      <c r="AA155" s="510" t="n"/>
      <c r="AB155" s="510" t="n"/>
      <c r="AC155" s="510" t="n"/>
    </row>
    <row r="156">
      <c r="A156" s="273" t="n"/>
      <c r="B156" s="273" t="n"/>
      <c r="C156" s="273" t="n"/>
      <c r="D156" s="273" t="n"/>
      <c r="E156" s="273" t="n"/>
      <c r="F156" s="273" t="n"/>
      <c r="G156" s="273" t="n"/>
      <c r="H156" s="273" t="n"/>
      <c r="I156" s="273" t="n"/>
      <c r="J156" s="273" t="n"/>
      <c r="K156" s="273" t="n"/>
      <c r="L156" s="273" t="n"/>
      <c r="M156" s="273" t="n"/>
      <c r="N156" s="273" t="n"/>
      <c r="O156" s="507" t="n"/>
      <c r="P156" s="508" t="inlineStr">
        <is>
          <t>Итого</t>
        </is>
      </c>
      <c r="Q156" s="470" t="n"/>
      <c r="R156" s="470" t="n"/>
      <c r="S156" s="470" t="n"/>
      <c r="T156" s="470" t="n"/>
      <c r="U156" s="470" t="n"/>
      <c r="V156" s="471" t="n"/>
      <c r="W156" s="40" t="inlineStr">
        <is>
          <t>кг</t>
        </is>
      </c>
      <c r="X156" s="509">
        <f>IFERROR(SUMPRODUCT(X154:X154*H154:H154),"0")</f>
        <v/>
      </c>
      <c r="Y156" s="509">
        <f>IFERROR(SUMPRODUCT(Y154:Y154*H154:H154),"0")</f>
        <v/>
      </c>
      <c r="Z156" s="40" t="n"/>
      <c r="AA156" s="510" t="n"/>
      <c r="AB156" s="510" t="n"/>
      <c r="AC156" s="510" t="n"/>
    </row>
    <row r="157" ht="27.75" customHeight="1">
      <c r="A157" s="305" t="inlineStr">
        <is>
          <t>No Name</t>
        </is>
      </c>
      <c r="B157" s="500" t="n"/>
      <c r="C157" s="500" t="n"/>
      <c r="D157" s="500" t="n"/>
      <c r="E157" s="500" t="n"/>
      <c r="F157" s="500" t="n"/>
      <c r="G157" s="500" t="n"/>
      <c r="H157" s="500" t="n"/>
      <c r="I157" s="500" t="n"/>
      <c r="J157" s="500" t="n"/>
      <c r="K157" s="500" t="n"/>
      <c r="L157" s="500" t="n"/>
      <c r="M157" s="500" t="n"/>
      <c r="N157" s="500" t="n"/>
      <c r="O157" s="500" t="n"/>
      <c r="P157" s="500" t="n"/>
      <c r="Q157" s="500" t="n"/>
      <c r="R157" s="500" t="n"/>
      <c r="S157" s="500" t="n"/>
      <c r="T157" s="500" t="n"/>
      <c r="U157" s="500" t="n"/>
      <c r="V157" s="500" t="n"/>
      <c r="W157" s="500" t="n"/>
      <c r="X157" s="500" t="n"/>
      <c r="Y157" s="500" t="n"/>
      <c r="Z157" s="500" t="n"/>
      <c r="AA157" s="52" t="n"/>
      <c r="AB157" s="52" t="n"/>
      <c r="AC157" s="52" t="n"/>
    </row>
    <row r="158" ht="16.5" customHeight="1">
      <c r="A158" s="306" t="inlineStr">
        <is>
          <t>No Name ЗПФ</t>
        </is>
      </c>
      <c r="B158" s="273" t="n"/>
      <c r="C158" s="273" t="n"/>
      <c r="D158" s="273" t="n"/>
      <c r="E158" s="273" t="n"/>
      <c r="F158" s="273" t="n"/>
      <c r="G158" s="273" t="n"/>
      <c r="H158" s="273" t="n"/>
      <c r="I158" s="273" t="n"/>
      <c r="J158" s="273" t="n"/>
      <c r="K158" s="273" t="n"/>
      <c r="L158" s="273" t="n"/>
      <c r="M158" s="273" t="n"/>
      <c r="N158" s="273" t="n"/>
      <c r="O158" s="273" t="n"/>
      <c r="P158" s="273" t="n"/>
      <c r="Q158" s="273" t="n"/>
      <c r="R158" s="273" t="n"/>
      <c r="S158" s="273" t="n"/>
      <c r="T158" s="273" t="n"/>
      <c r="U158" s="273" t="n"/>
      <c r="V158" s="273" t="n"/>
      <c r="W158" s="273" t="n"/>
      <c r="X158" s="273" t="n"/>
      <c r="Y158" s="273" t="n"/>
      <c r="Z158" s="273" t="n"/>
      <c r="AA158" s="306" t="n"/>
      <c r="AB158" s="306" t="n"/>
      <c r="AC158" s="306" t="n"/>
    </row>
    <row r="159" ht="14.25" customHeight="1">
      <c r="A159" s="295" t="inlineStr">
        <is>
          <t>Пельмени</t>
        </is>
      </c>
      <c r="B159" s="273" t="n"/>
      <c r="C159" s="273" t="n"/>
      <c r="D159" s="273" t="n"/>
      <c r="E159" s="273" t="n"/>
      <c r="F159" s="273" t="n"/>
      <c r="G159" s="273" t="n"/>
      <c r="H159" s="273" t="n"/>
      <c r="I159" s="273" t="n"/>
      <c r="J159" s="273" t="n"/>
      <c r="K159" s="273" t="n"/>
      <c r="L159" s="273" t="n"/>
      <c r="M159" s="273" t="n"/>
      <c r="N159" s="273" t="n"/>
      <c r="O159" s="273" t="n"/>
      <c r="P159" s="273" t="n"/>
      <c r="Q159" s="273" t="n"/>
      <c r="R159" s="273" t="n"/>
      <c r="S159" s="273" t="n"/>
      <c r="T159" s="273" t="n"/>
      <c r="U159" s="273" t="n"/>
      <c r="V159" s="273" t="n"/>
      <c r="W159" s="273" t="n"/>
      <c r="X159" s="273" t="n"/>
      <c r="Y159" s="273" t="n"/>
      <c r="Z159" s="273" t="n"/>
      <c r="AA159" s="295" t="n"/>
      <c r="AB159" s="295" t="n"/>
      <c r="AC159" s="295" t="n"/>
    </row>
    <row r="160" ht="16.5" customHeight="1">
      <c r="A160" s="60" t="inlineStr">
        <is>
          <t>SU002396</t>
        </is>
      </c>
      <c r="B160" s="60" t="inlineStr">
        <is>
          <t>P004620</t>
        </is>
      </c>
      <c r="C160" s="34" t="n">
        <v>4301071062</v>
      </c>
      <c r="D160" s="276" t="n">
        <v>4607111036384</v>
      </c>
      <c r="E160" s="462" t="n"/>
      <c r="F160" s="501" t="n">
        <v>5</v>
      </c>
      <c r="G160" s="35" t="n">
        <v>1</v>
      </c>
      <c r="H160" s="501" t="n">
        <v>5</v>
      </c>
      <c r="I160" s="501" t="n">
        <v>5.2106</v>
      </c>
      <c r="J160" s="35" t="n">
        <v>144</v>
      </c>
      <c r="K160" s="35" t="inlineStr">
        <is>
          <t>12</t>
        </is>
      </c>
      <c r="L160" s="35" t="inlineStr">
        <is>
          <t>Короб, мин. 1</t>
        </is>
      </c>
      <c r="M160" s="36" t="inlineStr">
        <is>
          <t>МГ</t>
        </is>
      </c>
      <c r="N160" s="36" t="n"/>
      <c r="O160" s="35" t="n">
        <v>180</v>
      </c>
      <c r="P160" s="559">
        <f>HYPERLINK("https://abi.ru/products/Замороженные/No Name/No Name ЗПФ/Пельмени/P004620/","Пельмени «Зареченские» Весовые Сфера ТМ «No name» 5 кг")</f>
        <v/>
      </c>
      <c r="Q160" s="503" t="n"/>
      <c r="R160" s="503" t="n"/>
      <c r="S160" s="503" t="n"/>
      <c r="T160" s="504" t="n"/>
      <c r="U160" s="37" t="inlineStr"/>
      <c r="V160" s="37" t="inlineStr"/>
      <c r="W160" s="38" t="inlineStr">
        <is>
          <t>кор</t>
        </is>
      </c>
      <c r="X160" s="505" t="n">
        <v>0</v>
      </c>
      <c r="Y160" s="506">
        <f>IFERROR(IF(X160="","",X160),"")</f>
        <v/>
      </c>
      <c r="Z160" s="39">
        <f>IFERROR(IF(X160="","",X160*0.00866),"")</f>
        <v/>
      </c>
      <c r="AA160" s="65" t="inlineStr"/>
      <c r="AB160" s="66" t="inlineStr"/>
      <c r="AC160" s="182" t="inlineStr">
        <is>
          <t>ЕАЭС N RU Д-RU.РА05.В.15328/24</t>
        </is>
      </c>
      <c r="AG160" s="78" t="n"/>
      <c r="AJ160" s="82" t="inlineStr">
        <is>
          <t>Короб</t>
        </is>
      </c>
      <c r="AK160" s="82" t="n">
        <v>1</v>
      </c>
      <c r="BB160" s="183" t="inlineStr">
        <is>
          <t>ЗПФ</t>
        </is>
      </c>
      <c r="BM160" s="78">
        <f>IFERROR(X160*I160,"0")</f>
        <v/>
      </c>
      <c r="BN160" s="78">
        <f>IFERROR(Y160*I160,"0")</f>
        <v/>
      </c>
      <c r="BO160" s="78">
        <f>IFERROR(X160/J160,"0")</f>
        <v/>
      </c>
      <c r="BP160" s="78">
        <f>IFERROR(Y160/J160,"0")</f>
        <v/>
      </c>
    </row>
    <row r="161" ht="27" customHeight="1">
      <c r="A161" s="60" t="inlineStr">
        <is>
          <t>SU000197</t>
        </is>
      </c>
      <c r="B161" s="60" t="inlineStr">
        <is>
          <t>P004472</t>
        </is>
      </c>
      <c r="C161" s="34" t="n">
        <v>4301071050</v>
      </c>
      <c r="D161" s="276" t="n">
        <v>4607111036216</v>
      </c>
      <c r="E161" s="462" t="n"/>
      <c r="F161" s="501" t="n">
        <v>5</v>
      </c>
      <c r="G161" s="35" t="n">
        <v>1</v>
      </c>
      <c r="H161" s="501" t="n">
        <v>5</v>
      </c>
      <c r="I161" s="501" t="n">
        <v>5.2132</v>
      </c>
      <c r="J161" s="35" t="n">
        <v>144</v>
      </c>
      <c r="K161" s="35" t="inlineStr">
        <is>
          <t>12</t>
        </is>
      </c>
      <c r="L161" s="35" t="inlineStr">
        <is>
          <t>Короб, мин. 1</t>
        </is>
      </c>
      <c r="M161" s="36" t="inlineStr">
        <is>
          <t>МГ</t>
        </is>
      </c>
      <c r="N161" s="36" t="n"/>
      <c r="O161" s="35" t="n">
        <v>180</v>
      </c>
      <c r="P161" s="560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61" s="503" t="n"/>
      <c r="R161" s="503" t="n"/>
      <c r="S161" s="503" t="n"/>
      <c r="T161" s="504" t="n"/>
      <c r="U161" s="37" t="inlineStr"/>
      <c r="V161" s="37" t="inlineStr"/>
      <c r="W161" s="38" t="inlineStr">
        <is>
          <t>кор</t>
        </is>
      </c>
      <c r="X161" s="505" t="n">
        <v>0</v>
      </c>
      <c r="Y161" s="506">
        <f>IFERROR(IF(X161="","",X161),"")</f>
        <v/>
      </c>
      <c r="Z161" s="39">
        <f>IFERROR(IF(X161="","",X161*0.00866),"")</f>
        <v/>
      </c>
      <c r="AA161" s="65" t="inlineStr"/>
      <c r="AB161" s="66" t="inlineStr"/>
      <c r="AC161" s="184" t="inlineStr">
        <is>
          <t>ЕАЭС N RU Д-RU.РА08.В.65691/23</t>
        </is>
      </c>
      <c r="AG161" s="78" t="n"/>
      <c r="AJ161" s="82" t="inlineStr">
        <is>
          <t>Короб</t>
        </is>
      </c>
      <c r="AK161" s="82" t="n">
        <v>1</v>
      </c>
      <c r="BB161" s="185" t="inlineStr">
        <is>
          <t>ЗПФ</t>
        </is>
      </c>
      <c r="BM161" s="78">
        <f>IFERROR(X161*I161,"0")</f>
        <v/>
      </c>
      <c r="BN161" s="78">
        <f>IFERROR(Y161*I161,"0")</f>
        <v/>
      </c>
      <c r="BO161" s="78">
        <f>IFERROR(X161/J161,"0")</f>
        <v/>
      </c>
      <c r="BP161" s="78">
        <f>IFERROR(Y161/J161,"0")</f>
        <v/>
      </c>
    </row>
    <row r="162">
      <c r="A162" s="285" t="n"/>
      <c r="B162" s="273" t="n"/>
      <c r="C162" s="273" t="n"/>
      <c r="D162" s="273" t="n"/>
      <c r="E162" s="273" t="n"/>
      <c r="F162" s="273" t="n"/>
      <c r="G162" s="273" t="n"/>
      <c r="H162" s="273" t="n"/>
      <c r="I162" s="273" t="n"/>
      <c r="J162" s="273" t="n"/>
      <c r="K162" s="273" t="n"/>
      <c r="L162" s="273" t="n"/>
      <c r="M162" s="273" t="n"/>
      <c r="N162" s="273" t="n"/>
      <c r="O162" s="507" t="n"/>
      <c r="P162" s="508" t="inlineStr">
        <is>
          <t>Итого</t>
        </is>
      </c>
      <c r="Q162" s="470" t="n"/>
      <c r="R162" s="470" t="n"/>
      <c r="S162" s="470" t="n"/>
      <c r="T162" s="470" t="n"/>
      <c r="U162" s="470" t="n"/>
      <c r="V162" s="471" t="n"/>
      <c r="W162" s="40" t="inlineStr">
        <is>
          <t>кор</t>
        </is>
      </c>
      <c r="X162" s="509">
        <f>IFERROR(SUM(X160:X161),"0")</f>
        <v/>
      </c>
      <c r="Y162" s="509">
        <f>IFERROR(SUM(Y160:Y161),"0")</f>
        <v/>
      </c>
      <c r="Z162" s="509">
        <f>IFERROR(IF(Z160="",0,Z160),"0")+IFERROR(IF(Z161="",0,Z161),"0")</f>
        <v/>
      </c>
      <c r="AA162" s="510" t="n"/>
      <c r="AB162" s="510" t="n"/>
      <c r="AC162" s="510" t="n"/>
    </row>
    <row r="163">
      <c r="A163" s="273" t="n"/>
      <c r="B163" s="273" t="n"/>
      <c r="C163" s="273" t="n"/>
      <c r="D163" s="273" t="n"/>
      <c r="E163" s="273" t="n"/>
      <c r="F163" s="273" t="n"/>
      <c r="G163" s="273" t="n"/>
      <c r="H163" s="273" t="n"/>
      <c r="I163" s="273" t="n"/>
      <c r="J163" s="273" t="n"/>
      <c r="K163" s="273" t="n"/>
      <c r="L163" s="273" t="n"/>
      <c r="M163" s="273" t="n"/>
      <c r="N163" s="273" t="n"/>
      <c r="O163" s="507" t="n"/>
      <c r="P163" s="508" t="inlineStr">
        <is>
          <t>Итого</t>
        </is>
      </c>
      <c r="Q163" s="470" t="n"/>
      <c r="R163" s="470" t="n"/>
      <c r="S163" s="470" t="n"/>
      <c r="T163" s="470" t="n"/>
      <c r="U163" s="470" t="n"/>
      <c r="V163" s="471" t="n"/>
      <c r="W163" s="40" t="inlineStr">
        <is>
          <t>кг</t>
        </is>
      </c>
      <c r="X163" s="509">
        <f>IFERROR(SUMPRODUCT(X160:X161*H160:H161),"0")</f>
        <v/>
      </c>
      <c r="Y163" s="509">
        <f>IFERROR(SUMPRODUCT(Y160:Y161*H160:H161),"0")</f>
        <v/>
      </c>
      <c r="Z163" s="40" t="n"/>
      <c r="AA163" s="510" t="n"/>
      <c r="AB163" s="510" t="n"/>
      <c r="AC163" s="510" t="n"/>
    </row>
    <row r="164" ht="27.75" customHeight="1">
      <c r="A164" s="305" t="inlineStr">
        <is>
          <t>Вязанка</t>
        </is>
      </c>
      <c r="B164" s="500" t="n"/>
      <c r="C164" s="500" t="n"/>
      <c r="D164" s="500" t="n"/>
      <c r="E164" s="500" t="n"/>
      <c r="F164" s="500" t="n"/>
      <c r="G164" s="500" t="n"/>
      <c r="H164" s="500" t="n"/>
      <c r="I164" s="500" t="n"/>
      <c r="J164" s="500" t="n"/>
      <c r="K164" s="500" t="n"/>
      <c r="L164" s="500" t="n"/>
      <c r="M164" s="500" t="n"/>
      <c r="N164" s="500" t="n"/>
      <c r="O164" s="500" t="n"/>
      <c r="P164" s="500" t="n"/>
      <c r="Q164" s="500" t="n"/>
      <c r="R164" s="500" t="n"/>
      <c r="S164" s="500" t="n"/>
      <c r="T164" s="500" t="n"/>
      <c r="U164" s="500" t="n"/>
      <c r="V164" s="500" t="n"/>
      <c r="W164" s="500" t="n"/>
      <c r="X164" s="500" t="n"/>
      <c r="Y164" s="500" t="n"/>
      <c r="Z164" s="500" t="n"/>
      <c r="AA164" s="52" t="n"/>
      <c r="AB164" s="52" t="n"/>
      <c r="AC164" s="52" t="n"/>
    </row>
    <row r="165" ht="16.5" customHeight="1">
      <c r="A165" s="306" t="inlineStr">
        <is>
          <t>Сливушка</t>
        </is>
      </c>
      <c r="B165" s="273" t="n"/>
      <c r="C165" s="273" t="n"/>
      <c r="D165" s="273" t="n"/>
      <c r="E165" s="273" t="n"/>
      <c r="F165" s="273" t="n"/>
      <c r="G165" s="273" t="n"/>
      <c r="H165" s="273" t="n"/>
      <c r="I165" s="273" t="n"/>
      <c r="J165" s="273" t="n"/>
      <c r="K165" s="273" t="n"/>
      <c r="L165" s="273" t="n"/>
      <c r="M165" s="273" t="n"/>
      <c r="N165" s="273" t="n"/>
      <c r="O165" s="273" t="n"/>
      <c r="P165" s="273" t="n"/>
      <c r="Q165" s="273" t="n"/>
      <c r="R165" s="273" t="n"/>
      <c r="S165" s="273" t="n"/>
      <c r="T165" s="273" t="n"/>
      <c r="U165" s="273" t="n"/>
      <c r="V165" s="273" t="n"/>
      <c r="W165" s="273" t="n"/>
      <c r="X165" s="273" t="n"/>
      <c r="Y165" s="273" t="n"/>
      <c r="Z165" s="273" t="n"/>
      <c r="AA165" s="306" t="n"/>
      <c r="AB165" s="306" t="n"/>
      <c r="AC165" s="306" t="n"/>
    </row>
    <row r="166" ht="14.25" customHeight="1">
      <c r="A166" s="295" t="inlineStr">
        <is>
          <t>Наггетсы</t>
        </is>
      </c>
      <c r="B166" s="273" t="n"/>
      <c r="C166" s="273" t="n"/>
      <c r="D166" s="273" t="n"/>
      <c r="E166" s="273" t="n"/>
      <c r="F166" s="273" t="n"/>
      <c r="G166" s="273" t="n"/>
      <c r="H166" s="273" t="n"/>
      <c r="I166" s="273" t="n"/>
      <c r="J166" s="273" t="n"/>
      <c r="K166" s="273" t="n"/>
      <c r="L166" s="273" t="n"/>
      <c r="M166" s="273" t="n"/>
      <c r="N166" s="273" t="n"/>
      <c r="O166" s="273" t="n"/>
      <c r="P166" s="273" t="n"/>
      <c r="Q166" s="273" t="n"/>
      <c r="R166" s="273" t="n"/>
      <c r="S166" s="273" t="n"/>
      <c r="T166" s="273" t="n"/>
      <c r="U166" s="273" t="n"/>
      <c r="V166" s="273" t="n"/>
      <c r="W166" s="273" t="n"/>
      <c r="X166" s="273" t="n"/>
      <c r="Y166" s="273" t="n"/>
      <c r="Z166" s="273" t="n"/>
      <c r="AA166" s="295" t="n"/>
      <c r="AB166" s="295" t="n"/>
      <c r="AC166" s="295" t="n"/>
    </row>
    <row r="167" ht="16.5" customHeight="1">
      <c r="A167" s="60" t="inlineStr">
        <is>
          <t>SU003797</t>
        </is>
      </c>
      <c r="B167" s="60" t="inlineStr">
        <is>
          <t>P004497</t>
        </is>
      </c>
      <c r="C167" s="34" t="n">
        <v>4301132179</v>
      </c>
      <c r="D167" s="276" t="n">
        <v>4607111035691</v>
      </c>
      <c r="E167" s="462" t="n"/>
      <c r="F167" s="501" t="n">
        <v>0.25</v>
      </c>
      <c r="G167" s="35" t="n">
        <v>12</v>
      </c>
      <c r="H167" s="501" t="n">
        <v>3</v>
      </c>
      <c r="I167" s="501" t="n">
        <v>3.388</v>
      </c>
      <c r="J167" s="35" t="n">
        <v>70</v>
      </c>
      <c r="K167" s="35" t="inlineStr">
        <is>
          <t>14</t>
        </is>
      </c>
      <c r="L167" s="35" t="inlineStr">
        <is>
          <t>Слой, мин. 1</t>
        </is>
      </c>
      <c r="M167" s="36" t="inlineStr">
        <is>
          <t>МГ</t>
        </is>
      </c>
      <c r="N167" s="36" t="n"/>
      <c r="O167" s="35" t="n">
        <v>365</v>
      </c>
      <c r="P167" s="561">
        <f>HYPERLINK("https://abi.ru/products/Замороженные/Вязанка/Сливушка/Наггетсы/P004497/","Наггетсы «из печи» Фикс.вес 0,25 ТМ «Вязанка»")</f>
        <v/>
      </c>
      <c r="Q167" s="503" t="n"/>
      <c r="R167" s="503" t="n"/>
      <c r="S167" s="503" t="n"/>
      <c r="T167" s="504" t="n"/>
      <c r="U167" s="37" t="inlineStr"/>
      <c r="V167" s="37" t="inlineStr"/>
      <c r="W167" s="38" t="inlineStr">
        <is>
          <t>кор</t>
        </is>
      </c>
      <c r="X167" s="505" t="n">
        <v>0</v>
      </c>
      <c r="Y167" s="506">
        <f>IFERROR(IF(X167="","",X167),"")</f>
        <v/>
      </c>
      <c r="Z167" s="39">
        <f>IFERROR(IF(X167="","",X167*0.01788),"")</f>
        <v/>
      </c>
      <c r="AA167" s="65" t="inlineStr"/>
      <c r="AB167" s="66" t="inlineStr"/>
      <c r="AC167" s="186" t="inlineStr">
        <is>
          <t>ЕАЭС N RU Д-RU.РА06.В.19349/24</t>
        </is>
      </c>
      <c r="AG167" s="78" t="n"/>
      <c r="AJ167" s="82" t="inlineStr">
        <is>
          <t>Слой</t>
        </is>
      </c>
      <c r="AK167" s="82" t="n">
        <v>14</v>
      </c>
      <c r="BB167" s="187" t="inlineStr">
        <is>
          <t>ПГП</t>
        </is>
      </c>
      <c r="BM167" s="78">
        <f>IFERROR(X167*I167,"0")</f>
        <v/>
      </c>
      <c r="BN167" s="78">
        <f>IFERROR(Y167*I167,"0")</f>
        <v/>
      </c>
      <c r="BO167" s="78">
        <f>IFERROR(X167/J167,"0")</f>
        <v/>
      </c>
      <c r="BP167" s="78">
        <f>IFERROR(Y167/J167,"0")</f>
        <v/>
      </c>
    </row>
    <row r="168" ht="27" customHeight="1">
      <c r="A168" s="60" t="inlineStr">
        <is>
          <t>SU003800</t>
        </is>
      </c>
      <c r="B168" s="60" t="inlineStr">
        <is>
          <t>P004496</t>
        </is>
      </c>
      <c r="C168" s="34" t="n">
        <v>4301132182</v>
      </c>
      <c r="D168" s="276" t="n">
        <v>4607111035721</v>
      </c>
      <c r="E168" s="462" t="n"/>
      <c r="F168" s="501" t="n">
        <v>0.25</v>
      </c>
      <c r="G168" s="35" t="n">
        <v>12</v>
      </c>
      <c r="H168" s="501" t="n">
        <v>3</v>
      </c>
      <c r="I168" s="501" t="n">
        <v>3.388</v>
      </c>
      <c r="J168" s="35" t="n">
        <v>70</v>
      </c>
      <c r="K168" s="35" t="inlineStr">
        <is>
          <t>14</t>
        </is>
      </c>
      <c r="L168" s="35" t="inlineStr">
        <is>
          <t>Слой, мин. 1</t>
        </is>
      </c>
      <c r="M168" s="36" t="inlineStr">
        <is>
          <t>МГ</t>
        </is>
      </c>
      <c r="N168" s="36" t="n"/>
      <c r="O168" s="35" t="n">
        <v>365</v>
      </c>
      <c r="P168" s="562">
        <f>HYPERLINK("https://abi.ru/products/Замороженные/Вязанка/Сливушка/Наггетсы/P004496/","Наггетсы «с индейкой» Фикс.вес 0,25 ТМ «Вязанка»")</f>
        <v/>
      </c>
      <c r="Q168" s="503" t="n"/>
      <c r="R168" s="503" t="n"/>
      <c r="S168" s="503" t="n"/>
      <c r="T168" s="504" t="n"/>
      <c r="U168" s="37" t="inlineStr"/>
      <c r="V168" s="37" t="inlineStr"/>
      <c r="W168" s="38" t="inlineStr">
        <is>
          <t>кор</t>
        </is>
      </c>
      <c r="X168" s="505" t="n">
        <v>0</v>
      </c>
      <c r="Y168" s="506">
        <f>IFERROR(IF(X168="","",X168),"")</f>
        <v/>
      </c>
      <c r="Z168" s="39">
        <f>IFERROR(IF(X168="","",X168*0.01788),"")</f>
        <v/>
      </c>
      <c r="AA168" s="65" t="inlineStr"/>
      <c r="AB168" s="66" t="inlineStr"/>
      <c r="AC168" s="188" t="inlineStr">
        <is>
          <t>ЕАЭС N RU Д-RU.РА04.В.84034/24</t>
        </is>
      </c>
      <c r="AG168" s="78" t="n"/>
      <c r="AJ168" s="82" t="inlineStr">
        <is>
          <t>Слой</t>
        </is>
      </c>
      <c r="AK168" s="82" t="n">
        <v>14</v>
      </c>
      <c r="BB168" s="189" t="inlineStr">
        <is>
          <t>ПГП</t>
        </is>
      </c>
      <c r="BM168" s="78">
        <f>IFERROR(X168*I168,"0")</f>
        <v/>
      </c>
      <c r="BN168" s="78">
        <f>IFERROR(Y168*I168,"0")</f>
        <v/>
      </c>
      <c r="BO168" s="78">
        <f>IFERROR(X168/J168,"0")</f>
        <v/>
      </c>
      <c r="BP168" s="78">
        <f>IFERROR(Y168/J168,"0")</f>
        <v/>
      </c>
    </row>
    <row r="169" ht="27" customHeight="1">
      <c r="A169" s="60" t="inlineStr">
        <is>
          <t>SU003795</t>
        </is>
      </c>
      <c r="B169" s="60" t="inlineStr">
        <is>
          <t>P004535</t>
        </is>
      </c>
      <c r="C169" s="34" t="n">
        <v>4301132170</v>
      </c>
      <c r="D169" s="276" t="n">
        <v>4607111038487</v>
      </c>
      <c r="E169" s="462" t="n"/>
      <c r="F169" s="501" t="n">
        <v>0.25</v>
      </c>
      <c r="G169" s="35" t="n">
        <v>12</v>
      </c>
      <c r="H169" s="501" t="n">
        <v>3</v>
      </c>
      <c r="I169" s="501" t="n">
        <v>3.736</v>
      </c>
      <c r="J169" s="35" t="n">
        <v>70</v>
      </c>
      <c r="K169" s="35" t="inlineStr">
        <is>
          <t>14</t>
        </is>
      </c>
      <c r="L169" s="35" t="inlineStr">
        <is>
          <t>Слой, мин. 1</t>
        </is>
      </c>
      <c r="M169" s="36" t="inlineStr">
        <is>
          <t>МГ</t>
        </is>
      </c>
      <c r="N169" s="36" t="n"/>
      <c r="O169" s="35" t="n">
        <v>180</v>
      </c>
      <c r="P169" s="563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69" s="503" t="n"/>
      <c r="R169" s="503" t="n"/>
      <c r="S169" s="503" t="n"/>
      <c r="T169" s="504" t="n"/>
      <c r="U169" s="37" t="inlineStr"/>
      <c r="V169" s="37" t="inlineStr"/>
      <c r="W169" s="38" t="inlineStr">
        <is>
          <t>кор</t>
        </is>
      </c>
      <c r="X169" s="505" t="n">
        <v>0</v>
      </c>
      <c r="Y169" s="506">
        <f>IFERROR(IF(X169="","",X169),"")</f>
        <v/>
      </c>
      <c r="Z169" s="39">
        <f>IFERROR(IF(X169="","",X169*0.01788),"")</f>
        <v/>
      </c>
      <c r="AA169" s="65" t="inlineStr"/>
      <c r="AB169" s="66" t="inlineStr"/>
      <c r="AC169" s="190" t="inlineStr">
        <is>
          <t>ЕАЭС N RU Д-RU.РА04.В.87517/24</t>
        </is>
      </c>
      <c r="AG169" s="78" t="n"/>
      <c r="AJ169" s="82" t="inlineStr">
        <is>
          <t>Слой</t>
        </is>
      </c>
      <c r="AK169" s="82" t="n">
        <v>14</v>
      </c>
      <c r="BB169" s="191" t="inlineStr">
        <is>
          <t>ПГП</t>
        </is>
      </c>
      <c r="BM169" s="78">
        <f>IFERROR(X169*I169,"0")</f>
        <v/>
      </c>
      <c r="BN169" s="78">
        <f>IFERROR(Y169*I169,"0")</f>
        <v/>
      </c>
      <c r="BO169" s="78">
        <f>IFERROR(X169/J169,"0")</f>
        <v/>
      </c>
      <c r="BP169" s="78">
        <f>IFERROR(Y169/J169,"0")</f>
        <v/>
      </c>
    </row>
    <row r="170">
      <c r="A170" s="285" t="n"/>
      <c r="B170" s="273" t="n"/>
      <c r="C170" s="273" t="n"/>
      <c r="D170" s="273" t="n"/>
      <c r="E170" s="273" t="n"/>
      <c r="F170" s="273" t="n"/>
      <c r="G170" s="273" t="n"/>
      <c r="H170" s="273" t="n"/>
      <c r="I170" s="273" t="n"/>
      <c r="J170" s="273" t="n"/>
      <c r="K170" s="273" t="n"/>
      <c r="L170" s="273" t="n"/>
      <c r="M170" s="273" t="n"/>
      <c r="N170" s="273" t="n"/>
      <c r="O170" s="507" t="n"/>
      <c r="P170" s="508" t="inlineStr">
        <is>
          <t>Итого</t>
        </is>
      </c>
      <c r="Q170" s="470" t="n"/>
      <c r="R170" s="470" t="n"/>
      <c r="S170" s="470" t="n"/>
      <c r="T170" s="470" t="n"/>
      <c r="U170" s="470" t="n"/>
      <c r="V170" s="471" t="n"/>
      <c r="W170" s="40" t="inlineStr">
        <is>
          <t>кор</t>
        </is>
      </c>
      <c r="X170" s="509">
        <f>IFERROR(SUM(X167:X169),"0")</f>
        <v/>
      </c>
      <c r="Y170" s="509">
        <f>IFERROR(SUM(Y167:Y169),"0")</f>
        <v/>
      </c>
      <c r="Z170" s="509">
        <f>IFERROR(IF(Z167="",0,Z167),"0")+IFERROR(IF(Z168="",0,Z168),"0")+IFERROR(IF(Z169="",0,Z169),"0")</f>
        <v/>
      </c>
      <c r="AA170" s="510" t="n"/>
      <c r="AB170" s="510" t="n"/>
      <c r="AC170" s="510" t="n"/>
    </row>
    <row r="171">
      <c r="A171" s="273" t="n"/>
      <c r="B171" s="273" t="n"/>
      <c r="C171" s="273" t="n"/>
      <c r="D171" s="273" t="n"/>
      <c r="E171" s="273" t="n"/>
      <c r="F171" s="273" t="n"/>
      <c r="G171" s="273" t="n"/>
      <c r="H171" s="273" t="n"/>
      <c r="I171" s="273" t="n"/>
      <c r="J171" s="273" t="n"/>
      <c r="K171" s="273" t="n"/>
      <c r="L171" s="273" t="n"/>
      <c r="M171" s="273" t="n"/>
      <c r="N171" s="273" t="n"/>
      <c r="O171" s="507" t="n"/>
      <c r="P171" s="508" t="inlineStr">
        <is>
          <t>Итого</t>
        </is>
      </c>
      <c r="Q171" s="470" t="n"/>
      <c r="R171" s="470" t="n"/>
      <c r="S171" s="470" t="n"/>
      <c r="T171" s="470" t="n"/>
      <c r="U171" s="470" t="n"/>
      <c r="V171" s="471" t="n"/>
      <c r="W171" s="40" t="inlineStr">
        <is>
          <t>кг</t>
        </is>
      </c>
      <c r="X171" s="509">
        <f>IFERROR(SUMPRODUCT(X167:X169*H167:H169),"0")</f>
        <v/>
      </c>
      <c r="Y171" s="509">
        <f>IFERROR(SUMPRODUCT(Y167:Y169*H167:H169),"0")</f>
        <v/>
      </c>
      <c r="Z171" s="40" t="n"/>
      <c r="AA171" s="510" t="n"/>
      <c r="AB171" s="510" t="n"/>
      <c r="AC171" s="510" t="n"/>
    </row>
    <row r="172" ht="14.25" customHeight="1">
      <c r="A172" s="295" t="inlineStr">
        <is>
          <t>Сосиски замороженные</t>
        </is>
      </c>
      <c r="B172" s="273" t="n"/>
      <c r="C172" s="273" t="n"/>
      <c r="D172" s="273" t="n"/>
      <c r="E172" s="273" t="n"/>
      <c r="F172" s="273" t="n"/>
      <c r="G172" s="273" t="n"/>
      <c r="H172" s="273" t="n"/>
      <c r="I172" s="273" t="n"/>
      <c r="J172" s="273" t="n"/>
      <c r="K172" s="273" t="n"/>
      <c r="L172" s="273" t="n"/>
      <c r="M172" s="273" t="n"/>
      <c r="N172" s="273" t="n"/>
      <c r="O172" s="273" t="n"/>
      <c r="P172" s="273" t="n"/>
      <c r="Q172" s="273" t="n"/>
      <c r="R172" s="273" t="n"/>
      <c r="S172" s="273" t="n"/>
      <c r="T172" s="273" t="n"/>
      <c r="U172" s="273" t="n"/>
      <c r="V172" s="273" t="n"/>
      <c r="W172" s="273" t="n"/>
      <c r="X172" s="273" t="n"/>
      <c r="Y172" s="273" t="n"/>
      <c r="Z172" s="273" t="n"/>
      <c r="AA172" s="295" t="n"/>
      <c r="AB172" s="295" t="n"/>
      <c r="AC172" s="295" t="n"/>
    </row>
    <row r="173" ht="27" customHeight="1">
      <c r="A173" s="60" t="inlineStr">
        <is>
          <t>SU003643</t>
        </is>
      </c>
      <c r="B173" s="60" t="inlineStr">
        <is>
          <t>P004612</t>
        </is>
      </c>
      <c r="C173" s="34" t="n">
        <v>4301051855</v>
      </c>
      <c r="D173" s="276" t="n">
        <v>4680115885875</v>
      </c>
      <c r="E173" s="462" t="n"/>
      <c r="F173" s="501" t="n">
        <v>1</v>
      </c>
      <c r="G173" s="35" t="n">
        <v>9</v>
      </c>
      <c r="H173" s="501" t="n">
        <v>9</v>
      </c>
      <c r="I173" s="501" t="n">
        <v>9.435</v>
      </c>
      <c r="J173" s="35" t="n">
        <v>64</v>
      </c>
      <c r="K173" s="35" t="inlineStr">
        <is>
          <t>8</t>
        </is>
      </c>
      <c r="L173" s="35" t="inlineStr">
        <is>
          <t>Короб, мин. 1</t>
        </is>
      </c>
      <c r="M173" s="36" t="inlineStr">
        <is>
          <t>СК2</t>
        </is>
      </c>
      <c r="N173" s="36" t="n"/>
      <c r="O173" s="35" t="n">
        <v>365</v>
      </c>
      <c r="P173" s="564" t="inlineStr">
        <is>
          <t>Сосиски замороженные «Сосиски с сыром» Весовой ТМ «Вязанка» для корн-догов</t>
        </is>
      </c>
      <c r="Q173" s="503" t="n"/>
      <c r="R173" s="503" t="n"/>
      <c r="S173" s="503" t="n"/>
      <c r="T173" s="504" t="n"/>
      <c r="U173" s="37" t="inlineStr"/>
      <c r="V173" s="37" t="inlineStr"/>
      <c r="W173" s="38" t="inlineStr">
        <is>
          <t>кор</t>
        </is>
      </c>
      <c r="X173" s="505" t="n">
        <v>0</v>
      </c>
      <c r="Y173" s="506">
        <f>IFERROR(IF(X173="","",X173),"")</f>
        <v/>
      </c>
      <c r="Z173" s="39">
        <f>IFERROR(IF(X173="","",X173*0.01898),"")</f>
        <v/>
      </c>
      <c r="AA173" s="65" t="inlineStr"/>
      <c r="AB173" s="66" t="inlineStr"/>
      <c r="AC173" s="192" t="inlineStr">
        <is>
          <t>ЕАЭС N RU Д-RU.РА04.В.54012/25</t>
        </is>
      </c>
      <c r="AG173" s="78" t="n"/>
      <c r="AJ173" s="82" t="inlineStr">
        <is>
          <t>Короб</t>
        </is>
      </c>
      <c r="AK173" s="82" t="n">
        <v>1</v>
      </c>
      <c r="BB173" s="193" t="inlineStr">
        <is>
          <t>КИЗ</t>
        </is>
      </c>
      <c r="BM173" s="78">
        <f>IFERROR(X173*I173,"0")</f>
        <v/>
      </c>
      <c r="BN173" s="78">
        <f>IFERROR(Y173*I173,"0")</f>
        <v/>
      </c>
      <c r="BO173" s="78">
        <f>IFERROR(X173/J173,"0")</f>
        <v/>
      </c>
      <c r="BP173" s="78">
        <f>IFERROR(Y173/J173,"0")</f>
        <v/>
      </c>
    </row>
    <row r="174">
      <c r="A174" s="285" t="n"/>
      <c r="B174" s="273" t="n"/>
      <c r="C174" s="273" t="n"/>
      <c r="D174" s="273" t="n"/>
      <c r="E174" s="273" t="n"/>
      <c r="F174" s="273" t="n"/>
      <c r="G174" s="273" t="n"/>
      <c r="H174" s="273" t="n"/>
      <c r="I174" s="273" t="n"/>
      <c r="J174" s="273" t="n"/>
      <c r="K174" s="273" t="n"/>
      <c r="L174" s="273" t="n"/>
      <c r="M174" s="273" t="n"/>
      <c r="N174" s="273" t="n"/>
      <c r="O174" s="507" t="n"/>
      <c r="P174" s="508" t="inlineStr">
        <is>
          <t>Итого</t>
        </is>
      </c>
      <c r="Q174" s="470" t="n"/>
      <c r="R174" s="470" t="n"/>
      <c r="S174" s="470" t="n"/>
      <c r="T174" s="470" t="n"/>
      <c r="U174" s="470" t="n"/>
      <c r="V174" s="471" t="n"/>
      <c r="W174" s="40" t="inlineStr">
        <is>
          <t>кор</t>
        </is>
      </c>
      <c r="X174" s="509">
        <f>IFERROR(SUM(X173:X173),"0")</f>
        <v/>
      </c>
      <c r="Y174" s="509">
        <f>IFERROR(SUM(Y173:Y173),"0")</f>
        <v/>
      </c>
      <c r="Z174" s="509">
        <f>IFERROR(IF(Z173="",0,Z173),"0")</f>
        <v/>
      </c>
      <c r="AA174" s="510" t="n"/>
      <c r="AB174" s="510" t="n"/>
      <c r="AC174" s="510" t="n"/>
    </row>
    <row r="175">
      <c r="A175" s="273" t="n"/>
      <c r="B175" s="273" t="n"/>
      <c r="C175" s="273" t="n"/>
      <c r="D175" s="273" t="n"/>
      <c r="E175" s="273" t="n"/>
      <c r="F175" s="273" t="n"/>
      <c r="G175" s="273" t="n"/>
      <c r="H175" s="273" t="n"/>
      <c r="I175" s="273" t="n"/>
      <c r="J175" s="273" t="n"/>
      <c r="K175" s="273" t="n"/>
      <c r="L175" s="273" t="n"/>
      <c r="M175" s="273" t="n"/>
      <c r="N175" s="273" t="n"/>
      <c r="O175" s="507" t="n"/>
      <c r="P175" s="508" t="inlineStr">
        <is>
          <t>Итого</t>
        </is>
      </c>
      <c r="Q175" s="470" t="n"/>
      <c r="R175" s="470" t="n"/>
      <c r="S175" s="470" t="n"/>
      <c r="T175" s="470" t="n"/>
      <c r="U175" s="470" t="n"/>
      <c r="V175" s="471" t="n"/>
      <c r="W175" s="40" t="inlineStr">
        <is>
          <t>кг</t>
        </is>
      </c>
      <c r="X175" s="509">
        <f>IFERROR(SUMPRODUCT(X173:X173*H173:H173),"0")</f>
        <v/>
      </c>
      <c r="Y175" s="509">
        <f>IFERROR(SUMPRODUCT(Y173:Y173*H173:H173),"0")</f>
        <v/>
      </c>
      <c r="Z175" s="40" t="n"/>
      <c r="AA175" s="510" t="n"/>
      <c r="AB175" s="510" t="n"/>
      <c r="AC175" s="510" t="n"/>
    </row>
    <row r="176" ht="27.75" customHeight="1">
      <c r="A176" s="305" t="inlineStr">
        <is>
          <t>Стародворье</t>
        </is>
      </c>
      <c r="B176" s="500" t="n"/>
      <c r="C176" s="500" t="n"/>
      <c r="D176" s="500" t="n"/>
      <c r="E176" s="500" t="n"/>
      <c r="F176" s="500" t="n"/>
      <c r="G176" s="500" t="n"/>
      <c r="H176" s="500" t="n"/>
      <c r="I176" s="500" t="n"/>
      <c r="J176" s="500" t="n"/>
      <c r="K176" s="500" t="n"/>
      <c r="L176" s="500" t="n"/>
      <c r="M176" s="500" t="n"/>
      <c r="N176" s="500" t="n"/>
      <c r="O176" s="500" t="n"/>
      <c r="P176" s="500" t="n"/>
      <c r="Q176" s="500" t="n"/>
      <c r="R176" s="500" t="n"/>
      <c r="S176" s="500" t="n"/>
      <c r="T176" s="500" t="n"/>
      <c r="U176" s="500" t="n"/>
      <c r="V176" s="500" t="n"/>
      <c r="W176" s="500" t="n"/>
      <c r="X176" s="500" t="n"/>
      <c r="Y176" s="500" t="n"/>
      <c r="Z176" s="500" t="n"/>
      <c r="AA176" s="52" t="n"/>
      <c r="AB176" s="52" t="n"/>
      <c r="AC176" s="52" t="n"/>
    </row>
    <row r="177" ht="16.5" customHeight="1">
      <c r="A177" s="306" t="inlineStr">
        <is>
          <t>Стародворье ПГП</t>
        </is>
      </c>
      <c r="B177" s="273" t="n"/>
      <c r="C177" s="273" t="n"/>
      <c r="D177" s="273" t="n"/>
      <c r="E177" s="273" t="n"/>
      <c r="F177" s="273" t="n"/>
      <c r="G177" s="273" t="n"/>
      <c r="H177" s="273" t="n"/>
      <c r="I177" s="273" t="n"/>
      <c r="J177" s="273" t="n"/>
      <c r="K177" s="273" t="n"/>
      <c r="L177" s="273" t="n"/>
      <c r="M177" s="273" t="n"/>
      <c r="N177" s="273" t="n"/>
      <c r="O177" s="273" t="n"/>
      <c r="P177" s="273" t="n"/>
      <c r="Q177" s="273" t="n"/>
      <c r="R177" s="273" t="n"/>
      <c r="S177" s="273" t="n"/>
      <c r="T177" s="273" t="n"/>
      <c r="U177" s="273" t="n"/>
      <c r="V177" s="273" t="n"/>
      <c r="W177" s="273" t="n"/>
      <c r="X177" s="273" t="n"/>
      <c r="Y177" s="273" t="n"/>
      <c r="Z177" s="273" t="n"/>
      <c r="AA177" s="306" t="n"/>
      <c r="AB177" s="306" t="n"/>
      <c r="AC177" s="306" t="n"/>
    </row>
    <row r="178" ht="14.25" customHeight="1">
      <c r="A178" s="295" t="inlineStr">
        <is>
          <t>Наггетсы</t>
        </is>
      </c>
      <c r="B178" s="273" t="n"/>
      <c r="C178" s="273" t="n"/>
      <c r="D178" s="273" t="n"/>
      <c r="E178" s="273" t="n"/>
      <c r="F178" s="273" t="n"/>
      <c r="G178" s="273" t="n"/>
      <c r="H178" s="273" t="n"/>
      <c r="I178" s="273" t="n"/>
      <c r="J178" s="273" t="n"/>
      <c r="K178" s="273" t="n"/>
      <c r="L178" s="273" t="n"/>
      <c r="M178" s="273" t="n"/>
      <c r="N178" s="273" t="n"/>
      <c r="O178" s="273" t="n"/>
      <c r="P178" s="273" t="n"/>
      <c r="Q178" s="273" t="n"/>
      <c r="R178" s="273" t="n"/>
      <c r="S178" s="273" t="n"/>
      <c r="T178" s="273" t="n"/>
      <c r="U178" s="273" t="n"/>
      <c r="V178" s="273" t="n"/>
      <c r="W178" s="273" t="n"/>
      <c r="X178" s="273" t="n"/>
      <c r="Y178" s="273" t="n"/>
      <c r="Z178" s="273" t="n"/>
      <c r="AA178" s="295" t="n"/>
      <c r="AB178" s="295" t="n"/>
      <c r="AC178" s="295" t="n"/>
    </row>
    <row r="179" ht="27" customHeight="1">
      <c r="A179" s="60" t="inlineStr">
        <is>
          <t>SU003930</t>
        </is>
      </c>
      <c r="B179" s="60" t="inlineStr">
        <is>
          <t>P005043</t>
        </is>
      </c>
      <c r="C179" s="34" t="n">
        <v>4301132227</v>
      </c>
      <c r="D179" s="276" t="n">
        <v>4620207491133</v>
      </c>
      <c r="E179" s="462" t="n"/>
      <c r="F179" s="501" t="n">
        <v>0.23</v>
      </c>
      <c r="G179" s="35" t="n">
        <v>12</v>
      </c>
      <c r="H179" s="501" t="n">
        <v>2.76</v>
      </c>
      <c r="I179" s="501" t="n">
        <v>2.98</v>
      </c>
      <c r="J179" s="35" t="n">
        <v>70</v>
      </c>
      <c r="K179" s="35" t="inlineStr">
        <is>
          <t>14</t>
        </is>
      </c>
      <c r="L179" s="35" t="inlineStr">
        <is>
          <t>Короб, мин. 1</t>
        </is>
      </c>
      <c r="M179" s="36" t="inlineStr">
        <is>
          <t>МГ</t>
        </is>
      </c>
      <c r="N179" s="36" t="n"/>
      <c r="O179" s="35" t="n">
        <v>180</v>
      </c>
      <c r="P179" s="565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79" s="503" t="n"/>
      <c r="R179" s="503" t="n"/>
      <c r="S179" s="503" t="n"/>
      <c r="T179" s="504" t="n"/>
      <c r="U179" s="37" t="inlineStr"/>
      <c r="V179" s="37" t="inlineStr"/>
      <c r="W179" s="38" t="inlineStr">
        <is>
          <t>кор</t>
        </is>
      </c>
      <c r="X179" s="505" t="n">
        <v>0</v>
      </c>
      <c r="Y179" s="506">
        <f>IFERROR(IF(X179="","",X179),"")</f>
        <v/>
      </c>
      <c r="Z179" s="39">
        <f>IFERROR(IF(X179="","",X179*0.01788),"")</f>
        <v/>
      </c>
      <c r="AA179" s="65" t="inlineStr"/>
      <c r="AB179" s="66" t="inlineStr"/>
      <c r="AC179" s="194" t="inlineStr">
        <is>
          <t>ЕАЭС N RU Д-RU.РА03.В.98877/23</t>
        </is>
      </c>
      <c r="AG179" s="78" t="n"/>
      <c r="AJ179" s="82" t="inlineStr">
        <is>
          <t>Короб</t>
        </is>
      </c>
      <c r="AK179" s="82" t="n">
        <v>1</v>
      </c>
      <c r="BB179" s="195" t="inlineStr">
        <is>
          <t>ПГП</t>
        </is>
      </c>
      <c r="BM179" s="78">
        <f>IFERROR(X179*I179,"0")</f>
        <v/>
      </c>
      <c r="BN179" s="78">
        <f>IFERROR(Y179*I179,"0")</f>
        <v/>
      </c>
      <c r="BO179" s="78">
        <f>IFERROR(X179/J179,"0")</f>
        <v/>
      </c>
      <c r="BP179" s="78">
        <f>IFERROR(Y179/J179,"0")</f>
        <v/>
      </c>
    </row>
    <row r="180">
      <c r="A180" s="285" t="n"/>
      <c r="B180" s="273" t="n"/>
      <c r="C180" s="273" t="n"/>
      <c r="D180" s="273" t="n"/>
      <c r="E180" s="273" t="n"/>
      <c r="F180" s="273" t="n"/>
      <c r="G180" s="273" t="n"/>
      <c r="H180" s="273" t="n"/>
      <c r="I180" s="273" t="n"/>
      <c r="J180" s="273" t="n"/>
      <c r="K180" s="273" t="n"/>
      <c r="L180" s="273" t="n"/>
      <c r="M180" s="273" t="n"/>
      <c r="N180" s="273" t="n"/>
      <c r="O180" s="507" t="n"/>
      <c r="P180" s="508" t="inlineStr">
        <is>
          <t>Итого</t>
        </is>
      </c>
      <c r="Q180" s="470" t="n"/>
      <c r="R180" s="470" t="n"/>
      <c r="S180" s="470" t="n"/>
      <c r="T180" s="470" t="n"/>
      <c r="U180" s="470" t="n"/>
      <c r="V180" s="471" t="n"/>
      <c r="W180" s="40" t="inlineStr">
        <is>
          <t>кор</t>
        </is>
      </c>
      <c r="X180" s="509">
        <f>IFERROR(SUM(X179:X179),"0")</f>
        <v/>
      </c>
      <c r="Y180" s="509">
        <f>IFERROR(SUM(Y179:Y179),"0")</f>
        <v/>
      </c>
      <c r="Z180" s="509">
        <f>IFERROR(IF(Z179="",0,Z179),"0")</f>
        <v/>
      </c>
      <c r="AA180" s="510" t="n"/>
      <c r="AB180" s="510" t="n"/>
      <c r="AC180" s="510" t="n"/>
    </row>
    <row r="181">
      <c r="A181" s="273" t="n"/>
      <c r="B181" s="273" t="n"/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3" t="n"/>
      <c r="M181" s="273" t="n"/>
      <c r="N181" s="273" t="n"/>
      <c r="O181" s="507" t="n"/>
      <c r="P181" s="508" t="inlineStr">
        <is>
          <t>Итого</t>
        </is>
      </c>
      <c r="Q181" s="470" t="n"/>
      <c r="R181" s="470" t="n"/>
      <c r="S181" s="470" t="n"/>
      <c r="T181" s="470" t="n"/>
      <c r="U181" s="470" t="n"/>
      <c r="V181" s="471" t="n"/>
      <c r="W181" s="40" t="inlineStr">
        <is>
          <t>кг</t>
        </is>
      </c>
      <c r="X181" s="509">
        <f>IFERROR(SUMPRODUCT(X179:X179*H179:H179),"0")</f>
        <v/>
      </c>
      <c r="Y181" s="509">
        <f>IFERROR(SUMPRODUCT(Y179:Y179*H179:H179),"0")</f>
        <v/>
      </c>
      <c r="Z181" s="40" t="n"/>
      <c r="AA181" s="510" t="n"/>
      <c r="AB181" s="510" t="n"/>
      <c r="AC181" s="510" t="n"/>
    </row>
    <row r="182" ht="14.25" customHeight="1">
      <c r="A182" s="295" t="inlineStr">
        <is>
          <t>Снеки</t>
        </is>
      </c>
      <c r="B182" s="273" t="n"/>
      <c r="C182" s="273" t="n"/>
      <c r="D182" s="273" t="n"/>
      <c r="E182" s="273" t="n"/>
      <c r="F182" s="273" t="n"/>
      <c r="G182" s="273" t="n"/>
      <c r="H182" s="273" t="n"/>
      <c r="I182" s="273" t="n"/>
      <c r="J182" s="273" t="n"/>
      <c r="K182" s="273" t="n"/>
      <c r="L182" s="273" t="n"/>
      <c r="M182" s="273" t="n"/>
      <c r="N182" s="273" t="n"/>
      <c r="O182" s="273" t="n"/>
      <c r="P182" s="273" t="n"/>
      <c r="Q182" s="273" t="n"/>
      <c r="R182" s="273" t="n"/>
      <c r="S182" s="273" t="n"/>
      <c r="T182" s="273" t="n"/>
      <c r="U182" s="273" t="n"/>
      <c r="V182" s="273" t="n"/>
      <c r="W182" s="273" t="n"/>
      <c r="X182" s="273" t="n"/>
      <c r="Y182" s="273" t="n"/>
      <c r="Z182" s="273" t="n"/>
      <c r="AA182" s="295" t="n"/>
      <c r="AB182" s="295" t="n"/>
      <c r="AC182" s="295" t="n"/>
    </row>
    <row r="183" ht="27" customHeight="1">
      <c r="A183" s="60" t="inlineStr">
        <is>
          <t>SU003777</t>
        </is>
      </c>
      <c r="B183" s="60" t="inlineStr">
        <is>
          <t>P004822</t>
        </is>
      </c>
      <c r="C183" s="34" t="n">
        <v>4301135707</v>
      </c>
      <c r="D183" s="276" t="n">
        <v>4620207490198</v>
      </c>
      <c r="E183" s="462" t="n"/>
      <c r="F183" s="501" t="n">
        <v>0.2</v>
      </c>
      <c r="G183" s="35" t="n">
        <v>12</v>
      </c>
      <c r="H183" s="501" t="n">
        <v>2.4</v>
      </c>
      <c r="I183" s="501" t="n">
        <v>3.1036</v>
      </c>
      <c r="J183" s="35" t="n">
        <v>70</v>
      </c>
      <c r="K183" s="35" t="inlineStr">
        <is>
          <t>14</t>
        </is>
      </c>
      <c r="L183" s="35" t="inlineStr">
        <is>
          <t>Короб, мин. 1</t>
        </is>
      </c>
      <c r="M183" s="36" t="inlineStr">
        <is>
          <t>МГ</t>
        </is>
      </c>
      <c r="N183" s="36" t="n"/>
      <c r="O183" s="35" t="n">
        <v>180</v>
      </c>
      <c r="P183" s="566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83" s="503" t="n"/>
      <c r="R183" s="503" t="n"/>
      <c r="S183" s="503" t="n"/>
      <c r="T183" s="504" t="n"/>
      <c r="U183" s="37" t="inlineStr"/>
      <c r="V183" s="37" t="inlineStr"/>
      <c r="W183" s="38" t="inlineStr">
        <is>
          <t>кор</t>
        </is>
      </c>
      <c r="X183" s="505" t="n">
        <v>0</v>
      </c>
      <c r="Y183" s="506">
        <f>IFERROR(IF(X183="","",X183),"")</f>
        <v/>
      </c>
      <c r="Z183" s="39">
        <f>IFERROR(IF(X183="","",X183*0.01788),"")</f>
        <v/>
      </c>
      <c r="AA183" s="65" t="inlineStr"/>
      <c r="AB183" s="66" t="inlineStr"/>
      <c r="AC183" s="196" t="inlineStr">
        <is>
          <t>ЕАЭС N RU Д-RU.РА08.В.93674/24</t>
        </is>
      </c>
      <c r="AG183" s="78" t="n"/>
      <c r="AJ183" s="82" t="inlineStr">
        <is>
          <t>Короб</t>
        </is>
      </c>
      <c r="AK183" s="82" t="n">
        <v>1</v>
      </c>
      <c r="BB183" s="197" t="inlineStr">
        <is>
          <t>ПГП</t>
        </is>
      </c>
      <c r="BM183" s="78">
        <f>IFERROR(X183*I183,"0")</f>
        <v/>
      </c>
      <c r="BN183" s="78">
        <f>IFERROR(Y183*I183,"0")</f>
        <v/>
      </c>
      <c r="BO183" s="78">
        <f>IFERROR(X183/J183,"0")</f>
        <v/>
      </c>
      <c r="BP183" s="78">
        <f>IFERROR(Y183/J183,"0")</f>
        <v/>
      </c>
    </row>
    <row r="184" ht="27" customHeight="1">
      <c r="A184" s="60" t="inlineStr">
        <is>
          <t>SU003721</t>
        </is>
      </c>
      <c r="B184" s="60" t="inlineStr">
        <is>
          <t>P004811</t>
        </is>
      </c>
      <c r="C184" s="34" t="n">
        <v>4301135696</v>
      </c>
      <c r="D184" s="276" t="n">
        <v>4620207490235</v>
      </c>
      <c r="E184" s="462" t="n"/>
      <c r="F184" s="501" t="n">
        <v>0.2</v>
      </c>
      <c r="G184" s="35" t="n">
        <v>12</v>
      </c>
      <c r="H184" s="501" t="n">
        <v>2.4</v>
      </c>
      <c r="I184" s="501" t="n">
        <v>3.1036</v>
      </c>
      <c r="J184" s="35" t="n">
        <v>70</v>
      </c>
      <c r="K184" s="35" t="inlineStr">
        <is>
          <t>14</t>
        </is>
      </c>
      <c r="L184" s="35" t="inlineStr">
        <is>
          <t>Короб, мин. 1</t>
        </is>
      </c>
      <c r="M184" s="36" t="inlineStr">
        <is>
          <t>МГ</t>
        </is>
      </c>
      <c r="N184" s="36" t="n"/>
      <c r="O184" s="35" t="n">
        <v>180</v>
      </c>
      <c r="P184" s="567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184" s="503" t="n"/>
      <c r="R184" s="503" t="n"/>
      <c r="S184" s="503" t="n"/>
      <c r="T184" s="504" t="n"/>
      <c r="U184" s="37" t="inlineStr"/>
      <c r="V184" s="37" t="inlineStr"/>
      <c r="W184" s="38" t="inlineStr">
        <is>
          <t>кор</t>
        </is>
      </c>
      <c r="X184" s="505" t="n">
        <v>0</v>
      </c>
      <c r="Y184" s="506">
        <f>IFERROR(IF(X184="","",X184),"")</f>
        <v/>
      </c>
      <c r="Z184" s="39">
        <f>IFERROR(IF(X184="","",X184*0.01788),"")</f>
        <v/>
      </c>
      <c r="AA184" s="65" t="inlineStr"/>
      <c r="AB184" s="66" t="inlineStr"/>
      <c r="AC184" s="198" t="inlineStr">
        <is>
          <t>ЕАЭС N RU Д-RU.РА09.В.00509/24</t>
        </is>
      </c>
      <c r="AG184" s="78" t="n"/>
      <c r="AJ184" s="82" t="inlineStr">
        <is>
          <t>Короб</t>
        </is>
      </c>
      <c r="AK184" s="82" t="n">
        <v>1</v>
      </c>
      <c r="BB184" s="199" t="inlineStr">
        <is>
          <t>ПГП</t>
        </is>
      </c>
      <c r="BM184" s="78">
        <f>IFERROR(X184*I184,"0")</f>
        <v/>
      </c>
      <c r="BN184" s="78">
        <f>IFERROR(Y184*I184,"0")</f>
        <v/>
      </c>
      <c r="BO184" s="78">
        <f>IFERROR(X184/J184,"0")</f>
        <v/>
      </c>
      <c r="BP184" s="78">
        <f>IFERROR(Y184/J184,"0")</f>
        <v/>
      </c>
    </row>
    <row r="185" ht="27" customHeight="1">
      <c r="A185" s="60" t="inlineStr">
        <is>
          <t>SU003722</t>
        </is>
      </c>
      <c r="B185" s="60" t="inlineStr">
        <is>
          <t>P004812</t>
        </is>
      </c>
      <c r="C185" s="34" t="n">
        <v>4301135697</v>
      </c>
      <c r="D185" s="276" t="n">
        <v>4620207490259</v>
      </c>
      <c r="E185" s="462" t="n"/>
      <c r="F185" s="501" t="n">
        <v>0.2</v>
      </c>
      <c r="G185" s="35" t="n">
        <v>12</v>
      </c>
      <c r="H185" s="501" t="n">
        <v>2.4</v>
      </c>
      <c r="I185" s="501" t="n">
        <v>3.1036</v>
      </c>
      <c r="J185" s="35" t="n">
        <v>70</v>
      </c>
      <c r="K185" s="35" t="inlineStr">
        <is>
          <t>14</t>
        </is>
      </c>
      <c r="L185" s="35" t="inlineStr">
        <is>
          <t>Короб, мин. 1</t>
        </is>
      </c>
      <c r="M185" s="36" t="inlineStr">
        <is>
          <t>МГ</t>
        </is>
      </c>
      <c r="N185" s="36" t="n"/>
      <c r="O185" s="35" t="n">
        <v>180</v>
      </c>
      <c r="P185" s="568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85" s="503" t="n"/>
      <c r="R185" s="503" t="n"/>
      <c r="S185" s="503" t="n"/>
      <c r="T185" s="504" t="n"/>
      <c r="U185" s="37" t="inlineStr"/>
      <c r="V185" s="37" t="inlineStr"/>
      <c r="W185" s="38" t="inlineStr">
        <is>
          <t>кор</t>
        </is>
      </c>
      <c r="X185" s="505" t="n">
        <v>0</v>
      </c>
      <c r="Y185" s="506">
        <f>IFERROR(IF(X185="","",X185),"")</f>
        <v/>
      </c>
      <c r="Z185" s="39">
        <f>IFERROR(IF(X185="","",X185*0.01788),"")</f>
        <v/>
      </c>
      <c r="AA185" s="65" t="inlineStr"/>
      <c r="AB185" s="66" t="inlineStr"/>
      <c r="AC185" s="200" t="inlineStr">
        <is>
          <t>ЕАЭС N RU Д-RU.РА08.В.93674/24</t>
        </is>
      </c>
      <c r="AG185" s="78" t="n"/>
      <c r="AJ185" s="82" t="inlineStr">
        <is>
          <t>Короб</t>
        </is>
      </c>
      <c r="AK185" s="82" t="n">
        <v>1</v>
      </c>
      <c r="BB185" s="201" t="inlineStr">
        <is>
          <t>ПГП</t>
        </is>
      </c>
      <c r="BM185" s="78">
        <f>IFERROR(X185*I185,"0")</f>
        <v/>
      </c>
      <c r="BN185" s="78">
        <f>IFERROR(Y185*I185,"0")</f>
        <v/>
      </c>
      <c r="BO185" s="78">
        <f>IFERROR(X185/J185,"0")</f>
        <v/>
      </c>
      <c r="BP185" s="78">
        <f>IFERROR(Y185/J185,"0")</f>
        <v/>
      </c>
    </row>
    <row r="186" ht="27" customHeight="1">
      <c r="A186" s="60" t="inlineStr">
        <is>
          <t>SU003712</t>
        </is>
      </c>
      <c r="B186" s="60" t="inlineStr">
        <is>
          <t>P004785</t>
        </is>
      </c>
      <c r="C186" s="34" t="n">
        <v>4301135681</v>
      </c>
      <c r="D186" s="276" t="n">
        <v>4620207490143</v>
      </c>
      <c r="E186" s="462" t="n"/>
      <c r="F186" s="501" t="n">
        <v>0.22</v>
      </c>
      <c r="G186" s="35" t="n">
        <v>12</v>
      </c>
      <c r="H186" s="501" t="n">
        <v>2.64</v>
      </c>
      <c r="I186" s="501" t="n">
        <v>3.3436</v>
      </c>
      <c r="J186" s="35" t="n">
        <v>70</v>
      </c>
      <c r="K186" s="35" t="inlineStr">
        <is>
          <t>14</t>
        </is>
      </c>
      <c r="L186" s="35" t="inlineStr">
        <is>
          <t>Короб, мин. 1</t>
        </is>
      </c>
      <c r="M186" s="36" t="inlineStr">
        <is>
          <t>МГ</t>
        </is>
      </c>
      <c r="N186" s="36" t="n"/>
      <c r="O186" s="35" t="n">
        <v>180</v>
      </c>
      <c r="P186" s="569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86" s="503" t="n"/>
      <c r="R186" s="503" t="n"/>
      <c r="S186" s="503" t="n"/>
      <c r="T186" s="504" t="n"/>
      <c r="U186" s="37" t="inlineStr"/>
      <c r="V186" s="37" t="inlineStr"/>
      <c r="W186" s="38" t="inlineStr">
        <is>
          <t>кор</t>
        </is>
      </c>
      <c r="X186" s="505" t="n">
        <v>0</v>
      </c>
      <c r="Y186" s="506">
        <f>IFERROR(IF(X186="","",X186),"")</f>
        <v/>
      </c>
      <c r="Z186" s="39">
        <f>IFERROR(IF(X186="","",X186*0.01788),"")</f>
        <v/>
      </c>
      <c r="AA186" s="65" t="inlineStr"/>
      <c r="AB186" s="66" t="inlineStr"/>
      <c r="AC186" s="202" t="inlineStr">
        <is>
          <t>ЕАЭС N RU Д-RU.РА08.В.66172/24</t>
        </is>
      </c>
      <c r="AG186" s="78" t="n"/>
      <c r="AJ186" s="82" t="inlineStr">
        <is>
          <t>Короб</t>
        </is>
      </c>
      <c r="AK186" s="82" t="n">
        <v>1</v>
      </c>
      <c r="BB186" s="203" t="inlineStr">
        <is>
          <t>ПГП</t>
        </is>
      </c>
      <c r="BM186" s="78">
        <f>IFERROR(X186*I186,"0")</f>
        <v/>
      </c>
      <c r="BN186" s="78">
        <f>IFERROR(Y186*I186,"0")</f>
        <v/>
      </c>
      <c r="BO186" s="78">
        <f>IFERROR(X186/J186,"0")</f>
        <v/>
      </c>
      <c r="BP186" s="78">
        <f>IFERROR(Y186/J186,"0")</f>
        <v/>
      </c>
    </row>
    <row r="187">
      <c r="A187" s="285" t="n"/>
      <c r="B187" s="273" t="n"/>
      <c r="C187" s="273" t="n"/>
      <c r="D187" s="273" t="n"/>
      <c r="E187" s="273" t="n"/>
      <c r="F187" s="273" t="n"/>
      <c r="G187" s="273" t="n"/>
      <c r="H187" s="273" t="n"/>
      <c r="I187" s="273" t="n"/>
      <c r="J187" s="273" t="n"/>
      <c r="K187" s="273" t="n"/>
      <c r="L187" s="273" t="n"/>
      <c r="M187" s="273" t="n"/>
      <c r="N187" s="273" t="n"/>
      <c r="O187" s="507" t="n"/>
      <c r="P187" s="508" t="inlineStr">
        <is>
          <t>Итого</t>
        </is>
      </c>
      <c r="Q187" s="470" t="n"/>
      <c r="R187" s="470" t="n"/>
      <c r="S187" s="470" t="n"/>
      <c r="T187" s="470" t="n"/>
      <c r="U187" s="470" t="n"/>
      <c r="V187" s="471" t="n"/>
      <c r="W187" s="40" t="inlineStr">
        <is>
          <t>кор</t>
        </is>
      </c>
      <c r="X187" s="509">
        <f>IFERROR(SUM(X183:X186),"0")</f>
        <v/>
      </c>
      <c r="Y187" s="509">
        <f>IFERROR(SUM(Y183:Y186),"0")</f>
        <v/>
      </c>
      <c r="Z187" s="509">
        <f>IFERROR(IF(Z183="",0,Z183),"0")+IFERROR(IF(Z184="",0,Z184),"0")+IFERROR(IF(Z185="",0,Z185),"0")+IFERROR(IF(Z186="",0,Z186),"0")</f>
        <v/>
      </c>
      <c r="AA187" s="510" t="n"/>
      <c r="AB187" s="510" t="n"/>
      <c r="AC187" s="510" t="n"/>
    </row>
    <row r="188">
      <c r="A188" s="273" t="n"/>
      <c r="B188" s="273" t="n"/>
      <c r="C188" s="273" t="n"/>
      <c r="D188" s="273" t="n"/>
      <c r="E188" s="273" t="n"/>
      <c r="F188" s="273" t="n"/>
      <c r="G188" s="273" t="n"/>
      <c r="H188" s="273" t="n"/>
      <c r="I188" s="273" t="n"/>
      <c r="J188" s="273" t="n"/>
      <c r="K188" s="273" t="n"/>
      <c r="L188" s="273" t="n"/>
      <c r="M188" s="273" t="n"/>
      <c r="N188" s="273" t="n"/>
      <c r="O188" s="507" t="n"/>
      <c r="P188" s="508" t="inlineStr">
        <is>
          <t>Итого</t>
        </is>
      </c>
      <c r="Q188" s="470" t="n"/>
      <c r="R188" s="470" t="n"/>
      <c r="S188" s="470" t="n"/>
      <c r="T188" s="470" t="n"/>
      <c r="U188" s="470" t="n"/>
      <c r="V188" s="471" t="n"/>
      <c r="W188" s="40" t="inlineStr">
        <is>
          <t>кг</t>
        </is>
      </c>
      <c r="X188" s="509">
        <f>IFERROR(SUMPRODUCT(X183:X186*H183:H186),"0")</f>
        <v/>
      </c>
      <c r="Y188" s="509">
        <f>IFERROR(SUMPRODUCT(Y183:Y186*H183:H186),"0")</f>
        <v/>
      </c>
      <c r="Z188" s="40" t="n"/>
      <c r="AA188" s="510" t="n"/>
      <c r="AB188" s="510" t="n"/>
      <c r="AC188" s="510" t="n"/>
    </row>
    <row r="189" ht="16.5" customHeight="1">
      <c r="A189" s="306" t="inlineStr">
        <is>
          <t>Медвежье ушко</t>
        </is>
      </c>
      <c r="B189" s="273" t="n"/>
      <c r="C189" s="273" t="n"/>
      <c r="D189" s="273" t="n"/>
      <c r="E189" s="273" t="n"/>
      <c r="F189" s="273" t="n"/>
      <c r="G189" s="273" t="n"/>
      <c r="H189" s="273" t="n"/>
      <c r="I189" s="273" t="n"/>
      <c r="J189" s="273" t="n"/>
      <c r="K189" s="273" t="n"/>
      <c r="L189" s="273" t="n"/>
      <c r="M189" s="273" t="n"/>
      <c r="N189" s="273" t="n"/>
      <c r="O189" s="273" t="n"/>
      <c r="P189" s="273" t="n"/>
      <c r="Q189" s="273" t="n"/>
      <c r="R189" s="273" t="n"/>
      <c r="S189" s="273" t="n"/>
      <c r="T189" s="273" t="n"/>
      <c r="U189" s="273" t="n"/>
      <c r="V189" s="273" t="n"/>
      <c r="W189" s="273" t="n"/>
      <c r="X189" s="273" t="n"/>
      <c r="Y189" s="273" t="n"/>
      <c r="Z189" s="273" t="n"/>
      <c r="AA189" s="306" t="n"/>
      <c r="AB189" s="306" t="n"/>
      <c r="AC189" s="306" t="n"/>
    </row>
    <row r="190" ht="14.25" customHeight="1">
      <c r="A190" s="295" t="inlineStr">
        <is>
          <t>Пельмени</t>
        </is>
      </c>
      <c r="B190" s="273" t="n"/>
      <c r="C190" s="273" t="n"/>
      <c r="D190" s="273" t="n"/>
      <c r="E190" s="273" t="n"/>
      <c r="F190" s="273" t="n"/>
      <c r="G190" s="273" t="n"/>
      <c r="H190" s="273" t="n"/>
      <c r="I190" s="273" t="n"/>
      <c r="J190" s="273" t="n"/>
      <c r="K190" s="273" t="n"/>
      <c r="L190" s="273" t="n"/>
      <c r="M190" s="273" t="n"/>
      <c r="N190" s="273" t="n"/>
      <c r="O190" s="273" t="n"/>
      <c r="P190" s="273" t="n"/>
      <c r="Q190" s="273" t="n"/>
      <c r="R190" s="273" t="n"/>
      <c r="S190" s="273" t="n"/>
      <c r="T190" s="273" t="n"/>
      <c r="U190" s="273" t="n"/>
      <c r="V190" s="273" t="n"/>
      <c r="W190" s="273" t="n"/>
      <c r="X190" s="273" t="n"/>
      <c r="Y190" s="273" t="n"/>
      <c r="Z190" s="273" t="n"/>
      <c r="AA190" s="295" t="n"/>
      <c r="AB190" s="295" t="n"/>
      <c r="AC190" s="295" t="n"/>
    </row>
    <row r="191" ht="27" customHeight="1">
      <c r="A191" s="60" t="inlineStr">
        <is>
          <t>SU003974</t>
        </is>
      </c>
      <c r="B191" s="60" t="inlineStr">
        <is>
          <t>P005106</t>
        </is>
      </c>
      <c r="C191" s="34" t="n">
        <v>4301071108</v>
      </c>
      <c r="D191" s="276" t="n">
        <v>4607111035912</v>
      </c>
      <c r="E191" s="462" t="n"/>
      <c r="F191" s="501" t="n">
        <v>0.43</v>
      </c>
      <c r="G191" s="35" t="n">
        <v>16</v>
      </c>
      <c r="H191" s="501" t="n">
        <v>6.88</v>
      </c>
      <c r="I191" s="501" t="n">
        <v>7.19</v>
      </c>
      <c r="J191" s="35" t="n">
        <v>84</v>
      </c>
      <c r="K191" s="35" t="inlineStr">
        <is>
          <t>12</t>
        </is>
      </c>
      <c r="L191" s="35" t="inlineStr">
        <is>
          <t>Короб, мин. 1</t>
        </is>
      </c>
      <c r="M191" s="36" t="inlineStr">
        <is>
          <t>МГ</t>
        </is>
      </c>
      <c r="N191" s="36" t="n"/>
      <c r="O191" s="35" t="n">
        <v>180</v>
      </c>
      <c r="P191" s="570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/>
      </c>
      <c r="Q191" s="503" t="n"/>
      <c r="R191" s="503" t="n"/>
      <c r="S191" s="503" t="n"/>
      <c r="T191" s="504" t="n"/>
      <c r="U191" s="37" t="inlineStr"/>
      <c r="V191" s="37" t="inlineStr"/>
      <c r="W191" s="38" t="inlineStr">
        <is>
          <t>кор</t>
        </is>
      </c>
      <c r="X191" s="505" t="n">
        <v>0</v>
      </c>
      <c r="Y191" s="506">
        <f>IFERROR(IF(X191="","",X191),"")</f>
        <v/>
      </c>
      <c r="Z191" s="39">
        <f>IFERROR(IF(X191="","",X191*0.0155),"")</f>
        <v/>
      </c>
      <c r="AA191" s="65" t="inlineStr"/>
      <c r="AB191" s="66" t="inlineStr"/>
      <c r="AC191" s="204" t="inlineStr">
        <is>
          <t>ЕАЭС N RU Д-RU.РА01.В.79461/23</t>
        </is>
      </c>
      <c r="AG191" s="78" t="n"/>
      <c r="AJ191" s="82" t="inlineStr">
        <is>
          <t>Короб</t>
        </is>
      </c>
      <c r="AK191" s="82" t="n">
        <v>1</v>
      </c>
      <c r="BB191" s="205" t="inlineStr">
        <is>
          <t>ЗПФ</t>
        </is>
      </c>
      <c r="BM191" s="78">
        <f>IFERROR(X191*I191,"0")</f>
        <v/>
      </c>
      <c r="BN191" s="78">
        <f>IFERROR(Y191*I191,"0")</f>
        <v/>
      </c>
      <c r="BO191" s="78">
        <f>IFERROR(X191/J191,"0")</f>
        <v/>
      </c>
      <c r="BP191" s="78">
        <f>IFERROR(Y191/J191,"0")</f>
        <v/>
      </c>
    </row>
    <row r="192" ht="27" customHeight="1">
      <c r="A192" s="60" t="inlineStr">
        <is>
          <t>SU003968</t>
        </is>
      </c>
      <c r="B192" s="60" t="inlineStr">
        <is>
          <t>P005109</t>
        </is>
      </c>
      <c r="C192" s="34" t="n">
        <v>4301071110</v>
      </c>
      <c r="D192" s="276" t="n">
        <v>4607111035103</v>
      </c>
      <c r="E192" s="462" t="n"/>
      <c r="F192" s="501" t="n">
        <v>0.43</v>
      </c>
      <c r="G192" s="35" t="n">
        <v>16</v>
      </c>
      <c r="H192" s="501" t="n">
        <v>6.88</v>
      </c>
      <c r="I192" s="501" t="n">
        <v>7.19</v>
      </c>
      <c r="J192" s="35" t="n">
        <v>84</v>
      </c>
      <c r="K192" s="35" t="inlineStr">
        <is>
          <t>12</t>
        </is>
      </c>
      <c r="L192" s="35" t="inlineStr">
        <is>
          <t>Короб, мин. 1</t>
        </is>
      </c>
      <c r="M192" s="36" t="inlineStr">
        <is>
          <t>МГ</t>
        </is>
      </c>
      <c r="N192" s="36" t="n"/>
      <c r="O192" s="35" t="n">
        <v>180</v>
      </c>
      <c r="P192" s="571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/>
      </c>
      <c r="Q192" s="503" t="n"/>
      <c r="R192" s="503" t="n"/>
      <c r="S192" s="503" t="n"/>
      <c r="T192" s="504" t="n"/>
      <c r="U192" s="37" t="inlineStr"/>
      <c r="V192" s="37" t="inlineStr"/>
      <c r="W192" s="38" t="inlineStr">
        <is>
          <t>кор</t>
        </is>
      </c>
      <c r="X192" s="505" t="n">
        <v>0</v>
      </c>
      <c r="Y192" s="506">
        <f>IFERROR(IF(X192="","",X192),"")</f>
        <v/>
      </c>
      <c r="Z192" s="39">
        <f>IFERROR(IF(X192="","",X192*0.0155),"")</f>
        <v/>
      </c>
      <c r="AA192" s="65" t="inlineStr"/>
      <c r="AB192" s="66" t="inlineStr"/>
      <c r="AC192" s="206" t="inlineStr">
        <is>
          <t>ЕАЭС N RU Д-RU.РА01.В.79461/23</t>
        </is>
      </c>
      <c r="AG192" s="78" t="n"/>
      <c r="AJ192" s="82" t="inlineStr">
        <is>
          <t>Короб</t>
        </is>
      </c>
      <c r="AK192" s="82" t="n">
        <v>1</v>
      </c>
      <c r="BB192" s="207" t="inlineStr">
        <is>
          <t>ЗПФ</t>
        </is>
      </c>
      <c r="BM192" s="78">
        <f>IFERROR(X192*I192,"0")</f>
        <v/>
      </c>
      <c r="BN192" s="78">
        <f>IFERROR(Y192*I192,"0")</f>
        <v/>
      </c>
      <c r="BO192" s="78">
        <f>IFERROR(X192/J192,"0")</f>
        <v/>
      </c>
      <c r="BP192" s="78">
        <f>IFERROR(Y192/J192,"0")</f>
        <v/>
      </c>
    </row>
    <row r="193" ht="27" customHeight="1">
      <c r="A193" s="60" t="inlineStr">
        <is>
          <t>SU003975</t>
        </is>
      </c>
      <c r="B193" s="60" t="inlineStr">
        <is>
          <t>P005107</t>
        </is>
      </c>
      <c r="C193" s="34" t="n">
        <v>4301071109</v>
      </c>
      <c r="D193" s="276" t="n">
        <v>4607111035929</v>
      </c>
      <c r="E193" s="462" t="n"/>
      <c r="F193" s="501" t="n">
        <v>0.9</v>
      </c>
      <c r="G193" s="35" t="n">
        <v>8</v>
      </c>
      <c r="H193" s="501" t="n">
        <v>7.2</v>
      </c>
      <c r="I193" s="501" t="n">
        <v>7.47</v>
      </c>
      <c r="J193" s="35" t="n">
        <v>84</v>
      </c>
      <c r="K193" s="35" t="inlineStr">
        <is>
          <t>12</t>
        </is>
      </c>
      <c r="L193" s="35" t="inlineStr">
        <is>
          <t>Короб, мин. 1</t>
        </is>
      </c>
      <c r="M193" s="36" t="inlineStr">
        <is>
          <t>МГ</t>
        </is>
      </c>
      <c r="N193" s="36" t="n"/>
      <c r="O193" s="35" t="n">
        <v>180</v>
      </c>
      <c r="P193" s="572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/>
      </c>
      <c r="Q193" s="503" t="n"/>
      <c r="R193" s="503" t="n"/>
      <c r="S193" s="503" t="n"/>
      <c r="T193" s="504" t="n"/>
      <c r="U193" s="37" t="inlineStr"/>
      <c r="V193" s="37" t="inlineStr"/>
      <c r="W193" s="38" t="inlineStr">
        <is>
          <t>кор</t>
        </is>
      </c>
      <c r="X193" s="505" t="n">
        <v>0</v>
      </c>
      <c r="Y193" s="506">
        <f>IFERROR(IF(X193="","",X193),"")</f>
        <v/>
      </c>
      <c r="Z193" s="39">
        <f>IFERROR(IF(X193="","",X193*0.0155),"")</f>
        <v/>
      </c>
      <c r="AA193" s="65" t="inlineStr"/>
      <c r="AB193" s="66" t="inlineStr"/>
      <c r="AC193" s="208" t="inlineStr">
        <is>
          <t>ЕАЭС N RU Д-RU.РА01.В.79461/23</t>
        </is>
      </c>
      <c r="AG193" s="78" t="n"/>
      <c r="AJ193" s="82" t="inlineStr">
        <is>
          <t>Короб</t>
        </is>
      </c>
      <c r="AK193" s="82" t="n">
        <v>1</v>
      </c>
      <c r="BB193" s="209" t="inlineStr">
        <is>
          <t>ЗПФ</t>
        </is>
      </c>
      <c r="BM193" s="78">
        <f>IFERROR(X193*I193,"0")</f>
        <v/>
      </c>
      <c r="BN193" s="78">
        <f>IFERROR(Y193*I193,"0")</f>
        <v/>
      </c>
      <c r="BO193" s="78">
        <f>IFERROR(X193/J193,"0")</f>
        <v/>
      </c>
      <c r="BP193" s="78">
        <f>IFERROR(Y193/J193,"0")</f>
        <v/>
      </c>
    </row>
    <row r="194" ht="27" customHeight="1">
      <c r="A194" s="60" t="inlineStr">
        <is>
          <t>SU003972</t>
        </is>
      </c>
      <c r="B194" s="60" t="inlineStr">
        <is>
          <t>P005104</t>
        </is>
      </c>
      <c r="C194" s="34" t="n">
        <v>4301071106</v>
      </c>
      <c r="D194" s="276" t="n">
        <v>4607111035882</v>
      </c>
      <c r="E194" s="462" t="n"/>
      <c r="F194" s="501" t="n">
        <v>0.43</v>
      </c>
      <c r="G194" s="35" t="n">
        <v>16</v>
      </c>
      <c r="H194" s="501" t="n">
        <v>6.88</v>
      </c>
      <c r="I194" s="501" t="n">
        <v>7.19</v>
      </c>
      <c r="J194" s="35" t="n">
        <v>84</v>
      </c>
      <c r="K194" s="35" t="inlineStr">
        <is>
          <t>12</t>
        </is>
      </c>
      <c r="L194" s="35" t="inlineStr">
        <is>
          <t>Короб, мин. 1</t>
        </is>
      </c>
      <c r="M194" s="36" t="inlineStr">
        <is>
          <t>МГ</t>
        </is>
      </c>
      <c r="N194" s="36" t="n"/>
      <c r="O194" s="35" t="n">
        <v>180</v>
      </c>
      <c r="P194" s="573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/>
      </c>
      <c r="Q194" s="503" t="n"/>
      <c r="R194" s="503" t="n"/>
      <c r="S194" s="503" t="n"/>
      <c r="T194" s="504" t="n"/>
      <c r="U194" s="37" t="inlineStr"/>
      <c r="V194" s="37" t="inlineStr"/>
      <c r="W194" s="38" t="inlineStr">
        <is>
          <t>кор</t>
        </is>
      </c>
      <c r="X194" s="505" t="n">
        <v>0</v>
      </c>
      <c r="Y194" s="506">
        <f>IFERROR(IF(X194="","",X194),"")</f>
        <v/>
      </c>
      <c r="Z194" s="39">
        <f>IFERROR(IF(X194="","",X194*0.0155),"")</f>
        <v/>
      </c>
      <c r="AA194" s="65" t="inlineStr"/>
      <c r="AB194" s="66" t="inlineStr"/>
      <c r="AC194" s="210" t="inlineStr">
        <is>
          <t>ЕАЭС N RU Д-RU.РА01.В.79461/23</t>
        </is>
      </c>
      <c r="AG194" s="78" t="n"/>
      <c r="AJ194" s="82" t="inlineStr">
        <is>
          <t>Короб</t>
        </is>
      </c>
      <c r="AK194" s="82" t="n">
        <v>1</v>
      </c>
      <c r="BB194" s="211" t="inlineStr">
        <is>
          <t>ЗПФ</t>
        </is>
      </c>
      <c r="BM194" s="78">
        <f>IFERROR(X194*I194,"0")</f>
        <v/>
      </c>
      <c r="BN194" s="78">
        <f>IFERROR(Y194*I194,"0")</f>
        <v/>
      </c>
      <c r="BO194" s="78">
        <f>IFERROR(X194/J194,"0")</f>
        <v/>
      </c>
      <c r="BP194" s="78">
        <f>IFERROR(Y194/J194,"0")</f>
        <v/>
      </c>
    </row>
    <row r="195" ht="27" customHeight="1">
      <c r="A195" s="60" t="inlineStr">
        <is>
          <t>SU003973</t>
        </is>
      </c>
      <c r="B195" s="60" t="inlineStr">
        <is>
          <t>P005105</t>
        </is>
      </c>
      <c r="C195" s="34" t="n">
        <v>4301071107</v>
      </c>
      <c r="D195" s="276" t="n">
        <v>4607111035905</v>
      </c>
      <c r="E195" s="462" t="n"/>
      <c r="F195" s="501" t="n">
        <v>0.9</v>
      </c>
      <c r="G195" s="35" t="n">
        <v>8</v>
      </c>
      <c r="H195" s="501" t="n">
        <v>7.2</v>
      </c>
      <c r="I195" s="501" t="n">
        <v>7.47</v>
      </c>
      <c r="J195" s="35" t="n">
        <v>84</v>
      </c>
      <c r="K195" s="35" t="inlineStr">
        <is>
          <t>12</t>
        </is>
      </c>
      <c r="L195" s="35" t="inlineStr">
        <is>
          <t>Короб, мин. 1</t>
        </is>
      </c>
      <c r="M195" s="36" t="inlineStr">
        <is>
          <t>МГ</t>
        </is>
      </c>
      <c r="N195" s="36" t="n"/>
      <c r="O195" s="35" t="n">
        <v>180</v>
      </c>
      <c r="P195" s="574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/>
      </c>
      <c r="Q195" s="503" t="n"/>
      <c r="R195" s="503" t="n"/>
      <c r="S195" s="503" t="n"/>
      <c r="T195" s="504" t="n"/>
      <c r="U195" s="37" t="inlineStr"/>
      <c r="V195" s="37" t="inlineStr"/>
      <c r="W195" s="38" t="inlineStr">
        <is>
          <t>кор</t>
        </is>
      </c>
      <c r="X195" s="505" t="n">
        <v>0</v>
      </c>
      <c r="Y195" s="506">
        <f>IFERROR(IF(X195="","",X195),"")</f>
        <v/>
      </c>
      <c r="Z195" s="39">
        <f>IFERROR(IF(X195="","",X195*0.0155),"")</f>
        <v/>
      </c>
      <c r="AA195" s="65" t="inlineStr"/>
      <c r="AB195" s="66" t="inlineStr"/>
      <c r="AC195" s="212" t="inlineStr">
        <is>
          <t>ЕАЭС N RU Д-RU.РА01.В.79461/23</t>
        </is>
      </c>
      <c r="AG195" s="78" t="n"/>
      <c r="AJ195" s="82" t="inlineStr">
        <is>
          <t>Короб</t>
        </is>
      </c>
      <c r="AK195" s="82" t="n">
        <v>1</v>
      </c>
      <c r="BB195" s="213" t="inlineStr">
        <is>
          <t>ЗПФ</t>
        </is>
      </c>
      <c r="BM195" s="78">
        <f>IFERROR(X195*I195,"0")</f>
        <v/>
      </c>
      <c r="BN195" s="78">
        <f>IFERROR(Y195*I195,"0")</f>
        <v/>
      </c>
      <c r="BO195" s="78">
        <f>IFERROR(X195/J195,"0")</f>
        <v/>
      </c>
      <c r="BP195" s="78">
        <f>IFERROR(Y195/J195,"0")</f>
        <v/>
      </c>
    </row>
    <row r="196">
      <c r="A196" s="285" t="n"/>
      <c r="B196" s="273" t="n"/>
      <c r="C196" s="273" t="n"/>
      <c r="D196" s="273" t="n"/>
      <c r="E196" s="273" t="n"/>
      <c r="F196" s="273" t="n"/>
      <c r="G196" s="273" t="n"/>
      <c r="H196" s="273" t="n"/>
      <c r="I196" s="273" t="n"/>
      <c r="J196" s="273" t="n"/>
      <c r="K196" s="273" t="n"/>
      <c r="L196" s="273" t="n"/>
      <c r="M196" s="273" t="n"/>
      <c r="N196" s="273" t="n"/>
      <c r="O196" s="507" t="n"/>
      <c r="P196" s="508" t="inlineStr">
        <is>
          <t>Итого</t>
        </is>
      </c>
      <c r="Q196" s="470" t="n"/>
      <c r="R196" s="470" t="n"/>
      <c r="S196" s="470" t="n"/>
      <c r="T196" s="470" t="n"/>
      <c r="U196" s="470" t="n"/>
      <c r="V196" s="471" t="n"/>
      <c r="W196" s="40" t="inlineStr">
        <is>
          <t>кор</t>
        </is>
      </c>
      <c r="X196" s="509">
        <f>IFERROR(SUM(X191:X195),"0")</f>
        <v/>
      </c>
      <c r="Y196" s="509">
        <f>IFERROR(SUM(Y191:Y195),"0")</f>
        <v/>
      </c>
      <c r="Z196" s="509">
        <f>IFERROR(IF(Z191="",0,Z191),"0")+IFERROR(IF(Z192="",0,Z192),"0")+IFERROR(IF(Z193="",0,Z193),"0")+IFERROR(IF(Z194="",0,Z194),"0")+IFERROR(IF(Z195="",0,Z195),"0")</f>
        <v/>
      </c>
      <c r="AA196" s="510" t="n"/>
      <c r="AB196" s="510" t="n"/>
      <c r="AC196" s="510" t="n"/>
    </row>
    <row r="197">
      <c r="A197" s="273" t="n"/>
      <c r="B197" s="273" t="n"/>
      <c r="C197" s="273" t="n"/>
      <c r="D197" s="273" t="n"/>
      <c r="E197" s="273" t="n"/>
      <c r="F197" s="273" t="n"/>
      <c r="G197" s="273" t="n"/>
      <c r="H197" s="273" t="n"/>
      <c r="I197" s="273" t="n"/>
      <c r="J197" s="273" t="n"/>
      <c r="K197" s="273" t="n"/>
      <c r="L197" s="273" t="n"/>
      <c r="M197" s="273" t="n"/>
      <c r="N197" s="273" t="n"/>
      <c r="O197" s="507" t="n"/>
      <c r="P197" s="508" t="inlineStr">
        <is>
          <t>Итого</t>
        </is>
      </c>
      <c r="Q197" s="470" t="n"/>
      <c r="R197" s="470" t="n"/>
      <c r="S197" s="470" t="n"/>
      <c r="T197" s="470" t="n"/>
      <c r="U197" s="470" t="n"/>
      <c r="V197" s="471" t="n"/>
      <c r="W197" s="40" t="inlineStr">
        <is>
          <t>кг</t>
        </is>
      </c>
      <c r="X197" s="509">
        <f>IFERROR(SUMPRODUCT(X191:X195*H191:H195),"0")</f>
        <v/>
      </c>
      <c r="Y197" s="509">
        <f>IFERROR(SUMPRODUCT(Y191:Y195*H191:H195),"0")</f>
        <v/>
      </c>
      <c r="Z197" s="40" t="n"/>
      <c r="AA197" s="510" t="n"/>
      <c r="AB197" s="510" t="n"/>
      <c r="AC197" s="510" t="n"/>
    </row>
    <row r="198" ht="16.5" customHeight="1">
      <c r="A198" s="306" t="inlineStr">
        <is>
          <t>Стародворские</t>
        </is>
      </c>
      <c r="B198" s="273" t="n"/>
      <c r="C198" s="273" t="n"/>
      <c r="D198" s="273" t="n"/>
      <c r="E198" s="273" t="n"/>
      <c r="F198" s="273" t="n"/>
      <c r="G198" s="273" t="n"/>
      <c r="H198" s="273" t="n"/>
      <c r="I198" s="273" t="n"/>
      <c r="J198" s="273" t="n"/>
      <c r="K198" s="273" t="n"/>
      <c r="L198" s="273" t="n"/>
      <c r="M198" s="273" t="n"/>
      <c r="N198" s="273" t="n"/>
      <c r="O198" s="273" t="n"/>
      <c r="P198" s="273" t="n"/>
      <c r="Q198" s="273" t="n"/>
      <c r="R198" s="273" t="n"/>
      <c r="S198" s="273" t="n"/>
      <c r="T198" s="273" t="n"/>
      <c r="U198" s="273" t="n"/>
      <c r="V198" s="273" t="n"/>
      <c r="W198" s="273" t="n"/>
      <c r="X198" s="273" t="n"/>
      <c r="Y198" s="273" t="n"/>
      <c r="Z198" s="273" t="n"/>
      <c r="AA198" s="306" t="n"/>
      <c r="AB198" s="306" t="n"/>
      <c r="AC198" s="306" t="n"/>
    </row>
    <row r="199" ht="14.25" customHeight="1">
      <c r="A199" s="295" t="inlineStr">
        <is>
          <t>Пельмени</t>
        </is>
      </c>
      <c r="B199" s="273" t="n"/>
      <c r="C199" s="273" t="n"/>
      <c r="D199" s="273" t="n"/>
      <c r="E199" s="273" t="n"/>
      <c r="F199" s="273" t="n"/>
      <c r="G199" s="273" t="n"/>
      <c r="H199" s="273" t="n"/>
      <c r="I199" s="273" t="n"/>
      <c r="J199" s="273" t="n"/>
      <c r="K199" s="273" t="n"/>
      <c r="L199" s="273" t="n"/>
      <c r="M199" s="273" t="n"/>
      <c r="N199" s="273" t="n"/>
      <c r="O199" s="273" t="n"/>
      <c r="P199" s="273" t="n"/>
      <c r="Q199" s="273" t="n"/>
      <c r="R199" s="273" t="n"/>
      <c r="S199" s="273" t="n"/>
      <c r="T199" s="273" t="n"/>
      <c r="U199" s="273" t="n"/>
      <c r="V199" s="273" t="n"/>
      <c r="W199" s="273" t="n"/>
      <c r="X199" s="273" t="n"/>
      <c r="Y199" s="273" t="n"/>
      <c r="Z199" s="273" t="n"/>
      <c r="AA199" s="295" t="n"/>
      <c r="AB199" s="295" t="n"/>
      <c r="AC199" s="295" t="n"/>
    </row>
    <row r="200" ht="27" customHeight="1">
      <c r="A200" s="60" t="inlineStr">
        <is>
          <t>SU003935</t>
        </is>
      </c>
      <c r="B200" s="60" t="inlineStr">
        <is>
          <t>P005048</t>
        </is>
      </c>
      <c r="C200" s="34" t="n">
        <v>4301071097</v>
      </c>
      <c r="D200" s="276" t="n">
        <v>4620207491096</v>
      </c>
      <c r="E200" s="462" t="n"/>
      <c r="F200" s="501" t="n">
        <v>1</v>
      </c>
      <c r="G200" s="35" t="n">
        <v>5</v>
      </c>
      <c r="H200" s="501" t="n">
        <v>5</v>
      </c>
      <c r="I200" s="501" t="n">
        <v>5.23</v>
      </c>
      <c r="J200" s="35" t="n">
        <v>84</v>
      </c>
      <c r="K200" s="35" t="inlineStr">
        <is>
          <t>12</t>
        </is>
      </c>
      <c r="L200" s="35" t="inlineStr">
        <is>
          <t>Короб, мин. 1</t>
        </is>
      </c>
      <c r="M200" s="36" t="inlineStr">
        <is>
          <t>МГ</t>
        </is>
      </c>
      <c r="N200" s="36" t="n"/>
      <c r="O200" s="35" t="n">
        <v>180</v>
      </c>
      <c r="P200" s="575" t="inlineStr">
        <is>
          <t>Пельмени «Мясные с говядиной» Фикс.вес 1 сфера ТМ «Стародворье»</t>
        </is>
      </c>
      <c r="Q200" s="503" t="n"/>
      <c r="R200" s="503" t="n"/>
      <c r="S200" s="503" t="n"/>
      <c r="T200" s="504" t="n"/>
      <c r="U200" s="37" t="inlineStr"/>
      <c r="V200" s="37" t="inlineStr"/>
      <c r="W200" s="38" t="inlineStr">
        <is>
          <t>кор</t>
        </is>
      </c>
      <c r="X200" s="505" t="n">
        <v>0</v>
      </c>
      <c r="Y200" s="506">
        <f>IFERROR(IF(X200="","",X200),"")</f>
        <v/>
      </c>
      <c r="Z200" s="39">
        <f>IFERROR(IF(X200="","",X200*0.0155),"")</f>
        <v/>
      </c>
      <c r="AA200" s="65" t="inlineStr"/>
      <c r="AB200" s="66" t="inlineStr"/>
      <c r="AC200" s="214" t="inlineStr">
        <is>
          <t>ЕАЭС N RU Д-RU.РА02.В.24375/25</t>
        </is>
      </c>
      <c r="AG200" s="78" t="n"/>
      <c r="AJ200" s="82" t="inlineStr">
        <is>
          <t>Короб</t>
        </is>
      </c>
      <c r="AK200" s="82" t="n">
        <v>1</v>
      </c>
      <c r="BB200" s="215" t="inlineStr">
        <is>
          <t>ЗПФ</t>
        </is>
      </c>
      <c r="BM200" s="78">
        <f>IFERROR(X200*I200,"0")</f>
        <v/>
      </c>
      <c r="BN200" s="78">
        <f>IFERROR(Y200*I200,"0")</f>
        <v/>
      </c>
      <c r="BO200" s="78">
        <f>IFERROR(X200/J200,"0")</f>
        <v/>
      </c>
      <c r="BP200" s="78">
        <f>IFERROR(Y200/J200,"0")</f>
        <v/>
      </c>
    </row>
    <row r="201">
      <c r="A201" s="285" t="n"/>
      <c r="B201" s="273" t="n"/>
      <c r="C201" s="273" t="n"/>
      <c r="D201" s="273" t="n"/>
      <c r="E201" s="273" t="n"/>
      <c r="F201" s="273" t="n"/>
      <c r="G201" s="273" t="n"/>
      <c r="H201" s="273" t="n"/>
      <c r="I201" s="273" t="n"/>
      <c r="J201" s="273" t="n"/>
      <c r="K201" s="273" t="n"/>
      <c r="L201" s="273" t="n"/>
      <c r="M201" s="273" t="n"/>
      <c r="N201" s="273" t="n"/>
      <c r="O201" s="507" t="n"/>
      <c r="P201" s="508" t="inlineStr">
        <is>
          <t>Итого</t>
        </is>
      </c>
      <c r="Q201" s="470" t="n"/>
      <c r="R201" s="470" t="n"/>
      <c r="S201" s="470" t="n"/>
      <c r="T201" s="470" t="n"/>
      <c r="U201" s="470" t="n"/>
      <c r="V201" s="471" t="n"/>
      <c r="W201" s="40" t="inlineStr">
        <is>
          <t>кор</t>
        </is>
      </c>
      <c r="X201" s="509">
        <f>IFERROR(SUM(X200:X200),"0")</f>
        <v/>
      </c>
      <c r="Y201" s="509">
        <f>IFERROR(SUM(Y200:Y200),"0")</f>
        <v/>
      </c>
      <c r="Z201" s="509">
        <f>IFERROR(IF(Z200="",0,Z200),"0")</f>
        <v/>
      </c>
      <c r="AA201" s="510" t="n"/>
      <c r="AB201" s="510" t="n"/>
      <c r="AC201" s="510" t="n"/>
    </row>
    <row r="202">
      <c r="A202" s="273" t="n"/>
      <c r="B202" s="273" t="n"/>
      <c r="C202" s="273" t="n"/>
      <c r="D202" s="273" t="n"/>
      <c r="E202" s="273" t="n"/>
      <c r="F202" s="273" t="n"/>
      <c r="G202" s="273" t="n"/>
      <c r="H202" s="273" t="n"/>
      <c r="I202" s="273" t="n"/>
      <c r="J202" s="273" t="n"/>
      <c r="K202" s="273" t="n"/>
      <c r="L202" s="273" t="n"/>
      <c r="M202" s="273" t="n"/>
      <c r="N202" s="273" t="n"/>
      <c r="O202" s="507" t="n"/>
      <c r="P202" s="508" t="inlineStr">
        <is>
          <t>Итого</t>
        </is>
      </c>
      <c r="Q202" s="470" t="n"/>
      <c r="R202" s="470" t="n"/>
      <c r="S202" s="470" t="n"/>
      <c r="T202" s="470" t="n"/>
      <c r="U202" s="470" t="n"/>
      <c r="V202" s="471" t="n"/>
      <c r="W202" s="40" t="inlineStr">
        <is>
          <t>кг</t>
        </is>
      </c>
      <c r="X202" s="509">
        <f>IFERROR(SUMPRODUCT(X200:X200*H200:H200),"0")</f>
        <v/>
      </c>
      <c r="Y202" s="509">
        <f>IFERROR(SUMPRODUCT(Y200:Y200*H200:H200),"0")</f>
        <v/>
      </c>
      <c r="Z202" s="40" t="n"/>
      <c r="AA202" s="510" t="n"/>
      <c r="AB202" s="510" t="n"/>
      <c r="AC202" s="510" t="n"/>
    </row>
    <row r="203" ht="16.5" customHeight="1">
      <c r="A203" s="306" t="inlineStr">
        <is>
          <t>Добросельские ЭТМ</t>
        </is>
      </c>
      <c r="B203" s="273" t="n"/>
      <c r="C203" s="273" t="n"/>
      <c r="D203" s="273" t="n"/>
      <c r="E203" s="273" t="n"/>
      <c r="F203" s="273" t="n"/>
      <c r="G203" s="273" t="n"/>
      <c r="H203" s="273" t="n"/>
      <c r="I203" s="273" t="n"/>
      <c r="J203" s="273" t="n"/>
      <c r="K203" s="273" t="n"/>
      <c r="L203" s="273" t="n"/>
      <c r="M203" s="273" t="n"/>
      <c r="N203" s="273" t="n"/>
      <c r="O203" s="273" t="n"/>
      <c r="P203" s="273" t="n"/>
      <c r="Q203" s="273" t="n"/>
      <c r="R203" s="273" t="n"/>
      <c r="S203" s="273" t="n"/>
      <c r="T203" s="273" t="n"/>
      <c r="U203" s="273" t="n"/>
      <c r="V203" s="273" t="n"/>
      <c r="W203" s="273" t="n"/>
      <c r="X203" s="273" t="n"/>
      <c r="Y203" s="273" t="n"/>
      <c r="Z203" s="273" t="n"/>
      <c r="AA203" s="306" t="n"/>
      <c r="AB203" s="306" t="n"/>
      <c r="AC203" s="306" t="n"/>
    </row>
    <row r="204" ht="14.25" customHeight="1">
      <c r="A204" s="295" t="inlineStr">
        <is>
          <t>Пельмени</t>
        </is>
      </c>
      <c r="B204" s="273" t="n"/>
      <c r="C204" s="273" t="n"/>
      <c r="D204" s="273" t="n"/>
      <c r="E204" s="273" t="n"/>
      <c r="F204" s="273" t="n"/>
      <c r="G204" s="273" t="n"/>
      <c r="H204" s="273" t="n"/>
      <c r="I204" s="273" t="n"/>
      <c r="J204" s="273" t="n"/>
      <c r="K204" s="273" t="n"/>
      <c r="L204" s="273" t="n"/>
      <c r="M204" s="273" t="n"/>
      <c r="N204" s="273" t="n"/>
      <c r="O204" s="273" t="n"/>
      <c r="P204" s="273" t="n"/>
      <c r="Q204" s="273" t="n"/>
      <c r="R204" s="273" t="n"/>
      <c r="S204" s="273" t="n"/>
      <c r="T204" s="273" t="n"/>
      <c r="U204" s="273" t="n"/>
      <c r="V204" s="273" t="n"/>
      <c r="W204" s="273" t="n"/>
      <c r="X204" s="273" t="n"/>
      <c r="Y204" s="273" t="n"/>
      <c r="Z204" s="273" t="n"/>
      <c r="AA204" s="295" t="n"/>
      <c r="AB204" s="295" t="n"/>
      <c r="AC204" s="295" t="n"/>
    </row>
    <row r="205" ht="27" customHeight="1">
      <c r="A205" s="60" t="inlineStr">
        <is>
          <t>SU003841</t>
        </is>
      </c>
      <c r="B205" s="60" t="inlineStr">
        <is>
          <t>P004905</t>
        </is>
      </c>
      <c r="C205" s="34" t="n">
        <v>4301071093</v>
      </c>
      <c r="D205" s="276" t="n">
        <v>4620207490709</v>
      </c>
      <c r="E205" s="462" t="n"/>
      <c r="F205" s="501" t="n">
        <v>0.65</v>
      </c>
      <c r="G205" s="35" t="n">
        <v>8</v>
      </c>
      <c r="H205" s="501" t="n">
        <v>5.2</v>
      </c>
      <c r="I205" s="501" t="n">
        <v>5.47</v>
      </c>
      <c r="J205" s="35" t="n">
        <v>84</v>
      </c>
      <c r="K205" s="35" t="inlineStr">
        <is>
          <t>12</t>
        </is>
      </c>
      <c r="L205" s="35" t="inlineStr">
        <is>
          <t>Короб, мин. 1</t>
        </is>
      </c>
      <c r="M205" s="36" t="inlineStr">
        <is>
          <t>МГ</t>
        </is>
      </c>
      <c r="N205" s="36" t="n"/>
      <c r="O205" s="35" t="n">
        <v>180</v>
      </c>
      <c r="P205" s="576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05" s="503" t="n"/>
      <c r="R205" s="503" t="n"/>
      <c r="S205" s="503" t="n"/>
      <c r="T205" s="504" t="n"/>
      <c r="U205" s="37" t="inlineStr"/>
      <c r="V205" s="37" t="inlineStr"/>
      <c r="W205" s="38" t="inlineStr">
        <is>
          <t>кор</t>
        </is>
      </c>
      <c r="X205" s="505" t="n">
        <v>0</v>
      </c>
      <c r="Y205" s="506">
        <f>IFERROR(IF(X205="","",X205),"")</f>
        <v/>
      </c>
      <c r="Z205" s="39">
        <f>IFERROR(IF(X205="","",X205*0.0155),"")</f>
        <v/>
      </c>
      <c r="AA205" s="65" t="inlineStr"/>
      <c r="AB205" s="66" t="inlineStr"/>
      <c r="AC205" s="216" t="inlineStr">
        <is>
          <t>ЕАЭС N RU Д-RU.РА10.В.54690/24</t>
        </is>
      </c>
      <c r="AG205" s="78" t="n"/>
      <c r="AJ205" s="82" t="inlineStr">
        <is>
          <t>Короб</t>
        </is>
      </c>
      <c r="AK205" s="82" t="n">
        <v>1</v>
      </c>
      <c r="BB205" s="217" t="inlineStr">
        <is>
          <t>ЗПФ</t>
        </is>
      </c>
      <c r="BM205" s="78">
        <f>IFERROR(X205*I205,"0")</f>
        <v/>
      </c>
      <c r="BN205" s="78">
        <f>IFERROR(Y205*I205,"0")</f>
        <v/>
      </c>
      <c r="BO205" s="78">
        <f>IFERROR(X205/J205,"0")</f>
        <v/>
      </c>
      <c r="BP205" s="78">
        <f>IFERROR(Y205/J205,"0")</f>
        <v/>
      </c>
    </row>
    <row r="206">
      <c r="A206" s="285" t="n"/>
      <c r="B206" s="273" t="n"/>
      <c r="C206" s="273" t="n"/>
      <c r="D206" s="273" t="n"/>
      <c r="E206" s="273" t="n"/>
      <c r="F206" s="273" t="n"/>
      <c r="G206" s="273" t="n"/>
      <c r="H206" s="273" t="n"/>
      <c r="I206" s="273" t="n"/>
      <c r="J206" s="273" t="n"/>
      <c r="K206" s="273" t="n"/>
      <c r="L206" s="273" t="n"/>
      <c r="M206" s="273" t="n"/>
      <c r="N206" s="273" t="n"/>
      <c r="O206" s="507" t="n"/>
      <c r="P206" s="508" t="inlineStr">
        <is>
          <t>Итого</t>
        </is>
      </c>
      <c r="Q206" s="470" t="n"/>
      <c r="R206" s="470" t="n"/>
      <c r="S206" s="470" t="n"/>
      <c r="T206" s="470" t="n"/>
      <c r="U206" s="470" t="n"/>
      <c r="V206" s="471" t="n"/>
      <c r="W206" s="40" t="inlineStr">
        <is>
          <t>кор</t>
        </is>
      </c>
      <c r="X206" s="509">
        <f>IFERROR(SUM(X205:X205),"0")</f>
        <v/>
      </c>
      <c r="Y206" s="509">
        <f>IFERROR(SUM(Y205:Y205),"0")</f>
        <v/>
      </c>
      <c r="Z206" s="509">
        <f>IFERROR(IF(Z205="",0,Z205),"0")</f>
        <v/>
      </c>
      <c r="AA206" s="510" t="n"/>
      <c r="AB206" s="510" t="n"/>
      <c r="AC206" s="510" t="n"/>
    </row>
    <row r="207">
      <c r="A207" s="273" t="n"/>
      <c r="B207" s="273" t="n"/>
      <c r="C207" s="273" t="n"/>
      <c r="D207" s="273" t="n"/>
      <c r="E207" s="273" t="n"/>
      <c r="F207" s="273" t="n"/>
      <c r="G207" s="273" t="n"/>
      <c r="H207" s="273" t="n"/>
      <c r="I207" s="273" t="n"/>
      <c r="J207" s="273" t="n"/>
      <c r="K207" s="273" t="n"/>
      <c r="L207" s="273" t="n"/>
      <c r="M207" s="273" t="n"/>
      <c r="N207" s="273" t="n"/>
      <c r="O207" s="507" t="n"/>
      <c r="P207" s="508" t="inlineStr">
        <is>
          <t>Итого</t>
        </is>
      </c>
      <c r="Q207" s="470" t="n"/>
      <c r="R207" s="470" t="n"/>
      <c r="S207" s="470" t="n"/>
      <c r="T207" s="470" t="n"/>
      <c r="U207" s="470" t="n"/>
      <c r="V207" s="471" t="n"/>
      <c r="W207" s="40" t="inlineStr">
        <is>
          <t>кг</t>
        </is>
      </c>
      <c r="X207" s="509">
        <f>IFERROR(SUMPRODUCT(X205:X205*H205:H205),"0")</f>
        <v/>
      </c>
      <c r="Y207" s="509">
        <f>IFERROR(SUMPRODUCT(Y205:Y205*H205:H205),"0")</f>
        <v/>
      </c>
      <c r="Z207" s="40" t="n"/>
      <c r="AA207" s="510" t="n"/>
      <c r="AB207" s="510" t="n"/>
      <c r="AC207" s="510" t="n"/>
    </row>
    <row r="208" ht="14.25" customHeight="1">
      <c r="A208" s="295" t="inlineStr">
        <is>
          <t>Снеки</t>
        </is>
      </c>
      <c r="B208" s="273" t="n"/>
      <c r="C208" s="273" t="n"/>
      <c r="D208" s="273" t="n"/>
      <c r="E208" s="273" t="n"/>
      <c r="F208" s="273" t="n"/>
      <c r="G208" s="273" t="n"/>
      <c r="H208" s="273" t="n"/>
      <c r="I208" s="273" t="n"/>
      <c r="J208" s="273" t="n"/>
      <c r="K208" s="273" t="n"/>
      <c r="L208" s="273" t="n"/>
      <c r="M208" s="273" t="n"/>
      <c r="N208" s="273" t="n"/>
      <c r="O208" s="273" t="n"/>
      <c r="P208" s="273" t="n"/>
      <c r="Q208" s="273" t="n"/>
      <c r="R208" s="273" t="n"/>
      <c r="S208" s="273" t="n"/>
      <c r="T208" s="273" t="n"/>
      <c r="U208" s="273" t="n"/>
      <c r="V208" s="273" t="n"/>
      <c r="W208" s="273" t="n"/>
      <c r="X208" s="273" t="n"/>
      <c r="Y208" s="273" t="n"/>
      <c r="Z208" s="273" t="n"/>
      <c r="AA208" s="295" t="n"/>
      <c r="AB208" s="295" t="n"/>
      <c r="AC208" s="295" t="n"/>
    </row>
    <row r="209" ht="27" customHeight="1">
      <c r="A209" s="60" t="inlineStr">
        <is>
          <t>SU003708</t>
        </is>
      </c>
      <c r="B209" s="60" t="inlineStr">
        <is>
          <t>P004806</t>
        </is>
      </c>
      <c r="C209" s="34" t="n">
        <v>4301135692</v>
      </c>
      <c r="D209" s="276" t="n">
        <v>4620207490570</v>
      </c>
      <c r="E209" s="462" t="n"/>
      <c r="F209" s="501" t="n">
        <v>0.2</v>
      </c>
      <c r="G209" s="35" t="n">
        <v>12</v>
      </c>
      <c r="H209" s="501" t="n">
        <v>2.4</v>
      </c>
      <c r="I209" s="501" t="n">
        <v>3.1036</v>
      </c>
      <c r="J209" s="35" t="n">
        <v>70</v>
      </c>
      <c r="K209" s="35" t="inlineStr">
        <is>
          <t>14</t>
        </is>
      </c>
      <c r="L209" s="35" t="inlineStr">
        <is>
          <t>Короб, мин. 1</t>
        </is>
      </c>
      <c r="M209" s="36" t="inlineStr">
        <is>
          <t>МГ</t>
        </is>
      </c>
      <c r="N209" s="36" t="n"/>
      <c r="O209" s="35" t="n">
        <v>180</v>
      </c>
      <c r="P209" s="577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/>
      </c>
      <c r="Q209" s="503" t="n"/>
      <c r="R209" s="503" t="n"/>
      <c r="S209" s="503" t="n"/>
      <c r="T209" s="504" t="n"/>
      <c r="U209" s="37" t="inlineStr"/>
      <c r="V209" s="37" t="inlineStr"/>
      <c r="W209" s="38" t="inlineStr">
        <is>
          <t>кор</t>
        </is>
      </c>
      <c r="X209" s="505" t="n">
        <v>0</v>
      </c>
      <c r="Y209" s="506">
        <f>IFERROR(IF(X209="","",X209),"")</f>
        <v/>
      </c>
      <c r="Z209" s="39">
        <f>IFERROR(IF(X209="","",X209*0.01788),"")</f>
        <v/>
      </c>
      <c r="AA209" s="65" t="inlineStr"/>
      <c r="AB209" s="66" t="inlineStr"/>
      <c r="AC209" s="218" t="inlineStr">
        <is>
          <t>ЕАЭС N RU Д-RU.РА10.В.24095/24</t>
        </is>
      </c>
      <c r="AG209" s="78" t="n"/>
      <c r="AJ209" s="82" t="inlineStr">
        <is>
          <t>Короб</t>
        </is>
      </c>
      <c r="AK209" s="82" t="n">
        <v>1</v>
      </c>
      <c r="BB209" s="219" t="inlineStr">
        <is>
          <t>ПГП</t>
        </is>
      </c>
      <c r="BM209" s="78">
        <f>IFERROR(X209*I209,"0")</f>
        <v/>
      </c>
      <c r="BN209" s="78">
        <f>IFERROR(Y209*I209,"0")</f>
        <v/>
      </c>
      <c r="BO209" s="78">
        <f>IFERROR(X209/J209,"0")</f>
        <v/>
      </c>
      <c r="BP209" s="78">
        <f>IFERROR(Y209/J209,"0")</f>
        <v/>
      </c>
    </row>
    <row r="210" ht="27" customHeight="1">
      <c r="A210" s="60" t="inlineStr">
        <is>
          <t>SU003706</t>
        </is>
      </c>
      <c r="B210" s="60" t="inlineStr">
        <is>
          <t>P004804</t>
        </is>
      </c>
      <c r="C210" s="34" t="n">
        <v>4301135691</v>
      </c>
      <c r="D210" s="276" t="n">
        <v>4620207490549</v>
      </c>
      <c r="E210" s="462" t="n"/>
      <c r="F210" s="501" t="n">
        <v>0.2</v>
      </c>
      <c r="G210" s="35" t="n">
        <v>12</v>
      </c>
      <c r="H210" s="501" t="n">
        <v>2.4</v>
      </c>
      <c r="I210" s="501" t="n">
        <v>3.1036</v>
      </c>
      <c r="J210" s="35" t="n">
        <v>70</v>
      </c>
      <c r="K210" s="35" t="inlineStr">
        <is>
          <t>14</t>
        </is>
      </c>
      <c r="L210" s="35" t="inlineStr">
        <is>
          <t>Короб, мин. 1</t>
        </is>
      </c>
      <c r="M210" s="36" t="inlineStr">
        <is>
          <t>МГ</t>
        </is>
      </c>
      <c r="N210" s="36" t="n"/>
      <c r="O210" s="35" t="n">
        <v>180</v>
      </c>
      <c r="P210" s="578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10" s="503" t="n"/>
      <c r="R210" s="503" t="n"/>
      <c r="S210" s="503" t="n"/>
      <c r="T210" s="504" t="n"/>
      <c r="U210" s="37" t="inlineStr"/>
      <c r="V210" s="37" t="inlineStr"/>
      <c r="W210" s="38" t="inlineStr">
        <is>
          <t>кор</t>
        </is>
      </c>
      <c r="X210" s="505" t="n">
        <v>0</v>
      </c>
      <c r="Y210" s="506">
        <f>IFERROR(IF(X210="","",X210),"")</f>
        <v/>
      </c>
      <c r="Z210" s="39">
        <f>IFERROR(IF(X210="","",X210*0.01788),"")</f>
        <v/>
      </c>
      <c r="AA210" s="65" t="inlineStr"/>
      <c r="AB210" s="66" t="inlineStr"/>
      <c r="AC210" s="220" t="inlineStr">
        <is>
          <t>ЕАЭС N RU Д-RU.РА10.В.24095/24</t>
        </is>
      </c>
      <c r="AG210" s="78" t="n"/>
      <c r="AJ210" s="82" t="inlineStr">
        <is>
          <t>Короб</t>
        </is>
      </c>
      <c r="AK210" s="82" t="n">
        <v>1</v>
      </c>
      <c r="BB210" s="221" t="inlineStr">
        <is>
          <t>ПГП</t>
        </is>
      </c>
      <c r="BM210" s="78">
        <f>IFERROR(X210*I210,"0")</f>
        <v/>
      </c>
      <c r="BN210" s="78">
        <f>IFERROR(Y210*I210,"0")</f>
        <v/>
      </c>
      <c r="BO210" s="78">
        <f>IFERROR(X210/J210,"0")</f>
        <v/>
      </c>
      <c r="BP210" s="78">
        <f>IFERROR(Y210/J210,"0")</f>
        <v/>
      </c>
    </row>
    <row r="211" ht="27" customHeight="1">
      <c r="A211" s="60" t="inlineStr">
        <is>
          <t>SU003707</t>
        </is>
      </c>
      <c r="B211" s="60" t="inlineStr">
        <is>
          <t>P004805</t>
        </is>
      </c>
      <c r="C211" s="34" t="n">
        <v>4301135694</v>
      </c>
      <c r="D211" s="276" t="n">
        <v>4620207490501</v>
      </c>
      <c r="E211" s="462" t="n"/>
      <c r="F211" s="501" t="n">
        <v>0.2</v>
      </c>
      <c r="G211" s="35" t="n">
        <v>12</v>
      </c>
      <c r="H211" s="501" t="n">
        <v>2.4</v>
      </c>
      <c r="I211" s="501" t="n">
        <v>3.1036</v>
      </c>
      <c r="J211" s="35" t="n">
        <v>70</v>
      </c>
      <c r="K211" s="35" t="inlineStr">
        <is>
          <t>14</t>
        </is>
      </c>
      <c r="L211" s="35" t="inlineStr">
        <is>
          <t>Короб, мин. 1</t>
        </is>
      </c>
      <c r="M211" s="36" t="inlineStr">
        <is>
          <t>МГ</t>
        </is>
      </c>
      <c r="N211" s="36" t="n"/>
      <c r="O211" s="35" t="n">
        <v>180</v>
      </c>
      <c r="P211" s="579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11" s="503" t="n"/>
      <c r="R211" s="503" t="n"/>
      <c r="S211" s="503" t="n"/>
      <c r="T211" s="504" t="n"/>
      <c r="U211" s="37" t="inlineStr"/>
      <c r="V211" s="37" t="inlineStr"/>
      <c r="W211" s="38" t="inlineStr">
        <is>
          <t>кор</t>
        </is>
      </c>
      <c r="X211" s="505" t="n">
        <v>0</v>
      </c>
      <c r="Y211" s="506">
        <f>IFERROR(IF(X211="","",X211),"")</f>
        <v/>
      </c>
      <c r="Z211" s="39">
        <f>IFERROR(IF(X211="","",X211*0.01788),"")</f>
        <v/>
      </c>
      <c r="AA211" s="65" t="inlineStr"/>
      <c r="AB211" s="66" t="inlineStr"/>
      <c r="AC211" s="222" t="inlineStr">
        <is>
          <t>ЕАЭС N RU Д-RU.РА10.В.24095/24</t>
        </is>
      </c>
      <c r="AG211" s="78" t="n"/>
      <c r="AJ211" s="82" t="inlineStr">
        <is>
          <t>Короб</t>
        </is>
      </c>
      <c r="AK211" s="82" t="n">
        <v>1</v>
      </c>
      <c r="BB211" s="223" t="inlineStr">
        <is>
          <t>ПГП</t>
        </is>
      </c>
      <c r="BM211" s="78">
        <f>IFERROR(X211*I211,"0")</f>
        <v/>
      </c>
      <c r="BN211" s="78">
        <f>IFERROR(Y211*I211,"0")</f>
        <v/>
      </c>
      <c r="BO211" s="78">
        <f>IFERROR(X211/J211,"0")</f>
        <v/>
      </c>
      <c r="BP211" s="78">
        <f>IFERROR(Y211/J211,"0")</f>
        <v/>
      </c>
    </row>
    <row r="212">
      <c r="A212" s="285" t="n"/>
      <c r="B212" s="273" t="n"/>
      <c r="C212" s="273" t="n"/>
      <c r="D212" s="273" t="n"/>
      <c r="E212" s="273" t="n"/>
      <c r="F212" s="273" t="n"/>
      <c r="G212" s="273" t="n"/>
      <c r="H212" s="273" t="n"/>
      <c r="I212" s="273" t="n"/>
      <c r="J212" s="273" t="n"/>
      <c r="K212" s="273" t="n"/>
      <c r="L212" s="273" t="n"/>
      <c r="M212" s="273" t="n"/>
      <c r="N212" s="273" t="n"/>
      <c r="O212" s="507" t="n"/>
      <c r="P212" s="508" t="inlineStr">
        <is>
          <t>Итого</t>
        </is>
      </c>
      <c r="Q212" s="470" t="n"/>
      <c r="R212" s="470" t="n"/>
      <c r="S212" s="470" t="n"/>
      <c r="T212" s="470" t="n"/>
      <c r="U212" s="470" t="n"/>
      <c r="V212" s="471" t="n"/>
      <c r="W212" s="40" t="inlineStr">
        <is>
          <t>кор</t>
        </is>
      </c>
      <c r="X212" s="509">
        <f>IFERROR(SUM(X209:X211),"0")</f>
        <v/>
      </c>
      <c r="Y212" s="509">
        <f>IFERROR(SUM(Y209:Y211),"0")</f>
        <v/>
      </c>
      <c r="Z212" s="509">
        <f>IFERROR(IF(Z209="",0,Z209),"0")+IFERROR(IF(Z210="",0,Z210),"0")+IFERROR(IF(Z211="",0,Z211),"0")</f>
        <v/>
      </c>
      <c r="AA212" s="510" t="n"/>
      <c r="AB212" s="510" t="n"/>
      <c r="AC212" s="510" t="n"/>
    </row>
    <row r="213">
      <c r="A213" s="273" t="n"/>
      <c r="B213" s="273" t="n"/>
      <c r="C213" s="273" t="n"/>
      <c r="D213" s="273" t="n"/>
      <c r="E213" s="273" t="n"/>
      <c r="F213" s="273" t="n"/>
      <c r="G213" s="273" t="n"/>
      <c r="H213" s="273" t="n"/>
      <c r="I213" s="273" t="n"/>
      <c r="J213" s="273" t="n"/>
      <c r="K213" s="273" t="n"/>
      <c r="L213" s="273" t="n"/>
      <c r="M213" s="273" t="n"/>
      <c r="N213" s="273" t="n"/>
      <c r="O213" s="507" t="n"/>
      <c r="P213" s="508" t="inlineStr">
        <is>
          <t>Итого</t>
        </is>
      </c>
      <c r="Q213" s="470" t="n"/>
      <c r="R213" s="470" t="n"/>
      <c r="S213" s="470" t="n"/>
      <c r="T213" s="470" t="n"/>
      <c r="U213" s="470" t="n"/>
      <c r="V213" s="471" t="n"/>
      <c r="W213" s="40" t="inlineStr">
        <is>
          <t>кг</t>
        </is>
      </c>
      <c r="X213" s="509">
        <f>IFERROR(SUMPRODUCT(X209:X211*H209:H211),"0")</f>
        <v/>
      </c>
      <c r="Y213" s="509">
        <f>IFERROR(SUMPRODUCT(Y209:Y211*H209:H211),"0")</f>
        <v/>
      </c>
      <c r="Z213" s="40" t="n"/>
      <c r="AA213" s="510" t="n"/>
      <c r="AB213" s="510" t="n"/>
      <c r="AC213" s="510" t="n"/>
    </row>
    <row r="214" ht="16.5" customHeight="1">
      <c r="A214" s="306" t="inlineStr">
        <is>
          <t>Сочные</t>
        </is>
      </c>
      <c r="B214" s="273" t="n"/>
      <c r="C214" s="273" t="n"/>
      <c r="D214" s="273" t="n"/>
      <c r="E214" s="273" t="n"/>
      <c r="F214" s="273" t="n"/>
      <c r="G214" s="273" t="n"/>
      <c r="H214" s="273" t="n"/>
      <c r="I214" s="273" t="n"/>
      <c r="J214" s="273" t="n"/>
      <c r="K214" s="273" t="n"/>
      <c r="L214" s="273" t="n"/>
      <c r="M214" s="273" t="n"/>
      <c r="N214" s="273" t="n"/>
      <c r="O214" s="273" t="n"/>
      <c r="P214" s="273" t="n"/>
      <c r="Q214" s="273" t="n"/>
      <c r="R214" s="273" t="n"/>
      <c r="S214" s="273" t="n"/>
      <c r="T214" s="273" t="n"/>
      <c r="U214" s="273" t="n"/>
      <c r="V214" s="273" t="n"/>
      <c r="W214" s="273" t="n"/>
      <c r="X214" s="273" t="n"/>
      <c r="Y214" s="273" t="n"/>
      <c r="Z214" s="273" t="n"/>
      <c r="AA214" s="306" t="n"/>
      <c r="AB214" s="306" t="n"/>
      <c r="AC214" s="306" t="n"/>
    </row>
    <row r="215" ht="14.25" customHeight="1">
      <c r="A215" s="295" t="inlineStr">
        <is>
          <t>Пельмени</t>
        </is>
      </c>
      <c r="B215" s="273" t="n"/>
      <c r="C215" s="273" t="n"/>
      <c r="D215" s="273" t="n"/>
      <c r="E215" s="273" t="n"/>
      <c r="F215" s="273" t="n"/>
      <c r="G215" s="273" t="n"/>
      <c r="H215" s="273" t="n"/>
      <c r="I215" s="273" t="n"/>
      <c r="J215" s="273" t="n"/>
      <c r="K215" s="273" t="n"/>
      <c r="L215" s="273" t="n"/>
      <c r="M215" s="273" t="n"/>
      <c r="N215" s="273" t="n"/>
      <c r="O215" s="273" t="n"/>
      <c r="P215" s="273" t="n"/>
      <c r="Q215" s="273" t="n"/>
      <c r="R215" s="273" t="n"/>
      <c r="S215" s="273" t="n"/>
      <c r="T215" s="273" t="n"/>
      <c r="U215" s="273" t="n"/>
      <c r="V215" s="273" t="n"/>
      <c r="W215" s="273" t="n"/>
      <c r="X215" s="273" t="n"/>
      <c r="Y215" s="273" t="n"/>
      <c r="Z215" s="273" t="n"/>
      <c r="AA215" s="295" t="n"/>
      <c r="AB215" s="295" t="n"/>
      <c r="AC215" s="295" t="n"/>
    </row>
    <row r="216" ht="16.5" customHeight="1">
      <c r="A216" s="60" t="inlineStr">
        <is>
          <t>SU003964</t>
        </is>
      </c>
      <c r="B216" s="60" t="inlineStr">
        <is>
          <t>P005097</t>
        </is>
      </c>
      <c r="C216" s="34" t="n">
        <v>4301071099</v>
      </c>
      <c r="D216" s="276" t="n">
        <v>4607111039019</v>
      </c>
      <c r="E216" s="462" t="n"/>
      <c r="F216" s="501" t="n">
        <v>0.43</v>
      </c>
      <c r="G216" s="35" t="n">
        <v>16</v>
      </c>
      <c r="H216" s="501" t="n">
        <v>6.88</v>
      </c>
      <c r="I216" s="501" t="n">
        <v>7.206</v>
      </c>
      <c r="J216" s="35" t="n">
        <v>84</v>
      </c>
      <c r="K216" s="35" t="inlineStr">
        <is>
          <t>12</t>
        </is>
      </c>
      <c r="L216" s="35" t="inlineStr">
        <is>
          <t>Короб, мин. 1</t>
        </is>
      </c>
      <c r="M216" s="36" t="inlineStr">
        <is>
          <t>МГ</t>
        </is>
      </c>
      <c r="N216" s="36" t="n"/>
      <c r="O216" s="35" t="n">
        <v>180</v>
      </c>
      <c r="P216" s="580">
        <f>HYPERLINK("https://abi.ru/products/Замороженные/Стародворье/Сочные/Пельмени/P005097/","Пельмени «Сочные» 0,43 сфера ТМ «Медвежье ушко»")</f>
        <v/>
      </c>
      <c r="Q216" s="503" t="n"/>
      <c r="R216" s="503" t="n"/>
      <c r="S216" s="503" t="n"/>
      <c r="T216" s="504" t="n"/>
      <c r="U216" s="37" t="inlineStr"/>
      <c r="V216" s="37" t="inlineStr"/>
      <c r="W216" s="38" t="inlineStr">
        <is>
          <t>кор</t>
        </is>
      </c>
      <c r="X216" s="505" t="n">
        <v>0</v>
      </c>
      <c r="Y216" s="506">
        <f>IFERROR(IF(X216="","",X216),"")</f>
        <v/>
      </c>
      <c r="Z216" s="39">
        <f>IFERROR(IF(X216="","",X216*0.0155),"")</f>
        <v/>
      </c>
      <c r="AA216" s="65" t="inlineStr"/>
      <c r="AB216" s="66" t="inlineStr"/>
      <c r="AC216" s="224" t="inlineStr">
        <is>
          <t>ЕАЭС N RU Д-RU.РА01.В.86265/24</t>
        </is>
      </c>
      <c r="AG216" s="78" t="n"/>
      <c r="AJ216" s="82" t="inlineStr">
        <is>
          <t>Короб</t>
        </is>
      </c>
      <c r="AK216" s="82" t="n">
        <v>1</v>
      </c>
      <c r="BB216" s="225" t="inlineStr">
        <is>
          <t>ЗПФ</t>
        </is>
      </c>
      <c r="BM216" s="78">
        <f>IFERROR(X216*I216,"0")</f>
        <v/>
      </c>
      <c r="BN216" s="78">
        <f>IFERROR(Y216*I216,"0")</f>
        <v/>
      </c>
      <c r="BO216" s="78">
        <f>IFERROR(X216/J216,"0")</f>
        <v/>
      </c>
      <c r="BP216" s="78">
        <f>IFERROR(Y216/J216,"0")</f>
        <v/>
      </c>
    </row>
    <row r="217" ht="16.5" customHeight="1">
      <c r="A217" s="60" t="inlineStr">
        <is>
          <t>SU003965</t>
        </is>
      </c>
      <c r="B217" s="60" t="inlineStr">
        <is>
          <t>P005098</t>
        </is>
      </c>
      <c r="C217" s="34" t="n">
        <v>4301071100</v>
      </c>
      <c r="D217" s="276" t="n">
        <v>4607111038708</v>
      </c>
      <c r="E217" s="462" t="n"/>
      <c r="F217" s="501" t="n">
        <v>0.8</v>
      </c>
      <c r="G217" s="35" t="n">
        <v>8</v>
      </c>
      <c r="H217" s="501" t="n">
        <v>6.4</v>
      </c>
      <c r="I217" s="501" t="n">
        <v>6.67</v>
      </c>
      <c r="J217" s="35" t="n">
        <v>84</v>
      </c>
      <c r="K217" s="35" t="inlineStr">
        <is>
          <t>12</t>
        </is>
      </c>
      <c r="L217" s="35" t="inlineStr">
        <is>
          <t>Короб, мин. 1</t>
        </is>
      </c>
      <c r="M217" s="36" t="inlineStr">
        <is>
          <t>МГ</t>
        </is>
      </c>
      <c r="N217" s="36" t="n"/>
      <c r="O217" s="35" t="n">
        <v>180</v>
      </c>
      <c r="P217" s="581">
        <f>HYPERLINK("https://abi.ru/products/Замороженные/Стародворье/Сочные/Пельмени/P005098/","Пельмени «Сочные» 0,8 сфера ТМ «Медвежье ушко»")</f>
        <v/>
      </c>
      <c r="Q217" s="503" t="n"/>
      <c r="R217" s="503" t="n"/>
      <c r="S217" s="503" t="n"/>
      <c r="T217" s="504" t="n"/>
      <c r="U217" s="37" t="inlineStr"/>
      <c r="V217" s="37" t="inlineStr"/>
      <c r="W217" s="38" t="inlineStr">
        <is>
          <t>кор</t>
        </is>
      </c>
      <c r="X217" s="505" t="n">
        <v>0</v>
      </c>
      <c r="Y217" s="506">
        <f>IFERROR(IF(X217="","",X217),"")</f>
        <v/>
      </c>
      <c r="Z217" s="39">
        <f>IFERROR(IF(X217="","",X217*0.0155),"")</f>
        <v/>
      </c>
      <c r="AA217" s="65" t="inlineStr"/>
      <c r="AB217" s="66" t="inlineStr"/>
      <c r="AC217" s="226" t="inlineStr">
        <is>
          <t>ЕАЭС N RU Д-RU.РА01.В.86265/24</t>
        </is>
      </c>
      <c r="AG217" s="78" t="n"/>
      <c r="AJ217" s="82" t="inlineStr">
        <is>
          <t>Короб</t>
        </is>
      </c>
      <c r="AK217" s="82" t="n">
        <v>1</v>
      </c>
      <c r="BB217" s="227" t="inlineStr">
        <is>
          <t>ЗПФ</t>
        </is>
      </c>
      <c r="BM217" s="78">
        <f>IFERROR(X217*I217,"0")</f>
        <v/>
      </c>
      <c r="BN217" s="78">
        <f>IFERROR(Y217*I217,"0")</f>
        <v/>
      </c>
      <c r="BO217" s="78">
        <f>IFERROR(X217/J217,"0")</f>
        <v/>
      </c>
      <c r="BP217" s="78">
        <f>IFERROR(Y217/J217,"0")</f>
        <v/>
      </c>
    </row>
    <row r="218">
      <c r="A218" s="285" t="n"/>
      <c r="B218" s="273" t="n"/>
      <c r="C218" s="273" t="n"/>
      <c r="D218" s="273" t="n"/>
      <c r="E218" s="273" t="n"/>
      <c r="F218" s="273" t="n"/>
      <c r="G218" s="273" t="n"/>
      <c r="H218" s="273" t="n"/>
      <c r="I218" s="273" t="n"/>
      <c r="J218" s="273" t="n"/>
      <c r="K218" s="273" t="n"/>
      <c r="L218" s="273" t="n"/>
      <c r="M218" s="273" t="n"/>
      <c r="N218" s="273" t="n"/>
      <c r="O218" s="507" t="n"/>
      <c r="P218" s="508" t="inlineStr">
        <is>
          <t>Итого</t>
        </is>
      </c>
      <c r="Q218" s="470" t="n"/>
      <c r="R218" s="470" t="n"/>
      <c r="S218" s="470" t="n"/>
      <c r="T218" s="470" t="n"/>
      <c r="U218" s="470" t="n"/>
      <c r="V218" s="471" t="n"/>
      <c r="W218" s="40" t="inlineStr">
        <is>
          <t>кор</t>
        </is>
      </c>
      <c r="X218" s="509">
        <f>IFERROR(SUM(X216:X217),"0")</f>
        <v/>
      </c>
      <c r="Y218" s="509">
        <f>IFERROR(SUM(Y216:Y217),"0")</f>
        <v/>
      </c>
      <c r="Z218" s="509">
        <f>IFERROR(IF(Z216="",0,Z216),"0")+IFERROR(IF(Z217="",0,Z217),"0")</f>
        <v/>
      </c>
      <c r="AA218" s="510" t="n"/>
      <c r="AB218" s="510" t="n"/>
      <c r="AC218" s="510" t="n"/>
    </row>
    <row r="219">
      <c r="A219" s="273" t="n"/>
      <c r="B219" s="273" t="n"/>
      <c r="C219" s="273" t="n"/>
      <c r="D219" s="273" t="n"/>
      <c r="E219" s="273" t="n"/>
      <c r="F219" s="273" t="n"/>
      <c r="G219" s="273" t="n"/>
      <c r="H219" s="273" t="n"/>
      <c r="I219" s="273" t="n"/>
      <c r="J219" s="273" t="n"/>
      <c r="K219" s="273" t="n"/>
      <c r="L219" s="273" t="n"/>
      <c r="M219" s="273" t="n"/>
      <c r="N219" s="273" t="n"/>
      <c r="O219" s="507" t="n"/>
      <c r="P219" s="508" t="inlineStr">
        <is>
          <t>Итого</t>
        </is>
      </c>
      <c r="Q219" s="470" t="n"/>
      <c r="R219" s="470" t="n"/>
      <c r="S219" s="470" t="n"/>
      <c r="T219" s="470" t="n"/>
      <c r="U219" s="470" t="n"/>
      <c r="V219" s="471" t="n"/>
      <c r="W219" s="40" t="inlineStr">
        <is>
          <t>кг</t>
        </is>
      </c>
      <c r="X219" s="509">
        <f>IFERROR(SUMPRODUCT(X216:X217*H216:H217),"0")</f>
        <v/>
      </c>
      <c r="Y219" s="509">
        <f>IFERROR(SUMPRODUCT(Y216:Y217*H216:H217),"0")</f>
        <v/>
      </c>
      <c r="Z219" s="40" t="n"/>
      <c r="AA219" s="510" t="n"/>
      <c r="AB219" s="510" t="n"/>
      <c r="AC219" s="510" t="n"/>
    </row>
    <row r="220" ht="27.75" customHeight="1">
      <c r="A220" s="305" t="inlineStr">
        <is>
          <t>Колбасный стандарт</t>
        </is>
      </c>
      <c r="B220" s="500" t="n"/>
      <c r="C220" s="500" t="n"/>
      <c r="D220" s="500" t="n"/>
      <c r="E220" s="500" t="n"/>
      <c r="F220" s="500" t="n"/>
      <c r="G220" s="500" t="n"/>
      <c r="H220" s="500" t="n"/>
      <c r="I220" s="500" t="n"/>
      <c r="J220" s="500" t="n"/>
      <c r="K220" s="500" t="n"/>
      <c r="L220" s="500" t="n"/>
      <c r="M220" s="500" t="n"/>
      <c r="N220" s="500" t="n"/>
      <c r="O220" s="500" t="n"/>
      <c r="P220" s="500" t="n"/>
      <c r="Q220" s="500" t="n"/>
      <c r="R220" s="500" t="n"/>
      <c r="S220" s="500" t="n"/>
      <c r="T220" s="500" t="n"/>
      <c r="U220" s="500" t="n"/>
      <c r="V220" s="500" t="n"/>
      <c r="W220" s="500" t="n"/>
      <c r="X220" s="500" t="n"/>
      <c r="Y220" s="500" t="n"/>
      <c r="Z220" s="500" t="n"/>
      <c r="AA220" s="52" t="n"/>
      <c r="AB220" s="52" t="n"/>
      <c r="AC220" s="52" t="n"/>
    </row>
    <row r="221" ht="16.5" customHeight="1">
      <c r="A221" s="306" t="inlineStr">
        <is>
          <t>Владимирский Стандарт ЗПФ</t>
        </is>
      </c>
      <c r="B221" s="273" t="n"/>
      <c r="C221" s="273" t="n"/>
      <c r="D221" s="273" t="n"/>
      <c r="E221" s="273" t="n"/>
      <c r="F221" s="273" t="n"/>
      <c r="G221" s="273" t="n"/>
      <c r="H221" s="273" t="n"/>
      <c r="I221" s="273" t="n"/>
      <c r="J221" s="273" t="n"/>
      <c r="K221" s="273" t="n"/>
      <c r="L221" s="273" t="n"/>
      <c r="M221" s="273" t="n"/>
      <c r="N221" s="273" t="n"/>
      <c r="O221" s="273" t="n"/>
      <c r="P221" s="273" t="n"/>
      <c r="Q221" s="273" t="n"/>
      <c r="R221" s="273" t="n"/>
      <c r="S221" s="273" t="n"/>
      <c r="T221" s="273" t="n"/>
      <c r="U221" s="273" t="n"/>
      <c r="V221" s="273" t="n"/>
      <c r="W221" s="273" t="n"/>
      <c r="X221" s="273" t="n"/>
      <c r="Y221" s="273" t="n"/>
      <c r="Z221" s="273" t="n"/>
      <c r="AA221" s="306" t="n"/>
      <c r="AB221" s="306" t="n"/>
      <c r="AC221" s="306" t="n"/>
    </row>
    <row r="222" ht="14.25" customHeight="1">
      <c r="A222" s="295" t="inlineStr">
        <is>
          <t>Пельмени</t>
        </is>
      </c>
      <c r="B222" s="273" t="n"/>
      <c r="C222" s="273" t="n"/>
      <c r="D222" s="273" t="n"/>
      <c r="E222" s="273" t="n"/>
      <c r="F222" s="273" t="n"/>
      <c r="G222" s="273" t="n"/>
      <c r="H222" s="273" t="n"/>
      <c r="I222" s="273" t="n"/>
      <c r="J222" s="273" t="n"/>
      <c r="K222" s="273" t="n"/>
      <c r="L222" s="273" t="n"/>
      <c r="M222" s="273" t="n"/>
      <c r="N222" s="273" t="n"/>
      <c r="O222" s="273" t="n"/>
      <c r="P222" s="273" t="n"/>
      <c r="Q222" s="273" t="n"/>
      <c r="R222" s="273" t="n"/>
      <c r="S222" s="273" t="n"/>
      <c r="T222" s="273" t="n"/>
      <c r="U222" s="273" t="n"/>
      <c r="V222" s="273" t="n"/>
      <c r="W222" s="273" t="n"/>
      <c r="X222" s="273" t="n"/>
      <c r="Y222" s="273" t="n"/>
      <c r="Z222" s="273" t="n"/>
      <c r="AA222" s="295" t="n"/>
      <c r="AB222" s="295" t="n"/>
      <c r="AC222" s="295" t="n"/>
    </row>
    <row r="223" ht="27" customHeight="1">
      <c r="A223" s="60" t="inlineStr">
        <is>
          <t>SU002267</t>
        </is>
      </c>
      <c r="B223" s="60" t="inlineStr">
        <is>
          <t>P004241</t>
        </is>
      </c>
      <c r="C223" s="34" t="n">
        <v>4301071036</v>
      </c>
      <c r="D223" s="276" t="n">
        <v>4607111036162</v>
      </c>
      <c r="E223" s="462" t="n"/>
      <c r="F223" s="501" t="n">
        <v>0.8</v>
      </c>
      <c r="G223" s="35" t="n">
        <v>8</v>
      </c>
      <c r="H223" s="501" t="n">
        <v>6.4</v>
      </c>
      <c r="I223" s="501" t="n">
        <v>6.6812</v>
      </c>
      <c r="J223" s="35" t="n">
        <v>84</v>
      </c>
      <c r="K223" s="35" t="inlineStr">
        <is>
          <t>12</t>
        </is>
      </c>
      <c r="L223" s="35" t="inlineStr">
        <is>
          <t>Короб, мин. 1</t>
        </is>
      </c>
      <c r="M223" s="36" t="inlineStr">
        <is>
          <t>МГ</t>
        </is>
      </c>
      <c r="N223" s="36" t="n"/>
      <c r="O223" s="35" t="n">
        <v>90</v>
      </c>
      <c r="P223" s="582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3" s="503" t="n"/>
      <c r="R223" s="503" t="n"/>
      <c r="S223" s="503" t="n"/>
      <c r="T223" s="504" t="n"/>
      <c r="U223" s="37" t="inlineStr"/>
      <c r="V223" s="37" t="inlineStr"/>
      <c r="W223" s="38" t="inlineStr">
        <is>
          <t>кор</t>
        </is>
      </c>
      <c r="X223" s="505" t="n">
        <v>0</v>
      </c>
      <c r="Y223" s="506">
        <f>IFERROR(IF(X223="","",X223),"")</f>
        <v/>
      </c>
      <c r="Z223" s="39">
        <f>IFERROR(IF(X223="","",X223*0.0155),"")</f>
        <v/>
      </c>
      <c r="AA223" s="65" t="inlineStr"/>
      <c r="AB223" s="66" t="inlineStr"/>
      <c r="AC223" s="228" t="inlineStr">
        <is>
          <t>ЕАЭС N RU Д-RU.РА01.В.86313/24</t>
        </is>
      </c>
      <c r="AG223" s="78" t="n"/>
      <c r="AJ223" s="82" t="inlineStr">
        <is>
          <t>Короб</t>
        </is>
      </c>
      <c r="AK223" s="82" t="n">
        <v>1</v>
      </c>
      <c r="BB223" s="229" t="inlineStr">
        <is>
          <t>ЗПФ</t>
        </is>
      </c>
      <c r="BM223" s="78">
        <f>IFERROR(X223*I223,"0")</f>
        <v/>
      </c>
      <c r="BN223" s="78">
        <f>IFERROR(Y223*I223,"0")</f>
        <v/>
      </c>
      <c r="BO223" s="78">
        <f>IFERROR(X223/J223,"0")</f>
        <v/>
      </c>
      <c r="BP223" s="78">
        <f>IFERROR(Y223/J223,"0")</f>
        <v/>
      </c>
    </row>
    <row r="224">
      <c r="A224" s="285" t="n"/>
      <c r="B224" s="273" t="n"/>
      <c r="C224" s="273" t="n"/>
      <c r="D224" s="273" t="n"/>
      <c r="E224" s="273" t="n"/>
      <c r="F224" s="273" t="n"/>
      <c r="G224" s="273" t="n"/>
      <c r="H224" s="273" t="n"/>
      <c r="I224" s="273" t="n"/>
      <c r="J224" s="273" t="n"/>
      <c r="K224" s="273" t="n"/>
      <c r="L224" s="273" t="n"/>
      <c r="M224" s="273" t="n"/>
      <c r="N224" s="273" t="n"/>
      <c r="O224" s="507" t="n"/>
      <c r="P224" s="508" t="inlineStr">
        <is>
          <t>Итого</t>
        </is>
      </c>
      <c r="Q224" s="470" t="n"/>
      <c r="R224" s="470" t="n"/>
      <c r="S224" s="470" t="n"/>
      <c r="T224" s="470" t="n"/>
      <c r="U224" s="470" t="n"/>
      <c r="V224" s="471" t="n"/>
      <c r="W224" s="40" t="inlineStr">
        <is>
          <t>кор</t>
        </is>
      </c>
      <c r="X224" s="509">
        <f>IFERROR(SUM(X223:X223),"0")</f>
        <v/>
      </c>
      <c r="Y224" s="509">
        <f>IFERROR(SUM(Y223:Y223),"0")</f>
        <v/>
      </c>
      <c r="Z224" s="509">
        <f>IFERROR(IF(Z223="",0,Z223),"0")</f>
        <v/>
      </c>
      <c r="AA224" s="510" t="n"/>
      <c r="AB224" s="510" t="n"/>
      <c r="AC224" s="510" t="n"/>
    </row>
    <row r="225">
      <c r="A225" s="273" t="n"/>
      <c r="B225" s="273" t="n"/>
      <c r="C225" s="273" t="n"/>
      <c r="D225" s="273" t="n"/>
      <c r="E225" s="273" t="n"/>
      <c r="F225" s="273" t="n"/>
      <c r="G225" s="273" t="n"/>
      <c r="H225" s="273" t="n"/>
      <c r="I225" s="273" t="n"/>
      <c r="J225" s="273" t="n"/>
      <c r="K225" s="273" t="n"/>
      <c r="L225" s="273" t="n"/>
      <c r="M225" s="273" t="n"/>
      <c r="N225" s="273" t="n"/>
      <c r="O225" s="507" t="n"/>
      <c r="P225" s="508" t="inlineStr">
        <is>
          <t>Итого</t>
        </is>
      </c>
      <c r="Q225" s="470" t="n"/>
      <c r="R225" s="470" t="n"/>
      <c r="S225" s="470" t="n"/>
      <c r="T225" s="470" t="n"/>
      <c r="U225" s="470" t="n"/>
      <c r="V225" s="471" t="n"/>
      <c r="W225" s="40" t="inlineStr">
        <is>
          <t>кг</t>
        </is>
      </c>
      <c r="X225" s="509">
        <f>IFERROR(SUMPRODUCT(X223:X223*H223:H223),"0")</f>
        <v/>
      </c>
      <c r="Y225" s="509">
        <f>IFERROR(SUMPRODUCT(Y223:Y223*H223:H223),"0")</f>
        <v/>
      </c>
      <c r="Z225" s="40" t="n"/>
      <c r="AA225" s="510" t="n"/>
      <c r="AB225" s="510" t="n"/>
      <c r="AC225" s="510" t="n"/>
    </row>
    <row r="226" ht="27.75" customHeight="1">
      <c r="A226" s="305" t="inlineStr">
        <is>
          <t>Особый рецепт</t>
        </is>
      </c>
      <c r="B226" s="500" t="n"/>
      <c r="C226" s="500" t="n"/>
      <c r="D226" s="500" t="n"/>
      <c r="E226" s="500" t="n"/>
      <c r="F226" s="500" t="n"/>
      <c r="G226" s="500" t="n"/>
      <c r="H226" s="500" t="n"/>
      <c r="I226" s="500" t="n"/>
      <c r="J226" s="500" t="n"/>
      <c r="K226" s="500" t="n"/>
      <c r="L226" s="500" t="n"/>
      <c r="M226" s="500" t="n"/>
      <c r="N226" s="500" t="n"/>
      <c r="O226" s="500" t="n"/>
      <c r="P226" s="500" t="n"/>
      <c r="Q226" s="500" t="n"/>
      <c r="R226" s="500" t="n"/>
      <c r="S226" s="500" t="n"/>
      <c r="T226" s="500" t="n"/>
      <c r="U226" s="500" t="n"/>
      <c r="V226" s="500" t="n"/>
      <c r="W226" s="500" t="n"/>
      <c r="X226" s="500" t="n"/>
      <c r="Y226" s="500" t="n"/>
      <c r="Z226" s="500" t="n"/>
      <c r="AA226" s="52" t="n"/>
      <c r="AB226" s="52" t="n"/>
      <c r="AC226" s="52" t="n"/>
    </row>
    <row r="227" ht="16.5" customHeight="1">
      <c r="A227" s="306" t="inlineStr">
        <is>
          <t>Любимая ложка</t>
        </is>
      </c>
      <c r="B227" s="273" t="n"/>
      <c r="C227" s="273" t="n"/>
      <c r="D227" s="273" t="n"/>
      <c r="E227" s="273" t="n"/>
      <c r="F227" s="273" t="n"/>
      <c r="G227" s="273" t="n"/>
      <c r="H227" s="273" t="n"/>
      <c r="I227" s="273" t="n"/>
      <c r="J227" s="273" t="n"/>
      <c r="K227" s="273" t="n"/>
      <c r="L227" s="273" t="n"/>
      <c r="M227" s="273" t="n"/>
      <c r="N227" s="273" t="n"/>
      <c r="O227" s="273" t="n"/>
      <c r="P227" s="273" t="n"/>
      <c r="Q227" s="273" t="n"/>
      <c r="R227" s="273" t="n"/>
      <c r="S227" s="273" t="n"/>
      <c r="T227" s="273" t="n"/>
      <c r="U227" s="273" t="n"/>
      <c r="V227" s="273" t="n"/>
      <c r="W227" s="273" t="n"/>
      <c r="X227" s="273" t="n"/>
      <c r="Y227" s="273" t="n"/>
      <c r="Z227" s="273" t="n"/>
      <c r="AA227" s="306" t="n"/>
      <c r="AB227" s="306" t="n"/>
      <c r="AC227" s="306" t="n"/>
    </row>
    <row r="228" ht="14.25" customHeight="1">
      <c r="A228" s="295" t="inlineStr">
        <is>
          <t>Пельмени</t>
        </is>
      </c>
      <c r="B228" s="273" t="n"/>
      <c r="C228" s="273" t="n"/>
      <c r="D228" s="273" t="n"/>
      <c r="E228" s="273" t="n"/>
      <c r="F228" s="273" t="n"/>
      <c r="G228" s="273" t="n"/>
      <c r="H228" s="273" t="n"/>
      <c r="I228" s="273" t="n"/>
      <c r="J228" s="273" t="n"/>
      <c r="K228" s="273" t="n"/>
      <c r="L228" s="273" t="n"/>
      <c r="M228" s="273" t="n"/>
      <c r="N228" s="273" t="n"/>
      <c r="O228" s="273" t="n"/>
      <c r="P228" s="273" t="n"/>
      <c r="Q228" s="273" t="n"/>
      <c r="R228" s="273" t="n"/>
      <c r="S228" s="273" t="n"/>
      <c r="T228" s="273" t="n"/>
      <c r="U228" s="273" t="n"/>
      <c r="V228" s="273" t="n"/>
      <c r="W228" s="273" t="n"/>
      <c r="X228" s="273" t="n"/>
      <c r="Y228" s="273" t="n"/>
      <c r="Z228" s="273" t="n"/>
      <c r="AA228" s="295" t="n"/>
      <c r="AB228" s="295" t="n"/>
      <c r="AC228" s="295" t="n"/>
    </row>
    <row r="229" ht="27" customHeight="1">
      <c r="A229" s="60" t="inlineStr">
        <is>
          <t>SU002268</t>
        </is>
      </c>
      <c r="B229" s="60" t="inlineStr">
        <is>
          <t>P004081</t>
        </is>
      </c>
      <c r="C229" s="34" t="n">
        <v>4301071029</v>
      </c>
      <c r="D229" s="276" t="n">
        <v>4607111035899</v>
      </c>
      <c r="E229" s="462" t="n"/>
      <c r="F229" s="501" t="n">
        <v>1</v>
      </c>
      <c r="G229" s="35" t="n">
        <v>5</v>
      </c>
      <c r="H229" s="501" t="n">
        <v>5</v>
      </c>
      <c r="I229" s="501" t="n">
        <v>5.262</v>
      </c>
      <c r="J229" s="35" t="n">
        <v>84</v>
      </c>
      <c r="K229" s="35" t="inlineStr">
        <is>
          <t>12</t>
        </is>
      </c>
      <c r="L229" s="35" t="inlineStr">
        <is>
          <t>Короб, мин. 1</t>
        </is>
      </c>
      <c r="M229" s="36" t="inlineStr">
        <is>
          <t>МГ</t>
        </is>
      </c>
      <c r="N229" s="36" t="n"/>
      <c r="O229" s="35" t="n">
        <v>180</v>
      </c>
      <c r="P229" s="583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29" s="503" t="n"/>
      <c r="R229" s="503" t="n"/>
      <c r="S229" s="503" t="n"/>
      <c r="T229" s="504" t="n"/>
      <c r="U229" s="37" t="inlineStr"/>
      <c r="V229" s="37" t="inlineStr"/>
      <c r="W229" s="38" t="inlineStr">
        <is>
          <t>кор</t>
        </is>
      </c>
      <c r="X229" s="505" t="n">
        <v>0</v>
      </c>
      <c r="Y229" s="506">
        <f>IFERROR(IF(X229="","",X229),"")</f>
        <v/>
      </c>
      <c r="Z229" s="39">
        <f>IFERROR(IF(X229="","",X229*0.0155),"")</f>
        <v/>
      </c>
      <c r="AA229" s="65" t="inlineStr"/>
      <c r="AB229" s="66" t="inlineStr"/>
      <c r="AC229" s="230" t="inlineStr">
        <is>
          <t>ЕАЭС N RU Д-RU.РА08.В.65691/23</t>
        </is>
      </c>
      <c r="AG229" s="78" t="n"/>
      <c r="AJ229" s="82" t="inlineStr">
        <is>
          <t>Короб</t>
        </is>
      </c>
      <c r="AK229" s="82" t="n">
        <v>1</v>
      </c>
      <c r="BB229" s="231" t="inlineStr">
        <is>
          <t>ЗПФ</t>
        </is>
      </c>
      <c r="BM229" s="78">
        <f>IFERROR(X229*I229,"0")</f>
        <v/>
      </c>
      <c r="BN229" s="78">
        <f>IFERROR(Y229*I229,"0")</f>
        <v/>
      </c>
      <c r="BO229" s="78">
        <f>IFERROR(X229/J229,"0")</f>
        <v/>
      </c>
      <c r="BP229" s="78">
        <f>IFERROR(Y229/J229,"0")</f>
        <v/>
      </c>
    </row>
    <row r="230">
      <c r="A230" s="285" t="n"/>
      <c r="B230" s="273" t="n"/>
      <c r="C230" s="273" t="n"/>
      <c r="D230" s="273" t="n"/>
      <c r="E230" s="273" t="n"/>
      <c r="F230" s="273" t="n"/>
      <c r="G230" s="273" t="n"/>
      <c r="H230" s="273" t="n"/>
      <c r="I230" s="273" t="n"/>
      <c r="J230" s="273" t="n"/>
      <c r="K230" s="273" t="n"/>
      <c r="L230" s="273" t="n"/>
      <c r="M230" s="273" t="n"/>
      <c r="N230" s="273" t="n"/>
      <c r="O230" s="507" t="n"/>
      <c r="P230" s="508" t="inlineStr">
        <is>
          <t>Итого</t>
        </is>
      </c>
      <c r="Q230" s="470" t="n"/>
      <c r="R230" s="470" t="n"/>
      <c r="S230" s="470" t="n"/>
      <c r="T230" s="470" t="n"/>
      <c r="U230" s="470" t="n"/>
      <c r="V230" s="471" t="n"/>
      <c r="W230" s="40" t="inlineStr">
        <is>
          <t>кор</t>
        </is>
      </c>
      <c r="X230" s="509">
        <f>IFERROR(SUM(X229:X229),"0")</f>
        <v/>
      </c>
      <c r="Y230" s="509">
        <f>IFERROR(SUM(Y229:Y229),"0")</f>
        <v/>
      </c>
      <c r="Z230" s="509">
        <f>IFERROR(IF(Z229="",0,Z229),"0")</f>
        <v/>
      </c>
      <c r="AA230" s="510" t="n"/>
      <c r="AB230" s="510" t="n"/>
      <c r="AC230" s="510" t="n"/>
    </row>
    <row r="231">
      <c r="A231" s="273" t="n"/>
      <c r="B231" s="273" t="n"/>
      <c r="C231" s="273" t="n"/>
      <c r="D231" s="273" t="n"/>
      <c r="E231" s="273" t="n"/>
      <c r="F231" s="273" t="n"/>
      <c r="G231" s="273" t="n"/>
      <c r="H231" s="273" t="n"/>
      <c r="I231" s="273" t="n"/>
      <c r="J231" s="273" t="n"/>
      <c r="K231" s="273" t="n"/>
      <c r="L231" s="273" t="n"/>
      <c r="M231" s="273" t="n"/>
      <c r="N231" s="273" t="n"/>
      <c r="O231" s="507" t="n"/>
      <c r="P231" s="508" t="inlineStr">
        <is>
          <t>Итого</t>
        </is>
      </c>
      <c r="Q231" s="470" t="n"/>
      <c r="R231" s="470" t="n"/>
      <c r="S231" s="470" t="n"/>
      <c r="T231" s="470" t="n"/>
      <c r="U231" s="470" t="n"/>
      <c r="V231" s="471" t="n"/>
      <c r="W231" s="40" t="inlineStr">
        <is>
          <t>кг</t>
        </is>
      </c>
      <c r="X231" s="509">
        <f>IFERROR(SUMPRODUCT(X229:X229*H229:H229),"0")</f>
        <v/>
      </c>
      <c r="Y231" s="509">
        <f>IFERROR(SUMPRODUCT(Y229:Y229*H229:H229),"0")</f>
        <v/>
      </c>
      <c r="Z231" s="40" t="n"/>
      <c r="AA231" s="510" t="n"/>
      <c r="AB231" s="510" t="n"/>
      <c r="AC231" s="510" t="n"/>
    </row>
    <row r="232" ht="27.75" customHeight="1">
      <c r="A232" s="305" t="inlineStr">
        <is>
          <t>Владимирский стандарт</t>
        </is>
      </c>
      <c r="B232" s="500" t="n"/>
      <c r="C232" s="500" t="n"/>
      <c r="D232" s="500" t="n"/>
      <c r="E232" s="500" t="n"/>
      <c r="F232" s="500" t="n"/>
      <c r="G232" s="500" t="n"/>
      <c r="H232" s="500" t="n"/>
      <c r="I232" s="500" t="n"/>
      <c r="J232" s="500" t="n"/>
      <c r="K232" s="500" t="n"/>
      <c r="L232" s="500" t="n"/>
      <c r="M232" s="500" t="n"/>
      <c r="N232" s="500" t="n"/>
      <c r="O232" s="500" t="n"/>
      <c r="P232" s="500" t="n"/>
      <c r="Q232" s="500" t="n"/>
      <c r="R232" s="500" t="n"/>
      <c r="S232" s="500" t="n"/>
      <c r="T232" s="500" t="n"/>
      <c r="U232" s="500" t="n"/>
      <c r="V232" s="500" t="n"/>
      <c r="W232" s="500" t="n"/>
      <c r="X232" s="500" t="n"/>
      <c r="Y232" s="500" t="n"/>
      <c r="Z232" s="500" t="n"/>
      <c r="AA232" s="52" t="n"/>
      <c r="AB232" s="52" t="n"/>
      <c r="AC232" s="52" t="n"/>
    </row>
    <row r="233" ht="16.5" customHeight="1">
      <c r="A233" s="306" t="inlineStr">
        <is>
          <t>Владимирский Стандарт ПГП</t>
        </is>
      </c>
      <c r="B233" s="273" t="n"/>
      <c r="C233" s="273" t="n"/>
      <c r="D233" s="273" t="n"/>
      <c r="E233" s="273" t="n"/>
      <c r="F233" s="273" t="n"/>
      <c r="G233" s="273" t="n"/>
      <c r="H233" s="273" t="n"/>
      <c r="I233" s="273" t="n"/>
      <c r="J233" s="273" t="n"/>
      <c r="K233" s="273" t="n"/>
      <c r="L233" s="273" t="n"/>
      <c r="M233" s="273" t="n"/>
      <c r="N233" s="273" t="n"/>
      <c r="O233" s="273" t="n"/>
      <c r="P233" s="273" t="n"/>
      <c r="Q233" s="273" t="n"/>
      <c r="R233" s="273" t="n"/>
      <c r="S233" s="273" t="n"/>
      <c r="T233" s="273" t="n"/>
      <c r="U233" s="273" t="n"/>
      <c r="V233" s="273" t="n"/>
      <c r="W233" s="273" t="n"/>
      <c r="X233" s="273" t="n"/>
      <c r="Y233" s="273" t="n"/>
      <c r="Z233" s="273" t="n"/>
      <c r="AA233" s="306" t="n"/>
      <c r="AB233" s="306" t="n"/>
      <c r="AC233" s="306" t="n"/>
    </row>
    <row r="234" ht="14.25" customHeight="1">
      <c r="A234" s="295" t="inlineStr">
        <is>
          <t>Печеные пельмени</t>
        </is>
      </c>
      <c r="B234" s="273" t="n"/>
      <c r="C234" s="273" t="n"/>
      <c r="D234" s="273" t="n"/>
      <c r="E234" s="273" t="n"/>
      <c r="F234" s="273" t="n"/>
      <c r="G234" s="273" t="n"/>
      <c r="H234" s="273" t="n"/>
      <c r="I234" s="273" t="n"/>
      <c r="J234" s="273" t="n"/>
      <c r="K234" s="273" t="n"/>
      <c r="L234" s="273" t="n"/>
      <c r="M234" s="273" t="n"/>
      <c r="N234" s="273" t="n"/>
      <c r="O234" s="273" t="n"/>
      <c r="P234" s="273" t="n"/>
      <c r="Q234" s="273" t="n"/>
      <c r="R234" s="273" t="n"/>
      <c r="S234" s="273" t="n"/>
      <c r="T234" s="273" t="n"/>
      <c r="U234" s="273" t="n"/>
      <c r="V234" s="273" t="n"/>
      <c r="W234" s="273" t="n"/>
      <c r="X234" s="273" t="n"/>
      <c r="Y234" s="273" t="n"/>
      <c r="Z234" s="273" t="n"/>
      <c r="AA234" s="295" t="n"/>
      <c r="AB234" s="295" t="n"/>
      <c r="AC234" s="295" t="n"/>
    </row>
    <row r="235" ht="27" customHeight="1">
      <c r="A235" s="60" t="inlineStr">
        <is>
          <t>SU003457</t>
        </is>
      </c>
      <c r="B235" s="60" t="inlineStr">
        <is>
          <t>P004382</t>
        </is>
      </c>
      <c r="C235" s="34" t="n">
        <v>4301133004</v>
      </c>
      <c r="D235" s="276" t="n">
        <v>4607111039774</v>
      </c>
      <c r="E235" s="462" t="n"/>
      <c r="F235" s="501" t="n">
        <v>0.25</v>
      </c>
      <c r="G235" s="35" t="n">
        <v>12</v>
      </c>
      <c r="H235" s="501" t="n">
        <v>3</v>
      </c>
      <c r="I235" s="501" t="n">
        <v>3.22</v>
      </c>
      <c r="J235" s="35" t="n">
        <v>70</v>
      </c>
      <c r="K235" s="35" t="inlineStr">
        <is>
          <t>14</t>
        </is>
      </c>
      <c r="L235" s="35" t="inlineStr">
        <is>
          <t>Короб, мин. 1</t>
        </is>
      </c>
      <c r="M235" s="36" t="inlineStr">
        <is>
          <t>МГ</t>
        </is>
      </c>
      <c r="N235" s="36" t="n"/>
      <c r="O235" s="35" t="n">
        <v>180</v>
      </c>
      <c r="P235" s="584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5" s="503" t="n"/>
      <c r="R235" s="503" t="n"/>
      <c r="S235" s="503" t="n"/>
      <c r="T235" s="504" t="n"/>
      <c r="U235" s="37" t="inlineStr"/>
      <c r="V235" s="37" t="inlineStr"/>
      <c r="W235" s="38" t="inlineStr">
        <is>
          <t>кор</t>
        </is>
      </c>
      <c r="X235" s="505" t="n">
        <v>0</v>
      </c>
      <c r="Y235" s="506">
        <f>IFERROR(IF(X235="","",X235),"")</f>
        <v/>
      </c>
      <c r="Z235" s="39">
        <f>IFERROR(IF(X235="","",X235*0.01788),"")</f>
        <v/>
      </c>
      <c r="AA235" s="65" t="inlineStr"/>
      <c r="AB235" s="66" t="inlineStr"/>
      <c r="AC235" s="232" t="inlineStr">
        <is>
          <t>ЕАЭС N RU Д-RU.РА04.В.81528/24</t>
        </is>
      </c>
      <c r="AG235" s="78" t="n"/>
      <c r="AJ235" s="82" t="inlineStr">
        <is>
          <t>Короб</t>
        </is>
      </c>
      <c r="AK235" s="82" t="n">
        <v>1</v>
      </c>
      <c r="BB235" s="233" t="inlineStr">
        <is>
          <t>ПГП</t>
        </is>
      </c>
      <c r="BM235" s="78">
        <f>IFERROR(X235*I235,"0")</f>
        <v/>
      </c>
      <c r="BN235" s="78">
        <f>IFERROR(Y235*I235,"0")</f>
        <v/>
      </c>
      <c r="BO235" s="78">
        <f>IFERROR(X235/J235,"0")</f>
        <v/>
      </c>
      <c r="BP235" s="78">
        <f>IFERROR(Y235/J235,"0")</f>
        <v/>
      </c>
    </row>
    <row r="236">
      <c r="A236" s="285" t="n"/>
      <c r="B236" s="273" t="n"/>
      <c r="C236" s="273" t="n"/>
      <c r="D236" s="273" t="n"/>
      <c r="E236" s="273" t="n"/>
      <c r="F236" s="273" t="n"/>
      <c r="G236" s="273" t="n"/>
      <c r="H236" s="273" t="n"/>
      <c r="I236" s="273" t="n"/>
      <c r="J236" s="273" t="n"/>
      <c r="K236" s="273" t="n"/>
      <c r="L236" s="273" t="n"/>
      <c r="M236" s="273" t="n"/>
      <c r="N236" s="273" t="n"/>
      <c r="O236" s="507" t="n"/>
      <c r="P236" s="508" t="inlineStr">
        <is>
          <t>Итого</t>
        </is>
      </c>
      <c r="Q236" s="470" t="n"/>
      <c r="R236" s="470" t="n"/>
      <c r="S236" s="470" t="n"/>
      <c r="T236" s="470" t="n"/>
      <c r="U236" s="470" t="n"/>
      <c r="V236" s="471" t="n"/>
      <c r="W236" s="40" t="inlineStr">
        <is>
          <t>кор</t>
        </is>
      </c>
      <c r="X236" s="509">
        <f>IFERROR(SUM(X235:X235),"0")</f>
        <v/>
      </c>
      <c r="Y236" s="509">
        <f>IFERROR(SUM(Y235:Y235),"0")</f>
        <v/>
      </c>
      <c r="Z236" s="509">
        <f>IFERROR(IF(Z235="",0,Z235),"0")</f>
        <v/>
      </c>
      <c r="AA236" s="510" t="n"/>
      <c r="AB236" s="510" t="n"/>
      <c r="AC236" s="510" t="n"/>
    </row>
    <row r="237">
      <c r="A237" s="273" t="n"/>
      <c r="B237" s="273" t="n"/>
      <c r="C237" s="273" t="n"/>
      <c r="D237" s="273" t="n"/>
      <c r="E237" s="273" t="n"/>
      <c r="F237" s="273" t="n"/>
      <c r="G237" s="273" t="n"/>
      <c r="H237" s="273" t="n"/>
      <c r="I237" s="273" t="n"/>
      <c r="J237" s="273" t="n"/>
      <c r="K237" s="273" t="n"/>
      <c r="L237" s="273" t="n"/>
      <c r="M237" s="273" t="n"/>
      <c r="N237" s="273" t="n"/>
      <c r="O237" s="507" t="n"/>
      <c r="P237" s="508" t="inlineStr">
        <is>
          <t>Итого</t>
        </is>
      </c>
      <c r="Q237" s="470" t="n"/>
      <c r="R237" s="470" t="n"/>
      <c r="S237" s="470" t="n"/>
      <c r="T237" s="470" t="n"/>
      <c r="U237" s="470" t="n"/>
      <c r="V237" s="471" t="n"/>
      <c r="W237" s="40" t="inlineStr">
        <is>
          <t>кг</t>
        </is>
      </c>
      <c r="X237" s="509">
        <f>IFERROR(SUMPRODUCT(X235:X235*H235:H235),"0")</f>
        <v/>
      </c>
      <c r="Y237" s="509">
        <f>IFERROR(SUMPRODUCT(Y235:Y235*H235:H235),"0")</f>
        <v/>
      </c>
      <c r="Z237" s="40" t="n"/>
      <c r="AA237" s="510" t="n"/>
      <c r="AB237" s="510" t="n"/>
      <c r="AC237" s="510" t="n"/>
    </row>
    <row r="238" ht="14.25" customHeight="1">
      <c r="A238" s="295" t="inlineStr">
        <is>
          <t>Снеки</t>
        </is>
      </c>
      <c r="B238" s="273" t="n"/>
      <c r="C238" s="273" t="n"/>
      <c r="D238" s="273" t="n"/>
      <c r="E238" s="273" t="n"/>
      <c r="F238" s="273" t="n"/>
      <c r="G238" s="273" t="n"/>
      <c r="H238" s="273" t="n"/>
      <c r="I238" s="273" t="n"/>
      <c r="J238" s="273" t="n"/>
      <c r="K238" s="273" t="n"/>
      <c r="L238" s="273" t="n"/>
      <c r="M238" s="273" t="n"/>
      <c r="N238" s="273" t="n"/>
      <c r="O238" s="273" t="n"/>
      <c r="P238" s="273" t="n"/>
      <c r="Q238" s="273" t="n"/>
      <c r="R238" s="273" t="n"/>
      <c r="S238" s="273" t="n"/>
      <c r="T238" s="273" t="n"/>
      <c r="U238" s="273" t="n"/>
      <c r="V238" s="273" t="n"/>
      <c r="W238" s="273" t="n"/>
      <c r="X238" s="273" t="n"/>
      <c r="Y238" s="273" t="n"/>
      <c r="Z238" s="273" t="n"/>
      <c r="AA238" s="295" t="n"/>
      <c r="AB238" s="295" t="n"/>
      <c r="AC238" s="295" t="n"/>
    </row>
    <row r="239" ht="37.5" customHeight="1">
      <c r="A239" s="60" t="inlineStr">
        <is>
          <t>SU003458</t>
        </is>
      </c>
      <c r="B239" s="60" t="inlineStr">
        <is>
          <t>P004385</t>
        </is>
      </c>
      <c r="C239" s="34" t="n">
        <v>4301135400</v>
      </c>
      <c r="D239" s="276" t="n">
        <v>4607111039361</v>
      </c>
      <c r="E239" s="462" t="n"/>
      <c r="F239" s="501" t="n">
        <v>0.25</v>
      </c>
      <c r="G239" s="35" t="n">
        <v>12</v>
      </c>
      <c r="H239" s="501" t="n">
        <v>3</v>
      </c>
      <c r="I239" s="501" t="n">
        <v>3.7036</v>
      </c>
      <c r="J239" s="35" t="n">
        <v>70</v>
      </c>
      <c r="K239" s="35" t="inlineStr">
        <is>
          <t>14</t>
        </is>
      </c>
      <c r="L239" s="35" t="inlineStr">
        <is>
          <t>Короб, мин. 1</t>
        </is>
      </c>
      <c r="M239" s="36" t="inlineStr">
        <is>
          <t>МГ</t>
        </is>
      </c>
      <c r="N239" s="36" t="n"/>
      <c r="O239" s="35" t="n">
        <v>180</v>
      </c>
      <c r="P239" s="585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9" s="503" t="n"/>
      <c r="R239" s="503" t="n"/>
      <c r="S239" s="503" t="n"/>
      <c r="T239" s="504" t="n"/>
      <c r="U239" s="37" t="inlineStr"/>
      <c r="V239" s="37" t="inlineStr"/>
      <c r="W239" s="38" t="inlineStr">
        <is>
          <t>кор</t>
        </is>
      </c>
      <c r="X239" s="505" t="n">
        <v>0</v>
      </c>
      <c r="Y239" s="506">
        <f>IFERROR(IF(X239="","",X239),"")</f>
        <v/>
      </c>
      <c r="Z239" s="39">
        <f>IFERROR(IF(X239="","",X239*0.01788),"")</f>
        <v/>
      </c>
      <c r="AA239" s="65" t="inlineStr"/>
      <c r="AB239" s="66" t="inlineStr"/>
      <c r="AC239" s="234" t="inlineStr">
        <is>
          <t>ЕАЭС N RU Д-RU.РА04.В.81528/24</t>
        </is>
      </c>
      <c r="AG239" s="78" t="n"/>
      <c r="AJ239" s="82" t="inlineStr">
        <is>
          <t>Короб</t>
        </is>
      </c>
      <c r="AK239" s="82" t="n">
        <v>1</v>
      </c>
      <c r="BB239" s="235" t="inlineStr">
        <is>
          <t>ПГП</t>
        </is>
      </c>
      <c r="BM239" s="78">
        <f>IFERROR(X239*I239,"0")</f>
        <v/>
      </c>
      <c r="BN239" s="78">
        <f>IFERROR(Y239*I239,"0")</f>
        <v/>
      </c>
      <c r="BO239" s="78">
        <f>IFERROR(X239/J239,"0")</f>
        <v/>
      </c>
      <c r="BP239" s="78">
        <f>IFERROR(Y239/J239,"0")</f>
        <v/>
      </c>
    </row>
    <row r="240">
      <c r="A240" s="285" t="n"/>
      <c r="B240" s="273" t="n"/>
      <c r="C240" s="273" t="n"/>
      <c r="D240" s="273" t="n"/>
      <c r="E240" s="273" t="n"/>
      <c r="F240" s="273" t="n"/>
      <c r="G240" s="273" t="n"/>
      <c r="H240" s="273" t="n"/>
      <c r="I240" s="273" t="n"/>
      <c r="J240" s="273" t="n"/>
      <c r="K240" s="273" t="n"/>
      <c r="L240" s="273" t="n"/>
      <c r="M240" s="273" t="n"/>
      <c r="N240" s="273" t="n"/>
      <c r="O240" s="507" t="n"/>
      <c r="P240" s="508" t="inlineStr">
        <is>
          <t>Итого</t>
        </is>
      </c>
      <c r="Q240" s="470" t="n"/>
      <c r="R240" s="470" t="n"/>
      <c r="S240" s="470" t="n"/>
      <c r="T240" s="470" t="n"/>
      <c r="U240" s="470" t="n"/>
      <c r="V240" s="471" t="n"/>
      <c r="W240" s="40" t="inlineStr">
        <is>
          <t>кор</t>
        </is>
      </c>
      <c r="X240" s="509">
        <f>IFERROR(SUM(X239:X239),"0")</f>
        <v/>
      </c>
      <c r="Y240" s="509">
        <f>IFERROR(SUM(Y239:Y239),"0")</f>
        <v/>
      </c>
      <c r="Z240" s="509">
        <f>IFERROR(IF(Z239="",0,Z239),"0")</f>
        <v/>
      </c>
      <c r="AA240" s="510" t="n"/>
      <c r="AB240" s="510" t="n"/>
      <c r="AC240" s="510" t="n"/>
    </row>
    <row r="241">
      <c r="A241" s="273" t="n"/>
      <c r="B241" s="273" t="n"/>
      <c r="C241" s="273" t="n"/>
      <c r="D241" s="273" t="n"/>
      <c r="E241" s="273" t="n"/>
      <c r="F241" s="273" t="n"/>
      <c r="G241" s="273" t="n"/>
      <c r="H241" s="273" t="n"/>
      <c r="I241" s="273" t="n"/>
      <c r="J241" s="273" t="n"/>
      <c r="K241" s="273" t="n"/>
      <c r="L241" s="273" t="n"/>
      <c r="M241" s="273" t="n"/>
      <c r="N241" s="273" t="n"/>
      <c r="O241" s="507" t="n"/>
      <c r="P241" s="508" t="inlineStr">
        <is>
          <t>Итого</t>
        </is>
      </c>
      <c r="Q241" s="470" t="n"/>
      <c r="R241" s="470" t="n"/>
      <c r="S241" s="470" t="n"/>
      <c r="T241" s="470" t="n"/>
      <c r="U241" s="470" t="n"/>
      <c r="V241" s="471" t="n"/>
      <c r="W241" s="40" t="inlineStr">
        <is>
          <t>кг</t>
        </is>
      </c>
      <c r="X241" s="509">
        <f>IFERROR(SUMPRODUCT(X239:X239*H239:H239),"0")</f>
        <v/>
      </c>
      <c r="Y241" s="509">
        <f>IFERROR(SUMPRODUCT(Y239:Y239*H239:H239),"0")</f>
        <v/>
      </c>
      <c r="Z241" s="40" t="n"/>
      <c r="AA241" s="510" t="n"/>
      <c r="AB241" s="510" t="n"/>
      <c r="AC241" s="510" t="n"/>
    </row>
    <row r="242" ht="27.75" customHeight="1">
      <c r="A242" s="305" t="inlineStr">
        <is>
          <t>Зареченские продукты</t>
        </is>
      </c>
      <c r="B242" s="500" t="n"/>
      <c r="C242" s="500" t="n"/>
      <c r="D242" s="500" t="n"/>
      <c r="E242" s="500" t="n"/>
      <c r="F242" s="500" t="n"/>
      <c r="G242" s="500" t="n"/>
      <c r="H242" s="500" t="n"/>
      <c r="I242" s="500" t="n"/>
      <c r="J242" s="500" t="n"/>
      <c r="K242" s="500" t="n"/>
      <c r="L242" s="500" t="n"/>
      <c r="M242" s="500" t="n"/>
      <c r="N242" s="500" t="n"/>
      <c r="O242" s="500" t="n"/>
      <c r="P242" s="500" t="n"/>
      <c r="Q242" s="500" t="n"/>
      <c r="R242" s="500" t="n"/>
      <c r="S242" s="500" t="n"/>
      <c r="T242" s="500" t="n"/>
      <c r="U242" s="500" t="n"/>
      <c r="V242" s="500" t="n"/>
      <c r="W242" s="500" t="n"/>
      <c r="X242" s="500" t="n"/>
      <c r="Y242" s="500" t="n"/>
      <c r="Z242" s="500" t="n"/>
      <c r="AA242" s="52" t="n"/>
      <c r="AB242" s="52" t="n"/>
      <c r="AC242" s="52" t="n"/>
    </row>
    <row r="243" ht="16.5" customHeight="1">
      <c r="A243" s="306" t="inlineStr">
        <is>
          <t>Зареченские продукты</t>
        </is>
      </c>
      <c r="B243" s="273" t="n"/>
      <c r="C243" s="273" t="n"/>
      <c r="D243" s="273" t="n"/>
      <c r="E243" s="273" t="n"/>
      <c r="F243" s="273" t="n"/>
      <c r="G243" s="273" t="n"/>
      <c r="H243" s="273" t="n"/>
      <c r="I243" s="273" t="n"/>
      <c r="J243" s="273" t="n"/>
      <c r="K243" s="273" t="n"/>
      <c r="L243" s="273" t="n"/>
      <c r="M243" s="273" t="n"/>
      <c r="N243" s="273" t="n"/>
      <c r="O243" s="273" t="n"/>
      <c r="P243" s="273" t="n"/>
      <c r="Q243" s="273" t="n"/>
      <c r="R243" s="273" t="n"/>
      <c r="S243" s="273" t="n"/>
      <c r="T243" s="273" t="n"/>
      <c r="U243" s="273" t="n"/>
      <c r="V243" s="273" t="n"/>
      <c r="W243" s="273" t="n"/>
      <c r="X243" s="273" t="n"/>
      <c r="Y243" s="273" t="n"/>
      <c r="Z243" s="273" t="n"/>
      <c r="AA243" s="306" t="n"/>
      <c r="AB243" s="306" t="n"/>
      <c r="AC243" s="306" t="n"/>
    </row>
    <row r="244" ht="14.25" customHeight="1">
      <c r="A244" s="295" t="inlineStr">
        <is>
          <t>Пельмени</t>
        </is>
      </c>
      <c r="B244" s="273" t="n"/>
      <c r="C244" s="273" t="n"/>
      <c r="D244" s="273" t="n"/>
      <c r="E244" s="273" t="n"/>
      <c r="F244" s="273" t="n"/>
      <c r="G244" s="273" t="n"/>
      <c r="H244" s="273" t="n"/>
      <c r="I244" s="273" t="n"/>
      <c r="J244" s="273" t="n"/>
      <c r="K244" s="273" t="n"/>
      <c r="L244" s="273" t="n"/>
      <c r="M244" s="273" t="n"/>
      <c r="N244" s="273" t="n"/>
      <c r="O244" s="273" t="n"/>
      <c r="P244" s="273" t="n"/>
      <c r="Q244" s="273" t="n"/>
      <c r="R244" s="273" t="n"/>
      <c r="S244" s="273" t="n"/>
      <c r="T244" s="273" t="n"/>
      <c r="U244" s="273" t="n"/>
      <c r="V244" s="273" t="n"/>
      <c r="W244" s="273" t="n"/>
      <c r="X244" s="273" t="n"/>
      <c r="Y244" s="273" t="n"/>
      <c r="Z244" s="273" t="n"/>
      <c r="AA244" s="295" t="n"/>
      <c r="AB244" s="295" t="n"/>
      <c r="AC244" s="295" t="n"/>
    </row>
    <row r="245" ht="27" customHeight="1">
      <c r="A245" s="60" t="inlineStr">
        <is>
          <t>SU003319</t>
        </is>
      </c>
      <c r="B245" s="60" t="inlineStr">
        <is>
          <t>P004053</t>
        </is>
      </c>
      <c r="C245" s="34" t="n">
        <v>4301071014</v>
      </c>
      <c r="D245" s="276" t="n">
        <v>4640242181264</v>
      </c>
      <c r="E245" s="462" t="n"/>
      <c r="F245" s="501" t="n">
        <v>0.7</v>
      </c>
      <c r="G245" s="35" t="n">
        <v>10</v>
      </c>
      <c r="H245" s="501" t="n">
        <v>7</v>
      </c>
      <c r="I245" s="501" t="n">
        <v>7.28</v>
      </c>
      <c r="J245" s="35" t="n">
        <v>84</v>
      </c>
      <c r="K245" s="35" t="inlineStr">
        <is>
          <t>12</t>
        </is>
      </c>
      <c r="L245" s="35" t="inlineStr">
        <is>
          <t>Короб, мин. 1</t>
        </is>
      </c>
      <c r="M245" s="36" t="inlineStr">
        <is>
          <t>МГ</t>
        </is>
      </c>
      <c r="N245" s="36" t="n"/>
      <c r="O245" s="35" t="n">
        <v>180</v>
      </c>
      <c r="P245" s="586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45" s="503" t="n"/>
      <c r="R245" s="503" t="n"/>
      <c r="S245" s="503" t="n"/>
      <c r="T245" s="504" t="n"/>
      <c r="U245" s="37" t="inlineStr"/>
      <c r="V245" s="37" t="inlineStr"/>
      <c r="W245" s="38" t="inlineStr">
        <is>
          <t>кор</t>
        </is>
      </c>
      <c r="X245" s="505" t="n">
        <v>0</v>
      </c>
      <c r="Y245" s="506">
        <f>IFERROR(IF(X245="","",X245),"")</f>
        <v/>
      </c>
      <c r="Z245" s="39">
        <f>IFERROR(IF(X245="","",X245*0.0155),"")</f>
        <v/>
      </c>
      <c r="AA245" s="65" t="inlineStr"/>
      <c r="AB245" s="66" t="inlineStr"/>
      <c r="AC245" s="236" t="inlineStr">
        <is>
          <t>ЕАЭС N RU Д-RU.РА01.В.15225/24</t>
        </is>
      </c>
      <c r="AG245" s="78" t="n"/>
      <c r="AJ245" s="82" t="inlineStr">
        <is>
          <t>Короб</t>
        </is>
      </c>
      <c r="AK245" s="82" t="n">
        <v>1</v>
      </c>
      <c r="BB245" s="237" t="inlineStr">
        <is>
          <t>ЗПФ</t>
        </is>
      </c>
      <c r="BM245" s="78">
        <f>IFERROR(X245*I245,"0")</f>
        <v/>
      </c>
      <c r="BN245" s="78">
        <f>IFERROR(Y245*I245,"0")</f>
        <v/>
      </c>
      <c r="BO245" s="78">
        <f>IFERROR(X245/J245,"0")</f>
        <v/>
      </c>
      <c r="BP245" s="78">
        <f>IFERROR(Y245/J245,"0")</f>
        <v/>
      </c>
    </row>
    <row r="246" ht="27" customHeight="1">
      <c r="A246" s="60" t="inlineStr">
        <is>
          <t>SU003320</t>
        </is>
      </c>
      <c r="B246" s="60" t="inlineStr">
        <is>
          <t>P004060</t>
        </is>
      </c>
      <c r="C246" s="34" t="n">
        <v>4301071021</v>
      </c>
      <c r="D246" s="276" t="n">
        <v>4640242181325</v>
      </c>
      <c r="E246" s="462" t="n"/>
      <c r="F246" s="501" t="n">
        <v>0.7</v>
      </c>
      <c r="G246" s="35" t="n">
        <v>10</v>
      </c>
      <c r="H246" s="501" t="n">
        <v>7</v>
      </c>
      <c r="I246" s="501" t="n">
        <v>7.28</v>
      </c>
      <c r="J246" s="35" t="n">
        <v>84</v>
      </c>
      <c r="K246" s="35" t="inlineStr">
        <is>
          <t>12</t>
        </is>
      </c>
      <c r="L246" s="35" t="inlineStr">
        <is>
          <t>Короб, мин. 1</t>
        </is>
      </c>
      <c r="M246" s="36" t="inlineStr">
        <is>
          <t>МГ</t>
        </is>
      </c>
      <c r="N246" s="36" t="n"/>
      <c r="O246" s="35" t="n">
        <v>180</v>
      </c>
      <c r="P246" s="587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46" s="503" t="n"/>
      <c r="R246" s="503" t="n"/>
      <c r="S246" s="503" t="n"/>
      <c r="T246" s="504" t="n"/>
      <c r="U246" s="37" t="inlineStr"/>
      <c r="V246" s="37" t="inlineStr"/>
      <c r="W246" s="38" t="inlineStr">
        <is>
          <t>кор</t>
        </is>
      </c>
      <c r="X246" s="505" t="n">
        <v>0</v>
      </c>
      <c r="Y246" s="506">
        <f>IFERROR(IF(X246="","",X246),"")</f>
        <v/>
      </c>
      <c r="Z246" s="39">
        <f>IFERROR(IF(X246="","",X246*0.0155),"")</f>
        <v/>
      </c>
      <c r="AA246" s="65" t="inlineStr"/>
      <c r="AB246" s="66" t="inlineStr"/>
      <c r="AC246" s="238" t="inlineStr">
        <is>
          <t>ЕАЭС N RU Д-RU.РА01.В.15225/24</t>
        </is>
      </c>
      <c r="AG246" s="78" t="n"/>
      <c r="AJ246" s="82" t="inlineStr">
        <is>
          <t>Короб</t>
        </is>
      </c>
      <c r="AK246" s="82" t="n">
        <v>1</v>
      </c>
      <c r="BB246" s="239" t="inlineStr">
        <is>
          <t>ЗПФ</t>
        </is>
      </c>
      <c r="BM246" s="78">
        <f>IFERROR(X246*I246,"0")</f>
        <v/>
      </c>
      <c r="BN246" s="78">
        <f>IFERROR(Y246*I246,"0")</f>
        <v/>
      </c>
      <c r="BO246" s="78">
        <f>IFERROR(X246/J246,"0")</f>
        <v/>
      </c>
      <c r="BP246" s="78">
        <f>IFERROR(Y246/J246,"0")</f>
        <v/>
      </c>
    </row>
    <row r="247" ht="27" customHeight="1">
      <c r="A247" s="60" t="inlineStr">
        <is>
          <t>SU003086</t>
        </is>
      </c>
      <c r="B247" s="60" t="inlineStr">
        <is>
          <t>P003803</t>
        </is>
      </c>
      <c r="C247" s="34" t="n">
        <v>4301070993</v>
      </c>
      <c r="D247" s="276" t="n">
        <v>4640242180670</v>
      </c>
      <c r="E247" s="462" t="n"/>
      <c r="F247" s="501" t="n">
        <v>1</v>
      </c>
      <c r="G247" s="35" t="n">
        <v>6</v>
      </c>
      <c r="H247" s="501" t="n">
        <v>6</v>
      </c>
      <c r="I247" s="501" t="n">
        <v>6.23</v>
      </c>
      <c r="J247" s="35" t="n">
        <v>84</v>
      </c>
      <c r="K247" s="35" t="inlineStr">
        <is>
          <t>12</t>
        </is>
      </c>
      <c r="L247" s="35" t="inlineStr">
        <is>
          <t>Короб, мин. 1</t>
        </is>
      </c>
      <c r="M247" s="36" t="inlineStr">
        <is>
          <t>МГ</t>
        </is>
      </c>
      <c r="N247" s="36" t="n"/>
      <c r="O247" s="35" t="n">
        <v>180</v>
      </c>
      <c r="P247" s="588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/>
      </c>
      <c r="Q247" s="503" t="n"/>
      <c r="R247" s="503" t="n"/>
      <c r="S247" s="503" t="n"/>
      <c r="T247" s="504" t="n"/>
      <c r="U247" s="37" t="inlineStr"/>
      <c r="V247" s="37" t="inlineStr"/>
      <c r="W247" s="38" t="inlineStr">
        <is>
          <t>кор</t>
        </is>
      </c>
      <c r="X247" s="505" t="n">
        <v>0</v>
      </c>
      <c r="Y247" s="506">
        <f>IFERROR(IF(X247="","",X247),"")</f>
        <v/>
      </c>
      <c r="Z247" s="39">
        <f>IFERROR(IF(X247="","",X247*0.0155),"")</f>
        <v/>
      </c>
      <c r="AA247" s="65" t="inlineStr"/>
      <c r="AB247" s="66" t="inlineStr"/>
      <c r="AC247" s="240" t="inlineStr">
        <is>
          <t>ЕАЭС N RU Д-RU.РА05.В.31150/22</t>
        </is>
      </c>
      <c r="AG247" s="78" t="n"/>
      <c r="AJ247" s="82" t="inlineStr">
        <is>
          <t>Короб</t>
        </is>
      </c>
      <c r="AK247" s="82" t="n">
        <v>1</v>
      </c>
      <c r="BB247" s="241" t="inlineStr">
        <is>
          <t>ЗПФ</t>
        </is>
      </c>
      <c r="BM247" s="78">
        <f>IFERROR(X247*I247,"0")</f>
        <v/>
      </c>
      <c r="BN247" s="78">
        <f>IFERROR(Y247*I247,"0")</f>
        <v/>
      </c>
      <c r="BO247" s="78">
        <f>IFERROR(X247/J247,"0")</f>
        <v/>
      </c>
      <c r="BP247" s="78">
        <f>IFERROR(Y247/J247,"0")</f>
        <v/>
      </c>
    </row>
    <row r="248">
      <c r="A248" s="285" t="n"/>
      <c r="B248" s="273" t="n"/>
      <c r="C248" s="273" t="n"/>
      <c r="D248" s="273" t="n"/>
      <c r="E248" s="273" t="n"/>
      <c r="F248" s="273" t="n"/>
      <c r="G248" s="273" t="n"/>
      <c r="H248" s="273" t="n"/>
      <c r="I248" s="273" t="n"/>
      <c r="J248" s="273" t="n"/>
      <c r="K248" s="273" t="n"/>
      <c r="L248" s="273" t="n"/>
      <c r="M248" s="273" t="n"/>
      <c r="N248" s="273" t="n"/>
      <c r="O248" s="507" t="n"/>
      <c r="P248" s="508" t="inlineStr">
        <is>
          <t>Итого</t>
        </is>
      </c>
      <c r="Q248" s="470" t="n"/>
      <c r="R248" s="470" t="n"/>
      <c r="S248" s="470" t="n"/>
      <c r="T248" s="470" t="n"/>
      <c r="U248" s="470" t="n"/>
      <c r="V248" s="471" t="n"/>
      <c r="W248" s="40" t="inlineStr">
        <is>
          <t>кор</t>
        </is>
      </c>
      <c r="X248" s="509">
        <f>IFERROR(SUM(X245:X247),"0")</f>
        <v/>
      </c>
      <c r="Y248" s="509">
        <f>IFERROR(SUM(Y245:Y247),"0")</f>
        <v/>
      </c>
      <c r="Z248" s="509">
        <f>IFERROR(IF(Z245="",0,Z245),"0")+IFERROR(IF(Z246="",0,Z246),"0")+IFERROR(IF(Z247="",0,Z247),"0")</f>
        <v/>
      </c>
      <c r="AA248" s="510" t="n"/>
      <c r="AB248" s="510" t="n"/>
      <c r="AC248" s="510" t="n"/>
    </row>
    <row r="249">
      <c r="A249" s="273" t="n"/>
      <c r="B249" s="273" t="n"/>
      <c r="C249" s="273" t="n"/>
      <c r="D249" s="273" t="n"/>
      <c r="E249" s="273" t="n"/>
      <c r="F249" s="273" t="n"/>
      <c r="G249" s="273" t="n"/>
      <c r="H249" s="273" t="n"/>
      <c r="I249" s="273" t="n"/>
      <c r="J249" s="273" t="n"/>
      <c r="K249" s="273" t="n"/>
      <c r="L249" s="273" t="n"/>
      <c r="M249" s="273" t="n"/>
      <c r="N249" s="273" t="n"/>
      <c r="O249" s="507" t="n"/>
      <c r="P249" s="508" t="inlineStr">
        <is>
          <t>Итого</t>
        </is>
      </c>
      <c r="Q249" s="470" t="n"/>
      <c r="R249" s="470" t="n"/>
      <c r="S249" s="470" t="n"/>
      <c r="T249" s="470" t="n"/>
      <c r="U249" s="470" t="n"/>
      <c r="V249" s="471" t="n"/>
      <c r="W249" s="40" t="inlineStr">
        <is>
          <t>кг</t>
        </is>
      </c>
      <c r="X249" s="509">
        <f>IFERROR(SUMPRODUCT(X245:X247*H245:H247),"0")</f>
        <v/>
      </c>
      <c r="Y249" s="509">
        <f>IFERROR(SUMPRODUCT(Y245:Y247*H245:H247),"0")</f>
        <v/>
      </c>
      <c r="Z249" s="40" t="n"/>
      <c r="AA249" s="510" t="n"/>
      <c r="AB249" s="510" t="n"/>
      <c r="AC249" s="510" t="n"/>
    </row>
    <row r="250" ht="14.25" customHeight="1">
      <c r="A250" s="295" t="inlineStr">
        <is>
          <t>Наггетсы</t>
        </is>
      </c>
      <c r="B250" s="273" t="n"/>
      <c r="C250" s="273" t="n"/>
      <c r="D250" s="273" t="n"/>
      <c r="E250" s="273" t="n"/>
      <c r="F250" s="273" t="n"/>
      <c r="G250" s="273" t="n"/>
      <c r="H250" s="273" t="n"/>
      <c r="I250" s="273" t="n"/>
      <c r="J250" s="273" t="n"/>
      <c r="K250" s="273" t="n"/>
      <c r="L250" s="273" t="n"/>
      <c r="M250" s="273" t="n"/>
      <c r="N250" s="273" t="n"/>
      <c r="O250" s="273" t="n"/>
      <c r="P250" s="273" t="n"/>
      <c r="Q250" s="273" t="n"/>
      <c r="R250" s="273" t="n"/>
      <c r="S250" s="273" t="n"/>
      <c r="T250" s="273" t="n"/>
      <c r="U250" s="273" t="n"/>
      <c r="V250" s="273" t="n"/>
      <c r="W250" s="273" t="n"/>
      <c r="X250" s="273" t="n"/>
      <c r="Y250" s="273" t="n"/>
      <c r="Z250" s="273" t="n"/>
      <c r="AA250" s="295" t="n"/>
      <c r="AB250" s="295" t="n"/>
      <c r="AC250" s="295" t="n"/>
    </row>
    <row r="251" ht="27" customHeight="1">
      <c r="A251" s="60" t="inlineStr">
        <is>
          <t>SU003020</t>
        </is>
      </c>
      <c r="B251" s="60" t="inlineStr">
        <is>
          <t>P003486</t>
        </is>
      </c>
      <c r="C251" s="34" t="n">
        <v>4301132080</v>
      </c>
      <c r="D251" s="276" t="n">
        <v>4640242180397</v>
      </c>
      <c r="E251" s="462" t="n"/>
      <c r="F251" s="501" t="n">
        <v>1</v>
      </c>
      <c r="G251" s="35" t="n">
        <v>6</v>
      </c>
      <c r="H251" s="501" t="n">
        <v>6</v>
      </c>
      <c r="I251" s="501" t="n">
        <v>6.26</v>
      </c>
      <c r="J251" s="35" t="n">
        <v>84</v>
      </c>
      <c r="K251" s="35" t="inlineStr">
        <is>
          <t>12</t>
        </is>
      </c>
      <c r="L251" s="35" t="inlineStr">
        <is>
          <t>Слой, мин. 1</t>
        </is>
      </c>
      <c r="M251" s="36" t="inlineStr">
        <is>
          <t>МГ</t>
        </is>
      </c>
      <c r="N251" s="36" t="n"/>
      <c r="O251" s="35" t="n">
        <v>180</v>
      </c>
      <c r="P251" s="589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51" s="503" t="n"/>
      <c r="R251" s="503" t="n"/>
      <c r="S251" s="503" t="n"/>
      <c r="T251" s="504" t="n"/>
      <c r="U251" s="37" t="inlineStr"/>
      <c r="V251" s="37" t="inlineStr"/>
      <c r="W251" s="38" t="inlineStr">
        <is>
          <t>кор</t>
        </is>
      </c>
      <c r="X251" s="505" t="n">
        <v>84</v>
      </c>
      <c r="Y251" s="506">
        <f>IFERROR(IF(X251="","",X251),"")</f>
        <v/>
      </c>
      <c r="Z251" s="39">
        <f>IFERROR(IF(X251="","",X251*0.0155),"")</f>
        <v/>
      </c>
      <c r="AA251" s="65" t="inlineStr"/>
      <c r="AB251" s="66" t="inlineStr"/>
      <c r="AC251" s="242" t="inlineStr">
        <is>
          <t>ЕАЭС N RU Д-RU. РА04.В.81113/23</t>
        </is>
      </c>
      <c r="AG251" s="78" t="n"/>
      <c r="AJ251" s="82" t="inlineStr">
        <is>
          <t>Слой</t>
        </is>
      </c>
      <c r="AK251" s="82" t="n">
        <v>12</v>
      </c>
      <c r="BB251" s="243" t="inlineStr">
        <is>
          <t>ПГП</t>
        </is>
      </c>
      <c r="BM251" s="78">
        <f>IFERROR(X251*I251,"0")</f>
        <v/>
      </c>
      <c r="BN251" s="78">
        <f>IFERROR(Y251*I251,"0")</f>
        <v/>
      </c>
      <c r="BO251" s="78">
        <f>IFERROR(X251/J251,"0")</f>
        <v/>
      </c>
      <c r="BP251" s="78">
        <f>IFERROR(Y251/J251,"0")</f>
        <v/>
      </c>
    </row>
    <row r="252" ht="27" customHeight="1">
      <c r="A252" s="60" t="inlineStr">
        <is>
          <t>SU003381</t>
        </is>
      </c>
      <c r="B252" s="60" t="inlineStr">
        <is>
          <t>P004190</t>
        </is>
      </c>
      <c r="C252" s="34" t="n">
        <v>4301132104</v>
      </c>
      <c r="D252" s="276" t="n">
        <v>4640242181219</v>
      </c>
      <c r="E252" s="462" t="n"/>
      <c r="F252" s="501" t="n">
        <v>0.3</v>
      </c>
      <c r="G252" s="35" t="n">
        <v>9</v>
      </c>
      <c r="H252" s="501" t="n">
        <v>2.7</v>
      </c>
      <c r="I252" s="501" t="n">
        <v>2.845</v>
      </c>
      <c r="J252" s="35" t="n">
        <v>234</v>
      </c>
      <c r="K252" s="35" t="inlineStr">
        <is>
          <t>18</t>
        </is>
      </c>
      <c r="L252" s="35" t="inlineStr">
        <is>
          <t>Короб, мин. 1</t>
        </is>
      </c>
      <c r="M252" s="36" t="inlineStr">
        <is>
          <t>МГ</t>
        </is>
      </c>
      <c r="N252" s="36" t="n"/>
      <c r="O252" s="35" t="n">
        <v>180</v>
      </c>
      <c r="P252" s="590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/>
      </c>
      <c r="Q252" s="503" t="n"/>
      <c r="R252" s="503" t="n"/>
      <c r="S252" s="503" t="n"/>
      <c r="T252" s="504" t="n"/>
      <c r="U252" s="37" t="inlineStr"/>
      <c r="V252" s="37" t="inlineStr"/>
      <c r="W252" s="38" t="inlineStr">
        <is>
          <t>кор</t>
        </is>
      </c>
      <c r="X252" s="505" t="n">
        <v>0</v>
      </c>
      <c r="Y252" s="506">
        <f>IFERROR(IF(X252="","",X252),"")</f>
        <v/>
      </c>
      <c r="Z252" s="39">
        <f>IFERROR(IF(X252="","",X252*0.00502),"")</f>
        <v/>
      </c>
      <c r="AA252" s="65" t="inlineStr"/>
      <c r="AB252" s="66" t="inlineStr"/>
      <c r="AC252" s="244" t="inlineStr">
        <is>
          <t>ЕАЭС N RU Д-RU. РА04.В.81113/23</t>
        </is>
      </c>
      <c r="AG252" s="78" t="n"/>
      <c r="AJ252" s="82" t="inlineStr">
        <is>
          <t>Короб</t>
        </is>
      </c>
      <c r="AK252" s="82" t="n">
        <v>1</v>
      </c>
      <c r="BB252" s="245" t="inlineStr">
        <is>
          <t>ПГП</t>
        </is>
      </c>
      <c r="BM252" s="78">
        <f>IFERROR(X252*I252,"0")</f>
        <v/>
      </c>
      <c r="BN252" s="78">
        <f>IFERROR(Y252*I252,"0")</f>
        <v/>
      </c>
      <c r="BO252" s="78">
        <f>IFERROR(X252/J252,"0")</f>
        <v/>
      </c>
      <c r="BP252" s="78">
        <f>IFERROR(Y252/J252,"0")</f>
        <v/>
      </c>
    </row>
    <row r="253">
      <c r="A253" s="285" t="n"/>
      <c r="B253" s="273" t="n"/>
      <c r="C253" s="273" t="n"/>
      <c r="D253" s="273" t="n"/>
      <c r="E253" s="273" t="n"/>
      <c r="F253" s="273" t="n"/>
      <c r="G253" s="273" t="n"/>
      <c r="H253" s="273" t="n"/>
      <c r="I253" s="273" t="n"/>
      <c r="J253" s="273" t="n"/>
      <c r="K253" s="273" t="n"/>
      <c r="L253" s="273" t="n"/>
      <c r="M253" s="273" t="n"/>
      <c r="N253" s="273" t="n"/>
      <c r="O253" s="507" t="n"/>
      <c r="P253" s="508" t="inlineStr">
        <is>
          <t>Итого</t>
        </is>
      </c>
      <c r="Q253" s="470" t="n"/>
      <c r="R253" s="470" t="n"/>
      <c r="S253" s="470" t="n"/>
      <c r="T253" s="470" t="n"/>
      <c r="U253" s="470" t="n"/>
      <c r="V253" s="471" t="n"/>
      <c r="W253" s="40" t="inlineStr">
        <is>
          <t>кор</t>
        </is>
      </c>
      <c r="X253" s="509">
        <f>IFERROR(SUM(X251:X252),"0")</f>
        <v/>
      </c>
      <c r="Y253" s="509">
        <f>IFERROR(SUM(Y251:Y252),"0")</f>
        <v/>
      </c>
      <c r="Z253" s="509">
        <f>IFERROR(IF(Z251="",0,Z251),"0")+IFERROR(IF(Z252="",0,Z252),"0")</f>
        <v/>
      </c>
      <c r="AA253" s="510" t="n"/>
      <c r="AB253" s="510" t="n"/>
      <c r="AC253" s="510" t="n"/>
    </row>
    <row r="254">
      <c r="A254" s="273" t="n"/>
      <c r="B254" s="273" t="n"/>
      <c r="C254" s="273" t="n"/>
      <c r="D254" s="273" t="n"/>
      <c r="E254" s="273" t="n"/>
      <c r="F254" s="273" t="n"/>
      <c r="G254" s="273" t="n"/>
      <c r="H254" s="273" t="n"/>
      <c r="I254" s="273" t="n"/>
      <c r="J254" s="273" t="n"/>
      <c r="K254" s="273" t="n"/>
      <c r="L254" s="273" t="n"/>
      <c r="M254" s="273" t="n"/>
      <c r="N254" s="273" t="n"/>
      <c r="O254" s="507" t="n"/>
      <c r="P254" s="508" t="inlineStr">
        <is>
          <t>Итого</t>
        </is>
      </c>
      <c r="Q254" s="470" t="n"/>
      <c r="R254" s="470" t="n"/>
      <c r="S254" s="470" t="n"/>
      <c r="T254" s="470" t="n"/>
      <c r="U254" s="470" t="n"/>
      <c r="V254" s="471" t="n"/>
      <c r="W254" s="40" t="inlineStr">
        <is>
          <t>кг</t>
        </is>
      </c>
      <c r="X254" s="509">
        <f>IFERROR(SUMPRODUCT(X251:X252*H251:H252),"0")</f>
        <v/>
      </c>
      <c r="Y254" s="509">
        <f>IFERROR(SUMPRODUCT(Y251:Y252*H251:H252),"0")</f>
        <v/>
      </c>
      <c r="Z254" s="40" t="n"/>
      <c r="AA254" s="510" t="n"/>
      <c r="AB254" s="510" t="n"/>
      <c r="AC254" s="510" t="n"/>
    </row>
    <row r="255" ht="14.25" customHeight="1">
      <c r="A255" s="295" t="inlineStr">
        <is>
          <t>Чебуреки</t>
        </is>
      </c>
      <c r="B255" s="273" t="n"/>
      <c r="C255" s="273" t="n"/>
      <c r="D255" s="273" t="n"/>
      <c r="E255" s="273" t="n"/>
      <c r="F255" s="273" t="n"/>
      <c r="G255" s="273" t="n"/>
      <c r="H255" s="273" t="n"/>
      <c r="I255" s="273" t="n"/>
      <c r="J255" s="273" t="n"/>
      <c r="K255" s="273" t="n"/>
      <c r="L255" s="273" t="n"/>
      <c r="M255" s="273" t="n"/>
      <c r="N255" s="273" t="n"/>
      <c r="O255" s="273" t="n"/>
      <c r="P255" s="273" t="n"/>
      <c r="Q255" s="273" t="n"/>
      <c r="R255" s="273" t="n"/>
      <c r="S255" s="273" t="n"/>
      <c r="T255" s="273" t="n"/>
      <c r="U255" s="273" t="n"/>
      <c r="V255" s="273" t="n"/>
      <c r="W255" s="273" t="n"/>
      <c r="X255" s="273" t="n"/>
      <c r="Y255" s="273" t="n"/>
      <c r="Z255" s="273" t="n"/>
      <c r="AA255" s="295" t="n"/>
      <c r="AB255" s="295" t="n"/>
      <c r="AC255" s="295" t="n"/>
    </row>
    <row r="256" ht="27" customHeight="1">
      <c r="A256" s="60" t="inlineStr">
        <is>
          <t>SU003012</t>
        </is>
      </c>
      <c r="B256" s="60" t="inlineStr">
        <is>
          <t>P003478</t>
        </is>
      </c>
      <c r="C256" s="34" t="n">
        <v>4301136051</v>
      </c>
      <c r="D256" s="276" t="n">
        <v>4640242180304</v>
      </c>
      <c r="E256" s="462" t="n"/>
      <c r="F256" s="501" t="n">
        <v>2.7</v>
      </c>
      <c r="G256" s="35" t="n">
        <v>1</v>
      </c>
      <c r="H256" s="501" t="n">
        <v>2.7</v>
      </c>
      <c r="I256" s="501" t="n">
        <v>2.8906</v>
      </c>
      <c r="J256" s="35" t="n">
        <v>126</v>
      </c>
      <c r="K256" s="35" t="inlineStr">
        <is>
          <t>14</t>
        </is>
      </c>
      <c r="L256" s="35" t="inlineStr">
        <is>
          <t>Короб, мин. 1</t>
        </is>
      </c>
      <c r="M256" s="36" t="inlineStr">
        <is>
          <t>МГ</t>
        </is>
      </c>
      <c r="N256" s="36" t="n"/>
      <c r="O256" s="35" t="n">
        <v>180</v>
      </c>
      <c r="P256" s="591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56" s="503" t="n"/>
      <c r="R256" s="503" t="n"/>
      <c r="S256" s="503" t="n"/>
      <c r="T256" s="504" t="n"/>
      <c r="U256" s="37" t="inlineStr"/>
      <c r="V256" s="37" t="inlineStr"/>
      <c r="W256" s="38" t="inlineStr">
        <is>
          <t>кор</t>
        </is>
      </c>
      <c r="X256" s="505" t="n">
        <v>0</v>
      </c>
      <c r="Y256" s="506">
        <f>IFERROR(IF(X256="","",X256),"")</f>
        <v/>
      </c>
      <c r="Z256" s="39">
        <f>IFERROR(IF(X256="","",X256*0.00936),"")</f>
        <v/>
      </c>
      <c r="AA256" s="65" t="inlineStr"/>
      <c r="AB256" s="66" t="inlineStr"/>
      <c r="AC256" s="246" t="inlineStr">
        <is>
          <t>ЕАЭС N RU Д-RU. РА04.В.83320/23</t>
        </is>
      </c>
      <c r="AG256" s="78" t="n"/>
      <c r="AJ256" s="82" t="inlineStr">
        <is>
          <t>Короб</t>
        </is>
      </c>
      <c r="AK256" s="82" t="n">
        <v>1</v>
      </c>
      <c r="BB256" s="247" t="inlineStr">
        <is>
          <t>ПГП</t>
        </is>
      </c>
      <c r="BM256" s="78">
        <f>IFERROR(X256*I256,"0")</f>
        <v/>
      </c>
      <c r="BN256" s="78">
        <f>IFERROR(Y256*I256,"0")</f>
        <v/>
      </c>
      <c r="BO256" s="78">
        <f>IFERROR(X256/J256,"0")</f>
        <v/>
      </c>
      <c r="BP256" s="78">
        <f>IFERROR(Y256/J256,"0")</f>
        <v/>
      </c>
    </row>
    <row r="257" ht="27" customHeight="1">
      <c r="A257" s="60" t="inlineStr">
        <is>
          <t>SU003010</t>
        </is>
      </c>
      <c r="B257" s="60" t="inlineStr">
        <is>
          <t>P003476</t>
        </is>
      </c>
      <c r="C257" s="34" t="n">
        <v>4301136053</v>
      </c>
      <c r="D257" s="276" t="n">
        <v>4640242180236</v>
      </c>
      <c r="E257" s="462" t="n"/>
      <c r="F257" s="501" t="n">
        <v>5</v>
      </c>
      <c r="G257" s="35" t="n">
        <v>1</v>
      </c>
      <c r="H257" s="501" t="n">
        <v>5</v>
      </c>
      <c r="I257" s="501" t="n">
        <v>5.235</v>
      </c>
      <c r="J257" s="35" t="n">
        <v>84</v>
      </c>
      <c r="K257" s="35" t="inlineStr">
        <is>
          <t>12</t>
        </is>
      </c>
      <c r="L257" s="35" t="inlineStr">
        <is>
          <t>Слой, мин. 1</t>
        </is>
      </c>
      <c r="M257" s="36" t="inlineStr">
        <is>
          <t>МГ</t>
        </is>
      </c>
      <c r="N257" s="36" t="n"/>
      <c r="O257" s="35" t="n">
        <v>180</v>
      </c>
      <c r="P257" s="592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57" s="503" t="n"/>
      <c r="R257" s="503" t="n"/>
      <c r="S257" s="503" t="n"/>
      <c r="T257" s="504" t="n"/>
      <c r="U257" s="37" t="inlineStr"/>
      <c r="V257" s="37" t="inlineStr"/>
      <c r="W257" s="38" t="inlineStr">
        <is>
          <t>кор</t>
        </is>
      </c>
      <c r="X257" s="505" t="n">
        <v>168</v>
      </c>
      <c r="Y257" s="506">
        <f>IFERROR(IF(X257="","",X257),"")</f>
        <v/>
      </c>
      <c r="Z257" s="39">
        <f>IFERROR(IF(X257="","",X257*0.0155),"")</f>
        <v/>
      </c>
      <c r="AA257" s="65" t="inlineStr"/>
      <c r="AB257" s="66" t="inlineStr"/>
      <c r="AC257" s="248" t="inlineStr">
        <is>
          <t>ЕАЭС N RU Д-RU. РА04.В.83320/23</t>
        </is>
      </c>
      <c r="AG257" s="78" t="n"/>
      <c r="AJ257" s="82" t="inlineStr">
        <is>
          <t>Слой</t>
        </is>
      </c>
      <c r="AK257" s="82" t="n">
        <v>12</v>
      </c>
      <c r="BB257" s="249" t="inlineStr">
        <is>
          <t>ПГП</t>
        </is>
      </c>
      <c r="BM257" s="78">
        <f>IFERROR(X257*I257,"0")</f>
        <v/>
      </c>
      <c r="BN257" s="78">
        <f>IFERROR(Y257*I257,"0")</f>
        <v/>
      </c>
      <c r="BO257" s="78">
        <f>IFERROR(X257/J257,"0")</f>
        <v/>
      </c>
      <c r="BP257" s="78">
        <f>IFERROR(Y257/J257,"0")</f>
        <v/>
      </c>
    </row>
    <row r="258" ht="27" customHeight="1">
      <c r="A258" s="60" t="inlineStr">
        <is>
          <t>SU003025</t>
        </is>
      </c>
      <c r="B258" s="60" t="inlineStr">
        <is>
          <t>P003495</t>
        </is>
      </c>
      <c r="C258" s="34" t="n">
        <v>4301136052</v>
      </c>
      <c r="D258" s="276" t="n">
        <v>4640242180410</v>
      </c>
      <c r="E258" s="462" t="n"/>
      <c r="F258" s="501" t="n">
        <v>2.24</v>
      </c>
      <c r="G258" s="35" t="n">
        <v>1</v>
      </c>
      <c r="H258" s="501" t="n">
        <v>2.24</v>
      </c>
      <c r="I258" s="501" t="n">
        <v>2.432</v>
      </c>
      <c r="J258" s="35" t="n">
        <v>126</v>
      </c>
      <c r="K258" s="35" t="inlineStr">
        <is>
          <t>14</t>
        </is>
      </c>
      <c r="L258" s="35" t="inlineStr">
        <is>
          <t>Короб, мин. 1</t>
        </is>
      </c>
      <c r="M258" s="36" t="inlineStr">
        <is>
          <t>МГ</t>
        </is>
      </c>
      <c r="N258" s="36" t="n"/>
      <c r="O258" s="35" t="n">
        <v>180</v>
      </c>
      <c r="P258" s="593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58" s="503" t="n"/>
      <c r="R258" s="503" t="n"/>
      <c r="S258" s="503" t="n"/>
      <c r="T258" s="504" t="n"/>
      <c r="U258" s="37" t="inlineStr"/>
      <c r="V258" s="37" t="inlineStr"/>
      <c r="W258" s="38" t="inlineStr">
        <is>
          <t>кор</t>
        </is>
      </c>
      <c r="X258" s="505" t="n">
        <v>0</v>
      </c>
      <c r="Y258" s="506">
        <f>IFERROR(IF(X258="","",X258),"")</f>
        <v/>
      </c>
      <c r="Z258" s="39">
        <f>IFERROR(IF(X258="","",X258*0.00936),"")</f>
        <v/>
      </c>
      <c r="AA258" s="65" t="inlineStr"/>
      <c r="AB258" s="66" t="inlineStr"/>
      <c r="AC258" s="250" t="inlineStr">
        <is>
          <t>ЕАЭС N RU Д-RU. РА04.В.83320/23</t>
        </is>
      </c>
      <c r="AG258" s="78" t="n"/>
      <c r="AJ258" s="82" t="inlineStr">
        <is>
          <t>Короб</t>
        </is>
      </c>
      <c r="AK258" s="82" t="n">
        <v>1</v>
      </c>
      <c r="BB258" s="251" t="inlineStr">
        <is>
          <t>ПГП</t>
        </is>
      </c>
      <c r="BM258" s="78">
        <f>IFERROR(X258*I258,"0")</f>
        <v/>
      </c>
      <c r="BN258" s="78">
        <f>IFERROR(Y258*I258,"0")</f>
        <v/>
      </c>
      <c r="BO258" s="78">
        <f>IFERROR(X258/J258,"0")</f>
        <v/>
      </c>
      <c r="BP258" s="78">
        <f>IFERROR(Y258/J258,"0")</f>
        <v/>
      </c>
    </row>
    <row r="259">
      <c r="A259" s="285" t="n"/>
      <c r="B259" s="273" t="n"/>
      <c r="C259" s="273" t="n"/>
      <c r="D259" s="273" t="n"/>
      <c r="E259" s="273" t="n"/>
      <c r="F259" s="273" t="n"/>
      <c r="G259" s="273" t="n"/>
      <c r="H259" s="273" t="n"/>
      <c r="I259" s="273" t="n"/>
      <c r="J259" s="273" t="n"/>
      <c r="K259" s="273" t="n"/>
      <c r="L259" s="273" t="n"/>
      <c r="M259" s="273" t="n"/>
      <c r="N259" s="273" t="n"/>
      <c r="O259" s="507" t="n"/>
      <c r="P259" s="508" t="inlineStr">
        <is>
          <t>Итого</t>
        </is>
      </c>
      <c r="Q259" s="470" t="n"/>
      <c r="R259" s="470" t="n"/>
      <c r="S259" s="470" t="n"/>
      <c r="T259" s="470" t="n"/>
      <c r="U259" s="470" t="n"/>
      <c r="V259" s="471" t="n"/>
      <c r="W259" s="40" t="inlineStr">
        <is>
          <t>кор</t>
        </is>
      </c>
      <c r="X259" s="509">
        <f>IFERROR(SUM(X256:X258),"0")</f>
        <v/>
      </c>
      <c r="Y259" s="509">
        <f>IFERROR(SUM(Y256:Y258),"0")</f>
        <v/>
      </c>
      <c r="Z259" s="509">
        <f>IFERROR(IF(Z256="",0,Z256),"0")+IFERROR(IF(Z257="",0,Z257),"0")+IFERROR(IF(Z258="",0,Z258),"0")</f>
        <v/>
      </c>
      <c r="AA259" s="510" t="n"/>
      <c r="AB259" s="510" t="n"/>
      <c r="AC259" s="510" t="n"/>
    </row>
    <row r="260">
      <c r="A260" s="273" t="n"/>
      <c r="B260" s="273" t="n"/>
      <c r="C260" s="273" t="n"/>
      <c r="D260" s="273" t="n"/>
      <c r="E260" s="273" t="n"/>
      <c r="F260" s="273" t="n"/>
      <c r="G260" s="273" t="n"/>
      <c r="H260" s="273" t="n"/>
      <c r="I260" s="273" t="n"/>
      <c r="J260" s="273" t="n"/>
      <c r="K260" s="273" t="n"/>
      <c r="L260" s="273" t="n"/>
      <c r="M260" s="273" t="n"/>
      <c r="N260" s="273" t="n"/>
      <c r="O260" s="507" t="n"/>
      <c r="P260" s="508" t="inlineStr">
        <is>
          <t>Итого</t>
        </is>
      </c>
      <c r="Q260" s="470" t="n"/>
      <c r="R260" s="470" t="n"/>
      <c r="S260" s="470" t="n"/>
      <c r="T260" s="470" t="n"/>
      <c r="U260" s="470" t="n"/>
      <c r="V260" s="471" t="n"/>
      <c r="W260" s="40" t="inlineStr">
        <is>
          <t>кг</t>
        </is>
      </c>
      <c r="X260" s="509">
        <f>IFERROR(SUMPRODUCT(X256:X258*H256:H258),"0")</f>
        <v/>
      </c>
      <c r="Y260" s="509">
        <f>IFERROR(SUMPRODUCT(Y256:Y258*H256:H258),"0")</f>
        <v/>
      </c>
      <c r="Z260" s="40" t="n"/>
      <c r="AA260" s="510" t="n"/>
      <c r="AB260" s="510" t="n"/>
      <c r="AC260" s="510" t="n"/>
    </row>
    <row r="261" ht="14.25" customHeight="1">
      <c r="A261" s="295" t="inlineStr">
        <is>
          <t>Снеки</t>
        </is>
      </c>
      <c r="B261" s="273" t="n"/>
      <c r="C261" s="273" t="n"/>
      <c r="D261" s="273" t="n"/>
      <c r="E261" s="273" t="n"/>
      <c r="F261" s="273" t="n"/>
      <c r="G261" s="273" t="n"/>
      <c r="H261" s="273" t="n"/>
      <c r="I261" s="273" t="n"/>
      <c r="J261" s="273" t="n"/>
      <c r="K261" s="273" t="n"/>
      <c r="L261" s="273" t="n"/>
      <c r="M261" s="273" t="n"/>
      <c r="N261" s="273" t="n"/>
      <c r="O261" s="273" t="n"/>
      <c r="P261" s="273" t="n"/>
      <c r="Q261" s="273" t="n"/>
      <c r="R261" s="273" t="n"/>
      <c r="S261" s="273" t="n"/>
      <c r="T261" s="273" t="n"/>
      <c r="U261" s="273" t="n"/>
      <c r="V261" s="273" t="n"/>
      <c r="W261" s="273" t="n"/>
      <c r="X261" s="273" t="n"/>
      <c r="Y261" s="273" t="n"/>
      <c r="Z261" s="273" t="n"/>
      <c r="AA261" s="295" t="n"/>
      <c r="AB261" s="295" t="n"/>
      <c r="AC261" s="295" t="n"/>
    </row>
    <row r="262" ht="37.5" customHeight="1">
      <c r="A262" s="60" t="inlineStr">
        <is>
          <t>SU003510</t>
        </is>
      </c>
      <c r="B262" s="60" t="inlineStr">
        <is>
          <t>P004457</t>
        </is>
      </c>
      <c r="C262" s="34" t="n">
        <v>4301135504</v>
      </c>
      <c r="D262" s="276" t="n">
        <v>4640242181554</v>
      </c>
      <c r="E262" s="462" t="n"/>
      <c r="F262" s="501" t="n">
        <v>3</v>
      </c>
      <c r="G262" s="35" t="n">
        <v>1</v>
      </c>
      <c r="H262" s="501" t="n">
        <v>3</v>
      </c>
      <c r="I262" s="501" t="n">
        <v>3.192</v>
      </c>
      <c r="J262" s="35" t="n">
        <v>126</v>
      </c>
      <c r="K262" s="35" t="inlineStr">
        <is>
          <t>14</t>
        </is>
      </c>
      <c r="L262" s="35" t="inlineStr">
        <is>
          <t>Короб, мин. 1</t>
        </is>
      </c>
      <c r="M262" s="36" t="inlineStr">
        <is>
          <t>МГ</t>
        </is>
      </c>
      <c r="N262" s="36" t="n"/>
      <c r="O262" s="35" t="n">
        <v>180</v>
      </c>
      <c r="P262" s="594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62" s="503" t="n"/>
      <c r="R262" s="503" t="n"/>
      <c r="S262" s="503" t="n"/>
      <c r="T262" s="504" t="n"/>
      <c r="U262" s="37" t="inlineStr"/>
      <c r="V262" s="37" t="inlineStr"/>
      <c r="W262" s="38" t="inlineStr">
        <is>
          <t>кор</t>
        </is>
      </c>
      <c r="X262" s="505" t="n">
        <v>0</v>
      </c>
      <c r="Y262" s="506">
        <f>IFERROR(IF(X262="","",X262),"")</f>
        <v/>
      </c>
      <c r="Z262" s="39">
        <f>IFERROR(IF(X262="","",X262*0.00936),"")</f>
        <v/>
      </c>
      <c r="AA262" s="65" t="inlineStr"/>
      <c r="AB262" s="66" t="inlineStr"/>
      <c r="AC262" s="252" t="inlineStr">
        <is>
          <t>ЕАЭС N RU Д-RU.РА02.В.25079/24</t>
        </is>
      </c>
      <c r="AG262" s="78" t="n"/>
      <c r="AJ262" s="82" t="inlineStr">
        <is>
          <t>Короб</t>
        </is>
      </c>
      <c r="AK262" s="82" t="n">
        <v>1</v>
      </c>
      <c r="BB262" s="253" t="inlineStr">
        <is>
          <t>ПГП</t>
        </is>
      </c>
      <c r="BM262" s="78">
        <f>IFERROR(X262*I262,"0")</f>
        <v/>
      </c>
      <c r="BN262" s="78">
        <f>IFERROR(Y262*I262,"0")</f>
        <v/>
      </c>
      <c r="BO262" s="78">
        <f>IFERROR(X262/J262,"0")</f>
        <v/>
      </c>
      <c r="BP262" s="78">
        <f>IFERROR(Y262/J262,"0")</f>
        <v/>
      </c>
    </row>
    <row r="263" ht="27" customHeight="1">
      <c r="A263" s="60" t="inlineStr">
        <is>
          <t>SU003454</t>
        </is>
      </c>
      <c r="B263" s="60" t="inlineStr">
        <is>
          <t>P004364</t>
        </is>
      </c>
      <c r="C263" s="34" t="n">
        <v>4301135518</v>
      </c>
      <c r="D263" s="276" t="n">
        <v>4640242181561</v>
      </c>
      <c r="E263" s="462" t="n"/>
      <c r="F263" s="501" t="n">
        <v>3.7</v>
      </c>
      <c r="G263" s="35" t="n">
        <v>1</v>
      </c>
      <c r="H263" s="501" t="n">
        <v>3.7</v>
      </c>
      <c r="I263" s="501" t="n">
        <v>3.892</v>
      </c>
      <c r="J263" s="35" t="n">
        <v>126</v>
      </c>
      <c r="K263" s="35" t="inlineStr">
        <is>
          <t>14</t>
        </is>
      </c>
      <c r="L263" s="35" t="inlineStr">
        <is>
          <t>Палетта, мин. 1</t>
        </is>
      </c>
      <c r="M263" s="36" t="inlineStr">
        <is>
          <t>МГ</t>
        </is>
      </c>
      <c r="N263" s="36" t="n"/>
      <c r="O263" s="35" t="n">
        <v>180</v>
      </c>
      <c r="P263" s="595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/>
      </c>
      <c r="Q263" s="503" t="n"/>
      <c r="R263" s="503" t="n"/>
      <c r="S263" s="503" t="n"/>
      <c r="T263" s="504" t="n"/>
      <c r="U263" s="37" t="inlineStr"/>
      <c r="V263" s="37" t="inlineStr"/>
      <c r="W263" s="38" t="inlineStr">
        <is>
          <t>кор</t>
        </is>
      </c>
      <c r="X263" s="505" t="n">
        <v>378</v>
      </c>
      <c r="Y263" s="506">
        <f>IFERROR(IF(X263="","",X263),"")</f>
        <v/>
      </c>
      <c r="Z263" s="39">
        <f>IFERROR(IF(X263="","",X263*0.00936),"")</f>
        <v/>
      </c>
      <c r="AA263" s="65" t="inlineStr"/>
      <c r="AB263" s="66" t="inlineStr"/>
      <c r="AC263" s="254" t="inlineStr">
        <is>
          <t>ЕАЭС N RU Д-RU.РА02.В.58883/24</t>
        </is>
      </c>
      <c r="AG263" s="78" t="n"/>
      <c r="AJ263" s="82" t="inlineStr">
        <is>
          <t>Палетта</t>
        </is>
      </c>
      <c r="AK263" s="82" t="n">
        <v>126</v>
      </c>
      <c r="BB263" s="255" t="inlineStr">
        <is>
          <t>ПГП</t>
        </is>
      </c>
      <c r="BM263" s="78">
        <f>IFERROR(X263*I263,"0")</f>
        <v/>
      </c>
      <c r="BN263" s="78">
        <f>IFERROR(Y263*I263,"0")</f>
        <v/>
      </c>
      <c r="BO263" s="78">
        <f>IFERROR(X263/J263,"0")</f>
        <v/>
      </c>
      <c r="BP263" s="78">
        <f>IFERROR(Y263/J263,"0")</f>
        <v/>
      </c>
    </row>
    <row r="264" ht="27" customHeight="1">
      <c r="A264" s="60" t="inlineStr">
        <is>
          <t>SU003434</t>
        </is>
      </c>
      <c r="B264" s="60" t="inlineStr">
        <is>
          <t>P004358</t>
        </is>
      </c>
      <c r="C264" s="34" t="n">
        <v>4301135374</v>
      </c>
      <c r="D264" s="276" t="n">
        <v>4640242181424</v>
      </c>
      <c r="E264" s="462" t="n"/>
      <c r="F264" s="501" t="n">
        <v>5.5</v>
      </c>
      <c r="G264" s="35" t="n">
        <v>1</v>
      </c>
      <c r="H264" s="501" t="n">
        <v>5.5</v>
      </c>
      <c r="I264" s="501" t="n">
        <v>5.735</v>
      </c>
      <c r="J264" s="35" t="n">
        <v>84</v>
      </c>
      <c r="K264" s="35" t="inlineStr">
        <is>
          <t>12</t>
        </is>
      </c>
      <c r="L264" s="35" t="inlineStr">
        <is>
          <t>Слой, мин. 1</t>
        </is>
      </c>
      <c r="M264" s="36" t="inlineStr">
        <is>
          <t>МГ</t>
        </is>
      </c>
      <c r="N264" s="36" t="n"/>
      <c r="O264" s="35" t="n">
        <v>180</v>
      </c>
      <c r="P264" s="596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64" s="503" t="n"/>
      <c r="R264" s="503" t="n"/>
      <c r="S264" s="503" t="n"/>
      <c r="T264" s="504" t="n"/>
      <c r="U264" s="37" t="inlineStr"/>
      <c r="V264" s="37" t="inlineStr"/>
      <c r="W264" s="38" t="inlineStr">
        <is>
          <t>кор</t>
        </is>
      </c>
      <c r="X264" s="505" t="n">
        <v>168</v>
      </c>
      <c r="Y264" s="506">
        <f>IFERROR(IF(X264="","",X264),"")</f>
        <v/>
      </c>
      <c r="Z264" s="39">
        <f>IFERROR(IF(X264="","",X264*0.0155),"")</f>
        <v/>
      </c>
      <c r="AA264" s="65" t="inlineStr"/>
      <c r="AB264" s="66" t="inlineStr"/>
      <c r="AC264" s="256" t="inlineStr">
        <is>
          <t>ЕАЭС N RU Д-RU.РА02.В.25079/24</t>
        </is>
      </c>
      <c r="AG264" s="78" t="n"/>
      <c r="AJ264" s="82" t="inlineStr">
        <is>
          <t>Слой</t>
        </is>
      </c>
      <c r="AK264" s="82" t="n">
        <v>12</v>
      </c>
      <c r="BB264" s="257" t="inlineStr">
        <is>
          <t>ПГП</t>
        </is>
      </c>
      <c r="BM264" s="78">
        <f>IFERROR(X264*I264,"0")</f>
        <v/>
      </c>
      <c r="BN264" s="78">
        <f>IFERROR(Y264*I264,"0")</f>
        <v/>
      </c>
      <c r="BO264" s="78">
        <f>IFERROR(X264/J264,"0")</f>
        <v/>
      </c>
      <c r="BP264" s="78">
        <f>IFERROR(Y264/J264,"0")</f>
        <v/>
      </c>
    </row>
    <row r="265" ht="27" customHeight="1">
      <c r="A265" s="60" t="inlineStr">
        <is>
          <t>SU003448</t>
        </is>
      </c>
      <c r="B265" s="60" t="inlineStr">
        <is>
          <t>P004394</t>
        </is>
      </c>
      <c r="C265" s="34" t="n">
        <v>4301135405</v>
      </c>
      <c r="D265" s="276" t="n">
        <v>4640242181523</v>
      </c>
      <c r="E265" s="462" t="n"/>
      <c r="F265" s="501" t="n">
        <v>3</v>
      </c>
      <c r="G265" s="35" t="n">
        <v>1</v>
      </c>
      <c r="H265" s="501" t="n">
        <v>3</v>
      </c>
      <c r="I265" s="501" t="n">
        <v>3.192</v>
      </c>
      <c r="J265" s="35" t="n">
        <v>126</v>
      </c>
      <c r="K265" s="35" t="inlineStr">
        <is>
          <t>14</t>
        </is>
      </c>
      <c r="L265" s="35" t="inlineStr">
        <is>
          <t>Слой, мин. 1</t>
        </is>
      </c>
      <c r="M265" s="36" t="inlineStr">
        <is>
          <t>МГ</t>
        </is>
      </c>
      <c r="N265" s="36" t="n"/>
      <c r="O265" s="35" t="n">
        <v>180</v>
      </c>
      <c r="P265" s="59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65" s="503" t="n"/>
      <c r="R265" s="503" t="n"/>
      <c r="S265" s="503" t="n"/>
      <c r="T265" s="504" t="n"/>
      <c r="U265" s="37" t="inlineStr"/>
      <c r="V265" s="37" t="inlineStr"/>
      <c r="W265" s="38" t="inlineStr">
        <is>
          <t>кор</t>
        </is>
      </c>
      <c r="X265" s="505" t="n">
        <v>0</v>
      </c>
      <c r="Y265" s="506">
        <f>IFERROR(IF(X265="","",X265),"")</f>
        <v/>
      </c>
      <c r="Z265" s="39">
        <f>IFERROR(IF(X265="","",X265*0.00936),"")</f>
        <v/>
      </c>
      <c r="AA265" s="65" t="inlineStr"/>
      <c r="AB265" s="66" t="inlineStr"/>
      <c r="AC265" s="258" t="inlineStr">
        <is>
          <t>ЕАЭС N RU Д-RU.РА02.В.58883/24</t>
        </is>
      </c>
      <c r="AG265" s="78" t="n"/>
      <c r="AJ265" s="82" t="inlineStr">
        <is>
          <t>Слой</t>
        </is>
      </c>
      <c r="AK265" s="82" t="n">
        <v>14</v>
      </c>
      <c r="BB265" s="259" t="inlineStr">
        <is>
          <t>ПГП</t>
        </is>
      </c>
      <c r="BM265" s="78">
        <f>IFERROR(X265*I265,"0")</f>
        <v/>
      </c>
      <c r="BN265" s="78">
        <f>IFERROR(Y265*I265,"0")</f>
        <v/>
      </c>
      <c r="BO265" s="78">
        <f>IFERROR(X265/J265,"0")</f>
        <v/>
      </c>
      <c r="BP265" s="78">
        <f>IFERROR(Y265/J265,"0")</f>
        <v/>
      </c>
    </row>
    <row r="266" ht="27" customHeight="1">
      <c r="A266" s="60" t="inlineStr">
        <is>
          <t>SU003439</t>
        </is>
      </c>
      <c r="B266" s="60" t="inlineStr">
        <is>
          <t>P004359</t>
        </is>
      </c>
      <c r="C266" s="34" t="n">
        <v>4301135375</v>
      </c>
      <c r="D266" s="276" t="n">
        <v>4640242181486</v>
      </c>
      <c r="E266" s="462" t="n"/>
      <c r="F266" s="501" t="n">
        <v>3.7</v>
      </c>
      <c r="G266" s="35" t="n">
        <v>1</v>
      </c>
      <c r="H266" s="501" t="n">
        <v>3.7</v>
      </c>
      <c r="I266" s="501" t="n">
        <v>3.892</v>
      </c>
      <c r="J266" s="35" t="n">
        <v>126</v>
      </c>
      <c r="K266" s="35" t="inlineStr">
        <is>
          <t>14</t>
        </is>
      </c>
      <c r="L266" s="35" t="inlineStr">
        <is>
          <t>Палетта, мин. 1</t>
        </is>
      </c>
      <c r="M266" s="36" t="inlineStr">
        <is>
          <t>МГ</t>
        </is>
      </c>
      <c r="N266" s="36" t="n"/>
      <c r="O266" s="35" t="n">
        <v>180</v>
      </c>
      <c r="P266" s="598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66" s="503" t="n"/>
      <c r="R266" s="503" t="n"/>
      <c r="S266" s="503" t="n"/>
      <c r="T266" s="504" t="n"/>
      <c r="U266" s="37" t="inlineStr"/>
      <c r="V266" s="37" t="inlineStr"/>
      <c r="W266" s="38" t="inlineStr">
        <is>
          <t>кор</t>
        </is>
      </c>
      <c r="X266" s="505" t="n">
        <v>126</v>
      </c>
      <c r="Y266" s="506">
        <f>IFERROR(IF(X266="","",X266),"")</f>
        <v/>
      </c>
      <c r="Z266" s="39">
        <f>IFERROR(IF(X266="","",X266*0.00936),"")</f>
        <v/>
      </c>
      <c r="AA266" s="65" t="inlineStr"/>
      <c r="AB266" s="66" t="inlineStr"/>
      <c r="AC266" s="260" t="inlineStr">
        <is>
          <t>ЕАЭС N RU Д-RU.РА02.В.25079/24</t>
        </is>
      </c>
      <c r="AG266" s="78" t="n"/>
      <c r="AJ266" s="82" t="inlineStr">
        <is>
          <t>Палетта</t>
        </is>
      </c>
      <c r="AK266" s="82" t="n">
        <v>126</v>
      </c>
      <c r="BB266" s="261" t="inlineStr">
        <is>
          <t>ПГП</t>
        </is>
      </c>
      <c r="BM266" s="78">
        <f>IFERROR(X266*I266,"0")</f>
        <v/>
      </c>
      <c r="BN266" s="78">
        <f>IFERROR(Y266*I266,"0")</f>
        <v/>
      </c>
      <c r="BO266" s="78">
        <f>IFERROR(X266/J266,"0")</f>
        <v/>
      </c>
      <c r="BP266" s="78">
        <f>IFERROR(Y266/J266,"0")</f>
        <v/>
      </c>
    </row>
    <row r="267" ht="37.5" customHeight="1">
      <c r="A267" s="60" t="inlineStr">
        <is>
          <t>SU003442</t>
        </is>
      </c>
      <c r="B267" s="60" t="inlineStr">
        <is>
          <t>P004391</t>
        </is>
      </c>
      <c r="C267" s="34" t="n">
        <v>4301135402</v>
      </c>
      <c r="D267" s="276" t="n">
        <v>4640242181493</v>
      </c>
      <c r="E267" s="462" t="n"/>
      <c r="F267" s="501" t="n">
        <v>3.7</v>
      </c>
      <c r="G267" s="35" t="n">
        <v>1</v>
      </c>
      <c r="H267" s="501" t="n">
        <v>3.7</v>
      </c>
      <c r="I267" s="501" t="n">
        <v>3.892</v>
      </c>
      <c r="J267" s="35" t="n">
        <v>126</v>
      </c>
      <c r="K267" s="35" t="inlineStr">
        <is>
          <t>14</t>
        </is>
      </c>
      <c r="L267" s="35" t="inlineStr">
        <is>
          <t>Слой, мин. 1</t>
        </is>
      </c>
      <c r="M267" s="36" t="inlineStr">
        <is>
          <t>МГ</t>
        </is>
      </c>
      <c r="N267" s="36" t="n"/>
      <c r="O267" s="35" t="n">
        <v>180</v>
      </c>
      <c r="P267" s="599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67" s="503" t="n"/>
      <c r="R267" s="503" t="n"/>
      <c r="S267" s="503" t="n"/>
      <c r="T267" s="504" t="n"/>
      <c r="U267" s="37" t="inlineStr"/>
      <c r="V267" s="37" t="inlineStr"/>
      <c r="W267" s="38" t="inlineStr">
        <is>
          <t>кор</t>
        </is>
      </c>
      <c r="X267" s="505" t="n">
        <v>0</v>
      </c>
      <c r="Y267" s="506">
        <f>IFERROR(IF(X267="","",X267),"")</f>
        <v/>
      </c>
      <c r="Z267" s="39">
        <f>IFERROR(IF(X267="","",X267*0.00936),"")</f>
        <v/>
      </c>
      <c r="AA267" s="65" t="inlineStr"/>
      <c r="AB267" s="66" t="inlineStr"/>
      <c r="AC267" s="262" t="inlineStr">
        <is>
          <t>ЕАЭС N RU Д-RU.РА02.В.25079/24</t>
        </is>
      </c>
      <c r="AG267" s="78" t="n"/>
      <c r="AJ267" s="82" t="inlineStr">
        <is>
          <t>Слой</t>
        </is>
      </c>
      <c r="AK267" s="82" t="n">
        <v>14</v>
      </c>
      <c r="BB267" s="263" t="inlineStr">
        <is>
          <t>ПГП</t>
        </is>
      </c>
      <c r="BM267" s="78">
        <f>IFERROR(X267*I267,"0")</f>
        <v/>
      </c>
      <c r="BN267" s="78">
        <f>IFERROR(Y267*I267,"0")</f>
        <v/>
      </c>
      <c r="BO267" s="78">
        <f>IFERROR(X267/J267,"0")</f>
        <v/>
      </c>
      <c r="BP267" s="78">
        <f>IFERROR(Y267/J267,"0")</f>
        <v/>
      </c>
    </row>
    <row r="268" ht="37.5" customHeight="1">
      <c r="A268" s="60" t="inlineStr">
        <is>
          <t>SU003444</t>
        </is>
      </c>
      <c r="B268" s="60" t="inlineStr">
        <is>
          <t>P004392</t>
        </is>
      </c>
      <c r="C268" s="34" t="n">
        <v>4301135403</v>
      </c>
      <c r="D268" s="276" t="n">
        <v>4640242181509</v>
      </c>
      <c r="E268" s="462" t="n"/>
      <c r="F268" s="501" t="n">
        <v>3.7</v>
      </c>
      <c r="G268" s="35" t="n">
        <v>1</v>
      </c>
      <c r="H268" s="501" t="n">
        <v>3.7</v>
      </c>
      <c r="I268" s="501" t="n">
        <v>3.892</v>
      </c>
      <c r="J268" s="35" t="n">
        <v>126</v>
      </c>
      <c r="K268" s="35" t="inlineStr">
        <is>
          <t>14</t>
        </is>
      </c>
      <c r="L268" s="35" t="inlineStr">
        <is>
          <t>Короб, мин. 1</t>
        </is>
      </c>
      <c r="M268" s="36" t="inlineStr">
        <is>
          <t>МГ</t>
        </is>
      </c>
      <c r="N268" s="36" t="n"/>
      <c r="O268" s="35" t="n">
        <v>180</v>
      </c>
      <c r="P268" s="600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68" s="503" t="n"/>
      <c r="R268" s="503" t="n"/>
      <c r="S268" s="503" t="n"/>
      <c r="T268" s="504" t="n"/>
      <c r="U268" s="37" t="inlineStr"/>
      <c r="V268" s="37" t="inlineStr"/>
      <c r="W268" s="38" t="inlineStr">
        <is>
          <t>кор</t>
        </is>
      </c>
      <c r="X268" s="505" t="n">
        <v>0</v>
      </c>
      <c r="Y268" s="506">
        <f>IFERROR(IF(X268="","",X268),"")</f>
        <v/>
      </c>
      <c r="Z268" s="39">
        <f>IFERROR(IF(X268="","",X268*0.00936),"")</f>
        <v/>
      </c>
      <c r="AA268" s="65" t="inlineStr"/>
      <c r="AB268" s="66" t="inlineStr"/>
      <c r="AC268" s="264" t="inlineStr">
        <is>
          <t>ЕАЭС N RU Д-RU.РА02.В.25079/24</t>
        </is>
      </c>
      <c r="AG268" s="78" t="n"/>
      <c r="AJ268" s="82" t="inlineStr">
        <is>
          <t>Короб</t>
        </is>
      </c>
      <c r="AK268" s="82" t="n">
        <v>1</v>
      </c>
      <c r="BB268" s="265" t="inlineStr">
        <is>
          <t>ПГП</t>
        </is>
      </c>
      <c r="BM268" s="78">
        <f>IFERROR(X268*I268,"0")</f>
        <v/>
      </c>
      <c r="BN268" s="78">
        <f>IFERROR(Y268*I268,"0")</f>
        <v/>
      </c>
      <c r="BO268" s="78">
        <f>IFERROR(X268/J268,"0")</f>
        <v/>
      </c>
      <c r="BP268" s="78">
        <f>IFERROR(Y268/J268,"0")</f>
        <v/>
      </c>
    </row>
    <row r="269" ht="27" customHeight="1">
      <c r="A269" s="60" t="inlineStr">
        <is>
          <t>SU003383</t>
        </is>
      </c>
      <c r="B269" s="60" t="inlineStr">
        <is>
          <t>P004191</t>
        </is>
      </c>
      <c r="C269" s="34" t="n">
        <v>4301135304</v>
      </c>
      <c r="D269" s="276" t="n">
        <v>4640242181240</v>
      </c>
      <c r="E269" s="462" t="n"/>
      <c r="F269" s="501" t="n">
        <v>0.3</v>
      </c>
      <c r="G269" s="35" t="n">
        <v>9</v>
      </c>
      <c r="H269" s="501" t="n">
        <v>2.7</v>
      </c>
      <c r="I269" s="501" t="n">
        <v>2.88</v>
      </c>
      <c r="J269" s="35" t="n">
        <v>126</v>
      </c>
      <c r="K269" s="35" t="inlineStr">
        <is>
          <t>14</t>
        </is>
      </c>
      <c r="L269" s="35" t="inlineStr">
        <is>
          <t>Короб, мин. 1</t>
        </is>
      </c>
      <c r="M269" s="36" t="inlineStr">
        <is>
          <t>МГ</t>
        </is>
      </c>
      <c r="N269" s="36" t="n"/>
      <c r="O269" s="35" t="n">
        <v>180</v>
      </c>
      <c r="P269" s="601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69" s="503" t="n"/>
      <c r="R269" s="503" t="n"/>
      <c r="S269" s="503" t="n"/>
      <c r="T269" s="504" t="n"/>
      <c r="U269" s="37" t="inlineStr"/>
      <c r="V269" s="37" t="inlineStr"/>
      <c r="W269" s="38" t="inlineStr">
        <is>
          <t>кор</t>
        </is>
      </c>
      <c r="X269" s="505" t="n">
        <v>0</v>
      </c>
      <c r="Y269" s="506">
        <f>IFERROR(IF(X269="","",X269),"")</f>
        <v/>
      </c>
      <c r="Z269" s="39">
        <f>IFERROR(IF(X269="","",X269*0.00936),"")</f>
        <v/>
      </c>
      <c r="AA269" s="65" t="inlineStr"/>
      <c r="AB269" s="66" t="inlineStr"/>
      <c r="AC269" s="266" t="inlineStr">
        <is>
          <t>ЕАЭС N RU Д-RU.РА02.В.25079/24</t>
        </is>
      </c>
      <c r="AG269" s="78" t="n"/>
      <c r="AJ269" s="82" t="inlineStr">
        <is>
          <t>Короб</t>
        </is>
      </c>
      <c r="AK269" s="82" t="n">
        <v>1</v>
      </c>
      <c r="BB269" s="267" t="inlineStr">
        <is>
          <t>ПГП</t>
        </is>
      </c>
      <c r="BM269" s="78">
        <f>IFERROR(X269*I269,"0")</f>
        <v/>
      </c>
      <c r="BN269" s="78">
        <f>IFERROR(Y269*I269,"0")</f>
        <v/>
      </c>
      <c r="BO269" s="78">
        <f>IFERROR(X269/J269,"0")</f>
        <v/>
      </c>
      <c r="BP269" s="78">
        <f>IFERROR(Y269/J269,"0")</f>
        <v/>
      </c>
    </row>
    <row r="270" ht="27" customHeight="1">
      <c r="A270" s="60" t="inlineStr">
        <is>
          <t>SU003382</t>
        </is>
      </c>
      <c r="B270" s="60" t="inlineStr">
        <is>
          <t>P004195</t>
        </is>
      </c>
      <c r="C270" s="34" t="n">
        <v>4301135610</v>
      </c>
      <c r="D270" s="276" t="n">
        <v>4640242181318</v>
      </c>
      <c r="E270" s="462" t="n"/>
      <c r="F270" s="501" t="n">
        <v>0.3</v>
      </c>
      <c r="G270" s="35" t="n">
        <v>9</v>
      </c>
      <c r="H270" s="501" t="n">
        <v>2.7</v>
      </c>
      <c r="I270" s="501" t="n">
        <v>2.988</v>
      </c>
      <c r="J270" s="35" t="n">
        <v>126</v>
      </c>
      <c r="K270" s="35" t="inlineStr">
        <is>
          <t>14</t>
        </is>
      </c>
      <c r="L270" s="35" t="inlineStr">
        <is>
          <t>Короб, мин. 1</t>
        </is>
      </c>
      <c r="M270" s="36" t="inlineStr">
        <is>
          <t>МГ</t>
        </is>
      </c>
      <c r="N270" s="36" t="n"/>
      <c r="O270" s="35" t="n">
        <v>180</v>
      </c>
      <c r="P270" s="602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70" s="503" t="n"/>
      <c r="R270" s="503" t="n"/>
      <c r="S270" s="503" t="n"/>
      <c r="T270" s="504" t="n"/>
      <c r="U270" s="37" t="inlineStr"/>
      <c r="V270" s="37" t="inlineStr"/>
      <c r="W270" s="38" t="inlineStr">
        <is>
          <t>кор</t>
        </is>
      </c>
      <c r="X270" s="505" t="n">
        <v>0</v>
      </c>
      <c r="Y270" s="506">
        <f>IFERROR(IF(X270="","",X270),"")</f>
        <v/>
      </c>
      <c r="Z270" s="39">
        <f>IFERROR(IF(X270="","",X270*0.00936),"")</f>
        <v/>
      </c>
      <c r="AA270" s="65" t="inlineStr"/>
      <c r="AB270" s="66" t="inlineStr"/>
      <c r="AC270" s="268" t="inlineStr">
        <is>
          <t>ЕАЭС N RU Д-RU.РА02.В.58883/24</t>
        </is>
      </c>
      <c r="AG270" s="78" t="n"/>
      <c r="AJ270" s="82" t="inlineStr">
        <is>
          <t>Короб</t>
        </is>
      </c>
      <c r="AK270" s="82" t="n">
        <v>1</v>
      </c>
      <c r="BB270" s="269" t="inlineStr">
        <is>
          <t>ПГП</t>
        </is>
      </c>
      <c r="BM270" s="78">
        <f>IFERROR(X270*I270,"0")</f>
        <v/>
      </c>
      <c r="BN270" s="78">
        <f>IFERROR(Y270*I270,"0")</f>
        <v/>
      </c>
      <c r="BO270" s="78">
        <f>IFERROR(X270/J270,"0")</f>
        <v/>
      </c>
      <c r="BP270" s="78">
        <f>IFERROR(Y270/J270,"0")</f>
        <v/>
      </c>
    </row>
    <row r="271" ht="27" customHeight="1">
      <c r="A271" s="60" t="inlineStr">
        <is>
          <t>SU003377</t>
        </is>
      </c>
      <c r="B271" s="60" t="inlineStr">
        <is>
          <t>P004193</t>
        </is>
      </c>
      <c r="C271" s="34" t="n">
        <v>4301135306</v>
      </c>
      <c r="D271" s="276" t="n">
        <v>4640242181387</v>
      </c>
      <c r="E271" s="462" t="n"/>
      <c r="F271" s="501" t="n">
        <v>0.3</v>
      </c>
      <c r="G271" s="35" t="n">
        <v>9</v>
      </c>
      <c r="H271" s="501" t="n">
        <v>2.7</v>
      </c>
      <c r="I271" s="501" t="n">
        <v>2.845</v>
      </c>
      <c r="J271" s="35" t="n">
        <v>234</v>
      </c>
      <c r="K271" s="35" t="inlineStr">
        <is>
          <t>18</t>
        </is>
      </c>
      <c r="L271" s="35" t="inlineStr">
        <is>
          <t>Короб, мин. 1</t>
        </is>
      </c>
      <c r="M271" s="36" t="inlineStr">
        <is>
          <t>МГ</t>
        </is>
      </c>
      <c r="N271" s="36" t="n"/>
      <c r="O271" s="35" t="n">
        <v>180</v>
      </c>
      <c r="P271" s="603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71" s="503" t="n"/>
      <c r="R271" s="503" t="n"/>
      <c r="S271" s="503" t="n"/>
      <c r="T271" s="504" t="n"/>
      <c r="U271" s="37" t="inlineStr"/>
      <c r="V271" s="37" t="inlineStr"/>
      <c r="W271" s="38" t="inlineStr">
        <is>
          <t>кор</t>
        </is>
      </c>
      <c r="X271" s="505" t="n">
        <v>0</v>
      </c>
      <c r="Y271" s="506">
        <f>IFERROR(IF(X271="","",X271),"")</f>
        <v/>
      </c>
      <c r="Z271" s="39">
        <f>IFERROR(IF(X271="","",X271*0.00502),"")</f>
        <v/>
      </c>
      <c r="AA271" s="65" t="inlineStr"/>
      <c r="AB271" s="66" t="inlineStr"/>
      <c r="AC271" s="270" t="inlineStr">
        <is>
          <t>ЕАЭС N RU Д-RU.РА02.В.25079/24</t>
        </is>
      </c>
      <c r="AG271" s="78" t="n"/>
      <c r="AJ271" s="82" t="inlineStr">
        <is>
          <t>Короб</t>
        </is>
      </c>
      <c r="AK271" s="82" t="n">
        <v>1</v>
      </c>
      <c r="BB271" s="271" t="inlineStr">
        <is>
          <t>ПГП</t>
        </is>
      </c>
      <c r="BM271" s="78">
        <f>IFERROR(X271*I271,"0")</f>
        <v/>
      </c>
      <c r="BN271" s="78">
        <f>IFERROR(Y271*I271,"0")</f>
        <v/>
      </c>
      <c r="BO271" s="78">
        <f>IFERROR(X271/J271,"0")</f>
        <v/>
      </c>
      <c r="BP271" s="78">
        <f>IFERROR(Y271/J271,"0")</f>
        <v/>
      </c>
    </row>
    <row r="272">
      <c r="A272" s="285" t="n"/>
      <c r="B272" s="273" t="n"/>
      <c r="C272" s="273" t="n"/>
      <c r="D272" s="273" t="n"/>
      <c r="E272" s="273" t="n"/>
      <c r="F272" s="273" t="n"/>
      <c r="G272" s="273" t="n"/>
      <c r="H272" s="273" t="n"/>
      <c r="I272" s="273" t="n"/>
      <c r="J272" s="273" t="n"/>
      <c r="K272" s="273" t="n"/>
      <c r="L272" s="273" t="n"/>
      <c r="M272" s="273" t="n"/>
      <c r="N272" s="273" t="n"/>
      <c r="O272" s="507" t="n"/>
      <c r="P272" s="508" t="inlineStr">
        <is>
          <t>Итого</t>
        </is>
      </c>
      <c r="Q272" s="470" t="n"/>
      <c r="R272" s="470" t="n"/>
      <c r="S272" s="470" t="n"/>
      <c r="T272" s="470" t="n"/>
      <c r="U272" s="470" t="n"/>
      <c r="V272" s="471" t="n"/>
      <c r="W272" s="40" t="inlineStr">
        <is>
          <t>кор</t>
        </is>
      </c>
      <c r="X272" s="509">
        <f>IFERROR(SUM(X262:X271),"0")</f>
        <v/>
      </c>
      <c r="Y272" s="509">
        <f>IFERROR(SUM(Y262:Y271),"0")</f>
        <v/>
      </c>
      <c r="Z272" s="509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/>
      </c>
      <c r="AA272" s="510" t="n"/>
      <c r="AB272" s="510" t="n"/>
      <c r="AC272" s="510" t="n"/>
    </row>
    <row r="273">
      <c r="A273" s="273" t="n"/>
      <c r="B273" s="273" t="n"/>
      <c r="C273" s="273" t="n"/>
      <c r="D273" s="273" t="n"/>
      <c r="E273" s="273" t="n"/>
      <c r="F273" s="273" t="n"/>
      <c r="G273" s="273" t="n"/>
      <c r="H273" s="273" t="n"/>
      <c r="I273" s="273" t="n"/>
      <c r="J273" s="273" t="n"/>
      <c r="K273" s="273" t="n"/>
      <c r="L273" s="273" t="n"/>
      <c r="M273" s="273" t="n"/>
      <c r="N273" s="273" t="n"/>
      <c r="O273" s="507" t="n"/>
      <c r="P273" s="508" t="inlineStr">
        <is>
          <t>Итого</t>
        </is>
      </c>
      <c r="Q273" s="470" t="n"/>
      <c r="R273" s="470" t="n"/>
      <c r="S273" s="470" t="n"/>
      <c r="T273" s="470" t="n"/>
      <c r="U273" s="470" t="n"/>
      <c r="V273" s="471" t="n"/>
      <c r="W273" s="40" t="inlineStr">
        <is>
          <t>кг</t>
        </is>
      </c>
      <c r="X273" s="509">
        <f>IFERROR(SUMPRODUCT(X262:X271*H262:H271),"0")</f>
        <v/>
      </c>
      <c r="Y273" s="509">
        <f>IFERROR(SUMPRODUCT(Y262:Y271*H262:H271),"0")</f>
        <v/>
      </c>
      <c r="Z273" s="40" t="n"/>
      <c r="AA273" s="510" t="n"/>
      <c r="AB273" s="510" t="n"/>
      <c r="AC273" s="510" t="n"/>
    </row>
    <row r="274" ht="15" customHeight="1">
      <c r="A274" s="289" t="n"/>
      <c r="B274" s="273" t="n"/>
      <c r="C274" s="273" t="n"/>
      <c r="D274" s="273" t="n"/>
      <c r="E274" s="273" t="n"/>
      <c r="F274" s="273" t="n"/>
      <c r="G274" s="273" t="n"/>
      <c r="H274" s="273" t="n"/>
      <c r="I274" s="273" t="n"/>
      <c r="J274" s="273" t="n"/>
      <c r="K274" s="273" t="n"/>
      <c r="L274" s="273" t="n"/>
      <c r="M274" s="273" t="n"/>
      <c r="N274" s="273" t="n"/>
      <c r="O274" s="459" t="n"/>
      <c r="P274" s="604" t="inlineStr">
        <is>
          <t>ИТОГО НЕТТО</t>
        </is>
      </c>
      <c r="Q274" s="453" t="n"/>
      <c r="R274" s="453" t="n"/>
      <c r="S274" s="453" t="n"/>
      <c r="T274" s="453" t="n"/>
      <c r="U274" s="453" t="n"/>
      <c r="V274" s="454" t="n"/>
      <c r="W274" s="40" t="inlineStr">
        <is>
          <t>кг</t>
        </is>
      </c>
      <c r="X274" s="509">
        <f>IFERROR(X24+X31+X38+X46+X51+X55+X60+X66+X72+X77+X83+X93+X99+X110+X114+X118+X124+X130+X136+X141+X146+X151+X156+X163+X171+X175+X181+X188+X197+X202+X207+X213+X219+X225+X231+X237+X241+X249+X254+X260+X273,"0")</f>
        <v/>
      </c>
      <c r="Y274" s="509">
        <f>IFERROR(Y24+Y31+Y38+Y46+Y51+Y55+Y60+Y66+Y72+Y77+Y83+Y93+Y99+Y110+Y114+Y118+Y124+Y130+Y136+Y141+Y146+Y151+Y156+Y163+Y171+Y175+Y181+Y188+Y197+Y202+Y207+Y213+Y219+Y225+Y231+Y237+Y241+Y249+Y254+Y260+Y273,"0")</f>
        <v/>
      </c>
      <c r="Z274" s="40" t="n"/>
      <c r="AA274" s="510" t="n"/>
      <c r="AB274" s="510" t="n"/>
      <c r="AC274" s="510" t="n"/>
    </row>
    <row r="275">
      <c r="A275" s="273" t="n"/>
      <c r="B275" s="273" t="n"/>
      <c r="C275" s="273" t="n"/>
      <c r="D275" s="273" t="n"/>
      <c r="E275" s="273" t="n"/>
      <c r="F275" s="273" t="n"/>
      <c r="G275" s="273" t="n"/>
      <c r="H275" s="273" t="n"/>
      <c r="I275" s="273" t="n"/>
      <c r="J275" s="273" t="n"/>
      <c r="K275" s="273" t="n"/>
      <c r="L275" s="273" t="n"/>
      <c r="M275" s="273" t="n"/>
      <c r="N275" s="273" t="n"/>
      <c r="O275" s="459" t="n"/>
      <c r="P275" s="604" t="inlineStr">
        <is>
          <t>ИТОГО БРУТТО</t>
        </is>
      </c>
      <c r="Q275" s="453" t="n"/>
      <c r="R275" s="453" t="n"/>
      <c r="S275" s="453" t="n"/>
      <c r="T275" s="453" t="n"/>
      <c r="U275" s="453" t="n"/>
      <c r="V275" s="454" t="n"/>
      <c r="W275" s="40" t="inlineStr">
        <is>
          <t>кг</t>
        </is>
      </c>
      <c r="X275" s="509">
        <f>IFERROR(SUM(BM22:BM271),"0")</f>
        <v/>
      </c>
      <c r="Y275" s="509">
        <f>IFERROR(SUM(BN22:BN271),"0")</f>
        <v/>
      </c>
      <c r="Z275" s="40" t="n"/>
      <c r="AA275" s="510" t="n"/>
      <c r="AB275" s="510" t="n"/>
      <c r="AC275" s="510" t="n"/>
    </row>
    <row r="276">
      <c r="A276" s="273" t="n"/>
      <c r="B276" s="273" t="n"/>
      <c r="C276" s="273" t="n"/>
      <c r="D276" s="273" t="n"/>
      <c r="E276" s="273" t="n"/>
      <c r="F276" s="273" t="n"/>
      <c r="G276" s="273" t="n"/>
      <c r="H276" s="273" t="n"/>
      <c r="I276" s="273" t="n"/>
      <c r="J276" s="273" t="n"/>
      <c r="K276" s="273" t="n"/>
      <c r="L276" s="273" t="n"/>
      <c r="M276" s="273" t="n"/>
      <c r="N276" s="273" t="n"/>
      <c r="O276" s="459" t="n"/>
      <c r="P276" s="604" t="inlineStr">
        <is>
          <t>Кол-во паллет</t>
        </is>
      </c>
      <c r="Q276" s="453" t="n"/>
      <c r="R276" s="453" t="n"/>
      <c r="S276" s="453" t="n"/>
      <c r="T276" s="453" t="n"/>
      <c r="U276" s="453" t="n"/>
      <c r="V276" s="454" t="n"/>
      <c r="W276" s="40" t="inlineStr">
        <is>
          <t>шт</t>
        </is>
      </c>
      <c r="X276" s="42">
        <f>ROUNDUP(SUM(BO22:BO271),0)</f>
        <v/>
      </c>
      <c r="Y276" s="42">
        <f>ROUNDUP(SUM(BP22:BP271),0)</f>
        <v/>
      </c>
      <c r="Z276" s="40" t="n"/>
      <c r="AA276" s="510" t="n"/>
      <c r="AB276" s="510" t="n"/>
      <c r="AC276" s="510" t="n"/>
    </row>
    <row r="277">
      <c r="A277" s="273" t="n"/>
      <c r="B277" s="273" t="n"/>
      <c r="C277" s="273" t="n"/>
      <c r="D277" s="273" t="n"/>
      <c r="E277" s="273" t="n"/>
      <c r="F277" s="273" t="n"/>
      <c r="G277" s="273" t="n"/>
      <c r="H277" s="273" t="n"/>
      <c r="I277" s="273" t="n"/>
      <c r="J277" s="273" t="n"/>
      <c r="K277" s="273" t="n"/>
      <c r="L277" s="273" t="n"/>
      <c r="M277" s="273" t="n"/>
      <c r="N277" s="273" t="n"/>
      <c r="O277" s="459" t="n"/>
      <c r="P277" s="604" t="inlineStr">
        <is>
          <t>Вес брутто  с паллетами</t>
        </is>
      </c>
      <c r="Q277" s="453" t="n"/>
      <c r="R277" s="453" t="n"/>
      <c r="S277" s="453" t="n"/>
      <c r="T277" s="453" t="n"/>
      <c r="U277" s="453" t="n"/>
      <c r="V277" s="454" t="n"/>
      <c r="W277" s="40" t="inlineStr">
        <is>
          <t>кг</t>
        </is>
      </c>
      <c r="X277" s="509">
        <f>GrossWeightTotal+PalletQtyTotal*25</f>
        <v/>
      </c>
      <c r="Y277" s="509">
        <f>GrossWeightTotalR+PalletQtyTotalR*25</f>
        <v/>
      </c>
      <c r="Z277" s="40" t="n"/>
      <c r="AA277" s="510" t="n"/>
      <c r="AB277" s="510" t="n"/>
      <c r="AC277" s="510" t="n"/>
    </row>
    <row r="278">
      <c r="A278" s="273" t="n"/>
      <c r="B278" s="273" t="n"/>
      <c r="C278" s="273" t="n"/>
      <c r="D278" s="273" t="n"/>
      <c r="E278" s="273" t="n"/>
      <c r="F278" s="273" t="n"/>
      <c r="G278" s="273" t="n"/>
      <c r="H278" s="273" t="n"/>
      <c r="I278" s="273" t="n"/>
      <c r="J278" s="273" t="n"/>
      <c r="K278" s="273" t="n"/>
      <c r="L278" s="273" t="n"/>
      <c r="M278" s="273" t="n"/>
      <c r="N278" s="273" t="n"/>
      <c r="O278" s="459" t="n"/>
      <c r="P278" s="604" t="inlineStr">
        <is>
          <t>Кол-во коробок</t>
        </is>
      </c>
      <c r="Q278" s="453" t="n"/>
      <c r="R278" s="453" t="n"/>
      <c r="S278" s="453" t="n"/>
      <c r="T278" s="453" t="n"/>
      <c r="U278" s="453" t="n"/>
      <c r="V278" s="454" t="n"/>
      <c r="W278" s="40" t="inlineStr">
        <is>
          <t>шт</t>
        </is>
      </c>
      <c r="X278" s="509">
        <f>IFERROR(X23+X30+X37+X45+X50+X54+X59+X65+X71+X76+X82+X92+X98+X109+X113+X117+X123+X129+X135+X140+X145+X150+X155+X162+X170+X174+X180+X187+X196+X201+X206+X212+X218+X224+X230+X236+X240+X248+X253+X259+X272,"0")</f>
        <v/>
      </c>
      <c r="Y278" s="509">
        <f>IFERROR(Y23+Y30+Y37+Y45+Y50+Y54+Y59+Y65+Y71+Y76+Y82+Y92+Y98+Y109+Y113+Y117+Y123+Y129+Y135+Y140+Y145+Y150+Y155+Y162+Y170+Y174+Y180+Y187+Y196+Y201+Y206+Y212+Y218+Y224+Y230+Y236+Y240+Y248+Y253+Y259+Y272,"0")</f>
        <v/>
      </c>
      <c r="Z278" s="40" t="n"/>
      <c r="AA278" s="510" t="n"/>
      <c r="AB278" s="510" t="n"/>
      <c r="AC278" s="510" t="n"/>
    </row>
    <row r="279" ht="14.25" customHeight="1">
      <c r="A279" s="273" t="n"/>
      <c r="B279" s="273" t="n"/>
      <c r="C279" s="273" t="n"/>
      <c r="D279" s="273" t="n"/>
      <c r="E279" s="273" t="n"/>
      <c r="F279" s="273" t="n"/>
      <c r="G279" s="273" t="n"/>
      <c r="H279" s="273" t="n"/>
      <c r="I279" s="273" t="n"/>
      <c r="J279" s="273" t="n"/>
      <c r="K279" s="273" t="n"/>
      <c r="L279" s="273" t="n"/>
      <c r="M279" s="273" t="n"/>
      <c r="N279" s="273" t="n"/>
      <c r="O279" s="459" t="n"/>
      <c r="P279" s="604" t="inlineStr">
        <is>
          <t>Объем заказа</t>
        </is>
      </c>
      <c r="Q279" s="453" t="n"/>
      <c r="R279" s="453" t="n"/>
      <c r="S279" s="453" t="n"/>
      <c r="T279" s="453" t="n"/>
      <c r="U279" s="453" t="n"/>
      <c r="V279" s="454" t="n"/>
      <c r="W279" s="43" t="inlineStr">
        <is>
          <t>м3</t>
        </is>
      </c>
      <c r="X279" s="40" t="n"/>
      <c r="Y279" s="40" t="n"/>
      <c r="Z279" s="40">
        <f>IFERROR(Z23+Z30+Z37+Z45+Z50+Z54+Z59+Z65+Z71+Z76+Z82+Z92+Z98+Z109+Z113+Z117+Z123+Z129+Z135+Z140+Z145+Z150+Z155+Z162+Z170+Z174+Z180+Z187+Z196+Z201+Z206+Z212+Z218+Z224+Z230+Z236+Z240+Z248+Z253+Z259+Z272,"0")</f>
        <v/>
      </c>
      <c r="AA279" s="510" t="n"/>
      <c r="AB279" s="510" t="n"/>
      <c r="AC279" s="510" t="n"/>
    </row>
    <row r="280" ht="13.5" customHeight="1" thickBot="1"/>
    <row r="281" ht="27" customHeight="1" thickBot="1" thickTop="1">
      <c r="A281" s="44" t="inlineStr">
        <is>
          <t>ТОРГОВАЯ МАРКА</t>
        </is>
      </c>
      <c r="B281" s="272" t="inlineStr">
        <is>
          <t>Ядрена копоть</t>
        </is>
      </c>
      <c r="C281" s="272" t="inlineStr">
        <is>
          <t>Горячая штучка</t>
        </is>
      </c>
      <c r="D281" s="605" t="n"/>
      <c r="E281" s="605" t="n"/>
      <c r="F281" s="605" t="n"/>
      <c r="G281" s="605" t="n"/>
      <c r="H281" s="605" t="n"/>
      <c r="I281" s="605" t="n"/>
      <c r="J281" s="605" t="n"/>
      <c r="K281" s="605" t="n"/>
      <c r="L281" s="605" t="n"/>
      <c r="M281" s="605" t="n"/>
      <c r="N281" s="605" t="n"/>
      <c r="O281" s="605" t="n"/>
      <c r="P281" s="605" t="n"/>
      <c r="Q281" s="605" t="n"/>
      <c r="R281" s="605" t="n"/>
      <c r="S281" s="605" t="n"/>
      <c r="T281" s="606" t="n"/>
      <c r="U281" s="272" t="inlineStr">
        <is>
          <t>No Name</t>
        </is>
      </c>
      <c r="V281" s="272" t="inlineStr">
        <is>
          <t>Вязанка</t>
        </is>
      </c>
      <c r="W281" s="272" t="inlineStr">
        <is>
          <t>Стародворье</t>
        </is>
      </c>
      <c r="X281" s="605" t="n"/>
      <c r="Y281" s="605" t="n"/>
      <c r="Z281" s="605" t="n"/>
      <c r="AA281" s="606" t="n"/>
      <c r="AB281" s="272" t="inlineStr">
        <is>
          <t>Колбасный стандарт</t>
        </is>
      </c>
      <c r="AC281" s="272" t="inlineStr">
        <is>
          <t>Особый рецепт</t>
        </is>
      </c>
      <c r="AD281" s="272" t="inlineStr">
        <is>
          <t>Владимирский стандарт</t>
        </is>
      </c>
      <c r="AE281" s="272" t="inlineStr">
        <is>
          <t>Зареченские продукты</t>
        </is>
      </c>
      <c r="AF281" s="273" t="n"/>
    </row>
    <row r="282" ht="14.25" customHeight="1" thickTop="1">
      <c r="A282" s="274" t="inlineStr">
        <is>
          <t>СЕРИЯ</t>
        </is>
      </c>
      <c r="B282" s="272" t="inlineStr">
        <is>
          <t>Ядрена копоть</t>
        </is>
      </c>
      <c r="C282" s="272" t="inlineStr">
        <is>
          <t>Наггетсы ГШ</t>
        </is>
      </c>
      <c r="D282" s="272" t="inlineStr">
        <is>
          <t>Grandmeni</t>
        </is>
      </c>
      <c r="E282" s="272" t="inlineStr">
        <is>
          <t>Бигбули ГШ</t>
        </is>
      </c>
      <c r="F282" s="272" t="inlineStr">
        <is>
          <t>Foodgital</t>
        </is>
      </c>
      <c r="G282" s="272" t="inlineStr">
        <is>
          <t>Бульмени вес ГШ</t>
        </is>
      </c>
      <c r="H282" s="272" t="inlineStr">
        <is>
          <t>Бельмеши</t>
        </is>
      </c>
      <c r="I282" s="272" t="inlineStr">
        <is>
          <t>Крылышки ГШ</t>
        </is>
      </c>
      <c r="J282" s="272" t="inlineStr">
        <is>
          <t>Чебупели</t>
        </is>
      </c>
      <c r="K282" s="272" t="inlineStr">
        <is>
          <t>Чебуреки ГШ</t>
        </is>
      </c>
      <c r="L282" s="272" t="inlineStr">
        <is>
          <t>Бульмени ГШ</t>
        </is>
      </c>
      <c r="M282" s="272" t="inlineStr">
        <is>
          <t>Чебупицца</t>
        </is>
      </c>
      <c r="N282" s="273" t="n"/>
      <c r="O282" s="272" t="inlineStr">
        <is>
          <t>Хотстеры</t>
        </is>
      </c>
      <c r="P282" s="272" t="inlineStr">
        <is>
          <t>Круггетсы</t>
        </is>
      </c>
      <c r="Q282" s="272" t="inlineStr">
        <is>
          <t>Пекерсы</t>
        </is>
      </c>
      <c r="R282" s="272" t="inlineStr">
        <is>
          <t>Хот-Догстер</t>
        </is>
      </c>
      <c r="S282" s="272" t="inlineStr">
        <is>
          <t>Супермени</t>
        </is>
      </c>
      <c r="T282" s="272" t="inlineStr">
        <is>
          <t>Чебуманы</t>
        </is>
      </c>
      <c r="U282" s="272" t="inlineStr">
        <is>
          <t>No Name ЗПФ</t>
        </is>
      </c>
      <c r="V282" s="272" t="inlineStr">
        <is>
          <t>Сливушка</t>
        </is>
      </c>
      <c r="W282" s="272" t="inlineStr">
        <is>
          <t>Стародворье ПГП</t>
        </is>
      </c>
      <c r="X282" s="272" t="inlineStr">
        <is>
          <t>Медвежье ушко</t>
        </is>
      </c>
      <c r="Y282" s="272" t="inlineStr">
        <is>
          <t>Стародворские</t>
        </is>
      </c>
      <c r="Z282" s="272" t="inlineStr">
        <is>
          <t>Добросельские ЭТМ</t>
        </is>
      </c>
      <c r="AA282" s="272" t="inlineStr">
        <is>
          <t>Сочные</t>
        </is>
      </c>
      <c r="AB282" s="272" t="inlineStr">
        <is>
          <t>Владимирский Стандарт ЗПФ</t>
        </is>
      </c>
      <c r="AC282" s="272" t="inlineStr">
        <is>
          <t>Любимая ложка</t>
        </is>
      </c>
      <c r="AD282" s="272" t="inlineStr">
        <is>
          <t>Владимирский Стандарт ПГП</t>
        </is>
      </c>
      <c r="AE282" s="272" t="inlineStr">
        <is>
          <t>Зареченские продукты</t>
        </is>
      </c>
      <c r="AF282" s="273" t="n"/>
    </row>
    <row r="283" ht="13.5" customHeight="1" thickBot="1">
      <c r="A283" s="607" t="n"/>
      <c r="B283" s="608" t="n"/>
      <c r="C283" s="608" t="n"/>
      <c r="D283" s="608" t="n"/>
      <c r="E283" s="608" t="n"/>
      <c r="F283" s="608" t="n"/>
      <c r="G283" s="608" t="n"/>
      <c r="H283" s="608" t="n"/>
      <c r="I283" s="608" t="n"/>
      <c r="J283" s="608" t="n"/>
      <c r="K283" s="608" t="n"/>
      <c r="L283" s="608" t="n"/>
      <c r="M283" s="608" t="n"/>
      <c r="N283" s="273" t="n"/>
      <c r="O283" s="608" t="n"/>
      <c r="P283" s="608" t="n"/>
      <c r="Q283" s="608" t="n"/>
      <c r="R283" s="608" t="n"/>
      <c r="S283" s="608" t="n"/>
      <c r="T283" s="608" t="n"/>
      <c r="U283" s="608" t="n"/>
      <c r="V283" s="608" t="n"/>
      <c r="W283" s="608" t="n"/>
      <c r="X283" s="608" t="n"/>
      <c r="Y283" s="608" t="n"/>
      <c r="Z283" s="608" t="n"/>
      <c r="AA283" s="608" t="n"/>
      <c r="AB283" s="608" t="n"/>
      <c r="AC283" s="608" t="n"/>
      <c r="AD283" s="608" t="n"/>
      <c r="AE283" s="608" t="n"/>
      <c r="AF283" s="273" t="n"/>
    </row>
    <row r="284" ht="18" customHeight="1" thickBot="1" thickTop="1">
      <c r="A284" s="44" t="inlineStr">
        <is>
          <t>ИТОГО, кг</t>
        </is>
      </c>
      <c r="B284" s="50">
        <f>IFERROR(X22*H22,"0")</f>
        <v/>
      </c>
      <c r="C284" s="50">
        <f>IFERROR(X28*H28,"0")+IFERROR(X29*H29,"0")</f>
        <v/>
      </c>
      <c r="D284" s="50">
        <f>IFERROR(X34*H34,"0")+IFERROR(X35*H35,"0")+IFERROR(X36*H36,"0")</f>
        <v/>
      </c>
      <c r="E284" s="50">
        <f>IFERROR(X41*H41,"0")+IFERROR(X42*H42,"0")+IFERROR(X43*H43,"0")+IFERROR(X44*H44,"0")</f>
        <v/>
      </c>
      <c r="F284" s="50">
        <f>IFERROR(X49*H49,"0")+IFERROR(X53*H53,"0")+IFERROR(X57*H57,"0")+IFERROR(X58*H58,"0")+IFERROR(X62*H62,"0")+IFERROR(X63*H63,"0")+IFERROR(X64*H64,"0")</f>
        <v/>
      </c>
      <c r="G284" s="50">
        <f>IFERROR(X69*H69,"0")+IFERROR(X70*H70,"0")</f>
        <v/>
      </c>
      <c r="H284" s="50">
        <f>IFERROR(X75*H75,"0")</f>
        <v/>
      </c>
      <c r="I284" s="50">
        <f>IFERROR(X80*H80,"0")+IFERROR(X81*H81,"0")</f>
        <v/>
      </c>
      <c r="J284" s="50">
        <f>IFERROR(X86*H86,"0")+IFERROR(X87*H87,"0")+IFERROR(X88*H88,"0")+IFERROR(X89*H89,"0")+IFERROR(X90*H90,"0")+IFERROR(X91*H91,"0")</f>
        <v/>
      </c>
      <c r="K284" s="50">
        <f>IFERROR(X96*H96,"0")+IFERROR(X97*H97,"0")</f>
        <v/>
      </c>
      <c r="L284" s="50">
        <f>IFERROR(X102*H102,"0")+IFERROR(X103*H103,"0")+IFERROR(X104*H104,"0")+IFERROR(X105*H105,"0")+IFERROR(X106*H106,"0")+IFERROR(X107*H107,"0")+IFERROR(X108*H108,"0")+IFERROR(X112*H112,"0")+IFERROR(X116*H116,"0")</f>
        <v/>
      </c>
      <c r="M284" s="50">
        <f>IFERROR(X121*H121,"0")+IFERROR(X122*H122,"0")</f>
        <v/>
      </c>
      <c r="N284" s="273" t="n"/>
      <c r="O284" s="50">
        <f>IFERROR(X127*H127,"0")+IFERROR(X128*H128,"0")</f>
        <v/>
      </c>
      <c r="P284" s="50">
        <f>IFERROR(X133*H133,"0")+IFERROR(X134*H134,"0")</f>
        <v/>
      </c>
      <c r="Q284" s="50">
        <f>IFERROR(X139*H139,"0")</f>
        <v/>
      </c>
      <c r="R284" s="50">
        <f>IFERROR(X144*H144,"0")</f>
        <v/>
      </c>
      <c r="S284" s="50">
        <f>IFERROR(X149*H149,"0")</f>
        <v/>
      </c>
      <c r="T284" s="50">
        <f>IFERROR(X154*H154,"0")</f>
        <v/>
      </c>
      <c r="U284" s="50">
        <f>IFERROR(X160*H160,"0")+IFERROR(X161*H161,"0")</f>
        <v/>
      </c>
      <c r="V284" s="50">
        <f>IFERROR(X167*H167,"0")+IFERROR(X168*H168,"0")+IFERROR(X169*H169,"0")+IFERROR(X173*H173,"0")</f>
        <v/>
      </c>
      <c r="W284" s="50">
        <f>IFERROR(X179*H179,"0")+IFERROR(X183*H183,"0")+IFERROR(X184*H184,"0")+IFERROR(X185*H185,"0")+IFERROR(X186*H186,"0")</f>
        <v/>
      </c>
      <c r="X284" s="50">
        <f>IFERROR(X191*H191,"0")+IFERROR(X192*H192,"0")+IFERROR(X193*H193,"0")+IFERROR(X194*H194,"0")+IFERROR(X195*H195,"0")</f>
        <v/>
      </c>
      <c r="Y284" s="50">
        <f>IFERROR(X200*H200,"0")</f>
        <v/>
      </c>
      <c r="Z284" s="50">
        <f>IFERROR(X205*H205,"0")+IFERROR(X209*H209,"0")+IFERROR(X210*H210,"0")+IFERROR(X211*H211,"0")</f>
        <v/>
      </c>
      <c r="AA284" s="50">
        <f>IFERROR(X216*H216,"0")+IFERROR(X217*H217,"0")</f>
        <v/>
      </c>
      <c r="AB284" s="50">
        <f>IFERROR(X223*H223,"0")</f>
        <v/>
      </c>
      <c r="AC284" s="50">
        <f>IFERROR(X229*H229,"0")</f>
        <v/>
      </c>
      <c r="AD284" s="50">
        <f>IFERROR(X235*H235,"0")+IFERROR(X239*H239,"0")</f>
        <v/>
      </c>
      <c r="AE284" s="50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/>
      </c>
      <c r="AF284" s="273" t="n"/>
    </row>
    <row r="285" ht="13.5" customHeight="1" thickTop="1">
      <c r="C285" s="273" t="n"/>
    </row>
    <row r="286" ht="19.5" customHeight="1">
      <c r="A286" s="67" t="inlineStr">
        <is>
          <t>ЗПФ, кг</t>
        </is>
      </c>
      <c r="B286" s="67" t="inlineStr">
        <is>
          <t xml:space="preserve">ПГП, кг </t>
        </is>
      </c>
      <c r="C286" s="67" t="inlineStr">
        <is>
          <t>КИЗ, кг</t>
        </is>
      </c>
    </row>
    <row r="287">
      <c r="A287" s="68">
        <f>SUMPRODUCT(--(BB:BB="ЗПФ"),--(W:W="кор"),H:H,Y:Y)+SUMPRODUCT(--(BB:BB="ЗПФ"),--(W:W="кг"),Y:Y)</f>
        <v/>
      </c>
      <c r="B287" s="69">
        <f>SUMPRODUCT(--(BB:BB="ПГП"),--(W:W="кор"),H:H,Y:Y)+SUMPRODUCT(--(BB:BB="ПГП"),--(W:W="кг"),Y:Y)</f>
        <v/>
      </c>
      <c r="C287" s="69">
        <f>SUMPRODUCT(--(BB:BB="КИЗ"),--(W:W="кор"),H:H,Y:Y)+SUMPRODUCT(--(BB:BB="КИЗ"),--(W:W="кг"),Y:Y)</f>
        <v/>
      </c>
    </row>
    <row r="288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MpawS/6DY6BWl67W1iZqUg==" formatRows="1" sort="0" spinCount="100000" hashValue="1OjI0+n+8T2JVbRsKlghVkoryeQ3EUAqtmyMgvHX5moYVf5agToosqCERGwpffLY3D5lx3dJCWn9AchLlrjqJQ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495"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230:V230"/>
    <mergeCell ref="P104:T104"/>
    <mergeCell ref="B17:B18"/>
    <mergeCell ref="P248:V248"/>
    <mergeCell ref="A73:Z73"/>
    <mergeCell ref="D258:E258"/>
    <mergeCell ref="A92:O93"/>
    <mergeCell ref="P207:V207"/>
    <mergeCell ref="P81:T81"/>
    <mergeCell ref="P252:T252"/>
    <mergeCell ref="V10:W10"/>
    <mergeCell ref="D195:E195"/>
    <mergeCell ref="I282:I283"/>
    <mergeCell ref="A282:A283"/>
    <mergeCell ref="K282:K283"/>
    <mergeCell ref="P113:V113"/>
    <mergeCell ref="C282:C283"/>
    <mergeCell ref="D53:E53"/>
    <mergeCell ref="A84:Z84"/>
    <mergeCell ref="P160:T160"/>
    <mergeCell ref="P209:T209"/>
    <mergeCell ref="W17:W18"/>
    <mergeCell ref="A215:Z215"/>
    <mergeCell ref="D7:M7"/>
    <mergeCell ref="AD282:AD283"/>
    <mergeCell ref="P156:V156"/>
    <mergeCell ref="C281:T281"/>
    <mergeCell ref="A152:Z152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D139:E139"/>
    <mergeCell ref="P180:V180"/>
    <mergeCell ref="P118:V118"/>
    <mergeCell ref="P45:V45"/>
    <mergeCell ref="A98:O99"/>
    <mergeCell ref="A228:Z228"/>
    <mergeCell ref="P266:T266"/>
    <mergeCell ref="A212:O213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B282:B283"/>
    <mergeCell ref="P93:V93"/>
    <mergeCell ref="A123:O124"/>
    <mergeCell ref="D210:E210"/>
    <mergeCell ref="D87:E87"/>
    <mergeCell ref="D209:E209"/>
    <mergeCell ref="P188:V188"/>
    <mergeCell ref="A187:O188"/>
    <mergeCell ref="D245:E245"/>
    <mergeCell ref="P116:T116"/>
    <mergeCell ref="D122:E122"/>
    <mergeCell ref="A162:O163"/>
    <mergeCell ref="A26:Z26"/>
    <mergeCell ref="P103:T103"/>
    <mergeCell ref="P59:V59"/>
    <mergeCell ref="P97:T97"/>
    <mergeCell ref="P130:V130"/>
    <mergeCell ref="P168:T168"/>
    <mergeCell ref="D1:F1"/>
    <mergeCell ref="D211:E211"/>
    <mergeCell ref="P46:V46"/>
    <mergeCell ref="A242:Z242"/>
    <mergeCell ref="P268:T268"/>
    <mergeCell ref="A234:Z234"/>
    <mergeCell ref="J17:J18"/>
    <mergeCell ref="L17:L18"/>
    <mergeCell ref="A244:Z244"/>
    <mergeCell ref="A100:Z100"/>
    <mergeCell ref="A165:Z165"/>
    <mergeCell ref="A115:Z115"/>
    <mergeCell ref="P192:T192"/>
    <mergeCell ref="P277:V277"/>
    <mergeCell ref="P17:T18"/>
    <mergeCell ref="S282:S283"/>
    <mergeCell ref="P63:T63"/>
    <mergeCell ref="A148:Z148"/>
    <mergeCell ref="U282:U283"/>
    <mergeCell ref="P194:T194"/>
    <mergeCell ref="A180:O181"/>
    <mergeCell ref="A166:Z166"/>
    <mergeCell ref="D229:E229"/>
    <mergeCell ref="D108:E108"/>
    <mergeCell ref="A117:O118"/>
    <mergeCell ref="P258:T258"/>
    <mergeCell ref="P223:T223"/>
    <mergeCell ref="D160:E160"/>
    <mergeCell ref="P201:V201"/>
    <mergeCell ref="I17:I18"/>
    <mergeCell ref="P114:V114"/>
    <mergeCell ref="A120:Z120"/>
    <mergeCell ref="D235:E235"/>
    <mergeCell ref="P276:V276"/>
    <mergeCell ref="A95:Z95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88:E88"/>
    <mergeCell ref="P167:T167"/>
    <mergeCell ref="A259:O260"/>
    <mergeCell ref="A253:O254"/>
    <mergeCell ref="Q12:R12"/>
    <mergeCell ref="D90:E90"/>
    <mergeCell ref="P169:T169"/>
    <mergeCell ref="P196:V196"/>
    <mergeCell ref="P246:T246"/>
    <mergeCell ref="A250:Z250"/>
    <mergeCell ref="A5:C5"/>
    <mergeCell ref="P135:V135"/>
    <mergeCell ref="P51:V51"/>
    <mergeCell ref="D179:E179"/>
    <mergeCell ref="A17:A18"/>
    <mergeCell ref="K17:K18"/>
    <mergeCell ref="A189:Z189"/>
    <mergeCell ref="C17:C18"/>
    <mergeCell ref="P195:T195"/>
    <mergeCell ref="D103:E103"/>
    <mergeCell ref="A238:Z238"/>
    <mergeCell ref="D168:E168"/>
    <mergeCell ref="AA282:AA283"/>
    <mergeCell ref="D9:E9"/>
    <mergeCell ref="AC282:AC283"/>
    <mergeCell ref="F9:G9"/>
    <mergeCell ref="P53:T53"/>
    <mergeCell ref="A47:Z47"/>
    <mergeCell ref="D167:E16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D91:E91"/>
    <mergeCell ref="A164:Z164"/>
    <mergeCell ref="P210:T210"/>
    <mergeCell ref="A196:O197"/>
    <mergeCell ref="D106:E106"/>
    <mergeCell ref="P185:T185"/>
    <mergeCell ref="D264:E264"/>
    <mergeCell ref="P72:V72"/>
    <mergeCell ref="P122:T122"/>
    <mergeCell ref="P43:T43"/>
    <mergeCell ref="P65:V65"/>
    <mergeCell ref="P136:V136"/>
    <mergeCell ref="A135:O136"/>
    <mergeCell ref="A126:Z126"/>
    <mergeCell ref="D251:E251"/>
    <mergeCell ref="A12:M12"/>
    <mergeCell ref="A19:Z19"/>
    <mergeCell ref="A68:Z68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Z282:Z283"/>
    <mergeCell ref="D185:E185"/>
    <mergeCell ref="D41:E41"/>
    <mergeCell ref="AB282:AB283"/>
    <mergeCell ref="T282:T283"/>
    <mergeCell ref="A137:Z137"/>
    <mergeCell ref="A208:Z208"/>
    <mergeCell ref="P60:V60"/>
    <mergeCell ref="D43:E43"/>
    <mergeCell ref="P216:T216"/>
    <mergeCell ref="P124:V124"/>
    <mergeCell ref="P87:T87"/>
    <mergeCell ref="P151:V151"/>
    <mergeCell ref="A203:Z203"/>
    <mergeCell ref="P245:T245"/>
    <mergeCell ref="P89:T89"/>
    <mergeCell ref="P211:T211"/>
    <mergeCell ref="A206:O207"/>
    <mergeCell ref="P225:V225"/>
    <mergeCell ref="P88:T88"/>
    <mergeCell ref="A261:Z261"/>
    <mergeCell ref="D36:E36"/>
    <mergeCell ref="P71:V71"/>
    <mergeCell ref="A138:Z138"/>
    <mergeCell ref="P202:V202"/>
    <mergeCell ref="A13:M13"/>
    <mergeCell ref="A59:O60"/>
    <mergeCell ref="A230:O231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P235:T235"/>
    <mergeCell ref="P213:V213"/>
    <mergeCell ref="A147:Z147"/>
    <mergeCell ref="P249:V249"/>
    <mergeCell ref="P150:V150"/>
    <mergeCell ref="A40:Z40"/>
    <mergeCell ref="A67:Z67"/>
    <mergeCell ref="P30:V30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154:T154"/>
    <mergeCell ref="P241:V241"/>
    <mergeCell ref="A50:O51"/>
    <mergeCell ref="P91:T91"/>
    <mergeCell ref="A158:Z158"/>
    <mergeCell ref="P99:V99"/>
    <mergeCell ref="P170:V170"/>
    <mergeCell ref="H10:M10"/>
    <mergeCell ref="AA17:AA18"/>
    <mergeCell ref="AC17:AC18"/>
    <mergeCell ref="P108:T108"/>
    <mergeCell ref="D89:E89"/>
    <mergeCell ref="A199:Z199"/>
    <mergeCell ref="P251:T251"/>
    <mergeCell ref="V6:W9"/>
    <mergeCell ref="D128:E128"/>
    <mergeCell ref="P256:T256"/>
    <mergeCell ref="A155:O156"/>
    <mergeCell ref="D186:E186"/>
    <mergeCell ref="D217:E217"/>
    <mergeCell ref="P22:T22"/>
    <mergeCell ref="P193:T193"/>
    <mergeCell ref="F282:F283"/>
    <mergeCell ref="P282:P283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Z17:Z18"/>
    <mergeCell ref="AB17:AB18"/>
    <mergeCell ref="P237:V237"/>
    <mergeCell ref="H5:M5"/>
    <mergeCell ref="P31:V31"/>
    <mergeCell ref="A27:Z27"/>
    <mergeCell ref="A56:Z56"/>
    <mergeCell ref="A214:Z214"/>
    <mergeCell ref="D6:M6"/>
    <mergeCell ref="A85:Z85"/>
    <mergeCell ref="P106:T106"/>
    <mergeCell ref="D256:E256"/>
    <mergeCell ref="A150:O151"/>
    <mergeCell ref="P269:T269"/>
    <mergeCell ref="P35:T35"/>
    <mergeCell ref="G17:G18"/>
    <mergeCell ref="A143:Z143"/>
    <mergeCell ref="P171:V171"/>
    <mergeCell ref="A232:Z232"/>
    <mergeCell ref="D80:E80"/>
    <mergeCell ref="Y282:Y283"/>
    <mergeCell ref="A182:Z182"/>
    <mergeCell ref="P123:V123"/>
    <mergeCell ref="H282:H283"/>
    <mergeCell ref="P240:V240"/>
    <mergeCell ref="D154:E154"/>
    <mergeCell ref="A227:Z227"/>
    <mergeCell ref="D200:E200"/>
    <mergeCell ref="A9:C9"/>
    <mergeCell ref="D58:E58"/>
    <mergeCell ref="A71:O72"/>
    <mergeCell ref="P112:T112"/>
    <mergeCell ref="A236:O237"/>
    <mergeCell ref="P273:V273"/>
    <mergeCell ref="A113:O114"/>
    <mergeCell ref="E282:E283"/>
    <mergeCell ref="G282:G283"/>
    <mergeCell ref="Q13:R13"/>
    <mergeCell ref="A220:Z220"/>
    <mergeCell ref="P139:T139"/>
    <mergeCell ref="P247:T247"/>
    <mergeCell ref="P41:T41"/>
    <mergeCell ref="D22:E22"/>
    <mergeCell ref="A157:Z157"/>
    <mergeCell ref="D149:E149"/>
    <mergeCell ref="A222:Z222"/>
    <mergeCell ref="P34:T34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P50:V50"/>
    <mergeCell ref="A233:Z233"/>
    <mergeCell ref="M17:M18"/>
    <mergeCell ref="O17:O18"/>
    <mergeCell ref="P187:V187"/>
    <mergeCell ref="P174:V174"/>
    <mergeCell ref="P102:T102"/>
    <mergeCell ref="P183:T183"/>
    <mergeCell ref="V282:V283"/>
    <mergeCell ref="P62:T62"/>
    <mergeCell ref="P2:W3"/>
    <mergeCell ref="P133:T133"/>
    <mergeCell ref="X282:X283"/>
    <mergeCell ref="P127:T127"/>
    <mergeCell ref="P218:V218"/>
    <mergeCell ref="D35:E35"/>
    <mergeCell ref="D10:E10"/>
    <mergeCell ref="A23:O24"/>
    <mergeCell ref="P64:T64"/>
    <mergeCell ref="F10:G10"/>
    <mergeCell ref="P191:T191"/>
    <mergeCell ref="D34:E34"/>
    <mergeCell ref="D270:E270"/>
    <mergeCell ref="P128:T128"/>
    <mergeCell ref="AD17:AF18"/>
    <mergeCell ref="A132:Z132"/>
    <mergeCell ref="W281:AA281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16:E216"/>
    <mergeCell ref="D265:E265"/>
    <mergeCell ref="A20:Z20"/>
    <mergeCell ref="A125:Z125"/>
    <mergeCell ref="D252:E252"/>
    <mergeCell ref="P66:V66"/>
    <mergeCell ref="P197:V197"/>
    <mergeCell ref="D247:E247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F17:F18"/>
    <mergeCell ref="D107:E107"/>
    <mergeCell ref="P70:T70"/>
    <mergeCell ref="P263:T263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33:Z33"/>
    <mergeCell ref="A204:Z204"/>
    <mergeCell ref="P219:V219"/>
    <mergeCell ref="P23:V23"/>
    <mergeCell ref="P145:V145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U17:V17"/>
    <mergeCell ref="Y17:Y18"/>
    <mergeCell ref="D57:E57"/>
    <mergeCell ref="A8:C8"/>
    <mergeCell ref="P163:V163"/>
    <mergeCell ref="A153:Z153"/>
    <mergeCell ref="D97:E97"/>
    <mergeCell ref="D268:E268"/>
    <mergeCell ref="P76:V76"/>
    <mergeCell ref="A255:Z255"/>
    <mergeCell ref="A10:C10"/>
    <mergeCell ref="P140:V140"/>
    <mergeCell ref="A21:Z21"/>
    <mergeCell ref="D184:E184"/>
    <mergeCell ref="J282:J283"/>
    <mergeCell ref="L282:L283"/>
    <mergeCell ref="D121:E121"/>
    <mergeCell ref="D192:E192"/>
    <mergeCell ref="D42:E42"/>
    <mergeCell ref="D17:E18"/>
    <mergeCell ref="D173:E173"/>
    <mergeCell ref="A131:Z131"/>
    <mergeCell ref="X17:X18"/>
    <mergeCell ref="P58:T58"/>
    <mergeCell ref="A52:Z52"/>
    <mergeCell ref="D44:E44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20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CHOOSE($D$7,UnloadAdressList0001,UnloadAdressList0002)</formula1>
    </dataValidation>
    <dataValidation sqref="X22 X29 X49 X53 X57:X58 X62:X64 X81 X86 X88 X90 X96:X97 X102 X105 X108 X112 X116 X127 X133:X134 X144 X149 X154 X160:X161 X173 X179 X183:X186 X191:X195 X200 X205 X209:X211 X216:X217 X223 X229 X235 X239 X245:X247 X252 X256 X258 X262 X268:X271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28 X34:X36 X41:X44 X69:X70 X75 X80 X87 X89 X91 X103:X104 X106:X107 X121:X122 X128 X139 X167:X169 X251 X257 X264:X265 X267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IF(AK28&gt;0,OR(X28=0,AND(IF(X28-AK28&gt;=0,TRUE,FALSE),X28&gt;0,IF(X28/K28=ROUND(X28/K28,0),TRUE,FALSE))),FALSE)</formula1>
    </dataValidation>
    <dataValidation sqref="X263 X266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IF(AK263&gt;0,OR(X263=0,AND(IF(X263-AK263&gt;=0,TRUE,FALSE),X263&gt;0,IF(X263/J263=ROUND(X263/J263,0),TRUE,FALSE))),FALSE)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3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9">
      <c r="B9" s="51" t="inlineStr">
        <is>
          <t>283112Российская Федерация, Донецкая Народная Респ, Донецк г, Адыгейская ул, д. 13,</t>
        </is>
      </c>
      <c r="C9" s="51" t="inlineStr">
        <is>
          <t>596516_2</t>
        </is>
      </c>
      <c r="D9" s="51" t="inlineStr"/>
      <c r="E9" s="51" t="inlineStr"/>
    </row>
    <row r="11">
      <c r="B11" s="51" t="inlineStr">
        <is>
          <t>291042Российская Федерация, Луганская Народная Респ, Луганск г, Возрождения ул, д. 2А,</t>
        </is>
      </c>
      <c r="C11" s="51" t="inlineStr">
        <is>
          <t>596516_1</t>
        </is>
      </c>
      <c r="D11" s="51" t="inlineStr"/>
      <c r="E11" s="51" t="inlineStr"/>
    </row>
    <row r="13">
      <c r="B13" s="51" t="inlineStr">
        <is>
          <t>CFR</t>
        </is>
      </c>
      <c r="C13" s="51" t="inlineStr"/>
      <c r="D13" s="51" t="inlineStr"/>
      <c r="E13" s="51" t="inlineStr"/>
    </row>
    <row r="14">
      <c r="B14" s="51" t="inlineStr">
        <is>
          <t>CIF</t>
        </is>
      </c>
      <c r="C14" s="51" t="inlineStr"/>
      <c r="D14" s="51" t="inlineStr"/>
      <c r="E14" s="51" t="inlineStr"/>
    </row>
    <row r="15">
      <c r="B15" s="51" t="inlineStr">
        <is>
          <t>CIP</t>
        </is>
      </c>
      <c r="C15" s="51" t="inlineStr"/>
      <c r="D15" s="51" t="inlineStr"/>
      <c r="E15" s="51" t="inlineStr"/>
    </row>
    <row r="16">
      <c r="B16" s="51" t="inlineStr">
        <is>
          <t>CPT</t>
        </is>
      </c>
      <c r="C16" s="51" t="inlineStr"/>
      <c r="D16" s="51" t="inlineStr"/>
      <c r="E16" s="51" t="inlineStr"/>
    </row>
    <row r="17">
      <c r="B17" s="51" t="inlineStr">
        <is>
          <t>DAP</t>
        </is>
      </c>
      <c r="C17" s="51" t="inlineStr"/>
      <c r="D17" s="51" t="inlineStr"/>
      <c r="E17" s="51" t="inlineStr"/>
    </row>
    <row r="18">
      <c r="B18" s="51" t="inlineStr">
        <is>
          <t>DAT</t>
        </is>
      </c>
      <c r="C18" s="51" t="inlineStr"/>
      <c r="D18" s="51" t="inlineStr"/>
      <c r="E18" s="51" t="inlineStr"/>
    </row>
    <row r="19">
      <c r="B19" s="51" t="inlineStr">
        <is>
          <t>DDP</t>
        </is>
      </c>
      <c r="C19" s="51" t="inlineStr"/>
      <c r="D19" s="51" t="inlineStr"/>
      <c r="E19" s="51" t="inlineStr"/>
    </row>
    <row r="20">
      <c r="B20" s="51" t="inlineStr">
        <is>
          <t>EXW</t>
        </is>
      </c>
      <c r="C20" s="51" t="inlineStr"/>
      <c r="D20" s="51" t="inlineStr"/>
      <c r="E20" s="51" t="inlineStr"/>
    </row>
    <row r="21">
      <c r="B21" s="51" t="inlineStr">
        <is>
          <t>FAS</t>
        </is>
      </c>
      <c r="C21" s="51" t="inlineStr"/>
      <c r="D21" s="51" t="inlineStr"/>
      <c r="E21" s="51" t="inlineStr"/>
    </row>
    <row r="22">
      <c r="B22" s="51" t="inlineStr">
        <is>
          <t>FCA</t>
        </is>
      </c>
      <c r="C22" s="51" t="inlineStr"/>
      <c r="D22" s="51" t="inlineStr"/>
      <c r="E22" s="51" t="inlineStr"/>
    </row>
    <row r="23">
      <c r="B23" s="51" t="inlineStr">
        <is>
          <t>FOB</t>
        </is>
      </c>
      <c r="C23" s="51" t="inlineStr"/>
      <c r="D23" s="51" t="inlineStr"/>
      <c r="E23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WEpg6Pa5MeH35m+6j74AQA==" formatRows="1" sort="0" spinCount="100000" hashValue="JV16OvXRVCVWhhwu9xw9io6oUfdu6who1P0oxyB4IC4eJKuSuRPdZ1sGTz+m+24FIIUMD2oDsx5o/aJrs2Hryg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2025-11-14T08:56:21Z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