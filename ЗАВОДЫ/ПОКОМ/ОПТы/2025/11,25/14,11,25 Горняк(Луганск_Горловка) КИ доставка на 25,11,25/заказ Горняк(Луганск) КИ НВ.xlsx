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661E824-CC62-4104-A528-F00B9F04FF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Y331" i="1" s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Y318" i="1" s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X493" i="1" s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69" i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H9" i="1"/>
  <c r="B499" i="1"/>
  <c r="X490" i="1"/>
  <c r="X491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D499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18" i="1"/>
  <c r="BP316" i="1"/>
  <c r="BN316" i="1"/>
  <c r="Z316" i="1"/>
  <c r="Z331" i="1"/>
  <c r="BP329" i="1"/>
  <c r="BN329" i="1"/>
  <c r="Z329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47" i="1"/>
  <c r="Z432" i="1"/>
  <c r="Z312" i="1"/>
  <c r="Z204" i="1"/>
  <c r="Z178" i="1"/>
  <c r="Z103" i="1"/>
  <c r="Z394" i="1"/>
  <c r="Z69" i="1"/>
  <c r="Z494" i="1" s="1"/>
  <c r="Y489" i="1"/>
  <c r="X492" i="1"/>
  <c r="Z268" i="1"/>
  <c r="Z260" i="1"/>
  <c r="Z251" i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<sst xmlns="http://schemas.openxmlformats.org/spreadsheetml/2006/main" count="2258" uniqueCount="767">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</sst>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8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786" t="s">
        <v>0</v>
      </c>
      <c r="E1" s="630"/>
      <c r="F1" s="630"/>
      <c r="G1" s="12" t="s">
        <v>1</v>
      </c>
      <c r="H1" s="786" t="s">
        <v>2</v>
      </c>
      <c r="I1" s="630"/>
      <c r="J1" s="630"/>
      <c r="K1" s="630"/>
      <c r="L1" s="630"/>
      <c r="M1" s="630"/>
      <c r="N1" s="630"/>
      <c r="O1" s="630"/>
      <c r="P1" s="630"/>
      <c r="Q1" s="630"/>
      <c r="R1" s="838" t="s">
        <v>3</v>
      </c>
      <c r="S1" s="630"/>
      <c r="T1" s="63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53" t="s">
        <v>8</v>
      </c>
      <c r="B5" s="587"/>
      <c r="C5" s="588"/>
      <c r="D5" s="656"/>
      <c r="E5" s="658"/>
      <c r="F5" s="601" t="s">
        <v>9</v>
      </c>
      <c r="G5" s="588"/>
      <c r="H5" s="656"/>
      <c r="I5" s="657"/>
      <c r="J5" s="657"/>
      <c r="K5" s="657"/>
      <c r="L5" s="657"/>
      <c r="M5" s="658"/>
      <c r="N5" s="58"/>
      <c r="P5" s="24" t="s">
        <v>10</v>
      </c>
      <c r="Q5" s="627">
        <v>45978</v>
      </c>
      <c r="R5" s="628"/>
      <c r="T5" s="729" t="s">
        <v>11</v>
      </c>
      <c r="U5" s="573"/>
      <c r="V5" s="730" t="s">
        <v>12</v>
      </c>
      <c r="W5" s="628"/>
      <c r="AB5" s="51"/>
      <c r="AC5" s="51"/>
      <c r="AD5" s="51"/>
      <c r="AE5" s="51"/>
    </row>
    <row r="6" spans="1:32" s="535" customFormat="1" ht="24" customHeight="1" x14ac:dyDescent="0.2">
      <c r="A6" s="753" t="s">
        <v>13</v>
      </c>
      <c r="B6" s="587"/>
      <c r="C6" s="588"/>
      <c r="D6" s="661" t="s">
        <v>14</v>
      </c>
      <c r="E6" s="662"/>
      <c r="F6" s="662"/>
      <c r="G6" s="662"/>
      <c r="H6" s="662"/>
      <c r="I6" s="662"/>
      <c r="J6" s="662"/>
      <c r="K6" s="662"/>
      <c r="L6" s="662"/>
      <c r="M6" s="628"/>
      <c r="N6" s="59"/>
      <c r="P6" s="24" t="s">
        <v>15</v>
      </c>
      <c r="Q6" s="62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38" t="s">
        <v>16</v>
      </c>
      <c r="U6" s="573"/>
      <c r="V6" s="710" t="s">
        <v>17</v>
      </c>
      <c r="W6" s="71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3" t="str">
        <f>IFERROR(VLOOKUP(DeliveryAddress,Table,3,0),1)</f>
        <v>1</v>
      </c>
      <c r="E7" s="814"/>
      <c r="F7" s="814"/>
      <c r="G7" s="814"/>
      <c r="H7" s="814"/>
      <c r="I7" s="814"/>
      <c r="J7" s="814"/>
      <c r="K7" s="814"/>
      <c r="L7" s="814"/>
      <c r="M7" s="734"/>
      <c r="N7" s="60"/>
      <c r="P7" s="24"/>
      <c r="Q7" s="42"/>
      <c r="R7" s="42"/>
      <c r="T7" s="551"/>
      <c r="U7" s="573"/>
      <c r="V7" s="712"/>
      <c r="W7" s="713"/>
      <c r="AB7" s="51"/>
      <c r="AC7" s="51"/>
      <c r="AD7" s="51"/>
      <c r="AE7" s="51"/>
    </row>
    <row r="8" spans="1:32" s="535" customFormat="1" ht="25.5" customHeight="1" x14ac:dyDescent="0.2">
      <c r="A8" s="634" t="s">
        <v>18</v>
      </c>
      <c r="B8" s="548"/>
      <c r="C8" s="549"/>
      <c r="D8" s="820" t="s">
        <v>19</v>
      </c>
      <c r="E8" s="821"/>
      <c r="F8" s="821"/>
      <c r="G8" s="821"/>
      <c r="H8" s="821"/>
      <c r="I8" s="821"/>
      <c r="J8" s="821"/>
      <c r="K8" s="821"/>
      <c r="L8" s="821"/>
      <c r="M8" s="822"/>
      <c r="N8" s="61"/>
      <c r="P8" s="24" t="s">
        <v>20</v>
      </c>
      <c r="Q8" s="733">
        <v>0.41666666666666669</v>
      </c>
      <c r="R8" s="734"/>
      <c r="T8" s="551"/>
      <c r="U8" s="573"/>
      <c r="V8" s="712"/>
      <c r="W8" s="713"/>
      <c r="AB8" s="51"/>
      <c r="AC8" s="51"/>
      <c r="AD8" s="51"/>
      <c r="AE8" s="51"/>
    </row>
    <row r="9" spans="1:32" s="535" customFormat="1" ht="39.950000000000003" customHeight="1" x14ac:dyDescent="0.2">
      <c r="A9" s="5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11"/>
      <c r="E9" s="612"/>
      <c r="F9" s="5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533"/>
      <c r="P9" s="26" t="s">
        <v>21</v>
      </c>
      <c r="Q9" s="791"/>
      <c r="R9" s="605"/>
      <c r="T9" s="551"/>
      <c r="U9" s="573"/>
      <c r="V9" s="714"/>
      <c r="W9" s="71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11"/>
      <c r="E10" s="612"/>
      <c r="F10" s="5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676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39"/>
      <c r="R10" s="740"/>
      <c r="U10" s="24" t="s">
        <v>23</v>
      </c>
      <c r="V10" s="832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2"/>
      <c r="R11" s="628"/>
      <c r="U11" s="24" t="s">
        <v>27</v>
      </c>
      <c r="V11" s="604" t="s">
        <v>28</v>
      </c>
      <c r="W11" s="605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21" t="s">
        <v>29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8"/>
      <c r="N12" s="62"/>
      <c r="P12" s="24" t="s">
        <v>30</v>
      </c>
      <c r="Q12" s="733"/>
      <c r="R12" s="734"/>
      <c r="S12" s="23"/>
      <c r="U12" s="24"/>
      <c r="V12" s="630"/>
      <c r="W12" s="551"/>
      <c r="AB12" s="51"/>
      <c r="AC12" s="51"/>
      <c r="AD12" s="51"/>
      <c r="AE12" s="51"/>
    </row>
    <row r="13" spans="1:32" s="535" customFormat="1" ht="23.25" customHeight="1" x14ac:dyDescent="0.2">
      <c r="A13" s="721" t="s">
        <v>31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8"/>
      <c r="N13" s="62"/>
      <c r="O13" s="26"/>
      <c r="P13" s="26" t="s">
        <v>32</v>
      </c>
      <c r="Q13" s="604"/>
      <c r="R13" s="60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21" t="s">
        <v>33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3" t="s">
        <v>34</v>
      </c>
      <c r="B15" s="587"/>
      <c r="C15" s="587"/>
      <c r="D15" s="587"/>
      <c r="E15" s="587"/>
      <c r="F15" s="587"/>
      <c r="G15" s="587"/>
      <c r="H15" s="587"/>
      <c r="I15" s="587"/>
      <c r="J15" s="587"/>
      <c r="K15" s="587"/>
      <c r="L15" s="587"/>
      <c r="M15" s="588"/>
      <c r="N15" s="63"/>
      <c r="P15" s="803" t="s">
        <v>35</v>
      </c>
      <c r="Q15" s="630"/>
      <c r="R15" s="630"/>
      <c r="S15" s="630"/>
      <c r="T15" s="63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4"/>
      <c r="Q16" s="804"/>
      <c r="R16" s="804"/>
      <c r="S16" s="804"/>
      <c r="T16" s="8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4" t="s">
        <v>36</v>
      </c>
      <c r="B17" s="564" t="s">
        <v>37</v>
      </c>
      <c r="C17" s="755" t="s">
        <v>38</v>
      </c>
      <c r="D17" s="564" t="s">
        <v>39</v>
      </c>
      <c r="E17" s="565"/>
      <c r="F17" s="564" t="s">
        <v>40</v>
      </c>
      <c r="G17" s="564" t="s">
        <v>41</v>
      </c>
      <c r="H17" s="564" t="s">
        <v>42</v>
      </c>
      <c r="I17" s="564" t="s">
        <v>43</v>
      </c>
      <c r="J17" s="564" t="s">
        <v>44</v>
      </c>
      <c r="K17" s="564" t="s">
        <v>45</v>
      </c>
      <c r="L17" s="564" t="s">
        <v>46</v>
      </c>
      <c r="M17" s="564" t="s">
        <v>47</v>
      </c>
      <c r="N17" s="564" t="s">
        <v>48</v>
      </c>
      <c r="O17" s="564" t="s">
        <v>49</v>
      </c>
      <c r="P17" s="564" t="s">
        <v>50</v>
      </c>
      <c r="Q17" s="788"/>
      <c r="R17" s="788"/>
      <c r="S17" s="788"/>
      <c r="T17" s="565"/>
      <c r="U17" s="631" t="s">
        <v>51</v>
      </c>
      <c r="V17" s="588"/>
      <c r="W17" s="564" t="s">
        <v>52</v>
      </c>
      <c r="X17" s="564" t="s">
        <v>53</v>
      </c>
      <c r="Y17" s="632" t="s">
        <v>54</v>
      </c>
      <c r="Z17" s="716" t="s">
        <v>55</v>
      </c>
      <c r="AA17" s="595" t="s">
        <v>56</v>
      </c>
      <c r="AB17" s="595" t="s">
        <v>57</v>
      </c>
      <c r="AC17" s="595" t="s">
        <v>58</v>
      </c>
      <c r="AD17" s="595" t="s">
        <v>59</v>
      </c>
      <c r="AE17" s="596"/>
      <c r="AF17" s="597"/>
      <c r="AG17" s="66"/>
      <c r="BD17" s="65" t="s">
        <v>60</v>
      </c>
    </row>
    <row r="18" spans="1:68" ht="14.25" customHeight="1" x14ac:dyDescent="0.2">
      <c r="A18" s="569"/>
      <c r="B18" s="569"/>
      <c r="C18" s="569"/>
      <c r="D18" s="566"/>
      <c r="E18" s="567"/>
      <c r="F18" s="569"/>
      <c r="G18" s="569"/>
      <c r="H18" s="569"/>
      <c r="I18" s="569"/>
      <c r="J18" s="569"/>
      <c r="K18" s="569"/>
      <c r="L18" s="569"/>
      <c r="M18" s="569"/>
      <c r="N18" s="569"/>
      <c r="O18" s="569"/>
      <c r="P18" s="566"/>
      <c r="Q18" s="789"/>
      <c r="R18" s="789"/>
      <c r="S18" s="789"/>
      <c r="T18" s="567"/>
      <c r="U18" s="67" t="s">
        <v>61</v>
      </c>
      <c r="V18" s="67" t="s">
        <v>62</v>
      </c>
      <c r="W18" s="569"/>
      <c r="X18" s="569"/>
      <c r="Y18" s="633"/>
      <c r="Z18" s="717"/>
      <c r="AA18" s="655"/>
      <c r="AB18" s="655"/>
      <c r="AC18" s="655"/>
      <c r="AD18" s="598"/>
      <c r="AE18" s="599"/>
      <c r="AF18" s="600"/>
      <c r="AG18" s="66"/>
      <c r="BD18" s="65"/>
    </row>
    <row r="19" spans="1:68" ht="27.75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customHeight="1" x14ac:dyDescent="0.25">
      <c r="A20" s="563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customHeight="1" x14ac:dyDescent="0.25">
      <c r="A21" s="558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6">
        <v>4680115886643</v>
      </c>
      <c r="E22" s="557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6">
        <v>4680115885912</v>
      </c>
      <c r="E26" s="557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4"/>
      <c r="R26" s="554"/>
      <c r="S26" s="554"/>
      <c r="T26" s="555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6">
        <v>4607091388237</v>
      </c>
      <c r="E27" s="557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4"/>
      <c r="R27" s="554"/>
      <c r="S27" s="554"/>
      <c r="T27" s="555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6">
        <v>4680115887350</v>
      </c>
      <c r="E28" s="557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4"/>
      <c r="R28" s="554"/>
      <c r="S28" s="554"/>
      <c r="T28" s="555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6">
        <v>4680115885905</v>
      </c>
      <c r="E29" s="557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56">
        <v>4607091388244</v>
      </c>
      <c r="E30" s="557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4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4"/>
      <c r="R30" s="554"/>
      <c r="S30" s="554"/>
      <c r="T30" s="555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customHeight="1" x14ac:dyDescent="0.25">
      <c r="A38" s="563" t="s">
        <v>98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customHeight="1" x14ac:dyDescent="0.25">
      <c r="A39" s="558" t="s">
        <v>99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1">
        <v>1296</v>
      </c>
      <c r="Y40" s="542">
        <f>IFERROR(IF(X40="",0,CEILING((X40/$H40),1)*$H40),"")</f>
        <v>1296</v>
      </c>
      <c r="Z40" s="36">
        <f>IFERROR(IF(Y40=0,"",ROUNDUP(Y40/H40,0)*0.01898),"")</f>
        <v>2.2776000000000001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1345.2</v>
      </c>
      <c r="BN40" s="64">
        <f>IFERROR(Y40*I40/H40,"0")</f>
        <v>1345.2</v>
      </c>
      <c r="BO40" s="64">
        <f>IFERROR(1/J40*(X40/H40),"0")</f>
        <v>1.8749999999999998</v>
      </c>
      <c r="BP40" s="64">
        <f>IFERROR(1/J40*(Y40/H40),"0")</f>
        <v>1.8749999999999998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119.99999999999999</v>
      </c>
      <c r="Y43" s="543">
        <f>IFERROR(Y40/H40,"0")+IFERROR(Y41/H41,"0")+IFERROR(Y42/H42,"0")</f>
        <v>119.99999999999999</v>
      </c>
      <c r="Z43" s="543">
        <f>IFERROR(IF(Z40="",0,Z40),"0")+IFERROR(IF(Z41="",0,Z41),"0")+IFERROR(IF(Z42="",0,Z42),"0")</f>
        <v>2.2776000000000001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1296</v>
      </c>
      <c r="Y44" s="543">
        <f>IFERROR(SUM(Y40:Y42),"0")</f>
        <v>1296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63" t="s">
        <v>116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customHeight="1" x14ac:dyDescent="0.25">
      <c r="A50" s="558" t="s">
        <v>99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1">
        <v>537.6</v>
      </c>
      <c r="Y51" s="542">
        <f t="shared" ref="Y51:Y56" si="0">IFERROR(IF(X51="",0,CEILING((X51/$H51),1)*$H51),"")</f>
        <v>537.59999999999991</v>
      </c>
      <c r="Z51" s="36">
        <f>IFERROR(IF(Y51=0,"",ROUNDUP(Y51/H51,0)*0.01898),"")</f>
        <v>0.91104000000000007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557.28000000000009</v>
      </c>
      <c r="BN51" s="64">
        <f t="shared" ref="BN51:BN56" si="2">IFERROR(Y51*I51/H51,"0")</f>
        <v>557.27999999999986</v>
      </c>
      <c r="BO51" s="64">
        <f t="shared" ref="BO51:BO56" si="3">IFERROR(1/J51*(X51/H51),"0")</f>
        <v>0.75000000000000011</v>
      </c>
      <c r="BP51" s="64">
        <f t="shared" ref="BP51:BP56" si="4">IFERROR(1/J51*(Y51/H51),"0")</f>
        <v>0.74999999999999989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1">
        <v>604.79999999999995</v>
      </c>
      <c r="Y52" s="542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627.76</v>
      </c>
      <c r="BN52" s="64">
        <f t="shared" si="2"/>
        <v>627.76</v>
      </c>
      <c r="BO52" s="64">
        <f t="shared" si="3"/>
        <v>0.87499999999999989</v>
      </c>
      <c r="BP52" s="64">
        <f t="shared" si="4"/>
        <v>0.875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9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6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104</v>
      </c>
      <c r="Y57" s="543">
        <f>IFERROR(Y51/H51,"0")+IFERROR(Y52/H52,"0")+IFERROR(Y53/H53,"0")+IFERROR(Y54/H54,"0")+IFERROR(Y55/H55,"0")+IFERROR(Y56/H56,"0")</f>
        <v>104</v>
      </c>
      <c r="Z57" s="543">
        <f>IFERROR(IF(Z51="",0,Z51),"0")+IFERROR(IF(Z52="",0,Z52),"0")+IFERROR(IF(Z53="",0,Z53),"0")+IFERROR(IF(Z54="",0,Z54),"0")+IFERROR(IF(Z55="",0,Z55),"0")+IFERROR(IF(Z56="",0,Z56),"0")</f>
        <v>1.9739200000000001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1142.4000000000001</v>
      </c>
      <c r="Y58" s="543">
        <f>IFERROR(SUM(Y51:Y56),"0")</f>
        <v>1142.4000000000001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1">
        <v>604.79999999999995</v>
      </c>
      <c r="Y60" s="542">
        <f>IFERROR(IF(X60="",0,CEILING((X60/$H60),1)*$H60),"")</f>
        <v>604.80000000000007</v>
      </c>
      <c r="Z60" s="36">
        <f>IFERROR(IF(Y60=0,"",ROUNDUP(Y60/H60,0)*0.01898),"")</f>
        <v>1.06288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627.76</v>
      </c>
      <c r="BN60" s="64">
        <f>IFERROR(Y60*I60/H60,"0")</f>
        <v>627.76</v>
      </c>
      <c r="BO60" s="64">
        <f>IFERROR(1/J60*(X60/H60),"0")</f>
        <v>0.87499999999999989</v>
      </c>
      <c r="BP60" s="64">
        <f>IFERROR(1/J60*(Y60/H60),"0")</f>
        <v>0.875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55.999999999999993</v>
      </c>
      <c r="Y63" s="543">
        <f>IFERROR(Y60/H60,"0")+IFERROR(Y61/H61,"0")+IFERROR(Y62/H62,"0")</f>
        <v>56</v>
      </c>
      <c r="Z63" s="543">
        <f>IFERROR(IF(Z60="",0,Z60),"0")+IFERROR(IF(Z61="",0,Z61),"0")+IFERROR(IF(Z62="",0,Z62),"0")</f>
        <v>1.06288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604.79999999999995</v>
      </c>
      <c r="Y64" s="543">
        <f>IFERROR(SUM(Y60:Y62),"0")</f>
        <v>604.80000000000007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56">
        <v>4680115885059</v>
      </c>
      <c r="E67" s="557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56">
        <v>4680115885097</v>
      </c>
      <c r="E68" s="557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4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56">
        <v>4680115885769</v>
      </c>
      <c r="E72" s="557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5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56">
        <v>4680115884311</v>
      </c>
      <c r="E73" s="557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56">
        <v>4680115885929</v>
      </c>
      <c r="E74" s="557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86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56">
        <v>4680115884403</v>
      </c>
      <c r="E75" s="557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56">
        <v>4680115881532</v>
      </c>
      <c r="E79" s="557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1">
        <v>187.2</v>
      </c>
      <c r="Y79" s="542">
        <f>IFERROR(IF(X79="",0,CEILING((X79/$H79),1)*$H79),"")</f>
        <v>187.2</v>
      </c>
      <c r="Z79" s="36">
        <f>IFERROR(IF(Y79=0,"",ROUNDUP(Y79/H79,0)*0.01898),"")</f>
        <v>0.45552000000000004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197.04000000000002</v>
      </c>
      <c r="BN79" s="64">
        <f>IFERROR(Y79*I79/H79,"0")</f>
        <v>197.04000000000002</v>
      </c>
      <c r="BO79" s="64">
        <f>IFERROR(1/J79*(X79/H79),"0")</f>
        <v>0.375</v>
      </c>
      <c r="BP79" s="64">
        <f>IFERROR(1/J79*(Y79/H79),"0")</f>
        <v>0.375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56">
        <v>4680115881464</v>
      </c>
      <c r="E80" s="557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24</v>
      </c>
      <c r="Y81" s="543">
        <f>IFERROR(Y79/H79,"0")+IFERROR(Y80/H80,"0")</f>
        <v>24</v>
      </c>
      <c r="Z81" s="543">
        <f>IFERROR(IF(Z79="",0,Z79),"0")+IFERROR(IF(Z80="",0,Z80),"0")</f>
        <v>0.45552000000000004</v>
      </c>
      <c r="AA81" s="544"/>
      <c r="AB81" s="544"/>
      <c r="AC81" s="544"/>
    </row>
    <row r="82" spans="1:68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187.2</v>
      </c>
      <c r="Y82" s="543">
        <f>IFERROR(SUM(Y79:Y80),"0")</f>
        <v>187.2</v>
      </c>
      <c r="Z82" s="37"/>
      <c r="AA82" s="544"/>
      <c r="AB82" s="544"/>
      <c r="AC82" s="544"/>
    </row>
    <row r="83" spans="1:68" ht="16.5" customHeight="1" x14ac:dyDescent="0.25">
      <c r="A83" s="563" t="s">
        <v>170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customHeight="1" x14ac:dyDescent="0.25">
      <c r="A84" s="558" t="s">
        <v>99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6">
        <v>4680115881327</v>
      </c>
      <c r="E85" s="557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1">
        <v>691.2</v>
      </c>
      <c r="Y85" s="542">
        <f>IFERROR(IF(X85="",0,CEILING((X85/$H85),1)*$H85),"")</f>
        <v>691.2</v>
      </c>
      <c r="Z85" s="36">
        <f>IFERROR(IF(Y85=0,"",ROUNDUP(Y85/H85,0)*0.01898),"")</f>
        <v>1.21472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717.44</v>
      </c>
      <c r="BN85" s="64">
        <f>IFERROR(Y85*I85/H85,"0")</f>
        <v>717.44</v>
      </c>
      <c r="BO85" s="64">
        <f>IFERROR(1/J85*(X85/H85),"0")</f>
        <v>1</v>
      </c>
      <c r="BP85" s="64">
        <f>IFERROR(1/J85*(Y85/H85),"0")</f>
        <v>1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84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85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64</v>
      </c>
      <c r="Y88" s="543">
        <f>IFERROR(Y85/H85,"0")+IFERROR(Y86/H86,"0")+IFERROR(Y87/H87,"0")</f>
        <v>64</v>
      </c>
      <c r="Z88" s="543">
        <f>IFERROR(IF(Z85="",0,Z85),"0")+IFERROR(IF(Z86="",0,Z86),"0")+IFERROR(IF(Z87="",0,Z87),"0")</f>
        <v>1.21472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691.2</v>
      </c>
      <c r="Y89" s="543">
        <f>IFERROR(SUM(Y85:Y87),"0")</f>
        <v>691.2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1">
        <v>324</v>
      </c>
      <c r="Y91" s="542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343.76</v>
      </c>
      <c r="BN91" s="64">
        <f>IFERROR(Y91*I91/H91,"0")</f>
        <v>343.76</v>
      </c>
      <c r="BO91" s="64">
        <f>IFERROR(1/J91*(X91/H91),"0")</f>
        <v>0.625</v>
      </c>
      <c r="BP91" s="64">
        <f>IFERROR(1/J91*(Y91/H91),"0")</f>
        <v>0.625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1">
        <v>151.19999999999999</v>
      </c>
      <c r="Y93" s="542">
        <f>IFERROR(IF(X93="",0,CEILING((X93/$H93),1)*$H93),"")</f>
        <v>151.20000000000002</v>
      </c>
      <c r="Z93" s="36">
        <f>IFERROR(IF(Y93=0,"",ROUNDUP(Y93/H93,0)*0.00651),"")</f>
        <v>0.36456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165.31199999999995</v>
      </c>
      <c r="BN93" s="64">
        <f>IFERROR(Y93*I93/H93,"0")</f>
        <v>165.31200000000001</v>
      </c>
      <c r="BO93" s="64">
        <f>IFERROR(1/J93*(X93/H93),"0")</f>
        <v>0.30769230769230765</v>
      </c>
      <c r="BP93" s="64">
        <f>IFERROR(1/J93*(Y93/H93),"0")</f>
        <v>0.30769230769230771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8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96</v>
      </c>
      <c r="Y95" s="543">
        <f>IFERROR(Y91/H91,"0")+IFERROR(Y92/H92,"0")+IFERROR(Y93/H93,"0")+IFERROR(Y94/H94,"0")</f>
        <v>96</v>
      </c>
      <c r="Z95" s="543">
        <f>IFERROR(IF(Z91="",0,Z91),"0")+IFERROR(IF(Z92="",0,Z92),"0")+IFERROR(IF(Z93="",0,Z93),"0")+IFERROR(IF(Z94="",0,Z94),"0")</f>
        <v>1.1237599999999999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475.2</v>
      </c>
      <c r="Y96" s="543">
        <f>IFERROR(SUM(Y91:Y94),"0")</f>
        <v>475.20000000000005</v>
      </c>
      <c r="Z96" s="37"/>
      <c r="AA96" s="544"/>
      <c r="AB96" s="544"/>
      <c r="AC96" s="544"/>
    </row>
    <row r="97" spans="1:68" ht="16.5" customHeight="1" x14ac:dyDescent="0.25">
      <c r="A97" s="563" t="s">
        <v>189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customHeight="1" x14ac:dyDescent="0.25">
      <c r="A98" s="558" t="s">
        <v>99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1">
        <v>950.4</v>
      </c>
      <c r="Y99" s="542">
        <f>IFERROR(IF(X99="",0,CEILING((X99/$H99),1)*$H99),"")</f>
        <v>950.40000000000009</v>
      </c>
      <c r="Z99" s="36">
        <f>IFERROR(IF(Y99=0,"",ROUNDUP(Y99/H99,0)*0.01898),"")</f>
        <v>1.6702399999999999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986.48</v>
      </c>
      <c r="BN99" s="64">
        <f>IFERROR(Y99*I99/H99,"0")</f>
        <v>986.48000000000013</v>
      </c>
      <c r="BO99" s="64">
        <f>IFERROR(1/J99*(X99/H99),"0")</f>
        <v>1.3749999999999998</v>
      </c>
      <c r="BP99" s="64">
        <f>IFERROR(1/J99*(Y99/H99),"0")</f>
        <v>1.375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56">
        <v>4680115880269</v>
      </c>
      <c r="E100" s="557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8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4"/>
      <c r="R100" s="554"/>
      <c r="S100" s="554"/>
      <c r="T100" s="555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56">
        <v>4680115880429</v>
      </c>
      <c r="E101" s="557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64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56">
        <v>4680115881457</v>
      </c>
      <c r="E102" s="557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87.999999999999986</v>
      </c>
      <c r="Y103" s="543">
        <f>IFERROR(Y99/H99,"0")+IFERROR(Y100/H100,"0")+IFERROR(Y101/H101,"0")+IFERROR(Y102/H102,"0")</f>
        <v>88</v>
      </c>
      <c r="Z103" s="543">
        <f>IFERROR(IF(Z99="",0,Z99),"0")+IFERROR(IF(Z100="",0,Z100),"0")+IFERROR(IF(Z101="",0,Z101),"0")+IFERROR(IF(Z102="",0,Z102),"0")</f>
        <v>1.6702399999999999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950.4</v>
      </c>
      <c r="Y104" s="543">
        <f>IFERROR(SUM(Y99:Y102),"0")</f>
        <v>950.40000000000009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56">
        <v>4680115881488</v>
      </c>
      <c r="E106" s="557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4"/>
      <c r="R106" s="554"/>
      <c r="S106" s="554"/>
      <c r="T106" s="555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56">
        <v>4680115882775</v>
      </c>
      <c r="E107" s="557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64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56">
        <v>4680115880658</v>
      </c>
      <c r="E108" s="557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6">
        <v>4607091385168</v>
      </c>
      <c r="E112" s="557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4"/>
      <c r="R112" s="554"/>
      <c r="S112" s="554"/>
      <c r="T112" s="555"/>
      <c r="U112" s="34"/>
      <c r="V112" s="34"/>
      <c r="W112" s="35" t="s">
        <v>69</v>
      </c>
      <c r="X112" s="541">
        <v>518.4</v>
      </c>
      <c r="Y112" s="542">
        <f>IFERROR(IF(X112="",0,CEILING((X112/$H112),1)*$H112),"")</f>
        <v>518.4</v>
      </c>
      <c r="Z112" s="36">
        <f>IFERROR(IF(Y112=0,"",ROUNDUP(Y112/H112,0)*0.01898),"")</f>
        <v>1.21472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549.63199999999995</v>
      </c>
      <c r="BN112" s="64">
        <f>IFERROR(Y112*I112/H112,"0")</f>
        <v>549.63199999999995</v>
      </c>
      <c r="BO112" s="64">
        <f>IFERROR(1/J112*(X112/H112),"0")</f>
        <v>1</v>
      </c>
      <c r="BP112" s="64">
        <f>IFERROR(1/J112*(Y112/H112),"0")</f>
        <v>1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6">
        <v>4607091383256</v>
      </c>
      <c r="E113" s="557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4"/>
      <c r="R113" s="554"/>
      <c r="S113" s="554"/>
      <c r="T113" s="555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6">
        <v>4607091385748</v>
      </c>
      <c r="E114" s="557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1">
        <v>97.2</v>
      </c>
      <c r="Y114" s="542">
        <f>IFERROR(IF(X114="",0,CEILING((X114/$H114),1)*$H114),"")</f>
        <v>97.2</v>
      </c>
      <c r="Z114" s="36">
        <f>IFERROR(IF(Y114=0,"",ROUNDUP(Y114/H114,0)*0.00651),"")</f>
        <v>0.23436000000000001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106.27199999999999</v>
      </c>
      <c r="BN114" s="64">
        <f>IFERROR(Y114*I114/H114,"0")</f>
        <v>106.27199999999999</v>
      </c>
      <c r="BO114" s="64">
        <f>IFERROR(1/J114*(X114/H114),"0")</f>
        <v>0.19780219780219782</v>
      </c>
      <c r="BP114" s="64">
        <f>IFERROR(1/J114*(Y114/H114),"0")</f>
        <v>0.19780219780219782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6">
        <v>4680115884533</v>
      </c>
      <c r="E115" s="557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100</v>
      </c>
      <c r="Y116" s="543">
        <f>IFERROR(Y112/H112,"0")+IFERROR(Y113/H113,"0")+IFERROR(Y114/H114,"0")+IFERROR(Y115/H115,"0")</f>
        <v>100</v>
      </c>
      <c r="Z116" s="543">
        <f>IFERROR(IF(Z112="",0,Z112),"0")+IFERROR(IF(Z113="",0,Z113),"0")+IFERROR(IF(Z114="",0,Z114),"0")+IFERROR(IF(Z115="",0,Z115),"0")</f>
        <v>1.4490799999999999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615.6</v>
      </c>
      <c r="Y117" s="543">
        <f>IFERROR(SUM(Y112:Y115),"0")</f>
        <v>615.6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6">
        <v>4680115880238</v>
      </c>
      <c r="E119" s="557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6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4"/>
      <c r="R119" s="554"/>
      <c r="S119" s="554"/>
      <c r="T119" s="555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63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customHeight="1" x14ac:dyDescent="0.25">
      <c r="A123" s="558" t="s">
        <v>99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6">
        <v>4680115882577</v>
      </c>
      <c r="E124" s="557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5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4"/>
      <c r="R124" s="554"/>
      <c r="S124" s="554"/>
      <c r="T124" s="555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6">
        <v>4680115882577</v>
      </c>
      <c r="E125" s="557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4"/>
      <c r="R125" s="554"/>
      <c r="S125" s="554"/>
      <c r="T125" s="555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6">
        <v>4680115883444</v>
      </c>
      <c r="E129" s="557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4"/>
      <c r="R129" s="554"/>
      <c r="S129" s="554"/>
      <c r="T129" s="555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6">
        <v>4680115883444</v>
      </c>
      <c r="E130" s="557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4"/>
      <c r="R130" s="554"/>
      <c r="S130" s="554"/>
      <c r="T130" s="555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6">
        <v>4680115882584</v>
      </c>
      <c r="E134" s="557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4"/>
      <c r="R134" s="554"/>
      <c r="S134" s="554"/>
      <c r="T134" s="555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6">
        <v>4680115882584</v>
      </c>
      <c r="E135" s="557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4"/>
      <c r="R135" s="554"/>
      <c r="S135" s="554"/>
      <c r="T135" s="555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63" t="s">
        <v>97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customHeight="1" x14ac:dyDescent="0.25">
      <c r="A139" s="558" t="s">
        <v>99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6">
        <v>4680115887374</v>
      </c>
      <c r="E140" s="557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4"/>
      <c r="R140" s="554"/>
      <c r="S140" s="554"/>
      <c r="T140" s="555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6">
        <v>4607091384604</v>
      </c>
      <c r="E141" s="557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4"/>
      <c r="R141" s="554"/>
      <c r="S141" s="554"/>
      <c r="T141" s="555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6">
        <v>4680115886810</v>
      </c>
      <c r="E142" s="557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7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47" t="s">
        <v>71</v>
      </c>
      <c r="Q143" s="548"/>
      <c r="R143" s="548"/>
      <c r="S143" s="548"/>
      <c r="T143" s="548"/>
      <c r="U143" s="548"/>
      <c r="V143" s="549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47" t="s">
        <v>71</v>
      </c>
      <c r="Q144" s="548"/>
      <c r="R144" s="548"/>
      <c r="S144" s="548"/>
      <c r="T144" s="548"/>
      <c r="U144" s="548"/>
      <c r="V144" s="549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6">
        <v>4607091387667</v>
      </c>
      <c r="E146" s="557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6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4"/>
      <c r="R146" s="554"/>
      <c r="S146" s="554"/>
      <c r="T146" s="555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6">
        <v>4607091387636</v>
      </c>
      <c r="E147" s="557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2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6">
        <v>4607091382426</v>
      </c>
      <c r="E148" s="557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8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4"/>
      <c r="R148" s="554"/>
      <c r="S148" s="554"/>
      <c r="T148" s="555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47" t="s">
        <v>71</v>
      </c>
      <c r="Q149" s="548"/>
      <c r="R149" s="548"/>
      <c r="S149" s="548"/>
      <c r="T149" s="548"/>
      <c r="U149" s="548"/>
      <c r="V149" s="549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47" t="s">
        <v>71</v>
      </c>
      <c r="Q150" s="548"/>
      <c r="R150" s="548"/>
      <c r="S150" s="548"/>
      <c r="T150" s="548"/>
      <c r="U150" s="548"/>
      <c r="V150" s="549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6">
        <v>4680115887459</v>
      </c>
      <c r="E152" s="557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44" t="s">
        <v>252</v>
      </c>
      <c r="Q152" s="554"/>
      <c r="R152" s="554"/>
      <c r="S152" s="554"/>
      <c r="T152" s="555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47" t="s">
        <v>71</v>
      </c>
      <c r="Q153" s="548"/>
      <c r="R153" s="548"/>
      <c r="S153" s="548"/>
      <c r="T153" s="548"/>
      <c r="U153" s="548"/>
      <c r="V153" s="549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47" t="s">
        <v>71</v>
      </c>
      <c r="Q154" s="548"/>
      <c r="R154" s="548"/>
      <c r="S154" s="548"/>
      <c r="T154" s="548"/>
      <c r="U154" s="548"/>
      <c r="V154" s="549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44" t="s">
        <v>255</v>
      </c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5"/>
      <c r="P155" s="645"/>
      <c r="Q155" s="645"/>
      <c r="R155" s="645"/>
      <c r="S155" s="645"/>
      <c r="T155" s="645"/>
      <c r="U155" s="645"/>
      <c r="V155" s="645"/>
      <c r="W155" s="645"/>
      <c r="X155" s="645"/>
      <c r="Y155" s="645"/>
      <c r="Z155" s="645"/>
      <c r="AA155" s="48"/>
      <c r="AB155" s="48"/>
      <c r="AC155" s="48"/>
    </row>
    <row r="156" spans="1:68" ht="16.5" customHeight="1" x14ac:dyDescent="0.25">
      <c r="A156" s="563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customHeight="1" x14ac:dyDescent="0.25">
      <c r="A157" s="558" t="s">
        <v>135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6">
        <v>4680115886223</v>
      </c>
      <c r="E158" s="557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4"/>
      <c r="R158" s="554"/>
      <c r="S158" s="554"/>
      <c r="T158" s="555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47" t="s">
        <v>71</v>
      </c>
      <c r="Q159" s="548"/>
      <c r="R159" s="548"/>
      <c r="S159" s="548"/>
      <c r="T159" s="548"/>
      <c r="U159" s="548"/>
      <c r="V159" s="549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47" t="s">
        <v>71</v>
      </c>
      <c r="Q160" s="548"/>
      <c r="R160" s="548"/>
      <c r="S160" s="548"/>
      <c r="T160" s="548"/>
      <c r="U160" s="548"/>
      <c r="V160" s="549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6">
        <v>4680115887213</v>
      </c>
      <c r="E162" s="557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664" t="s">
        <v>262</v>
      </c>
      <c r="Q162" s="554"/>
      <c r="R162" s="554"/>
      <c r="S162" s="554"/>
      <c r="T162" s="555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6">
        <v>4680115880993</v>
      </c>
      <c r="E163" s="557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4"/>
      <c r="R163" s="554"/>
      <c r="S163" s="554"/>
      <c r="T163" s="555"/>
      <c r="U163" s="34"/>
      <c r="V163" s="34"/>
      <c r="W163" s="35" t="s">
        <v>69</v>
      </c>
      <c r="X163" s="541">
        <v>151.19999999999999</v>
      </c>
      <c r="Y163" s="542">
        <f t="shared" si="5"/>
        <v>151.20000000000002</v>
      </c>
      <c r="Z163" s="36">
        <f>IFERROR(IF(Y163=0,"",ROUNDUP(Y163/H163,0)*0.00902),"")</f>
        <v>0.32472000000000001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160.19999999999999</v>
      </c>
      <c r="BN163" s="64">
        <f t="shared" si="7"/>
        <v>160.20000000000002</v>
      </c>
      <c r="BO163" s="64">
        <f t="shared" si="8"/>
        <v>0.27272727272727271</v>
      </c>
      <c r="BP163" s="64">
        <f t="shared" si="9"/>
        <v>0.27272727272727271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6">
        <v>4680115881761</v>
      </c>
      <c r="E164" s="557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4"/>
      <c r="R164" s="554"/>
      <c r="S164" s="554"/>
      <c r="T164" s="555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6">
        <v>4680115881563</v>
      </c>
      <c r="E165" s="557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4"/>
      <c r="R165" s="554"/>
      <c r="S165" s="554"/>
      <c r="T165" s="555"/>
      <c r="U165" s="34"/>
      <c r="V165" s="34"/>
      <c r="W165" s="35" t="s">
        <v>69</v>
      </c>
      <c r="X165" s="541">
        <v>403.2</v>
      </c>
      <c r="Y165" s="542">
        <f t="shared" si="5"/>
        <v>403.20000000000005</v>
      </c>
      <c r="Z165" s="36">
        <f>IFERROR(IF(Y165=0,"",ROUNDUP(Y165/H165,0)*0.00902),"")</f>
        <v>0.86592000000000002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421.43999999999994</v>
      </c>
      <c r="BN165" s="64">
        <f t="shared" si="7"/>
        <v>421.44</v>
      </c>
      <c r="BO165" s="64">
        <f t="shared" si="8"/>
        <v>0.72727272727272729</v>
      </c>
      <c r="BP165" s="64">
        <f t="shared" si="9"/>
        <v>0.72727272727272729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6">
        <v>4680115880986</v>
      </c>
      <c r="E166" s="557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4"/>
      <c r="R166" s="554"/>
      <c r="S166" s="554"/>
      <c r="T166" s="555"/>
      <c r="U166" s="34"/>
      <c r="V166" s="34"/>
      <c r="W166" s="35" t="s">
        <v>69</v>
      </c>
      <c r="X166" s="541">
        <v>226.8</v>
      </c>
      <c r="Y166" s="542">
        <f t="shared" si="5"/>
        <v>226.8</v>
      </c>
      <c r="Z166" s="36">
        <f>IFERROR(IF(Y166=0,"",ROUNDUP(Y166/H166,0)*0.00502),"")</f>
        <v>0.54215999999999998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240.84</v>
      </c>
      <c r="BN166" s="64">
        <f t="shared" si="7"/>
        <v>240.84</v>
      </c>
      <c r="BO166" s="64">
        <f t="shared" si="8"/>
        <v>0.46153846153846156</v>
      </c>
      <c r="BP166" s="64">
        <f t="shared" si="9"/>
        <v>0.46153846153846156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6">
        <v>4680115881785</v>
      </c>
      <c r="E167" s="557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5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6">
        <v>4680115886537</v>
      </c>
      <c r="E168" s="557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4"/>
      <c r="R168" s="554"/>
      <c r="S168" s="554"/>
      <c r="T168" s="555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6">
        <v>4680115881679</v>
      </c>
      <c r="E169" s="557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7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1">
        <v>567</v>
      </c>
      <c r="Y169" s="542">
        <f t="shared" si="5"/>
        <v>567</v>
      </c>
      <c r="Z169" s="36">
        <f>IFERROR(IF(Y169=0,"",ROUNDUP(Y169/H169,0)*0.00502),"")</f>
        <v>1.3553999999999999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594</v>
      </c>
      <c r="BN169" s="64">
        <f t="shared" si="7"/>
        <v>594</v>
      </c>
      <c r="BO169" s="64">
        <f t="shared" si="8"/>
        <v>1.153846153846154</v>
      </c>
      <c r="BP169" s="64">
        <f t="shared" si="9"/>
        <v>1.153846153846154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6">
        <v>4680115880191</v>
      </c>
      <c r="E170" s="557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4"/>
      <c r="R170" s="554"/>
      <c r="S170" s="554"/>
      <c r="T170" s="555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6">
        <v>4680115883963</v>
      </c>
      <c r="E171" s="557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0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47" t="s">
        <v>71</v>
      </c>
      <c r="Q172" s="548"/>
      <c r="R172" s="548"/>
      <c r="S172" s="548"/>
      <c r="T172" s="548"/>
      <c r="U172" s="548"/>
      <c r="V172" s="549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510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510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3.0882000000000001</v>
      </c>
      <c r="AA172" s="544"/>
      <c r="AB172" s="544"/>
      <c r="AC172" s="544"/>
    </row>
    <row r="173" spans="1:68" x14ac:dyDescent="0.2">
      <c r="A173" s="551"/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2"/>
      <c r="P173" s="547" t="s">
        <v>71</v>
      </c>
      <c r="Q173" s="548"/>
      <c r="R173" s="548"/>
      <c r="S173" s="548"/>
      <c r="T173" s="548"/>
      <c r="U173" s="548"/>
      <c r="V173" s="549"/>
      <c r="W173" s="37" t="s">
        <v>69</v>
      </c>
      <c r="X173" s="543">
        <f>IFERROR(SUM(X162:X171),"0")</f>
        <v>1348.2</v>
      </c>
      <c r="Y173" s="543">
        <f>IFERROR(SUM(Y162:Y171),"0")</f>
        <v>1348.2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  <c r="N174" s="551"/>
      <c r="O174" s="551"/>
      <c r="P174" s="551"/>
      <c r="Q174" s="551"/>
      <c r="R174" s="551"/>
      <c r="S174" s="551"/>
      <c r="T174" s="551"/>
      <c r="U174" s="551"/>
      <c r="V174" s="551"/>
      <c r="W174" s="551"/>
      <c r="X174" s="551"/>
      <c r="Y174" s="551"/>
      <c r="Z174" s="551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6">
        <v>4680115886780</v>
      </c>
      <c r="E175" s="557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6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6">
        <v>4680115886742</v>
      </c>
      <c r="E176" s="557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6">
        <v>4680115886766</v>
      </c>
      <c r="E177" s="557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6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4"/>
      <c r="R177" s="554"/>
      <c r="S177" s="554"/>
      <c r="T177" s="555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0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47" t="s">
        <v>71</v>
      </c>
      <c r="Q178" s="548"/>
      <c r="R178" s="548"/>
      <c r="S178" s="548"/>
      <c r="T178" s="548"/>
      <c r="U178" s="548"/>
      <c r="V178" s="549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1"/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2"/>
      <c r="P179" s="547" t="s">
        <v>71</v>
      </c>
      <c r="Q179" s="548"/>
      <c r="R179" s="548"/>
      <c r="S179" s="548"/>
      <c r="T179" s="548"/>
      <c r="U179" s="548"/>
      <c r="V179" s="549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1"/>
      <c r="C180" s="551"/>
      <c r="D180" s="551"/>
      <c r="E180" s="551"/>
      <c r="F180" s="551"/>
      <c r="G180" s="551"/>
      <c r="H180" s="551"/>
      <c r="I180" s="551"/>
      <c r="J180" s="551"/>
      <c r="K180" s="551"/>
      <c r="L180" s="551"/>
      <c r="M180" s="551"/>
      <c r="N180" s="551"/>
      <c r="O180" s="551"/>
      <c r="P180" s="551"/>
      <c r="Q180" s="551"/>
      <c r="R180" s="551"/>
      <c r="S180" s="551"/>
      <c r="T180" s="551"/>
      <c r="U180" s="551"/>
      <c r="V180" s="551"/>
      <c r="W180" s="551"/>
      <c r="X180" s="551"/>
      <c r="Y180" s="551"/>
      <c r="Z180" s="551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6">
        <v>4680115886797</v>
      </c>
      <c r="E181" s="557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6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4"/>
      <c r="R181" s="554"/>
      <c r="S181" s="554"/>
      <c r="T181" s="555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0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47" t="s">
        <v>71</v>
      </c>
      <c r="Q182" s="548"/>
      <c r="R182" s="548"/>
      <c r="S182" s="548"/>
      <c r="T182" s="548"/>
      <c r="U182" s="548"/>
      <c r="V182" s="549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1"/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2"/>
      <c r="P183" s="547" t="s">
        <v>71</v>
      </c>
      <c r="Q183" s="548"/>
      <c r="R183" s="548"/>
      <c r="S183" s="548"/>
      <c r="T183" s="548"/>
      <c r="U183" s="548"/>
      <c r="V183" s="549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63" t="s">
        <v>301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6"/>
      <c r="AB184" s="536"/>
      <c r="AC184" s="536"/>
    </row>
    <row r="185" spans="1:68" ht="14.25" customHeight="1" x14ac:dyDescent="0.25">
      <c r="A185" s="558" t="s">
        <v>99</v>
      </c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1"/>
      <c r="S185" s="551"/>
      <c r="T185" s="551"/>
      <c r="U185" s="551"/>
      <c r="V185" s="551"/>
      <c r="W185" s="551"/>
      <c r="X185" s="551"/>
      <c r="Y185" s="551"/>
      <c r="Z185" s="551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6">
        <v>4680115881402</v>
      </c>
      <c r="E186" s="557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6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4"/>
      <c r="R186" s="554"/>
      <c r="S186" s="554"/>
      <c r="T186" s="555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6">
        <v>4680115881396</v>
      </c>
      <c r="E187" s="557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7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4"/>
      <c r="R187" s="554"/>
      <c r="S187" s="554"/>
      <c r="T187" s="555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0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47" t="s">
        <v>71</v>
      </c>
      <c r="Q188" s="548"/>
      <c r="R188" s="548"/>
      <c r="S188" s="548"/>
      <c r="T188" s="548"/>
      <c r="U188" s="548"/>
      <c r="V188" s="549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1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2"/>
      <c r="P189" s="547" t="s">
        <v>71</v>
      </c>
      <c r="Q189" s="548"/>
      <c r="R189" s="548"/>
      <c r="S189" s="548"/>
      <c r="T189" s="548"/>
      <c r="U189" s="548"/>
      <c r="V189" s="549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1"/>
      <c r="C190" s="551"/>
      <c r="D190" s="551"/>
      <c r="E190" s="551"/>
      <c r="F190" s="551"/>
      <c r="G190" s="551"/>
      <c r="H190" s="551"/>
      <c r="I190" s="551"/>
      <c r="J190" s="551"/>
      <c r="K190" s="551"/>
      <c r="L190" s="551"/>
      <c r="M190" s="551"/>
      <c r="N190" s="551"/>
      <c r="O190" s="551"/>
      <c r="P190" s="551"/>
      <c r="Q190" s="551"/>
      <c r="R190" s="551"/>
      <c r="S190" s="551"/>
      <c r="T190" s="551"/>
      <c r="U190" s="551"/>
      <c r="V190" s="551"/>
      <c r="W190" s="551"/>
      <c r="X190" s="551"/>
      <c r="Y190" s="551"/>
      <c r="Z190" s="551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6">
        <v>4680115882935</v>
      </c>
      <c r="E191" s="557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6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4"/>
      <c r="R191" s="554"/>
      <c r="S191" s="554"/>
      <c r="T191" s="555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6">
        <v>4680115880764</v>
      </c>
      <c r="E192" s="557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4"/>
      <c r="R192" s="554"/>
      <c r="S192" s="554"/>
      <c r="T192" s="555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0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47" t="s">
        <v>71</v>
      </c>
      <c r="Q193" s="548"/>
      <c r="R193" s="548"/>
      <c r="S193" s="548"/>
      <c r="T193" s="548"/>
      <c r="U193" s="548"/>
      <c r="V193" s="549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1"/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2"/>
      <c r="P194" s="547" t="s">
        <v>71</v>
      </c>
      <c r="Q194" s="548"/>
      <c r="R194" s="548"/>
      <c r="S194" s="548"/>
      <c r="T194" s="548"/>
      <c r="U194" s="548"/>
      <c r="V194" s="549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1"/>
      <c r="C195" s="551"/>
      <c r="D195" s="551"/>
      <c r="E195" s="551"/>
      <c r="F195" s="551"/>
      <c r="G195" s="551"/>
      <c r="H195" s="551"/>
      <c r="I195" s="551"/>
      <c r="J195" s="551"/>
      <c r="K195" s="551"/>
      <c r="L195" s="551"/>
      <c r="M195" s="551"/>
      <c r="N195" s="551"/>
      <c r="O195" s="551"/>
      <c r="P195" s="551"/>
      <c r="Q195" s="551"/>
      <c r="R195" s="551"/>
      <c r="S195" s="551"/>
      <c r="T195" s="551"/>
      <c r="U195" s="551"/>
      <c r="V195" s="551"/>
      <c r="W195" s="551"/>
      <c r="X195" s="551"/>
      <c r="Y195" s="551"/>
      <c r="Z195" s="551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6">
        <v>4680115882683</v>
      </c>
      <c r="E196" s="557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6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4"/>
      <c r="R196" s="554"/>
      <c r="S196" s="554"/>
      <c r="T196" s="555"/>
      <c r="U196" s="34"/>
      <c r="V196" s="34"/>
      <c r="W196" s="35" t="s">
        <v>69</v>
      </c>
      <c r="X196" s="541">
        <v>518.4</v>
      </c>
      <c r="Y196" s="542">
        <f t="shared" ref="Y196:Y203" si="10">IFERROR(IF(X196="",0,CEILING((X196/$H196),1)*$H196),"")</f>
        <v>518.40000000000009</v>
      </c>
      <c r="Z196" s="36">
        <f>IFERROR(IF(Y196=0,"",ROUNDUP(Y196/H196,0)*0.00902),"")</f>
        <v>0.86592000000000002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536.63999999999987</v>
      </c>
      <c r="BN196" s="64">
        <f t="shared" ref="BN196:BN203" si="12">IFERROR(Y196*I196/H196,"0")</f>
        <v>536.64</v>
      </c>
      <c r="BO196" s="64">
        <f t="shared" ref="BO196:BO203" si="13">IFERROR(1/J196*(X196/H196),"0")</f>
        <v>0.72727272727272718</v>
      </c>
      <c r="BP196" s="64">
        <f t="shared" ref="BP196:BP203" si="14">IFERROR(1/J196*(Y196/H196),"0")</f>
        <v>0.7272727272727274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6">
        <v>4680115882690</v>
      </c>
      <c r="E197" s="557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4"/>
      <c r="R197" s="554"/>
      <c r="S197" s="554"/>
      <c r="T197" s="555"/>
      <c r="U197" s="34"/>
      <c r="V197" s="34"/>
      <c r="W197" s="35" t="s">
        <v>69</v>
      </c>
      <c r="X197" s="541">
        <v>194.4</v>
      </c>
      <c r="Y197" s="542">
        <f t="shared" si="10"/>
        <v>194.4</v>
      </c>
      <c r="Z197" s="36">
        <f>IFERROR(IF(Y197=0,"",ROUNDUP(Y197/H197,0)*0.00902),"")</f>
        <v>0.32472000000000001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201.23999999999998</v>
      </c>
      <c r="BN197" s="64">
        <f t="shared" si="12"/>
        <v>201.23999999999998</v>
      </c>
      <c r="BO197" s="64">
        <f t="shared" si="13"/>
        <v>0.27272727272727271</v>
      </c>
      <c r="BP197" s="64">
        <f t="shared" si="14"/>
        <v>0.27272727272727271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6">
        <v>4680115882669</v>
      </c>
      <c r="E198" s="557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6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1">
        <v>324</v>
      </c>
      <c r="Y198" s="542">
        <f t="shared" si="10"/>
        <v>324</v>
      </c>
      <c r="Z198" s="36">
        <f>IFERROR(IF(Y198=0,"",ROUNDUP(Y198/H198,0)*0.00902),"")</f>
        <v>0.54120000000000001</v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335.4</v>
      </c>
      <c r="BN198" s="64">
        <f t="shared" si="12"/>
        <v>335.4</v>
      </c>
      <c r="BO198" s="64">
        <f t="shared" si="13"/>
        <v>0.45454545454545453</v>
      </c>
      <c r="BP198" s="64">
        <f t="shared" si="14"/>
        <v>0.45454545454545453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6">
        <v>4680115882676</v>
      </c>
      <c r="E199" s="557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5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1">
        <v>194.4</v>
      </c>
      <c r="Y199" s="542">
        <f t="shared" si="10"/>
        <v>194.4</v>
      </c>
      <c r="Z199" s="36">
        <f>IFERROR(IF(Y199=0,"",ROUNDUP(Y199/H199,0)*0.00902),"")</f>
        <v>0.32472000000000001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201.23999999999998</v>
      </c>
      <c r="BN199" s="64">
        <f t="shared" si="12"/>
        <v>201.23999999999998</v>
      </c>
      <c r="BO199" s="64">
        <f t="shared" si="13"/>
        <v>0.27272727272727271</v>
      </c>
      <c r="BP199" s="64">
        <f t="shared" si="14"/>
        <v>0.27272727272727271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6">
        <v>4680115884014</v>
      </c>
      <c r="E200" s="557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58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4"/>
      <c r="R200" s="554"/>
      <c r="S200" s="554"/>
      <c r="T200" s="555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6">
        <v>4680115884007</v>
      </c>
      <c r="E201" s="557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6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4"/>
      <c r="R201" s="554"/>
      <c r="S201" s="554"/>
      <c r="T201" s="555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6">
        <v>4680115884038</v>
      </c>
      <c r="E202" s="557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4"/>
      <c r="R202" s="554"/>
      <c r="S202" s="554"/>
      <c r="T202" s="555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6">
        <v>4680115884021</v>
      </c>
      <c r="E203" s="557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0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47" t="s">
        <v>71</v>
      </c>
      <c r="Q204" s="548"/>
      <c r="R204" s="548"/>
      <c r="S204" s="548"/>
      <c r="T204" s="548"/>
      <c r="U204" s="548"/>
      <c r="V204" s="549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228</v>
      </c>
      <c r="Y204" s="543">
        <f>IFERROR(Y196/H196,"0")+IFERROR(Y197/H197,"0")+IFERROR(Y198/H198,"0")+IFERROR(Y199/H199,"0")+IFERROR(Y200/H200,"0")+IFERROR(Y201/H201,"0")+IFERROR(Y202/H202,"0")+IFERROR(Y203/H203,"0")</f>
        <v>228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2.0565600000000002</v>
      </c>
      <c r="AA204" s="544"/>
      <c r="AB204" s="544"/>
      <c r="AC204" s="544"/>
    </row>
    <row r="205" spans="1:68" x14ac:dyDescent="0.2">
      <c r="A205" s="551"/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2"/>
      <c r="P205" s="547" t="s">
        <v>71</v>
      </c>
      <c r="Q205" s="548"/>
      <c r="R205" s="548"/>
      <c r="S205" s="548"/>
      <c r="T205" s="548"/>
      <c r="U205" s="548"/>
      <c r="V205" s="549"/>
      <c r="W205" s="37" t="s">
        <v>69</v>
      </c>
      <c r="X205" s="543">
        <f>IFERROR(SUM(X196:X203),"0")</f>
        <v>1231.2</v>
      </c>
      <c r="Y205" s="543">
        <f>IFERROR(SUM(Y196:Y203),"0")</f>
        <v>1231.2000000000003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1"/>
      <c r="C206" s="551"/>
      <c r="D206" s="551"/>
      <c r="E206" s="551"/>
      <c r="F206" s="551"/>
      <c r="G206" s="551"/>
      <c r="H206" s="551"/>
      <c r="I206" s="551"/>
      <c r="J206" s="551"/>
      <c r="K206" s="551"/>
      <c r="L206" s="551"/>
      <c r="M206" s="551"/>
      <c r="N206" s="551"/>
      <c r="O206" s="551"/>
      <c r="P206" s="551"/>
      <c r="Q206" s="551"/>
      <c r="R206" s="551"/>
      <c r="S206" s="551"/>
      <c r="T206" s="551"/>
      <c r="U206" s="551"/>
      <c r="V206" s="551"/>
      <c r="W206" s="551"/>
      <c r="X206" s="551"/>
      <c r="Y206" s="551"/>
      <c r="Z206" s="551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6">
        <v>4680115881594</v>
      </c>
      <c r="E207" s="557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6">
        <v>4680115881617</v>
      </c>
      <c r="E208" s="557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4"/>
      <c r="R208" s="554"/>
      <c r="S208" s="554"/>
      <c r="T208" s="555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6">
        <v>4680115880573</v>
      </c>
      <c r="E209" s="557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8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1">
        <v>904.8</v>
      </c>
      <c r="Y209" s="542">
        <f t="shared" si="15"/>
        <v>904.8</v>
      </c>
      <c r="Z209" s="36">
        <f>IFERROR(IF(Y209=0,"",ROUNDUP(Y209/H209,0)*0.01898),"")</f>
        <v>1.9739200000000001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956.17600000000004</v>
      </c>
      <c r="BN209" s="64">
        <f t="shared" si="17"/>
        <v>956.17600000000004</v>
      </c>
      <c r="BO209" s="64">
        <f t="shared" si="18"/>
        <v>1.625</v>
      </c>
      <c r="BP209" s="64">
        <f t="shared" si="19"/>
        <v>1.625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6">
        <v>4680115882195</v>
      </c>
      <c r="E210" s="557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1">
        <v>172.8</v>
      </c>
      <c r="Y210" s="542">
        <f t="shared" si="15"/>
        <v>172.79999999999998</v>
      </c>
      <c r="Z210" s="36">
        <f t="shared" ref="Z210:Z215" si="20">IFERROR(IF(Y210=0,"",ROUNDUP(Y210/H210,0)*0.00651),"")</f>
        <v>0.46872000000000003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192.24</v>
      </c>
      <c r="BN210" s="64">
        <f t="shared" si="17"/>
        <v>192.23999999999998</v>
      </c>
      <c r="BO210" s="64">
        <f t="shared" si="18"/>
        <v>0.3956043956043957</v>
      </c>
      <c r="BP210" s="64">
        <f t="shared" si="19"/>
        <v>0.39560439560439564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6">
        <v>4680115882607</v>
      </c>
      <c r="E211" s="557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6">
        <v>4680115880092</v>
      </c>
      <c r="E212" s="557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6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4"/>
      <c r="R212" s="554"/>
      <c r="S212" s="554"/>
      <c r="T212" s="555"/>
      <c r="U212" s="34"/>
      <c r="V212" s="34"/>
      <c r="W212" s="35" t="s">
        <v>69</v>
      </c>
      <c r="X212" s="541">
        <v>201.6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222.768</v>
      </c>
      <c r="BN212" s="64">
        <f t="shared" si="17"/>
        <v>222.768</v>
      </c>
      <c r="BO212" s="64">
        <f t="shared" si="18"/>
        <v>0.46153846153846156</v>
      </c>
      <c r="BP212" s="64">
        <f t="shared" si="19"/>
        <v>0.46153846153846156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6">
        <v>4680115880221</v>
      </c>
      <c r="E213" s="557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8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4"/>
      <c r="R213" s="554"/>
      <c r="S213" s="554"/>
      <c r="T213" s="555"/>
      <c r="U213" s="34"/>
      <c r="V213" s="34"/>
      <c r="W213" s="35" t="s">
        <v>69</v>
      </c>
      <c r="X213" s="541">
        <v>288</v>
      </c>
      <c r="Y213" s="542">
        <f t="shared" si="15"/>
        <v>288</v>
      </c>
      <c r="Z213" s="36">
        <f t="shared" si="20"/>
        <v>0.78120000000000001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318.24000000000007</v>
      </c>
      <c r="BN213" s="64">
        <f t="shared" si="17"/>
        <v>318.24000000000007</v>
      </c>
      <c r="BO213" s="64">
        <f t="shared" si="18"/>
        <v>0.65934065934065944</v>
      </c>
      <c r="BP213" s="64">
        <f t="shared" si="19"/>
        <v>0.65934065934065944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6">
        <v>4680115880504</v>
      </c>
      <c r="E214" s="557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6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4"/>
      <c r="R214" s="554"/>
      <c r="S214" s="554"/>
      <c r="T214" s="555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6">
        <v>4680115882164</v>
      </c>
      <c r="E215" s="557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1">
        <v>172.8</v>
      </c>
      <c r="Y215" s="542">
        <f t="shared" si="15"/>
        <v>172.79999999999998</v>
      </c>
      <c r="Z215" s="36">
        <f t="shared" si="20"/>
        <v>0.46872000000000003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191.37600000000003</v>
      </c>
      <c r="BN215" s="64">
        <f t="shared" si="17"/>
        <v>191.37599999999998</v>
      </c>
      <c r="BO215" s="64">
        <f t="shared" si="18"/>
        <v>0.3956043956043957</v>
      </c>
      <c r="BP215" s="64">
        <f t="shared" si="19"/>
        <v>0.39560439560439564</v>
      </c>
    </row>
    <row r="216" spans="1:68" x14ac:dyDescent="0.2">
      <c r="A216" s="550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47" t="s">
        <v>71</v>
      </c>
      <c r="Q216" s="548"/>
      <c r="R216" s="548"/>
      <c r="S216" s="548"/>
      <c r="T216" s="548"/>
      <c r="U216" s="548"/>
      <c r="V216" s="549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452</v>
      </c>
      <c r="Y216" s="543">
        <f>IFERROR(Y207/H207,"0")+IFERROR(Y208/H208,"0")+IFERROR(Y209/H209,"0")+IFERROR(Y210/H210,"0")+IFERROR(Y211/H211,"0")+IFERROR(Y212/H212,"0")+IFERROR(Y213/H213,"0")+IFERROR(Y214/H214,"0")+IFERROR(Y215/H215,"0")</f>
        <v>452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4.2393999999999998</v>
      </c>
      <c r="AA216" s="544"/>
      <c r="AB216" s="544"/>
      <c r="AC216" s="544"/>
    </row>
    <row r="217" spans="1:68" x14ac:dyDescent="0.2">
      <c r="A217" s="551"/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2"/>
      <c r="P217" s="547" t="s">
        <v>71</v>
      </c>
      <c r="Q217" s="548"/>
      <c r="R217" s="548"/>
      <c r="S217" s="548"/>
      <c r="T217" s="548"/>
      <c r="U217" s="548"/>
      <c r="V217" s="549"/>
      <c r="W217" s="37" t="s">
        <v>69</v>
      </c>
      <c r="X217" s="543">
        <f>IFERROR(SUM(X207:X215),"0")</f>
        <v>1739.9999999999998</v>
      </c>
      <c r="Y217" s="543">
        <f>IFERROR(SUM(Y207:Y215),"0")</f>
        <v>1739.9999999999998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1"/>
      <c r="C218" s="551"/>
      <c r="D218" s="551"/>
      <c r="E218" s="551"/>
      <c r="F218" s="551"/>
      <c r="G218" s="551"/>
      <c r="H218" s="551"/>
      <c r="I218" s="551"/>
      <c r="J218" s="551"/>
      <c r="K218" s="551"/>
      <c r="L218" s="551"/>
      <c r="M218" s="551"/>
      <c r="N218" s="551"/>
      <c r="O218" s="551"/>
      <c r="P218" s="551"/>
      <c r="Q218" s="551"/>
      <c r="R218" s="551"/>
      <c r="S218" s="551"/>
      <c r="T218" s="551"/>
      <c r="U218" s="551"/>
      <c r="V218" s="551"/>
      <c r="W218" s="551"/>
      <c r="X218" s="551"/>
      <c r="Y218" s="551"/>
      <c r="Z218" s="551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6">
        <v>4680115880818</v>
      </c>
      <c r="E219" s="557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6">
        <v>4680115880801</v>
      </c>
      <c r="E220" s="557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8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0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47" t="s">
        <v>71</v>
      </c>
      <c r="Q221" s="548"/>
      <c r="R221" s="548"/>
      <c r="S221" s="548"/>
      <c r="T221" s="548"/>
      <c r="U221" s="548"/>
      <c r="V221" s="549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1"/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2"/>
      <c r="P222" s="547" t="s">
        <v>71</v>
      </c>
      <c r="Q222" s="548"/>
      <c r="R222" s="548"/>
      <c r="S222" s="548"/>
      <c r="T222" s="548"/>
      <c r="U222" s="548"/>
      <c r="V222" s="549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63" t="s">
        <v>361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6"/>
      <c r="AB223" s="536"/>
      <c r="AC223" s="536"/>
    </row>
    <row r="224" spans="1:68" ht="14.25" customHeight="1" x14ac:dyDescent="0.25">
      <c r="A224" s="558" t="s">
        <v>99</v>
      </c>
      <c r="B224" s="551"/>
      <c r="C224" s="551"/>
      <c r="D224" s="551"/>
      <c r="E224" s="551"/>
      <c r="F224" s="551"/>
      <c r="G224" s="551"/>
      <c r="H224" s="551"/>
      <c r="I224" s="551"/>
      <c r="J224" s="551"/>
      <c r="K224" s="551"/>
      <c r="L224" s="551"/>
      <c r="M224" s="551"/>
      <c r="N224" s="551"/>
      <c r="O224" s="551"/>
      <c r="P224" s="551"/>
      <c r="Q224" s="551"/>
      <c r="R224" s="551"/>
      <c r="S224" s="551"/>
      <c r="T224" s="551"/>
      <c r="U224" s="551"/>
      <c r="V224" s="551"/>
      <c r="W224" s="551"/>
      <c r="X224" s="551"/>
      <c r="Y224" s="551"/>
      <c r="Z224" s="551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6">
        <v>4680115884137</v>
      </c>
      <c r="E225" s="557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65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4"/>
      <c r="R225" s="554"/>
      <c r="S225" s="554"/>
      <c r="T225" s="555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6">
        <v>4680115884236</v>
      </c>
      <c r="E226" s="557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6">
        <v>4680115884175</v>
      </c>
      <c r="E227" s="557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6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6">
        <v>4680115884144</v>
      </c>
      <c r="E228" s="557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6">
        <v>4680115884144</v>
      </c>
      <c r="E229" s="557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4"/>
      <c r="R229" s="554"/>
      <c r="S229" s="554"/>
      <c r="T229" s="555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6">
        <v>4680115886551</v>
      </c>
      <c r="E230" s="557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4"/>
      <c r="R230" s="554"/>
      <c r="S230" s="554"/>
      <c r="T230" s="555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6">
        <v>4680115884182</v>
      </c>
      <c r="E231" s="557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86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4"/>
      <c r="R231" s="554"/>
      <c r="S231" s="554"/>
      <c r="T231" s="555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6">
        <v>4680115887282</v>
      </c>
      <c r="E232" s="557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0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6">
        <v>4680115884205</v>
      </c>
      <c r="E233" s="557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6">
        <v>4680115884205</v>
      </c>
      <c r="E234" s="557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82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0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47" t="s">
        <v>71</v>
      </c>
      <c r="Q235" s="548"/>
      <c r="R235" s="548"/>
      <c r="S235" s="548"/>
      <c r="T235" s="548"/>
      <c r="U235" s="548"/>
      <c r="V235" s="549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1"/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2"/>
      <c r="P236" s="547" t="s">
        <v>71</v>
      </c>
      <c r="Q236" s="548"/>
      <c r="R236" s="548"/>
      <c r="S236" s="548"/>
      <c r="T236" s="548"/>
      <c r="U236" s="548"/>
      <c r="V236" s="549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1"/>
      <c r="C237" s="551"/>
      <c r="D237" s="551"/>
      <c r="E237" s="551"/>
      <c r="F237" s="551"/>
      <c r="G237" s="551"/>
      <c r="H237" s="551"/>
      <c r="I237" s="551"/>
      <c r="J237" s="551"/>
      <c r="K237" s="551"/>
      <c r="L237" s="551"/>
      <c r="M237" s="551"/>
      <c r="N237" s="551"/>
      <c r="O237" s="551"/>
      <c r="P237" s="551"/>
      <c r="Q237" s="551"/>
      <c r="R237" s="551"/>
      <c r="S237" s="551"/>
      <c r="T237" s="551"/>
      <c r="U237" s="551"/>
      <c r="V237" s="551"/>
      <c r="W237" s="551"/>
      <c r="X237" s="551"/>
      <c r="Y237" s="551"/>
      <c r="Z237" s="551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6">
        <v>4680115885981</v>
      </c>
      <c r="E238" s="557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0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47" t="s">
        <v>71</v>
      </c>
      <c r="Q239" s="548"/>
      <c r="R239" s="548"/>
      <c r="S239" s="548"/>
      <c r="T239" s="548"/>
      <c r="U239" s="548"/>
      <c r="V239" s="549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1"/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2"/>
      <c r="P240" s="547" t="s">
        <v>71</v>
      </c>
      <c r="Q240" s="548"/>
      <c r="R240" s="548"/>
      <c r="S240" s="548"/>
      <c r="T240" s="548"/>
      <c r="U240" s="548"/>
      <c r="V240" s="549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1"/>
      <c r="C241" s="551"/>
      <c r="D241" s="551"/>
      <c r="E241" s="551"/>
      <c r="F241" s="551"/>
      <c r="G241" s="551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1"/>
      <c r="S241" s="551"/>
      <c r="T241" s="551"/>
      <c r="U241" s="551"/>
      <c r="V241" s="551"/>
      <c r="W241" s="551"/>
      <c r="X241" s="551"/>
      <c r="Y241" s="551"/>
      <c r="Z241" s="551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6">
        <v>4680115886803</v>
      </c>
      <c r="E242" s="557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8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4"/>
      <c r="R242" s="554"/>
      <c r="S242" s="554"/>
      <c r="T242" s="555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0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47" t="s">
        <v>71</v>
      </c>
      <c r="Q243" s="548"/>
      <c r="R243" s="548"/>
      <c r="S243" s="548"/>
      <c r="T243" s="548"/>
      <c r="U243" s="548"/>
      <c r="V243" s="549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1"/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2"/>
      <c r="P244" s="547" t="s">
        <v>71</v>
      </c>
      <c r="Q244" s="548"/>
      <c r="R244" s="548"/>
      <c r="S244" s="548"/>
      <c r="T244" s="548"/>
      <c r="U244" s="548"/>
      <c r="V244" s="549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1"/>
      <c r="C245" s="551"/>
      <c r="D245" s="551"/>
      <c r="E245" s="551"/>
      <c r="F245" s="551"/>
      <c r="G245" s="551"/>
      <c r="H245" s="551"/>
      <c r="I245" s="551"/>
      <c r="J245" s="551"/>
      <c r="K245" s="551"/>
      <c r="L245" s="551"/>
      <c r="M245" s="551"/>
      <c r="N245" s="551"/>
      <c r="O245" s="551"/>
      <c r="P245" s="551"/>
      <c r="Q245" s="551"/>
      <c r="R245" s="551"/>
      <c r="S245" s="551"/>
      <c r="T245" s="551"/>
      <c r="U245" s="551"/>
      <c r="V245" s="551"/>
      <c r="W245" s="551"/>
      <c r="X245" s="551"/>
      <c r="Y245" s="551"/>
      <c r="Z245" s="551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6">
        <v>4680115886704</v>
      </c>
      <c r="E246" s="557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7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4"/>
      <c r="R246" s="554"/>
      <c r="S246" s="554"/>
      <c r="T246" s="555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6">
        <v>4680115886681</v>
      </c>
      <c r="E247" s="557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4"/>
      <c r="R247" s="554"/>
      <c r="S247" s="554"/>
      <c r="T247" s="555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6">
        <v>4680115886735</v>
      </c>
      <c r="E248" s="557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6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6">
        <v>4680115886728</v>
      </c>
      <c r="E249" s="557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8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6">
        <v>4680115886711</v>
      </c>
      <c r="E250" s="557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4"/>
      <c r="R250" s="554"/>
      <c r="S250" s="554"/>
      <c r="T250" s="555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0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47" t="s">
        <v>71</v>
      </c>
      <c r="Q251" s="548"/>
      <c r="R251" s="548"/>
      <c r="S251" s="548"/>
      <c r="T251" s="548"/>
      <c r="U251" s="548"/>
      <c r="V251" s="549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1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2"/>
      <c r="P252" s="547" t="s">
        <v>71</v>
      </c>
      <c r="Q252" s="548"/>
      <c r="R252" s="548"/>
      <c r="S252" s="548"/>
      <c r="T252" s="548"/>
      <c r="U252" s="548"/>
      <c r="V252" s="549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63" t="s">
        <v>403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6"/>
      <c r="AB253" s="536"/>
      <c r="AC253" s="536"/>
    </row>
    <row r="254" spans="1:68" ht="14.25" customHeight="1" x14ac:dyDescent="0.25">
      <c r="A254" s="558" t="s">
        <v>99</v>
      </c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1"/>
      <c r="M254" s="551"/>
      <c r="N254" s="551"/>
      <c r="O254" s="551"/>
      <c r="P254" s="551"/>
      <c r="Q254" s="551"/>
      <c r="R254" s="551"/>
      <c r="S254" s="551"/>
      <c r="T254" s="551"/>
      <c r="U254" s="551"/>
      <c r="V254" s="551"/>
      <c r="W254" s="551"/>
      <c r="X254" s="551"/>
      <c r="Y254" s="551"/>
      <c r="Z254" s="551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6">
        <v>4680115885837</v>
      </c>
      <c r="E255" s="557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7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6">
        <v>4680115885851</v>
      </c>
      <c r="E256" s="557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6">
        <v>4680115885806</v>
      </c>
      <c r="E257" s="557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6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6">
        <v>4680115885844</v>
      </c>
      <c r="E258" s="557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4"/>
      <c r="R258" s="554"/>
      <c r="S258" s="554"/>
      <c r="T258" s="555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6">
        <v>4680115885820</v>
      </c>
      <c r="E259" s="557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7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4"/>
      <c r="R259" s="554"/>
      <c r="S259" s="554"/>
      <c r="T259" s="555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0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47" t="s">
        <v>71</v>
      </c>
      <c r="Q260" s="548"/>
      <c r="R260" s="548"/>
      <c r="S260" s="548"/>
      <c r="T260" s="548"/>
      <c r="U260" s="548"/>
      <c r="V260" s="549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1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2"/>
      <c r="P261" s="547" t="s">
        <v>71</v>
      </c>
      <c r="Q261" s="548"/>
      <c r="R261" s="548"/>
      <c r="S261" s="548"/>
      <c r="T261" s="548"/>
      <c r="U261" s="548"/>
      <c r="V261" s="549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63" t="s">
        <v>419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6"/>
      <c r="AB262" s="536"/>
      <c r="AC262" s="536"/>
    </row>
    <row r="263" spans="1:68" ht="14.25" customHeight="1" x14ac:dyDescent="0.25">
      <c r="A263" s="558" t="s">
        <v>99</v>
      </c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1"/>
      <c r="M263" s="551"/>
      <c r="N263" s="551"/>
      <c r="O263" s="551"/>
      <c r="P263" s="551"/>
      <c r="Q263" s="551"/>
      <c r="R263" s="551"/>
      <c r="S263" s="551"/>
      <c r="T263" s="551"/>
      <c r="U263" s="551"/>
      <c r="V263" s="551"/>
      <c r="W263" s="551"/>
      <c r="X263" s="551"/>
      <c r="Y263" s="551"/>
      <c r="Z263" s="551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6">
        <v>4607091383423</v>
      </c>
      <c r="E264" s="557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4"/>
      <c r="R264" s="554"/>
      <c r="S264" s="554"/>
      <c r="T264" s="555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6">
        <v>4680115886957</v>
      </c>
      <c r="E265" s="557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8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6">
        <v>4680115885660</v>
      </c>
      <c r="E266" s="557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6">
        <v>4680115886773</v>
      </c>
      <c r="E267" s="557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3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4"/>
      <c r="R267" s="554"/>
      <c r="S267" s="554"/>
      <c r="T267" s="555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0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47" t="s">
        <v>71</v>
      </c>
      <c r="Q268" s="548"/>
      <c r="R268" s="548"/>
      <c r="S268" s="548"/>
      <c r="T268" s="548"/>
      <c r="U268" s="548"/>
      <c r="V268" s="549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1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2"/>
      <c r="P269" s="547" t="s">
        <v>71</v>
      </c>
      <c r="Q269" s="548"/>
      <c r="R269" s="548"/>
      <c r="S269" s="548"/>
      <c r="T269" s="548"/>
      <c r="U269" s="548"/>
      <c r="V269" s="549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63" t="s">
        <v>430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6"/>
      <c r="AB270" s="536"/>
      <c r="AC270" s="536"/>
    </row>
    <row r="271" spans="1:68" ht="14.25" customHeight="1" x14ac:dyDescent="0.25">
      <c r="A271" s="558" t="s">
        <v>73</v>
      </c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1"/>
      <c r="M271" s="551"/>
      <c r="N271" s="551"/>
      <c r="O271" s="551"/>
      <c r="P271" s="551"/>
      <c r="Q271" s="551"/>
      <c r="R271" s="551"/>
      <c r="S271" s="551"/>
      <c r="T271" s="551"/>
      <c r="U271" s="551"/>
      <c r="V271" s="551"/>
      <c r="W271" s="551"/>
      <c r="X271" s="551"/>
      <c r="Y271" s="551"/>
      <c r="Z271" s="551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6">
        <v>4680115886186</v>
      </c>
      <c r="E272" s="557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8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6">
        <v>4680115881228</v>
      </c>
      <c r="E273" s="557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7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1">
        <v>172.8</v>
      </c>
      <c r="Y273" s="542">
        <f>IFERROR(IF(X273="",0,CEILING((X273/$H273),1)*$H273),"")</f>
        <v>172.79999999999998</v>
      </c>
      <c r="Z273" s="36">
        <f>IFERROR(IF(Y273=0,"",ROUNDUP(Y273/H273,0)*0.00651),"")</f>
        <v>0.46872000000000003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190.94400000000005</v>
      </c>
      <c r="BN273" s="64">
        <f>IFERROR(Y273*I273/H273,"0")</f>
        <v>190.94400000000002</v>
      </c>
      <c r="BO273" s="64">
        <f>IFERROR(1/J273*(X273/H273),"0")</f>
        <v>0.3956043956043957</v>
      </c>
      <c r="BP273" s="64">
        <f>IFERROR(1/J273*(Y273/H273),"0")</f>
        <v>0.39560439560439564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6">
        <v>4680115881211</v>
      </c>
      <c r="E274" s="557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6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4"/>
      <c r="R274" s="554"/>
      <c r="S274" s="554"/>
      <c r="T274" s="555"/>
      <c r="U274" s="34"/>
      <c r="V274" s="34"/>
      <c r="W274" s="35" t="s">
        <v>69</v>
      </c>
      <c r="X274" s="541">
        <v>172.8</v>
      </c>
      <c r="Y274" s="542">
        <f>IFERROR(IF(X274="",0,CEILING((X274/$H274),1)*$H274),"")</f>
        <v>172.79999999999998</v>
      </c>
      <c r="Z274" s="36">
        <f>IFERROR(IF(Y274=0,"",ROUNDUP(Y274/H274,0)*0.00651),"")</f>
        <v>0.46872000000000003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185.76000000000005</v>
      </c>
      <c r="BN274" s="64">
        <f>IFERROR(Y274*I274/H274,"0")</f>
        <v>185.76</v>
      </c>
      <c r="BO274" s="64">
        <f>IFERROR(1/J274*(X274/H274),"0")</f>
        <v>0.3956043956043957</v>
      </c>
      <c r="BP274" s="64">
        <f>IFERROR(1/J274*(Y274/H274),"0")</f>
        <v>0.39560439560439564</v>
      </c>
    </row>
    <row r="275" spans="1:68" x14ac:dyDescent="0.2">
      <c r="A275" s="550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47" t="s">
        <v>71</v>
      </c>
      <c r="Q275" s="548"/>
      <c r="R275" s="548"/>
      <c r="S275" s="548"/>
      <c r="T275" s="548"/>
      <c r="U275" s="548"/>
      <c r="V275" s="549"/>
      <c r="W275" s="37" t="s">
        <v>72</v>
      </c>
      <c r="X275" s="543">
        <f>IFERROR(X272/H272,"0")+IFERROR(X273/H273,"0")+IFERROR(X274/H274,"0")</f>
        <v>144.00000000000003</v>
      </c>
      <c r="Y275" s="543">
        <f>IFERROR(Y272/H272,"0")+IFERROR(Y273/H273,"0")+IFERROR(Y274/H274,"0")</f>
        <v>144</v>
      </c>
      <c r="Z275" s="543">
        <f>IFERROR(IF(Z272="",0,Z272),"0")+IFERROR(IF(Z273="",0,Z273),"0")+IFERROR(IF(Z274="",0,Z274),"0")</f>
        <v>0.93744000000000005</v>
      </c>
      <c r="AA275" s="544"/>
      <c r="AB275" s="544"/>
      <c r="AC275" s="544"/>
    </row>
    <row r="276" spans="1:68" x14ac:dyDescent="0.2">
      <c r="A276" s="551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2"/>
      <c r="P276" s="547" t="s">
        <v>71</v>
      </c>
      <c r="Q276" s="548"/>
      <c r="R276" s="548"/>
      <c r="S276" s="548"/>
      <c r="T276" s="548"/>
      <c r="U276" s="548"/>
      <c r="V276" s="549"/>
      <c r="W276" s="37" t="s">
        <v>69</v>
      </c>
      <c r="X276" s="543">
        <f>IFERROR(SUM(X272:X274),"0")</f>
        <v>345.6</v>
      </c>
      <c r="Y276" s="543">
        <f>IFERROR(SUM(Y272:Y274),"0")</f>
        <v>345.59999999999997</v>
      </c>
      <c r="Z276" s="37"/>
      <c r="AA276" s="544"/>
      <c r="AB276" s="544"/>
      <c r="AC276" s="544"/>
    </row>
    <row r="277" spans="1:68" ht="16.5" customHeight="1" x14ac:dyDescent="0.25">
      <c r="A277" s="563" t="s">
        <v>439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6"/>
      <c r="AB277" s="536"/>
      <c r="AC277" s="536"/>
    </row>
    <row r="278" spans="1:68" ht="14.25" customHeight="1" x14ac:dyDescent="0.25">
      <c r="A278" s="558" t="s">
        <v>64</v>
      </c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1"/>
      <c r="M278" s="551"/>
      <c r="N278" s="551"/>
      <c r="O278" s="551"/>
      <c r="P278" s="551"/>
      <c r="Q278" s="551"/>
      <c r="R278" s="551"/>
      <c r="S278" s="551"/>
      <c r="T278" s="551"/>
      <c r="U278" s="551"/>
      <c r="V278" s="551"/>
      <c r="W278" s="551"/>
      <c r="X278" s="551"/>
      <c r="Y278" s="551"/>
      <c r="Z278" s="551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6">
        <v>4680115880344</v>
      </c>
      <c r="E279" s="557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4"/>
      <c r="R279" s="554"/>
      <c r="S279" s="554"/>
      <c r="T279" s="555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6">
        <v>4680115886919</v>
      </c>
      <c r="E280" s="557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6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0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47" t="s">
        <v>71</v>
      </c>
      <c r="Q281" s="548"/>
      <c r="R281" s="548"/>
      <c r="S281" s="548"/>
      <c r="T281" s="548"/>
      <c r="U281" s="548"/>
      <c r="V281" s="549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1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2"/>
      <c r="P282" s="547" t="s">
        <v>71</v>
      </c>
      <c r="Q282" s="548"/>
      <c r="R282" s="548"/>
      <c r="S282" s="548"/>
      <c r="T282" s="548"/>
      <c r="U282" s="548"/>
      <c r="V282" s="549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1"/>
      <c r="M283" s="551"/>
      <c r="N283" s="551"/>
      <c r="O283" s="551"/>
      <c r="P283" s="551"/>
      <c r="Q283" s="551"/>
      <c r="R283" s="551"/>
      <c r="S283" s="551"/>
      <c r="T283" s="551"/>
      <c r="U283" s="551"/>
      <c r="V283" s="551"/>
      <c r="W283" s="551"/>
      <c r="X283" s="551"/>
      <c r="Y283" s="551"/>
      <c r="Z283" s="551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6">
        <v>4680115887114</v>
      </c>
      <c r="E284" s="557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780" t="s">
        <v>448</v>
      </c>
      <c r="Q284" s="554"/>
      <c r="R284" s="554"/>
      <c r="S284" s="554"/>
      <c r="T284" s="555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6">
        <v>4680115884618</v>
      </c>
      <c r="E285" s="557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4"/>
      <c r="R285" s="554"/>
      <c r="S285" s="554"/>
      <c r="T285" s="555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0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2"/>
      <c r="P286" s="547" t="s">
        <v>71</v>
      </c>
      <c r="Q286" s="548"/>
      <c r="R286" s="548"/>
      <c r="S286" s="548"/>
      <c r="T286" s="548"/>
      <c r="U286" s="548"/>
      <c r="V286" s="549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1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2"/>
      <c r="P287" s="547" t="s">
        <v>71</v>
      </c>
      <c r="Q287" s="548"/>
      <c r="R287" s="548"/>
      <c r="S287" s="548"/>
      <c r="T287" s="548"/>
      <c r="U287" s="548"/>
      <c r="V287" s="549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63" t="s">
        <v>453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6"/>
      <c r="AB288" s="536"/>
      <c r="AC288" s="536"/>
    </row>
    <row r="289" spans="1:68" ht="14.25" customHeight="1" x14ac:dyDescent="0.25">
      <c r="A289" s="558" t="s">
        <v>99</v>
      </c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1"/>
      <c r="M289" s="551"/>
      <c r="N289" s="551"/>
      <c r="O289" s="551"/>
      <c r="P289" s="551"/>
      <c r="Q289" s="551"/>
      <c r="R289" s="551"/>
      <c r="S289" s="551"/>
      <c r="T289" s="551"/>
      <c r="U289" s="551"/>
      <c r="V289" s="551"/>
      <c r="W289" s="551"/>
      <c r="X289" s="551"/>
      <c r="Y289" s="551"/>
      <c r="Z289" s="551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56">
        <v>4680115885615</v>
      </c>
      <c r="E290" s="557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84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56">
        <v>4680115885646</v>
      </c>
      <c r="E291" s="557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56">
        <v>4680115885554</v>
      </c>
      <c r="E292" s="557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56">
        <v>4680115885622</v>
      </c>
      <c r="E293" s="557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5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4"/>
      <c r="R293" s="554"/>
      <c r="S293" s="554"/>
      <c r="T293" s="555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56">
        <v>4680115885608</v>
      </c>
      <c r="E294" s="557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5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4"/>
      <c r="R294" s="554"/>
      <c r="S294" s="554"/>
      <c r="T294" s="555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0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2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56">
        <v>4607091387193</v>
      </c>
      <c r="E298" s="557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62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4"/>
      <c r="R298" s="554"/>
      <c r="S298" s="554"/>
      <c r="T298" s="555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56">
        <v>4607091387230</v>
      </c>
      <c r="E299" s="557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4"/>
      <c r="R299" s="554"/>
      <c r="S299" s="554"/>
      <c r="T299" s="555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56">
        <v>4607091387292</v>
      </c>
      <c r="E300" s="557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4"/>
      <c r="R300" s="554"/>
      <c r="S300" s="554"/>
      <c r="T300" s="555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56">
        <v>4607091387285</v>
      </c>
      <c r="E301" s="557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4"/>
      <c r="R301" s="554"/>
      <c r="S301" s="554"/>
      <c r="T301" s="555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56">
        <v>4607091389845</v>
      </c>
      <c r="E302" s="557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4"/>
      <c r="R302" s="554"/>
      <c r="S302" s="554"/>
      <c r="T302" s="555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56">
        <v>4680115882881</v>
      </c>
      <c r="E303" s="557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4"/>
      <c r="R303" s="554"/>
      <c r="S303" s="554"/>
      <c r="T303" s="555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56">
        <v>4607091383836</v>
      </c>
      <c r="E304" s="557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0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4"/>
      <c r="R304" s="554"/>
      <c r="S304" s="554"/>
      <c r="T304" s="555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0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2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56">
        <v>4607091387766</v>
      </c>
      <c r="E308" s="557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8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4"/>
      <c r="R308" s="554"/>
      <c r="S308" s="554"/>
      <c r="T308" s="555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56">
        <v>4607091387957</v>
      </c>
      <c r="E309" s="557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8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56">
        <v>4607091387964</v>
      </c>
      <c r="E310" s="557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56">
        <v>4680115884588</v>
      </c>
      <c r="E311" s="557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4"/>
      <c r="R311" s="554"/>
      <c r="S311" s="554"/>
      <c r="T311" s="555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56">
        <v>4607091380880</v>
      </c>
      <c r="E315" s="557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4"/>
      <c r="R315" s="554"/>
      <c r="S315" s="554"/>
      <c r="T315" s="555"/>
      <c r="U315" s="34"/>
      <c r="V315" s="34"/>
      <c r="W315" s="35" t="s">
        <v>69</v>
      </c>
      <c r="X315" s="541">
        <v>201.6</v>
      </c>
      <c r="Y315" s="542">
        <f>IFERROR(IF(X315="",0,CEILING((X315/$H315),1)*$H315),"")</f>
        <v>201.60000000000002</v>
      </c>
      <c r="Z315" s="36">
        <f>IFERROR(IF(Y315=0,"",ROUNDUP(Y315/H315,0)*0.01898),"")</f>
        <v>0.45552000000000004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213.45599999999999</v>
      </c>
      <c r="BN315" s="64">
        <f>IFERROR(Y315*I315/H315,"0")</f>
        <v>213.45600000000002</v>
      </c>
      <c r="BO315" s="64">
        <f>IFERROR(1/J315*(X315/H315),"0")</f>
        <v>0.375</v>
      </c>
      <c r="BP315" s="64">
        <f>IFERROR(1/J315*(Y315/H315),"0")</f>
        <v>0.375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56">
        <v>4607091384482</v>
      </c>
      <c r="E316" s="557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4"/>
      <c r="R316" s="554"/>
      <c r="S316" s="554"/>
      <c r="T316" s="555"/>
      <c r="U316" s="34"/>
      <c r="V316" s="34"/>
      <c r="W316" s="35" t="s">
        <v>69</v>
      </c>
      <c r="X316" s="541">
        <v>187.2</v>
      </c>
      <c r="Y316" s="542">
        <f>IFERROR(IF(X316="",0,CEILING((X316/$H316),1)*$H316),"")</f>
        <v>187.2</v>
      </c>
      <c r="Z316" s="36">
        <f>IFERROR(IF(Y316=0,"",ROUNDUP(Y316/H316,0)*0.01898),"")</f>
        <v>0.45552000000000004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199.05600000000001</v>
      </c>
      <c r="BN316" s="64">
        <f>IFERROR(Y316*I316/H316,"0")</f>
        <v>199.05600000000001</v>
      </c>
      <c r="BO316" s="64">
        <f>IFERROR(1/J316*(X316/H316),"0")</f>
        <v>0.375</v>
      </c>
      <c r="BP316" s="64">
        <f>IFERROR(1/J316*(Y316/H316),"0")</f>
        <v>0.375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56">
        <v>4607091380897</v>
      </c>
      <c r="E317" s="557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60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1">
        <v>67.2</v>
      </c>
      <c r="Y317" s="542">
        <f>IFERROR(IF(X317="",0,CEILING((X317/$H317),1)*$H317),"")</f>
        <v>67.2</v>
      </c>
      <c r="Z317" s="36">
        <f>IFERROR(IF(Y317=0,"",ROUNDUP(Y317/H317,0)*0.01898),"")</f>
        <v>0.15184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71.152000000000001</v>
      </c>
      <c r="BN317" s="64">
        <f>IFERROR(Y317*I317/H317,"0")</f>
        <v>71.152000000000001</v>
      </c>
      <c r="BO317" s="64">
        <f>IFERROR(1/J317*(X317/H317),"0")</f>
        <v>0.125</v>
      </c>
      <c r="BP317" s="64">
        <f>IFERROR(1/J317*(Y317/H317),"0")</f>
        <v>0.125</v>
      </c>
    </row>
    <row r="318" spans="1:68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56</v>
      </c>
      <c r="Y318" s="543">
        <f>IFERROR(Y315/H315,"0")+IFERROR(Y316/H316,"0")+IFERROR(Y317/H317,"0")</f>
        <v>56</v>
      </c>
      <c r="Z318" s="543">
        <f>IFERROR(IF(Z315="",0,Z315),"0")+IFERROR(IF(Z316="",0,Z316),"0")+IFERROR(IF(Z317="",0,Z317),"0")</f>
        <v>1.06288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455.99999999999994</v>
      </c>
      <c r="Y319" s="543">
        <f>IFERROR(SUM(Y315:Y317),"0")</f>
        <v>456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56">
        <v>4607091388381</v>
      </c>
      <c r="E321" s="557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4"/>
      <c r="R321" s="554"/>
      <c r="S321" s="554"/>
      <c r="T321" s="555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56">
        <v>4607091388374</v>
      </c>
      <c r="E322" s="557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866" t="s">
        <v>513</v>
      </c>
      <c r="Q322" s="554"/>
      <c r="R322" s="554"/>
      <c r="S322" s="554"/>
      <c r="T322" s="555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56">
        <v>4607091383102</v>
      </c>
      <c r="E323" s="557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4"/>
      <c r="R323" s="554"/>
      <c r="S323" s="554"/>
      <c r="T323" s="555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56">
        <v>4607091388404</v>
      </c>
      <c r="E324" s="557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4"/>
      <c r="R324" s="554"/>
      <c r="S324" s="554"/>
      <c r="T324" s="555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56">
        <v>4680115881808</v>
      </c>
      <c r="E328" s="557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8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4"/>
      <c r="R328" s="554"/>
      <c r="S328" s="554"/>
      <c r="T328" s="555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56">
        <v>4680115881822</v>
      </c>
      <c r="E329" s="557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4"/>
      <c r="R329" s="554"/>
      <c r="S329" s="554"/>
      <c r="T329" s="555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56">
        <v>4680115880016</v>
      </c>
      <c r="E330" s="557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0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63" t="s">
        <v>528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customHeight="1" x14ac:dyDescent="0.25">
      <c r="A334" s="558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56">
        <v>4607091387919</v>
      </c>
      <c r="E335" s="557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6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4"/>
      <c r="R335" s="554"/>
      <c r="S335" s="554"/>
      <c r="T335" s="555"/>
      <c r="U335" s="34"/>
      <c r="V335" s="34"/>
      <c r="W335" s="35" t="s">
        <v>69</v>
      </c>
      <c r="X335" s="541">
        <v>129.6</v>
      </c>
      <c r="Y335" s="542">
        <f>IFERROR(IF(X335="",0,CEILING((X335/$H335),1)*$H335),"")</f>
        <v>129.6</v>
      </c>
      <c r="Z335" s="36">
        <f>IFERROR(IF(Y335=0,"",ROUNDUP(Y335/H335,0)*0.01898),"")</f>
        <v>0.30368000000000001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137.50399999999999</v>
      </c>
      <c r="BN335" s="64">
        <f>IFERROR(Y335*I335/H335,"0")</f>
        <v>137.50399999999999</v>
      </c>
      <c r="BO335" s="64">
        <f>IFERROR(1/J335*(X335/H335),"0")</f>
        <v>0.25</v>
      </c>
      <c r="BP335" s="64">
        <f>IFERROR(1/J335*(Y335/H335),"0")</f>
        <v>0.25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56">
        <v>4680115883604</v>
      </c>
      <c r="E336" s="557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4"/>
      <c r="R336" s="554"/>
      <c r="S336" s="554"/>
      <c r="T336" s="555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56">
        <v>4680115883567</v>
      </c>
      <c r="E337" s="557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4"/>
      <c r="R337" s="554"/>
      <c r="S337" s="554"/>
      <c r="T337" s="555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16</v>
      </c>
      <c r="Y338" s="543">
        <f>IFERROR(Y335/H335,"0")+IFERROR(Y336/H336,"0")+IFERROR(Y337/H337,"0")</f>
        <v>16</v>
      </c>
      <c r="Z338" s="543">
        <f>IFERROR(IF(Z335="",0,Z335),"0")+IFERROR(IF(Z336="",0,Z336),"0")+IFERROR(IF(Z337="",0,Z337),"0")</f>
        <v>0.30368000000000001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129.6</v>
      </c>
      <c r="Y339" s="543">
        <f>IFERROR(SUM(Y335:Y337),"0")</f>
        <v>129.6</v>
      </c>
      <c r="Z339" s="37"/>
      <c r="AA339" s="544"/>
      <c r="AB339" s="544"/>
      <c r="AC339" s="544"/>
    </row>
    <row r="340" spans="1:68" ht="27.75" customHeight="1" x14ac:dyDescent="0.2">
      <c r="A340" s="644" t="s">
        <v>538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customHeight="1" x14ac:dyDescent="0.25">
      <c r="A341" s="563" t="s">
        <v>539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customHeight="1" x14ac:dyDescent="0.25">
      <c r="A342" s="558" t="s">
        <v>99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56">
        <v>4680115884847</v>
      </c>
      <c r="E343" s="557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4"/>
      <c r="R343" s="554"/>
      <c r="S343" s="554"/>
      <c r="T343" s="555"/>
      <c r="U343" s="34"/>
      <c r="V343" s="34"/>
      <c r="W343" s="35" t="s">
        <v>69</v>
      </c>
      <c r="X343" s="541">
        <v>600</v>
      </c>
      <c r="Y343" s="542">
        <f t="shared" ref="Y343:Y349" si="31">IFERROR(IF(X343="",0,CEILING((X343/$H343),1)*$H343),"")</f>
        <v>600</v>
      </c>
      <c r="Z343" s="36">
        <f>IFERROR(IF(Y343=0,"",ROUNDUP(Y343/H343,0)*0.02175),"")</f>
        <v>0.86999999999999988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618.79999999999995</v>
      </c>
      <c r="BN343" s="64">
        <f t="shared" ref="BN343:BN349" si="33">IFERROR(Y343*I343/H343,"0")</f>
        <v>618.79999999999995</v>
      </c>
      <c r="BO343" s="64">
        <f t="shared" ref="BO343:BO349" si="34">IFERROR(1/J343*(X343/H343),"0")</f>
        <v>0.83333333333333326</v>
      </c>
      <c r="BP343" s="64">
        <f t="shared" ref="BP343:BP349" si="35">IFERROR(1/J343*(Y343/H343),"0")</f>
        <v>0.83333333333333326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56">
        <v>4680115884854</v>
      </c>
      <c r="E344" s="557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6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4"/>
      <c r="R344" s="554"/>
      <c r="S344" s="554"/>
      <c r="T344" s="555"/>
      <c r="U344" s="34"/>
      <c r="V344" s="34"/>
      <c r="W344" s="35" t="s">
        <v>69</v>
      </c>
      <c r="X344" s="541">
        <v>480</v>
      </c>
      <c r="Y344" s="542">
        <f t="shared" si="31"/>
        <v>480</v>
      </c>
      <c r="Z344" s="36">
        <f>IFERROR(IF(Y344=0,"",ROUNDUP(Y344/H344,0)*0.02175),"")</f>
        <v>0.69599999999999995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495.04</v>
      </c>
      <c r="BN344" s="64">
        <f t="shared" si="33"/>
        <v>495.04</v>
      </c>
      <c r="BO344" s="64">
        <f t="shared" si="34"/>
        <v>0.66666666666666663</v>
      </c>
      <c r="BP344" s="64">
        <f t="shared" si="35"/>
        <v>0.66666666666666663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56">
        <v>4680115884830</v>
      </c>
      <c r="E345" s="557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6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4"/>
      <c r="R345" s="554"/>
      <c r="S345" s="554"/>
      <c r="T345" s="555"/>
      <c r="U345" s="34"/>
      <c r="V345" s="34"/>
      <c r="W345" s="35" t="s">
        <v>69</v>
      </c>
      <c r="X345" s="541">
        <v>540</v>
      </c>
      <c r="Y345" s="542">
        <f t="shared" si="31"/>
        <v>540</v>
      </c>
      <c r="Z345" s="36">
        <f>IFERROR(IF(Y345=0,"",ROUNDUP(Y345/H345,0)*0.02175),"")</f>
        <v>0.78299999999999992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556.92000000000007</v>
      </c>
      <c r="BN345" s="64">
        <f t="shared" si="33"/>
        <v>556.92000000000007</v>
      </c>
      <c r="BO345" s="64">
        <f t="shared" si="34"/>
        <v>0.75</v>
      </c>
      <c r="BP345" s="64">
        <f t="shared" si="35"/>
        <v>0.75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56">
        <v>4680115887046</v>
      </c>
      <c r="E346" s="557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696" t="s">
        <v>551</v>
      </c>
      <c r="Q346" s="554"/>
      <c r="R346" s="554"/>
      <c r="S346" s="554"/>
      <c r="T346" s="555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56">
        <v>4680115882638</v>
      </c>
      <c r="E347" s="557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62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4"/>
      <c r="R347" s="554"/>
      <c r="S347" s="554"/>
      <c r="T347" s="555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56">
        <v>4680115884922</v>
      </c>
      <c r="E348" s="557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5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4"/>
      <c r="R348" s="554"/>
      <c r="S348" s="554"/>
      <c r="T348" s="555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56">
        <v>4680115884861</v>
      </c>
      <c r="E349" s="557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6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108</v>
      </c>
      <c r="Y350" s="543">
        <f>IFERROR(Y343/H343,"0")+IFERROR(Y344/H344,"0")+IFERROR(Y345/H345,"0")+IFERROR(Y346/H346,"0")+IFERROR(Y347/H347,"0")+IFERROR(Y348/H348,"0")+IFERROR(Y349/H349,"0")</f>
        <v>108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2.3489999999999998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1620</v>
      </c>
      <c r="Y351" s="543">
        <f>IFERROR(SUM(Y343:Y349),"0")</f>
        <v>1620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56">
        <v>4607091383980</v>
      </c>
      <c r="E353" s="557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4"/>
      <c r="R353" s="554"/>
      <c r="S353" s="554"/>
      <c r="T353" s="555"/>
      <c r="U353" s="34"/>
      <c r="V353" s="34"/>
      <c r="W353" s="35" t="s">
        <v>69</v>
      </c>
      <c r="X353" s="541">
        <v>480</v>
      </c>
      <c r="Y353" s="542">
        <f>IFERROR(IF(X353="",0,CEILING((X353/$H353),1)*$H353),"")</f>
        <v>480</v>
      </c>
      <c r="Z353" s="36">
        <f>IFERROR(IF(Y353=0,"",ROUNDUP(Y353/H353,0)*0.02175),"")</f>
        <v>0.69599999999999995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495.04</v>
      </c>
      <c r="BN353" s="64">
        <f>IFERROR(Y353*I353/H353,"0")</f>
        <v>495.04</v>
      </c>
      <c r="BO353" s="64">
        <f>IFERROR(1/J353*(X353/H353),"0")</f>
        <v>0.66666666666666663</v>
      </c>
      <c r="BP353" s="64">
        <f>IFERROR(1/J353*(Y353/H353),"0")</f>
        <v>0.66666666666666663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56">
        <v>4607091384178</v>
      </c>
      <c r="E354" s="557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6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4"/>
      <c r="R354" s="554"/>
      <c r="S354" s="554"/>
      <c r="T354" s="555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32</v>
      </c>
      <c r="Y355" s="543">
        <f>IFERROR(Y353/H353,"0")+IFERROR(Y354/H354,"0")</f>
        <v>32</v>
      </c>
      <c r="Z355" s="543">
        <f>IFERROR(IF(Z353="",0,Z353),"0")+IFERROR(IF(Z354="",0,Z354),"0")</f>
        <v>0.69599999999999995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480</v>
      </c>
      <c r="Y356" s="543">
        <f>IFERROR(SUM(Y353:Y354),"0")</f>
        <v>480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56">
        <v>4607091383928</v>
      </c>
      <c r="E358" s="557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7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4"/>
      <c r="R358" s="554"/>
      <c r="S358" s="554"/>
      <c r="T358" s="555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56">
        <v>4607091384260</v>
      </c>
      <c r="E359" s="557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6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4"/>
      <c r="R359" s="554"/>
      <c r="S359" s="554"/>
      <c r="T359" s="555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56">
        <v>4607091384673</v>
      </c>
      <c r="E363" s="557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55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4"/>
      <c r="R363" s="554"/>
      <c r="S363" s="554"/>
      <c r="T363" s="555"/>
      <c r="U363" s="34"/>
      <c r="V363" s="34"/>
      <c r="W363" s="35" t="s">
        <v>69</v>
      </c>
      <c r="X363" s="541">
        <v>144</v>
      </c>
      <c r="Y363" s="542">
        <f>IFERROR(IF(X363="",0,CEILING((X363/$H363),1)*$H363),"")</f>
        <v>144</v>
      </c>
      <c r="Z363" s="36">
        <f>IFERROR(IF(Y363=0,"",ROUNDUP(Y363/H363,0)*0.01898),"")</f>
        <v>0.30368000000000001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151.904</v>
      </c>
      <c r="BN363" s="64">
        <f>IFERROR(Y363*I363/H363,"0")</f>
        <v>151.904</v>
      </c>
      <c r="BO363" s="64">
        <f>IFERROR(1/J363*(X363/H363),"0")</f>
        <v>0.25</v>
      </c>
      <c r="BP363" s="64">
        <f>IFERROR(1/J363*(Y363/H363),"0")</f>
        <v>0.25</v>
      </c>
    </row>
    <row r="364" spans="1:68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16</v>
      </c>
      <c r="Y364" s="543">
        <f>IFERROR(Y363/H363,"0")</f>
        <v>16</v>
      </c>
      <c r="Z364" s="543">
        <f>IFERROR(IF(Z363="",0,Z363),"0")</f>
        <v>0.30368000000000001</v>
      </c>
      <c r="AA364" s="544"/>
      <c r="AB364" s="544"/>
      <c r="AC364" s="544"/>
    </row>
    <row r="365" spans="1:68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144</v>
      </c>
      <c r="Y365" s="543">
        <f>IFERROR(SUM(Y363:Y363),"0")</f>
        <v>144</v>
      </c>
      <c r="Z365" s="37"/>
      <c r="AA365" s="544"/>
      <c r="AB365" s="544"/>
      <c r="AC365" s="544"/>
    </row>
    <row r="366" spans="1:68" ht="16.5" customHeight="1" x14ac:dyDescent="0.25">
      <c r="A366" s="563" t="s">
        <v>574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customHeight="1" x14ac:dyDescent="0.25">
      <c r="A367" s="558" t="s">
        <v>99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56">
        <v>4680115884885</v>
      </c>
      <c r="E368" s="557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5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4"/>
      <c r="R368" s="554"/>
      <c r="S368" s="554"/>
      <c r="T368" s="555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56">
        <v>4680115884908</v>
      </c>
      <c r="E369" s="557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6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56">
        <v>4607091384802</v>
      </c>
      <c r="E373" s="557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55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4"/>
      <c r="R373" s="554"/>
      <c r="S373" s="554"/>
      <c r="T373" s="555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56">
        <v>4607091384802</v>
      </c>
      <c r="E374" s="557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56">
        <v>4607091384246</v>
      </c>
      <c r="E378" s="557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7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4"/>
      <c r="R378" s="554"/>
      <c r="S378" s="554"/>
      <c r="T378" s="555"/>
      <c r="U378" s="34"/>
      <c r="V378" s="34"/>
      <c r="W378" s="35" t="s">
        <v>69</v>
      </c>
      <c r="X378" s="541">
        <v>432</v>
      </c>
      <c r="Y378" s="542">
        <f>IFERROR(IF(X378="",0,CEILING((X378/$H378),1)*$H378),"")</f>
        <v>432</v>
      </c>
      <c r="Z378" s="36">
        <f>IFERROR(IF(Y378=0,"",ROUNDUP(Y378/H378,0)*0.01898),"")</f>
        <v>0.91104000000000007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455.71199999999993</v>
      </c>
      <c r="BN378" s="64">
        <f>IFERROR(Y378*I378/H378,"0")</f>
        <v>455.71199999999993</v>
      </c>
      <c r="BO378" s="64">
        <f>IFERROR(1/J378*(X378/H378),"0")</f>
        <v>0.75</v>
      </c>
      <c r="BP378" s="64">
        <f>IFERROR(1/J378*(Y378/H378),"0")</f>
        <v>0.75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56">
        <v>4607091384253</v>
      </c>
      <c r="E379" s="557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8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1">
        <v>86.4</v>
      </c>
      <c r="Y379" s="542">
        <f>IFERROR(IF(X379="",0,CEILING((X379/$H379),1)*$H379),"")</f>
        <v>86.399999999999991</v>
      </c>
      <c r="Z379" s="36">
        <f>IFERROR(IF(Y379=0,"",ROUNDUP(Y379/H379,0)*0.00651),"")</f>
        <v>0.23436000000000001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95.904000000000011</v>
      </c>
      <c r="BN379" s="64">
        <f>IFERROR(Y379*I379/H379,"0")</f>
        <v>95.904000000000011</v>
      </c>
      <c r="BO379" s="64">
        <f>IFERROR(1/J379*(X379/H379),"0")</f>
        <v>0.19780219780219785</v>
      </c>
      <c r="BP379" s="64">
        <f>IFERROR(1/J379*(Y379/H379),"0")</f>
        <v>0.19780219780219782</v>
      </c>
    </row>
    <row r="380" spans="1:68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84</v>
      </c>
      <c r="Y380" s="543">
        <f>IFERROR(Y378/H378,"0")+IFERROR(Y379/H379,"0")</f>
        <v>84</v>
      </c>
      <c r="Z380" s="543">
        <f>IFERROR(IF(Z378="",0,Z378),"0")+IFERROR(IF(Z379="",0,Z379),"0")</f>
        <v>1.1454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518.4</v>
      </c>
      <c r="Y381" s="543">
        <f>IFERROR(SUM(Y378:Y379),"0")</f>
        <v>518.4</v>
      </c>
      <c r="Z381" s="37"/>
      <c r="AA381" s="544"/>
      <c r="AB381" s="544"/>
      <c r="AC381" s="544"/>
    </row>
    <row r="382" spans="1:68" ht="27.75" customHeight="1" x14ac:dyDescent="0.2">
      <c r="A382" s="644" t="s">
        <v>590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customHeight="1" x14ac:dyDescent="0.25">
      <c r="A383" s="563" t="s">
        <v>591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customHeight="1" x14ac:dyDescent="0.25">
      <c r="A384" s="558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56">
        <v>4680115886100</v>
      </c>
      <c r="E385" s="557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4"/>
      <c r="R385" s="554"/>
      <c r="S385" s="554"/>
      <c r="T385" s="555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56">
        <v>4680115886117</v>
      </c>
      <c r="E386" s="557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84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4"/>
      <c r="R386" s="554"/>
      <c r="S386" s="554"/>
      <c r="T386" s="555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56">
        <v>4680115886124</v>
      </c>
      <c r="E387" s="557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4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4"/>
      <c r="R387" s="554"/>
      <c r="S387" s="554"/>
      <c r="T387" s="555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56">
        <v>4680115883147</v>
      </c>
      <c r="E388" s="557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0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4"/>
      <c r="R388" s="554"/>
      <c r="S388" s="554"/>
      <c r="T388" s="555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56">
        <v>4607091384338</v>
      </c>
      <c r="E389" s="557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4"/>
      <c r="R389" s="554"/>
      <c r="S389" s="554"/>
      <c r="T389" s="555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56">
        <v>4607091389524</v>
      </c>
      <c r="E390" s="557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4"/>
      <c r="R390" s="554"/>
      <c r="S390" s="554"/>
      <c r="T390" s="555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56">
        <v>4680115883161</v>
      </c>
      <c r="E391" s="557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4"/>
      <c r="R391" s="554"/>
      <c r="S391" s="554"/>
      <c r="T391" s="555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56">
        <v>4607091389531</v>
      </c>
      <c r="E392" s="557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4"/>
      <c r="R392" s="554"/>
      <c r="S392" s="554"/>
      <c r="T392" s="555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56">
        <v>4607091384345</v>
      </c>
      <c r="E393" s="557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4"/>
      <c r="R393" s="554"/>
      <c r="S393" s="554"/>
      <c r="T393" s="555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56">
        <v>4607091384352</v>
      </c>
      <c r="E397" s="557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8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56">
        <v>4607091389654</v>
      </c>
      <c r="E398" s="557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6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4"/>
      <c r="R398" s="554"/>
      <c r="S398" s="554"/>
      <c r="T398" s="555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63" t="s">
        <v>622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customHeight="1" x14ac:dyDescent="0.25">
      <c r="A402" s="558" t="s">
        <v>135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56">
        <v>4680115885240</v>
      </c>
      <c r="E403" s="557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4"/>
      <c r="R403" s="554"/>
      <c r="S403" s="554"/>
      <c r="T403" s="555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56">
        <v>4680115886094</v>
      </c>
      <c r="E407" s="557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8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4"/>
      <c r="R407" s="554"/>
      <c r="S407" s="554"/>
      <c r="T407" s="555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56">
        <v>4607091389425</v>
      </c>
      <c r="E408" s="557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59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4"/>
      <c r="R408" s="554"/>
      <c r="S408" s="554"/>
      <c r="T408" s="555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56">
        <v>4680115880771</v>
      </c>
      <c r="E409" s="557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4"/>
      <c r="R409" s="554"/>
      <c r="S409" s="554"/>
      <c r="T409" s="555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56">
        <v>4607091389500</v>
      </c>
      <c r="E410" s="557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4"/>
      <c r="R410" s="554"/>
      <c r="S410" s="554"/>
      <c r="T410" s="555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63" t="s">
        <v>637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customHeight="1" x14ac:dyDescent="0.25">
      <c r="A414" s="558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56">
        <v>4680115885110</v>
      </c>
      <c r="E415" s="557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4" t="s">
        <v>641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customHeight="1" x14ac:dyDescent="0.25">
      <c r="A419" s="563" t="s">
        <v>641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customHeight="1" x14ac:dyDescent="0.25">
      <c r="A420" s="558" t="s">
        <v>99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56">
        <v>4607091389067</v>
      </c>
      <c r="E421" s="557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5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4"/>
      <c r="R421" s="554"/>
      <c r="S421" s="554"/>
      <c r="T421" s="555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56">
        <v>4680115885271</v>
      </c>
      <c r="E422" s="557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7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4"/>
      <c r="R422" s="554"/>
      <c r="S422" s="554"/>
      <c r="T422" s="555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56">
        <v>4680115885226</v>
      </c>
      <c r="E423" s="557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7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4"/>
      <c r="R423" s="554"/>
      <c r="S423" s="554"/>
      <c r="T423" s="555"/>
      <c r="U423" s="34"/>
      <c r="V423" s="34"/>
      <c r="W423" s="35" t="s">
        <v>69</v>
      </c>
      <c r="X423" s="541">
        <v>591.36</v>
      </c>
      <c r="Y423" s="542">
        <f t="shared" si="42"/>
        <v>591.36</v>
      </c>
      <c r="Z423" s="36">
        <f t="shared" si="43"/>
        <v>1.33952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630.55999999999995</v>
      </c>
      <c r="BN423" s="64">
        <f t="shared" si="45"/>
        <v>630.55999999999995</v>
      </c>
      <c r="BO423" s="64">
        <f t="shared" si="46"/>
        <v>1.0769230769230771</v>
      </c>
      <c r="BP423" s="64">
        <f t="shared" si="47"/>
        <v>1.0769230769230771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56">
        <v>4607091383522</v>
      </c>
      <c r="E424" s="557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4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4"/>
      <c r="R424" s="554"/>
      <c r="S424" s="554"/>
      <c r="T424" s="555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56">
        <v>4680115884502</v>
      </c>
      <c r="E425" s="557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4"/>
      <c r="R425" s="554"/>
      <c r="S425" s="554"/>
      <c r="T425" s="555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56">
        <v>4607091389104</v>
      </c>
      <c r="E426" s="557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7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4"/>
      <c r="R426" s="554"/>
      <c r="S426" s="554"/>
      <c r="T426" s="555"/>
      <c r="U426" s="34"/>
      <c r="V426" s="34"/>
      <c r="W426" s="35" t="s">
        <v>69</v>
      </c>
      <c r="X426" s="541">
        <v>844.8</v>
      </c>
      <c r="Y426" s="542">
        <f t="shared" si="42"/>
        <v>844.80000000000007</v>
      </c>
      <c r="Z426" s="36">
        <f t="shared" si="43"/>
        <v>1.9136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900.79999999999984</v>
      </c>
      <c r="BN426" s="64">
        <f t="shared" si="45"/>
        <v>900.8</v>
      </c>
      <c r="BO426" s="64">
        <f t="shared" si="46"/>
        <v>1.5384615384615383</v>
      </c>
      <c r="BP426" s="64">
        <f t="shared" si="47"/>
        <v>1.5384615384615385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56">
        <v>4680115886391</v>
      </c>
      <c r="E427" s="557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81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4"/>
      <c r="R427" s="554"/>
      <c r="S427" s="554"/>
      <c r="T427" s="555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56">
        <v>4680115880603</v>
      </c>
      <c r="E428" s="557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7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4"/>
      <c r="R428" s="554"/>
      <c r="S428" s="554"/>
      <c r="T428" s="555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56">
        <v>4680115882782</v>
      </c>
      <c r="E429" s="557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7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4"/>
      <c r="R429" s="554"/>
      <c r="S429" s="554"/>
      <c r="T429" s="555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56">
        <v>4680115885479</v>
      </c>
      <c r="E430" s="557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6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4"/>
      <c r="R430" s="554"/>
      <c r="S430" s="554"/>
      <c r="T430" s="555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56">
        <v>4607091389982</v>
      </c>
      <c r="E431" s="557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7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272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272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3.25312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1436.1599999999999</v>
      </c>
      <c r="Y433" s="543">
        <f>IFERROR(SUM(Y421:Y431),"0")</f>
        <v>1436.16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56">
        <v>4607091388930</v>
      </c>
      <c r="E435" s="557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5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4"/>
      <c r="R435" s="554"/>
      <c r="S435" s="554"/>
      <c r="T435" s="555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56">
        <v>4680115886407</v>
      </c>
      <c r="E436" s="557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4"/>
      <c r="R436" s="554"/>
      <c r="S436" s="554"/>
      <c r="T436" s="555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56">
        <v>4680115880054</v>
      </c>
      <c r="E437" s="557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8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56">
        <v>4680115883116</v>
      </c>
      <c r="E441" s="557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6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4"/>
      <c r="R441" s="554"/>
      <c r="S441" s="554"/>
      <c r="T441" s="555"/>
      <c r="U441" s="34"/>
      <c r="V441" s="34"/>
      <c r="W441" s="35" t="s">
        <v>69</v>
      </c>
      <c r="X441" s="541">
        <v>337.92</v>
      </c>
      <c r="Y441" s="542">
        <f t="shared" ref="Y441:Y446" si="48">IFERROR(IF(X441="",0,CEILING((X441/$H441),1)*$H441),"")</f>
        <v>337.92</v>
      </c>
      <c r="Z441" s="36">
        <f>IFERROR(IF(Y441=0,"",ROUNDUP(Y441/H441,0)*0.01196),"")</f>
        <v>0.76544000000000001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360.32</v>
      </c>
      <c r="BN441" s="64">
        <f t="shared" ref="BN441:BN446" si="50">IFERROR(Y441*I441/H441,"0")</f>
        <v>360.32</v>
      </c>
      <c r="BO441" s="64">
        <f t="shared" ref="BO441:BO446" si="51">IFERROR(1/J441*(X441/H441),"0")</f>
        <v>0.61538461538461542</v>
      </c>
      <c r="BP441" s="64">
        <f t="shared" ref="BP441:BP446" si="52">IFERROR(1/J441*(Y441/H441),"0")</f>
        <v>0.61538461538461542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56">
        <v>4680115883093</v>
      </c>
      <c r="E442" s="557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6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4"/>
      <c r="R442" s="554"/>
      <c r="S442" s="554"/>
      <c r="T442" s="555"/>
      <c r="U442" s="34"/>
      <c r="V442" s="34"/>
      <c r="W442" s="35" t="s">
        <v>69</v>
      </c>
      <c r="X442" s="541">
        <v>168.96</v>
      </c>
      <c r="Y442" s="542">
        <f t="shared" si="48"/>
        <v>168.96</v>
      </c>
      <c r="Z442" s="36">
        <f>IFERROR(IF(Y442=0,"",ROUNDUP(Y442/H442,0)*0.01196),"")</f>
        <v>0.38272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180.16</v>
      </c>
      <c r="BN442" s="64">
        <f t="shared" si="50"/>
        <v>180.16</v>
      </c>
      <c r="BO442" s="64">
        <f t="shared" si="51"/>
        <v>0.30769230769230771</v>
      </c>
      <c r="BP442" s="64">
        <f t="shared" si="52"/>
        <v>0.30769230769230771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56">
        <v>4680115883109</v>
      </c>
      <c r="E443" s="557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83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4"/>
      <c r="R443" s="554"/>
      <c r="S443" s="554"/>
      <c r="T443" s="555"/>
      <c r="U443" s="34"/>
      <c r="V443" s="34"/>
      <c r="W443" s="35" t="s">
        <v>69</v>
      </c>
      <c r="X443" s="541">
        <v>253.44</v>
      </c>
      <c r="Y443" s="542">
        <f t="shared" si="48"/>
        <v>253.44</v>
      </c>
      <c r="Z443" s="36">
        <f>IFERROR(IF(Y443=0,"",ROUNDUP(Y443/H443,0)*0.01196),"")</f>
        <v>0.57408000000000003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270.23999999999995</v>
      </c>
      <c r="BN443" s="64">
        <f t="shared" si="50"/>
        <v>270.23999999999995</v>
      </c>
      <c r="BO443" s="64">
        <f t="shared" si="51"/>
        <v>0.46153846153846156</v>
      </c>
      <c r="BP443" s="64">
        <f t="shared" si="52"/>
        <v>0.46153846153846156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56">
        <v>4680115882072</v>
      </c>
      <c r="E444" s="557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5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4"/>
      <c r="R444" s="554"/>
      <c r="S444" s="554"/>
      <c r="T444" s="555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56">
        <v>4680115882102</v>
      </c>
      <c r="E445" s="557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4"/>
      <c r="R445" s="554"/>
      <c r="S445" s="554"/>
      <c r="T445" s="555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56">
        <v>4680115882096</v>
      </c>
      <c r="E446" s="557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4"/>
      <c r="R446" s="554"/>
      <c r="S446" s="554"/>
      <c r="T446" s="555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144</v>
      </c>
      <c r="Y447" s="543">
        <f>IFERROR(Y441/H441,"0")+IFERROR(Y442/H442,"0")+IFERROR(Y443/H443,"0")+IFERROR(Y444/H444,"0")+IFERROR(Y445/H445,"0")+IFERROR(Y446/H446,"0")</f>
        <v>144</v>
      </c>
      <c r="Z447" s="543">
        <f>IFERROR(IF(Z441="",0,Z441),"0")+IFERROR(IF(Z442="",0,Z442),"0")+IFERROR(IF(Z443="",0,Z443),"0")+IFERROR(IF(Z444="",0,Z444),"0")+IFERROR(IF(Z445="",0,Z445),"0")+IFERROR(IF(Z446="",0,Z446),"0")</f>
        <v>1.7222400000000002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760.31999999999994</v>
      </c>
      <c r="Y448" s="543">
        <f>IFERROR(SUM(Y441:Y446),"0")</f>
        <v>760.31999999999994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56">
        <v>4607091383409</v>
      </c>
      <c r="E450" s="557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5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56">
        <v>4607091383416</v>
      </c>
      <c r="E451" s="557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8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56">
        <v>4680115883536</v>
      </c>
      <c r="E452" s="557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4" t="s">
        <v>701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customHeight="1" x14ac:dyDescent="0.25">
      <c r="A456" s="563" t="s">
        <v>701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customHeight="1" x14ac:dyDescent="0.25">
      <c r="A457" s="558" t="s">
        <v>99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56">
        <v>4640242181011</v>
      </c>
      <c r="E458" s="557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83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4"/>
      <c r="R458" s="554"/>
      <c r="S458" s="554"/>
      <c r="T458" s="555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56">
        <v>4640242180441</v>
      </c>
      <c r="E459" s="557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68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4"/>
      <c r="R459" s="554"/>
      <c r="S459" s="554"/>
      <c r="T459" s="555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56">
        <v>4640242180564</v>
      </c>
      <c r="E460" s="557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4"/>
      <c r="R460" s="554"/>
      <c r="S460" s="554"/>
      <c r="T460" s="555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56">
        <v>4640242181189</v>
      </c>
      <c r="E461" s="557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4"/>
      <c r="R461" s="554"/>
      <c r="S461" s="554"/>
      <c r="T461" s="555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56">
        <v>4640242180519</v>
      </c>
      <c r="E465" s="557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4"/>
      <c r="R465" s="554"/>
      <c r="S465" s="554"/>
      <c r="T465" s="555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56">
        <v>4640242180526</v>
      </c>
      <c r="E466" s="557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8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4"/>
      <c r="R466" s="554"/>
      <c r="S466" s="554"/>
      <c r="T466" s="555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56">
        <v>4640242181363</v>
      </c>
      <c r="E467" s="557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76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56">
        <v>4640242180816</v>
      </c>
      <c r="E471" s="557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79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4"/>
      <c r="R471" s="554"/>
      <c r="S471" s="554"/>
      <c r="T471" s="555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56">
        <v>4640242180595</v>
      </c>
      <c r="E472" s="557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67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4"/>
      <c r="R472" s="554"/>
      <c r="S472" s="554"/>
      <c r="T472" s="555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56">
        <v>4640242180533</v>
      </c>
      <c r="E476" s="557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80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56">
        <v>4640242180120</v>
      </c>
      <c r="E480" s="557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7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56">
        <v>4640242180137</v>
      </c>
      <c r="E481" s="557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77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4"/>
      <c r="R481" s="554"/>
      <c r="S481" s="554"/>
      <c r="T481" s="555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63" t="s">
        <v>737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customHeight="1" x14ac:dyDescent="0.25">
      <c r="A485" s="558" t="s">
        <v>135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56">
        <v>4640242180090</v>
      </c>
      <c r="E486" s="557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61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4"/>
      <c r="R486" s="554"/>
      <c r="S486" s="554"/>
      <c r="T486" s="555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2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573"/>
      <c r="P489" s="586" t="s">
        <v>741</v>
      </c>
      <c r="Q489" s="587"/>
      <c r="R489" s="587"/>
      <c r="S489" s="587"/>
      <c r="T489" s="587"/>
      <c r="U489" s="587"/>
      <c r="V489" s="588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16172.279999999999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16172.28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573"/>
      <c r="P490" s="586" t="s">
        <v>742</v>
      </c>
      <c r="Q490" s="587"/>
      <c r="R490" s="587"/>
      <c r="S490" s="587"/>
      <c r="T490" s="587"/>
      <c r="U490" s="587"/>
      <c r="V490" s="588"/>
      <c r="W490" s="37" t="s">
        <v>69</v>
      </c>
      <c r="X490" s="543">
        <f>IFERROR(SUM(BM22:BM486),"0")</f>
        <v>17005.008000000002</v>
      </c>
      <c r="Y490" s="543">
        <f>IFERROR(SUM(BN22:BN486),"0")</f>
        <v>17005.008000000002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73"/>
      <c r="P491" s="586" t="s">
        <v>743</v>
      </c>
      <c r="Q491" s="587"/>
      <c r="R491" s="587"/>
      <c r="S491" s="587"/>
      <c r="T491" s="587"/>
      <c r="U491" s="587"/>
      <c r="V491" s="588"/>
      <c r="W491" s="37" t="s">
        <v>744</v>
      </c>
      <c r="X491" s="38">
        <f>ROUNDUP(SUM(BO22:BO486),0)</f>
        <v>28</v>
      </c>
      <c r="Y491" s="38">
        <f>ROUNDUP(SUM(BP22:BP486),0)</f>
        <v>28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573"/>
      <c r="P492" s="586" t="s">
        <v>745</v>
      </c>
      <c r="Q492" s="587"/>
      <c r="R492" s="587"/>
      <c r="S492" s="587"/>
      <c r="T492" s="587"/>
      <c r="U492" s="587"/>
      <c r="V492" s="588"/>
      <c r="W492" s="37" t="s">
        <v>69</v>
      </c>
      <c r="X492" s="543">
        <f>GrossWeightTotal+PalletQtyTotal*25</f>
        <v>17705.008000000002</v>
      </c>
      <c r="Y492" s="543">
        <f>GrossWeightTotalR+PalletQtyTotalR*25</f>
        <v>17705.008000000002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573"/>
      <c r="P493" s="586" t="s">
        <v>746</v>
      </c>
      <c r="Q493" s="587"/>
      <c r="R493" s="587"/>
      <c r="S493" s="587"/>
      <c r="T493" s="587"/>
      <c r="U493" s="587"/>
      <c r="V493" s="588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2714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2714</v>
      </c>
      <c r="Z493" s="37"/>
      <c r="AA493" s="544"/>
      <c r="AB493" s="544"/>
      <c r="AC493" s="544"/>
    </row>
    <row r="494" spans="1:68" ht="14.25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573"/>
      <c r="P494" s="586" t="s">
        <v>747</v>
      </c>
      <c r="Q494" s="587"/>
      <c r="R494" s="587"/>
      <c r="S494" s="587"/>
      <c r="T494" s="587"/>
      <c r="U494" s="587"/>
      <c r="V494" s="588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32.38532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45" t="s">
        <v>97</v>
      </c>
      <c r="D496" s="609"/>
      <c r="E496" s="609"/>
      <c r="F496" s="609"/>
      <c r="G496" s="609"/>
      <c r="H496" s="610"/>
      <c r="I496" s="545" t="s">
        <v>255</v>
      </c>
      <c r="J496" s="609"/>
      <c r="K496" s="609"/>
      <c r="L496" s="609"/>
      <c r="M496" s="609"/>
      <c r="N496" s="609"/>
      <c r="O496" s="609"/>
      <c r="P496" s="609"/>
      <c r="Q496" s="609"/>
      <c r="R496" s="610"/>
      <c r="S496" s="545" t="s">
        <v>538</v>
      </c>
      <c r="T496" s="610"/>
      <c r="U496" s="545" t="s">
        <v>590</v>
      </c>
      <c r="V496" s="609"/>
      <c r="W496" s="610"/>
      <c r="X496" s="538" t="s">
        <v>641</v>
      </c>
      <c r="Y496" s="545" t="s">
        <v>701</v>
      </c>
      <c r="Z496" s="610"/>
      <c r="AB496" s="52"/>
      <c r="AC496" s="52"/>
      <c r="AF496" s="539"/>
    </row>
    <row r="497" spans="1:32" ht="14.25" customHeight="1" thickTop="1" x14ac:dyDescent="0.2">
      <c r="A497" s="576" t="s">
        <v>750</v>
      </c>
      <c r="B497" s="545" t="s">
        <v>63</v>
      </c>
      <c r="C497" s="545" t="s">
        <v>98</v>
      </c>
      <c r="D497" s="545" t="s">
        <v>116</v>
      </c>
      <c r="E497" s="545" t="s">
        <v>170</v>
      </c>
      <c r="F497" s="545" t="s">
        <v>189</v>
      </c>
      <c r="G497" s="545" t="s">
        <v>220</v>
      </c>
      <c r="H497" s="545" t="s">
        <v>97</v>
      </c>
      <c r="I497" s="545" t="s">
        <v>256</v>
      </c>
      <c r="J497" s="545" t="s">
        <v>301</v>
      </c>
      <c r="K497" s="545" t="s">
        <v>361</v>
      </c>
      <c r="L497" s="545" t="s">
        <v>403</v>
      </c>
      <c r="M497" s="545" t="s">
        <v>419</v>
      </c>
      <c r="N497" s="539"/>
      <c r="O497" s="545" t="s">
        <v>430</v>
      </c>
      <c r="P497" s="545" t="s">
        <v>439</v>
      </c>
      <c r="Q497" s="545" t="s">
        <v>453</v>
      </c>
      <c r="R497" s="545" t="s">
        <v>528</v>
      </c>
      <c r="S497" s="545" t="s">
        <v>539</v>
      </c>
      <c r="T497" s="545" t="s">
        <v>574</v>
      </c>
      <c r="U497" s="545" t="s">
        <v>591</v>
      </c>
      <c r="V497" s="545" t="s">
        <v>622</v>
      </c>
      <c r="W497" s="545" t="s">
        <v>637</v>
      </c>
      <c r="X497" s="545" t="s">
        <v>641</v>
      </c>
      <c r="Y497" s="545" t="s">
        <v>701</v>
      </c>
      <c r="Z497" s="545" t="s">
        <v>737</v>
      </c>
      <c r="AB497" s="52"/>
      <c r="AC497" s="52"/>
      <c r="AF497" s="539"/>
    </row>
    <row r="498" spans="1:32" ht="13.5" customHeight="1" thickBot="1" x14ac:dyDescent="0.25">
      <c r="A498" s="577"/>
      <c r="B498" s="546"/>
      <c r="C498" s="546"/>
      <c r="D498" s="546"/>
      <c r="E498" s="546"/>
      <c r="F498" s="546"/>
      <c r="G498" s="546"/>
      <c r="H498" s="546"/>
      <c r="I498" s="546"/>
      <c r="J498" s="546"/>
      <c r="K498" s="546"/>
      <c r="L498" s="546"/>
      <c r="M498" s="546"/>
      <c r="N498" s="539"/>
      <c r="O498" s="546"/>
      <c r="P498" s="546"/>
      <c r="Q498" s="546"/>
      <c r="R498" s="546"/>
      <c r="S498" s="546"/>
      <c r="T498" s="546"/>
      <c r="U498" s="546"/>
      <c r="V498" s="546"/>
      <c r="W498" s="546"/>
      <c r="X498" s="546"/>
      <c r="Y498" s="546"/>
      <c r="Z498" s="54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1296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1934.4000000000003</v>
      </c>
      <c r="E499" s="46">
        <f>IFERROR(Y85*1,"0")+IFERROR(Y86*1,"0")+IFERROR(Y87*1,"0")+IFERROR(Y91*1,"0")+IFERROR(Y92*1,"0")+IFERROR(Y93*1,"0")+IFERROR(Y94*1,"0")</f>
        <v>1166.4000000000001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1566.0000000000002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1348.2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2971.2000000000003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345.59999999999997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456</v>
      </c>
      <c r="R499" s="46">
        <f>IFERROR(Y335*1,"0")+IFERROR(Y336*1,"0")+IFERROR(Y337*1,"0")</f>
        <v>129.6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2244</v>
      </c>
      <c r="T499" s="46">
        <f>IFERROR(Y368*1,"0")+IFERROR(Y369*1,"0")+IFERROR(Y373*1,"0")+IFERROR(Y374*1,"0")+IFERROR(Y378*1,"0")+IFERROR(Y379*1,"0")</f>
        <v>518.4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2196.48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D257:E257"/>
    <mergeCell ref="P483:V483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440:Z440"/>
    <mergeCell ref="A126:O127"/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