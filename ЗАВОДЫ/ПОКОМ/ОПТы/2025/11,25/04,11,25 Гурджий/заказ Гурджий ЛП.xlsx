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3EDFA088-A6B4-48E9-A30A-ADFAF343E0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Q500" i="1" s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82" i="1" l="1"/>
  <c r="Y31" i="1"/>
  <c r="Y494" i="1" s="1"/>
  <c r="Y43" i="1"/>
  <c r="Y58" i="1"/>
  <c r="Y64" i="1"/>
  <c r="Z77" i="1"/>
  <c r="BP73" i="1"/>
  <c r="BN73" i="1"/>
  <c r="Z73" i="1"/>
  <c r="Y77" i="1"/>
  <c r="BP81" i="1"/>
  <c r="BN81" i="1"/>
  <c r="Z81" i="1"/>
  <c r="Y83" i="1"/>
  <c r="E500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Z110" i="1" s="1"/>
  <c r="BP115" i="1"/>
  <c r="BN115" i="1"/>
  <c r="Z115" i="1"/>
  <c r="BP136" i="1"/>
  <c r="BN136" i="1"/>
  <c r="Z136" i="1"/>
  <c r="Z137" i="1" s="1"/>
  <c r="Y138" i="1"/>
  <c r="H500" i="1"/>
  <c r="Y144" i="1"/>
  <c r="BP141" i="1"/>
  <c r="BN141" i="1"/>
  <c r="Z141" i="1"/>
  <c r="Z144" i="1" s="1"/>
  <c r="BP149" i="1"/>
  <c r="BN149" i="1"/>
  <c r="Z149" i="1"/>
  <c r="Y151" i="1"/>
  <c r="BP164" i="1"/>
  <c r="BN164" i="1"/>
  <c r="Z164" i="1"/>
  <c r="Z172" i="1" s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Z204" i="1" s="1"/>
  <c r="BP209" i="1"/>
  <c r="BN209" i="1"/>
  <c r="Z209" i="1"/>
  <c r="BP213" i="1"/>
  <c r="BN213" i="1"/>
  <c r="Z213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0" i="1"/>
  <c r="Y260" i="1"/>
  <c r="BP265" i="1"/>
  <c r="BN265" i="1"/>
  <c r="Z265" i="1"/>
  <c r="Z268" i="1" s="1"/>
  <c r="Y269" i="1"/>
  <c r="BP274" i="1"/>
  <c r="BN274" i="1"/>
  <c r="Z274" i="1"/>
  <c r="Y276" i="1"/>
  <c r="P500" i="1"/>
  <c r="Y282" i="1"/>
  <c r="BP279" i="1"/>
  <c r="BN279" i="1"/>
  <c r="Z279" i="1"/>
  <c r="Z281" i="1" s="1"/>
  <c r="Y281" i="1"/>
  <c r="D500" i="1"/>
  <c r="H9" i="1"/>
  <c r="B500" i="1"/>
  <c r="X491" i="1"/>
  <c r="X492" i="1"/>
  <c r="X494" i="1"/>
  <c r="Y24" i="1"/>
  <c r="Z27" i="1"/>
  <c r="Z31" i="1" s="1"/>
  <c r="BN27" i="1"/>
  <c r="Y491" i="1" s="1"/>
  <c r="Z29" i="1"/>
  <c r="BN29" i="1"/>
  <c r="C500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2" i="1" s="1"/>
  <c r="Z68" i="1"/>
  <c r="BN68" i="1"/>
  <c r="Y69" i="1"/>
  <c r="Y78" i="1"/>
  <c r="BP75" i="1"/>
  <c r="BN75" i="1"/>
  <c r="Z75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Z216" i="1" s="1"/>
  <c r="BP211" i="1"/>
  <c r="BN211" i="1"/>
  <c r="Z211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Z313" i="1" s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Z412" i="1" s="1"/>
  <c r="Y413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Z483" i="1"/>
  <c r="U500" i="1"/>
  <c r="F500" i="1"/>
  <c r="Y104" i="1"/>
  <c r="G500" i="1"/>
  <c r="Y127" i="1"/>
  <c r="I500" i="1"/>
  <c r="Y161" i="1"/>
  <c r="J500" i="1"/>
  <c r="Y188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0" i="1"/>
  <c r="Y275" i="1"/>
  <c r="BP272" i="1"/>
  <c r="BN272" i="1"/>
  <c r="Z272" i="1"/>
  <c r="Z275" i="1" s="1"/>
  <c r="BP290" i="1"/>
  <c r="BN290" i="1"/>
  <c r="Z290" i="1"/>
  <c r="BP294" i="1"/>
  <c r="BN294" i="1"/>
  <c r="Z294" i="1"/>
  <c r="Z295" i="1" s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Z326" i="1" s="1"/>
  <c r="BP325" i="1"/>
  <c r="BN325" i="1"/>
  <c r="Z325" i="1"/>
  <c r="Y327" i="1"/>
  <c r="Y332" i="1"/>
  <c r="BP329" i="1"/>
  <c r="BN329" i="1"/>
  <c r="Z329" i="1"/>
  <c r="Z332" i="1" s="1"/>
  <c r="BP338" i="1"/>
  <c r="BN338" i="1"/>
  <c r="Z338" i="1"/>
  <c r="S500" i="1"/>
  <c r="Y351" i="1"/>
  <c r="BP344" i="1"/>
  <c r="BN344" i="1"/>
  <c r="Z344" i="1"/>
  <c r="Z351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M500" i="1"/>
  <c r="Y268" i="1"/>
  <c r="Y295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Y493" i="1" l="1"/>
  <c r="Z395" i="1"/>
  <c r="Z235" i="1"/>
  <c r="Z319" i="1"/>
  <c r="Z495" i="1" s="1"/>
  <c r="Y490" i="1"/>
  <c r="Z439" i="1"/>
  <c r="Z448" i="1"/>
  <c r="Z433" i="1"/>
  <c r="Z305" i="1"/>
  <c r="Z339" i="1"/>
  <c r="Z63" i="1"/>
  <c r="X493" i="1"/>
  <c r="Z89" i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<sst xmlns="http://schemas.openxmlformats.org/spreadsheetml/2006/main" count="2355" uniqueCount="766">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</sst>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0" t="s">
        <v>8</v>
      </c>
      <c r="B5" s="643"/>
      <c r="C5" s="644"/>
      <c r="D5" s="627"/>
      <c r="E5" s="628"/>
      <c r="F5" s="837" t="s">
        <v>9</v>
      </c>
      <c r="G5" s="644"/>
      <c r="H5" s="627"/>
      <c r="I5" s="781"/>
      <c r="J5" s="781"/>
      <c r="K5" s="781"/>
      <c r="L5" s="781"/>
      <c r="M5" s="628"/>
      <c r="N5" s="58"/>
      <c r="P5" s="24" t="s">
        <v>10</v>
      </c>
      <c r="Q5" s="846">
        <v>45967</v>
      </c>
      <c r="R5" s="669"/>
      <c r="T5" s="708" t="s">
        <v>11</v>
      </c>
      <c r="U5" s="709"/>
      <c r="V5" s="711" t="s">
        <v>12</v>
      </c>
      <c r="W5" s="669"/>
      <c r="AB5" s="51"/>
      <c r="AC5" s="51"/>
      <c r="AD5" s="51"/>
      <c r="AE5" s="51"/>
    </row>
    <row r="6" spans="1:32" s="537" customFormat="1" ht="24" customHeight="1" x14ac:dyDescent="0.2">
      <c r="A6" s="670" t="s">
        <v>13</v>
      </c>
      <c r="B6" s="643"/>
      <c r="C6" s="644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9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8" t="s">
        <v>16</v>
      </c>
      <c r="U6" s="709"/>
      <c r="V6" s="767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4"/>
      <c r="U7" s="709"/>
      <c r="V7" s="768"/>
      <c r="W7" s="769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3"/>
      <c r="C8" s="564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6">
        <v>0.41666666666666669</v>
      </c>
      <c r="R8" s="606"/>
      <c r="T8" s="554"/>
      <c r="U8" s="709"/>
      <c r="V8" s="768"/>
      <c r="W8" s="769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6"/>
      <c r="E9" s="561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5"/>
      <c r="R9" s="666"/>
      <c r="T9" s="554"/>
      <c r="U9" s="70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6"/>
      <c r="E10" s="561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60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19"/>
      <c r="R10" s="720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5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4"/>
      <c r="N12" s="62"/>
      <c r="P12" s="24" t="s">
        <v>30</v>
      </c>
      <c r="Q12" s="676"/>
      <c r="R12" s="606"/>
      <c r="S12" s="23"/>
      <c r="U12" s="24"/>
      <c r="V12" s="574"/>
      <c r="W12" s="554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3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4"/>
      <c r="N13" s="62"/>
      <c r="O13" s="26"/>
      <c r="P13" s="26" t="s">
        <v>32</v>
      </c>
      <c r="Q13" s="805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5" t="s">
        <v>34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4"/>
      <c r="N15" s="63"/>
      <c r="P15" s="69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4" t="s">
        <v>36</v>
      </c>
      <c r="B17" s="584" t="s">
        <v>37</v>
      </c>
      <c r="C17" s="683" t="s">
        <v>38</v>
      </c>
      <c r="D17" s="584" t="s">
        <v>39</v>
      </c>
      <c r="E17" s="652"/>
      <c r="F17" s="584" t="s">
        <v>40</v>
      </c>
      <c r="G17" s="584" t="s">
        <v>41</v>
      </c>
      <c r="H17" s="584" t="s">
        <v>42</v>
      </c>
      <c r="I17" s="584" t="s">
        <v>43</v>
      </c>
      <c r="J17" s="584" t="s">
        <v>44</v>
      </c>
      <c r="K17" s="584" t="s">
        <v>45</v>
      </c>
      <c r="L17" s="584" t="s">
        <v>46</v>
      </c>
      <c r="M17" s="584" t="s">
        <v>47</v>
      </c>
      <c r="N17" s="584" t="s">
        <v>48</v>
      </c>
      <c r="O17" s="584" t="s">
        <v>49</v>
      </c>
      <c r="P17" s="584" t="s">
        <v>50</v>
      </c>
      <c r="Q17" s="651"/>
      <c r="R17" s="651"/>
      <c r="S17" s="651"/>
      <c r="T17" s="652"/>
      <c r="U17" s="865" t="s">
        <v>51</v>
      </c>
      <c r="V17" s="644"/>
      <c r="W17" s="584" t="s">
        <v>52</v>
      </c>
      <c r="X17" s="584" t="s">
        <v>53</v>
      </c>
      <c r="Y17" s="863" t="s">
        <v>54</v>
      </c>
      <c r="Z17" s="779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85"/>
      <c r="B18" s="585"/>
      <c r="C18" s="585"/>
      <c r="D18" s="653"/>
      <c r="E18" s="65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5"/>
      <c r="X18" s="585"/>
      <c r="Y18" s="864"/>
      <c r="Z18" s="780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8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58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150</v>
      </c>
      <c r="Y52" s="544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156.04166666666666</v>
      </c>
      <c r="BN52" s="64">
        <f t="shared" si="2"/>
        <v>157.29000000000002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13.888888888888888</v>
      </c>
      <c r="Y57" s="545">
        <f>IFERROR(Y51/H51,"0")+IFERROR(Y52/H52,"0")+IFERROR(Y53/H53,"0")+IFERROR(Y54/H54,"0")+IFERROR(Y55/H55,"0")+IFERROR(Y56/H56,"0")</f>
        <v>14</v>
      </c>
      <c r="Z57" s="545">
        <f>IFERROR(IF(Z51="",0,Z51),"0")+IFERROR(IF(Z52="",0,Z52),"0")+IFERROR(IF(Z53="",0,Z53),"0")+IFERROR(IF(Z54="",0,Z54),"0")+IFERROR(IF(Z55="",0,Z55),"0")+IFERROR(IF(Z56="",0,Z56),"0")</f>
        <v>0.26572000000000001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150</v>
      </c>
      <c r="Y58" s="545">
        <f>IFERROR(SUM(Y51:Y56),"0")</f>
        <v>151.20000000000002</v>
      </c>
      <c r="Z58" s="37"/>
      <c r="AA58" s="546"/>
      <c r="AB58" s="546"/>
      <c r="AC58" s="546"/>
    </row>
    <row r="59" spans="1:68" ht="14.25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8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2" t="s">
        <v>71</v>
      </c>
      <c r="Q77" s="563"/>
      <c r="R77" s="563"/>
      <c r="S77" s="563"/>
      <c r="T77" s="563"/>
      <c r="U77" s="563"/>
      <c r="V77" s="56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2" t="s">
        <v>71</v>
      </c>
      <c r="Q78" s="563"/>
      <c r="R78" s="563"/>
      <c r="S78" s="563"/>
      <c r="T78" s="563"/>
      <c r="U78" s="563"/>
      <c r="V78" s="56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8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2" t="s">
        <v>71</v>
      </c>
      <c r="Q82" s="563"/>
      <c r="R82" s="563"/>
      <c r="S82" s="563"/>
      <c r="T82" s="563"/>
      <c r="U82" s="563"/>
      <c r="V82" s="56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2" t="s">
        <v>71</v>
      </c>
      <c r="Q83" s="563"/>
      <c r="R83" s="563"/>
      <c r="S83" s="563"/>
      <c r="T83" s="563"/>
      <c r="U83" s="563"/>
      <c r="V83" s="56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9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customHeight="1" x14ac:dyDescent="0.25">
      <c r="A85" s="558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2" t="s">
        <v>71</v>
      </c>
      <c r="Q89" s="563"/>
      <c r="R89" s="563"/>
      <c r="S89" s="563"/>
      <c r="T89" s="563"/>
      <c r="U89" s="563"/>
      <c r="V89" s="56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2" t="s">
        <v>71</v>
      </c>
      <c r="Q90" s="563"/>
      <c r="R90" s="563"/>
      <c r="S90" s="563"/>
      <c r="T90" s="563"/>
      <c r="U90" s="563"/>
      <c r="V90" s="56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customHeight="1" x14ac:dyDescent="0.25">
      <c r="A91" s="558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2" t="s">
        <v>71</v>
      </c>
      <c r="Q96" s="563"/>
      <c r="R96" s="563"/>
      <c r="S96" s="563"/>
      <c r="T96" s="563"/>
      <c r="U96" s="563"/>
      <c r="V96" s="564"/>
      <c r="W96" s="37" t="s">
        <v>72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2" t="s">
        <v>71</v>
      </c>
      <c r="Q97" s="563"/>
      <c r="R97" s="563"/>
      <c r="S97" s="563"/>
      <c r="T97" s="563"/>
      <c r="U97" s="563"/>
      <c r="V97" s="564"/>
      <c r="W97" s="37" t="s">
        <v>69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customHeight="1" x14ac:dyDescent="0.25">
      <c r="A98" s="559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customHeight="1" x14ac:dyDescent="0.25">
      <c r="A99" s="558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2" t="s">
        <v>71</v>
      </c>
      <c r="Q104" s="563"/>
      <c r="R104" s="563"/>
      <c r="S104" s="563"/>
      <c r="T104" s="563"/>
      <c r="U104" s="563"/>
      <c r="V104" s="56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2" t="s">
        <v>71</v>
      </c>
      <c r="Q105" s="563"/>
      <c r="R105" s="563"/>
      <c r="S105" s="563"/>
      <c r="T105" s="563"/>
      <c r="U105" s="563"/>
      <c r="V105" s="56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customHeight="1" x14ac:dyDescent="0.25">
      <c r="A106" s="558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6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2" t="s">
        <v>71</v>
      </c>
      <c r="Q110" s="563"/>
      <c r="R110" s="563"/>
      <c r="S110" s="563"/>
      <c r="T110" s="563"/>
      <c r="U110" s="563"/>
      <c r="V110" s="56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2" t="s">
        <v>71</v>
      </c>
      <c r="Q111" s="563"/>
      <c r="R111" s="563"/>
      <c r="S111" s="563"/>
      <c r="T111" s="563"/>
      <c r="U111" s="563"/>
      <c r="V111" s="56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8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2" t="s">
        <v>71</v>
      </c>
      <c r="Q117" s="563"/>
      <c r="R117" s="563"/>
      <c r="S117" s="563"/>
      <c r="T117" s="563"/>
      <c r="U117" s="563"/>
      <c r="V117" s="564"/>
      <c r="W117" s="37" t="s">
        <v>72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2" t="s">
        <v>71</v>
      </c>
      <c r="Q118" s="563"/>
      <c r="R118" s="563"/>
      <c r="S118" s="563"/>
      <c r="T118" s="563"/>
      <c r="U118" s="563"/>
      <c r="V118" s="564"/>
      <c r="W118" s="37" t="s">
        <v>69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customHeight="1" x14ac:dyDescent="0.25">
      <c r="A119" s="558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2" t="s">
        <v>71</v>
      </c>
      <c r="Q121" s="563"/>
      <c r="R121" s="563"/>
      <c r="S121" s="563"/>
      <c r="T121" s="563"/>
      <c r="U121" s="563"/>
      <c r="V121" s="56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2" t="s">
        <v>71</v>
      </c>
      <c r="Q122" s="563"/>
      <c r="R122" s="563"/>
      <c r="S122" s="563"/>
      <c r="T122" s="563"/>
      <c r="U122" s="563"/>
      <c r="V122" s="56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9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customHeight="1" x14ac:dyDescent="0.25">
      <c r="A124" s="558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2" t="s">
        <v>71</v>
      </c>
      <c r="Q127" s="563"/>
      <c r="R127" s="563"/>
      <c r="S127" s="563"/>
      <c r="T127" s="563"/>
      <c r="U127" s="563"/>
      <c r="V127" s="56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2" t="s">
        <v>71</v>
      </c>
      <c r="Q128" s="563"/>
      <c r="R128" s="563"/>
      <c r="S128" s="563"/>
      <c r="T128" s="563"/>
      <c r="U128" s="563"/>
      <c r="V128" s="56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8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2" t="s">
        <v>71</v>
      </c>
      <c r="Q132" s="563"/>
      <c r="R132" s="563"/>
      <c r="S132" s="563"/>
      <c r="T132" s="563"/>
      <c r="U132" s="563"/>
      <c r="V132" s="56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2" t="s">
        <v>71</v>
      </c>
      <c r="Q133" s="563"/>
      <c r="R133" s="563"/>
      <c r="S133" s="563"/>
      <c r="T133" s="563"/>
      <c r="U133" s="563"/>
      <c r="V133" s="56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8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2" t="s">
        <v>71</v>
      </c>
      <c r="Q137" s="563"/>
      <c r="R137" s="563"/>
      <c r="S137" s="563"/>
      <c r="T137" s="563"/>
      <c r="U137" s="563"/>
      <c r="V137" s="56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2" t="s">
        <v>71</v>
      </c>
      <c r="Q138" s="563"/>
      <c r="R138" s="563"/>
      <c r="S138" s="563"/>
      <c r="T138" s="563"/>
      <c r="U138" s="563"/>
      <c r="V138" s="56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9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customHeight="1" x14ac:dyDescent="0.25">
      <c r="A140" s="558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4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2" t="s">
        <v>71</v>
      </c>
      <c r="Q144" s="563"/>
      <c r="R144" s="563"/>
      <c r="S144" s="563"/>
      <c r="T144" s="563"/>
      <c r="U144" s="563"/>
      <c r="V144" s="56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2" t="s">
        <v>71</v>
      </c>
      <c r="Q145" s="563"/>
      <c r="R145" s="563"/>
      <c r="S145" s="563"/>
      <c r="T145" s="563"/>
      <c r="U145" s="563"/>
      <c r="V145" s="56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8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3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2" t="s">
        <v>71</v>
      </c>
      <c r="Q150" s="563"/>
      <c r="R150" s="563"/>
      <c r="S150" s="563"/>
      <c r="T150" s="563"/>
      <c r="U150" s="563"/>
      <c r="V150" s="564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2" t="s">
        <v>71</v>
      </c>
      <c r="Q151" s="563"/>
      <c r="R151" s="563"/>
      <c r="S151" s="563"/>
      <c r="T151" s="563"/>
      <c r="U151" s="563"/>
      <c r="V151" s="564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customHeight="1" x14ac:dyDescent="0.25">
      <c r="A152" s="558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32" t="s">
        <v>255</v>
      </c>
      <c r="Q153" s="550"/>
      <c r="R153" s="550"/>
      <c r="S153" s="550"/>
      <c r="T153" s="551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2" t="s">
        <v>71</v>
      </c>
      <c r="Q154" s="563"/>
      <c r="R154" s="563"/>
      <c r="S154" s="563"/>
      <c r="T154" s="563"/>
      <c r="U154" s="563"/>
      <c r="V154" s="56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2" t="s">
        <v>71</v>
      </c>
      <c r="Q155" s="563"/>
      <c r="R155" s="563"/>
      <c r="S155" s="563"/>
      <c r="T155" s="563"/>
      <c r="U155" s="563"/>
      <c r="V155" s="56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566" t="s">
        <v>257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48"/>
      <c r="AB156" s="48"/>
      <c r="AC156" s="48"/>
    </row>
    <row r="157" spans="1:68" ht="16.5" customHeight="1" x14ac:dyDescent="0.25">
      <c r="A157" s="559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customHeight="1" x14ac:dyDescent="0.25">
      <c r="A158" s="558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2" t="s">
        <v>71</v>
      </c>
      <c r="Q160" s="563"/>
      <c r="R160" s="563"/>
      <c r="S160" s="563"/>
      <c r="T160" s="563"/>
      <c r="U160" s="563"/>
      <c r="V160" s="56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2" t="s">
        <v>71</v>
      </c>
      <c r="Q161" s="563"/>
      <c r="R161" s="563"/>
      <c r="S161" s="563"/>
      <c r="T161" s="563"/>
      <c r="U161" s="563"/>
      <c r="V161" s="56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8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customHeight="1" x14ac:dyDescent="0.25">
      <c r="A174" s="558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8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customHeight="1" x14ac:dyDescent="0.25">
      <c r="A185" s="558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8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8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58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58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customHeight="1" x14ac:dyDescent="0.25">
      <c r="A224" s="558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8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8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8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customHeight="1" x14ac:dyDescent="0.25">
      <c r="A254" s="558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customHeight="1" x14ac:dyDescent="0.25">
      <c r="A263" s="558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customHeight="1" x14ac:dyDescent="0.25">
      <c r="A271" s="558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customHeight="1" x14ac:dyDescent="0.25">
      <c r="A278" s="558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8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customHeight="1" x14ac:dyDescent="0.25">
      <c r="A288" s="558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customHeight="1" x14ac:dyDescent="0.25">
      <c r="A297" s="558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30</v>
      </c>
      <c r="Y298" s="544">
        <f t="shared" ref="Y298:Y304" si="31">IFERROR(IF(X298="",0,CEILING((X298/$H298),1)*$H298),"")</f>
        <v>33.6</v>
      </c>
      <c r="Z298" s="36">
        <f>IFERROR(IF(Y298=0,"",ROUNDUP(Y298/H298,0)*0.00902),"")</f>
        <v>7.2160000000000002E-2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31.928571428571427</v>
      </c>
      <c r="BN298" s="64">
        <f t="shared" ref="BN298:BN304" si="33">IFERROR(Y298*I298/H298,"0")</f>
        <v>35.76</v>
      </c>
      <c r="BO298" s="64">
        <f t="shared" ref="BO298:BO304" si="34">IFERROR(1/J298*(X298/H298),"0")</f>
        <v>5.4112554112554112E-2</v>
      </c>
      <c r="BP298" s="64">
        <f t="shared" ref="BP298:BP304" si="35">IFERROR(1/J298*(Y298/H298),"0")</f>
        <v>6.0606060606060608E-2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30</v>
      </c>
      <c r="Y299" s="544">
        <f t="shared" si="31"/>
        <v>33.6</v>
      </c>
      <c r="Z299" s="36">
        <f>IFERROR(IF(Y299=0,"",ROUNDUP(Y299/H299,0)*0.00902),"")</f>
        <v>7.2160000000000002E-2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31.928571428571427</v>
      </c>
      <c r="BN299" s="64">
        <f t="shared" si="33"/>
        <v>35.76</v>
      </c>
      <c r="BO299" s="64">
        <f t="shared" si="34"/>
        <v>5.4112554112554112E-2</v>
      </c>
      <c r="BP299" s="64">
        <f t="shared" si="35"/>
        <v>6.0606060606060608E-2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9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14.285714285714285</v>
      </c>
      <c r="Y305" s="545">
        <f>IFERROR(Y298/H298,"0")+IFERROR(Y299/H299,"0")+IFERROR(Y300/H300,"0")+IFERROR(Y301/H301,"0")+IFERROR(Y302/H302,"0")+IFERROR(Y303/H303,"0")+IFERROR(Y304/H304,"0")</f>
        <v>16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0.14432</v>
      </c>
      <c r="AA305" s="546"/>
      <c r="AB305" s="546"/>
      <c r="AC305" s="546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60</v>
      </c>
      <c r="Y306" s="545">
        <f>IFERROR(SUM(Y298:Y304),"0")</f>
        <v>67.2</v>
      </c>
      <c r="Z306" s="37"/>
      <c r="AA306" s="546"/>
      <c r="AB306" s="546"/>
      <c r="AC306" s="546"/>
    </row>
    <row r="307" spans="1:68" ht="14.25" customHeight="1" x14ac:dyDescent="0.25">
      <c r="A307" s="558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300</v>
      </c>
      <c r="Y308" s="544">
        <f>IFERROR(IF(X308="",0,CEILING((X308/$H308),1)*$H308),"")</f>
        <v>304.2</v>
      </c>
      <c r="Z308" s="36">
        <f>IFERROR(IF(Y308=0,"",ROUNDUP(Y308/H308,0)*0.01898),"")</f>
        <v>0.74021999999999999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319.73076923076923</v>
      </c>
      <c r="BN308" s="64">
        <f>IFERROR(Y308*I308/H308,"0")</f>
        <v>324.20700000000005</v>
      </c>
      <c r="BO308" s="64">
        <f>IFERROR(1/J308*(X308/H308),"0")</f>
        <v>0.60096153846153844</v>
      </c>
      <c r="BP308" s="64">
        <f>IFERROR(1/J308*(Y308/H308),"0")</f>
        <v>0.609375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2" t="s">
        <v>71</v>
      </c>
      <c r="Q313" s="563"/>
      <c r="R313" s="563"/>
      <c r="S313" s="563"/>
      <c r="T313" s="563"/>
      <c r="U313" s="563"/>
      <c r="V313" s="564"/>
      <c r="W313" s="37" t="s">
        <v>72</v>
      </c>
      <c r="X313" s="545">
        <f>IFERROR(X308/H308,"0")+IFERROR(X309/H309,"0")+IFERROR(X310/H310,"0")+IFERROR(X311/H311,"0")+IFERROR(X312/H312,"0")</f>
        <v>38.46153846153846</v>
      </c>
      <c r="Y313" s="545">
        <f>IFERROR(Y308/H308,"0")+IFERROR(Y309/H309,"0")+IFERROR(Y310/H310,"0")+IFERROR(Y311/H311,"0")+IFERROR(Y312/H312,"0")</f>
        <v>39</v>
      </c>
      <c r="Z313" s="545">
        <f>IFERROR(IF(Z308="",0,Z308),"0")+IFERROR(IF(Z309="",0,Z309),"0")+IFERROR(IF(Z310="",0,Z310),"0")+IFERROR(IF(Z311="",0,Z311),"0")+IFERROR(IF(Z312="",0,Z312),"0")</f>
        <v>0.74021999999999999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2" t="s">
        <v>71</v>
      </c>
      <c r="Q314" s="563"/>
      <c r="R314" s="563"/>
      <c r="S314" s="563"/>
      <c r="T314" s="563"/>
      <c r="U314" s="563"/>
      <c r="V314" s="564"/>
      <c r="W314" s="37" t="s">
        <v>69</v>
      </c>
      <c r="X314" s="545">
        <f>IFERROR(SUM(X308:X312),"0")</f>
        <v>300</v>
      </c>
      <c r="Y314" s="545">
        <f>IFERROR(SUM(Y308:Y312),"0")</f>
        <v>304.2</v>
      </c>
      <c r="Z314" s="37"/>
      <c r="AA314" s="546"/>
      <c r="AB314" s="546"/>
      <c r="AC314" s="546"/>
    </row>
    <row r="315" spans="1:68" ht="14.25" customHeight="1" x14ac:dyDescent="0.25">
      <c r="A315" s="558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2" t="s">
        <v>71</v>
      </c>
      <c r="Q319" s="563"/>
      <c r="R319" s="563"/>
      <c r="S319" s="563"/>
      <c r="T319" s="563"/>
      <c r="U319" s="563"/>
      <c r="V319" s="56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2" t="s">
        <v>71</v>
      </c>
      <c r="Q320" s="563"/>
      <c r="R320" s="563"/>
      <c r="S320" s="563"/>
      <c r="T320" s="563"/>
      <c r="U320" s="563"/>
      <c r="V320" s="56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58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4" t="s">
        <v>513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2" t="s">
        <v>71</v>
      </c>
      <c r="Q326" s="563"/>
      <c r="R326" s="563"/>
      <c r="S326" s="563"/>
      <c r="T326" s="563"/>
      <c r="U326" s="563"/>
      <c r="V326" s="56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2" t="s">
        <v>71</v>
      </c>
      <c r="Q327" s="563"/>
      <c r="R327" s="563"/>
      <c r="S327" s="563"/>
      <c r="T327" s="563"/>
      <c r="U327" s="563"/>
      <c r="V327" s="56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58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2" t="s">
        <v>71</v>
      </c>
      <c r="Q332" s="563"/>
      <c r="R332" s="563"/>
      <c r="S332" s="563"/>
      <c r="T332" s="563"/>
      <c r="U332" s="563"/>
      <c r="V332" s="56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2" t="s">
        <v>71</v>
      </c>
      <c r="Q333" s="563"/>
      <c r="R333" s="563"/>
      <c r="S333" s="563"/>
      <c r="T333" s="563"/>
      <c r="U333" s="563"/>
      <c r="V333" s="56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customHeight="1" x14ac:dyDescent="0.25">
      <c r="A335" s="558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2" t="s">
        <v>71</v>
      </c>
      <c r="Q339" s="563"/>
      <c r="R339" s="563"/>
      <c r="S339" s="563"/>
      <c r="T339" s="563"/>
      <c r="U339" s="563"/>
      <c r="V339" s="56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2" t="s">
        <v>71</v>
      </c>
      <c r="Q340" s="563"/>
      <c r="R340" s="563"/>
      <c r="S340" s="563"/>
      <c r="T340" s="563"/>
      <c r="U340" s="563"/>
      <c r="V340" s="56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6" t="s">
        <v>538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48"/>
      <c r="AB341" s="48"/>
      <c r="AC341" s="48"/>
    </row>
    <row r="342" spans="1:68" ht="16.5" customHeight="1" x14ac:dyDescent="0.25">
      <c r="A342" s="559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customHeight="1" x14ac:dyDescent="0.25">
      <c r="A343" s="558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200</v>
      </c>
      <c r="Y345" s="544">
        <f t="shared" si="36"/>
        <v>210</v>
      </c>
      <c r="Z345" s="36">
        <f>IFERROR(IF(Y345=0,"",ROUNDUP(Y345/H345,0)*0.02175),"")</f>
        <v>0.30449999999999999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206.4</v>
      </c>
      <c r="BN345" s="64">
        <f t="shared" si="38"/>
        <v>216.72</v>
      </c>
      <c r="BO345" s="64">
        <f t="shared" si="39"/>
        <v>0.27777777777777779</v>
      </c>
      <c r="BP345" s="64">
        <f t="shared" si="40"/>
        <v>0.29166666666666663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80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200</v>
      </c>
      <c r="Y347" s="544">
        <f t="shared" si="36"/>
        <v>210</v>
      </c>
      <c r="Z347" s="36">
        <f>IFERROR(IF(Y347=0,"",ROUNDUP(Y347/H347,0)*0.02175),"")</f>
        <v>0.30449999999999999</v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206.4</v>
      </c>
      <c r="BN347" s="64">
        <f t="shared" si="38"/>
        <v>216.72</v>
      </c>
      <c r="BO347" s="64">
        <f t="shared" si="39"/>
        <v>0.27777777777777779</v>
      </c>
      <c r="BP347" s="64">
        <f t="shared" si="40"/>
        <v>0.29166666666666663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2" t="s">
        <v>71</v>
      </c>
      <c r="Q351" s="563"/>
      <c r="R351" s="563"/>
      <c r="S351" s="563"/>
      <c r="T351" s="563"/>
      <c r="U351" s="563"/>
      <c r="V351" s="56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26.666666666666668</v>
      </c>
      <c r="Y351" s="545">
        <f>IFERROR(Y344/H344,"0")+IFERROR(Y345/H345,"0")+IFERROR(Y346/H346,"0")+IFERROR(Y347/H347,"0")+IFERROR(Y348/H348,"0")+IFERROR(Y349/H349,"0")+IFERROR(Y350/H350,"0")</f>
        <v>28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0.60899999999999999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2" t="s">
        <v>71</v>
      </c>
      <c r="Q352" s="563"/>
      <c r="R352" s="563"/>
      <c r="S352" s="563"/>
      <c r="T352" s="563"/>
      <c r="U352" s="563"/>
      <c r="V352" s="564"/>
      <c r="W352" s="37" t="s">
        <v>69</v>
      </c>
      <c r="X352" s="545">
        <f>IFERROR(SUM(X344:X350),"0")</f>
        <v>400</v>
      </c>
      <c r="Y352" s="545">
        <f>IFERROR(SUM(Y344:Y350),"0")</f>
        <v>420</v>
      </c>
      <c r="Z352" s="37"/>
      <c r="AA352" s="546"/>
      <c r="AB352" s="546"/>
      <c r="AC352" s="546"/>
    </row>
    <row r="353" spans="1:68" ht="14.25" customHeight="1" x14ac:dyDescent="0.25">
      <c r="A353" s="558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250</v>
      </c>
      <c r="Y354" s="544">
        <f>IFERROR(IF(X354="",0,CEILING((X354/$H354),1)*$H354),"")</f>
        <v>255</v>
      </c>
      <c r="Z354" s="36">
        <f>IFERROR(IF(Y354=0,"",ROUNDUP(Y354/H354,0)*0.02175),"")</f>
        <v>0.36974999999999997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258</v>
      </c>
      <c r="BN354" s="64">
        <f>IFERROR(Y354*I354/H354,"0")</f>
        <v>263.16000000000003</v>
      </c>
      <c r="BO354" s="64">
        <f>IFERROR(1/J354*(X354/H354),"0")</f>
        <v>0.34722222222222221</v>
      </c>
      <c r="BP354" s="64">
        <f>IFERROR(1/J354*(Y354/H354),"0")</f>
        <v>0.35416666666666663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2" t="s">
        <v>71</v>
      </c>
      <c r="Q356" s="563"/>
      <c r="R356" s="563"/>
      <c r="S356" s="563"/>
      <c r="T356" s="563"/>
      <c r="U356" s="563"/>
      <c r="V356" s="564"/>
      <c r="W356" s="37" t="s">
        <v>72</v>
      </c>
      <c r="X356" s="545">
        <f>IFERROR(X354/H354,"0")+IFERROR(X355/H355,"0")</f>
        <v>16.666666666666668</v>
      </c>
      <c r="Y356" s="545">
        <f>IFERROR(Y354/H354,"0")+IFERROR(Y355/H355,"0")</f>
        <v>17</v>
      </c>
      <c r="Z356" s="545">
        <f>IFERROR(IF(Z354="",0,Z354),"0")+IFERROR(IF(Z355="",0,Z355),"0")</f>
        <v>0.36974999999999997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2" t="s">
        <v>71</v>
      </c>
      <c r="Q357" s="563"/>
      <c r="R357" s="563"/>
      <c r="S357" s="563"/>
      <c r="T357" s="563"/>
      <c r="U357" s="563"/>
      <c r="V357" s="564"/>
      <c r="W357" s="37" t="s">
        <v>69</v>
      </c>
      <c r="X357" s="545">
        <f>IFERROR(SUM(X354:X355),"0")</f>
        <v>250</v>
      </c>
      <c r="Y357" s="545">
        <f>IFERROR(SUM(Y354:Y355),"0")</f>
        <v>255</v>
      </c>
      <c r="Z357" s="37"/>
      <c r="AA357" s="546"/>
      <c r="AB357" s="546"/>
      <c r="AC357" s="546"/>
    </row>
    <row r="358" spans="1:68" ht="14.25" customHeight="1" x14ac:dyDescent="0.25">
      <c r="A358" s="558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2" t="s">
        <v>71</v>
      </c>
      <c r="Q361" s="563"/>
      <c r="R361" s="563"/>
      <c r="S361" s="563"/>
      <c r="T361" s="563"/>
      <c r="U361" s="563"/>
      <c r="V361" s="56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2" t="s">
        <v>71</v>
      </c>
      <c r="Q362" s="563"/>
      <c r="R362" s="563"/>
      <c r="S362" s="563"/>
      <c r="T362" s="563"/>
      <c r="U362" s="563"/>
      <c r="V362" s="56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58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2" t="s">
        <v>71</v>
      </c>
      <c r="Q365" s="563"/>
      <c r="R365" s="563"/>
      <c r="S365" s="563"/>
      <c r="T365" s="563"/>
      <c r="U365" s="563"/>
      <c r="V365" s="56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2" t="s">
        <v>71</v>
      </c>
      <c r="Q366" s="563"/>
      <c r="R366" s="563"/>
      <c r="S366" s="563"/>
      <c r="T366" s="563"/>
      <c r="U366" s="563"/>
      <c r="V366" s="56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customHeight="1" x14ac:dyDescent="0.25">
      <c r="A368" s="558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2" t="s">
        <v>71</v>
      </c>
      <c r="Q371" s="563"/>
      <c r="R371" s="563"/>
      <c r="S371" s="563"/>
      <c r="T371" s="563"/>
      <c r="U371" s="563"/>
      <c r="V371" s="56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2" t="s">
        <v>71</v>
      </c>
      <c r="Q372" s="563"/>
      <c r="R372" s="563"/>
      <c r="S372" s="563"/>
      <c r="T372" s="563"/>
      <c r="U372" s="563"/>
      <c r="V372" s="56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8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2" t="s">
        <v>71</v>
      </c>
      <c r="Q376" s="563"/>
      <c r="R376" s="563"/>
      <c r="S376" s="563"/>
      <c r="T376" s="563"/>
      <c r="U376" s="563"/>
      <c r="V376" s="56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2" t="s">
        <v>71</v>
      </c>
      <c r="Q377" s="563"/>
      <c r="R377" s="563"/>
      <c r="S377" s="563"/>
      <c r="T377" s="563"/>
      <c r="U377" s="563"/>
      <c r="V377" s="56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8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6" t="s">
        <v>589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customHeight="1" x14ac:dyDescent="0.25">
      <c r="A385" s="558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8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customHeight="1" x14ac:dyDescent="0.25">
      <c r="A403" s="558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8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customHeight="1" x14ac:dyDescent="0.25">
      <c r="A415" s="558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640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customHeight="1" x14ac:dyDescent="0.25">
      <c r="A421" s="558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customHeight="1" x14ac:dyDescent="0.25">
      <c r="A435" s="558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8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58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700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customHeight="1" x14ac:dyDescent="0.25">
      <c r="A458" s="558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8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8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25</v>
      </c>
      <c r="Y473" s="544">
        <f>IFERROR(IF(X473="",0,CEILING((X473/$H473),1)*$H473),"")</f>
        <v>25.200000000000003</v>
      </c>
      <c r="Z473" s="36">
        <f>IFERROR(IF(Y473=0,"",ROUNDUP(Y473/H473,0)*0.00902),"")</f>
        <v>5.4120000000000001E-2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26.607142857142858</v>
      </c>
      <c r="BN473" s="64">
        <f>IFERROR(Y473*I473/H473,"0")</f>
        <v>26.82</v>
      </c>
      <c r="BO473" s="64">
        <f>IFERROR(1/J473*(X473/H473),"0")</f>
        <v>4.5093795093795096E-2</v>
      </c>
      <c r="BP473" s="64">
        <f>IFERROR(1/J473*(Y473/H473),"0")</f>
        <v>4.5454545454545456E-2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5.9523809523809526</v>
      </c>
      <c r="Y474" s="545">
        <f>IFERROR(Y472/H472,"0")+IFERROR(Y473/H473,"0")</f>
        <v>6</v>
      </c>
      <c r="Z474" s="545">
        <f>IFERROR(IF(Z472="",0,Z472),"0")+IFERROR(IF(Z473="",0,Z473),"0")</f>
        <v>5.4120000000000001E-2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25</v>
      </c>
      <c r="Y475" s="545">
        <f>IFERROR(SUM(Y472:Y473),"0")</f>
        <v>25.200000000000003</v>
      </c>
      <c r="Z475" s="37"/>
      <c r="AA475" s="546"/>
      <c r="AB475" s="546"/>
      <c r="AC475" s="546"/>
    </row>
    <row r="476" spans="1:68" ht="14.25" customHeight="1" x14ac:dyDescent="0.25">
      <c r="A476" s="558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8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customHeight="1" x14ac:dyDescent="0.25">
      <c r="A486" s="558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9"/>
      <c r="P490" s="642" t="s">
        <v>740</v>
      </c>
      <c r="Q490" s="643"/>
      <c r="R490" s="643"/>
      <c r="S490" s="643"/>
      <c r="T490" s="643"/>
      <c r="U490" s="643"/>
      <c r="V490" s="644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1185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1222.8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9"/>
      <c r="P491" s="642" t="s">
        <v>741</v>
      </c>
      <c r="Q491" s="643"/>
      <c r="R491" s="643"/>
      <c r="S491" s="643"/>
      <c r="T491" s="643"/>
      <c r="U491" s="643"/>
      <c r="V491" s="644"/>
      <c r="W491" s="37" t="s">
        <v>69</v>
      </c>
      <c r="X491" s="545">
        <f>IFERROR(SUM(BM22:BM487),"0")</f>
        <v>1237.0367216117215</v>
      </c>
      <c r="Y491" s="545">
        <f>IFERROR(SUM(BN22:BN487),"0")</f>
        <v>1276.4370000000001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9"/>
      <c r="P492" s="642" t="s">
        <v>742</v>
      </c>
      <c r="Q492" s="643"/>
      <c r="R492" s="643"/>
      <c r="S492" s="643"/>
      <c r="T492" s="643"/>
      <c r="U492" s="643"/>
      <c r="V492" s="644"/>
      <c r="W492" s="37" t="s">
        <v>743</v>
      </c>
      <c r="X492" s="38">
        <f>ROUNDUP(SUM(BO22:BO487),0)</f>
        <v>2</v>
      </c>
      <c r="Y492" s="38">
        <f>ROUNDUP(SUM(BP22:BP487),0)</f>
        <v>2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9"/>
      <c r="P493" s="642" t="s">
        <v>744</v>
      </c>
      <c r="Q493" s="643"/>
      <c r="R493" s="643"/>
      <c r="S493" s="643"/>
      <c r="T493" s="643"/>
      <c r="U493" s="643"/>
      <c r="V493" s="644"/>
      <c r="W493" s="37" t="s">
        <v>69</v>
      </c>
      <c r="X493" s="545">
        <f>GrossWeightTotal+PalletQtyTotal*25</f>
        <v>1287.0367216117215</v>
      </c>
      <c r="Y493" s="545">
        <f>GrossWeightTotalR+PalletQtyTotalR*25</f>
        <v>1326.4370000000001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9"/>
      <c r="P494" s="642" t="s">
        <v>745</v>
      </c>
      <c r="Q494" s="643"/>
      <c r="R494" s="643"/>
      <c r="S494" s="643"/>
      <c r="T494" s="643"/>
      <c r="U494" s="643"/>
      <c r="V494" s="644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115.92185592185592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120</v>
      </c>
      <c r="Z494" s="37"/>
      <c r="AA494" s="546"/>
      <c r="AB494" s="546"/>
      <c r="AC494" s="546"/>
    </row>
    <row r="495" spans="1:68" ht="14.25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09"/>
      <c r="P495" s="642" t="s">
        <v>746</v>
      </c>
      <c r="Q495" s="643"/>
      <c r="R495" s="643"/>
      <c r="S495" s="643"/>
      <c r="T495" s="643"/>
      <c r="U495" s="643"/>
      <c r="V495" s="644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2.1831300000000002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5" t="s">
        <v>99</v>
      </c>
      <c r="D497" s="598"/>
      <c r="E497" s="598"/>
      <c r="F497" s="598"/>
      <c r="G497" s="598"/>
      <c r="H497" s="599"/>
      <c r="I497" s="595" t="s">
        <v>257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538</v>
      </c>
      <c r="T497" s="599"/>
      <c r="U497" s="595" t="s">
        <v>589</v>
      </c>
      <c r="V497" s="598"/>
      <c r="W497" s="599"/>
      <c r="X497" s="540" t="s">
        <v>640</v>
      </c>
      <c r="Y497" s="595" t="s">
        <v>700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749</v>
      </c>
      <c r="B498" s="595" t="s">
        <v>63</v>
      </c>
      <c r="C498" s="595" t="s">
        <v>100</v>
      </c>
      <c r="D498" s="595" t="s">
        <v>117</v>
      </c>
      <c r="E498" s="595" t="s">
        <v>173</v>
      </c>
      <c r="F498" s="595" t="s">
        <v>192</v>
      </c>
      <c r="G498" s="595" t="s">
        <v>222</v>
      </c>
      <c r="H498" s="595" t="s">
        <v>99</v>
      </c>
      <c r="I498" s="595" t="s">
        <v>258</v>
      </c>
      <c r="J498" s="595" t="s">
        <v>299</v>
      </c>
      <c r="K498" s="595" t="s">
        <v>359</v>
      </c>
      <c r="L498" s="595" t="s">
        <v>401</v>
      </c>
      <c r="M498" s="595" t="s">
        <v>417</v>
      </c>
      <c r="N498" s="541"/>
      <c r="O498" s="595" t="s">
        <v>428</v>
      </c>
      <c r="P498" s="595" t="s">
        <v>437</v>
      </c>
      <c r="Q498" s="595" t="s">
        <v>447</v>
      </c>
      <c r="R498" s="595" t="s">
        <v>528</v>
      </c>
      <c r="S498" s="595" t="s">
        <v>539</v>
      </c>
      <c r="T498" s="595" t="s">
        <v>573</v>
      </c>
      <c r="U498" s="595" t="s">
        <v>590</v>
      </c>
      <c r="V498" s="595" t="s">
        <v>621</v>
      </c>
      <c r="W498" s="595" t="s">
        <v>636</v>
      </c>
      <c r="X498" s="595" t="s">
        <v>640</v>
      </c>
      <c r="Y498" s="595" t="s">
        <v>700</v>
      </c>
      <c r="Z498" s="595" t="s">
        <v>736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151.20000000000002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371.4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675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25.200000000000003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A251:O252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9:C9"/>
    <mergeCell ref="P125:T125"/>
    <mergeCell ref="D202:E202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D215:E215"/>
    <mergeCell ref="P194:V194"/>
    <mergeCell ref="P317:T317"/>
    <mergeCell ref="D323:E323"/>
    <mergeCell ref="D394:E394"/>
    <mergeCell ref="D279:E279"/>
    <mergeCell ref="A254:Z25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374:E374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A50:Z50"/>
    <mergeCell ref="P96:V96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2025-11-04T10:30:28Z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