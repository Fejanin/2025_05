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11,25 Николаенко ЛП сбросить Лыгину 13,11,25\"/>
    </mc:Choice>
  </mc:AlternateContent>
  <xr:revisionPtr revIDLastSave="0" documentId="13_ncr:1_{E69C77F6-1C45-45DE-B668-D442A8BD57D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Z424" i="1"/>
  <c r="Y424" i="1"/>
  <c r="P424" i="1"/>
  <c r="BO423" i="1"/>
  <c r="BM423" i="1"/>
  <c r="Y423" i="1"/>
  <c r="BP423" i="1" s="1"/>
  <c r="P423" i="1"/>
  <c r="BP422" i="1"/>
  <c r="BO422" i="1"/>
  <c r="BN422" i="1"/>
  <c r="BM422" i="1"/>
  <c r="Z422" i="1"/>
  <c r="Y422" i="1"/>
  <c r="Y434" i="1" s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Y413" i="1" s="1"/>
  <c r="P408" i="1"/>
  <c r="X406" i="1"/>
  <c r="X405" i="1"/>
  <c r="BO404" i="1"/>
  <c r="BM404" i="1"/>
  <c r="Y404" i="1"/>
  <c r="V500" i="1" s="1"/>
  <c r="P404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Y400" i="1" s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U500" i="1" s="1"/>
  <c r="P386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2" i="1" s="1"/>
  <c r="P379" i="1"/>
  <c r="X377" i="1"/>
  <c r="X376" i="1"/>
  <c r="BO375" i="1"/>
  <c r="BM375" i="1"/>
  <c r="Y375" i="1"/>
  <c r="BP375" i="1" s="1"/>
  <c r="P375" i="1"/>
  <c r="BP374" i="1"/>
  <c r="BO374" i="1"/>
  <c r="BN374" i="1"/>
  <c r="BM374" i="1"/>
  <c r="Z374" i="1"/>
  <c r="Y374" i="1"/>
  <c r="Y376" i="1" s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T500" i="1" s="1"/>
  <c r="P369" i="1"/>
  <c r="X366" i="1"/>
  <c r="X365" i="1"/>
  <c r="BO364" i="1"/>
  <c r="BM364" i="1"/>
  <c r="Y364" i="1"/>
  <c r="Y365" i="1" s="1"/>
  <c r="P364" i="1"/>
  <c r="X362" i="1"/>
  <c r="X361" i="1"/>
  <c r="BO360" i="1"/>
  <c r="BM360" i="1"/>
  <c r="Y360" i="1"/>
  <c r="BP360" i="1" s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Y357" i="1" s="1"/>
  <c r="P354" i="1"/>
  <c r="X352" i="1"/>
  <c r="X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Y351" i="1" s="1"/>
  <c r="P344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Y333" i="1" s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BP324" i="1" s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Y327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Y314" i="1" s="1"/>
  <c r="P309" i="1"/>
  <c r="X307" i="1"/>
  <c r="X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Y306" i="1" s="1"/>
  <c r="P299" i="1"/>
  <c r="X297" i="1"/>
  <c r="X296" i="1"/>
  <c r="BO295" i="1"/>
  <c r="BM295" i="1"/>
  <c r="Y295" i="1"/>
  <c r="BP295" i="1" s="1"/>
  <c r="P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Q500" i="1" s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Y287" i="1" s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500" i="1" s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BP259" i="1" s="1"/>
  <c r="P259" i="1"/>
  <c r="BO258" i="1"/>
  <c r="BN258" i="1"/>
  <c r="BM258" i="1"/>
  <c r="Z258" i="1"/>
  <c r="Y258" i="1"/>
  <c r="BP258" i="1" s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Y260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2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7" i="1" s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N199" i="1"/>
  <c r="BM199" i="1"/>
  <c r="Z199" i="1"/>
  <c r="Y199" i="1"/>
  <c r="BP199" i="1" s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500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9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3" i="1" s="1"/>
  <c r="X160" i="1"/>
  <c r="X159" i="1"/>
  <c r="BO158" i="1"/>
  <c r="BM158" i="1"/>
  <c r="Y158" i="1"/>
  <c r="I500" i="1" s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500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500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Y88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N26" i="1"/>
  <c r="BM26" i="1"/>
  <c r="Z26" i="1"/>
  <c r="Y26" i="1"/>
  <c r="P26" i="1"/>
  <c r="X24" i="1"/>
  <c r="X490" i="1" s="1"/>
  <c r="X23" i="1"/>
  <c r="BO22" i="1"/>
  <c r="BM22" i="1"/>
  <c r="X491" i="1" s="1"/>
  <c r="Y22" i="1"/>
  <c r="B500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BP28" i="1"/>
  <c r="BN28" i="1"/>
  <c r="Z28" i="1"/>
  <c r="Z31" i="1" s="1"/>
  <c r="BP42" i="1"/>
  <c r="BN42" i="1"/>
  <c r="Z42" i="1"/>
  <c r="Y44" i="1"/>
  <c r="Y47" i="1"/>
  <c r="BP46" i="1"/>
  <c r="BN46" i="1"/>
  <c r="Z46" i="1"/>
  <c r="Z47" i="1" s="1"/>
  <c r="Y48" i="1"/>
  <c r="D500" i="1"/>
  <c r="Y57" i="1"/>
  <c r="Y58" i="1"/>
  <c r="BP51" i="1"/>
  <c r="BN51" i="1"/>
  <c r="Z51" i="1"/>
  <c r="H9" i="1"/>
  <c r="X492" i="1"/>
  <c r="X493" i="1" s="1"/>
  <c r="X494" i="1"/>
  <c r="Y24" i="1"/>
  <c r="Y31" i="1"/>
  <c r="BP26" i="1"/>
  <c r="BP30" i="1"/>
  <c r="BN30" i="1"/>
  <c r="Z30" i="1"/>
  <c r="Y32" i="1"/>
  <c r="Y35" i="1"/>
  <c r="BP34" i="1"/>
  <c r="BN34" i="1"/>
  <c r="Z34" i="1"/>
  <c r="Z35" i="1" s="1"/>
  <c r="Y36" i="1"/>
  <c r="C500" i="1"/>
  <c r="Y43" i="1"/>
  <c r="BP40" i="1"/>
  <c r="BN40" i="1"/>
  <c r="Z40" i="1"/>
  <c r="Z43" i="1" s="1"/>
  <c r="Z53" i="1"/>
  <c r="BN53" i="1"/>
  <c r="Z55" i="1"/>
  <c r="BN55" i="1"/>
  <c r="Z61" i="1"/>
  <c r="Z63" i="1" s="1"/>
  <c r="BN61" i="1"/>
  <c r="BP61" i="1"/>
  <c r="Z67" i="1"/>
  <c r="Z69" i="1" s="1"/>
  <c r="BN67" i="1"/>
  <c r="BP67" i="1"/>
  <c r="Z73" i="1"/>
  <c r="Z76" i="1" s="1"/>
  <c r="BN73" i="1"/>
  <c r="BP73" i="1"/>
  <c r="Z75" i="1"/>
  <c r="BN75" i="1"/>
  <c r="Z79" i="1"/>
  <c r="Z81" i="1" s="1"/>
  <c r="BN79" i="1"/>
  <c r="BP79" i="1"/>
  <c r="Y82" i="1"/>
  <c r="E500" i="1"/>
  <c r="Z86" i="1"/>
  <c r="Z88" i="1" s="1"/>
  <c r="BN86" i="1"/>
  <c r="BP86" i="1"/>
  <c r="Y89" i="1"/>
  <c r="Z92" i="1"/>
  <c r="Z95" i="1" s="1"/>
  <c r="BN92" i="1"/>
  <c r="BP92" i="1"/>
  <c r="Z94" i="1"/>
  <c r="BN94" i="1"/>
  <c r="Z99" i="1"/>
  <c r="BN99" i="1"/>
  <c r="BP99" i="1"/>
  <c r="Z101" i="1"/>
  <c r="BN101" i="1"/>
  <c r="Y104" i="1"/>
  <c r="Z107" i="1"/>
  <c r="Z109" i="1" s="1"/>
  <c r="BN107" i="1"/>
  <c r="BP107" i="1"/>
  <c r="Z113" i="1"/>
  <c r="Z116" i="1" s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500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3" i="1"/>
  <c r="Z172" i="1" s="1"/>
  <c r="BN163" i="1"/>
  <c r="Z165" i="1"/>
  <c r="BN165" i="1"/>
  <c r="Z167" i="1"/>
  <c r="BN167" i="1"/>
  <c r="Z169" i="1"/>
  <c r="BN169" i="1"/>
  <c r="Z171" i="1"/>
  <c r="BN171" i="1"/>
  <c r="Y172" i="1"/>
  <c r="Z175" i="1"/>
  <c r="BN175" i="1"/>
  <c r="BP175" i="1"/>
  <c r="Z177" i="1"/>
  <c r="BN177" i="1"/>
  <c r="Y178" i="1"/>
  <c r="Z181" i="1"/>
  <c r="Z182" i="1" s="1"/>
  <c r="BN181" i="1"/>
  <c r="BP181" i="1"/>
  <c r="Y182" i="1"/>
  <c r="Z186" i="1"/>
  <c r="Z188" i="1" s="1"/>
  <c r="BN186" i="1"/>
  <c r="BP186" i="1"/>
  <c r="Y189" i="1"/>
  <c r="Z192" i="1"/>
  <c r="Z193" i="1" s="1"/>
  <c r="BN192" i="1"/>
  <c r="BP192" i="1"/>
  <c r="Z196" i="1"/>
  <c r="BN196" i="1"/>
  <c r="Z198" i="1"/>
  <c r="BN198" i="1"/>
  <c r="BP203" i="1"/>
  <c r="BN203" i="1"/>
  <c r="Z203" i="1"/>
  <c r="Y103" i="1"/>
  <c r="Y126" i="1"/>
  <c r="Y160" i="1"/>
  <c r="Y188" i="1"/>
  <c r="Y205" i="1"/>
  <c r="Y204" i="1"/>
  <c r="BP201" i="1"/>
  <c r="BN201" i="1"/>
  <c r="Z201" i="1"/>
  <c r="Z207" i="1"/>
  <c r="BN207" i="1"/>
  <c r="BP207" i="1"/>
  <c r="Z209" i="1"/>
  <c r="BN209" i="1"/>
  <c r="Z211" i="1"/>
  <c r="BN211" i="1"/>
  <c r="Z213" i="1"/>
  <c r="BN213" i="1"/>
  <c r="Z215" i="1"/>
  <c r="BN215" i="1"/>
  <c r="Y216" i="1"/>
  <c r="Z219" i="1"/>
  <c r="Z221" i="1" s="1"/>
  <c r="BN219" i="1"/>
  <c r="BP219" i="1"/>
  <c r="Y222" i="1"/>
  <c r="K500" i="1"/>
  <c r="Z226" i="1"/>
  <c r="Z235" i="1" s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Z248" i="1"/>
  <c r="BN248" i="1"/>
  <c r="Z250" i="1"/>
  <c r="BN250" i="1"/>
  <c r="Y251" i="1"/>
  <c r="Z255" i="1"/>
  <c r="BN255" i="1"/>
  <c r="BP255" i="1"/>
  <c r="Z257" i="1"/>
  <c r="BN257" i="1"/>
  <c r="Z259" i="1"/>
  <c r="BN259" i="1"/>
  <c r="BP265" i="1"/>
  <c r="BN265" i="1"/>
  <c r="Z265" i="1"/>
  <c r="Z268" i="1" s="1"/>
  <c r="BP274" i="1"/>
  <c r="BN274" i="1"/>
  <c r="Z274" i="1"/>
  <c r="Z326" i="1"/>
  <c r="Y236" i="1"/>
  <c r="L500" i="1"/>
  <c r="Y261" i="1"/>
  <c r="BP267" i="1"/>
  <c r="BN267" i="1"/>
  <c r="Z267" i="1"/>
  <c r="Y269" i="1"/>
  <c r="Y275" i="1"/>
  <c r="BP272" i="1"/>
  <c r="BN272" i="1"/>
  <c r="Z272" i="1"/>
  <c r="Z275" i="1" s="1"/>
  <c r="O500" i="1"/>
  <c r="Y276" i="1"/>
  <c r="Z483" i="1"/>
  <c r="Y281" i="1"/>
  <c r="Y286" i="1"/>
  <c r="Y297" i="1"/>
  <c r="Y307" i="1"/>
  <c r="Y313" i="1"/>
  <c r="Y319" i="1"/>
  <c r="Y326" i="1"/>
  <c r="Y332" i="1"/>
  <c r="Y339" i="1"/>
  <c r="Y352" i="1"/>
  <c r="Y356" i="1"/>
  <c r="Y362" i="1"/>
  <c r="Y366" i="1"/>
  <c r="Y371" i="1"/>
  <c r="Y377" i="1"/>
  <c r="Y381" i="1"/>
  <c r="Y395" i="1"/>
  <c r="Y401" i="1"/>
  <c r="Y406" i="1"/>
  <c r="Y412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Y448" i="1"/>
  <c r="BP452" i="1"/>
  <c r="BN452" i="1"/>
  <c r="Z452" i="1"/>
  <c r="Z454" i="1" s="1"/>
  <c r="BP462" i="1"/>
  <c r="BN462" i="1"/>
  <c r="Z462" i="1"/>
  <c r="Y464" i="1"/>
  <c r="Y469" i="1"/>
  <c r="BP466" i="1"/>
  <c r="BN466" i="1"/>
  <c r="Z466" i="1"/>
  <c r="BP482" i="1"/>
  <c r="BN482" i="1"/>
  <c r="Z482" i="1"/>
  <c r="Y484" i="1"/>
  <c r="Z500" i="1"/>
  <c r="Y488" i="1"/>
  <c r="BP487" i="1"/>
  <c r="BN487" i="1"/>
  <c r="Z487" i="1"/>
  <c r="Z488" i="1" s="1"/>
  <c r="Y489" i="1"/>
  <c r="S500" i="1"/>
  <c r="W500" i="1"/>
  <c r="M500" i="1"/>
  <c r="Y268" i="1"/>
  <c r="Z279" i="1"/>
  <c r="Z281" i="1" s="1"/>
  <c r="BN279" i="1"/>
  <c r="BP279" i="1"/>
  <c r="Y282" i="1"/>
  <c r="Z284" i="1"/>
  <c r="Z286" i="1" s="1"/>
  <c r="BN284" i="1"/>
  <c r="BP284" i="1"/>
  <c r="Z291" i="1"/>
  <c r="Z296" i="1" s="1"/>
  <c r="BN291" i="1"/>
  <c r="Z293" i="1"/>
  <c r="BN293" i="1"/>
  <c r="Z295" i="1"/>
  <c r="BN295" i="1"/>
  <c r="Y296" i="1"/>
  <c r="Z299" i="1"/>
  <c r="BN299" i="1"/>
  <c r="BP299" i="1"/>
  <c r="Z301" i="1"/>
  <c r="BN301" i="1"/>
  <c r="Z303" i="1"/>
  <c r="BN303" i="1"/>
  <c r="Z305" i="1"/>
  <c r="BN305" i="1"/>
  <c r="Z309" i="1"/>
  <c r="Z313" i="1" s="1"/>
  <c r="BN309" i="1"/>
  <c r="BP309" i="1"/>
  <c r="Z311" i="1"/>
  <c r="BN311" i="1"/>
  <c r="Z317" i="1"/>
  <c r="Z319" i="1" s="1"/>
  <c r="BN317" i="1"/>
  <c r="Z324" i="1"/>
  <c r="BN324" i="1"/>
  <c r="Z330" i="1"/>
  <c r="Z332" i="1" s="1"/>
  <c r="BN330" i="1"/>
  <c r="R500" i="1"/>
  <c r="Z337" i="1"/>
  <c r="Z339" i="1" s="1"/>
  <c r="BN337" i="1"/>
  <c r="Y340" i="1"/>
  <c r="Z345" i="1"/>
  <c r="Z351" i="1" s="1"/>
  <c r="BN345" i="1"/>
  <c r="Z348" i="1"/>
  <c r="BN348" i="1"/>
  <c r="Z350" i="1"/>
  <c r="BN350" i="1"/>
  <c r="Z354" i="1"/>
  <c r="Z356" i="1" s="1"/>
  <c r="BN354" i="1"/>
  <c r="BP354" i="1"/>
  <c r="Z360" i="1"/>
  <c r="Z361" i="1" s="1"/>
  <c r="BN360" i="1"/>
  <c r="Z364" i="1"/>
  <c r="Z365" i="1" s="1"/>
  <c r="BN364" i="1"/>
  <c r="BP364" i="1"/>
  <c r="Z369" i="1"/>
  <c r="Z371" i="1" s="1"/>
  <c r="BN369" i="1"/>
  <c r="BP369" i="1"/>
  <c r="Y372" i="1"/>
  <c r="Z375" i="1"/>
  <c r="Z376" i="1" s="1"/>
  <c r="BN375" i="1"/>
  <c r="Z379" i="1"/>
  <c r="Z381" i="1" s="1"/>
  <c r="BN379" i="1"/>
  <c r="BP379" i="1"/>
  <c r="Z387" i="1"/>
  <c r="Z395" i="1" s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X500" i="1"/>
  <c r="Y433" i="1"/>
  <c r="Z423" i="1"/>
  <c r="Z433" i="1" s="1"/>
  <c r="BN423" i="1"/>
  <c r="BP424" i="1"/>
  <c r="BN424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BP446" i="1"/>
  <c r="BN446" i="1"/>
  <c r="Z446" i="1"/>
  <c r="Y455" i="1"/>
  <c r="Y454" i="1"/>
  <c r="BP460" i="1"/>
  <c r="BN460" i="1"/>
  <c r="Z460" i="1"/>
  <c r="Z463" i="1" s="1"/>
  <c r="BP468" i="1"/>
  <c r="BN468" i="1"/>
  <c r="Z468" i="1"/>
  <c r="Y470" i="1"/>
  <c r="Y475" i="1"/>
  <c r="BP472" i="1"/>
  <c r="BN472" i="1"/>
  <c r="Z472" i="1"/>
  <c r="Z474" i="1" s="1"/>
  <c r="Y483" i="1"/>
  <c r="Y500" i="1"/>
  <c r="Z469" i="1" l="1"/>
  <c r="Z439" i="1"/>
  <c r="Z448" i="1"/>
  <c r="Z412" i="1"/>
  <c r="Z306" i="1"/>
  <c r="Z260" i="1"/>
  <c r="Z251" i="1"/>
  <c r="Z216" i="1"/>
  <c r="Z204" i="1"/>
  <c r="Y490" i="1"/>
  <c r="Z57" i="1"/>
  <c r="Y494" i="1"/>
  <c r="Y491" i="1"/>
  <c r="Z178" i="1"/>
  <c r="Z103" i="1"/>
  <c r="Y492" i="1"/>
  <c r="Z495" i="1"/>
  <c r="Y493" i="1" l="1"/>
</calcChain>
</file>

<file path=xl/sharedStrings.xml><?xml version="1.0" encoding="utf-8"?>
<sst xmlns="http://schemas.openxmlformats.org/spreadsheetml/2006/main" count="2239" uniqueCount="775">
  <si>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</si>
  <si>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</si>
  <si>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</si>
  <si>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</si>
  <si>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</si>
  <si>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</si>
  <si>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</si>
  <si>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</si>
  <si>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</si>
  <si>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</si>
  <si>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</si>
  <si>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</si>
  <si>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</si>
  <si>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</si>
  <si>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</si>
  <si>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</si>
  <si>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</si>
  <si>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</si>
  <si>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</si>
  <si>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</si>
  <si>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</si>
  <si>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</si>
  <si>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</si>
  <si>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</si>
  <si>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</si>
  <si>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</si>
  <si>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</si>
  <si>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</si>
  <si>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</si>
  <si>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</si>
  <si>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</si>
  <si>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</si>
  <si>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</si>
  <si>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</si>
  <si>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</si>
  <si>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</si>
  <si>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</si>
  <si>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</si>
  <si>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</si>
  <si>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</si>
  <si>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</si>
  <si>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</si>
  <si>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</si>
  <si>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</si>
  <si>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</si>
  <si>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</si>
  <si>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</si>
  <si>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</si>
  <si>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</si>
  <si>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</si>
  <si>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</si>
  <si>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</si>
  <si>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</si>
  <si>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</si>
  <si>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</si>
  <si>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</si>
  <si>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</si>
  <si>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</si>
  <si>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</si>
  <si>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</si>
  <si>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</si>
  <si>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</si>
  <si>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</si>
  <si>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</si>
  <si>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</si>
  <si>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</si>
  <si>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</si>
  <si>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</si>
  <si>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</si>
  <si>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</si>
  <si>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</si>
  <si>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</si>
  <si>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</si>
  <si>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</si>
  <si>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</si>
  <si>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</si>
  <si>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</si>
  <si>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</si>
  <si>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</si>
  <si>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</si>
  <si>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</si>
  <si>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</si>
  <si>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</si>
  <si>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</si>
  <si>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</si>
  <si>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</si>
  <si>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</si>
  <si>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</si>
  <si>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</si>
  <si>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</si>
  <si>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</si>
  <si>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</si>
  <si>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</si>
  <si>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</si>
  <si>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</si>
  <si>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</si>
  <si>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</si>
  <si>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</si>
  <si>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</si>
  <si>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</si>
  <si>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</si>
  <si>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</si>
  <si>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</si>
  <si>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</si>
  <si>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</si>
  <si>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</si>
  <si>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</si>
  <si>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</si>
  <si>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</si>
  <si>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</si>
  <si>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</si>
  <si>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360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</si>
  <si>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</si>
  <si>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</si>
  <si>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</si>
  <si>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</si>
  <si>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</si>
  <si>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</si>
  <si>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</si>
  <si>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</si>
  <si>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</si>
  <si>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</si>
  <si>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</si>
  <si>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</si>
  <si>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</si>
  <si>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</si>
  <si>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</si>
  <si>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</si>
  <si>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</si>
  <si>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</si>
  <si>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</si>
  <si>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</si>
  <si>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</si>
  <si>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</si>
  <si>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</si>
  <si>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Короб, мин. 270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</si>
  <si>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</si>
  <si>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</si>
  <si>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</si>
  <si>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</si>
  <si>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</si>
  <si>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</si>
  <si>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</si>
  <si>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</si>
  <si>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</si>
  <si>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</si>
  <si>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</si>
  <si>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</si>
  <si>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</si>
  <si>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</si>
  <si>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</si>
  <si>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</si>
  <si>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</si>
  <si>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</si>
  <si>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</si>
  <si>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</si>
  <si>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</si>
  <si>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</si>
  <si>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</si>
  <si>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</si>
  <si>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</si>
  <si>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</si>
  <si>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</si>
  <si>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</si>
  <si>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</si>
  <si>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</si>
  <si>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</si>
  <si>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</si>
  <si>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</si>
  <si>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</si>
  <si>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</si>
  <si>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</si>
  <si>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</si>
  <si>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</si>
  <si>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</si>
  <si>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</si>
  <si>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</si>
  <si>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</si>
  <si>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</si>
  <si>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</si>
  <si>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Короб, мин. 450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</si>
  <si>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</si>
  <si>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</si>
  <si>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</si>
  <si>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</si>
  <si>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</si>
  <si>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</si>
  <si>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</si>
  <si>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</si>
  <si>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</si>
  <si>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</si>
  <si>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</si>
  <si>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</si>
  <si>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</si>
  <si>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</si>
  <si>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</si>
  <si>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</si>
  <si>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</si>
  <si>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</si>
  <si>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</si>
  <si>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</si>
  <si>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</si>
  <si>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</si>
  <si>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</si>
  <si>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</si>
  <si>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</si>
  <si>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</si>
  <si>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</si>
  <si>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</si>
  <si>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</si>
  <si>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</si>
  <si>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</si>
  <si>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</si>
  <si>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</si>
  <si>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</si>
  <si>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</si>
  <si>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</si>
  <si>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</si>
  <si>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</si>
  <si>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</si>
  <si>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</si>
  <si>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</si>
  <si>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</si>
  <si>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</si>
  <si>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</si>
  <si>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</si>
  <si>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</si>
  <si>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</si>
  <si>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</si>
  <si>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</si>
  <si>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</si>
  <si>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</si>
  <si>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</si>
  <si>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</si>
  <si>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</si>
  <si>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</si>
  <si>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</si>
  <si>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</si>
  <si>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</si>
  <si>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</si>
  <si>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</si>
  <si>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</si>
  <si>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</si>
  <si>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</si>
  <si>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</si>
  <si>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</si>
  <si>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</si>
  <si>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</si>
  <si>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</si>
  <si>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</si>
  <si>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</si>
  <si>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</si>
  <si>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</si>
  <si>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</si>
  <si>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</si>
  <si>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</si>
  <si>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</si>
  <si>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</si>
  <si>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</si>
  <si>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</si>
  <si>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</si>
  <si>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</si>
  <si>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</si>
  <si>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</si>
  <si>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</si>
  <si>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</si>
  <si>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</si>
  <si>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</si>
  <si>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</si>
  <si>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</si>
  <si>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</si>
  <si>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</si>
  <si>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</si>
  <si>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</si>
  <si>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</si>
  <si>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</si>
  <si>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</si>
  <si>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</si>
  <si>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</si>
  <si>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</si>
  <si>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</si>
  <si>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</si>
  <si>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</si>
  <si>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</si>
  <si>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</si>
  <si>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</si>
  <si>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</si>
  <si>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</si>
  <si>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</si>
  <si>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</si>
  <si>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</si>
  <si>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</si>
  <si>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</si>
  <si>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</si>
  <si>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</si>
  <si>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</si>
  <si>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</si>
  <si>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</si>
  <si>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</si>
  <si>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</si>
  <si>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</si>
  <si>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</si>
  <si>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</si>
  <si>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</si>
  <si>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</si>
  <si>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</si>
  <si>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</si>
  <si>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</si>
  <si>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</si>
  <si>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</si>
  <si>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</si>
  <si>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</si>
  <si>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</si>
  <si>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</si>
  <si>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</si>
  <si>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</si>
  <si>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</si>
  <si>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</si>
  <si>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</si>
  <si>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</si>
  <si>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</si>
  <si>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</si>
  <si>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</si>
  <si>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</si>
  <si>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</si>
  <si>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</si>
  <si>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</si>
  <si>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</si>
  <si>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</si>
  <si>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</si>
  <si>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</si>
  <si>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</si>
  <si>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</si>
  <si>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</si>
  <si>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</si>
  <si>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</si>
  <si>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</si>
  <si>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</si>
  <si>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</si>
  <si>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</si>
  <si>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</si>
  <si>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</si>
  <si>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</si>
  <si>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</si>
  <si>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</si>
  <si>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</si>
  <si>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</si>
  <si>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</si>
  <si>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</si>
  <si>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</si>
  <si>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</si>
  <si>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</si>
  <si>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</si>
  <si>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</si>
  <si>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</si>
  <si>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</si>
  <si>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</si>
  <si>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</si>
  <si>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</si>
  <si>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</si>
  <si>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</si>
  <si>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</si>
  <si>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</si>
  <si>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</si>
  <si>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</si>
  <si>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</si>
  <si>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</si>
  <si>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</si>
  <si>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</si>
  <si>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</si>
  <si>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</si>
  <si>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</si>
  <si>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</si>
  <si>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</si>
  <si>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</si>
  <si>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</si>
  <si>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</si>
  <si>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</si>
  <si>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</si>
  <si>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</si>
  <si>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</si>
  <si>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</si>
  <si>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</si>
  <si>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</si>
  <si>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</si>
  <si>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</si>
  <si>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</si>
  <si>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</si>
  <si>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</si>
  <si>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</si>
  <si>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</si>
  <si>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</si>
  <si>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</si>
  <si>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</si>
  <si>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</si>
  <si>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</si>
  <si>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</si>
  <si>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</si>
  <si>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</si>
  <si>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</si>
  <si>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</si>
  <si>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</si>
  <si>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</si>
  <si>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</si>
  <si>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</si>
  <si>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</si>
  <si>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</si>
  <si>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</si>
  <si>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</si>
  <si>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</si>
  <si>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</si>
  <si>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</si>
  <si>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</si>
  <si>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</si>
  <si>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</si>
  <si>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</si>
  <si>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</si>
  <si>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</si>
  <si>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</si>
  <si>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</si>
  <si>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</si>
  <si>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</si>
  <si>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</si>
  <si>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</si>
  <si>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</si>
  <si>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</si>
  <si>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</si>
  <si>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</si>
  <si>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</si>
  <si>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</si>
  <si>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</si>
  <si>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</si>
  <si>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</si>
  <si>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</si>
  <si>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</si>
  <si>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</si>
  <si>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</si>
  <si>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</si>
  <si>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</si>
  <si>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</si>
  <si>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</si>
  <si>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</si>
  <si>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</si>
  <si>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</si>
  <si>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</si>
  <si>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</si>
  <si>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</si>
  <si>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</si>
  <si>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</si>
  <si>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</si>
  <si>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</si>
  <si>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</si>
  <si>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</si>
  <si>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</si>
  <si>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</si>
  <si>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</si>
  <si>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</si>
  <si>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</si>
  <si>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</si>
  <si>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</si>
  <si>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</si>
  <si>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</si>
  <si>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</si>
  <si>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</si>
  <si>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</si>
  <si>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</si>
  <si>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</si>
  <si>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</si>
  <si>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</si>
  <si>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</si>
  <si>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</si>
  <si>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</si>
  <si>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</si>
  <si>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</si>
  <si>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</si>
  <si>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</si>
  <si>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</si>
  <si>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</si>
  <si>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</si>
  <si>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</si>
  <si>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</si>
  <si>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</si>
  <si>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</si>
  <si>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</si>
  <si>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</si>
  <si>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</si>
  <si>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</si>
  <si>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</si>
  <si>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</si>
  <si>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</si>
  <si>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</si>
  <si>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</si>
  <si>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</si>
  <si>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</si>
  <si>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</si>
  <si>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</si>
  <si>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</si>
  <si>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</si>
  <si>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</si>
  <si>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</si>
  <si>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</si>
  <si>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</si>
  <si>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</si>
  <si>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</si>
  <si>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</si>
  <si>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</si>
  <si>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</si>
  <si>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</si>
  <si>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</si>
  <si>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</si>
  <si>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</si>
  <si>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</si>
  <si>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</si>
  <si>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</si>
  <si>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</si>
  <si>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</si>
  <si>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</si>
  <si>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</si>
  <si>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</si>
  <si>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</si>
  <si>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</si>
  <si>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</si>
  <si>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</si>
  <si>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</si>
  <si>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</si>
  <si>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</si>
  <si>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</si>
  <si>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</si>
  <si>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</si>
  <si>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</si>
  <si>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</si>
  <si>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</si>
  <si>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</si>
  <si>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</si>
  <si>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</si>
  <si>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</si>
  <si>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</si>
  <si>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</si>
  <si>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</si>
  <si>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</si>
  <si>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</si>
  <si>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</si>
  <si>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</si>
  <si>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</si>
  <si>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</si>
  <si>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</si>
  <si>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</si>
  <si>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</si>
  <si>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</si>
  <si>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</si>
  <si>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</si>
  <si>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Короб, мин. 705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</si>
  <si>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</si>
  <si>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</si>
  <si>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</si>
  <si>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</si>
  <si>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</si>
  <si>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</si>
  <si>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</si>
  <si>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</si>
  <si>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</si>
  <si>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</si>
  <si>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</si>
  <si>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</si>
  <si>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</si>
  <si>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</si>
  <si>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</si>
  <si>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</si>
  <si>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</si>
  <si>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Короб, мин. 1005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</si>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</sst>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794" t="s">
        <v>0</v>
      </c>
      <c r="E1" s="570"/>
      <c r="F1" s="570"/>
      <c r="G1" s="12" t="s">
        <v>1</v>
      </c>
      <c r="H1" s="79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848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761" t="s">
        <v>8</v>
      </c>
      <c r="B5" s="599"/>
      <c r="C5" s="577"/>
      <c r="D5" s="659"/>
      <c r="E5" s="661"/>
      <c r="F5" s="609" t="s">
        <v>9</v>
      </c>
      <c r="G5" s="577"/>
      <c r="H5" s="659"/>
      <c r="I5" s="660"/>
      <c r="J5" s="660"/>
      <c r="K5" s="660"/>
      <c r="L5" s="660"/>
      <c r="M5" s="661"/>
      <c r="N5" s="58"/>
      <c r="P5" s="24" t="s">
        <v>10</v>
      </c>
      <c r="Q5" s="578">
        <v>45977</v>
      </c>
      <c r="R5" s="579"/>
      <c r="T5" s="730" t="s">
        <v>11</v>
      </c>
      <c r="U5" s="724"/>
      <c r="V5" s="731" t="s">
        <v>12</v>
      </c>
      <c r="W5" s="579"/>
      <c r="AB5" s="51"/>
      <c r="AC5" s="51"/>
      <c r="AD5" s="51"/>
      <c r="AE5" s="51"/>
    </row>
    <row r="6" spans="1:32" s="537" customFormat="1" ht="24" customHeight="1" x14ac:dyDescent="0.2">
      <c r="A6" s="761" t="s">
        <v>13</v>
      </c>
      <c r="B6" s="599"/>
      <c r="C6" s="577"/>
      <c r="D6" s="664" t="s">
        <v>14</v>
      </c>
      <c r="E6" s="665"/>
      <c r="F6" s="665"/>
      <c r="G6" s="665"/>
      <c r="H6" s="665"/>
      <c r="I6" s="665"/>
      <c r="J6" s="665"/>
      <c r="K6" s="665"/>
      <c r="L6" s="665"/>
      <c r="M6" s="579"/>
      <c r="N6" s="59"/>
      <c r="P6" s="24" t="s">
        <v>15</v>
      </c>
      <c r="Q6" s="584" t="str">
        <f>IF(Q5=0," ",CHOOSE(WEEKDAY(Q5,2),"Понедельник","Вторник","Среда","Четверг","Пятница","Суббота","Воскресенье"))</f>
        <v>Воскресенье</v>
      </c>
      <c r="R6" s="553"/>
      <c r="T6" s="741" t="s">
        <v>16</v>
      </c>
      <c r="U6" s="724"/>
      <c r="V6" s="671" t="s">
        <v>17</v>
      </c>
      <c r="W6" s="672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35"/>
      <c r="N7" s="60"/>
      <c r="P7" s="24"/>
      <c r="Q7" s="42"/>
      <c r="R7" s="42"/>
      <c r="T7" s="555"/>
      <c r="U7" s="724"/>
      <c r="V7" s="673"/>
      <c r="W7" s="674"/>
      <c r="AB7" s="51"/>
      <c r="AC7" s="51"/>
      <c r="AD7" s="51"/>
      <c r="AE7" s="51"/>
    </row>
    <row r="8" spans="1:32" s="537" customFormat="1" ht="25.5" customHeight="1" x14ac:dyDescent="0.2">
      <c r="A8" s="562" t="s">
        <v>18</v>
      </c>
      <c r="B8" s="560"/>
      <c r="C8" s="561"/>
      <c r="D8" s="815" t="s">
        <v>19</v>
      </c>
      <c r="E8" s="816"/>
      <c r="F8" s="816"/>
      <c r="G8" s="816"/>
      <c r="H8" s="816"/>
      <c r="I8" s="816"/>
      <c r="J8" s="816"/>
      <c r="K8" s="816"/>
      <c r="L8" s="816"/>
      <c r="M8" s="817"/>
      <c r="N8" s="61"/>
      <c r="P8" s="24" t="s">
        <v>20</v>
      </c>
      <c r="Q8" s="734">
        <v>0.375</v>
      </c>
      <c r="R8" s="735"/>
      <c r="T8" s="555"/>
      <c r="U8" s="724"/>
      <c r="V8" s="673"/>
      <c r="W8" s="674"/>
      <c r="AB8" s="51"/>
      <c r="AC8" s="51"/>
      <c r="AD8" s="51"/>
      <c r="AE8" s="51"/>
    </row>
    <row r="9" spans="1:32" s="537" customFormat="1" ht="39.950000000000003" customHeight="1" x14ac:dyDescent="0.2">
      <c r="A9" s="5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0"/>
      <c r="E9" s="621"/>
      <c r="F9" s="5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06" t="str">
        <f>IF(AND($A$9="Тип доверенности/получателя при получении в адресе перегруза:",$D$9="Разовая доверенность"),"Введите ФИО","")</f>
        <v/>
      </c>
      <c r="I9" s="621"/>
      <c r="J9" s="7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1"/>
      <c r="L9" s="621"/>
      <c r="M9" s="621"/>
      <c r="N9" s="535"/>
      <c r="P9" s="26" t="s">
        <v>21</v>
      </c>
      <c r="Q9" s="774"/>
      <c r="R9" s="613"/>
      <c r="T9" s="555"/>
      <c r="U9" s="724"/>
      <c r="V9" s="675"/>
      <c r="W9" s="676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5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0"/>
      <c r="E10" s="621"/>
      <c r="F10" s="5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88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21"/>
      <c r="R10" s="722"/>
      <c r="U10" s="24" t="s">
        <v>23</v>
      </c>
      <c r="V10" s="839" t="s">
        <v>24</v>
      </c>
      <c r="W10" s="672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6"/>
      <c r="R11" s="579"/>
      <c r="U11" s="24" t="s">
        <v>27</v>
      </c>
      <c r="V11" s="612" t="s">
        <v>28</v>
      </c>
      <c r="W11" s="613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3" t="s">
        <v>29</v>
      </c>
      <c r="B12" s="599"/>
      <c r="C12" s="599"/>
      <c r="D12" s="599"/>
      <c r="E12" s="599"/>
      <c r="F12" s="599"/>
      <c r="G12" s="599"/>
      <c r="H12" s="599"/>
      <c r="I12" s="599"/>
      <c r="J12" s="599"/>
      <c r="K12" s="599"/>
      <c r="L12" s="599"/>
      <c r="M12" s="577"/>
      <c r="N12" s="62"/>
      <c r="P12" s="24" t="s">
        <v>30</v>
      </c>
      <c r="Q12" s="734"/>
      <c r="R12" s="735"/>
      <c r="S12" s="23"/>
      <c r="U12" s="24"/>
      <c r="V12" s="570"/>
      <c r="W12" s="555"/>
      <c r="AB12" s="51"/>
      <c r="AC12" s="51"/>
      <c r="AD12" s="51"/>
      <c r="AE12" s="51"/>
    </row>
    <row r="13" spans="1:32" s="537" customFormat="1" ht="23.25" customHeight="1" x14ac:dyDescent="0.2">
      <c r="A13" s="713" t="s">
        <v>31</v>
      </c>
      <c r="B13" s="599"/>
      <c r="C13" s="599"/>
      <c r="D13" s="599"/>
      <c r="E13" s="599"/>
      <c r="F13" s="599"/>
      <c r="G13" s="599"/>
      <c r="H13" s="599"/>
      <c r="I13" s="599"/>
      <c r="J13" s="599"/>
      <c r="K13" s="599"/>
      <c r="L13" s="599"/>
      <c r="M13" s="577"/>
      <c r="N13" s="62"/>
      <c r="O13" s="26"/>
      <c r="P13" s="26" t="s">
        <v>32</v>
      </c>
      <c r="Q13" s="612"/>
      <c r="R13" s="6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3" t="s">
        <v>33</v>
      </c>
      <c r="B14" s="599"/>
      <c r="C14" s="599"/>
      <c r="D14" s="599"/>
      <c r="E14" s="599"/>
      <c r="F14" s="599"/>
      <c r="G14" s="599"/>
      <c r="H14" s="599"/>
      <c r="I14" s="599"/>
      <c r="J14" s="599"/>
      <c r="K14" s="599"/>
      <c r="L14" s="599"/>
      <c r="M14" s="5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15" t="s">
        <v>34</v>
      </c>
      <c r="B15" s="599"/>
      <c r="C15" s="599"/>
      <c r="D15" s="599"/>
      <c r="E15" s="599"/>
      <c r="F15" s="599"/>
      <c r="G15" s="599"/>
      <c r="H15" s="599"/>
      <c r="I15" s="599"/>
      <c r="J15" s="599"/>
      <c r="K15" s="599"/>
      <c r="L15" s="599"/>
      <c r="M15" s="577"/>
      <c r="N15" s="63"/>
      <c r="P15" s="750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1"/>
      <c r="Q16" s="751"/>
      <c r="R16" s="751"/>
      <c r="S16" s="751"/>
      <c r="T16" s="75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7" t="s">
        <v>36</v>
      </c>
      <c r="B17" s="557" t="s">
        <v>37</v>
      </c>
      <c r="C17" s="763" t="s">
        <v>38</v>
      </c>
      <c r="D17" s="557" t="s">
        <v>39</v>
      </c>
      <c r="E17" s="566"/>
      <c r="F17" s="557" t="s">
        <v>40</v>
      </c>
      <c r="G17" s="557" t="s">
        <v>41</v>
      </c>
      <c r="H17" s="557" t="s">
        <v>42</v>
      </c>
      <c r="I17" s="557" t="s">
        <v>43</v>
      </c>
      <c r="J17" s="557" t="s">
        <v>44</v>
      </c>
      <c r="K17" s="557" t="s">
        <v>45</v>
      </c>
      <c r="L17" s="557" t="s">
        <v>46</v>
      </c>
      <c r="M17" s="557" t="s">
        <v>47</v>
      </c>
      <c r="N17" s="557" t="s">
        <v>48</v>
      </c>
      <c r="O17" s="557" t="s">
        <v>49</v>
      </c>
      <c r="P17" s="557" t="s">
        <v>50</v>
      </c>
      <c r="Q17" s="802"/>
      <c r="R17" s="802"/>
      <c r="S17" s="802"/>
      <c r="T17" s="566"/>
      <c r="U17" s="576" t="s">
        <v>51</v>
      </c>
      <c r="V17" s="577"/>
      <c r="W17" s="557" t="s">
        <v>52</v>
      </c>
      <c r="X17" s="557" t="s">
        <v>53</v>
      </c>
      <c r="Y17" s="573" t="s">
        <v>54</v>
      </c>
      <c r="Z17" s="683" t="s">
        <v>55</v>
      </c>
      <c r="AA17" s="603" t="s">
        <v>56</v>
      </c>
      <c r="AB17" s="603" t="s">
        <v>57</v>
      </c>
      <c r="AC17" s="603" t="s">
        <v>58</v>
      </c>
      <c r="AD17" s="603" t="s">
        <v>59</v>
      </c>
      <c r="AE17" s="604"/>
      <c r="AF17" s="605"/>
      <c r="AG17" s="66"/>
      <c r="BD17" s="65" t="s">
        <v>60</v>
      </c>
    </row>
    <row r="18" spans="1:68" ht="14.25" customHeight="1" x14ac:dyDescent="0.2">
      <c r="A18" s="558"/>
      <c r="B18" s="558"/>
      <c r="C18" s="558"/>
      <c r="D18" s="567"/>
      <c r="E18" s="568"/>
      <c r="F18" s="558"/>
      <c r="G18" s="558"/>
      <c r="H18" s="558"/>
      <c r="I18" s="558"/>
      <c r="J18" s="558"/>
      <c r="K18" s="558"/>
      <c r="L18" s="558"/>
      <c r="M18" s="558"/>
      <c r="N18" s="558"/>
      <c r="O18" s="558"/>
      <c r="P18" s="567"/>
      <c r="Q18" s="803"/>
      <c r="R18" s="803"/>
      <c r="S18" s="803"/>
      <c r="T18" s="568"/>
      <c r="U18" s="67" t="s">
        <v>61</v>
      </c>
      <c r="V18" s="67" t="s">
        <v>62</v>
      </c>
      <c r="W18" s="558"/>
      <c r="X18" s="558"/>
      <c r="Y18" s="574"/>
      <c r="Z18" s="684"/>
      <c r="AA18" s="658"/>
      <c r="AB18" s="658"/>
      <c r="AC18" s="658"/>
      <c r="AD18" s="606"/>
      <c r="AE18" s="607"/>
      <c r="AF18" s="608"/>
      <c r="AG18" s="66"/>
      <c r="BD18" s="65"/>
    </row>
    <row r="19" spans="1:68" ht="27.75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customHeight="1" x14ac:dyDescent="0.25">
      <c r="A20" s="595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3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2">
        <v>4680115886643</v>
      </c>
      <c r="E22" s="553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3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2">
        <v>4680115885912</v>
      </c>
      <c r="E26" s="553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 t="s">
        <v>77</v>
      </c>
      <c r="M26" s="33" t="s">
        <v>78</v>
      </c>
      <c r="N26" s="33"/>
      <c r="O26" s="32">
        <v>40</v>
      </c>
      <c r="P26" s="74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79</v>
      </c>
      <c r="AG26" s="64"/>
      <c r="AJ26" s="68" t="s">
        <v>80</v>
      </c>
      <c r="AK26" s="68">
        <v>25.2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4301051776</v>
      </c>
      <c r="D27" s="552">
        <v>4607091388237</v>
      </c>
      <c r="E27" s="553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78</v>
      </c>
      <c r="N27" s="33"/>
      <c r="O27" s="32">
        <v>40</v>
      </c>
      <c r="P27" s="7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83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84</v>
      </c>
      <c r="B28" s="54" t="s">
        <v>85</v>
      </c>
      <c r="C28" s="31">
        <v>4301052063</v>
      </c>
      <c r="D28" s="552">
        <v>4680115887350</v>
      </c>
      <c r="E28" s="553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86</v>
      </c>
      <c r="N28" s="33"/>
      <c r="O28" s="32">
        <v>40</v>
      </c>
      <c r="P28" s="8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88</v>
      </c>
      <c r="B29" s="54" t="s">
        <v>89</v>
      </c>
      <c r="C29" s="31">
        <v>4301051863</v>
      </c>
      <c r="D29" s="552">
        <v>4680115885905</v>
      </c>
      <c r="E29" s="553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/>
      <c r="M29" s="33" t="s">
        <v>86</v>
      </c>
      <c r="N29" s="33"/>
      <c r="O29" s="32">
        <v>40</v>
      </c>
      <c r="P29" s="8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90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2">
        <v>4607091388244</v>
      </c>
      <c r="E30" s="553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/>
      <c r="M30" s="33" t="s">
        <v>86</v>
      </c>
      <c r="N30" s="33"/>
      <c r="O30" s="32">
        <v>40</v>
      </c>
      <c r="P30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63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2">
        <v>4607091388503</v>
      </c>
      <c r="E34" s="553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631" t="s">
        <v>99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customHeight="1" x14ac:dyDescent="0.25">
      <c r="A38" s="595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3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2">
        <v>4607091385670</v>
      </c>
      <c r="E40" s="553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50</v>
      </c>
      <c r="Y40" s="544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107</v>
      </c>
      <c r="AG40" s="64"/>
      <c r="AJ40" s="68" t="s">
        <v>80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2">
        <v>4607091385687</v>
      </c>
      <c r="E41" s="553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78</v>
      </c>
      <c r="N41" s="33"/>
      <c r="O41" s="32">
        <v>50</v>
      </c>
      <c r="P41" s="65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80</v>
      </c>
      <c r="AK41" s="68">
        <v>1440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2">
        <v>4680115882539</v>
      </c>
      <c r="E42" s="553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78</v>
      </c>
      <c r="N42" s="33"/>
      <c r="O42" s="32">
        <v>50</v>
      </c>
      <c r="P42" s="8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5">
        <f>IFERROR(X40/H40,"0")+IFERROR(X41/H41,"0")+IFERROR(X42/H42,"0")</f>
        <v>4.6296296296296298</v>
      </c>
      <c r="Y43" s="545">
        <f>IFERROR(Y40/H40,"0")+IFERROR(Y41/H41,"0")+IFERROR(Y42/H42,"0")</f>
        <v>5</v>
      </c>
      <c r="Z43" s="545">
        <f>IFERROR(IF(Z40="",0,Z40),"0")+IFERROR(IF(Z41="",0,Z41),"0")+IFERROR(IF(Z42="",0,Z42),"0")</f>
        <v>9.4899999999999998E-2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5">
        <f>IFERROR(SUM(X40:X42),"0")</f>
        <v>50</v>
      </c>
      <c r="Y44" s="545">
        <f>IFERROR(SUM(Y40:Y42),"0")</f>
        <v>54</v>
      </c>
      <c r="Z44" s="37"/>
      <c r="AA44" s="546"/>
      <c r="AB44" s="546"/>
      <c r="AC44" s="546"/>
    </row>
    <row r="45" spans="1:68" ht="14.25" customHeight="1" x14ac:dyDescent="0.25">
      <c r="A45" s="563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2">
        <v>4680115884915</v>
      </c>
      <c r="E46" s="553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/>
      <c r="M46" s="33" t="s">
        <v>78</v>
      </c>
      <c r="N46" s="33"/>
      <c r="O46" s="32">
        <v>40</v>
      </c>
      <c r="P46" s="6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95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3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2">
        <v>4680115885882</v>
      </c>
      <c r="E51" s="553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/>
      <c r="M51" s="33" t="s">
        <v>78</v>
      </c>
      <c r="N51" s="33"/>
      <c r="O51" s="32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2">
        <v>4680115881426</v>
      </c>
      <c r="E52" s="553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2">
        <v>4680115880283</v>
      </c>
      <c r="E53" s="553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2">
        <v>4680115881525</v>
      </c>
      <c r="E54" s="553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2">
        <v>4680115885899</v>
      </c>
      <c r="E55" s="553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/>
      <c r="M55" s="33" t="s">
        <v>86</v>
      </c>
      <c r="N55" s="33"/>
      <c r="O55" s="32">
        <v>50</v>
      </c>
      <c r="P55" s="7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2">
        <v>4680115881419</v>
      </c>
      <c r="E56" s="553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 t="s">
        <v>135</v>
      </c>
      <c r="M56" s="33" t="s">
        <v>106</v>
      </c>
      <c r="N56" s="33"/>
      <c r="O56" s="32">
        <v>50</v>
      </c>
      <c r="P56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45</v>
      </c>
      <c r="Y56" s="544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136</v>
      </c>
      <c r="AG56" s="64"/>
      <c r="AJ56" s="68" t="s">
        <v>80</v>
      </c>
      <c r="AK56" s="68">
        <v>1215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5">
        <f>IFERROR(X51/H51,"0")+IFERROR(X52/H52,"0")+IFERROR(X53/H53,"0")+IFERROR(X54/H54,"0")+IFERROR(X55/H55,"0")+IFERROR(X56/H56,"0")</f>
        <v>10</v>
      </c>
      <c r="Y57" s="545">
        <f>IFERROR(Y51/H51,"0")+IFERROR(Y52/H52,"0")+IFERROR(Y53/H53,"0")+IFERROR(Y54/H54,"0")+IFERROR(Y55/H55,"0")+IFERROR(Y56/H56,"0")</f>
        <v>10</v>
      </c>
      <c r="Z57" s="545">
        <f>IFERROR(IF(Z51="",0,Z51),"0")+IFERROR(IF(Z52="",0,Z52),"0")+IFERROR(IF(Z53="",0,Z53),"0")+IFERROR(IF(Z54="",0,Z54),"0")+IFERROR(IF(Z55="",0,Z55),"0")+IFERROR(IF(Z56="",0,Z56),"0")</f>
        <v>9.0200000000000002E-2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5">
        <f>IFERROR(SUM(X51:X56),"0")</f>
        <v>45</v>
      </c>
      <c r="Y58" s="545">
        <f>IFERROR(SUM(Y51:Y56),"0")</f>
        <v>45</v>
      </c>
      <c r="Z58" s="37"/>
      <c r="AA58" s="546"/>
      <c r="AB58" s="546"/>
      <c r="AC58" s="546"/>
    </row>
    <row r="59" spans="1:68" ht="14.25" customHeight="1" x14ac:dyDescent="0.25">
      <c r="A59" s="563" t="s">
        <v>137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138</v>
      </c>
      <c r="B60" s="54" t="s">
        <v>139</v>
      </c>
      <c r="C60" s="31">
        <v>4301020298</v>
      </c>
      <c r="D60" s="552">
        <v>4680115881440</v>
      </c>
      <c r="E60" s="553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5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140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141</v>
      </c>
      <c r="B61" s="54" t="s">
        <v>142</v>
      </c>
      <c r="C61" s="31">
        <v>4301020358</v>
      </c>
      <c r="D61" s="552">
        <v>4680115885950</v>
      </c>
      <c r="E61" s="553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78</v>
      </c>
      <c r="N61" s="33"/>
      <c r="O61" s="32">
        <v>50</v>
      </c>
      <c r="P61" s="6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140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143</v>
      </c>
      <c r="B62" s="54" t="s">
        <v>144</v>
      </c>
      <c r="C62" s="31">
        <v>4301020296</v>
      </c>
      <c r="D62" s="552">
        <v>4680115881433</v>
      </c>
      <c r="E62" s="553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 t="s">
        <v>77</v>
      </c>
      <c r="M62" s="33" t="s">
        <v>106</v>
      </c>
      <c r="N62" s="33"/>
      <c r="O62" s="32">
        <v>50</v>
      </c>
      <c r="P62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 t="s">
        <v>80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customHeight="1" x14ac:dyDescent="0.25">
      <c r="A65" s="563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145</v>
      </c>
      <c r="B66" s="54" t="s">
        <v>146</v>
      </c>
      <c r="C66" s="31">
        <v>4301031243</v>
      </c>
      <c r="D66" s="552">
        <v>4680115885073</v>
      </c>
      <c r="E66" s="553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147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148</v>
      </c>
      <c r="B67" s="54" t="s">
        <v>149</v>
      </c>
      <c r="C67" s="31">
        <v>4301031241</v>
      </c>
      <c r="D67" s="552">
        <v>4680115885059</v>
      </c>
      <c r="E67" s="553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4301031316</v>
      </c>
      <c r="D68" s="552">
        <v>4680115885097</v>
      </c>
      <c r="E68" s="553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8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3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154</v>
      </c>
      <c r="B72" s="54" t="s">
        <v>155</v>
      </c>
      <c r="C72" s="31">
        <v>4301051846</v>
      </c>
      <c r="D72" s="552">
        <v>4680115885769</v>
      </c>
      <c r="E72" s="553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78</v>
      </c>
      <c r="N72" s="33"/>
      <c r="O72" s="32">
        <v>45</v>
      </c>
      <c r="P72" s="58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156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157</v>
      </c>
      <c r="B73" s="54" t="s">
        <v>158</v>
      </c>
      <c r="C73" s="31">
        <v>4301051837</v>
      </c>
      <c r="D73" s="552">
        <v>4680115884311</v>
      </c>
      <c r="E73" s="553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/>
      <c r="M73" s="33" t="s">
        <v>78</v>
      </c>
      <c r="N73" s="33"/>
      <c r="O73" s="32">
        <v>40</v>
      </c>
      <c r="P73" s="8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160</v>
      </c>
      <c r="B74" s="54" t="s">
        <v>161</v>
      </c>
      <c r="C74" s="31">
        <v>4301051844</v>
      </c>
      <c r="D74" s="552">
        <v>4680115885929</v>
      </c>
      <c r="E74" s="553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78</v>
      </c>
      <c r="N74" s="33"/>
      <c r="O74" s="32">
        <v>45</v>
      </c>
      <c r="P74" s="7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156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4301051929</v>
      </c>
      <c r="D75" s="552">
        <v>4680115884403</v>
      </c>
      <c r="E75" s="553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/>
      <c r="M75" s="33" t="s">
        <v>78</v>
      </c>
      <c r="N75" s="33"/>
      <c r="O75" s="32">
        <v>40</v>
      </c>
      <c r="P75" s="6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164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63" t="s">
        <v>165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166</v>
      </c>
      <c r="B79" s="54" t="s">
        <v>167</v>
      </c>
      <c r="C79" s="31">
        <v>4301060455</v>
      </c>
      <c r="D79" s="552">
        <v>4680115881532</v>
      </c>
      <c r="E79" s="553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8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168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169</v>
      </c>
      <c r="B80" s="54" t="s">
        <v>170</v>
      </c>
      <c r="C80" s="31">
        <v>4301060351</v>
      </c>
      <c r="D80" s="552">
        <v>4680115881464</v>
      </c>
      <c r="E80" s="553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/>
      <c r="M80" s="33" t="s">
        <v>78</v>
      </c>
      <c r="N80" s="33"/>
      <c r="O80" s="32">
        <v>30</v>
      </c>
      <c r="P80" s="68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171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95" t="s">
        <v>172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3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552">
        <v>4680115881327</v>
      </c>
      <c r="E85" s="553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175</v>
      </c>
      <c r="AG85" s="64"/>
      <c r="AJ85" s="68" t="s">
        <v>80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2">
        <v>4680115881518</v>
      </c>
      <c r="E86" s="553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78</v>
      </c>
      <c r="N86" s="33"/>
      <c r="O86" s="32">
        <v>50</v>
      </c>
      <c r="P86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2">
        <v>4680115881303</v>
      </c>
      <c r="E87" s="553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180</v>
      </c>
      <c r="M87" s="33" t="s">
        <v>86</v>
      </c>
      <c r="N87" s="33"/>
      <c r="O87" s="32">
        <v>50</v>
      </c>
      <c r="P87" s="72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45</v>
      </c>
      <c r="Y87" s="544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175</v>
      </c>
      <c r="AG87" s="64"/>
      <c r="AJ87" s="68" t="s">
        <v>80</v>
      </c>
      <c r="AK87" s="68">
        <v>2025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5">
        <f>IFERROR(X85/H85,"0")+IFERROR(X86/H86,"0")+IFERROR(X87/H87,"0")</f>
        <v>10</v>
      </c>
      <c r="Y88" s="545">
        <f>IFERROR(Y85/H85,"0")+IFERROR(Y86/H86,"0")+IFERROR(Y87/H87,"0")</f>
        <v>10</v>
      </c>
      <c r="Z88" s="545">
        <f>IFERROR(IF(Z85="",0,Z85),"0")+IFERROR(IF(Z86="",0,Z86),"0")+IFERROR(IF(Z87="",0,Z87),"0")</f>
        <v>9.0200000000000002E-2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5">
        <f>IFERROR(SUM(X85:X87),"0")</f>
        <v>45</v>
      </c>
      <c r="Y89" s="545">
        <f>IFERROR(SUM(Y85:Y87),"0")</f>
        <v>45</v>
      </c>
      <c r="Z89" s="37"/>
      <c r="AA89" s="546"/>
      <c r="AB89" s="546"/>
      <c r="AC89" s="546"/>
    </row>
    <row r="90" spans="1:68" ht="14.25" customHeight="1" x14ac:dyDescent="0.25">
      <c r="A90" s="563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181</v>
      </c>
      <c r="B91" s="54" t="s">
        <v>182</v>
      </c>
      <c r="C91" s="31">
        <v>4301051712</v>
      </c>
      <c r="D91" s="552">
        <v>4607091386967</v>
      </c>
      <c r="E91" s="553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/>
      <c r="M91" s="33" t="s">
        <v>86</v>
      </c>
      <c r="N91" s="33"/>
      <c r="O91" s="32">
        <v>45</v>
      </c>
      <c r="P91" s="70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183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184</v>
      </c>
      <c r="B92" s="54" t="s">
        <v>185</v>
      </c>
      <c r="C92" s="31">
        <v>4301051788</v>
      </c>
      <c r="D92" s="552">
        <v>4680115884953</v>
      </c>
      <c r="E92" s="553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78</v>
      </c>
      <c r="N92" s="33"/>
      <c r="O92" s="32">
        <v>45</v>
      </c>
      <c r="P92" s="8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186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552">
        <v>4607091385731</v>
      </c>
      <c r="E93" s="553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86</v>
      </c>
      <c r="N93" s="33"/>
      <c r="O93" s="32">
        <v>45</v>
      </c>
      <c r="P93" s="6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8.1</v>
      </c>
      <c r="Y93" s="544">
        <f>IFERROR(IF(X93="",0,CEILING((X93/$H93),1)*$H93),"")</f>
        <v>8.1000000000000014</v>
      </c>
      <c r="Z93" s="36">
        <f>IFERROR(IF(Y93=0,"",ROUNDUP(Y93/H93,0)*0.00651),"")</f>
        <v>1.9529999999999999E-2</v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8.8559999999999981</v>
      </c>
      <c r="BN93" s="64">
        <f>IFERROR(Y93*I93/H93,"0")</f>
        <v>8.8560000000000016</v>
      </c>
      <c r="BO93" s="64">
        <f>IFERROR(1/J93*(X93/H93),"0")</f>
        <v>1.6483516483516484E-2</v>
      </c>
      <c r="BP93" s="64">
        <f>IFERROR(1/J93*(Y93/H93),"0")</f>
        <v>1.6483516483516487E-2</v>
      </c>
    </row>
    <row r="94" spans="1:68" ht="16.5" customHeight="1" x14ac:dyDescent="0.25">
      <c r="A94" s="54" t="s">
        <v>189</v>
      </c>
      <c r="B94" s="54" t="s">
        <v>190</v>
      </c>
      <c r="C94" s="31">
        <v>4301051438</v>
      </c>
      <c r="D94" s="552">
        <v>4680115880894</v>
      </c>
      <c r="E94" s="553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/>
      <c r="M94" s="33" t="s">
        <v>78</v>
      </c>
      <c r="N94" s="33"/>
      <c r="O94" s="32">
        <v>45</v>
      </c>
      <c r="P94" s="81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5">
        <f>IFERROR(X91/H91,"0")+IFERROR(X92/H92,"0")+IFERROR(X93/H93,"0")+IFERROR(X94/H94,"0")</f>
        <v>2.9999999999999996</v>
      </c>
      <c r="Y95" s="545">
        <f>IFERROR(Y91/H91,"0")+IFERROR(Y92/H92,"0")+IFERROR(Y93/H93,"0")+IFERROR(Y94/H94,"0")</f>
        <v>3.0000000000000004</v>
      </c>
      <c r="Z95" s="545">
        <f>IFERROR(IF(Z91="",0,Z91),"0")+IFERROR(IF(Z92="",0,Z92),"0")+IFERROR(IF(Z93="",0,Z93),"0")+IFERROR(IF(Z94="",0,Z94),"0")</f>
        <v>1.9529999999999999E-2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5">
        <f>IFERROR(SUM(X91:X94),"0")</f>
        <v>8.1</v>
      </c>
      <c r="Y96" s="545">
        <f>IFERROR(SUM(Y91:Y94),"0")</f>
        <v>8.1000000000000014</v>
      </c>
      <c r="Z96" s="37"/>
      <c r="AA96" s="546"/>
      <c r="AB96" s="546"/>
      <c r="AC96" s="546"/>
    </row>
    <row r="97" spans="1:68" ht="16.5" customHeight="1" x14ac:dyDescent="0.25">
      <c r="A97" s="595" t="s">
        <v>192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3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552">
        <v>4680115882133</v>
      </c>
      <c r="E99" s="553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195</v>
      </c>
      <c r="AG99" s="64"/>
      <c r="AJ99" s="68" t="s">
        <v>80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196</v>
      </c>
      <c r="B100" s="54" t="s">
        <v>197</v>
      </c>
      <c r="C100" s="31">
        <v>4301011417</v>
      </c>
      <c r="D100" s="552">
        <v>4680115880269</v>
      </c>
      <c r="E100" s="553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/>
      <c r="M100" s="33" t="s">
        <v>78</v>
      </c>
      <c r="N100" s="33"/>
      <c r="O100" s="32">
        <v>50</v>
      </c>
      <c r="P100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4301011415</v>
      </c>
      <c r="D101" s="552">
        <v>4680115880429</v>
      </c>
      <c r="E101" s="553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200</v>
      </c>
      <c r="M101" s="33" t="s">
        <v>78</v>
      </c>
      <c r="N101" s="33"/>
      <c r="O101" s="32">
        <v>50</v>
      </c>
      <c r="P101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80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201</v>
      </c>
      <c r="B102" s="54" t="s">
        <v>202</v>
      </c>
      <c r="C102" s="31">
        <v>4301011462</v>
      </c>
      <c r="D102" s="552">
        <v>4680115881457</v>
      </c>
      <c r="E102" s="553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78</v>
      </c>
      <c r="N102" s="33"/>
      <c r="O102" s="32">
        <v>50</v>
      </c>
      <c r="P102" s="6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63" t="s">
        <v>137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203</v>
      </c>
      <c r="B106" s="54" t="s">
        <v>204</v>
      </c>
      <c r="C106" s="31">
        <v>4301020345</v>
      </c>
      <c r="D106" s="552">
        <v>4680115881488</v>
      </c>
      <c r="E106" s="553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9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205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206</v>
      </c>
      <c r="B107" s="54" t="s">
        <v>207</v>
      </c>
      <c r="C107" s="31">
        <v>4301020346</v>
      </c>
      <c r="D107" s="552">
        <v>4680115882775</v>
      </c>
      <c r="E107" s="553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64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208</v>
      </c>
      <c r="B108" s="54" t="s">
        <v>209</v>
      </c>
      <c r="C108" s="31">
        <v>4301020344</v>
      </c>
      <c r="D108" s="552">
        <v>4680115880658</v>
      </c>
      <c r="E108" s="553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9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63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210</v>
      </c>
      <c r="B112" s="54" t="s">
        <v>211</v>
      </c>
      <c r="C112" s="31">
        <v>4301051724</v>
      </c>
      <c r="D112" s="552">
        <v>4607091385168</v>
      </c>
      <c r="E112" s="553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/>
      <c r="M112" s="33" t="s">
        <v>86</v>
      </c>
      <c r="N112" s="33"/>
      <c r="O112" s="32">
        <v>45</v>
      </c>
      <c r="P112" s="6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40</v>
      </c>
      <c r="Y112" s="544">
        <f>IFERROR(IF(X112="",0,CEILING((X112/$H112),1)*$H112),"")</f>
        <v>40.5</v>
      </c>
      <c r="Z112" s="36">
        <f>IFERROR(IF(Y112=0,"",ROUNDUP(Y112/H112,0)*0.01898),"")</f>
        <v>9.4899999999999998E-2</v>
      </c>
      <c r="AA112" s="56"/>
      <c r="AB112" s="57"/>
      <c r="AC112" s="155" t="s">
        <v>212</v>
      </c>
      <c r="AG112" s="64"/>
      <c r="AJ112" s="68"/>
      <c r="AK112" s="68">
        <v>0</v>
      </c>
      <c r="BB112" s="156" t="s">
        <v>1</v>
      </c>
      <c r="BM112" s="64">
        <f>IFERROR(X112*I112/H112,"0")</f>
        <v>42.409876543209876</v>
      </c>
      <c r="BN112" s="64">
        <f>IFERROR(Y112*I112/H112,"0")</f>
        <v>42.94</v>
      </c>
      <c r="BO112" s="64">
        <f>IFERROR(1/J112*(X112/H112),"0")</f>
        <v>7.7160493827160503E-2</v>
      </c>
      <c r="BP112" s="64">
        <f>IFERROR(1/J112*(Y112/H112),"0")</f>
        <v>7.8125E-2</v>
      </c>
    </row>
    <row r="113" spans="1:68" ht="27" customHeight="1" x14ac:dyDescent="0.25">
      <c r="A113" s="54" t="s">
        <v>213</v>
      </c>
      <c r="B113" s="54" t="s">
        <v>214</v>
      </c>
      <c r="C113" s="31">
        <v>4301051730</v>
      </c>
      <c r="D113" s="552">
        <v>4607091383256</v>
      </c>
      <c r="E113" s="553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/>
      <c r="M113" s="33" t="s">
        <v>86</v>
      </c>
      <c r="N113" s="33"/>
      <c r="O113" s="32">
        <v>45</v>
      </c>
      <c r="P113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212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216</v>
      </c>
      <c r="C114" s="31">
        <v>4301051721</v>
      </c>
      <c r="D114" s="552">
        <v>4607091385748</v>
      </c>
      <c r="E114" s="553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/>
      <c r="M114" s="33" t="s">
        <v>86</v>
      </c>
      <c r="N114" s="33"/>
      <c r="O114" s="32">
        <v>45</v>
      </c>
      <c r="P114" s="6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217</v>
      </c>
      <c r="B115" s="54" t="s">
        <v>218</v>
      </c>
      <c r="C115" s="31">
        <v>4301051740</v>
      </c>
      <c r="D115" s="552">
        <v>4680115884533</v>
      </c>
      <c r="E115" s="553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77</v>
      </c>
      <c r="M115" s="33" t="s">
        <v>78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219</v>
      </c>
      <c r="AG115" s="64"/>
      <c r="AJ115" s="68" t="s">
        <v>80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5">
        <f>IFERROR(X112/H112,"0")+IFERROR(X113/H113,"0")+IFERROR(X114/H114,"0")+IFERROR(X115/H115,"0")</f>
        <v>4.9382716049382722</v>
      </c>
      <c r="Y116" s="545">
        <f>IFERROR(Y112/H112,"0")+IFERROR(Y113/H113,"0")+IFERROR(Y114/H114,"0")+IFERROR(Y115/H115,"0")</f>
        <v>5</v>
      </c>
      <c r="Z116" s="545">
        <f>IFERROR(IF(Z112="",0,Z112),"0")+IFERROR(IF(Z113="",0,Z113),"0")+IFERROR(IF(Z114="",0,Z114),"0")+IFERROR(IF(Z115="",0,Z115),"0")</f>
        <v>9.4899999999999998E-2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5">
        <f>IFERROR(SUM(X112:X115),"0")</f>
        <v>40</v>
      </c>
      <c r="Y117" s="545">
        <f>IFERROR(SUM(Y112:Y115),"0")</f>
        <v>40.5</v>
      </c>
      <c r="Z117" s="37"/>
      <c r="AA117" s="546"/>
      <c r="AB117" s="546"/>
      <c r="AC117" s="546"/>
    </row>
    <row r="118" spans="1:68" ht="14.25" customHeight="1" x14ac:dyDescent="0.25">
      <c r="A118" s="563" t="s">
        <v>165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220</v>
      </c>
      <c r="B119" s="54" t="s">
        <v>221</v>
      </c>
      <c r="C119" s="31">
        <v>4301060317</v>
      </c>
      <c r="D119" s="552">
        <v>4680115880238</v>
      </c>
      <c r="E119" s="553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77</v>
      </c>
      <c r="M119" s="33" t="s">
        <v>78</v>
      </c>
      <c r="N119" s="33"/>
      <c r="O119" s="32">
        <v>40</v>
      </c>
      <c r="P119" s="7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222</v>
      </c>
      <c r="AG119" s="64"/>
      <c r="AJ119" s="68" t="s">
        <v>80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95" t="s">
        <v>223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3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224</v>
      </c>
      <c r="B124" s="54" t="s">
        <v>225</v>
      </c>
      <c r="C124" s="31">
        <v>4301011562</v>
      </c>
      <c r="D124" s="552">
        <v>4680115882577</v>
      </c>
      <c r="E124" s="553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/>
      <c r="M124" s="33" t="s">
        <v>96</v>
      </c>
      <c r="N124" s="33"/>
      <c r="O124" s="32">
        <v>90</v>
      </c>
      <c r="P124" s="5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226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224</v>
      </c>
      <c r="B125" s="54" t="s">
        <v>227</v>
      </c>
      <c r="C125" s="31">
        <v>4301011564</v>
      </c>
      <c r="D125" s="552">
        <v>4680115882577</v>
      </c>
      <c r="E125" s="553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/>
      <c r="M125" s="33" t="s">
        <v>96</v>
      </c>
      <c r="N125" s="33"/>
      <c r="O125" s="32">
        <v>90</v>
      </c>
      <c r="P125" s="6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226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63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228</v>
      </c>
      <c r="B129" s="54" t="s">
        <v>229</v>
      </c>
      <c r="C129" s="31">
        <v>4301031235</v>
      </c>
      <c r="D129" s="552">
        <v>4680115883444</v>
      </c>
      <c r="E129" s="553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/>
      <c r="M129" s="33" t="s">
        <v>96</v>
      </c>
      <c r="N129" s="33"/>
      <c r="O129" s="32">
        <v>90</v>
      </c>
      <c r="P129" s="84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230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228</v>
      </c>
      <c r="B130" s="54" t="s">
        <v>231</v>
      </c>
      <c r="C130" s="31">
        <v>4301031234</v>
      </c>
      <c r="D130" s="552">
        <v>4680115883444</v>
      </c>
      <c r="E130" s="553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/>
      <c r="M130" s="33" t="s">
        <v>96</v>
      </c>
      <c r="N130" s="33"/>
      <c r="O130" s="32">
        <v>90</v>
      </c>
      <c r="P130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230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63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232</v>
      </c>
      <c r="B134" s="54" t="s">
        <v>233</v>
      </c>
      <c r="C134" s="31">
        <v>4301051477</v>
      </c>
      <c r="D134" s="552">
        <v>4680115882584</v>
      </c>
      <c r="E134" s="553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5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226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232</v>
      </c>
      <c r="B135" s="54" t="s">
        <v>234</v>
      </c>
      <c r="C135" s="31">
        <v>4301051476</v>
      </c>
      <c r="D135" s="552">
        <v>4680115882584</v>
      </c>
      <c r="E135" s="553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62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226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95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3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235</v>
      </c>
      <c r="B140" s="54" t="s">
        <v>236</v>
      </c>
      <c r="C140" s="31">
        <v>4301012244</v>
      </c>
      <c r="D140" s="552">
        <v>4680115887374</v>
      </c>
      <c r="E140" s="553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3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237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238</v>
      </c>
      <c r="B141" s="54" t="s">
        <v>239</v>
      </c>
      <c r="C141" s="31">
        <v>4301011705</v>
      </c>
      <c r="D141" s="552">
        <v>4607091384604</v>
      </c>
      <c r="E141" s="553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/>
      <c r="M141" s="33" t="s">
        <v>106</v>
      </c>
      <c r="N141" s="33"/>
      <c r="O141" s="32">
        <v>50</v>
      </c>
      <c r="P141" s="7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240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241</v>
      </c>
      <c r="B142" s="54" t="s">
        <v>242</v>
      </c>
      <c r="C142" s="31">
        <v>4301012179</v>
      </c>
      <c r="D142" s="552">
        <v>4680115886810</v>
      </c>
      <c r="E142" s="553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76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243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customHeight="1" x14ac:dyDescent="0.25">
      <c r="A145" s="563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244</v>
      </c>
      <c r="B146" s="54" t="s">
        <v>245</v>
      </c>
      <c r="C146" s="31">
        <v>4301030895</v>
      </c>
      <c r="D146" s="552">
        <v>4607091387667</v>
      </c>
      <c r="E146" s="553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/>
      <c r="M146" s="33" t="s">
        <v>106</v>
      </c>
      <c r="N146" s="33"/>
      <c r="O146" s="32">
        <v>40</v>
      </c>
      <c r="P146" s="6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246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247</v>
      </c>
      <c r="B147" s="54" t="s">
        <v>248</v>
      </c>
      <c r="C147" s="31">
        <v>4301030961</v>
      </c>
      <c r="D147" s="552">
        <v>4607091387636</v>
      </c>
      <c r="E147" s="553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3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249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250</v>
      </c>
      <c r="B148" s="54" t="s">
        <v>251</v>
      </c>
      <c r="C148" s="31">
        <v>4301030963</v>
      </c>
      <c r="D148" s="552">
        <v>4607091382426</v>
      </c>
      <c r="E148" s="553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/>
      <c r="M148" s="33" t="s">
        <v>68</v>
      </c>
      <c r="N148" s="33"/>
      <c r="O148" s="32">
        <v>40</v>
      </c>
      <c r="P14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252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63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253</v>
      </c>
      <c r="B152" s="54" t="s">
        <v>254</v>
      </c>
      <c r="C152" s="31">
        <v>4301052064</v>
      </c>
      <c r="D152" s="552">
        <v>4680115887459</v>
      </c>
      <c r="E152" s="553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78</v>
      </c>
      <c r="N152" s="33"/>
      <c r="O152" s="32">
        <v>45</v>
      </c>
      <c r="P152" s="855" t="s">
        <v>255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256</v>
      </c>
      <c r="AC152" s="189" t="s">
        <v>257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631" t="s">
        <v>258</v>
      </c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2"/>
      <c r="P155" s="632"/>
      <c r="Q155" s="632"/>
      <c r="R155" s="632"/>
      <c r="S155" s="632"/>
      <c r="T155" s="632"/>
      <c r="U155" s="632"/>
      <c r="V155" s="632"/>
      <c r="W155" s="632"/>
      <c r="X155" s="632"/>
      <c r="Y155" s="632"/>
      <c r="Z155" s="632"/>
      <c r="AA155" s="48"/>
      <c r="AB155" s="48"/>
      <c r="AC155" s="48"/>
    </row>
    <row r="156" spans="1:68" ht="16.5" customHeight="1" x14ac:dyDescent="0.25">
      <c r="A156" s="595" t="s">
        <v>259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3" t="s">
        <v>137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260</v>
      </c>
      <c r="B158" s="54" t="s">
        <v>261</v>
      </c>
      <c r="C158" s="31">
        <v>4301020323</v>
      </c>
      <c r="D158" s="552">
        <v>4680115886223</v>
      </c>
      <c r="E158" s="553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262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3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263</v>
      </c>
      <c r="B162" s="54" t="s">
        <v>264</v>
      </c>
      <c r="C162" s="31">
        <v>4301031443</v>
      </c>
      <c r="D162" s="552">
        <v>4680115887213</v>
      </c>
      <c r="E162" s="553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667" t="s">
        <v>265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256</v>
      </c>
      <c r="AC162" s="193" t="s">
        <v>266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267</v>
      </c>
      <c r="B163" s="54" t="s">
        <v>268</v>
      </c>
      <c r="C163" s="31">
        <v>4301031191</v>
      </c>
      <c r="D163" s="552">
        <v>4680115880993</v>
      </c>
      <c r="E163" s="553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200</v>
      </c>
      <c r="M163" s="33" t="s">
        <v>68</v>
      </c>
      <c r="N163" s="33"/>
      <c r="O163" s="32">
        <v>40</v>
      </c>
      <c r="P163" s="7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269</v>
      </c>
      <c r="AG163" s="64"/>
      <c r="AJ163" s="68" t="s">
        <v>80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270</v>
      </c>
      <c r="B164" s="54" t="s">
        <v>271</v>
      </c>
      <c r="C164" s="31">
        <v>4301031204</v>
      </c>
      <c r="D164" s="552">
        <v>4680115881761</v>
      </c>
      <c r="E164" s="553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65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10</v>
      </c>
      <c r="Y164" s="544">
        <f t="shared" si="5"/>
        <v>12.600000000000001</v>
      </c>
      <c r="Z164" s="36">
        <f>IFERROR(IF(Y164=0,"",ROUNDUP(Y164/H164,0)*0.00902),"")</f>
        <v>2.7060000000000001E-2</v>
      </c>
      <c r="AA164" s="56"/>
      <c r="AB164" s="57"/>
      <c r="AC164" s="197" t="s">
        <v>272</v>
      </c>
      <c r="AG164" s="64"/>
      <c r="AJ164" s="68"/>
      <c r="AK164" s="68">
        <v>0</v>
      </c>
      <c r="BB164" s="198" t="s">
        <v>1</v>
      </c>
      <c r="BM164" s="64">
        <f t="shared" si="6"/>
        <v>10.595238095238095</v>
      </c>
      <c r="BN164" s="64">
        <f t="shared" si="7"/>
        <v>13.350000000000001</v>
      </c>
      <c r="BO164" s="64">
        <f t="shared" si="8"/>
        <v>1.8037518037518036E-2</v>
      </c>
      <c r="BP164" s="64">
        <f t="shared" si="9"/>
        <v>2.2727272727272728E-2</v>
      </c>
    </row>
    <row r="165" spans="1:68" ht="27" customHeight="1" x14ac:dyDescent="0.25">
      <c r="A165" s="54" t="s">
        <v>273</v>
      </c>
      <c r="B165" s="54" t="s">
        <v>274</v>
      </c>
      <c r="C165" s="31">
        <v>4301031201</v>
      </c>
      <c r="D165" s="552">
        <v>4680115881563</v>
      </c>
      <c r="E165" s="553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200</v>
      </c>
      <c r="M165" s="33" t="s">
        <v>68</v>
      </c>
      <c r="N165" s="33"/>
      <c r="O165" s="32">
        <v>40</v>
      </c>
      <c r="P165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25</v>
      </c>
      <c r="Y165" s="544">
        <f t="shared" si="5"/>
        <v>25.200000000000003</v>
      </c>
      <c r="Z165" s="36">
        <f>IFERROR(IF(Y165=0,"",ROUNDUP(Y165/H165,0)*0.00902),"")</f>
        <v>5.4120000000000001E-2</v>
      </c>
      <c r="AA165" s="56"/>
      <c r="AB165" s="57"/>
      <c r="AC165" s="199" t="s">
        <v>275</v>
      </c>
      <c r="AG165" s="64"/>
      <c r="AJ165" s="68" t="s">
        <v>80</v>
      </c>
      <c r="AK165" s="68">
        <v>50.4</v>
      </c>
      <c r="BB165" s="200" t="s">
        <v>1</v>
      </c>
      <c r="BM165" s="64">
        <f t="shared" si="6"/>
        <v>26.130952380952376</v>
      </c>
      <c r="BN165" s="64">
        <f t="shared" si="7"/>
        <v>26.34</v>
      </c>
      <c r="BO165" s="64">
        <f t="shared" si="8"/>
        <v>4.5093795093795096E-2</v>
      </c>
      <c r="BP165" s="64">
        <f t="shared" si="9"/>
        <v>4.5454545454545456E-2</v>
      </c>
    </row>
    <row r="166" spans="1:68" ht="27" customHeight="1" x14ac:dyDescent="0.25">
      <c r="A166" s="54" t="s">
        <v>276</v>
      </c>
      <c r="B166" s="54" t="s">
        <v>277</v>
      </c>
      <c r="C166" s="31">
        <v>4301031199</v>
      </c>
      <c r="D166" s="552">
        <v>4680115880986</v>
      </c>
      <c r="E166" s="553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278</v>
      </c>
      <c r="B167" s="54" t="s">
        <v>279</v>
      </c>
      <c r="C167" s="31">
        <v>4301031205</v>
      </c>
      <c r="D167" s="552">
        <v>4680115881785</v>
      </c>
      <c r="E167" s="553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280</v>
      </c>
      <c r="M167" s="33" t="s">
        <v>68</v>
      </c>
      <c r="N167" s="33"/>
      <c r="O167" s="32">
        <v>40</v>
      </c>
      <c r="P167" s="7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272</v>
      </c>
      <c r="AG167" s="64"/>
      <c r="AJ167" s="68" t="s">
        <v>80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4301031399</v>
      </c>
      <c r="D168" s="552">
        <v>4680115886537</v>
      </c>
      <c r="E168" s="553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284</v>
      </c>
      <c r="B169" s="54" t="s">
        <v>285</v>
      </c>
      <c r="C169" s="31">
        <v>4301031202</v>
      </c>
      <c r="D169" s="552">
        <v>4680115881679</v>
      </c>
      <c r="E169" s="553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280</v>
      </c>
      <c r="M169" s="33" t="s">
        <v>68</v>
      </c>
      <c r="N169" s="33"/>
      <c r="O169" s="32">
        <v>40</v>
      </c>
      <c r="P169" s="7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275</v>
      </c>
      <c r="AG169" s="64"/>
      <c r="AJ169" s="68" t="s">
        <v>80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286</v>
      </c>
      <c r="B170" s="54" t="s">
        <v>287</v>
      </c>
      <c r="C170" s="31">
        <v>4301031158</v>
      </c>
      <c r="D170" s="552">
        <v>4680115880191</v>
      </c>
      <c r="E170" s="553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4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4301031245</v>
      </c>
      <c r="D171" s="552">
        <v>4680115883963</v>
      </c>
      <c r="E171" s="553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290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8.3333333333333339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9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8.1180000000000002E-2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5">
        <f>IFERROR(SUM(X162:X171),"0")</f>
        <v>35</v>
      </c>
      <c r="Y173" s="545">
        <f>IFERROR(SUM(Y162:Y171),"0")</f>
        <v>37.800000000000004</v>
      </c>
      <c r="Z173" s="37"/>
      <c r="AA173" s="546"/>
      <c r="AB173" s="546"/>
      <c r="AC173" s="546"/>
    </row>
    <row r="174" spans="1:68" ht="14.25" customHeight="1" x14ac:dyDescent="0.25">
      <c r="A174" s="563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291</v>
      </c>
      <c r="B175" s="54" t="s">
        <v>292</v>
      </c>
      <c r="C175" s="31">
        <v>4301032053</v>
      </c>
      <c r="D175" s="552">
        <v>4680115886780</v>
      </c>
      <c r="E175" s="553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293</v>
      </c>
      <c r="L175" s="32"/>
      <c r="M175" s="33" t="s">
        <v>294</v>
      </c>
      <c r="N175" s="33"/>
      <c r="O175" s="32">
        <v>60</v>
      </c>
      <c r="P175" s="6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295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296</v>
      </c>
      <c r="B176" s="54" t="s">
        <v>297</v>
      </c>
      <c r="C176" s="31">
        <v>4301032051</v>
      </c>
      <c r="D176" s="552">
        <v>4680115886742</v>
      </c>
      <c r="E176" s="553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293</v>
      </c>
      <c r="L176" s="32"/>
      <c r="M176" s="33" t="s">
        <v>294</v>
      </c>
      <c r="N176" s="33"/>
      <c r="O176" s="32">
        <v>90</v>
      </c>
      <c r="P176" s="6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298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299</v>
      </c>
      <c r="B177" s="54" t="s">
        <v>300</v>
      </c>
      <c r="C177" s="31">
        <v>4301032052</v>
      </c>
      <c r="D177" s="552">
        <v>4680115886766</v>
      </c>
      <c r="E177" s="553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293</v>
      </c>
      <c r="L177" s="32"/>
      <c r="M177" s="33" t="s">
        <v>294</v>
      </c>
      <c r="N177" s="33"/>
      <c r="O177" s="32">
        <v>90</v>
      </c>
      <c r="P177" s="69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298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3" t="s">
        <v>301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302</v>
      </c>
      <c r="B181" s="54" t="s">
        <v>303</v>
      </c>
      <c r="C181" s="31">
        <v>4301170013</v>
      </c>
      <c r="D181" s="552">
        <v>4680115886797</v>
      </c>
      <c r="E181" s="553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293</v>
      </c>
      <c r="L181" s="32"/>
      <c r="M181" s="33" t="s">
        <v>294</v>
      </c>
      <c r="N181" s="33"/>
      <c r="O181" s="32">
        <v>90</v>
      </c>
      <c r="P181" s="6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298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95" t="s">
        <v>304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3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305</v>
      </c>
      <c r="B186" s="54" t="s">
        <v>306</v>
      </c>
      <c r="C186" s="31">
        <v>4301011450</v>
      </c>
      <c r="D186" s="552">
        <v>4680115881402</v>
      </c>
      <c r="E186" s="553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6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307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308</v>
      </c>
      <c r="B187" s="54" t="s">
        <v>309</v>
      </c>
      <c r="C187" s="31">
        <v>4301011768</v>
      </c>
      <c r="D187" s="552">
        <v>4680115881396</v>
      </c>
      <c r="E187" s="553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/>
      <c r="M187" s="33" t="s">
        <v>106</v>
      </c>
      <c r="N187" s="33"/>
      <c r="O187" s="32">
        <v>55</v>
      </c>
      <c r="P187" s="87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307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3" t="s">
        <v>137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310</v>
      </c>
      <c r="B191" s="54" t="s">
        <v>311</v>
      </c>
      <c r="C191" s="31">
        <v>4301020261</v>
      </c>
      <c r="D191" s="552">
        <v>4680115882935</v>
      </c>
      <c r="E191" s="553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6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312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313</v>
      </c>
      <c r="B192" s="54" t="s">
        <v>314</v>
      </c>
      <c r="C192" s="31">
        <v>4301020220</v>
      </c>
      <c r="D192" s="552">
        <v>4680115880764</v>
      </c>
      <c r="E192" s="553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79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312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3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315</v>
      </c>
      <c r="B196" s="54" t="s">
        <v>316</v>
      </c>
      <c r="C196" s="31">
        <v>4301031224</v>
      </c>
      <c r="D196" s="552">
        <v>4680115882683</v>
      </c>
      <c r="E196" s="553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200</v>
      </c>
      <c r="M196" s="33" t="s">
        <v>68</v>
      </c>
      <c r="N196" s="33"/>
      <c r="O196" s="32">
        <v>40</v>
      </c>
      <c r="P196" s="6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70</v>
      </c>
      <c r="Y196" s="544">
        <f t="shared" ref="Y196:Y203" si="10">IFERROR(IF(X196="",0,CEILING((X196/$H196),1)*$H196),"")</f>
        <v>70.2</v>
      </c>
      <c r="Z196" s="36">
        <f>IFERROR(IF(Y196=0,"",ROUNDUP(Y196/H196,0)*0.00902),"")</f>
        <v>0.11726</v>
      </c>
      <c r="AA196" s="56"/>
      <c r="AB196" s="57"/>
      <c r="AC196" s="229" t="s">
        <v>317</v>
      </c>
      <c r="AG196" s="64"/>
      <c r="AJ196" s="68" t="s">
        <v>80</v>
      </c>
      <c r="AK196" s="68">
        <v>64.8</v>
      </c>
      <c r="BB196" s="230" t="s">
        <v>1</v>
      </c>
      <c r="BM196" s="64">
        <f t="shared" ref="BM196:BM203" si="11">IFERROR(X196*I196/H196,"0")</f>
        <v>72.462962962962962</v>
      </c>
      <c r="BN196" s="64">
        <f t="shared" ref="BN196:BN203" si="12">IFERROR(Y196*I196/H196,"0")</f>
        <v>72.67</v>
      </c>
      <c r="BO196" s="64">
        <f t="shared" ref="BO196:BO203" si="13">IFERROR(1/J196*(X196/H196),"0")</f>
        <v>9.8204264870931535E-2</v>
      </c>
      <c r="BP196" s="64">
        <f t="shared" ref="BP196:BP203" si="14">IFERROR(1/J196*(Y196/H196),"0")</f>
        <v>9.8484848484848481E-2</v>
      </c>
    </row>
    <row r="197" spans="1:68" ht="27" customHeight="1" x14ac:dyDescent="0.25">
      <c r="A197" s="54" t="s">
        <v>318</v>
      </c>
      <c r="B197" s="54" t="s">
        <v>319</v>
      </c>
      <c r="C197" s="31">
        <v>4301031230</v>
      </c>
      <c r="D197" s="552">
        <v>4680115882690</v>
      </c>
      <c r="E197" s="553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200</v>
      </c>
      <c r="M197" s="33" t="s">
        <v>68</v>
      </c>
      <c r="N197" s="33"/>
      <c r="O197" s="32">
        <v>40</v>
      </c>
      <c r="P197" s="78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40</v>
      </c>
      <c r="Y197" s="544">
        <f t="shared" si="10"/>
        <v>43.2</v>
      </c>
      <c r="Z197" s="36">
        <f>IFERROR(IF(Y197=0,"",ROUNDUP(Y197/H197,0)*0.00902),"")</f>
        <v>7.2160000000000002E-2</v>
      </c>
      <c r="AA197" s="56"/>
      <c r="AB197" s="57"/>
      <c r="AC197" s="231" t="s">
        <v>320</v>
      </c>
      <c r="AG197" s="64"/>
      <c r="AJ197" s="68" t="s">
        <v>80</v>
      </c>
      <c r="AK197" s="68">
        <v>64.8</v>
      </c>
      <c r="BB197" s="232" t="s">
        <v>1</v>
      </c>
      <c r="BM197" s="64">
        <f t="shared" si="11"/>
        <v>41.407407407407405</v>
      </c>
      <c r="BN197" s="64">
        <f t="shared" si="12"/>
        <v>44.72</v>
      </c>
      <c r="BO197" s="64">
        <f t="shared" si="13"/>
        <v>5.6116722783389444E-2</v>
      </c>
      <c r="BP197" s="64">
        <f t="shared" si="14"/>
        <v>6.0606060606060608E-2</v>
      </c>
    </row>
    <row r="198" spans="1:68" ht="27" customHeight="1" x14ac:dyDescent="0.25">
      <c r="A198" s="54" t="s">
        <v>321</v>
      </c>
      <c r="B198" s="54" t="s">
        <v>322</v>
      </c>
      <c r="C198" s="31">
        <v>4301031220</v>
      </c>
      <c r="D198" s="552">
        <v>4680115882669</v>
      </c>
      <c r="E198" s="553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200</v>
      </c>
      <c r="M198" s="33" t="s">
        <v>68</v>
      </c>
      <c r="N198" s="33"/>
      <c r="O198" s="32">
        <v>40</v>
      </c>
      <c r="P198" s="6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150</v>
      </c>
      <c r="Y198" s="544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323</v>
      </c>
      <c r="AG198" s="64"/>
      <c r="AJ198" s="68" t="s">
        <v>80</v>
      </c>
      <c r="AK198" s="68">
        <v>64.8</v>
      </c>
      <c r="BB198" s="234" t="s">
        <v>1</v>
      </c>
      <c r="BM198" s="64">
        <f t="shared" si="11"/>
        <v>155.27777777777777</v>
      </c>
      <c r="BN198" s="64">
        <f t="shared" si="12"/>
        <v>156.52000000000001</v>
      </c>
      <c r="BO198" s="64">
        <f t="shared" si="13"/>
        <v>0.21043771043771042</v>
      </c>
      <c r="BP198" s="64">
        <f t="shared" si="14"/>
        <v>0.21212121212121213</v>
      </c>
    </row>
    <row r="199" spans="1:68" ht="27" customHeight="1" x14ac:dyDescent="0.25">
      <c r="A199" s="54" t="s">
        <v>324</v>
      </c>
      <c r="B199" s="54" t="s">
        <v>325</v>
      </c>
      <c r="C199" s="31">
        <v>4301031221</v>
      </c>
      <c r="D199" s="552">
        <v>4680115882676</v>
      </c>
      <c r="E199" s="553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200</v>
      </c>
      <c r="M199" s="33" t="s">
        <v>68</v>
      </c>
      <c r="N199" s="33"/>
      <c r="O199" s="32">
        <v>40</v>
      </c>
      <c r="P199" s="5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120</v>
      </c>
      <c r="Y199" s="544">
        <f t="shared" si="10"/>
        <v>124.2</v>
      </c>
      <c r="Z199" s="36">
        <f>IFERROR(IF(Y199=0,"",ROUNDUP(Y199/H199,0)*0.00902),"")</f>
        <v>0.20746000000000001</v>
      </c>
      <c r="AA199" s="56"/>
      <c r="AB199" s="57"/>
      <c r="AC199" s="235" t="s">
        <v>326</v>
      </c>
      <c r="AG199" s="64"/>
      <c r="AJ199" s="68" t="s">
        <v>80</v>
      </c>
      <c r="AK199" s="68">
        <v>64.8</v>
      </c>
      <c r="BB199" s="236" t="s">
        <v>1</v>
      </c>
      <c r="BM199" s="64">
        <f t="shared" si="11"/>
        <v>124.2222222222222</v>
      </c>
      <c r="BN199" s="64">
        <f t="shared" si="12"/>
        <v>128.57</v>
      </c>
      <c r="BO199" s="64">
        <f t="shared" si="13"/>
        <v>0.16835016835016836</v>
      </c>
      <c r="BP199" s="64">
        <f t="shared" si="14"/>
        <v>0.17424242424242425</v>
      </c>
    </row>
    <row r="200" spans="1:68" ht="27" customHeight="1" x14ac:dyDescent="0.25">
      <c r="A200" s="54" t="s">
        <v>327</v>
      </c>
      <c r="B200" s="54" t="s">
        <v>328</v>
      </c>
      <c r="C200" s="31">
        <v>4301031223</v>
      </c>
      <c r="D200" s="552">
        <v>4680115884014</v>
      </c>
      <c r="E200" s="553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5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317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329</v>
      </c>
      <c r="B201" s="54" t="s">
        <v>330</v>
      </c>
      <c r="C201" s="31">
        <v>4301031222</v>
      </c>
      <c r="D201" s="552">
        <v>4680115884007</v>
      </c>
      <c r="E201" s="553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280</v>
      </c>
      <c r="M201" s="33" t="s">
        <v>68</v>
      </c>
      <c r="N201" s="33"/>
      <c r="O201" s="32">
        <v>40</v>
      </c>
      <c r="P201" s="6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320</v>
      </c>
      <c r="AG201" s="64"/>
      <c r="AJ201" s="68" t="s">
        <v>80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331</v>
      </c>
      <c r="B202" s="54" t="s">
        <v>332</v>
      </c>
      <c r="C202" s="31">
        <v>4301031229</v>
      </c>
      <c r="D202" s="552">
        <v>4680115884038</v>
      </c>
      <c r="E202" s="553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280</v>
      </c>
      <c r="M202" s="33" t="s">
        <v>68</v>
      </c>
      <c r="N202" s="33"/>
      <c r="O202" s="32">
        <v>40</v>
      </c>
      <c r="P202" s="5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323</v>
      </c>
      <c r="AG202" s="64"/>
      <c r="AJ202" s="68" t="s">
        <v>80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333</v>
      </c>
      <c r="B203" s="54" t="s">
        <v>334</v>
      </c>
      <c r="C203" s="31">
        <v>4301031225</v>
      </c>
      <c r="D203" s="552">
        <v>4680115884021</v>
      </c>
      <c r="E203" s="553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280</v>
      </c>
      <c r="M203" s="33" t="s">
        <v>68</v>
      </c>
      <c r="N203" s="33"/>
      <c r="O203" s="32">
        <v>40</v>
      </c>
      <c r="P203" s="7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326</v>
      </c>
      <c r="AG203" s="64"/>
      <c r="AJ203" s="68" t="s">
        <v>80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70.370370370370352</v>
      </c>
      <c r="Y204" s="545">
        <f>IFERROR(Y196/H196,"0")+IFERROR(Y197/H197,"0")+IFERROR(Y198/H198,"0")+IFERROR(Y199/H199,"0")+IFERROR(Y200/H200,"0")+IFERROR(Y201/H201,"0")+IFERROR(Y202/H202,"0")+IFERROR(Y203/H203,"0")</f>
        <v>72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0.64944000000000002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5">
        <f>IFERROR(SUM(X196:X203),"0")</f>
        <v>380</v>
      </c>
      <c r="Y205" s="545">
        <f>IFERROR(SUM(Y196:Y203),"0")</f>
        <v>388.8</v>
      </c>
      <c r="Z205" s="37"/>
      <c r="AA205" s="546"/>
      <c r="AB205" s="546"/>
      <c r="AC205" s="546"/>
    </row>
    <row r="206" spans="1:68" ht="14.25" customHeight="1" x14ac:dyDescent="0.25">
      <c r="A206" s="563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335</v>
      </c>
      <c r="B207" s="54" t="s">
        <v>336</v>
      </c>
      <c r="C207" s="31">
        <v>4301051408</v>
      </c>
      <c r="D207" s="552">
        <v>4680115881594</v>
      </c>
      <c r="E207" s="553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78</v>
      </c>
      <c r="N207" s="33"/>
      <c r="O207" s="32">
        <v>40</v>
      </c>
      <c r="P207" s="7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20</v>
      </c>
      <c r="Y207" s="544">
        <f t="shared" ref="Y207:Y215" si="15">IFERROR(IF(X207="",0,CEILING((X207/$H207),1)*$H207),"")</f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337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21.219753086419754</v>
      </c>
      <c r="BN207" s="64">
        <f t="shared" ref="BN207:BN215" si="17">IFERROR(Y207*I207/H207,"0")</f>
        <v>25.781999999999996</v>
      </c>
      <c r="BO207" s="64">
        <f t="shared" ref="BO207:BO215" si="18">IFERROR(1/J207*(X207/H207),"0")</f>
        <v>3.8580246913580252E-2</v>
      </c>
      <c r="BP207" s="64">
        <f t="shared" ref="BP207:BP215" si="19">IFERROR(1/J207*(Y207/H207),"0")</f>
        <v>4.6875E-2</v>
      </c>
    </row>
    <row r="208" spans="1:68" ht="27" customHeight="1" x14ac:dyDescent="0.25">
      <c r="A208" s="54" t="s">
        <v>338</v>
      </c>
      <c r="B208" s="54" t="s">
        <v>339</v>
      </c>
      <c r="C208" s="31">
        <v>4301051411</v>
      </c>
      <c r="D208" s="552">
        <v>4680115881617</v>
      </c>
      <c r="E208" s="553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78</v>
      </c>
      <c r="N208" s="33"/>
      <c r="O208" s="32">
        <v>40</v>
      </c>
      <c r="P208" s="75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20</v>
      </c>
      <c r="Y208" s="544">
        <f t="shared" si="15"/>
        <v>24.299999999999997</v>
      </c>
      <c r="Z208" s="36">
        <f>IFERROR(IF(Y208=0,"",ROUNDUP(Y208/H208,0)*0.01898),"")</f>
        <v>5.6940000000000004E-2</v>
      </c>
      <c r="AA208" s="56"/>
      <c r="AB208" s="57"/>
      <c r="AC208" s="247" t="s">
        <v>340</v>
      </c>
      <c r="AG208" s="64"/>
      <c r="AJ208" s="68"/>
      <c r="AK208" s="68">
        <v>0</v>
      </c>
      <c r="BB208" s="248" t="s">
        <v>1</v>
      </c>
      <c r="BM208" s="64">
        <f t="shared" si="16"/>
        <v>21.17530864197531</v>
      </c>
      <c r="BN208" s="64">
        <f t="shared" si="17"/>
        <v>25.727999999999998</v>
      </c>
      <c r="BO208" s="64">
        <f t="shared" si="18"/>
        <v>3.8580246913580252E-2</v>
      </c>
      <c r="BP208" s="64">
        <f t="shared" si="19"/>
        <v>4.6875E-2</v>
      </c>
    </row>
    <row r="209" spans="1:68" ht="27" customHeight="1" x14ac:dyDescent="0.25">
      <c r="A209" s="54" t="s">
        <v>341</v>
      </c>
      <c r="B209" s="54" t="s">
        <v>342</v>
      </c>
      <c r="C209" s="31">
        <v>4301051656</v>
      </c>
      <c r="D209" s="552">
        <v>4680115880573</v>
      </c>
      <c r="E209" s="553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78</v>
      </c>
      <c r="N209" s="33"/>
      <c r="O209" s="32">
        <v>45</v>
      </c>
      <c r="P209" s="8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343</v>
      </c>
      <c r="AG209" s="64"/>
      <c r="AJ209" s="68" t="s">
        <v>80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344</v>
      </c>
      <c r="B210" s="54" t="s">
        <v>345</v>
      </c>
      <c r="C210" s="31">
        <v>4301051407</v>
      </c>
      <c r="D210" s="552">
        <v>4680115882195</v>
      </c>
      <c r="E210" s="553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77</v>
      </c>
      <c r="M210" s="33" t="s">
        <v>78</v>
      </c>
      <c r="N210" s="33"/>
      <c r="O210" s="32">
        <v>40</v>
      </c>
      <c r="P210" s="7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337</v>
      </c>
      <c r="AG210" s="64"/>
      <c r="AJ210" s="68" t="s">
        <v>80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346</v>
      </c>
      <c r="B211" s="54" t="s">
        <v>347</v>
      </c>
      <c r="C211" s="31">
        <v>4301051752</v>
      </c>
      <c r="D211" s="552">
        <v>4680115882607</v>
      </c>
      <c r="E211" s="553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/>
      <c r="M211" s="33" t="s">
        <v>86</v>
      </c>
      <c r="N211" s="33"/>
      <c r="O211" s="32">
        <v>45</v>
      </c>
      <c r="P211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349</v>
      </c>
      <c r="B212" s="54" t="s">
        <v>350</v>
      </c>
      <c r="C212" s="31">
        <v>4301051666</v>
      </c>
      <c r="D212" s="552">
        <v>4680115880092</v>
      </c>
      <c r="E212" s="553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77</v>
      </c>
      <c r="M212" s="33" t="s">
        <v>78</v>
      </c>
      <c r="N212" s="33"/>
      <c r="O212" s="32">
        <v>45</v>
      </c>
      <c r="P212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12</v>
      </c>
      <c r="Y212" s="544">
        <f t="shared" si="15"/>
        <v>12</v>
      </c>
      <c r="Z212" s="36">
        <f t="shared" si="20"/>
        <v>3.2550000000000003E-2</v>
      </c>
      <c r="AA212" s="56"/>
      <c r="AB212" s="57"/>
      <c r="AC212" s="255" t="s">
        <v>343</v>
      </c>
      <c r="AG212" s="64"/>
      <c r="AJ212" s="68" t="s">
        <v>80</v>
      </c>
      <c r="AK212" s="68">
        <v>33.6</v>
      </c>
      <c r="BB212" s="256" t="s">
        <v>1</v>
      </c>
      <c r="BM212" s="64">
        <f t="shared" si="16"/>
        <v>13.260000000000002</v>
      </c>
      <c r="BN212" s="64">
        <f t="shared" si="17"/>
        <v>13.260000000000002</v>
      </c>
      <c r="BO212" s="64">
        <f t="shared" si="18"/>
        <v>2.7472527472527476E-2</v>
      </c>
      <c r="BP212" s="64">
        <f t="shared" si="19"/>
        <v>2.7472527472527476E-2</v>
      </c>
    </row>
    <row r="213" spans="1:68" ht="27" customHeight="1" x14ac:dyDescent="0.25">
      <c r="A213" s="54" t="s">
        <v>351</v>
      </c>
      <c r="B213" s="54" t="s">
        <v>352</v>
      </c>
      <c r="C213" s="31">
        <v>4301051668</v>
      </c>
      <c r="D213" s="552">
        <v>4680115880221</v>
      </c>
      <c r="E213" s="553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/>
      <c r="M213" s="33" t="s">
        <v>78</v>
      </c>
      <c r="N213" s="33"/>
      <c r="O213" s="32">
        <v>45</v>
      </c>
      <c r="P213" s="86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343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353</v>
      </c>
      <c r="B214" s="54" t="s">
        <v>354</v>
      </c>
      <c r="C214" s="31">
        <v>4301051945</v>
      </c>
      <c r="D214" s="552">
        <v>4680115880504</v>
      </c>
      <c r="E214" s="553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77</v>
      </c>
      <c r="M214" s="33" t="s">
        <v>86</v>
      </c>
      <c r="N214" s="33"/>
      <c r="O214" s="32">
        <v>40</v>
      </c>
      <c r="P214" s="6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355</v>
      </c>
      <c r="AG214" s="64"/>
      <c r="AJ214" s="68" t="s">
        <v>80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356</v>
      </c>
      <c r="B215" s="54" t="s">
        <v>357</v>
      </c>
      <c r="C215" s="31">
        <v>4301051410</v>
      </c>
      <c r="D215" s="552">
        <v>4680115882164</v>
      </c>
      <c r="E215" s="553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77</v>
      </c>
      <c r="M215" s="33" t="s">
        <v>78</v>
      </c>
      <c r="N215" s="33"/>
      <c r="O215" s="32">
        <v>40</v>
      </c>
      <c r="P215" s="8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340</v>
      </c>
      <c r="AG215" s="64"/>
      <c r="AJ215" s="68" t="s">
        <v>80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9.9382716049382722</v>
      </c>
      <c r="Y216" s="545">
        <f>IFERROR(Y207/H207,"0")+IFERROR(Y208/H208,"0")+IFERROR(Y209/H209,"0")+IFERROR(Y210/H210,"0")+IFERROR(Y211/H211,"0")+IFERROR(Y212/H212,"0")+IFERROR(Y213/H213,"0")+IFERROR(Y214/H214,"0")+IFERROR(Y215/H215,"0")</f>
        <v>11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0.14643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5">
        <f>IFERROR(SUM(X207:X215),"0")</f>
        <v>52</v>
      </c>
      <c r="Y217" s="545">
        <f>IFERROR(SUM(Y207:Y215),"0")</f>
        <v>60.599999999999994</v>
      </c>
      <c r="Z217" s="37"/>
      <c r="AA217" s="546"/>
      <c r="AB217" s="546"/>
      <c r="AC217" s="546"/>
    </row>
    <row r="218" spans="1:68" ht="14.25" customHeight="1" x14ac:dyDescent="0.25">
      <c r="A218" s="563" t="s">
        <v>165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358</v>
      </c>
      <c r="B219" s="54" t="s">
        <v>359</v>
      </c>
      <c r="C219" s="31">
        <v>4301060463</v>
      </c>
      <c r="D219" s="552">
        <v>4680115880818</v>
      </c>
      <c r="E219" s="553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77</v>
      </c>
      <c r="M219" s="33" t="s">
        <v>86</v>
      </c>
      <c r="N219" s="33"/>
      <c r="O219" s="32">
        <v>40</v>
      </c>
      <c r="P219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360</v>
      </c>
      <c r="AG219" s="64"/>
      <c r="AJ219" s="68" t="s">
        <v>80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361</v>
      </c>
      <c r="B220" s="54" t="s">
        <v>362</v>
      </c>
      <c r="C220" s="31">
        <v>4301060389</v>
      </c>
      <c r="D220" s="552">
        <v>4680115880801</v>
      </c>
      <c r="E220" s="553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 t="s">
        <v>77</v>
      </c>
      <c r="M220" s="33" t="s">
        <v>78</v>
      </c>
      <c r="N220" s="33"/>
      <c r="O220" s="32">
        <v>40</v>
      </c>
      <c r="P220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363</v>
      </c>
      <c r="AG220" s="64"/>
      <c r="AJ220" s="68" t="s">
        <v>80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95" t="s">
        <v>364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3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365</v>
      </c>
      <c r="B225" s="54" t="s">
        <v>366</v>
      </c>
      <c r="C225" s="31">
        <v>4301011826</v>
      </c>
      <c r="D225" s="552">
        <v>4680115884137</v>
      </c>
      <c r="E225" s="553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6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367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368</v>
      </c>
      <c r="B226" s="54" t="s">
        <v>369</v>
      </c>
      <c r="C226" s="31">
        <v>4301011724</v>
      </c>
      <c r="D226" s="552">
        <v>4680115884236</v>
      </c>
      <c r="E226" s="553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370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371</v>
      </c>
      <c r="B227" s="54" t="s">
        <v>372</v>
      </c>
      <c r="C227" s="31">
        <v>4301011721</v>
      </c>
      <c r="D227" s="552">
        <v>4680115884175</v>
      </c>
      <c r="E227" s="553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6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373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374</v>
      </c>
      <c r="B228" s="54" t="s">
        <v>375</v>
      </c>
      <c r="C228" s="31">
        <v>4301011824</v>
      </c>
      <c r="D228" s="552">
        <v>4680115884144</v>
      </c>
      <c r="E228" s="553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367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374</v>
      </c>
      <c r="B229" s="54" t="s">
        <v>376</v>
      </c>
      <c r="C229" s="31">
        <v>4301012196</v>
      </c>
      <c r="D229" s="552">
        <v>4680115884144</v>
      </c>
      <c r="E229" s="553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367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377</v>
      </c>
      <c r="B230" s="54" t="s">
        <v>378</v>
      </c>
      <c r="C230" s="31">
        <v>4301012149</v>
      </c>
      <c r="D230" s="552">
        <v>4680115886551</v>
      </c>
      <c r="E230" s="553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379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380</v>
      </c>
      <c r="B231" s="54" t="s">
        <v>381</v>
      </c>
      <c r="C231" s="31">
        <v>4301011726</v>
      </c>
      <c r="D231" s="552">
        <v>4680115884182</v>
      </c>
      <c r="E231" s="553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370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382</v>
      </c>
      <c r="B232" s="54" t="s">
        <v>383</v>
      </c>
      <c r="C232" s="31">
        <v>4301012228</v>
      </c>
      <c r="D232" s="552">
        <v>4680115887282</v>
      </c>
      <c r="E232" s="553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370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384</v>
      </c>
      <c r="B233" s="54" t="s">
        <v>385</v>
      </c>
      <c r="C233" s="31">
        <v>4301011722</v>
      </c>
      <c r="D233" s="552">
        <v>4680115884205</v>
      </c>
      <c r="E233" s="553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200</v>
      </c>
      <c r="M233" s="33" t="s">
        <v>106</v>
      </c>
      <c r="N233" s="33"/>
      <c r="O233" s="32">
        <v>55</v>
      </c>
      <c r="P233" s="70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373</v>
      </c>
      <c r="AG233" s="64"/>
      <c r="AJ233" s="68" t="s">
        <v>80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384</v>
      </c>
      <c r="B234" s="54" t="s">
        <v>386</v>
      </c>
      <c r="C234" s="31">
        <v>4301012195</v>
      </c>
      <c r="D234" s="552">
        <v>4680115884205</v>
      </c>
      <c r="E234" s="553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8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63" t="s">
        <v>137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387</v>
      </c>
      <c r="B238" s="54" t="s">
        <v>388</v>
      </c>
      <c r="C238" s="31">
        <v>4301020377</v>
      </c>
      <c r="D238" s="552">
        <v>4680115885981</v>
      </c>
      <c r="E238" s="553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78</v>
      </c>
      <c r="N238" s="33"/>
      <c r="O238" s="32">
        <v>50</v>
      </c>
      <c r="P238" s="7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389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3" t="s">
        <v>390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391</v>
      </c>
      <c r="B242" s="54" t="s">
        <v>392</v>
      </c>
      <c r="C242" s="31">
        <v>4301040362</v>
      </c>
      <c r="D242" s="552">
        <v>4680115886803</v>
      </c>
      <c r="E242" s="553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293</v>
      </c>
      <c r="L242" s="32"/>
      <c r="M242" s="33" t="s">
        <v>294</v>
      </c>
      <c r="N242" s="33"/>
      <c r="O242" s="32">
        <v>45</v>
      </c>
      <c r="P242" s="8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393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3" t="s">
        <v>394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395</v>
      </c>
      <c r="B246" s="54" t="s">
        <v>396</v>
      </c>
      <c r="C246" s="31">
        <v>4301041004</v>
      </c>
      <c r="D246" s="552">
        <v>4680115886704</v>
      </c>
      <c r="E246" s="553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293</v>
      </c>
      <c r="L246" s="32"/>
      <c r="M246" s="33" t="s">
        <v>294</v>
      </c>
      <c r="N246" s="33"/>
      <c r="O246" s="32">
        <v>90</v>
      </c>
      <c r="P246" s="77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397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398</v>
      </c>
      <c r="B247" s="54" t="s">
        <v>399</v>
      </c>
      <c r="C247" s="31">
        <v>4301041008</v>
      </c>
      <c r="D247" s="552">
        <v>4680115886681</v>
      </c>
      <c r="E247" s="553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293</v>
      </c>
      <c r="L247" s="32"/>
      <c r="M247" s="33" t="s">
        <v>294</v>
      </c>
      <c r="N247" s="33"/>
      <c r="O247" s="32">
        <v>90</v>
      </c>
      <c r="P247" s="6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397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400</v>
      </c>
      <c r="B248" s="54" t="s">
        <v>401</v>
      </c>
      <c r="C248" s="31">
        <v>4301041007</v>
      </c>
      <c r="D248" s="552">
        <v>4680115886735</v>
      </c>
      <c r="E248" s="553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293</v>
      </c>
      <c r="L248" s="32"/>
      <c r="M248" s="33" t="s">
        <v>294</v>
      </c>
      <c r="N248" s="33"/>
      <c r="O248" s="32">
        <v>90</v>
      </c>
      <c r="P248" s="71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397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402</v>
      </c>
      <c r="B249" s="54" t="s">
        <v>403</v>
      </c>
      <c r="C249" s="31">
        <v>4301041006</v>
      </c>
      <c r="D249" s="552">
        <v>4680115886728</v>
      </c>
      <c r="E249" s="553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293</v>
      </c>
      <c r="L249" s="32"/>
      <c r="M249" s="33" t="s">
        <v>294</v>
      </c>
      <c r="N249" s="33"/>
      <c r="O249" s="32">
        <v>90</v>
      </c>
      <c r="P249" s="86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397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404</v>
      </c>
      <c r="B250" s="54" t="s">
        <v>405</v>
      </c>
      <c r="C250" s="31">
        <v>4301041005</v>
      </c>
      <c r="D250" s="552">
        <v>4680115886711</v>
      </c>
      <c r="E250" s="553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293</v>
      </c>
      <c r="L250" s="32"/>
      <c r="M250" s="33" t="s">
        <v>294</v>
      </c>
      <c r="N250" s="33"/>
      <c r="O250" s="32">
        <v>90</v>
      </c>
      <c r="P250" s="84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397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95" t="s">
        <v>406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3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407</v>
      </c>
      <c r="B255" s="54" t="s">
        <v>408</v>
      </c>
      <c r="C255" s="31">
        <v>4301011855</v>
      </c>
      <c r="D255" s="552">
        <v>4680115885837</v>
      </c>
      <c r="E255" s="553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7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409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410</v>
      </c>
      <c r="B256" s="54" t="s">
        <v>411</v>
      </c>
      <c r="C256" s="31">
        <v>4301011853</v>
      </c>
      <c r="D256" s="552">
        <v>4680115885851</v>
      </c>
      <c r="E256" s="553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6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20</v>
      </c>
      <c r="Y256" s="544">
        <f>IFERROR(IF(X256="",0,CEILING((X256/$H256),1)*$H256),"")</f>
        <v>21.6</v>
      </c>
      <c r="Z256" s="36">
        <f>IFERROR(IF(Y256=0,"",ROUNDUP(Y256/H256,0)*0.01898),"")</f>
        <v>3.7960000000000001E-2</v>
      </c>
      <c r="AA256" s="56"/>
      <c r="AB256" s="57"/>
      <c r="AC256" s="303" t="s">
        <v>412</v>
      </c>
      <c r="AG256" s="64"/>
      <c r="AJ256" s="68"/>
      <c r="AK256" s="68">
        <v>0</v>
      </c>
      <c r="BB256" s="304" t="s">
        <v>1</v>
      </c>
      <c r="BM256" s="64">
        <f>IFERROR(X256*I256/H256,"0")</f>
        <v>20.75925925925926</v>
      </c>
      <c r="BN256" s="64">
        <f>IFERROR(Y256*I256/H256,"0")</f>
        <v>22.42</v>
      </c>
      <c r="BO256" s="64">
        <f>IFERROR(1/J256*(X256/H256),"0")</f>
        <v>2.8935185185185182E-2</v>
      </c>
      <c r="BP256" s="64">
        <f>IFERROR(1/J256*(Y256/H256),"0")</f>
        <v>3.125E-2</v>
      </c>
    </row>
    <row r="257" spans="1:68" ht="27" customHeight="1" x14ac:dyDescent="0.25">
      <c r="A257" s="54" t="s">
        <v>413</v>
      </c>
      <c r="B257" s="54" t="s">
        <v>414</v>
      </c>
      <c r="C257" s="31">
        <v>4301011850</v>
      </c>
      <c r="D257" s="552">
        <v>4680115885806</v>
      </c>
      <c r="E257" s="553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/>
      <c r="M257" s="33" t="s">
        <v>106</v>
      </c>
      <c r="N257" s="33"/>
      <c r="O257" s="32">
        <v>55</v>
      </c>
      <c r="P257" s="6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20</v>
      </c>
      <c r="Y257" s="544">
        <f>IFERROR(IF(X257="",0,CEILING((X257/$H257),1)*$H257),"")</f>
        <v>21.6</v>
      </c>
      <c r="Z257" s="36">
        <f>IFERROR(IF(Y257=0,"",ROUNDUP(Y257/H257,0)*0.01898),"")</f>
        <v>3.7960000000000001E-2</v>
      </c>
      <c r="AA257" s="56"/>
      <c r="AB257" s="57"/>
      <c r="AC257" s="305" t="s">
        <v>415</v>
      </c>
      <c r="AG257" s="64"/>
      <c r="AJ257" s="68"/>
      <c r="AK257" s="68">
        <v>0</v>
      </c>
      <c r="BB257" s="306" t="s">
        <v>1</v>
      </c>
      <c r="BM257" s="64">
        <f>IFERROR(X257*I257/H257,"0")</f>
        <v>20.75925925925926</v>
      </c>
      <c r="BN257" s="64">
        <f>IFERROR(Y257*I257/H257,"0")</f>
        <v>22.42</v>
      </c>
      <c r="BO257" s="64">
        <f>IFERROR(1/J257*(X257/H257),"0")</f>
        <v>2.8935185185185182E-2</v>
      </c>
      <c r="BP257" s="64">
        <f>IFERROR(1/J257*(Y257/H257),"0")</f>
        <v>3.125E-2</v>
      </c>
    </row>
    <row r="258" spans="1:68" ht="27" customHeight="1" x14ac:dyDescent="0.25">
      <c r="A258" s="54" t="s">
        <v>416</v>
      </c>
      <c r="B258" s="54" t="s">
        <v>417</v>
      </c>
      <c r="C258" s="31">
        <v>4301011852</v>
      </c>
      <c r="D258" s="552">
        <v>4680115885844</v>
      </c>
      <c r="E258" s="553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7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418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419</v>
      </c>
      <c r="B259" s="54" t="s">
        <v>420</v>
      </c>
      <c r="C259" s="31">
        <v>4301011851</v>
      </c>
      <c r="D259" s="552">
        <v>4680115885820</v>
      </c>
      <c r="E259" s="553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/>
      <c r="M259" s="33" t="s">
        <v>106</v>
      </c>
      <c r="N259" s="33"/>
      <c r="O259" s="32">
        <v>55</v>
      </c>
      <c r="P259" s="8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421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5">
        <f>IFERROR(X255/H255,"0")+IFERROR(X256/H256,"0")+IFERROR(X257/H257,"0")+IFERROR(X258/H258,"0")+IFERROR(X259/H259,"0")</f>
        <v>3.7037037037037033</v>
      </c>
      <c r="Y260" s="545">
        <f>IFERROR(Y255/H255,"0")+IFERROR(Y256/H256,"0")+IFERROR(Y257/H257,"0")+IFERROR(Y258/H258,"0")+IFERROR(Y259/H259,"0")</f>
        <v>4</v>
      </c>
      <c r="Z260" s="545">
        <f>IFERROR(IF(Z255="",0,Z255),"0")+IFERROR(IF(Z256="",0,Z256),"0")+IFERROR(IF(Z257="",0,Z257),"0")+IFERROR(IF(Z258="",0,Z258),"0")+IFERROR(IF(Z259="",0,Z259),"0")</f>
        <v>7.5920000000000001E-2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5">
        <f>IFERROR(SUM(X255:X259),"0")</f>
        <v>40</v>
      </c>
      <c r="Y261" s="545">
        <f>IFERROR(SUM(Y255:Y259),"0")</f>
        <v>43.2</v>
      </c>
      <c r="Z261" s="37"/>
      <c r="AA261" s="546"/>
      <c r="AB261" s="546"/>
      <c r="AC261" s="546"/>
    </row>
    <row r="262" spans="1:68" ht="16.5" customHeight="1" x14ac:dyDescent="0.25">
      <c r="A262" s="595" t="s">
        <v>422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3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423</v>
      </c>
      <c r="B264" s="54" t="s">
        <v>424</v>
      </c>
      <c r="C264" s="31">
        <v>4301011223</v>
      </c>
      <c r="D264" s="552">
        <v>4607091383423</v>
      </c>
      <c r="E264" s="553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78</v>
      </c>
      <c r="N264" s="33"/>
      <c r="O264" s="32">
        <v>35</v>
      </c>
      <c r="P264" s="78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425</v>
      </c>
      <c r="B265" s="54" t="s">
        <v>426</v>
      </c>
      <c r="C265" s="31">
        <v>4301012199</v>
      </c>
      <c r="D265" s="552">
        <v>4680115886957</v>
      </c>
      <c r="E265" s="553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78</v>
      </c>
      <c r="N265" s="33"/>
      <c r="O265" s="32">
        <v>30</v>
      </c>
      <c r="P265" s="8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428</v>
      </c>
      <c r="B266" s="54" t="s">
        <v>429</v>
      </c>
      <c r="C266" s="31">
        <v>4301012098</v>
      </c>
      <c r="D266" s="552">
        <v>4680115885660</v>
      </c>
      <c r="E266" s="553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78</v>
      </c>
      <c r="N266" s="33"/>
      <c r="O266" s="32">
        <v>35</v>
      </c>
      <c r="P266" s="82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430</v>
      </c>
      <c r="B267" s="54" t="s">
        <v>431</v>
      </c>
      <c r="C267" s="31">
        <v>4301012176</v>
      </c>
      <c r="D267" s="552">
        <v>4680115886773</v>
      </c>
      <c r="E267" s="553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3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432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95" t="s">
        <v>433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3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434</v>
      </c>
      <c r="B272" s="54" t="s">
        <v>435</v>
      </c>
      <c r="C272" s="31">
        <v>4301051893</v>
      </c>
      <c r="D272" s="552">
        <v>4680115886186</v>
      </c>
      <c r="E272" s="553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78</v>
      </c>
      <c r="N272" s="33"/>
      <c r="O272" s="32">
        <v>45</v>
      </c>
      <c r="P272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436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437</v>
      </c>
      <c r="B273" s="54" t="s">
        <v>438</v>
      </c>
      <c r="C273" s="31">
        <v>4301051795</v>
      </c>
      <c r="D273" s="552">
        <v>4680115881228</v>
      </c>
      <c r="E273" s="553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 t="s">
        <v>77</v>
      </c>
      <c r="M273" s="33" t="s">
        <v>86</v>
      </c>
      <c r="N273" s="33"/>
      <c r="O273" s="32">
        <v>40</v>
      </c>
      <c r="P273" s="80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439</v>
      </c>
      <c r="AG273" s="64"/>
      <c r="AJ273" s="68" t="s">
        <v>80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440</v>
      </c>
      <c r="B274" s="54" t="s">
        <v>441</v>
      </c>
      <c r="C274" s="31">
        <v>4301051388</v>
      </c>
      <c r="D274" s="552">
        <v>4680115881211</v>
      </c>
      <c r="E274" s="553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/>
      <c r="M274" s="33" t="s">
        <v>78</v>
      </c>
      <c r="N274" s="33"/>
      <c r="O274" s="32">
        <v>45</v>
      </c>
      <c r="P274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436</v>
      </c>
      <c r="AG274" s="64"/>
      <c r="AJ274" s="68"/>
      <c r="AK274" s="68">
        <v>0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95" t="s">
        <v>442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3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443</v>
      </c>
      <c r="B279" s="54" t="s">
        <v>444</v>
      </c>
      <c r="C279" s="31">
        <v>4301031307</v>
      </c>
      <c r="D279" s="552">
        <v>4680115880344</v>
      </c>
      <c r="E279" s="553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445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446</v>
      </c>
      <c r="B280" s="54" t="s">
        <v>447</v>
      </c>
      <c r="C280" s="31">
        <v>4301031429</v>
      </c>
      <c r="D280" s="552">
        <v>4680115886919</v>
      </c>
      <c r="E280" s="553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448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3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449</v>
      </c>
      <c r="B284" s="54" t="s">
        <v>450</v>
      </c>
      <c r="C284" s="31">
        <v>4301052057</v>
      </c>
      <c r="D284" s="552">
        <v>4680115887114</v>
      </c>
      <c r="E284" s="553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78</v>
      </c>
      <c r="N284" s="33"/>
      <c r="O284" s="32">
        <v>45</v>
      </c>
      <c r="P284" s="800" t="s">
        <v>451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256</v>
      </c>
      <c r="AC284" s="329" t="s">
        <v>452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453</v>
      </c>
      <c r="B285" s="54" t="s">
        <v>454</v>
      </c>
      <c r="C285" s="31">
        <v>4301051782</v>
      </c>
      <c r="D285" s="552">
        <v>4680115884618</v>
      </c>
      <c r="E285" s="553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/>
      <c r="M285" s="33" t="s">
        <v>78</v>
      </c>
      <c r="N285" s="33"/>
      <c r="O285" s="32">
        <v>45</v>
      </c>
      <c r="P285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455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95" t="s">
        <v>456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3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457</v>
      </c>
      <c r="B290" s="54" t="s">
        <v>458</v>
      </c>
      <c r="C290" s="31">
        <v>4301012126</v>
      </c>
      <c r="D290" s="552">
        <v>4607091386004</v>
      </c>
      <c r="E290" s="553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85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459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460</v>
      </c>
      <c r="B291" s="54" t="s">
        <v>461</v>
      </c>
      <c r="C291" s="31">
        <v>4301012024</v>
      </c>
      <c r="D291" s="552">
        <v>4680115885615</v>
      </c>
      <c r="E291" s="553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/>
      <c r="M291" s="33" t="s">
        <v>78</v>
      </c>
      <c r="N291" s="33"/>
      <c r="O291" s="32">
        <v>55</v>
      </c>
      <c r="P291" s="58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462</v>
      </c>
      <c r="AG291" s="64"/>
      <c r="AJ291" s="68"/>
      <c r="AK291" s="68">
        <v>0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463</v>
      </c>
      <c r="B292" s="54" t="s">
        <v>464</v>
      </c>
      <c r="C292" s="31">
        <v>4301011858</v>
      </c>
      <c r="D292" s="552">
        <v>4680115885646</v>
      </c>
      <c r="E292" s="553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106</v>
      </c>
      <c r="N292" s="33"/>
      <c r="O292" s="32">
        <v>55</v>
      </c>
      <c r="P292" s="5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465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466</v>
      </c>
      <c r="B293" s="54" t="s">
        <v>467</v>
      </c>
      <c r="C293" s="31">
        <v>4301012016</v>
      </c>
      <c r="D293" s="552">
        <v>4680115885554</v>
      </c>
      <c r="E293" s="553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78</v>
      </c>
      <c r="N293" s="33"/>
      <c r="O293" s="32">
        <v>55</v>
      </c>
      <c r="P293" s="58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468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469</v>
      </c>
      <c r="B294" s="54" t="s">
        <v>470</v>
      </c>
      <c r="C294" s="31">
        <v>4301011857</v>
      </c>
      <c r="D294" s="552">
        <v>4680115885622</v>
      </c>
      <c r="E294" s="553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/>
      <c r="M294" s="33" t="s">
        <v>106</v>
      </c>
      <c r="N294" s="33"/>
      <c r="O294" s="32">
        <v>55</v>
      </c>
      <c r="P294" s="5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462</v>
      </c>
      <c r="AG294" s="64"/>
      <c r="AJ294" s="68"/>
      <c r="AK294" s="68">
        <v>0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471</v>
      </c>
      <c r="B295" s="54" t="s">
        <v>472</v>
      </c>
      <c r="C295" s="31">
        <v>4301011859</v>
      </c>
      <c r="D295" s="552">
        <v>4680115885608</v>
      </c>
      <c r="E295" s="553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/>
      <c r="M295" s="33" t="s">
        <v>106</v>
      </c>
      <c r="N295" s="33"/>
      <c r="O295" s="32">
        <v>55</v>
      </c>
      <c r="P295" s="6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473</v>
      </c>
      <c r="AG295" s="64"/>
      <c r="AJ295" s="68"/>
      <c r="AK295" s="68">
        <v>0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59" t="s">
        <v>71</v>
      </c>
      <c r="Q297" s="560"/>
      <c r="R297" s="560"/>
      <c r="S297" s="560"/>
      <c r="T297" s="560"/>
      <c r="U297" s="560"/>
      <c r="V297" s="561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customHeight="1" x14ac:dyDescent="0.25">
      <c r="A298" s="563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474</v>
      </c>
      <c r="B299" s="54" t="s">
        <v>475</v>
      </c>
      <c r="C299" s="31">
        <v>4301030878</v>
      </c>
      <c r="D299" s="552">
        <v>4607091387193</v>
      </c>
      <c r="E299" s="553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35</v>
      </c>
      <c r="P299" s="7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25</v>
      </c>
      <c r="Y299" s="544">
        <f t="shared" ref="Y299:Y305" si="31">IFERROR(IF(X299="",0,CEILING((X299/$H299),1)*$H299),"")</f>
        <v>25.200000000000003</v>
      </c>
      <c r="Z299" s="36">
        <f>IFERROR(IF(Y299=0,"",ROUNDUP(Y299/H299,0)*0.00902),"")</f>
        <v>5.4120000000000001E-2</v>
      </c>
      <c r="AA299" s="56"/>
      <c r="AB299" s="57"/>
      <c r="AC299" s="345" t="s">
        <v>476</v>
      </c>
      <c r="AG299" s="64"/>
      <c r="AJ299" s="68"/>
      <c r="AK299" s="68">
        <v>0</v>
      </c>
      <c r="BB299" s="346" t="s">
        <v>1</v>
      </c>
      <c r="BM299" s="64">
        <f t="shared" ref="BM299:BM305" si="32">IFERROR(X299*I299/H299,"0")</f>
        <v>26.488095238095237</v>
      </c>
      <c r="BN299" s="64">
        <f t="shared" ref="BN299:BN305" si="33">IFERROR(Y299*I299/H299,"0")</f>
        <v>26.700000000000003</v>
      </c>
      <c r="BO299" s="64">
        <f t="shared" ref="BO299:BO305" si="34">IFERROR(1/J299*(X299/H299),"0")</f>
        <v>4.5093795093795096E-2</v>
      </c>
      <c r="BP299" s="64">
        <f t="shared" ref="BP299:BP305" si="35">IFERROR(1/J299*(Y299/H299),"0")</f>
        <v>4.5454545454545456E-2</v>
      </c>
    </row>
    <row r="300" spans="1:68" ht="27" customHeight="1" x14ac:dyDescent="0.25">
      <c r="A300" s="54" t="s">
        <v>477</v>
      </c>
      <c r="B300" s="54" t="s">
        <v>478</v>
      </c>
      <c r="C300" s="31">
        <v>4301031153</v>
      </c>
      <c r="D300" s="552">
        <v>4607091387230</v>
      </c>
      <c r="E300" s="553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40</v>
      </c>
      <c r="P300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479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480</v>
      </c>
      <c r="B301" s="54" t="s">
        <v>481</v>
      </c>
      <c r="C301" s="31">
        <v>4301031154</v>
      </c>
      <c r="D301" s="552">
        <v>4607091387292</v>
      </c>
      <c r="E301" s="553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6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482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483</v>
      </c>
      <c r="B302" s="54" t="s">
        <v>484</v>
      </c>
      <c r="C302" s="31">
        <v>4301031152</v>
      </c>
      <c r="D302" s="552">
        <v>4607091387285</v>
      </c>
      <c r="E302" s="553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485</v>
      </c>
      <c r="B303" s="54" t="s">
        <v>486</v>
      </c>
      <c r="C303" s="31">
        <v>4301031305</v>
      </c>
      <c r="D303" s="552">
        <v>4607091389845</v>
      </c>
      <c r="E303" s="553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280</v>
      </c>
      <c r="M303" s="33" t="s">
        <v>68</v>
      </c>
      <c r="N303" s="33"/>
      <c r="O303" s="32">
        <v>40</v>
      </c>
      <c r="P303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487</v>
      </c>
      <c r="AG303" s="64"/>
      <c r="AJ303" s="68" t="s">
        <v>80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488</v>
      </c>
      <c r="B304" s="54" t="s">
        <v>489</v>
      </c>
      <c r="C304" s="31">
        <v>4301031306</v>
      </c>
      <c r="D304" s="552">
        <v>4680115882881</v>
      </c>
      <c r="E304" s="553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0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487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4301031066</v>
      </c>
      <c r="D305" s="552">
        <v>4607091383836</v>
      </c>
      <c r="E305" s="553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77</v>
      </c>
      <c r="M305" s="33" t="s">
        <v>68</v>
      </c>
      <c r="N305" s="33"/>
      <c r="O305" s="32">
        <v>40</v>
      </c>
      <c r="P305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492</v>
      </c>
      <c r="AG305" s="64"/>
      <c r="AJ305" s="68" t="s">
        <v>80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72</v>
      </c>
      <c r="X306" s="545">
        <f>IFERROR(X299/H299,"0")+IFERROR(X300/H300,"0")+IFERROR(X301/H301,"0")+IFERROR(X302/H302,"0")+IFERROR(X303/H303,"0")+IFERROR(X304/H304,"0")+IFERROR(X305/H305,"0")</f>
        <v>5.9523809523809526</v>
      </c>
      <c r="Y306" s="545">
        <f>IFERROR(Y299/H299,"0")+IFERROR(Y300/H300,"0")+IFERROR(Y301/H301,"0")+IFERROR(Y302/H302,"0")+IFERROR(Y303/H303,"0")+IFERROR(Y304/H304,"0")+IFERROR(Y305/H305,"0")</f>
        <v>6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5.4120000000000001E-2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59" t="s">
        <v>71</v>
      </c>
      <c r="Q307" s="560"/>
      <c r="R307" s="560"/>
      <c r="S307" s="560"/>
      <c r="T307" s="560"/>
      <c r="U307" s="560"/>
      <c r="V307" s="561"/>
      <c r="W307" s="37" t="s">
        <v>69</v>
      </c>
      <c r="X307" s="545">
        <f>IFERROR(SUM(X299:X305),"0")</f>
        <v>25</v>
      </c>
      <c r="Y307" s="545">
        <f>IFERROR(SUM(Y299:Y305),"0")</f>
        <v>25.200000000000003</v>
      </c>
      <c r="Z307" s="37"/>
      <c r="AA307" s="546"/>
      <c r="AB307" s="546"/>
      <c r="AC307" s="546"/>
    </row>
    <row r="308" spans="1:68" ht="14.25" customHeight="1" x14ac:dyDescent="0.25">
      <c r="A308" s="563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493</v>
      </c>
      <c r="B309" s="54" t="s">
        <v>494</v>
      </c>
      <c r="C309" s="31">
        <v>4301051100</v>
      </c>
      <c r="D309" s="552">
        <v>4607091387766</v>
      </c>
      <c r="E309" s="553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/>
      <c r="M309" s="33" t="s">
        <v>78</v>
      </c>
      <c r="N309" s="33"/>
      <c r="O309" s="32">
        <v>40</v>
      </c>
      <c r="P30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495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496</v>
      </c>
      <c r="B310" s="54" t="s">
        <v>497</v>
      </c>
      <c r="C310" s="31">
        <v>4301051818</v>
      </c>
      <c r="D310" s="552">
        <v>4607091387957</v>
      </c>
      <c r="E310" s="553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78</v>
      </c>
      <c r="N310" s="33"/>
      <c r="O310" s="32">
        <v>40</v>
      </c>
      <c r="P31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498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499</v>
      </c>
      <c r="B311" s="54" t="s">
        <v>500</v>
      </c>
      <c r="C311" s="31">
        <v>4301051819</v>
      </c>
      <c r="D311" s="552">
        <v>4607091387964</v>
      </c>
      <c r="E311" s="553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78</v>
      </c>
      <c r="N311" s="33"/>
      <c r="O311" s="32">
        <v>40</v>
      </c>
      <c r="P311" s="73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501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502</v>
      </c>
      <c r="B312" s="54" t="s">
        <v>503</v>
      </c>
      <c r="C312" s="31">
        <v>4301051734</v>
      </c>
      <c r="D312" s="552">
        <v>4680115884588</v>
      </c>
      <c r="E312" s="553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/>
      <c r="M312" s="33" t="s">
        <v>78</v>
      </c>
      <c r="N312" s="33"/>
      <c r="O312" s="32">
        <v>40</v>
      </c>
      <c r="P312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504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59" t="s">
        <v>71</v>
      </c>
      <c r="Q314" s="560"/>
      <c r="R314" s="560"/>
      <c r="S314" s="560"/>
      <c r="T314" s="560"/>
      <c r="U314" s="560"/>
      <c r="V314" s="561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customHeight="1" x14ac:dyDescent="0.25">
      <c r="A315" s="563" t="s">
        <v>165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505</v>
      </c>
      <c r="B316" s="54" t="s">
        <v>506</v>
      </c>
      <c r="C316" s="31">
        <v>4301060387</v>
      </c>
      <c r="D316" s="552">
        <v>4607091380880</v>
      </c>
      <c r="E316" s="553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78</v>
      </c>
      <c r="N316" s="33"/>
      <c r="O316" s="32">
        <v>30</v>
      </c>
      <c r="P316" s="8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507</v>
      </c>
      <c r="AG316" s="64"/>
      <c r="AJ316" s="68" t="s">
        <v>80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508</v>
      </c>
      <c r="B317" s="54" t="s">
        <v>509</v>
      </c>
      <c r="C317" s="31">
        <v>4301060406</v>
      </c>
      <c r="D317" s="552">
        <v>4607091384482</v>
      </c>
      <c r="E317" s="553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78</v>
      </c>
      <c r="N317" s="33"/>
      <c r="O317" s="32">
        <v>30</v>
      </c>
      <c r="P317" s="6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25</v>
      </c>
      <c r="Y317" s="544">
        <f>IFERROR(IF(X317="",0,CEILING((X317/$H317),1)*$H317),"")</f>
        <v>31.2</v>
      </c>
      <c r="Z317" s="36">
        <f>IFERROR(IF(Y317=0,"",ROUNDUP(Y317/H317,0)*0.01898),"")</f>
        <v>7.5920000000000001E-2</v>
      </c>
      <c r="AA317" s="56"/>
      <c r="AB317" s="57"/>
      <c r="AC317" s="369" t="s">
        <v>510</v>
      </c>
      <c r="AG317" s="64"/>
      <c r="AJ317" s="68" t="s">
        <v>80</v>
      </c>
      <c r="AK317" s="68">
        <v>62.4</v>
      </c>
      <c r="BB317" s="370" t="s">
        <v>1</v>
      </c>
      <c r="BM317" s="64">
        <f>IFERROR(X317*I317/H317,"0")</f>
        <v>26.583333333333336</v>
      </c>
      <c r="BN317" s="64">
        <f>IFERROR(Y317*I317/H317,"0")</f>
        <v>33.176000000000002</v>
      </c>
      <c r="BO317" s="64">
        <f>IFERROR(1/J317*(X317/H317),"0")</f>
        <v>5.0080128205128208E-2</v>
      </c>
      <c r="BP317" s="64">
        <f>IFERROR(1/J317*(Y317/H317),"0")</f>
        <v>6.25E-2</v>
      </c>
    </row>
    <row r="318" spans="1:68" ht="16.5" customHeight="1" x14ac:dyDescent="0.25">
      <c r="A318" s="54" t="s">
        <v>511</v>
      </c>
      <c r="B318" s="54" t="s">
        <v>512</v>
      </c>
      <c r="C318" s="31">
        <v>4301060484</v>
      </c>
      <c r="D318" s="552">
        <v>4607091380897</v>
      </c>
      <c r="E318" s="553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/>
      <c r="M318" s="33" t="s">
        <v>86</v>
      </c>
      <c r="N318" s="33"/>
      <c r="O318" s="32">
        <v>30</v>
      </c>
      <c r="P318" s="6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513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72</v>
      </c>
      <c r="X319" s="545">
        <f>IFERROR(X316/H316,"0")+IFERROR(X317/H317,"0")+IFERROR(X318/H318,"0")</f>
        <v>3.2051282051282053</v>
      </c>
      <c r="Y319" s="545">
        <f>IFERROR(Y316/H316,"0")+IFERROR(Y317/H317,"0")+IFERROR(Y318/H318,"0")</f>
        <v>4</v>
      </c>
      <c r="Z319" s="545">
        <f>IFERROR(IF(Z316="",0,Z316),"0")+IFERROR(IF(Z317="",0,Z317),"0")+IFERROR(IF(Z318="",0,Z318),"0")</f>
        <v>7.5920000000000001E-2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59" t="s">
        <v>71</v>
      </c>
      <c r="Q320" s="560"/>
      <c r="R320" s="560"/>
      <c r="S320" s="560"/>
      <c r="T320" s="560"/>
      <c r="U320" s="560"/>
      <c r="V320" s="561"/>
      <c r="W320" s="37" t="s">
        <v>69</v>
      </c>
      <c r="X320" s="545">
        <f>IFERROR(SUM(X316:X318),"0")</f>
        <v>25</v>
      </c>
      <c r="Y320" s="545">
        <f>IFERROR(SUM(Y316:Y318),"0")</f>
        <v>31.2</v>
      </c>
      <c r="Z320" s="37"/>
      <c r="AA320" s="546"/>
      <c r="AB320" s="546"/>
      <c r="AC320" s="546"/>
    </row>
    <row r="321" spans="1:68" ht="14.25" customHeight="1" x14ac:dyDescent="0.25">
      <c r="A321" s="563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514</v>
      </c>
      <c r="B322" s="54" t="s">
        <v>515</v>
      </c>
      <c r="C322" s="31">
        <v>4301030235</v>
      </c>
      <c r="D322" s="552">
        <v>4607091388381</v>
      </c>
      <c r="E322" s="553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517</v>
      </c>
      <c r="B323" s="54" t="s">
        <v>518</v>
      </c>
      <c r="C323" s="31">
        <v>4301030232</v>
      </c>
      <c r="D323" s="552">
        <v>4607091388374</v>
      </c>
      <c r="E323" s="553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642" t="s">
        <v>519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520</v>
      </c>
      <c r="B324" s="54" t="s">
        <v>521</v>
      </c>
      <c r="C324" s="31">
        <v>4301032015</v>
      </c>
      <c r="D324" s="552">
        <v>4607091383102</v>
      </c>
      <c r="E324" s="553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 t="s">
        <v>77</v>
      </c>
      <c r="M324" s="33" t="s">
        <v>96</v>
      </c>
      <c r="N324" s="33"/>
      <c r="O324" s="32">
        <v>180</v>
      </c>
      <c r="P324" s="7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522</v>
      </c>
      <c r="AG324" s="64"/>
      <c r="AJ324" s="68" t="s">
        <v>80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523</v>
      </c>
      <c r="B325" s="54" t="s">
        <v>524</v>
      </c>
      <c r="C325" s="31">
        <v>4301030233</v>
      </c>
      <c r="D325" s="552">
        <v>4607091388404</v>
      </c>
      <c r="E325" s="553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/>
      <c r="M325" s="33" t="s">
        <v>96</v>
      </c>
      <c r="N325" s="33"/>
      <c r="O325" s="32">
        <v>180</v>
      </c>
      <c r="P325" s="7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516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59" t="s">
        <v>71</v>
      </c>
      <c r="Q327" s="560"/>
      <c r="R327" s="560"/>
      <c r="S327" s="560"/>
      <c r="T327" s="560"/>
      <c r="U327" s="560"/>
      <c r="V327" s="561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63" t="s">
        <v>525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526</v>
      </c>
      <c r="B329" s="54" t="s">
        <v>527</v>
      </c>
      <c r="C329" s="31">
        <v>4301180007</v>
      </c>
      <c r="D329" s="552">
        <v>4680115881808</v>
      </c>
      <c r="E329" s="553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528</v>
      </c>
      <c r="N329" s="33"/>
      <c r="O329" s="32">
        <v>730</v>
      </c>
      <c r="P329" s="8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530</v>
      </c>
      <c r="B330" s="54" t="s">
        <v>531</v>
      </c>
      <c r="C330" s="31">
        <v>4301180006</v>
      </c>
      <c r="D330" s="552">
        <v>4680115881822</v>
      </c>
      <c r="E330" s="553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528</v>
      </c>
      <c r="N330" s="33"/>
      <c r="O330" s="32">
        <v>730</v>
      </c>
      <c r="P330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532</v>
      </c>
      <c r="B331" s="54" t="s">
        <v>533</v>
      </c>
      <c r="C331" s="31">
        <v>4301180001</v>
      </c>
      <c r="D331" s="552">
        <v>4680115880016</v>
      </c>
      <c r="E331" s="553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528</v>
      </c>
      <c r="N331" s="33"/>
      <c r="O331" s="32">
        <v>730</v>
      </c>
      <c r="P331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529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59" t="s">
        <v>71</v>
      </c>
      <c r="Q333" s="560"/>
      <c r="R333" s="560"/>
      <c r="S333" s="560"/>
      <c r="T333" s="560"/>
      <c r="U333" s="560"/>
      <c r="V333" s="561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95" t="s">
        <v>534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3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535</v>
      </c>
      <c r="B336" s="54" t="s">
        <v>536</v>
      </c>
      <c r="C336" s="31">
        <v>4301051489</v>
      </c>
      <c r="D336" s="552">
        <v>4607091387919</v>
      </c>
      <c r="E336" s="553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/>
      <c r="M336" s="33" t="s">
        <v>86</v>
      </c>
      <c r="N336" s="33"/>
      <c r="O336" s="32">
        <v>45</v>
      </c>
      <c r="P336" s="6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537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538</v>
      </c>
      <c r="B337" s="54" t="s">
        <v>539</v>
      </c>
      <c r="C337" s="31">
        <v>4301051461</v>
      </c>
      <c r="D337" s="552">
        <v>4680115883604</v>
      </c>
      <c r="E337" s="553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77</v>
      </c>
      <c r="M337" s="33" t="s">
        <v>78</v>
      </c>
      <c r="N337" s="33"/>
      <c r="O337" s="32">
        <v>45</v>
      </c>
      <c r="P337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10.5</v>
      </c>
      <c r="Y337" s="544">
        <f>IFERROR(IF(X337="",0,CEILING((X337/$H337),1)*$H337),"")</f>
        <v>10.5</v>
      </c>
      <c r="Z337" s="36">
        <f>IFERROR(IF(Y337=0,"",ROUNDUP(Y337/H337,0)*0.00651),"")</f>
        <v>3.2550000000000003E-2</v>
      </c>
      <c r="AA337" s="56"/>
      <c r="AB337" s="57"/>
      <c r="AC337" s="389" t="s">
        <v>540</v>
      </c>
      <c r="AG337" s="64"/>
      <c r="AJ337" s="68" t="s">
        <v>80</v>
      </c>
      <c r="AK337" s="68">
        <v>29.4</v>
      </c>
      <c r="BB337" s="390" t="s">
        <v>1</v>
      </c>
      <c r="BM337" s="64">
        <f>IFERROR(X337*I337/H337,"0")</f>
        <v>11.759999999999998</v>
      </c>
      <c r="BN337" s="64">
        <f>IFERROR(Y337*I337/H337,"0")</f>
        <v>11.759999999999998</v>
      </c>
      <c r="BO337" s="64">
        <f>IFERROR(1/J337*(X337/H337),"0")</f>
        <v>2.7472527472527476E-2</v>
      </c>
      <c r="BP337" s="64">
        <f>IFERROR(1/J337*(Y337/H337),"0")</f>
        <v>2.7472527472527476E-2</v>
      </c>
    </row>
    <row r="338" spans="1:68" ht="27" customHeight="1" x14ac:dyDescent="0.25">
      <c r="A338" s="54" t="s">
        <v>541</v>
      </c>
      <c r="B338" s="54" t="s">
        <v>542</v>
      </c>
      <c r="C338" s="31">
        <v>4301051864</v>
      </c>
      <c r="D338" s="552">
        <v>4680115883567</v>
      </c>
      <c r="E338" s="553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77</v>
      </c>
      <c r="M338" s="33" t="s">
        <v>86</v>
      </c>
      <c r="N338" s="33"/>
      <c r="O338" s="32">
        <v>40</v>
      </c>
      <c r="P338" s="5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4.1999999999999993</v>
      </c>
      <c r="Y338" s="544">
        <f>IFERROR(IF(X338="",0,CEILING((X338/$H338),1)*$H338),"")</f>
        <v>4.2</v>
      </c>
      <c r="Z338" s="36">
        <f>IFERROR(IF(Y338=0,"",ROUNDUP(Y338/H338,0)*0.00651),"")</f>
        <v>1.302E-2</v>
      </c>
      <c r="AA338" s="56"/>
      <c r="AB338" s="57"/>
      <c r="AC338" s="391" t="s">
        <v>543</v>
      </c>
      <c r="AG338" s="64"/>
      <c r="AJ338" s="68" t="s">
        <v>80</v>
      </c>
      <c r="AK338" s="68">
        <v>29.4</v>
      </c>
      <c r="BB338" s="392" t="s">
        <v>1</v>
      </c>
      <c r="BM338" s="64">
        <f>IFERROR(X338*I338/H338,"0")</f>
        <v>4.6799999999999988</v>
      </c>
      <c r="BN338" s="64">
        <f>IFERROR(Y338*I338/H338,"0")</f>
        <v>4.68</v>
      </c>
      <c r="BO338" s="64">
        <f>IFERROR(1/J338*(X338/H338),"0")</f>
        <v>1.0989010989010988E-2</v>
      </c>
      <c r="BP338" s="64">
        <f>IFERROR(1/J338*(Y338/H338),"0")</f>
        <v>1.098901098901099E-2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72</v>
      </c>
      <c r="X339" s="545">
        <f>IFERROR(X336/H336,"0")+IFERROR(X337/H337,"0")+IFERROR(X338/H338,"0")</f>
        <v>7</v>
      </c>
      <c r="Y339" s="545">
        <f>IFERROR(Y336/H336,"0")+IFERROR(Y337/H337,"0")+IFERROR(Y338/H338,"0")</f>
        <v>7</v>
      </c>
      <c r="Z339" s="545">
        <f>IFERROR(IF(Z336="",0,Z336),"0")+IFERROR(IF(Z337="",0,Z337),"0")+IFERROR(IF(Z338="",0,Z338),"0")</f>
        <v>4.5569999999999999E-2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59" t="s">
        <v>71</v>
      </c>
      <c r="Q340" s="560"/>
      <c r="R340" s="560"/>
      <c r="S340" s="560"/>
      <c r="T340" s="560"/>
      <c r="U340" s="560"/>
      <c r="V340" s="561"/>
      <c r="W340" s="37" t="s">
        <v>69</v>
      </c>
      <c r="X340" s="545">
        <f>IFERROR(SUM(X336:X338),"0")</f>
        <v>14.7</v>
      </c>
      <c r="Y340" s="545">
        <f>IFERROR(SUM(Y336:Y338),"0")</f>
        <v>14.7</v>
      </c>
      <c r="Z340" s="37"/>
      <c r="AA340" s="546"/>
      <c r="AB340" s="546"/>
      <c r="AC340" s="546"/>
    </row>
    <row r="341" spans="1:68" ht="27.75" customHeight="1" x14ac:dyDescent="0.2">
      <c r="A341" s="631" t="s">
        <v>544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48"/>
      <c r="AB341" s="48"/>
      <c r="AC341" s="48"/>
    </row>
    <row r="342" spans="1:68" ht="16.5" customHeight="1" x14ac:dyDescent="0.25">
      <c r="A342" s="595" t="s">
        <v>545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3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546</v>
      </c>
      <c r="B344" s="54" t="s">
        <v>547</v>
      </c>
      <c r="C344" s="31">
        <v>4301011869</v>
      </c>
      <c r="D344" s="552">
        <v>4680115884847</v>
      </c>
      <c r="E344" s="553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 t="s">
        <v>105</v>
      </c>
      <c r="M344" s="33" t="s">
        <v>68</v>
      </c>
      <c r="N344" s="33"/>
      <c r="O344" s="32">
        <v>60</v>
      </c>
      <c r="P344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548</v>
      </c>
      <c r="AG344" s="64"/>
      <c r="AJ344" s="68" t="s">
        <v>80</v>
      </c>
      <c r="AK344" s="68">
        <v>120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4301011870</v>
      </c>
      <c r="D345" s="552">
        <v>4680115884854</v>
      </c>
      <c r="E345" s="553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 t="s">
        <v>551</v>
      </c>
      <c r="M345" s="33" t="s">
        <v>68</v>
      </c>
      <c r="N345" s="33"/>
      <c r="O345" s="32">
        <v>60</v>
      </c>
      <c r="P345" s="67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552</v>
      </c>
      <c r="AG345" s="64"/>
      <c r="AJ345" s="68" t="s">
        <v>80</v>
      </c>
      <c r="AK345" s="68">
        <v>10575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37.5" customHeight="1" x14ac:dyDescent="0.25">
      <c r="A346" s="54" t="s">
        <v>553</v>
      </c>
      <c r="B346" s="54" t="s">
        <v>554</v>
      </c>
      <c r="C346" s="31">
        <v>4301011867</v>
      </c>
      <c r="D346" s="552">
        <v>4680115884830</v>
      </c>
      <c r="E346" s="553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 t="s">
        <v>105</v>
      </c>
      <c r="M346" s="33" t="s">
        <v>68</v>
      </c>
      <c r="N346" s="33"/>
      <c r="O346" s="32">
        <v>60</v>
      </c>
      <c r="P346" s="6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555</v>
      </c>
      <c r="AG346" s="64"/>
      <c r="AJ346" s="68" t="s">
        <v>80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556</v>
      </c>
      <c r="B347" s="54" t="s">
        <v>557</v>
      </c>
      <c r="C347" s="31">
        <v>4301012215</v>
      </c>
      <c r="D347" s="552">
        <v>4680115887046</v>
      </c>
      <c r="E347" s="553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86</v>
      </c>
      <c r="N347" s="33"/>
      <c r="O347" s="32">
        <v>60</v>
      </c>
      <c r="P347" s="618" t="s">
        <v>558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560</v>
      </c>
      <c r="B348" s="54" t="s">
        <v>561</v>
      </c>
      <c r="C348" s="31">
        <v>4301011433</v>
      </c>
      <c r="D348" s="552">
        <v>4680115882638</v>
      </c>
      <c r="E348" s="553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6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562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563</v>
      </c>
      <c r="B349" s="54" t="s">
        <v>564</v>
      </c>
      <c r="C349" s="31">
        <v>4301011952</v>
      </c>
      <c r="D349" s="552">
        <v>4680115884922</v>
      </c>
      <c r="E349" s="553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6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552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565</v>
      </c>
      <c r="B350" s="54" t="s">
        <v>566</v>
      </c>
      <c r="C350" s="31">
        <v>4301011868</v>
      </c>
      <c r="D350" s="552">
        <v>4680115884861</v>
      </c>
      <c r="E350" s="553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/>
      <c r="M350" s="33" t="s">
        <v>68</v>
      </c>
      <c r="N350" s="33"/>
      <c r="O350" s="32">
        <v>60</v>
      </c>
      <c r="P350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555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72</v>
      </c>
      <c r="X351" s="545">
        <f>IFERROR(X344/H344,"0")+IFERROR(X345/H345,"0")+IFERROR(X346/H346,"0")+IFERROR(X347/H347,"0")+IFERROR(X348/H348,"0")+IFERROR(X349/H349,"0")+IFERROR(X350/H350,"0")</f>
        <v>0</v>
      </c>
      <c r="Y351" s="545">
        <f>IFERROR(Y344/H344,"0")+IFERROR(Y345/H345,"0")+IFERROR(Y346/H346,"0")+IFERROR(Y347/H347,"0")+IFERROR(Y348/H348,"0")+IFERROR(Y349/H349,"0")+IFERROR(Y350/H350,"0")</f>
        <v>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9" t="s">
        <v>71</v>
      </c>
      <c r="Q352" s="560"/>
      <c r="R352" s="560"/>
      <c r="S352" s="560"/>
      <c r="T352" s="560"/>
      <c r="U352" s="560"/>
      <c r="V352" s="561"/>
      <c r="W352" s="37" t="s">
        <v>69</v>
      </c>
      <c r="X352" s="545">
        <f>IFERROR(SUM(X344:X350),"0")</f>
        <v>0</v>
      </c>
      <c r="Y352" s="545">
        <f>IFERROR(SUM(Y344:Y350),"0")</f>
        <v>0</v>
      </c>
      <c r="Z352" s="37"/>
      <c r="AA352" s="546"/>
      <c r="AB352" s="546"/>
      <c r="AC352" s="546"/>
    </row>
    <row r="353" spans="1:68" ht="14.25" customHeight="1" x14ac:dyDescent="0.25">
      <c r="A353" s="563" t="s">
        <v>137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567</v>
      </c>
      <c r="B354" s="54" t="s">
        <v>568</v>
      </c>
      <c r="C354" s="31">
        <v>4301020178</v>
      </c>
      <c r="D354" s="552">
        <v>4607091383980</v>
      </c>
      <c r="E354" s="553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 t="s">
        <v>569</v>
      </c>
      <c r="M354" s="33" t="s">
        <v>106</v>
      </c>
      <c r="N354" s="33"/>
      <c r="O354" s="32">
        <v>50</v>
      </c>
      <c r="P354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IFERROR(IF(Y354=0,"",ROUNDUP(Y354/H354,0)*0.02175),"")</f>
        <v/>
      </c>
      <c r="AA354" s="56"/>
      <c r="AB354" s="57"/>
      <c r="AC354" s="407" t="s">
        <v>570</v>
      </c>
      <c r="AG354" s="64"/>
      <c r="AJ354" s="68" t="s">
        <v>80</v>
      </c>
      <c r="AK354" s="68">
        <v>15075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16.5" customHeight="1" x14ac:dyDescent="0.25">
      <c r="A355" s="54" t="s">
        <v>571</v>
      </c>
      <c r="B355" s="54" t="s">
        <v>572</v>
      </c>
      <c r="C355" s="31">
        <v>4301020179</v>
      </c>
      <c r="D355" s="552">
        <v>4607091384178</v>
      </c>
      <c r="E355" s="553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5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570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72</v>
      </c>
      <c r="X356" s="545">
        <f>IFERROR(X354/H354,"0")+IFERROR(X355/H355,"0")</f>
        <v>0</v>
      </c>
      <c r="Y356" s="545">
        <f>IFERROR(Y354/H354,"0")+IFERROR(Y355/H355,"0")</f>
        <v>0</v>
      </c>
      <c r="Z356" s="545">
        <f>IFERROR(IF(Z354="",0,Z354),"0")+IFERROR(IF(Z355="",0,Z355),"0")</f>
        <v>0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59" t="s">
        <v>71</v>
      </c>
      <c r="Q357" s="560"/>
      <c r="R357" s="560"/>
      <c r="S357" s="560"/>
      <c r="T357" s="560"/>
      <c r="U357" s="560"/>
      <c r="V357" s="561"/>
      <c r="W357" s="37" t="s">
        <v>69</v>
      </c>
      <c r="X357" s="545">
        <f>IFERROR(SUM(X354:X355),"0")</f>
        <v>0</v>
      </c>
      <c r="Y357" s="545">
        <f>IFERROR(SUM(Y354:Y355),"0")</f>
        <v>0</v>
      </c>
      <c r="Z357" s="37"/>
      <c r="AA357" s="546"/>
      <c r="AB357" s="546"/>
      <c r="AC357" s="546"/>
    </row>
    <row r="358" spans="1:68" ht="14.25" customHeight="1" x14ac:dyDescent="0.25">
      <c r="A358" s="563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573</v>
      </c>
      <c r="B359" s="54" t="s">
        <v>574</v>
      </c>
      <c r="C359" s="31">
        <v>4301051903</v>
      </c>
      <c r="D359" s="552">
        <v>4607091383928</v>
      </c>
      <c r="E359" s="553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/>
      <c r="M359" s="33" t="s">
        <v>78</v>
      </c>
      <c r="N359" s="33"/>
      <c r="O359" s="32">
        <v>40</v>
      </c>
      <c r="P359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575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576</v>
      </c>
      <c r="B360" s="54" t="s">
        <v>577</v>
      </c>
      <c r="C360" s="31">
        <v>4301051897</v>
      </c>
      <c r="D360" s="552">
        <v>4607091384260</v>
      </c>
      <c r="E360" s="553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/>
      <c r="M360" s="33" t="s">
        <v>78</v>
      </c>
      <c r="N360" s="33"/>
      <c r="O360" s="32">
        <v>40</v>
      </c>
      <c r="P360" s="6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578</v>
      </c>
      <c r="AG360" s="64"/>
      <c r="AJ360" s="68"/>
      <c r="AK360" s="68">
        <v>0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9" t="s">
        <v>71</v>
      </c>
      <c r="Q362" s="560"/>
      <c r="R362" s="560"/>
      <c r="S362" s="560"/>
      <c r="T362" s="560"/>
      <c r="U362" s="560"/>
      <c r="V362" s="561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63" t="s">
        <v>165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579</v>
      </c>
      <c r="B364" s="54" t="s">
        <v>580</v>
      </c>
      <c r="C364" s="31">
        <v>4301060524</v>
      </c>
      <c r="D364" s="552">
        <v>4607091384673</v>
      </c>
      <c r="E364" s="553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78</v>
      </c>
      <c r="N364" s="33"/>
      <c r="O364" s="32">
        <v>40</v>
      </c>
      <c r="P364" s="6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581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9" t="s">
        <v>71</v>
      </c>
      <c r="Q366" s="560"/>
      <c r="R366" s="560"/>
      <c r="S366" s="560"/>
      <c r="T366" s="560"/>
      <c r="U366" s="560"/>
      <c r="V366" s="561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95" t="s">
        <v>582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3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583</v>
      </c>
      <c r="B369" s="54" t="s">
        <v>584</v>
      </c>
      <c r="C369" s="31">
        <v>4301011875</v>
      </c>
      <c r="D369" s="552">
        <v>4680115884885</v>
      </c>
      <c r="E369" s="553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/>
      <c r="M369" s="33" t="s">
        <v>68</v>
      </c>
      <c r="N369" s="33"/>
      <c r="O369" s="32">
        <v>60</v>
      </c>
      <c r="P369" s="6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585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586</v>
      </c>
      <c r="B370" s="54" t="s">
        <v>587</v>
      </c>
      <c r="C370" s="31">
        <v>4301011871</v>
      </c>
      <c r="D370" s="552">
        <v>4680115884908</v>
      </c>
      <c r="E370" s="553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/>
      <c r="M370" s="33" t="s">
        <v>68</v>
      </c>
      <c r="N370" s="33"/>
      <c r="O370" s="32">
        <v>60</v>
      </c>
      <c r="P370" s="5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585</v>
      </c>
      <c r="AG370" s="64"/>
      <c r="AJ370" s="68"/>
      <c r="AK370" s="68">
        <v>0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9" t="s">
        <v>71</v>
      </c>
      <c r="Q372" s="560"/>
      <c r="R372" s="560"/>
      <c r="S372" s="560"/>
      <c r="T372" s="560"/>
      <c r="U372" s="560"/>
      <c r="V372" s="561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3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588</v>
      </c>
      <c r="B374" s="54" t="s">
        <v>589</v>
      </c>
      <c r="C374" s="31">
        <v>4301031303</v>
      </c>
      <c r="D374" s="552">
        <v>4607091384802</v>
      </c>
      <c r="E374" s="553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35</v>
      </c>
      <c r="P374" s="73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590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588</v>
      </c>
      <c r="B375" s="54" t="s">
        <v>591</v>
      </c>
      <c r="C375" s="31">
        <v>4301031457</v>
      </c>
      <c r="D375" s="552">
        <v>4607091384802</v>
      </c>
      <c r="E375" s="553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592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59" t="s">
        <v>71</v>
      </c>
      <c r="Q377" s="560"/>
      <c r="R377" s="560"/>
      <c r="S377" s="560"/>
      <c r="T377" s="560"/>
      <c r="U377" s="560"/>
      <c r="V377" s="561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63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593</v>
      </c>
      <c r="B379" s="54" t="s">
        <v>594</v>
      </c>
      <c r="C379" s="31">
        <v>4301051899</v>
      </c>
      <c r="D379" s="552">
        <v>4607091384246</v>
      </c>
      <c r="E379" s="553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/>
      <c r="M379" s="33" t="s">
        <v>78</v>
      </c>
      <c r="N379" s="33"/>
      <c r="O379" s="32">
        <v>40</v>
      </c>
      <c r="P379" s="8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595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596</v>
      </c>
      <c r="B380" s="54" t="s">
        <v>597</v>
      </c>
      <c r="C380" s="31">
        <v>4301051660</v>
      </c>
      <c r="D380" s="552">
        <v>4607091384253</v>
      </c>
      <c r="E380" s="553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78</v>
      </c>
      <c r="N380" s="33"/>
      <c r="O380" s="32">
        <v>40</v>
      </c>
      <c r="P380" s="7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595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59" t="s">
        <v>71</v>
      </c>
      <c r="Q382" s="560"/>
      <c r="R382" s="560"/>
      <c r="S382" s="560"/>
      <c r="T382" s="560"/>
      <c r="U382" s="560"/>
      <c r="V382" s="561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631" t="s">
        <v>598</v>
      </c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2"/>
      <c r="P383" s="632"/>
      <c r="Q383" s="632"/>
      <c r="R383" s="632"/>
      <c r="S383" s="632"/>
      <c r="T383" s="632"/>
      <c r="U383" s="632"/>
      <c r="V383" s="632"/>
      <c r="W383" s="632"/>
      <c r="X383" s="632"/>
      <c r="Y383" s="632"/>
      <c r="Z383" s="632"/>
      <c r="AA383" s="48"/>
      <c r="AB383" s="48"/>
      <c r="AC383" s="48"/>
    </row>
    <row r="384" spans="1:68" ht="16.5" customHeight="1" x14ac:dyDescent="0.25">
      <c r="A384" s="595" t="s">
        <v>599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3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600</v>
      </c>
      <c r="B386" s="54" t="s">
        <v>601</v>
      </c>
      <c r="C386" s="31">
        <v>4301031405</v>
      </c>
      <c r="D386" s="552">
        <v>4680115886100</v>
      </c>
      <c r="E386" s="553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30</v>
      </c>
      <c r="Y386" s="544">
        <f t="shared" ref="Y386:Y394" si="41">IFERROR(IF(X386="",0,CEILING((X386/$H386),1)*$H386),"")</f>
        <v>32.400000000000006</v>
      </c>
      <c r="Z386" s="36">
        <f>IFERROR(IF(Y386=0,"",ROUNDUP(Y386/H386,0)*0.00902),"")</f>
        <v>5.4120000000000001E-2</v>
      </c>
      <c r="AA386" s="56"/>
      <c r="AB386" s="57"/>
      <c r="AC386" s="429" t="s">
        <v>602</v>
      </c>
      <c r="AG386" s="64"/>
      <c r="AJ386" s="68"/>
      <c r="AK386" s="68">
        <v>0</v>
      </c>
      <c r="BB386" s="430" t="s">
        <v>1</v>
      </c>
      <c r="BM386" s="64">
        <f t="shared" ref="BM386:BM394" si="42">IFERROR(X386*I386/H386,"0")</f>
        <v>31.05555555555555</v>
      </c>
      <c r="BN386" s="64">
        <f t="shared" ref="BN386:BN394" si="43">IFERROR(Y386*I386/H386,"0")</f>
        <v>33.54</v>
      </c>
      <c r="BO386" s="64">
        <f t="shared" ref="BO386:BO394" si="44">IFERROR(1/J386*(X386/H386),"0")</f>
        <v>4.208754208754209E-2</v>
      </c>
      <c r="BP386" s="64">
        <f t="shared" ref="BP386:BP394" si="45">IFERROR(1/J386*(Y386/H386),"0")</f>
        <v>4.5454545454545463E-2</v>
      </c>
    </row>
    <row r="387" spans="1:68" ht="27" customHeight="1" x14ac:dyDescent="0.25">
      <c r="A387" s="54" t="s">
        <v>603</v>
      </c>
      <c r="B387" s="54" t="s">
        <v>604</v>
      </c>
      <c r="C387" s="31">
        <v>4301031406</v>
      </c>
      <c r="D387" s="552">
        <v>4680115886117</v>
      </c>
      <c r="E387" s="553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606</v>
      </c>
      <c r="B388" s="54" t="s">
        <v>607</v>
      </c>
      <c r="C388" s="31">
        <v>4301031402</v>
      </c>
      <c r="D388" s="552">
        <v>4680115886124</v>
      </c>
      <c r="E388" s="553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/>
      <c r="M388" s="33" t="s">
        <v>68</v>
      </c>
      <c r="N388" s="33"/>
      <c r="O388" s="32">
        <v>50</v>
      </c>
      <c r="P388" s="69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15</v>
      </c>
      <c r="Y388" s="544">
        <f t="shared" si="41"/>
        <v>16.200000000000003</v>
      </c>
      <c r="Z388" s="36">
        <f>IFERROR(IF(Y388=0,"",ROUNDUP(Y388/H388,0)*0.00902),"")</f>
        <v>2.7060000000000001E-2</v>
      </c>
      <c r="AA388" s="56"/>
      <c r="AB388" s="57"/>
      <c r="AC388" s="433" t="s">
        <v>608</v>
      </c>
      <c r="AG388" s="64"/>
      <c r="AJ388" s="68"/>
      <c r="AK388" s="68">
        <v>0</v>
      </c>
      <c r="BB388" s="434" t="s">
        <v>1</v>
      </c>
      <c r="BM388" s="64">
        <f t="shared" si="42"/>
        <v>15.527777777777775</v>
      </c>
      <c r="BN388" s="64">
        <f t="shared" si="43"/>
        <v>16.77</v>
      </c>
      <c r="BO388" s="64">
        <f t="shared" si="44"/>
        <v>2.1043771043771045E-2</v>
      </c>
      <c r="BP388" s="64">
        <f t="shared" si="45"/>
        <v>2.2727272727272731E-2</v>
      </c>
    </row>
    <row r="389" spans="1:68" ht="27" customHeight="1" x14ac:dyDescent="0.25">
      <c r="A389" s="54" t="s">
        <v>609</v>
      </c>
      <c r="B389" s="54" t="s">
        <v>610</v>
      </c>
      <c r="C389" s="31">
        <v>4301031366</v>
      </c>
      <c r="D389" s="552">
        <v>4680115883147</v>
      </c>
      <c r="E389" s="553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611</v>
      </c>
      <c r="B390" s="54" t="s">
        <v>612</v>
      </c>
      <c r="C390" s="31">
        <v>4301031362</v>
      </c>
      <c r="D390" s="552">
        <v>4607091384338</v>
      </c>
      <c r="E390" s="553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 t="s">
        <v>280</v>
      </c>
      <c r="M390" s="33" t="s">
        <v>68</v>
      </c>
      <c r="N390" s="33"/>
      <c r="O390" s="32">
        <v>50</v>
      </c>
      <c r="P390" s="7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602</v>
      </c>
      <c r="AG390" s="64"/>
      <c r="AJ390" s="68" t="s">
        <v>80</v>
      </c>
      <c r="AK390" s="68">
        <v>37.799999999999997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613</v>
      </c>
      <c r="B391" s="54" t="s">
        <v>614</v>
      </c>
      <c r="C391" s="31">
        <v>4301031361</v>
      </c>
      <c r="D391" s="552">
        <v>4607091389524</v>
      </c>
      <c r="E391" s="553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4301031364</v>
      </c>
      <c r="D392" s="552">
        <v>4680115883161</v>
      </c>
      <c r="E392" s="553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4301031358</v>
      </c>
      <c r="D393" s="552">
        <v>4607091389531</v>
      </c>
      <c r="E393" s="553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621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622</v>
      </c>
      <c r="B394" s="54" t="s">
        <v>623</v>
      </c>
      <c r="C394" s="31">
        <v>4301031360</v>
      </c>
      <c r="D394" s="552">
        <v>4607091384345</v>
      </c>
      <c r="E394" s="553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82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8.3333333333333321</v>
      </c>
      <c r="Y395" s="545">
        <f>IFERROR(Y386/H386,"0")+IFERROR(Y387/H387,"0")+IFERROR(Y388/H388,"0")+IFERROR(Y389/H389,"0")+IFERROR(Y390/H390,"0")+IFERROR(Y391/H391,"0")+IFERROR(Y392/H392,"0")+IFERROR(Y393/H393,"0")+IFERROR(Y394/H394,"0")</f>
        <v>9.0000000000000018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8.1180000000000002E-2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9" t="s">
        <v>71</v>
      </c>
      <c r="Q396" s="560"/>
      <c r="R396" s="560"/>
      <c r="S396" s="560"/>
      <c r="T396" s="560"/>
      <c r="U396" s="560"/>
      <c r="V396" s="561"/>
      <c r="W396" s="37" t="s">
        <v>69</v>
      </c>
      <c r="X396" s="545">
        <f>IFERROR(SUM(X386:X394),"0")</f>
        <v>45</v>
      </c>
      <c r="Y396" s="545">
        <f>IFERROR(SUM(Y386:Y394),"0")</f>
        <v>48.600000000000009</v>
      </c>
      <c r="Z396" s="37"/>
      <c r="AA396" s="546"/>
      <c r="AB396" s="546"/>
      <c r="AC396" s="546"/>
    </row>
    <row r="397" spans="1:68" ht="14.25" customHeight="1" x14ac:dyDescent="0.25">
      <c r="A397" s="563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624</v>
      </c>
      <c r="B398" s="54" t="s">
        <v>625</v>
      </c>
      <c r="C398" s="31">
        <v>4301051284</v>
      </c>
      <c r="D398" s="552">
        <v>4607091384352</v>
      </c>
      <c r="E398" s="553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/>
      <c r="M398" s="33" t="s">
        <v>78</v>
      </c>
      <c r="N398" s="33"/>
      <c r="O398" s="32">
        <v>45</v>
      </c>
      <c r="P398" s="6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627</v>
      </c>
      <c r="B399" s="54" t="s">
        <v>628</v>
      </c>
      <c r="C399" s="31">
        <v>4301051431</v>
      </c>
      <c r="D399" s="552">
        <v>4607091389654</v>
      </c>
      <c r="E399" s="553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/>
      <c r="M399" s="33" t="s">
        <v>78</v>
      </c>
      <c r="N399" s="33"/>
      <c r="O399" s="32">
        <v>45</v>
      </c>
      <c r="P399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629</v>
      </c>
      <c r="AG399" s="64"/>
      <c r="AJ399" s="68"/>
      <c r="AK399" s="68">
        <v>0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59" t="s">
        <v>71</v>
      </c>
      <c r="Q401" s="560"/>
      <c r="R401" s="560"/>
      <c r="S401" s="560"/>
      <c r="T401" s="560"/>
      <c r="U401" s="560"/>
      <c r="V401" s="561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95" t="s">
        <v>630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3" t="s">
        <v>137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631</v>
      </c>
      <c r="B404" s="54" t="s">
        <v>632</v>
      </c>
      <c r="C404" s="31">
        <v>4301020319</v>
      </c>
      <c r="D404" s="552">
        <v>4680115885240</v>
      </c>
      <c r="E404" s="553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633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59" t="s">
        <v>71</v>
      </c>
      <c r="Q406" s="560"/>
      <c r="R406" s="560"/>
      <c r="S406" s="560"/>
      <c r="T406" s="560"/>
      <c r="U406" s="560"/>
      <c r="V406" s="561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3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634</v>
      </c>
      <c r="B408" s="54" t="s">
        <v>635</v>
      </c>
      <c r="C408" s="31">
        <v>4301031403</v>
      </c>
      <c r="D408" s="552">
        <v>4680115886094</v>
      </c>
      <c r="E408" s="553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/>
      <c r="M408" s="33" t="s">
        <v>106</v>
      </c>
      <c r="N408" s="33"/>
      <c r="O408" s="32">
        <v>50</v>
      </c>
      <c r="P408" s="6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35</v>
      </c>
      <c r="Y408" s="544">
        <f>IFERROR(IF(X408="",0,CEILING((X408/$H408),1)*$H408),"")</f>
        <v>37.800000000000004</v>
      </c>
      <c r="Z408" s="36">
        <f>IFERROR(IF(Y408=0,"",ROUNDUP(Y408/H408,0)*0.00902),"")</f>
        <v>6.3140000000000002E-2</v>
      </c>
      <c r="AA408" s="56"/>
      <c r="AB408" s="57"/>
      <c r="AC408" s="453" t="s">
        <v>636</v>
      </c>
      <c r="AG408" s="64"/>
      <c r="AJ408" s="68"/>
      <c r="AK408" s="68">
        <v>0</v>
      </c>
      <c r="BB408" s="454" t="s">
        <v>1</v>
      </c>
      <c r="BM408" s="64">
        <f>IFERROR(X408*I408/H408,"0")</f>
        <v>36.231481481481481</v>
      </c>
      <c r="BN408" s="64">
        <f>IFERROR(Y408*I408/H408,"0")</f>
        <v>39.130000000000003</v>
      </c>
      <c r="BO408" s="64">
        <f>IFERROR(1/J408*(X408/H408),"0")</f>
        <v>4.9102132435465767E-2</v>
      </c>
      <c r="BP408" s="64">
        <f>IFERROR(1/J408*(Y408/H408),"0")</f>
        <v>5.3030303030303032E-2</v>
      </c>
    </row>
    <row r="409" spans="1:68" ht="27" customHeight="1" x14ac:dyDescent="0.25">
      <c r="A409" s="54" t="s">
        <v>637</v>
      </c>
      <c r="B409" s="54" t="s">
        <v>638</v>
      </c>
      <c r="C409" s="31">
        <v>4301031363</v>
      </c>
      <c r="D409" s="552">
        <v>4607091389425</v>
      </c>
      <c r="E409" s="553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640</v>
      </c>
      <c r="B410" s="54" t="s">
        <v>641</v>
      </c>
      <c r="C410" s="31">
        <v>4301031373</v>
      </c>
      <c r="D410" s="552">
        <v>4680115880771</v>
      </c>
      <c r="E410" s="553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642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643</v>
      </c>
      <c r="B411" s="54" t="s">
        <v>644</v>
      </c>
      <c r="C411" s="31">
        <v>4301031359</v>
      </c>
      <c r="D411" s="552">
        <v>4607091389500</v>
      </c>
      <c r="E411" s="553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77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642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72</v>
      </c>
      <c r="X412" s="545">
        <f>IFERROR(X408/H408,"0")+IFERROR(X409/H409,"0")+IFERROR(X410/H410,"0")+IFERROR(X411/H411,"0")</f>
        <v>6.481481481481481</v>
      </c>
      <c r="Y412" s="545">
        <f>IFERROR(Y408/H408,"0")+IFERROR(Y409/H409,"0")+IFERROR(Y410/H410,"0")+IFERROR(Y411/H411,"0")</f>
        <v>7</v>
      </c>
      <c r="Z412" s="545">
        <f>IFERROR(IF(Z408="",0,Z408),"0")+IFERROR(IF(Z409="",0,Z409),"0")+IFERROR(IF(Z410="",0,Z410),"0")+IFERROR(IF(Z411="",0,Z411),"0")</f>
        <v>6.3140000000000002E-2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59" t="s">
        <v>71</v>
      </c>
      <c r="Q413" s="560"/>
      <c r="R413" s="560"/>
      <c r="S413" s="560"/>
      <c r="T413" s="560"/>
      <c r="U413" s="560"/>
      <c r="V413" s="561"/>
      <c r="W413" s="37" t="s">
        <v>69</v>
      </c>
      <c r="X413" s="545">
        <f>IFERROR(SUM(X408:X411),"0")</f>
        <v>35</v>
      </c>
      <c r="Y413" s="545">
        <f>IFERROR(SUM(Y408:Y411),"0")</f>
        <v>37.800000000000004</v>
      </c>
      <c r="Z413" s="37"/>
      <c r="AA413" s="546"/>
      <c r="AB413" s="546"/>
      <c r="AC413" s="546"/>
    </row>
    <row r="414" spans="1:68" ht="16.5" customHeight="1" x14ac:dyDescent="0.25">
      <c r="A414" s="595" t="s">
        <v>645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3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646</v>
      </c>
      <c r="B416" s="54" t="s">
        <v>647</v>
      </c>
      <c r="C416" s="31">
        <v>4301031347</v>
      </c>
      <c r="D416" s="552">
        <v>4680115885110</v>
      </c>
      <c r="E416" s="553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76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59" t="s">
        <v>71</v>
      </c>
      <c r="Q418" s="560"/>
      <c r="R418" s="560"/>
      <c r="S418" s="560"/>
      <c r="T418" s="560"/>
      <c r="U418" s="560"/>
      <c r="V418" s="561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631" t="s">
        <v>649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48"/>
      <c r="AB419" s="48"/>
      <c r="AC419" s="48"/>
    </row>
    <row r="420" spans="1:68" ht="16.5" customHeight="1" x14ac:dyDescent="0.25">
      <c r="A420" s="595" t="s">
        <v>649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3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650</v>
      </c>
      <c r="B422" s="54" t="s">
        <v>651</v>
      </c>
      <c r="C422" s="31">
        <v>4301011795</v>
      </c>
      <c r="D422" s="552">
        <v>4607091389067</v>
      </c>
      <c r="E422" s="553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25</v>
      </c>
      <c r="Y422" s="544">
        <f t="shared" ref="Y422:Y432" si="47">IFERROR(IF(X422="",0,CEILING((X422/$H422),1)*$H422),"")</f>
        <v>26.400000000000002</v>
      </c>
      <c r="Z422" s="36">
        <f t="shared" ref="Z422:Z427" si="48">IFERROR(IF(Y422=0,"",ROUNDUP(Y422/H422,0)*0.01196),"")</f>
        <v>5.9799999999999999E-2</v>
      </c>
      <c r="AA422" s="56"/>
      <c r="AB422" s="57"/>
      <c r="AC422" s="463" t="s">
        <v>107</v>
      </c>
      <c r="AG422" s="64"/>
      <c r="AJ422" s="68" t="s">
        <v>80</v>
      </c>
      <c r="AK422" s="68">
        <v>42.24</v>
      </c>
      <c r="BB422" s="464" t="s">
        <v>1</v>
      </c>
      <c r="BM422" s="64">
        <f t="shared" ref="BM422:BM432" si="49">IFERROR(X422*I422/H422,"0")</f>
        <v>26.657196969696969</v>
      </c>
      <c r="BN422" s="64">
        <f t="shared" ref="BN422:BN432" si="50">IFERROR(Y422*I422/H422,"0")</f>
        <v>28.15</v>
      </c>
      <c r="BO422" s="64">
        <f t="shared" ref="BO422:BO432" si="51">IFERROR(1/J422*(X422/H422),"0")</f>
        <v>4.5527389277389273E-2</v>
      </c>
      <c r="BP422" s="64">
        <f t="shared" ref="BP422:BP432" si="52">IFERROR(1/J422*(Y422/H422),"0")</f>
        <v>4.807692307692308E-2</v>
      </c>
    </row>
    <row r="423" spans="1:68" ht="27" customHeight="1" x14ac:dyDescent="0.25">
      <c r="A423" s="54" t="s">
        <v>652</v>
      </c>
      <c r="B423" s="54" t="s">
        <v>653</v>
      </c>
      <c r="C423" s="31">
        <v>4301011961</v>
      </c>
      <c r="D423" s="552">
        <v>4680115885271</v>
      </c>
      <c r="E423" s="553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654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655</v>
      </c>
      <c r="B424" s="54" t="s">
        <v>656</v>
      </c>
      <c r="C424" s="31">
        <v>4301011376</v>
      </c>
      <c r="D424" s="552">
        <v>4680115885226</v>
      </c>
      <c r="E424" s="553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78</v>
      </c>
      <c r="N424" s="33"/>
      <c r="O424" s="32">
        <v>60</v>
      </c>
      <c r="P424" s="7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657</v>
      </c>
      <c r="AG424" s="64"/>
      <c r="AJ424" s="68" t="s">
        <v>80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658</v>
      </c>
      <c r="B425" s="54" t="s">
        <v>659</v>
      </c>
      <c r="C425" s="31">
        <v>4301012145</v>
      </c>
      <c r="D425" s="552">
        <v>4607091383522</v>
      </c>
      <c r="E425" s="553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660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661</v>
      </c>
      <c r="B426" s="54" t="s">
        <v>662</v>
      </c>
      <c r="C426" s="31">
        <v>4301011774</v>
      </c>
      <c r="D426" s="552">
        <v>4680115884502</v>
      </c>
      <c r="E426" s="553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7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663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664</v>
      </c>
      <c r="B427" s="54" t="s">
        <v>665</v>
      </c>
      <c r="C427" s="31">
        <v>4301011771</v>
      </c>
      <c r="D427" s="552">
        <v>4607091389104</v>
      </c>
      <c r="E427" s="553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666</v>
      </c>
      <c r="AG427" s="64"/>
      <c r="AJ427" s="68" t="s">
        <v>80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667</v>
      </c>
      <c r="B428" s="54" t="s">
        <v>668</v>
      </c>
      <c r="C428" s="31">
        <v>4301012125</v>
      </c>
      <c r="D428" s="552">
        <v>4680115886391</v>
      </c>
      <c r="E428" s="553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78</v>
      </c>
      <c r="N428" s="33"/>
      <c r="O428" s="32">
        <v>60</v>
      </c>
      <c r="P428" s="7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669</v>
      </c>
      <c r="B429" s="54" t="s">
        <v>670</v>
      </c>
      <c r="C429" s="31">
        <v>4301012035</v>
      </c>
      <c r="D429" s="552">
        <v>4680115880603</v>
      </c>
      <c r="E429" s="553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7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671</v>
      </c>
      <c r="B430" s="54" t="s">
        <v>672</v>
      </c>
      <c r="C430" s="31">
        <v>4301012036</v>
      </c>
      <c r="D430" s="552">
        <v>4680115882782</v>
      </c>
      <c r="E430" s="553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6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4301012050</v>
      </c>
      <c r="D431" s="552">
        <v>4680115885479</v>
      </c>
      <c r="E431" s="553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76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4301012034</v>
      </c>
      <c r="D432" s="552">
        <v>4607091389982</v>
      </c>
      <c r="E432" s="553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4.7348484848484844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5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5.9799999999999999E-2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59" t="s">
        <v>71</v>
      </c>
      <c r="Q434" s="560"/>
      <c r="R434" s="560"/>
      <c r="S434" s="560"/>
      <c r="T434" s="560"/>
      <c r="U434" s="560"/>
      <c r="V434" s="561"/>
      <c r="W434" s="37" t="s">
        <v>69</v>
      </c>
      <c r="X434" s="545">
        <f>IFERROR(SUM(X422:X432),"0")</f>
        <v>25</v>
      </c>
      <c r="Y434" s="545">
        <f>IFERROR(SUM(Y422:Y432),"0")</f>
        <v>26.400000000000002</v>
      </c>
      <c r="Z434" s="37"/>
      <c r="AA434" s="546"/>
      <c r="AB434" s="546"/>
      <c r="AC434" s="546"/>
    </row>
    <row r="435" spans="1:68" ht="14.25" customHeight="1" x14ac:dyDescent="0.25">
      <c r="A435" s="563" t="s">
        <v>137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678</v>
      </c>
      <c r="B436" s="54" t="s">
        <v>679</v>
      </c>
      <c r="C436" s="31">
        <v>4301020334</v>
      </c>
      <c r="D436" s="552">
        <v>4607091388930</v>
      </c>
      <c r="E436" s="553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/>
      <c r="M436" s="33" t="s">
        <v>78</v>
      </c>
      <c r="N436" s="33"/>
      <c r="O436" s="32">
        <v>70</v>
      </c>
      <c r="P436" s="5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150</v>
      </c>
      <c r="Y436" s="544">
        <f>IFERROR(IF(X436="",0,CEILING((X436/$H436),1)*$H436),"")</f>
        <v>153.12</v>
      </c>
      <c r="Z436" s="36">
        <f>IFERROR(IF(Y436=0,"",ROUNDUP(Y436/H436,0)*0.01196),"")</f>
        <v>0.34683999999999998</v>
      </c>
      <c r="AA436" s="56"/>
      <c r="AB436" s="57"/>
      <c r="AC436" s="485" t="s">
        <v>680</v>
      </c>
      <c r="AG436" s="64"/>
      <c r="AJ436" s="68"/>
      <c r="AK436" s="68">
        <v>0</v>
      </c>
      <c r="BB436" s="486" t="s">
        <v>1</v>
      </c>
      <c r="BM436" s="64">
        <f>IFERROR(X436*I436/H436,"0")</f>
        <v>159.94318181818181</v>
      </c>
      <c r="BN436" s="64">
        <f>IFERROR(Y436*I436/H436,"0")</f>
        <v>163.26999999999998</v>
      </c>
      <c r="BO436" s="64">
        <f>IFERROR(1/J436*(X436/H436),"0")</f>
        <v>0.27316433566433568</v>
      </c>
      <c r="BP436" s="64">
        <f>IFERROR(1/J436*(Y436/H436),"0")</f>
        <v>0.27884615384615385</v>
      </c>
    </row>
    <row r="437" spans="1:68" ht="16.5" customHeight="1" x14ac:dyDescent="0.25">
      <c r="A437" s="54" t="s">
        <v>681</v>
      </c>
      <c r="B437" s="54" t="s">
        <v>682</v>
      </c>
      <c r="C437" s="31">
        <v>4301020384</v>
      </c>
      <c r="D437" s="552">
        <v>4680115886407</v>
      </c>
      <c r="E437" s="553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78</v>
      </c>
      <c r="N437" s="33"/>
      <c r="O437" s="32">
        <v>70</v>
      </c>
      <c r="P437" s="8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683</v>
      </c>
      <c r="B438" s="54" t="s">
        <v>684</v>
      </c>
      <c r="C438" s="31">
        <v>4301020385</v>
      </c>
      <c r="D438" s="552">
        <v>4680115880054</v>
      </c>
      <c r="E438" s="553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680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72</v>
      </c>
      <c r="X439" s="545">
        <f>IFERROR(X436/H436,"0")+IFERROR(X437/H437,"0")+IFERROR(X438/H438,"0")</f>
        <v>28.409090909090907</v>
      </c>
      <c r="Y439" s="545">
        <f>IFERROR(Y436/H436,"0")+IFERROR(Y437/H437,"0")+IFERROR(Y438/H438,"0")</f>
        <v>29</v>
      </c>
      <c r="Z439" s="545">
        <f>IFERROR(IF(Z436="",0,Z436),"0")+IFERROR(IF(Z437="",0,Z437),"0")+IFERROR(IF(Z438="",0,Z438),"0")</f>
        <v>0.34683999999999998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9" t="s">
        <v>71</v>
      </c>
      <c r="Q440" s="560"/>
      <c r="R440" s="560"/>
      <c r="S440" s="560"/>
      <c r="T440" s="560"/>
      <c r="U440" s="560"/>
      <c r="V440" s="561"/>
      <c r="W440" s="37" t="s">
        <v>69</v>
      </c>
      <c r="X440" s="545">
        <f>IFERROR(SUM(X436:X438),"0")</f>
        <v>150</v>
      </c>
      <c r="Y440" s="545">
        <f>IFERROR(SUM(Y436:Y438),"0")</f>
        <v>153.12</v>
      </c>
      <c r="Z440" s="37"/>
      <c r="AA440" s="546"/>
      <c r="AB440" s="546"/>
      <c r="AC440" s="546"/>
    </row>
    <row r="441" spans="1:68" ht="14.25" customHeight="1" x14ac:dyDescent="0.25">
      <c r="A441" s="563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685</v>
      </c>
      <c r="B442" s="54" t="s">
        <v>686</v>
      </c>
      <c r="C442" s="31">
        <v>4301031349</v>
      </c>
      <c r="D442" s="552">
        <v>4680115883116</v>
      </c>
      <c r="E442" s="553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/>
      <c r="M442" s="33" t="s">
        <v>106</v>
      </c>
      <c r="N442" s="33"/>
      <c r="O442" s="32">
        <v>70</v>
      </c>
      <c r="P442" s="77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687</v>
      </c>
      <c r="AG442" s="64"/>
      <c r="AJ442" s="68"/>
      <c r="AK442" s="68">
        <v>0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688</v>
      </c>
      <c r="B443" s="54" t="s">
        <v>689</v>
      </c>
      <c r="C443" s="31">
        <v>4301031350</v>
      </c>
      <c r="D443" s="552">
        <v>4680115883093</v>
      </c>
      <c r="E443" s="553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690</v>
      </c>
      <c r="AG443" s="64"/>
      <c r="AJ443" s="68" t="s">
        <v>80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691</v>
      </c>
      <c r="B444" s="54" t="s">
        <v>692</v>
      </c>
      <c r="C444" s="31">
        <v>4301031353</v>
      </c>
      <c r="D444" s="552">
        <v>4680115883109</v>
      </c>
      <c r="E444" s="553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5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25</v>
      </c>
      <c r="Y444" s="544">
        <f t="shared" si="53"/>
        <v>26.400000000000002</v>
      </c>
      <c r="Z444" s="36">
        <f>IFERROR(IF(Y444=0,"",ROUNDUP(Y444/H444,0)*0.01196),"")</f>
        <v>5.9799999999999999E-2</v>
      </c>
      <c r="AA444" s="56"/>
      <c r="AB444" s="57"/>
      <c r="AC444" s="495" t="s">
        <v>693</v>
      </c>
      <c r="AG444" s="64"/>
      <c r="AJ444" s="68" t="s">
        <v>80</v>
      </c>
      <c r="AK444" s="68">
        <v>42.24</v>
      </c>
      <c r="BB444" s="496" t="s">
        <v>1</v>
      </c>
      <c r="BM444" s="64">
        <f t="shared" si="54"/>
        <v>26.657196969696969</v>
      </c>
      <c r="BN444" s="64">
        <f t="shared" si="55"/>
        <v>28.15</v>
      </c>
      <c r="BO444" s="64">
        <f t="shared" si="56"/>
        <v>4.5527389277389273E-2</v>
      </c>
      <c r="BP444" s="64">
        <f t="shared" si="57"/>
        <v>4.807692307692308E-2</v>
      </c>
    </row>
    <row r="445" spans="1:68" ht="27" customHeight="1" x14ac:dyDescent="0.25">
      <c r="A445" s="54" t="s">
        <v>694</v>
      </c>
      <c r="B445" s="54" t="s">
        <v>695</v>
      </c>
      <c r="C445" s="31">
        <v>4301031419</v>
      </c>
      <c r="D445" s="552">
        <v>4680115882072</v>
      </c>
      <c r="E445" s="553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696</v>
      </c>
      <c r="B446" s="54" t="s">
        <v>697</v>
      </c>
      <c r="C446" s="31">
        <v>4301031418</v>
      </c>
      <c r="D446" s="552">
        <v>4680115882102</v>
      </c>
      <c r="E446" s="553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698</v>
      </c>
      <c r="B447" s="54" t="s">
        <v>699</v>
      </c>
      <c r="C447" s="31">
        <v>4301031417</v>
      </c>
      <c r="D447" s="552">
        <v>4680115882096</v>
      </c>
      <c r="E447" s="553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5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693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72</v>
      </c>
      <c r="X448" s="545">
        <f>IFERROR(X442/H442,"0")+IFERROR(X443/H443,"0")+IFERROR(X444/H444,"0")+IFERROR(X445/H445,"0")+IFERROR(X446/H446,"0")+IFERROR(X447/H447,"0")</f>
        <v>4.7348484848484844</v>
      </c>
      <c r="Y448" s="545">
        <f>IFERROR(Y442/H442,"0")+IFERROR(Y443/H443,"0")+IFERROR(Y444/H444,"0")+IFERROR(Y445/H445,"0")+IFERROR(Y446/H446,"0")+IFERROR(Y447/H447,"0")</f>
        <v>5</v>
      </c>
      <c r="Z448" s="545">
        <f>IFERROR(IF(Z442="",0,Z442),"0")+IFERROR(IF(Z443="",0,Z443),"0")+IFERROR(IF(Z444="",0,Z444),"0")+IFERROR(IF(Z445="",0,Z445),"0")+IFERROR(IF(Z446="",0,Z446),"0")+IFERROR(IF(Z447="",0,Z447),"0")</f>
        <v>5.9799999999999999E-2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59" t="s">
        <v>71</v>
      </c>
      <c r="Q449" s="560"/>
      <c r="R449" s="560"/>
      <c r="S449" s="560"/>
      <c r="T449" s="560"/>
      <c r="U449" s="560"/>
      <c r="V449" s="561"/>
      <c r="W449" s="37" t="s">
        <v>69</v>
      </c>
      <c r="X449" s="545">
        <f>IFERROR(SUM(X442:X447),"0")</f>
        <v>25</v>
      </c>
      <c r="Y449" s="545">
        <f>IFERROR(SUM(Y442:Y447),"0")</f>
        <v>26.400000000000002</v>
      </c>
      <c r="Z449" s="37"/>
      <c r="AA449" s="546"/>
      <c r="AB449" s="546"/>
      <c r="AC449" s="546"/>
    </row>
    <row r="450" spans="1:68" ht="14.25" customHeight="1" x14ac:dyDescent="0.25">
      <c r="A450" s="563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700</v>
      </c>
      <c r="B451" s="54" t="s">
        <v>701</v>
      </c>
      <c r="C451" s="31">
        <v>4301051232</v>
      </c>
      <c r="D451" s="552">
        <v>4607091383409</v>
      </c>
      <c r="E451" s="553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78</v>
      </c>
      <c r="N451" s="33"/>
      <c r="O451" s="32">
        <v>45</v>
      </c>
      <c r="P451" s="72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702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703</v>
      </c>
      <c r="B452" s="54" t="s">
        <v>704</v>
      </c>
      <c r="C452" s="31">
        <v>4301051233</v>
      </c>
      <c r="D452" s="552">
        <v>4607091383416</v>
      </c>
      <c r="E452" s="553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78</v>
      </c>
      <c r="N452" s="33"/>
      <c r="O452" s="32">
        <v>45</v>
      </c>
      <c r="P452" s="86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4301051064</v>
      </c>
      <c r="D453" s="552">
        <v>4680115883536</v>
      </c>
      <c r="E453" s="553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78</v>
      </c>
      <c r="N453" s="33"/>
      <c r="O453" s="32">
        <v>45</v>
      </c>
      <c r="P453" s="8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59" t="s">
        <v>71</v>
      </c>
      <c r="Q455" s="560"/>
      <c r="R455" s="560"/>
      <c r="S455" s="560"/>
      <c r="T455" s="560"/>
      <c r="U455" s="560"/>
      <c r="V455" s="561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31" t="s">
        <v>709</v>
      </c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2"/>
      <c r="P456" s="632"/>
      <c r="Q456" s="632"/>
      <c r="R456" s="632"/>
      <c r="S456" s="632"/>
      <c r="T456" s="632"/>
      <c r="U456" s="632"/>
      <c r="V456" s="632"/>
      <c r="W456" s="632"/>
      <c r="X456" s="632"/>
      <c r="Y456" s="632"/>
      <c r="Z456" s="632"/>
      <c r="AA456" s="48"/>
      <c r="AB456" s="48"/>
      <c r="AC456" s="48"/>
    </row>
    <row r="457" spans="1:68" ht="16.5" customHeight="1" x14ac:dyDescent="0.25">
      <c r="A457" s="595" t="s">
        <v>709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3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710</v>
      </c>
      <c r="B459" s="54" t="s">
        <v>711</v>
      </c>
      <c r="C459" s="31">
        <v>4301011763</v>
      </c>
      <c r="D459" s="552">
        <v>4640242181011</v>
      </c>
      <c r="E459" s="553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78</v>
      </c>
      <c r="N459" s="33"/>
      <c r="O459" s="32">
        <v>55</v>
      </c>
      <c r="P459" s="69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712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713</v>
      </c>
      <c r="B460" s="54" t="s">
        <v>714</v>
      </c>
      <c r="C460" s="31">
        <v>4301011585</v>
      </c>
      <c r="D460" s="552">
        <v>4640242180441</v>
      </c>
      <c r="E460" s="553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6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716</v>
      </c>
      <c r="B461" s="54" t="s">
        <v>717</v>
      </c>
      <c r="C461" s="31">
        <v>4301011584</v>
      </c>
      <c r="D461" s="552">
        <v>4640242180564</v>
      </c>
      <c r="E461" s="553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20</v>
      </c>
      <c r="Y461" s="544">
        <f>IFERROR(IF(X461="",0,CEILING((X461/$H461),1)*$H461),"")</f>
        <v>24</v>
      </c>
      <c r="Z461" s="36">
        <f>IFERROR(IF(Y461=0,"",ROUNDUP(Y461/H461,0)*0.01898),"")</f>
        <v>3.7960000000000001E-2</v>
      </c>
      <c r="AA461" s="56"/>
      <c r="AB461" s="57"/>
      <c r="AC461" s="513" t="s">
        <v>718</v>
      </c>
      <c r="AG461" s="64"/>
      <c r="AJ461" s="68"/>
      <c r="AK461" s="68">
        <v>0</v>
      </c>
      <c r="BB461" s="514" t="s">
        <v>1</v>
      </c>
      <c r="BM461" s="64">
        <f>IFERROR(X461*I461/H461,"0")</f>
        <v>20.683333333333334</v>
      </c>
      <c r="BN461" s="64">
        <f>IFERROR(Y461*I461/H461,"0")</f>
        <v>24.820000000000004</v>
      </c>
      <c r="BO461" s="64">
        <f>IFERROR(1/J461*(X461/H461),"0")</f>
        <v>2.6041666666666668E-2</v>
      </c>
      <c r="BP461" s="64">
        <f>IFERROR(1/J461*(Y461/H461),"0")</f>
        <v>3.125E-2</v>
      </c>
    </row>
    <row r="462" spans="1:68" ht="27" customHeight="1" x14ac:dyDescent="0.25">
      <c r="A462" s="54" t="s">
        <v>719</v>
      </c>
      <c r="B462" s="54" t="s">
        <v>720</v>
      </c>
      <c r="C462" s="31">
        <v>4301011764</v>
      </c>
      <c r="D462" s="552">
        <v>4640242181189</v>
      </c>
      <c r="E462" s="553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78</v>
      </c>
      <c r="N462" s="33"/>
      <c r="O462" s="32">
        <v>55</v>
      </c>
      <c r="P462" s="6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712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72</v>
      </c>
      <c r="X463" s="545">
        <f>IFERROR(X459/H459,"0")+IFERROR(X460/H460,"0")+IFERROR(X461/H461,"0")+IFERROR(X462/H462,"0")</f>
        <v>1.6666666666666667</v>
      </c>
      <c r="Y463" s="545">
        <f>IFERROR(Y459/H459,"0")+IFERROR(Y460/H460,"0")+IFERROR(Y461/H461,"0")+IFERROR(Y462/H462,"0")</f>
        <v>2</v>
      </c>
      <c r="Z463" s="545">
        <f>IFERROR(IF(Z459="",0,Z459),"0")+IFERROR(IF(Z460="",0,Z460),"0")+IFERROR(IF(Z461="",0,Z461),"0")+IFERROR(IF(Z462="",0,Z462),"0")</f>
        <v>3.7960000000000001E-2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59" t="s">
        <v>71</v>
      </c>
      <c r="Q464" s="560"/>
      <c r="R464" s="560"/>
      <c r="S464" s="560"/>
      <c r="T464" s="560"/>
      <c r="U464" s="560"/>
      <c r="V464" s="561"/>
      <c r="W464" s="37" t="s">
        <v>69</v>
      </c>
      <c r="X464" s="545">
        <f>IFERROR(SUM(X459:X462),"0")</f>
        <v>20</v>
      </c>
      <c r="Y464" s="545">
        <f>IFERROR(SUM(Y459:Y462),"0")</f>
        <v>24</v>
      </c>
      <c r="Z464" s="37"/>
      <c r="AA464" s="546"/>
      <c r="AB464" s="546"/>
      <c r="AC464" s="546"/>
    </row>
    <row r="465" spans="1:68" ht="14.25" customHeight="1" x14ac:dyDescent="0.25">
      <c r="A465" s="563" t="s">
        <v>137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721</v>
      </c>
      <c r="B466" s="54" t="s">
        <v>722</v>
      </c>
      <c r="C466" s="31">
        <v>4301020400</v>
      </c>
      <c r="D466" s="552">
        <v>4640242180519</v>
      </c>
      <c r="E466" s="553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723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724</v>
      </c>
      <c r="B467" s="54" t="s">
        <v>725</v>
      </c>
      <c r="C467" s="31">
        <v>4301020260</v>
      </c>
      <c r="D467" s="552">
        <v>4640242180526</v>
      </c>
      <c r="E467" s="553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7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727</v>
      </c>
      <c r="B468" s="54" t="s">
        <v>728</v>
      </c>
      <c r="C468" s="31">
        <v>4301020295</v>
      </c>
      <c r="D468" s="552">
        <v>4640242181363</v>
      </c>
      <c r="E468" s="553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84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59" t="s">
        <v>71</v>
      </c>
      <c r="Q470" s="560"/>
      <c r="R470" s="560"/>
      <c r="S470" s="560"/>
      <c r="T470" s="560"/>
      <c r="U470" s="560"/>
      <c r="V470" s="561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3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730</v>
      </c>
      <c r="B472" s="54" t="s">
        <v>731</v>
      </c>
      <c r="C472" s="31">
        <v>4301031280</v>
      </c>
      <c r="D472" s="552">
        <v>4640242180816</v>
      </c>
      <c r="E472" s="553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69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732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733</v>
      </c>
      <c r="B473" s="54" t="s">
        <v>734</v>
      </c>
      <c r="C473" s="31">
        <v>4301031244</v>
      </c>
      <c r="D473" s="552">
        <v>4640242180595</v>
      </c>
      <c r="E473" s="553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/>
      <c r="M473" s="33" t="s">
        <v>68</v>
      </c>
      <c r="N473" s="33"/>
      <c r="O473" s="32">
        <v>40</v>
      </c>
      <c r="P473" s="8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59" t="s">
        <v>71</v>
      </c>
      <c r="Q475" s="560"/>
      <c r="R475" s="560"/>
      <c r="S475" s="560"/>
      <c r="T475" s="560"/>
      <c r="U475" s="560"/>
      <c r="V475" s="561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63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736</v>
      </c>
      <c r="B477" s="54" t="s">
        <v>737</v>
      </c>
      <c r="C477" s="31">
        <v>4301052046</v>
      </c>
      <c r="D477" s="552">
        <v>4640242180533</v>
      </c>
      <c r="E477" s="553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/>
      <c r="M477" s="33" t="s">
        <v>86</v>
      </c>
      <c r="N477" s="33"/>
      <c r="O477" s="32">
        <v>45</v>
      </c>
      <c r="P477" s="7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738</v>
      </c>
      <c r="AG477" s="64"/>
      <c r="AJ477" s="68"/>
      <c r="AK477" s="68">
        <v>0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59" t="s">
        <v>71</v>
      </c>
      <c r="Q479" s="560"/>
      <c r="R479" s="560"/>
      <c r="S479" s="560"/>
      <c r="T479" s="560"/>
      <c r="U479" s="560"/>
      <c r="V479" s="561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63" t="s">
        <v>165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739</v>
      </c>
      <c r="B481" s="54" t="s">
        <v>740</v>
      </c>
      <c r="C481" s="31">
        <v>4301060491</v>
      </c>
      <c r="D481" s="552">
        <v>4640242180120</v>
      </c>
      <c r="E481" s="553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78</v>
      </c>
      <c r="N481" s="33"/>
      <c r="O481" s="32">
        <v>40</v>
      </c>
      <c r="P481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741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742</v>
      </c>
      <c r="B482" s="54" t="s">
        <v>743</v>
      </c>
      <c r="C482" s="31">
        <v>4301060493</v>
      </c>
      <c r="D482" s="552">
        <v>4640242180137</v>
      </c>
      <c r="E482" s="553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78</v>
      </c>
      <c r="N482" s="33"/>
      <c r="O482" s="32">
        <v>40</v>
      </c>
      <c r="P482" s="80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59" t="s">
        <v>71</v>
      </c>
      <c r="Q484" s="560"/>
      <c r="R484" s="560"/>
      <c r="S484" s="560"/>
      <c r="T484" s="560"/>
      <c r="U484" s="560"/>
      <c r="V484" s="561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95" t="s">
        <v>745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3" t="s">
        <v>137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746</v>
      </c>
      <c r="B487" s="54" t="s">
        <v>747</v>
      </c>
      <c r="C487" s="31">
        <v>4301020314</v>
      </c>
      <c r="D487" s="552">
        <v>4640242180090</v>
      </c>
      <c r="E487" s="553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6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59" t="s">
        <v>71</v>
      </c>
      <c r="Q489" s="560"/>
      <c r="R489" s="560"/>
      <c r="S489" s="560"/>
      <c r="T489" s="560"/>
      <c r="U489" s="560"/>
      <c r="V489" s="561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3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24"/>
      <c r="P490" s="598" t="s">
        <v>749</v>
      </c>
      <c r="Q490" s="599"/>
      <c r="R490" s="599"/>
      <c r="S490" s="599"/>
      <c r="T490" s="599"/>
      <c r="U490" s="599"/>
      <c r="V490" s="577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1059.8000000000002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1110.4200000000003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24"/>
      <c r="P491" s="598" t="s">
        <v>750</v>
      </c>
      <c r="Q491" s="599"/>
      <c r="R491" s="599"/>
      <c r="S491" s="599"/>
      <c r="T491" s="599"/>
      <c r="U491" s="599"/>
      <c r="V491" s="577"/>
      <c r="W491" s="37" t="s">
        <v>69</v>
      </c>
      <c r="X491" s="545">
        <f>IFERROR(SUM(BM22:BM487),"0")</f>
        <v>1110.501318261985</v>
      </c>
      <c r="Y491" s="545">
        <f>IFERROR(SUM(BN22:BN487),"0")</f>
        <v>1163.5719999999999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24"/>
      <c r="P492" s="598" t="s">
        <v>751</v>
      </c>
      <c r="Q492" s="599"/>
      <c r="R492" s="599"/>
      <c r="S492" s="599"/>
      <c r="T492" s="599"/>
      <c r="U492" s="599"/>
      <c r="V492" s="577"/>
      <c r="W492" s="37" t="s">
        <v>752</v>
      </c>
      <c r="X492" s="38">
        <f>ROUNDUP(SUM(BO22:BO487),0)</f>
        <v>2</v>
      </c>
      <c r="Y492" s="38">
        <f>ROUNDUP(SUM(BP22:BP487),0)</f>
        <v>2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24"/>
      <c r="P493" s="598" t="s">
        <v>753</v>
      </c>
      <c r="Q493" s="599"/>
      <c r="R493" s="599"/>
      <c r="S493" s="599"/>
      <c r="T493" s="599"/>
      <c r="U493" s="599"/>
      <c r="V493" s="577"/>
      <c r="W493" s="37" t="s">
        <v>69</v>
      </c>
      <c r="X493" s="545">
        <f>GrossWeightTotal+PalletQtyTotal*25</f>
        <v>1160.501318261985</v>
      </c>
      <c r="Y493" s="545">
        <f>GrossWeightTotalR+PalletQtyTotalR*25</f>
        <v>1213.5719999999999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24"/>
      <c r="P494" s="598" t="s">
        <v>754</v>
      </c>
      <c r="Q494" s="599"/>
      <c r="R494" s="599"/>
      <c r="S494" s="599"/>
      <c r="T494" s="599"/>
      <c r="U494" s="599"/>
      <c r="V494" s="577"/>
      <c r="W494" s="37" t="s">
        <v>752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195.43135876469208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203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24"/>
      <c r="P495" s="598" t="s">
        <v>755</v>
      </c>
      <c r="Q495" s="599"/>
      <c r="R495" s="599"/>
      <c r="S495" s="599"/>
      <c r="T495" s="599"/>
      <c r="U495" s="599"/>
      <c r="V495" s="577"/>
      <c r="W495" s="39" t="s">
        <v>756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2.16703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757</v>
      </c>
      <c r="B497" s="540" t="s">
        <v>63</v>
      </c>
      <c r="C497" s="547" t="s">
        <v>99</v>
      </c>
      <c r="D497" s="593"/>
      <c r="E497" s="593"/>
      <c r="F497" s="593"/>
      <c r="G497" s="593"/>
      <c r="H497" s="594"/>
      <c r="I497" s="547" t="s">
        <v>258</v>
      </c>
      <c r="J497" s="593"/>
      <c r="K497" s="593"/>
      <c r="L497" s="593"/>
      <c r="M497" s="593"/>
      <c r="N497" s="593"/>
      <c r="O497" s="593"/>
      <c r="P497" s="593"/>
      <c r="Q497" s="593"/>
      <c r="R497" s="594"/>
      <c r="S497" s="547" t="s">
        <v>544</v>
      </c>
      <c r="T497" s="594"/>
      <c r="U497" s="547" t="s">
        <v>598</v>
      </c>
      <c r="V497" s="593"/>
      <c r="W497" s="594"/>
      <c r="X497" s="540" t="s">
        <v>649</v>
      </c>
      <c r="Y497" s="547" t="s">
        <v>709</v>
      </c>
      <c r="Z497" s="594"/>
      <c r="AB497" s="52"/>
      <c r="AC497" s="52"/>
      <c r="AF497" s="541"/>
    </row>
    <row r="498" spans="1:32" ht="14.25" customHeight="1" thickTop="1" x14ac:dyDescent="0.2">
      <c r="A498" s="811" t="s">
        <v>758</v>
      </c>
      <c r="B498" s="547" t="s">
        <v>63</v>
      </c>
      <c r="C498" s="547" t="s">
        <v>100</v>
      </c>
      <c r="D498" s="547" t="s">
        <v>117</v>
      </c>
      <c r="E498" s="547" t="s">
        <v>172</v>
      </c>
      <c r="F498" s="547" t="s">
        <v>192</v>
      </c>
      <c r="G498" s="547" t="s">
        <v>223</v>
      </c>
      <c r="H498" s="547" t="s">
        <v>99</v>
      </c>
      <c r="I498" s="547" t="s">
        <v>259</v>
      </c>
      <c r="J498" s="547" t="s">
        <v>304</v>
      </c>
      <c r="K498" s="547" t="s">
        <v>364</v>
      </c>
      <c r="L498" s="547" t="s">
        <v>406</v>
      </c>
      <c r="M498" s="547" t="s">
        <v>422</v>
      </c>
      <c r="N498" s="541"/>
      <c r="O498" s="547" t="s">
        <v>433</v>
      </c>
      <c r="P498" s="547" t="s">
        <v>442</v>
      </c>
      <c r="Q498" s="547" t="s">
        <v>456</v>
      </c>
      <c r="R498" s="547" t="s">
        <v>534</v>
      </c>
      <c r="S498" s="547" t="s">
        <v>545</v>
      </c>
      <c r="T498" s="547" t="s">
        <v>582</v>
      </c>
      <c r="U498" s="547" t="s">
        <v>599</v>
      </c>
      <c r="V498" s="547" t="s">
        <v>630</v>
      </c>
      <c r="W498" s="547" t="s">
        <v>645</v>
      </c>
      <c r="X498" s="547" t="s">
        <v>649</v>
      </c>
      <c r="Y498" s="547" t="s">
        <v>709</v>
      </c>
      <c r="Z498" s="547" t="s">
        <v>745</v>
      </c>
      <c r="AB498" s="52"/>
      <c r="AC498" s="52"/>
      <c r="AF498" s="541"/>
    </row>
    <row r="499" spans="1:32" ht="13.5" customHeight="1" thickBot="1" x14ac:dyDescent="0.25">
      <c r="A499" s="812"/>
      <c r="B499" s="548"/>
      <c r="C499" s="548"/>
      <c r="D499" s="548"/>
      <c r="E499" s="548"/>
      <c r="F499" s="548"/>
      <c r="G499" s="548"/>
      <c r="H499" s="548"/>
      <c r="I499" s="548"/>
      <c r="J499" s="548"/>
      <c r="K499" s="548"/>
      <c r="L499" s="548"/>
      <c r="M499" s="548"/>
      <c r="N499" s="541"/>
      <c r="O499" s="548"/>
      <c r="P499" s="548"/>
      <c r="Q499" s="548"/>
      <c r="R499" s="548"/>
      <c r="S499" s="548"/>
      <c r="T499" s="548"/>
      <c r="U499" s="548"/>
      <c r="V499" s="548"/>
      <c r="W499" s="548"/>
      <c r="X499" s="548"/>
      <c r="Y499" s="548"/>
      <c r="Z499" s="548"/>
      <c r="AB499" s="52"/>
      <c r="AC499" s="52"/>
      <c r="AF499" s="541"/>
    </row>
    <row r="500" spans="1:32" ht="18" customHeight="1" thickTop="1" thickBot="1" x14ac:dyDescent="0.25">
      <c r="A500" s="40" t="s">
        <v>759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54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45</v>
      </c>
      <c r="E500" s="46">
        <f>IFERROR(Y85*1,"0")+IFERROR(Y86*1,"0")+IFERROR(Y87*1,"0")+IFERROR(Y91*1,"0")+IFERROR(Y92*1,"0")+IFERROR(Y93*1,"0")+IFERROR(Y94*1,"0")</f>
        <v>53.1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40.5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37.800000000000004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449.40000000000003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43.2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56.400000000000006</v>
      </c>
      <c r="R500" s="46">
        <f>IFERROR(Y336*1,"0")+IFERROR(Y337*1,"0")+IFERROR(Y338*1,"0")</f>
        <v>14.7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0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48.600000000000009</v>
      </c>
      <c r="V500" s="46">
        <f>IFERROR(Y404*1,"0")+IFERROR(Y408*1,"0")+IFERROR(Y409*1,"0")+IFERROR(Y410*1,"0")+IFERROR(Y411*1,"0")</f>
        <v>37.800000000000004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205.92000000000002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24</v>
      </c>
      <c r="Z500" s="46">
        <f>IFERROR(Y487*1,"0")</f>
        <v>0</v>
      </c>
      <c r="AB500" s="52"/>
      <c r="AC500" s="52"/>
      <c r="AF500" s="541"/>
    </row>
  </sheetData>
  <sheetProtection algorithmName="SHA-512" hashValue="UyLEtelRKmB6wzKr+/GhC2+uC2JbEwIPjeH7/6M3Lpjw7K+AxWfAa1qrjnxTMR3I8crGecKO75hidrg5o+A6Bg==" saltValue="1INhkexVHlXNOsl2Xf0qZ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P79:T79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P56:T56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0:X41 X56 X62 X85 X87 X99 X101 X115 X119 X163 X165 X167 X169 X196:X199 X201:X203 X209:X210 X212 X214:X215 X219:X220 X233 X273 X303 X305 X316:X317 X324 X337:X338 X344:X346 X354 X390 X422 X424 X427 X443:X444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ohC1EurOGYTaQY3ua6F5B8gcIUeD4DGUxPaz8eo4KORAv+4RwhZ0EjCVAnvKOoNdxylGQkqwfHSuggsINx6eA==" saltValue="DSbdbD0lApn0VagcZm7U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2025-11-13T07:18:39Z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