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78CE4A00-33D0-4DFA-9091-36D933AE16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P481" i="1"/>
  <c r="BO481" i="1"/>
  <c r="BN481" i="1"/>
  <c r="BM481" i="1"/>
  <c r="Z481" i="1"/>
  <c r="Y481" i="1"/>
  <c r="P481" i="1"/>
  <c r="BO480" i="1"/>
  <c r="BM480" i="1"/>
  <c r="Y480" i="1"/>
  <c r="Y482" i="1" s="1"/>
  <c r="P480" i="1"/>
  <c r="X478" i="1"/>
  <c r="X477" i="1"/>
  <c r="BO476" i="1"/>
  <c r="BM476" i="1"/>
  <c r="Y476" i="1"/>
  <c r="Y478" i="1" s="1"/>
  <c r="P476" i="1"/>
  <c r="X474" i="1"/>
  <c r="X473" i="1"/>
  <c r="BO472" i="1"/>
  <c r="BM472" i="1"/>
  <c r="Y472" i="1"/>
  <c r="Y474" i="1" s="1"/>
  <c r="P472" i="1"/>
  <c r="BP471" i="1"/>
  <c r="BO471" i="1"/>
  <c r="BN471" i="1"/>
  <c r="BM471" i="1"/>
  <c r="Z471" i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Y468" i="1" s="1"/>
  <c r="P466" i="1"/>
  <c r="BP465" i="1"/>
  <c r="BO465" i="1"/>
  <c r="BN465" i="1"/>
  <c r="BM465" i="1"/>
  <c r="Z465" i="1"/>
  <c r="Y465" i="1"/>
  <c r="Y469" i="1" s="1"/>
  <c r="P465" i="1"/>
  <c r="X463" i="1"/>
  <c r="X462" i="1"/>
  <c r="BP461" i="1"/>
  <c r="BO461" i="1"/>
  <c r="BN461" i="1"/>
  <c r="BM461" i="1"/>
  <c r="Z461" i="1"/>
  <c r="Y461" i="1"/>
  <c r="P461" i="1"/>
  <c r="BO460" i="1"/>
  <c r="BM460" i="1"/>
  <c r="Y460" i="1"/>
  <c r="BP460" i="1" s="1"/>
  <c r="P460" i="1"/>
  <c r="BP459" i="1"/>
  <c r="BO459" i="1"/>
  <c r="BN459" i="1"/>
  <c r="BM459" i="1"/>
  <c r="Z459" i="1"/>
  <c r="Y459" i="1"/>
  <c r="P459" i="1"/>
  <c r="BO458" i="1"/>
  <c r="BM458" i="1"/>
  <c r="Y458" i="1"/>
  <c r="Y462" i="1" s="1"/>
  <c r="P458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BO450" i="1"/>
  <c r="BM450" i="1"/>
  <c r="Y450" i="1"/>
  <c r="Y454" i="1" s="1"/>
  <c r="P450" i="1"/>
  <c r="X448" i="1"/>
  <c r="X447" i="1"/>
  <c r="BO446" i="1"/>
  <c r="BM446" i="1"/>
  <c r="Y446" i="1"/>
  <c r="BP446" i="1" s="1"/>
  <c r="P446" i="1"/>
  <c r="BP445" i="1"/>
  <c r="BO445" i="1"/>
  <c r="BN445" i="1"/>
  <c r="BM445" i="1"/>
  <c r="Z445" i="1"/>
  <c r="Y445" i="1"/>
  <c r="P445" i="1"/>
  <c r="BO444" i="1"/>
  <c r="BM444" i="1"/>
  <c r="Y444" i="1"/>
  <c r="BP444" i="1" s="1"/>
  <c r="P444" i="1"/>
  <c r="BP443" i="1"/>
  <c r="BO443" i="1"/>
  <c r="BN443" i="1"/>
  <c r="BM443" i="1"/>
  <c r="Z443" i="1"/>
  <c r="Y443" i="1"/>
  <c r="P443" i="1"/>
  <c r="BO442" i="1"/>
  <c r="BM442" i="1"/>
  <c r="Y442" i="1"/>
  <c r="BP442" i="1" s="1"/>
  <c r="P442" i="1"/>
  <c r="BP441" i="1"/>
  <c r="BO441" i="1"/>
  <c r="BN441" i="1"/>
  <c r="BM441" i="1"/>
  <c r="Z441" i="1"/>
  <c r="Y441" i="1"/>
  <c r="Y448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Y438" i="1" s="1"/>
  <c r="P436" i="1"/>
  <c r="BP435" i="1"/>
  <c r="BO435" i="1"/>
  <c r="BN435" i="1"/>
  <c r="BM435" i="1"/>
  <c r="Z435" i="1"/>
  <c r="Y435" i="1"/>
  <c r="Y439" i="1" s="1"/>
  <c r="P435" i="1"/>
  <c r="X433" i="1"/>
  <c r="X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Y411" i="1" s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Y375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N330" i="1"/>
  <c r="BM330" i="1"/>
  <c r="Z330" i="1"/>
  <c r="Y330" i="1"/>
  <c r="BP330" i="1" s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3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Y305" i="1" s="1"/>
  <c r="P298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Q499" i="1" s="1"/>
  <c r="P290" i="1"/>
  <c r="X287" i="1"/>
  <c r="X286" i="1"/>
  <c r="BO285" i="1"/>
  <c r="BM285" i="1"/>
  <c r="Y285" i="1"/>
  <c r="BP285" i="1" s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M499" i="1" s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499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Y172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3" i="1" s="1"/>
  <c r="X150" i="1"/>
  <c r="X149" i="1"/>
  <c r="BO148" i="1"/>
  <c r="BN148" i="1"/>
  <c r="BM148" i="1"/>
  <c r="Z148" i="1"/>
  <c r="Y148" i="1"/>
  <c r="BP148" i="1" s="1"/>
  <c r="P148" i="1"/>
  <c r="BO147" i="1"/>
  <c r="BM147" i="1"/>
  <c r="Y147" i="1"/>
  <c r="BP147" i="1" s="1"/>
  <c r="P147" i="1"/>
  <c r="BO146" i="1"/>
  <c r="BN146" i="1"/>
  <c r="BM146" i="1"/>
  <c r="Z146" i="1"/>
  <c r="Y146" i="1"/>
  <c r="Y150" i="1" s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H499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7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9" i="1" s="1"/>
  <c r="P85" i="1"/>
  <c r="X82" i="1"/>
  <c r="X81" i="1"/>
  <c r="BO80" i="1"/>
  <c r="BM80" i="1"/>
  <c r="Y80" i="1"/>
  <c r="Y82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1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Z81" i="1" l="1"/>
  <c r="Z149" i="1"/>
  <c r="H9" i="1"/>
  <c r="A10" i="1"/>
  <c r="Y24" i="1"/>
  <c r="Z27" i="1"/>
  <c r="Z31" i="1" s="1"/>
  <c r="BN27" i="1"/>
  <c r="Z29" i="1"/>
  <c r="BN29" i="1"/>
  <c r="Y32" i="1"/>
  <c r="C499" i="1"/>
  <c r="Z41" i="1"/>
  <c r="Z43" i="1" s="1"/>
  <c r="BN41" i="1"/>
  <c r="Y44" i="1"/>
  <c r="D499" i="1"/>
  <c r="Z52" i="1"/>
  <c r="Z57" i="1" s="1"/>
  <c r="BN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BN80" i="1"/>
  <c r="BP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F499" i="1"/>
  <c r="Z100" i="1"/>
  <c r="Z103" i="1" s="1"/>
  <c r="BN100" i="1"/>
  <c r="Z102" i="1"/>
  <c r="BN102" i="1"/>
  <c r="Y103" i="1"/>
  <c r="Z106" i="1"/>
  <c r="Z109" i="1" s="1"/>
  <c r="BN106" i="1"/>
  <c r="BP106" i="1"/>
  <c r="Z108" i="1"/>
  <c r="BN108" i="1"/>
  <c r="Y109" i="1"/>
  <c r="Z112" i="1"/>
  <c r="Z116" i="1" s="1"/>
  <c r="BN112" i="1"/>
  <c r="BP112" i="1"/>
  <c r="Z114" i="1"/>
  <c r="BN114" i="1"/>
  <c r="Y117" i="1"/>
  <c r="G499" i="1"/>
  <c r="Z125" i="1"/>
  <c r="Z126" i="1" s="1"/>
  <c r="BN125" i="1"/>
  <c r="Y126" i="1"/>
  <c r="Z129" i="1"/>
  <c r="Z131" i="1" s="1"/>
  <c r="BN129" i="1"/>
  <c r="BP129" i="1"/>
  <c r="Y132" i="1"/>
  <c r="Z135" i="1"/>
  <c r="Z136" i="1" s="1"/>
  <c r="BN135" i="1"/>
  <c r="Y136" i="1"/>
  <c r="Z140" i="1"/>
  <c r="BN140" i="1"/>
  <c r="BP140" i="1"/>
  <c r="Z142" i="1"/>
  <c r="BN142" i="1"/>
  <c r="Y143" i="1"/>
  <c r="BP146" i="1"/>
  <c r="Y149" i="1"/>
  <c r="Y154" i="1"/>
  <c r="Y160" i="1"/>
  <c r="Z162" i="1"/>
  <c r="BN162" i="1"/>
  <c r="BP162" i="1"/>
  <c r="Z164" i="1"/>
  <c r="BN164" i="1"/>
  <c r="Z166" i="1"/>
  <c r="BN166" i="1"/>
  <c r="Z168" i="1"/>
  <c r="BN168" i="1"/>
  <c r="Z170" i="1"/>
  <c r="BN170" i="1"/>
  <c r="Y173" i="1"/>
  <c r="Y179" i="1"/>
  <c r="Z176" i="1"/>
  <c r="Z178" i="1" s="1"/>
  <c r="BN176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F9" i="1"/>
  <c r="J9" i="1"/>
  <c r="Z22" i="1"/>
  <c r="Z23" i="1" s="1"/>
  <c r="BN22" i="1"/>
  <c r="BP22" i="1"/>
  <c r="Y23" i="1"/>
  <c r="Y43" i="1"/>
  <c r="Y58" i="1"/>
  <c r="Y89" i="1"/>
  <c r="Y104" i="1"/>
  <c r="Y127" i="1"/>
  <c r="Z141" i="1"/>
  <c r="BN141" i="1"/>
  <c r="Y144" i="1"/>
  <c r="Z147" i="1"/>
  <c r="BN147" i="1"/>
  <c r="Z152" i="1"/>
  <c r="Z153" i="1" s="1"/>
  <c r="BN152" i="1"/>
  <c r="BP152" i="1"/>
  <c r="Z158" i="1"/>
  <c r="Z159" i="1" s="1"/>
  <c r="BN158" i="1"/>
  <c r="BP158" i="1"/>
  <c r="Y159" i="1"/>
  <c r="Z163" i="1"/>
  <c r="BN163" i="1"/>
  <c r="Z165" i="1"/>
  <c r="BN165" i="1"/>
  <c r="Z167" i="1"/>
  <c r="BN167" i="1"/>
  <c r="Z169" i="1"/>
  <c r="BN169" i="1"/>
  <c r="Z171" i="1"/>
  <c r="BN171" i="1"/>
  <c r="Y178" i="1"/>
  <c r="BP197" i="1"/>
  <c r="BN197" i="1"/>
  <c r="Z197" i="1"/>
  <c r="Z204" i="1" s="1"/>
  <c r="Y205" i="1"/>
  <c r="BP201" i="1"/>
  <c r="BN201" i="1"/>
  <c r="Z201" i="1"/>
  <c r="Z281" i="1"/>
  <c r="Z331" i="1"/>
  <c r="Z370" i="1"/>
  <c r="Y217" i="1"/>
  <c r="Y221" i="1"/>
  <c r="Y236" i="1"/>
  <c r="Y240" i="1"/>
  <c r="Y244" i="1"/>
  <c r="Y252" i="1"/>
  <c r="Y261" i="1"/>
  <c r="Y268" i="1"/>
  <c r="Y275" i="1"/>
  <c r="Y282" i="1"/>
  <c r="Y287" i="1"/>
  <c r="Y296" i="1"/>
  <c r="Y306" i="1"/>
  <c r="Y312" i="1"/>
  <c r="Y318" i="1"/>
  <c r="Y325" i="1"/>
  <c r="BP337" i="1"/>
  <c r="BN337" i="1"/>
  <c r="Z337" i="1"/>
  <c r="Y339" i="1"/>
  <c r="S499" i="1"/>
  <c r="Y351" i="1"/>
  <c r="BP343" i="1"/>
  <c r="BN343" i="1"/>
  <c r="Z343" i="1"/>
  <c r="BP346" i="1"/>
  <c r="BN346" i="1"/>
  <c r="Z346" i="1"/>
  <c r="Y350" i="1"/>
  <c r="BP354" i="1"/>
  <c r="BN354" i="1"/>
  <c r="Z354" i="1"/>
  <c r="Z355" i="1" s="1"/>
  <c r="Y356" i="1"/>
  <c r="Y361" i="1"/>
  <c r="BP358" i="1"/>
  <c r="BN358" i="1"/>
  <c r="Z358" i="1"/>
  <c r="Z360" i="1" s="1"/>
  <c r="BP379" i="1"/>
  <c r="BN379" i="1"/>
  <c r="Z379" i="1"/>
  <c r="Z380" i="1" s="1"/>
  <c r="Y381" i="1"/>
  <c r="U49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BP410" i="1"/>
  <c r="BN410" i="1"/>
  <c r="Z410" i="1"/>
  <c r="Y412" i="1"/>
  <c r="W499" i="1"/>
  <c r="Y417" i="1"/>
  <c r="Y416" i="1"/>
  <c r="BP415" i="1"/>
  <c r="BN415" i="1"/>
  <c r="Z415" i="1"/>
  <c r="Z416" i="1" s="1"/>
  <c r="Y432" i="1"/>
  <c r="BP422" i="1"/>
  <c r="BN422" i="1"/>
  <c r="Z422" i="1"/>
  <c r="Z432" i="1" s="1"/>
  <c r="BP426" i="1"/>
  <c r="BN426" i="1"/>
  <c r="Z426" i="1"/>
  <c r="BP430" i="1"/>
  <c r="BN430" i="1"/>
  <c r="Z430" i="1"/>
  <c r="Z447" i="1"/>
  <c r="Z473" i="1"/>
  <c r="J499" i="1"/>
  <c r="Y188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K499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BN246" i="1"/>
  <c r="BP246" i="1"/>
  <c r="Z248" i="1"/>
  <c r="BN248" i="1"/>
  <c r="Z250" i="1"/>
  <c r="BN250" i="1"/>
  <c r="Z255" i="1"/>
  <c r="Z260" i="1" s="1"/>
  <c r="BN255" i="1"/>
  <c r="BP255" i="1"/>
  <c r="Z257" i="1"/>
  <c r="BN257" i="1"/>
  <c r="Z259" i="1"/>
  <c r="BN259" i="1"/>
  <c r="Y260" i="1"/>
  <c r="Z264" i="1"/>
  <c r="Z268" i="1" s="1"/>
  <c r="BN264" i="1"/>
  <c r="BP264" i="1"/>
  <c r="Z266" i="1"/>
  <c r="BN266" i="1"/>
  <c r="Y269" i="1"/>
  <c r="O499" i="1"/>
  <c r="Z273" i="1"/>
  <c r="Z275" i="1" s="1"/>
  <c r="BN273" i="1"/>
  <c r="Y276" i="1"/>
  <c r="P499" i="1"/>
  <c r="Z280" i="1"/>
  <c r="BN280" i="1"/>
  <c r="Y281" i="1"/>
  <c r="Z285" i="1"/>
  <c r="Z286" i="1" s="1"/>
  <c r="BN285" i="1"/>
  <c r="Z290" i="1"/>
  <c r="Z295" i="1" s="1"/>
  <c r="BN290" i="1"/>
  <c r="BP290" i="1"/>
  <c r="Z292" i="1"/>
  <c r="BN292" i="1"/>
  <c r="Z294" i="1"/>
  <c r="BN294" i="1"/>
  <c r="Y295" i="1"/>
  <c r="Z298" i="1"/>
  <c r="Z305" i="1" s="1"/>
  <c r="BN298" i="1"/>
  <c r="BP298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3" i="1"/>
  <c r="Z325" i="1" s="1"/>
  <c r="BN323" i="1"/>
  <c r="Y331" i="1"/>
  <c r="Z329" i="1"/>
  <c r="BN329" i="1"/>
  <c r="Y332" i="1"/>
  <c r="R499" i="1"/>
  <c r="Y338" i="1"/>
  <c r="BP335" i="1"/>
  <c r="BN335" i="1"/>
  <c r="Z335" i="1"/>
  <c r="Z338" i="1" s="1"/>
  <c r="BP345" i="1"/>
  <c r="BN345" i="1"/>
  <c r="Z345" i="1"/>
  <c r="BP348" i="1"/>
  <c r="BN348" i="1"/>
  <c r="Z348" i="1"/>
  <c r="Y355" i="1"/>
  <c r="Y360" i="1"/>
  <c r="BP369" i="1"/>
  <c r="BN369" i="1"/>
  <c r="Z369" i="1"/>
  <c r="Y371" i="1"/>
  <c r="Y376" i="1"/>
  <c r="BP373" i="1"/>
  <c r="BN373" i="1"/>
  <c r="Z373" i="1"/>
  <c r="Z375" i="1" s="1"/>
  <c r="Y380" i="1"/>
  <c r="BP387" i="1"/>
  <c r="BN387" i="1"/>
  <c r="Z387" i="1"/>
  <c r="BP391" i="1"/>
  <c r="BN391" i="1"/>
  <c r="Z391" i="1"/>
  <c r="Y399" i="1"/>
  <c r="BP408" i="1"/>
  <c r="BN408" i="1"/>
  <c r="Z408" i="1"/>
  <c r="T499" i="1"/>
  <c r="Y370" i="1"/>
  <c r="V499" i="1"/>
  <c r="Y405" i="1"/>
  <c r="X499" i="1"/>
  <c r="BP424" i="1"/>
  <c r="BN424" i="1"/>
  <c r="Z424" i="1"/>
  <c r="BP428" i="1"/>
  <c r="BN428" i="1"/>
  <c r="Z428" i="1"/>
  <c r="Y433" i="1"/>
  <c r="Z436" i="1"/>
  <c r="Z438" i="1" s="1"/>
  <c r="BN436" i="1"/>
  <c r="BP436" i="1"/>
  <c r="Z442" i="1"/>
  <c r="BN442" i="1"/>
  <c r="Z444" i="1"/>
  <c r="BN444" i="1"/>
  <c r="Z446" i="1"/>
  <c r="BN446" i="1"/>
  <c r="Y447" i="1"/>
  <c r="Z450" i="1"/>
  <c r="Z453" i="1" s="1"/>
  <c r="BN450" i="1"/>
  <c r="BP450" i="1"/>
  <c r="Z452" i="1"/>
  <c r="BN452" i="1"/>
  <c r="Y453" i="1"/>
  <c r="Z458" i="1"/>
  <c r="Z462" i="1" s="1"/>
  <c r="BN458" i="1"/>
  <c r="BP458" i="1"/>
  <c r="Z460" i="1"/>
  <c r="BN460" i="1"/>
  <c r="Y463" i="1"/>
  <c r="Z466" i="1"/>
  <c r="Z468" i="1" s="1"/>
  <c r="BN466" i="1"/>
  <c r="BP466" i="1"/>
  <c r="Z472" i="1"/>
  <c r="BN472" i="1"/>
  <c r="BP472" i="1"/>
  <c r="Z476" i="1"/>
  <c r="Z477" i="1" s="1"/>
  <c r="BN476" i="1"/>
  <c r="BP476" i="1"/>
  <c r="Y477" i="1"/>
  <c r="Z480" i="1"/>
  <c r="Z482" i="1" s="1"/>
  <c r="BN480" i="1"/>
  <c r="BP480" i="1"/>
  <c r="Y483" i="1"/>
  <c r="Y488" i="1"/>
  <c r="Y499" i="1"/>
  <c r="Z486" i="1"/>
  <c r="Z487" i="1" s="1"/>
  <c r="BN486" i="1"/>
  <c r="BP486" i="1"/>
  <c r="Y487" i="1"/>
  <c r="Z394" i="1" l="1"/>
  <c r="Y493" i="1"/>
  <c r="Y490" i="1"/>
  <c r="Z411" i="1"/>
  <c r="Z312" i="1"/>
  <c r="Z251" i="1"/>
  <c r="Z216" i="1"/>
  <c r="Z350" i="1"/>
  <c r="Y491" i="1"/>
  <c r="Z172" i="1"/>
  <c r="Z143" i="1"/>
  <c r="Z76" i="1"/>
  <c r="Z69" i="1"/>
  <c r="Z494" i="1" s="1"/>
  <c r="Z63" i="1"/>
  <c r="Y489" i="1"/>
  <c r="Y492" i="1" l="1"/>
</calcChain>
</file>

<file path=xl/sharedStrings.xml><?xml version="1.0" encoding="utf-8"?>
<sst xmlns="http://schemas.openxmlformats.org/spreadsheetml/2006/main" count="2282" uniqueCount="767">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</sst>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9.2592592592592595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0.1898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100</v>
      </c>
      <c r="Y44" s="543">
        <f>IFERROR(SUM(Y40:Y42),"0")</f>
        <v>108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600</v>
      </c>
      <c r="Y52" s="542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622.77777777777783</v>
      </c>
      <c r="BN52" s="64">
        <f t="shared" si="2"/>
        <v>627.76</v>
      </c>
      <c r="BO52" s="64">
        <f t="shared" si="3"/>
        <v>0.86805555555555547</v>
      </c>
      <c r="BP52" s="64">
        <f t="shared" si="4"/>
        <v>0.875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55.55555555555555</v>
      </c>
      <c r="Y57" s="543">
        <f>IFERROR(Y51/H51,"0")+IFERROR(Y52/H52,"0")+IFERROR(Y53/H53,"0")+IFERROR(Y54/H54,"0")+IFERROR(Y55/H55,"0")+IFERROR(Y56/H56,"0")</f>
        <v>56</v>
      </c>
      <c r="Z57" s="543">
        <f>IFERROR(IF(Z51="",0,Z51),"0")+IFERROR(IF(Z52="",0,Z52),"0")+IFERROR(IF(Z53="",0,Z53),"0")+IFERROR(IF(Z54="",0,Z54),"0")+IFERROR(IF(Z55="",0,Z55),"0")+IFERROR(IF(Z56="",0,Z56),"0")</f>
        <v>1.06288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600</v>
      </c>
      <c r="Y58" s="543">
        <f>IFERROR(SUM(Y51:Y56),"0")</f>
        <v>604.80000000000007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500</v>
      </c>
      <c r="Y85" s="542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46.296296296296291</v>
      </c>
      <c r="Y88" s="543">
        <f>IFERROR(Y85/H85,"0")+IFERROR(Y86/H86,"0")+IFERROR(Y87/H87,"0")</f>
        <v>47</v>
      </c>
      <c r="Z88" s="543">
        <f>IFERROR(IF(Z85="",0,Z85),"0")+IFERROR(IF(Z86="",0,Z86),"0")+IFERROR(IF(Z87="",0,Z87),"0")</f>
        <v>0.89205999999999996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500</v>
      </c>
      <c r="Y89" s="543">
        <f>IFERROR(SUM(Y85:Y87),"0")</f>
        <v>507.6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600</v>
      </c>
      <c r="Y91" s="542">
        <f>IFERROR(IF(X91="",0,CEILING((X91/$H91),1)*$H91),"")</f>
        <v>607.5</v>
      </c>
      <c r="Z91" s="36">
        <f>IFERROR(IF(Y91=0,"",ROUNDUP(Y91/H91,0)*0.01898),"")</f>
        <v>1.4235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636.59259259259261</v>
      </c>
      <c r="BN91" s="64">
        <f>IFERROR(Y91*I91/H91,"0")</f>
        <v>644.54999999999995</v>
      </c>
      <c r="BO91" s="64">
        <f>IFERROR(1/J91*(X91/H91),"0")</f>
        <v>1.1574074074074074</v>
      </c>
      <c r="BP91" s="64">
        <f>IFERROR(1/J91*(Y91/H91),"0")</f>
        <v>1.171875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405</v>
      </c>
      <c r="Y93" s="542">
        <f>IFERROR(IF(X93="",0,CEILING((X93/$H93),1)*$H93),"")</f>
        <v>405</v>
      </c>
      <c r="Z93" s="36">
        <f>IFERROR(IF(Y93=0,"",ROUNDUP(Y93/H93,0)*0.00651),"")</f>
        <v>0.97650000000000003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442.79999999999995</v>
      </c>
      <c r="BN93" s="64">
        <f>IFERROR(Y93*I93/H93,"0")</f>
        <v>442.79999999999995</v>
      </c>
      <c r="BO93" s="64">
        <f>IFERROR(1/J93*(X93/H93),"0")</f>
        <v>0.82417582417582425</v>
      </c>
      <c r="BP93" s="64">
        <f>IFERROR(1/J93*(Y93/H93),"0")</f>
        <v>0.82417582417582425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224.07407407407408</v>
      </c>
      <c r="Y95" s="543">
        <f>IFERROR(Y91/H91,"0")+IFERROR(Y92/H92,"0")+IFERROR(Y93/H93,"0")+IFERROR(Y94/H94,"0")</f>
        <v>225</v>
      </c>
      <c r="Z95" s="543">
        <f>IFERROR(IF(Z91="",0,Z91),"0")+IFERROR(IF(Z92="",0,Z92),"0")+IFERROR(IF(Z93="",0,Z93),"0")+IFERROR(IF(Z94="",0,Z94),"0")</f>
        <v>2.4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1005</v>
      </c>
      <c r="Y96" s="543">
        <f>IFERROR(SUM(Y91:Y94),"0")</f>
        <v>1012.5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500</v>
      </c>
      <c r="Y99" s="542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46.296296296296291</v>
      </c>
      <c r="Y103" s="543">
        <f>IFERROR(Y99/H99,"0")+IFERROR(Y100/H100,"0")+IFERROR(Y101/H101,"0")+IFERROR(Y102/H102,"0")</f>
        <v>47</v>
      </c>
      <c r="Z103" s="543">
        <f>IFERROR(IF(Z99="",0,Z99),"0")+IFERROR(IF(Z100="",0,Z100),"0")+IFERROR(IF(Z101="",0,Z101),"0")+IFERROR(IF(Z102="",0,Z102),"0")</f>
        <v>0.89205999999999996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500</v>
      </c>
      <c r="Y104" s="543">
        <f>IFERROR(SUM(Y99:Y102),"0")</f>
        <v>507.6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200</v>
      </c>
      <c r="Y112" s="542">
        <f>IFERROR(IF(X112="",0,CEILING((X112/$H112),1)*$H112),"")</f>
        <v>202.5</v>
      </c>
      <c r="Z112" s="36">
        <f>IFERROR(IF(Y112=0,"",ROUNDUP(Y112/H112,0)*0.01898),"")</f>
        <v>0.47450000000000003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212.04938271604939</v>
      </c>
      <c r="BN112" s="64">
        <f>IFERROR(Y112*I112/H112,"0")</f>
        <v>214.7</v>
      </c>
      <c r="BO112" s="64">
        <f>IFERROR(1/J112*(X112/H112),"0")</f>
        <v>0.38580246913580246</v>
      </c>
      <c r="BP112" s="64">
        <f>IFERROR(1/J112*(Y112/H112),"0")</f>
        <v>0.390625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450</v>
      </c>
      <c r="Y114" s="542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191.35802469135803</v>
      </c>
      <c r="Y116" s="543">
        <f>IFERROR(Y112/H112,"0")+IFERROR(Y113/H113,"0")+IFERROR(Y114/H114,"0")+IFERROR(Y115/H115,"0")</f>
        <v>192</v>
      </c>
      <c r="Z116" s="543">
        <f>IFERROR(IF(Z112="",0,Z112),"0")+IFERROR(IF(Z113="",0,Z113),"0")+IFERROR(IF(Z114="",0,Z114),"0")+IFERROR(IF(Z115="",0,Z115),"0")</f>
        <v>1.5616699999999999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650</v>
      </c>
      <c r="Y117" s="543">
        <f>IFERROR(SUM(Y112:Y115),"0")</f>
        <v>653.40000000000009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100</v>
      </c>
      <c r="Y212" s="542">
        <f t="shared" si="15"/>
        <v>100.8</v>
      </c>
      <c r="Z212" s="36">
        <f t="shared" si="20"/>
        <v>0.27342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110.5</v>
      </c>
      <c r="BN212" s="64">
        <f t="shared" si="17"/>
        <v>111.384</v>
      </c>
      <c r="BO212" s="64">
        <f t="shared" si="18"/>
        <v>0.22893772893772898</v>
      </c>
      <c r="BP212" s="64">
        <f t="shared" si="19"/>
        <v>0.23076923076923078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80</v>
      </c>
      <c r="Y213" s="542">
        <f t="shared" si="15"/>
        <v>81.599999999999994</v>
      </c>
      <c r="Z213" s="36">
        <f t="shared" si="20"/>
        <v>0.22134000000000001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88.40000000000002</v>
      </c>
      <c r="BN213" s="64">
        <f t="shared" si="17"/>
        <v>90.168000000000006</v>
      </c>
      <c r="BO213" s="64">
        <f t="shared" si="18"/>
        <v>0.18315018315018317</v>
      </c>
      <c r="BP213" s="64">
        <f t="shared" si="19"/>
        <v>0.18681318681318682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75</v>
      </c>
      <c r="Y216" s="543">
        <f>IFERROR(Y207/H207,"0")+IFERROR(Y208/H208,"0")+IFERROR(Y209/H209,"0")+IFERROR(Y210/H210,"0")+IFERROR(Y211/H211,"0")+IFERROR(Y212/H212,"0")+IFERROR(Y213/H213,"0")+IFERROR(Y214/H214,"0")+IFERROR(Y215/H215,"0")</f>
        <v>76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0.49475999999999998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180</v>
      </c>
      <c r="Y217" s="543">
        <f>IFERROR(SUM(Y207:Y215),"0")</f>
        <v>182.39999999999998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200</v>
      </c>
      <c r="Y308" s="542">
        <f>IFERROR(IF(X308="",0,CEILING((X308/$H308),1)*$H308),"")</f>
        <v>202.79999999999998</v>
      </c>
      <c r="Z308" s="36">
        <f>IFERROR(IF(Y308=0,"",ROUNDUP(Y308/H308,0)*0.01898),"")</f>
        <v>0.49348000000000003</v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212.51282051282053</v>
      </c>
      <c r="BN308" s="64">
        <f>IFERROR(Y308*I308/H308,"0")</f>
        <v>215.488</v>
      </c>
      <c r="BO308" s="64">
        <f>IFERROR(1/J308*(X308/H308),"0")</f>
        <v>0.40064102564102566</v>
      </c>
      <c r="BP308" s="64">
        <f>IFERROR(1/J308*(Y308/H308),"0")</f>
        <v>0.40625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25.641025641025642</v>
      </c>
      <c r="Y312" s="543">
        <f>IFERROR(Y308/H308,"0")+IFERROR(Y309/H309,"0")+IFERROR(Y310/H310,"0")+IFERROR(Y311/H311,"0")</f>
        <v>26</v>
      </c>
      <c r="Z312" s="543">
        <f>IFERROR(IF(Z308="",0,Z308),"0")+IFERROR(IF(Z309="",0,Z309),"0")+IFERROR(IF(Z310="",0,Z310),"0")+IFERROR(IF(Z311="",0,Z311),"0")</f>
        <v>0.49348000000000003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200</v>
      </c>
      <c r="Y313" s="543">
        <f>IFERROR(SUM(Y308:Y311),"0")</f>
        <v>202.79999999999998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200</v>
      </c>
      <c r="Y316" s="542">
        <f>IFERROR(IF(X316="",0,CEILING((X316/$H316),1)*$H316),"")</f>
        <v>202.79999999999998</v>
      </c>
      <c r="Z316" s="36">
        <f>IFERROR(IF(Y316=0,"",ROUNDUP(Y316/H316,0)*0.01898),"")</f>
        <v>0.49348000000000003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212.66666666666669</v>
      </c>
      <c r="BN316" s="64">
        <f>IFERROR(Y316*I316/H316,"0")</f>
        <v>215.64399999999998</v>
      </c>
      <c r="BO316" s="64">
        <f>IFERROR(1/J316*(X316/H316),"0")</f>
        <v>0.40064102564102566</v>
      </c>
      <c r="BP316" s="64">
        <f>IFERROR(1/J316*(Y316/H316),"0")</f>
        <v>0.40625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25.641025641025642</v>
      </c>
      <c r="Y318" s="543">
        <f>IFERROR(Y315/H315,"0")+IFERROR(Y316/H316,"0")+IFERROR(Y317/H317,"0")</f>
        <v>26</v>
      </c>
      <c r="Z318" s="543">
        <f>IFERROR(IF(Z315="",0,Z315),"0")+IFERROR(IF(Z316="",0,Z316),"0")+IFERROR(IF(Z317="",0,Z317),"0")</f>
        <v>0.49348000000000003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200</v>
      </c>
      <c r="Y319" s="543">
        <f>IFERROR(SUM(Y315:Y317),"0")</f>
        <v>202.79999999999998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189</v>
      </c>
      <c r="Y336" s="542">
        <f>IFERROR(IF(X336="",0,CEILING((X336/$H336),1)*$H336),"")</f>
        <v>189</v>
      </c>
      <c r="Z336" s="36">
        <f>IFERROR(IF(Y336=0,"",ROUNDUP(Y336/H336,0)*0.00651),"")</f>
        <v>0.58589999999999998</v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211.67999999999998</v>
      </c>
      <c r="BN336" s="64">
        <f>IFERROR(Y336*I336/H336,"0")</f>
        <v>211.67999999999998</v>
      </c>
      <c r="BO336" s="64">
        <f>IFERROR(1/J336*(X336/H336),"0")</f>
        <v>0.49450549450549453</v>
      </c>
      <c r="BP336" s="64">
        <f>IFERROR(1/J336*(Y336/H336),"0")</f>
        <v>0.49450549450549453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126</v>
      </c>
      <c r="Y337" s="542">
        <f>IFERROR(IF(X337="",0,CEILING((X337/$H337),1)*$H337),"")</f>
        <v>126</v>
      </c>
      <c r="Z337" s="36">
        <f>IFERROR(IF(Y337=0,"",ROUNDUP(Y337/H337,0)*0.00651),"")</f>
        <v>0.3906</v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140.39999999999998</v>
      </c>
      <c r="BN337" s="64">
        <f>IFERROR(Y337*I337/H337,"0")</f>
        <v>140.39999999999998</v>
      </c>
      <c r="BO337" s="64">
        <f>IFERROR(1/J337*(X337/H337),"0")</f>
        <v>0.32967032967032972</v>
      </c>
      <c r="BP337" s="64">
        <f>IFERROR(1/J337*(Y337/H337),"0")</f>
        <v>0.32967032967032972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150</v>
      </c>
      <c r="Y338" s="543">
        <f>IFERROR(Y335/H335,"0")+IFERROR(Y336/H336,"0")+IFERROR(Y337/H337,"0")</f>
        <v>150</v>
      </c>
      <c r="Z338" s="543">
        <f>IFERROR(IF(Z335="",0,Z335),"0")+IFERROR(IF(Z336="",0,Z336),"0")+IFERROR(IF(Z337="",0,Z337),"0")</f>
        <v>0.97649999999999992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315</v>
      </c>
      <c r="Y339" s="543">
        <f>IFERROR(SUM(Y335:Y337),"0")</f>
        <v>315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1000</v>
      </c>
      <c r="Y343" s="542">
        <f t="shared" ref="Y343:Y349" si="31">IFERROR(IF(X343="",0,CEILING((X343/$H343),1)*$H343),"")</f>
        <v>1005</v>
      </c>
      <c r="Z343" s="36">
        <f>IFERROR(IF(Y343=0,"",ROUNDUP(Y343/H343,0)*0.02175),"")</f>
        <v>1.4572499999999999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1031.3333333333333</v>
      </c>
      <c r="BN343" s="64">
        <f t="shared" ref="BN343:BN349" si="33">IFERROR(Y343*I343/H343,"0")</f>
        <v>1036.49</v>
      </c>
      <c r="BO343" s="64">
        <f t="shared" ref="BO343:BO349" si="34">IFERROR(1/J343*(X343/H343),"0")</f>
        <v>1.3888888888888888</v>
      </c>
      <c r="BP343" s="64">
        <f t="shared" ref="BP343:BP349" si="35">IFERROR(1/J343*(Y343/H343),"0")</f>
        <v>1.3958333333333333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500</v>
      </c>
      <c r="Y344" s="542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1000</v>
      </c>
      <c r="Y345" s="542">
        <f t="shared" si="31"/>
        <v>1005</v>
      </c>
      <c r="Z345" s="36">
        <f>IFERROR(IF(Y345=0,"",ROUNDUP(Y345/H345,0)*0.02175),"")</f>
        <v>1.4572499999999999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1031.3333333333333</v>
      </c>
      <c r="BN345" s="64">
        <f t="shared" si="33"/>
        <v>1036.49</v>
      </c>
      <c r="BO345" s="64">
        <f t="shared" si="34"/>
        <v>1.3888888888888888</v>
      </c>
      <c r="BP345" s="64">
        <f t="shared" si="35"/>
        <v>1.3958333333333333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166.66666666666669</v>
      </c>
      <c r="Y350" s="543">
        <f>IFERROR(Y343/H343,"0")+IFERROR(Y344/H344,"0")+IFERROR(Y345/H345,"0")+IFERROR(Y346/H346,"0")+IFERROR(Y347/H347,"0")+IFERROR(Y348/H348,"0")+IFERROR(Y349/H349,"0")</f>
        <v>168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3.6539999999999999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2500</v>
      </c>
      <c r="Y351" s="543">
        <f>IFERROR(SUM(Y343:Y349),"0")</f>
        <v>2520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500</v>
      </c>
      <c r="Y353" s="542">
        <f>IFERROR(IF(X353="",0,CEILING((X353/$H353),1)*$H353),"")</f>
        <v>510</v>
      </c>
      <c r="Z353" s="36">
        <f>IFERROR(IF(Y353=0,"",ROUNDUP(Y353/H353,0)*0.02175),"")</f>
        <v>0.73949999999999994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515.66666666666663</v>
      </c>
      <c r="BN353" s="64">
        <f>IFERROR(Y353*I353/H353,"0")</f>
        <v>525.98</v>
      </c>
      <c r="BO353" s="64">
        <f>IFERROR(1/J353*(X353/H353),"0")</f>
        <v>0.69444444444444442</v>
      </c>
      <c r="BP353" s="64">
        <f>IFERROR(1/J353*(Y353/H353),"0")</f>
        <v>0.70833333333333326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33.333333333333336</v>
      </c>
      <c r="Y355" s="543">
        <f>IFERROR(Y353/H353,"0")+IFERROR(Y354/H354,"0")</f>
        <v>34</v>
      </c>
      <c r="Z355" s="543">
        <f>IFERROR(IF(Z353="",0,Z353),"0")+IFERROR(IF(Z354="",0,Z354),"0")</f>
        <v>0.73949999999999994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500</v>
      </c>
      <c r="Y356" s="543">
        <f>IFERROR(SUM(Y353:Y354),"0")</f>
        <v>510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1500</v>
      </c>
      <c r="Y378" s="542">
        <f>IFERROR(IF(X378="",0,CEILING((X378/$H378),1)*$H378),"")</f>
        <v>1503</v>
      </c>
      <c r="Z378" s="36">
        <f>IFERROR(IF(Y378=0,"",ROUNDUP(Y378/H378,0)*0.01898),"")</f>
        <v>3.1696599999999999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1582.3333333333333</v>
      </c>
      <c r="BN378" s="64">
        <f>IFERROR(Y378*I378/H378,"0")</f>
        <v>1585.498</v>
      </c>
      <c r="BO378" s="64">
        <f>IFERROR(1/J378*(X378/H378),"0")</f>
        <v>2.6041666666666665</v>
      </c>
      <c r="BP378" s="64">
        <f>IFERROR(1/J378*(Y378/H378),"0")</f>
        <v>2.609375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120</v>
      </c>
      <c r="Y379" s="542">
        <f>IFERROR(IF(X379="",0,CEILING((X379/$H379),1)*$H379),"")</f>
        <v>120</v>
      </c>
      <c r="Z379" s="36">
        <f>IFERROR(IF(Y379=0,"",ROUNDUP(Y379/H379,0)*0.00651),"")</f>
        <v>0.32550000000000001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133.20000000000002</v>
      </c>
      <c r="BN379" s="64">
        <f>IFERROR(Y379*I379/H379,"0")</f>
        <v>133.20000000000002</v>
      </c>
      <c r="BO379" s="64">
        <f>IFERROR(1/J379*(X379/H379),"0")</f>
        <v>0.27472527472527475</v>
      </c>
      <c r="BP379" s="64">
        <f>IFERROR(1/J379*(Y379/H379),"0")</f>
        <v>0.27472527472527475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216.66666666666666</v>
      </c>
      <c r="Y380" s="543">
        <f>IFERROR(Y378/H378,"0")+IFERROR(Y379/H379,"0")</f>
        <v>217</v>
      </c>
      <c r="Z380" s="543">
        <f>IFERROR(IF(Z378="",0,Z378),"0")+IFERROR(IF(Z379="",0,Z379),"0")</f>
        <v>3.4951599999999998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1620</v>
      </c>
      <c r="Y381" s="543">
        <f>IFERROR(SUM(Y378:Y379),"0")</f>
        <v>1623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150</v>
      </c>
      <c r="Y421" s="542">
        <f t="shared" ref="Y421:Y431" si="42">IFERROR(IF(X421="",0,CEILING((X421/$H421),1)*$H421),"")</f>
        <v>153.12</v>
      </c>
      <c r="Z421" s="36">
        <f t="shared" ref="Z421:Z426" si="43">IFERROR(IF(Y421=0,"",ROUNDUP(Y421/H421,0)*0.01196),"")</f>
        <v>0.34683999999999998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159.94318181818181</v>
      </c>
      <c r="BN421" s="64">
        <f t="shared" ref="BN421:BN431" si="45">IFERROR(Y421*I421/H421,"0")</f>
        <v>163.26999999999998</v>
      </c>
      <c r="BO421" s="64">
        <f t="shared" ref="BO421:BO431" si="46">IFERROR(1/J421*(X421/H421),"0")</f>
        <v>0.27316433566433568</v>
      </c>
      <c r="BP421" s="64">
        <f t="shared" ref="BP421:BP431" si="47">IFERROR(1/J421*(Y421/H421),"0")</f>
        <v>0.27884615384615385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400</v>
      </c>
      <c r="Y422" s="542">
        <f t="shared" si="42"/>
        <v>401.28000000000003</v>
      </c>
      <c r="Z422" s="36">
        <f t="shared" si="43"/>
        <v>0.90895999999999999</v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426.5151515151515</v>
      </c>
      <c r="BN422" s="64">
        <f t="shared" si="45"/>
        <v>427.88</v>
      </c>
      <c r="BO422" s="64">
        <f t="shared" si="46"/>
        <v>0.72843822843822836</v>
      </c>
      <c r="BP422" s="64">
        <f t="shared" si="47"/>
        <v>0.73076923076923084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1000</v>
      </c>
      <c r="Y423" s="542">
        <f t="shared" si="42"/>
        <v>1003.2</v>
      </c>
      <c r="Z423" s="36">
        <f t="shared" si="43"/>
        <v>2.2724000000000002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1066.2878787878788</v>
      </c>
      <c r="BN423" s="64">
        <f t="shared" si="45"/>
        <v>1069.7</v>
      </c>
      <c r="BO423" s="64">
        <f t="shared" si="46"/>
        <v>1.821095571095571</v>
      </c>
      <c r="BP423" s="64">
        <f t="shared" si="47"/>
        <v>1.8269230769230771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1000</v>
      </c>
      <c r="Y426" s="542">
        <f t="shared" si="42"/>
        <v>1003.2</v>
      </c>
      <c r="Z426" s="36">
        <f t="shared" si="43"/>
        <v>2.2724000000000002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1066.2878787878788</v>
      </c>
      <c r="BN426" s="64">
        <f t="shared" si="45"/>
        <v>1069.7</v>
      </c>
      <c r="BO426" s="64">
        <f t="shared" si="46"/>
        <v>1.821095571095571</v>
      </c>
      <c r="BP426" s="64">
        <f t="shared" si="47"/>
        <v>1.8269230769230771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482.95454545454538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485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5.8006000000000002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2550</v>
      </c>
      <c r="Y433" s="543">
        <f>IFERROR(SUM(Y421:Y431),"0")</f>
        <v>2560.8000000000002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1000</v>
      </c>
      <c r="Y435" s="542">
        <f>IFERROR(IF(X435="",0,CEILING((X435/$H435),1)*$H435),"")</f>
        <v>1003.2</v>
      </c>
      <c r="Z435" s="36">
        <f>IFERROR(IF(Y435=0,"",ROUNDUP(Y435/H435,0)*0.01196),"")</f>
        <v>2.2724000000000002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1066.2878787878788</v>
      </c>
      <c r="BN435" s="64">
        <f>IFERROR(Y435*I435/H435,"0")</f>
        <v>1069.7</v>
      </c>
      <c r="BO435" s="64">
        <f>IFERROR(1/J435*(X435/H435),"0")</f>
        <v>1.821095571095571</v>
      </c>
      <c r="BP435" s="64">
        <f>IFERROR(1/J435*(Y435/H435),"0")</f>
        <v>1.8269230769230771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189.39393939393938</v>
      </c>
      <c r="Y438" s="543">
        <f>IFERROR(Y435/H435,"0")+IFERROR(Y436/H436,"0")+IFERROR(Y437/H437,"0")</f>
        <v>190</v>
      </c>
      <c r="Z438" s="543">
        <f>IFERROR(IF(Z435="",0,Z435),"0")+IFERROR(IF(Z436="",0,Z436),"0")+IFERROR(IF(Z437="",0,Z437),"0")</f>
        <v>2.2724000000000002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1000</v>
      </c>
      <c r="Y439" s="543">
        <f>IFERROR(SUM(Y435:Y437),"0")</f>
        <v>1003.2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500</v>
      </c>
      <c r="Y441" s="542">
        <f t="shared" ref="Y441:Y446" si="48">IFERROR(IF(X441="",0,CEILING((X441/$H441),1)*$H441),"")</f>
        <v>501.6</v>
      </c>
      <c r="Z441" s="36">
        <f>IFERROR(IF(Y441=0,"",ROUNDUP(Y441/H441,0)*0.01196),"")</f>
        <v>1.1362000000000001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533.14393939393938</v>
      </c>
      <c r="BN441" s="64">
        <f t="shared" ref="BN441:BN446" si="50">IFERROR(Y441*I441/H441,"0")</f>
        <v>534.85</v>
      </c>
      <c r="BO441" s="64">
        <f t="shared" ref="BO441:BO446" si="51">IFERROR(1/J441*(X441/H441),"0")</f>
        <v>0.91054778554778548</v>
      </c>
      <c r="BP441" s="64">
        <f t="shared" ref="BP441:BP446" si="52">IFERROR(1/J441*(Y441/H441),"0")</f>
        <v>0.91346153846153855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200</v>
      </c>
      <c r="Y442" s="542">
        <f t="shared" si="48"/>
        <v>200.64000000000001</v>
      </c>
      <c r="Z442" s="36">
        <f>IFERROR(IF(Y442=0,"",ROUNDUP(Y442/H442,0)*0.01196),"")</f>
        <v>0.45448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213.25757575757575</v>
      </c>
      <c r="BN442" s="64">
        <f t="shared" si="50"/>
        <v>213.94</v>
      </c>
      <c r="BO442" s="64">
        <f t="shared" si="51"/>
        <v>0.36421911421911418</v>
      </c>
      <c r="BP442" s="64">
        <f t="shared" si="52"/>
        <v>0.36538461538461542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800</v>
      </c>
      <c r="Y443" s="542">
        <f t="shared" si="48"/>
        <v>802.56000000000006</v>
      </c>
      <c r="Z443" s="36">
        <f>IFERROR(IF(Y443=0,"",ROUNDUP(Y443/H443,0)*0.01196),"")</f>
        <v>1.81792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853.030303030303</v>
      </c>
      <c r="BN443" s="64">
        <f t="shared" si="50"/>
        <v>855.76</v>
      </c>
      <c r="BO443" s="64">
        <f t="shared" si="51"/>
        <v>1.4568764568764567</v>
      </c>
      <c r="BP443" s="64">
        <f t="shared" si="52"/>
        <v>1.4615384615384617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284.09090909090907</v>
      </c>
      <c r="Y447" s="543">
        <f>IFERROR(Y441/H441,"0")+IFERROR(Y442/H442,"0")+IFERROR(Y443/H443,"0")+IFERROR(Y444/H444,"0")+IFERROR(Y445/H445,"0")+IFERROR(Y446/H446,"0")</f>
        <v>285</v>
      </c>
      <c r="Z447" s="543">
        <f>IFERROR(IF(Z441="",0,Z441),"0")+IFERROR(IF(Z442="",0,Z442),"0")+IFERROR(IF(Z443="",0,Z443),"0")+IFERROR(IF(Z444="",0,Z444),"0")+IFERROR(IF(Z445="",0,Z445),"0")+IFERROR(IF(Z446="",0,Z446),"0")</f>
        <v>3.4085999999999999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1500</v>
      </c>
      <c r="Y448" s="543">
        <f>IFERROR(SUM(Y441:Y446),"0")</f>
        <v>1504.8000000000002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250</v>
      </c>
      <c r="Y476" s="542">
        <f>IFERROR(IF(X476="",0,CEILING((X476/$H476),1)*$H476),"")</f>
        <v>252</v>
      </c>
      <c r="Z476" s="36">
        <f>IFERROR(IF(Y476=0,"",ROUNDUP(Y476/H476,0)*0.01898),"")</f>
        <v>0.53144000000000002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263.72222222222223</v>
      </c>
      <c r="BN476" s="64">
        <f>IFERROR(Y476*I476/H476,"0")</f>
        <v>265.83199999999999</v>
      </c>
      <c r="BO476" s="64">
        <f>IFERROR(1/J476*(X476/H476),"0")</f>
        <v>0.43402777777777779</v>
      </c>
      <c r="BP476" s="64">
        <f>IFERROR(1/J476*(Y476/H476),"0")</f>
        <v>0.4375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27.777777777777779</v>
      </c>
      <c r="Y477" s="543">
        <f>IFERROR(Y476/H476,"0")</f>
        <v>28</v>
      </c>
      <c r="Z477" s="543">
        <f>IFERROR(IF(Z476="",0,Z476),"0")</f>
        <v>0.53144000000000002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250</v>
      </c>
      <c r="Y478" s="543">
        <f>IFERROR(SUM(Y476:Y476),"0")</f>
        <v>252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14170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14270.7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14982.147842959508</v>
      </c>
      <c r="Y490" s="543">
        <f>IFERROR(SUM(BN22:BN486),"0")</f>
        <v>15087.668000000001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25</v>
      </c>
      <c r="Y491" s="38">
        <f>ROUNDUP(SUM(BP22:BP486),0)</f>
        <v>25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15607.147842959508</v>
      </c>
      <c r="Y492" s="543">
        <f>GrossWeightTotalR+PalletQtyTotalR*25</f>
        <v>15712.668000000001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2250.0053958387293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2262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29.35839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604.80000000000007</v>
      </c>
      <c r="E499" s="46">
        <f>IFERROR(Y85*1,"0")+IFERROR(Y86*1,"0")+IFERROR(Y87*1,"0")+IFERROR(Y91*1,"0")+IFERROR(Y92*1,"0")+IFERROR(Y93*1,"0")+IFERROR(Y94*1,"0")</f>
        <v>1520.1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1161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182.39999999999998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405.59999999999997</v>
      </c>
      <c r="R499" s="46">
        <f>IFERROR(Y335*1,"0")+IFERROR(Y336*1,"0")+IFERROR(Y337*1,"0")</f>
        <v>315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3030</v>
      </c>
      <c r="T499" s="46">
        <f>IFERROR(Y368*1,"0")+IFERROR(Y369*1,"0")+IFERROR(Y373*1,"0")+IFERROR(Y374*1,"0")+IFERROR(Y378*1,"0")+IFERROR(Y379*1,"0")</f>
        <v>1623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5068.8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252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2025-11-17T06:54:22Z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