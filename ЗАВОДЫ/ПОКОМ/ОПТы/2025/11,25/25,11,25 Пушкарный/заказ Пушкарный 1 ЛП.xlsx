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6C65CA0A-B93F-4FD3-B755-694F623CD72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O499" i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1" i="1"/>
  <c r="Y380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Q499" i="1" s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Y204" i="1" s="1"/>
  <c r="P195" i="1"/>
  <c r="X193" i="1"/>
  <c r="X192" i="1"/>
  <c r="BO191" i="1"/>
  <c r="BM191" i="1"/>
  <c r="Y191" i="1"/>
  <c r="BP191" i="1" s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J499" i="1" s="1"/>
  <c r="P185" i="1"/>
  <c r="X182" i="1"/>
  <c r="X181" i="1"/>
  <c r="BO180" i="1"/>
  <c r="BM180" i="1"/>
  <c r="Y180" i="1"/>
  <c r="Y181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77" i="1" s="1"/>
  <c r="P174" i="1"/>
  <c r="X172" i="1"/>
  <c r="X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P162" i="1"/>
  <c r="BO161" i="1"/>
  <c r="BM161" i="1"/>
  <c r="Y161" i="1"/>
  <c r="Y171" i="1" s="1"/>
  <c r="P161" i="1"/>
  <c r="X159" i="1"/>
  <c r="X158" i="1"/>
  <c r="BO157" i="1"/>
  <c r="BM157" i="1"/>
  <c r="Y157" i="1"/>
  <c r="I499" i="1" s="1"/>
  <c r="P157" i="1"/>
  <c r="X153" i="1"/>
  <c r="X152" i="1"/>
  <c r="BO151" i="1"/>
  <c r="BM151" i="1"/>
  <c r="Y151" i="1"/>
  <c r="Y152" i="1" s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BP146" i="1" s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H499" i="1" s="1"/>
  <c r="P140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09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F4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499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J9" i="1"/>
  <c r="F10" i="1"/>
  <c r="Y31" i="1"/>
  <c r="Y493" i="1" s="1"/>
  <c r="Y43" i="1"/>
  <c r="Y58" i="1"/>
  <c r="Y64" i="1"/>
  <c r="Y70" i="1"/>
  <c r="Y76" i="1"/>
  <c r="Y82" i="1"/>
  <c r="Y89" i="1"/>
  <c r="Y95" i="1"/>
  <c r="Y104" i="1"/>
  <c r="Y110" i="1"/>
  <c r="Y116" i="1"/>
  <c r="Y127" i="1"/>
  <c r="Y131" i="1"/>
  <c r="Y137" i="1"/>
  <c r="Y142" i="1"/>
  <c r="Y148" i="1"/>
  <c r="Y153" i="1"/>
  <c r="Y159" i="1"/>
  <c r="Y172" i="1"/>
  <c r="Y178" i="1"/>
  <c r="Y182" i="1"/>
  <c r="Y187" i="1"/>
  <c r="Y193" i="1"/>
  <c r="Y203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Z318" i="1"/>
  <c r="BP316" i="1"/>
  <c r="BN316" i="1"/>
  <c r="Z316" i="1"/>
  <c r="Y318" i="1"/>
  <c r="BP386" i="1"/>
  <c r="BN386" i="1"/>
  <c r="Z386" i="1"/>
  <c r="Z394" i="1" s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Y411" i="1"/>
  <c r="BP422" i="1"/>
  <c r="BN422" i="1"/>
  <c r="Z422" i="1"/>
  <c r="Y433" i="1"/>
  <c r="H9" i="1"/>
  <c r="B499" i="1"/>
  <c r="X490" i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D499" i="1"/>
  <c r="Z52" i="1"/>
  <c r="Z57" i="1" s="1"/>
  <c r="BN52" i="1"/>
  <c r="Z54" i="1"/>
  <c r="BN54" i="1"/>
  <c r="Z56" i="1"/>
  <c r="BN56" i="1"/>
  <c r="Y57" i="1"/>
  <c r="Z60" i="1"/>
  <c r="BN60" i="1"/>
  <c r="BP60" i="1"/>
  <c r="Y491" i="1" s="1"/>
  <c r="Z62" i="1"/>
  <c r="BN62" i="1"/>
  <c r="Z66" i="1"/>
  <c r="Z69" i="1" s="1"/>
  <c r="BN66" i="1"/>
  <c r="BP66" i="1"/>
  <c r="Z68" i="1"/>
  <c r="BN68" i="1"/>
  <c r="Z72" i="1"/>
  <c r="BN72" i="1"/>
  <c r="BP72" i="1"/>
  <c r="Z74" i="1"/>
  <c r="BN74" i="1"/>
  <c r="Z80" i="1"/>
  <c r="Z81" i="1" s="1"/>
  <c r="BN80" i="1"/>
  <c r="Z85" i="1"/>
  <c r="Z88" i="1" s="1"/>
  <c r="BN85" i="1"/>
  <c r="BP85" i="1"/>
  <c r="Z87" i="1"/>
  <c r="BN87" i="1"/>
  <c r="Y88" i="1"/>
  <c r="Z91" i="1"/>
  <c r="Z95" i="1" s="1"/>
  <c r="BN91" i="1"/>
  <c r="BP91" i="1"/>
  <c r="Z93" i="1"/>
  <c r="BN93" i="1"/>
  <c r="Z100" i="1"/>
  <c r="Z103" i="1" s="1"/>
  <c r="BN100" i="1"/>
  <c r="Z102" i="1"/>
  <c r="BN102" i="1"/>
  <c r="Y103" i="1"/>
  <c r="Z106" i="1"/>
  <c r="Z109" i="1" s="1"/>
  <c r="BN106" i="1"/>
  <c r="BP106" i="1"/>
  <c r="Z108" i="1"/>
  <c r="BN108" i="1"/>
  <c r="Z112" i="1"/>
  <c r="BN112" i="1"/>
  <c r="BP112" i="1"/>
  <c r="Z114" i="1"/>
  <c r="BN114" i="1"/>
  <c r="G499" i="1"/>
  <c r="Z125" i="1"/>
  <c r="Z126" i="1" s="1"/>
  <c r="BN125" i="1"/>
  <c r="Y126" i="1"/>
  <c r="Z129" i="1"/>
  <c r="Z131" i="1" s="1"/>
  <c r="BN129" i="1"/>
  <c r="BP129" i="1"/>
  <c r="Z135" i="1"/>
  <c r="Z136" i="1" s="1"/>
  <c r="BN135" i="1"/>
  <c r="Z140" i="1"/>
  <c r="Z142" i="1" s="1"/>
  <c r="BN140" i="1"/>
  <c r="BP140" i="1"/>
  <c r="Y143" i="1"/>
  <c r="Z146" i="1"/>
  <c r="Z148" i="1" s="1"/>
  <c r="BN146" i="1"/>
  <c r="Z151" i="1"/>
  <c r="Z152" i="1" s="1"/>
  <c r="BN151" i="1"/>
  <c r="BP151" i="1"/>
  <c r="Z157" i="1"/>
  <c r="Z158" i="1" s="1"/>
  <c r="BN157" i="1"/>
  <c r="BP157" i="1"/>
  <c r="Y158" i="1"/>
  <c r="Z161" i="1"/>
  <c r="Z171" i="1" s="1"/>
  <c r="BN161" i="1"/>
  <c r="BP161" i="1"/>
  <c r="Z163" i="1"/>
  <c r="BN163" i="1"/>
  <c r="Z166" i="1"/>
  <c r="BN166" i="1"/>
  <c r="Z168" i="1"/>
  <c r="BN168" i="1"/>
  <c r="Z170" i="1"/>
  <c r="BN170" i="1"/>
  <c r="Z174" i="1"/>
  <c r="BN174" i="1"/>
  <c r="BP174" i="1"/>
  <c r="Z176" i="1"/>
  <c r="BN176" i="1"/>
  <c r="Z180" i="1"/>
  <c r="Z181" i="1" s="1"/>
  <c r="BN180" i="1"/>
  <c r="BP180" i="1"/>
  <c r="Z185" i="1"/>
  <c r="Z187" i="1" s="1"/>
  <c r="BN185" i="1"/>
  <c r="BP185" i="1"/>
  <c r="Y188" i="1"/>
  <c r="Z191" i="1"/>
  <c r="Z192" i="1" s="1"/>
  <c r="BN191" i="1"/>
  <c r="Z195" i="1"/>
  <c r="BN195" i="1"/>
  <c r="BP195" i="1"/>
  <c r="Z197" i="1"/>
  <c r="BN197" i="1"/>
  <c r="Z199" i="1"/>
  <c r="BN199" i="1"/>
  <c r="Z201" i="1"/>
  <c r="BN201" i="1"/>
  <c r="Y216" i="1"/>
  <c r="Z207" i="1"/>
  <c r="Z215" i="1" s="1"/>
  <c r="BN207" i="1"/>
  <c r="Z209" i="1"/>
  <c r="BN209" i="1"/>
  <c r="BP213" i="1"/>
  <c r="BN213" i="1"/>
  <c r="Z213" i="1"/>
  <c r="Y220" i="1"/>
  <c r="BP226" i="1"/>
  <c r="BN226" i="1"/>
  <c r="Z226" i="1"/>
  <c r="BP230" i="1"/>
  <c r="BN230" i="1"/>
  <c r="Z230" i="1"/>
  <c r="Y234" i="1"/>
  <c r="Z25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BP273" i="1"/>
  <c r="BN273" i="1"/>
  <c r="Z273" i="1"/>
  <c r="Y275" i="1"/>
  <c r="P499" i="1"/>
  <c r="Y281" i="1"/>
  <c r="BP278" i="1"/>
  <c r="BN278" i="1"/>
  <c r="Z278" i="1"/>
  <c r="Z280" i="1" s="1"/>
  <c r="Y280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Y350" i="1"/>
  <c r="BP343" i="1"/>
  <c r="BN343" i="1"/>
  <c r="Z343" i="1"/>
  <c r="S499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499" i="1"/>
  <c r="Y371" i="1"/>
  <c r="BP368" i="1"/>
  <c r="BN368" i="1"/>
  <c r="Z368" i="1"/>
  <c r="Z370" i="1" s="1"/>
  <c r="Y370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L499" i="1"/>
  <c r="Y260" i="1"/>
  <c r="M499" i="1"/>
  <c r="Y267" i="1"/>
  <c r="BP266" i="1"/>
  <c r="BN266" i="1"/>
  <c r="Z266" i="1"/>
  <c r="Z267" i="1" s="1"/>
  <c r="Y268" i="1"/>
  <c r="Y274" i="1"/>
  <c r="BP271" i="1"/>
  <c r="BN271" i="1"/>
  <c r="Z271" i="1"/>
  <c r="Z274" i="1" s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Z305" i="1" s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499" i="1"/>
  <c r="Y338" i="1"/>
  <c r="BP335" i="1"/>
  <c r="BN335" i="1"/>
  <c r="Z335" i="1"/>
  <c r="Z338" i="1" s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74" i="1"/>
  <c r="BN374" i="1"/>
  <c r="Z374" i="1"/>
  <c r="Z375" i="1" s="1"/>
  <c r="Y376" i="1"/>
  <c r="Y381" i="1"/>
  <c r="BP378" i="1"/>
  <c r="BN378" i="1"/>
  <c r="Z378" i="1"/>
  <c r="Z380" i="1" s="1"/>
  <c r="U499" i="1"/>
  <c r="BP388" i="1"/>
  <c r="BN388" i="1"/>
  <c r="Z388" i="1"/>
  <c r="BP392" i="1"/>
  <c r="BN392" i="1"/>
  <c r="Z392" i="1"/>
  <c r="Y399" i="1"/>
  <c r="BP409" i="1"/>
  <c r="BN409" i="1"/>
  <c r="Z409" i="1"/>
  <c r="BP427" i="1"/>
  <c r="BN427" i="1"/>
  <c r="Z427" i="1"/>
  <c r="BP431" i="1"/>
  <c r="BN431" i="1"/>
  <c r="Z431" i="1"/>
  <c r="Y438" i="1"/>
  <c r="BP435" i="1"/>
  <c r="BN435" i="1"/>
  <c r="Z435" i="1"/>
  <c r="Z438" i="1" s="1"/>
  <c r="Y439" i="1"/>
  <c r="BP443" i="1"/>
  <c r="BN443" i="1"/>
  <c r="Z443" i="1"/>
  <c r="Y447" i="1"/>
  <c r="Z453" i="1"/>
  <c r="BP451" i="1"/>
  <c r="BN451" i="1"/>
  <c r="Z451" i="1"/>
  <c r="Y453" i="1"/>
  <c r="Y295" i="1"/>
  <c r="Y395" i="1"/>
  <c r="X499" i="1"/>
  <c r="Y432" i="1"/>
  <c r="BP423" i="1"/>
  <c r="BN423" i="1"/>
  <c r="BP425" i="1"/>
  <c r="BN425" i="1"/>
  <c r="Z425" i="1"/>
  <c r="Z432" i="1" s="1"/>
  <c r="BP429" i="1"/>
  <c r="BN429" i="1"/>
  <c r="Z429" i="1"/>
  <c r="BP437" i="1"/>
  <c r="BN437" i="1"/>
  <c r="Z437" i="1"/>
  <c r="Y448" i="1"/>
  <c r="BP441" i="1"/>
  <c r="BN441" i="1"/>
  <c r="Z441" i="1"/>
  <c r="BP445" i="1"/>
  <c r="BN445" i="1"/>
  <c r="Z445" i="1"/>
  <c r="Y454" i="1"/>
  <c r="BP459" i="1"/>
  <c r="BN459" i="1"/>
  <c r="Z459" i="1"/>
  <c r="Z462" i="1" s="1"/>
  <c r="BP467" i="1"/>
  <c r="BN467" i="1"/>
  <c r="Z467" i="1"/>
  <c r="Y474" i="1"/>
  <c r="BP471" i="1"/>
  <c r="BN471" i="1"/>
  <c r="Z471" i="1"/>
  <c r="Z473" i="1" s="1"/>
  <c r="Y482" i="1"/>
  <c r="Y499" i="1"/>
  <c r="Y492" i="1" l="1"/>
  <c r="Z447" i="1"/>
  <c r="Z350" i="1"/>
  <c r="Z203" i="1"/>
  <c r="Z177" i="1"/>
  <c r="Z116" i="1"/>
  <c r="Z76" i="1"/>
  <c r="Z63" i="1"/>
  <c r="Z494" i="1" s="1"/>
  <c r="X492" i="1"/>
  <c r="Z468" i="1"/>
  <c r="Z331" i="1"/>
  <c r="Y489" i="1"/>
  <c r="Z411" i="1"/>
  <c r="Z312" i="1"/>
  <c r="Z234" i="1"/>
</calcChain>
</file>

<file path=xl/sharedStrings.xml><?xml version="1.0" encoding="utf-8"?>
<sst xmlns="http://schemas.openxmlformats.org/spreadsheetml/2006/main" count="2337" uniqueCount="763">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</sst>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9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3" t="s">
        <v>0</v>
      </c>
      <c r="E1" s="573"/>
      <c r="F1" s="573"/>
      <c r="G1" s="12" t="s">
        <v>1</v>
      </c>
      <c r="H1" s="613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2" t="s">
        <v>8</v>
      </c>
      <c r="B5" s="628"/>
      <c r="C5" s="629"/>
      <c r="D5" s="616"/>
      <c r="E5" s="617"/>
      <c r="F5" s="825" t="s">
        <v>9</v>
      </c>
      <c r="G5" s="629"/>
      <c r="H5" s="616"/>
      <c r="I5" s="763"/>
      <c r="J5" s="763"/>
      <c r="K5" s="763"/>
      <c r="L5" s="763"/>
      <c r="M5" s="617"/>
      <c r="N5" s="58"/>
      <c r="P5" s="24" t="s">
        <v>10</v>
      </c>
      <c r="Q5" s="839">
        <v>45988</v>
      </c>
      <c r="R5" s="651"/>
      <c r="T5" s="699" t="s">
        <v>11</v>
      </c>
      <c r="U5" s="700"/>
      <c r="V5" s="702" t="s">
        <v>12</v>
      </c>
      <c r="W5" s="651"/>
      <c r="AB5" s="51"/>
      <c r="AC5" s="51"/>
      <c r="AD5" s="51"/>
      <c r="AE5" s="51"/>
    </row>
    <row r="6" spans="1:32" s="535" customFormat="1" ht="24" customHeight="1" x14ac:dyDescent="0.2">
      <c r="A6" s="652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6" t="s">
        <v>16</v>
      </c>
      <c r="U6" s="700"/>
      <c r="V6" s="751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0"/>
      <c r="V7" s="752"/>
      <c r="W7" s="753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7" t="s">
        <v>19</v>
      </c>
      <c r="E8" s="608"/>
      <c r="F8" s="608"/>
      <c r="G8" s="608"/>
      <c r="H8" s="608"/>
      <c r="I8" s="608"/>
      <c r="J8" s="608"/>
      <c r="K8" s="608"/>
      <c r="L8" s="608"/>
      <c r="M8" s="609"/>
      <c r="N8" s="61"/>
      <c r="P8" s="24" t="s">
        <v>20</v>
      </c>
      <c r="Q8" s="660">
        <v>0.41666666666666669</v>
      </c>
      <c r="R8" s="599"/>
      <c r="T8" s="555"/>
      <c r="U8" s="700"/>
      <c r="V8" s="752"/>
      <c r="W8" s="753"/>
      <c r="AB8" s="51"/>
      <c r="AC8" s="51"/>
      <c r="AD8" s="51"/>
      <c r="AE8" s="51"/>
    </row>
    <row r="9" spans="1:32" s="535" customFormat="1" ht="39.950000000000003" customHeight="1" x14ac:dyDescent="0.2">
      <c r="A9" s="6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2"/>
      <c r="E9" s="561"/>
      <c r="F9" s="6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8"/>
      <c r="R9" s="649"/>
      <c r="T9" s="555"/>
      <c r="U9" s="700"/>
      <c r="V9" s="754"/>
      <c r="W9" s="75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2"/>
      <c r="E10" s="561"/>
      <c r="F10" s="6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90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3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0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3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3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3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9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1" t="s">
        <v>55</v>
      </c>
      <c r="AA17" s="742" t="s">
        <v>56</v>
      </c>
      <c r="AB17" s="742" t="s">
        <v>57</v>
      </c>
      <c r="AC17" s="742" t="s">
        <v>58</v>
      </c>
      <c r="AD17" s="742" t="s">
        <v>59</v>
      </c>
      <c r="AE17" s="820"/>
      <c r="AF17" s="821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2"/>
      <c r="AA18" s="743"/>
      <c r="AB18" s="743"/>
      <c r="AC18" s="743"/>
      <c r="AD18" s="822"/>
      <c r="AE18" s="823"/>
      <c r="AF18" s="824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99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8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20</v>
      </c>
      <c r="Y60" s="542">
        <f>IFERROR(IF(X60="",0,CEILING((X60/$H60),1)*$H60),"")</f>
        <v>21.6</v>
      </c>
      <c r="Z60" s="36">
        <f>IFERROR(IF(Y60=0,"",ROUNDUP(Y60/H60,0)*0.01898),"")</f>
        <v>3.7960000000000001E-2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20.75925925925926</v>
      </c>
      <c r="BN60" s="64">
        <f>IFERROR(Y60*I60/H60,"0")</f>
        <v>22.42</v>
      </c>
      <c r="BO60" s="64">
        <f>IFERROR(1/J60*(X60/H60),"0")</f>
        <v>2.8935185185185182E-2</v>
      </c>
      <c r="BP60" s="64">
        <f>IFERROR(1/J60*(Y60/H60),"0")</f>
        <v>3.125E-2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1.8518518518518516</v>
      </c>
      <c r="Y63" s="543">
        <f>IFERROR(Y60/H60,"0")+IFERROR(Y61/H61,"0")+IFERROR(Y62/H62,"0")</f>
        <v>2</v>
      </c>
      <c r="Z63" s="543">
        <f>IFERROR(IF(Z60="",0,Z60),"0")+IFERROR(IF(Z61="",0,Z61),"0")+IFERROR(IF(Z62="",0,Z62),"0")</f>
        <v>3.7960000000000001E-2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20</v>
      </c>
      <c r="Y64" s="543">
        <f>IFERROR(SUM(Y60:Y62),"0")</f>
        <v>21.6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15</v>
      </c>
      <c r="Y79" s="542">
        <f>IFERROR(IF(X79="",0,CEILING((X79/$H79),1)*$H79),"")</f>
        <v>15.6</v>
      </c>
      <c r="Z79" s="36">
        <f>IFERROR(IF(Y79=0,"",ROUNDUP(Y79/H79,0)*0.01898),"")</f>
        <v>3.7960000000000001E-2</v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15.78846153846154</v>
      </c>
      <c r="BN79" s="64">
        <f>IFERROR(Y79*I79/H79,"0")</f>
        <v>16.420000000000002</v>
      </c>
      <c r="BO79" s="64">
        <f>IFERROR(1/J79*(X79/H79),"0")</f>
        <v>3.0048076923076924E-2</v>
      </c>
      <c r="BP79" s="64">
        <f>IFERROR(1/J79*(Y79/H79),"0")</f>
        <v>3.125E-2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1.9230769230769231</v>
      </c>
      <c r="Y81" s="543">
        <f>IFERROR(Y79/H79,"0")+IFERROR(Y80/H80,"0")</f>
        <v>2</v>
      </c>
      <c r="Z81" s="543">
        <f>IFERROR(IF(Z79="",0,Z79),"0")+IFERROR(IF(Z80="",0,Z80),"0")</f>
        <v>3.7960000000000001E-2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15</v>
      </c>
      <c r="Y82" s="543">
        <f>IFERROR(SUM(Y79:Y80),"0")</f>
        <v>15.6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630</v>
      </c>
      <c r="Y99" s="542">
        <f>IFERROR(IF(X99="",0,CEILING((X99/$H99),1)*$H99),"")</f>
        <v>637.20000000000005</v>
      </c>
      <c r="Z99" s="36">
        <f>IFERROR(IF(Y99=0,"",ROUNDUP(Y99/H99,0)*0.01898),"")</f>
        <v>1.11982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653.91666666666663</v>
      </c>
      <c r="BN99" s="64">
        <f>IFERROR(Y99*I99/H99,"0")</f>
        <v>661.39</v>
      </c>
      <c r="BO99" s="64">
        <f>IFERROR(1/J99*(X99/H99),"0")</f>
        <v>0.91145833333333326</v>
      </c>
      <c r="BP99" s="64">
        <f>IFERROR(1/J99*(Y99/H99),"0")</f>
        <v>0.921875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58.333333333333329</v>
      </c>
      <c r="Y103" s="543">
        <f>IFERROR(Y99/H99,"0")+IFERROR(Y100/H100,"0")+IFERROR(Y101/H101,"0")+IFERROR(Y102/H102,"0")</f>
        <v>59</v>
      </c>
      <c r="Z103" s="543">
        <f>IFERROR(IF(Z99="",0,Z99),"0")+IFERROR(IF(Z100="",0,Z100),"0")+IFERROR(IF(Z101="",0,Z101),"0")+IFERROR(IF(Z102="",0,Z102),"0")</f>
        <v>1.11982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630</v>
      </c>
      <c r="Y104" s="543">
        <f>IFERROR(SUM(Y99:Y102),"0")</f>
        <v>637.20000000000005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8</v>
      </c>
      <c r="Y129" s="542">
        <f>IFERROR(IF(X129="",0,CEILING((X129/$H129),1)*$H129),"")</f>
        <v>8.3999999999999986</v>
      </c>
      <c r="Z129" s="36">
        <f>IFERROR(IF(Y129=0,"",ROUNDUP(Y129/H129,0)*0.00651),"")</f>
        <v>1.9529999999999999E-2</v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8.7657142857142869</v>
      </c>
      <c r="BN129" s="64">
        <f>IFERROR(Y129*I129/H129,"0")</f>
        <v>9.2039999999999988</v>
      </c>
      <c r="BO129" s="64">
        <f>IFERROR(1/J129*(X129/H129),"0")</f>
        <v>1.5698587127158558E-2</v>
      </c>
      <c r="BP129" s="64">
        <f>IFERROR(1/J129*(Y129/H129),"0")</f>
        <v>1.6483516483516484E-2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2.8571428571428572</v>
      </c>
      <c r="Y131" s="543">
        <f>IFERROR(Y129/H129,"0")+IFERROR(Y130/H130,"0")</f>
        <v>2.9999999999999996</v>
      </c>
      <c r="Z131" s="543">
        <f>IFERROR(IF(Z129="",0,Z129),"0")+IFERROR(IF(Z130="",0,Z130),"0")</f>
        <v>1.9529999999999999E-2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8</v>
      </c>
      <c r="Y132" s="543">
        <f>IFERROR(SUM(Y129:Y130),"0")</f>
        <v>8.3999999999999986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8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8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">
        <v>249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251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9" t="s">
        <v>252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8" t="s">
        <v>136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8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40</v>
      </c>
      <c r="Y163" s="542">
        <f t="shared" si="5"/>
        <v>42</v>
      </c>
      <c r="Z163" s="36">
        <f>IFERROR(IF(Y163=0,"",ROUNDUP(Y163/H163,0)*0.00902),"")</f>
        <v>9.0200000000000002E-2</v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41.809523809523803</v>
      </c>
      <c r="BN163" s="64">
        <f t="shared" si="7"/>
        <v>43.9</v>
      </c>
      <c r="BO163" s="64">
        <f t="shared" si="8"/>
        <v>7.2150072150072145E-2</v>
      </c>
      <c r="BP163" s="64">
        <f t="shared" si="9"/>
        <v>7.575757575757576E-2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270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9.5238095238095237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10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9.0200000000000002E-2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40</v>
      </c>
      <c r="Y172" s="543">
        <f>IFERROR(SUM(Y161:Y170),"0")</f>
        <v>42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8" t="s">
        <v>101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150</v>
      </c>
      <c r="Y195" s="542">
        <f t="shared" ref="Y195:Y202" si="10">IFERROR(IF(X195="",0,CEILING((X195/$H195),1)*$H195),"")</f>
        <v>151.20000000000002</v>
      </c>
      <c r="Z195" s="36">
        <f>IFERROR(IF(Y195=0,"",ROUNDUP(Y195/H195,0)*0.00902),"")</f>
        <v>0.25256000000000001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155.27777777777777</v>
      </c>
      <c r="BN195" s="64">
        <f t="shared" ref="BN195:BN202" si="12">IFERROR(Y195*I195/H195,"0")</f>
        <v>156.52000000000001</v>
      </c>
      <c r="BO195" s="64">
        <f t="shared" ref="BO195:BO202" si="13">IFERROR(1/J195*(X195/H195),"0")</f>
        <v>0.21043771043771042</v>
      </c>
      <c r="BP195" s="64">
        <f t="shared" ref="BP195:BP202" si="14">IFERROR(1/J195*(Y195/H195),"0")</f>
        <v>0.21212121212121213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20</v>
      </c>
      <c r="Y196" s="542">
        <f t="shared" si="10"/>
        <v>21.6</v>
      </c>
      <c r="Z196" s="36">
        <f>IFERROR(IF(Y196=0,"",ROUNDUP(Y196/H196,0)*0.00902),"")</f>
        <v>3.6080000000000001E-2</v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20.703703703703702</v>
      </c>
      <c r="BN196" s="64">
        <f t="shared" si="12"/>
        <v>22.36</v>
      </c>
      <c r="BO196" s="64">
        <f t="shared" si="13"/>
        <v>2.8058361391694722E-2</v>
      </c>
      <c r="BP196" s="64">
        <f t="shared" si="14"/>
        <v>3.0303030303030304E-2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150</v>
      </c>
      <c r="Y197" s="542">
        <f t="shared" si="10"/>
        <v>151.20000000000002</v>
      </c>
      <c r="Z197" s="36">
        <f>IFERROR(IF(Y197=0,"",ROUNDUP(Y197/H197,0)*0.00902),"")</f>
        <v>0.25256000000000001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155.27777777777777</v>
      </c>
      <c r="BN197" s="64">
        <f t="shared" si="12"/>
        <v>156.52000000000001</v>
      </c>
      <c r="BO197" s="64">
        <f t="shared" si="13"/>
        <v>0.21043771043771042</v>
      </c>
      <c r="BP197" s="64">
        <f t="shared" si="14"/>
        <v>0.21212121212121213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200</v>
      </c>
      <c r="Y198" s="542">
        <f t="shared" si="10"/>
        <v>205.20000000000002</v>
      </c>
      <c r="Z198" s="36">
        <f>IFERROR(IF(Y198=0,"",ROUNDUP(Y198/H198,0)*0.00902),"")</f>
        <v>0.34276000000000001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207.03703703703701</v>
      </c>
      <c r="BN198" s="64">
        <f t="shared" si="12"/>
        <v>212.42</v>
      </c>
      <c r="BO198" s="64">
        <f t="shared" si="13"/>
        <v>0.28058361391694725</v>
      </c>
      <c r="BP198" s="64">
        <f t="shared" si="14"/>
        <v>0.2878787878787879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96.296296296296291</v>
      </c>
      <c r="Y203" s="543">
        <f>IFERROR(Y195/H195,"0")+IFERROR(Y196/H196,"0")+IFERROR(Y197/H197,"0")+IFERROR(Y198/H198,"0")+IFERROR(Y199/H199,"0")+IFERROR(Y200/H200,"0")+IFERROR(Y201/H201,"0")+IFERROR(Y202/H202,"0")</f>
        <v>98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0.88396000000000008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520</v>
      </c>
      <c r="Y204" s="543">
        <f>IFERROR(SUM(Y195:Y202),"0")</f>
        <v>529.20000000000005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170</v>
      </c>
      <c r="Y208" s="542">
        <f t="shared" si="15"/>
        <v>174</v>
      </c>
      <c r="Z208" s="36">
        <f>IFERROR(IF(Y208=0,"",ROUNDUP(Y208/H208,0)*0.01898),"")</f>
        <v>0.37959999999999999</v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179.65287356321844</v>
      </c>
      <c r="BN208" s="64">
        <f t="shared" si="17"/>
        <v>183.88000000000002</v>
      </c>
      <c r="BO208" s="64">
        <f t="shared" si="18"/>
        <v>0.30531609195402304</v>
      </c>
      <c r="BP208" s="64">
        <f t="shared" si="19"/>
        <v>0.3125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96</v>
      </c>
      <c r="Y211" s="542">
        <f t="shared" si="15"/>
        <v>96</v>
      </c>
      <c r="Z211" s="36">
        <f t="shared" si="20"/>
        <v>0.26040000000000002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106.08000000000001</v>
      </c>
      <c r="BN211" s="64">
        <f t="shared" si="17"/>
        <v>106.08000000000001</v>
      </c>
      <c r="BO211" s="64">
        <f t="shared" si="18"/>
        <v>0.2197802197802198</v>
      </c>
      <c r="BP211" s="64">
        <f t="shared" si="19"/>
        <v>0.2197802197802198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55</v>
      </c>
      <c r="Y213" s="542">
        <f t="shared" si="15"/>
        <v>55.199999999999996</v>
      </c>
      <c r="Z213" s="36">
        <f t="shared" si="20"/>
        <v>0.14973</v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60.775000000000006</v>
      </c>
      <c r="BN213" s="64">
        <f t="shared" si="17"/>
        <v>60.996000000000002</v>
      </c>
      <c r="BO213" s="64">
        <f t="shared" si="18"/>
        <v>0.12591575091575094</v>
      </c>
      <c r="BP213" s="64">
        <f t="shared" si="19"/>
        <v>0.1263736263736264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48</v>
      </c>
      <c r="Y214" s="542">
        <f t="shared" si="15"/>
        <v>48</v>
      </c>
      <c r="Z214" s="36">
        <f t="shared" si="20"/>
        <v>0.13020000000000001</v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53.160000000000004</v>
      </c>
      <c r="BN214" s="64">
        <f t="shared" si="17"/>
        <v>53.160000000000004</v>
      </c>
      <c r="BO214" s="64">
        <f t="shared" si="18"/>
        <v>0.1098901098901099</v>
      </c>
      <c r="BP214" s="64">
        <f t="shared" si="19"/>
        <v>0.1098901098901099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102.45689655172414</v>
      </c>
      <c r="Y215" s="543">
        <f>IFERROR(Y206/H206,"0")+IFERROR(Y207/H207,"0")+IFERROR(Y208/H208,"0")+IFERROR(Y209/H209,"0")+IFERROR(Y210/H210,"0")+IFERROR(Y211/H211,"0")+IFERROR(Y212/H212,"0")+IFERROR(Y213/H213,"0")+IFERROR(Y214/H214,"0")</f>
        <v>103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0.91993000000000003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369</v>
      </c>
      <c r="Y216" s="543">
        <f>IFERROR(SUM(Y206:Y214),"0")</f>
        <v>373.2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12</v>
      </c>
      <c r="Y218" s="542">
        <f>IFERROR(IF(X218="",0,CEILING((X218/$H218),1)*$H218),"")</f>
        <v>12</v>
      </c>
      <c r="Z218" s="36">
        <f>IFERROR(IF(Y218=0,"",ROUNDUP(Y218/H218,0)*0.00651),"")</f>
        <v>3.2550000000000003E-2</v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13.260000000000002</v>
      </c>
      <c r="BN218" s="64">
        <f>IFERROR(Y218*I218/H218,"0")</f>
        <v>13.260000000000002</v>
      </c>
      <c r="BO218" s="64">
        <f>IFERROR(1/J218*(X218/H218),"0")</f>
        <v>2.7472527472527476E-2</v>
      </c>
      <c r="BP218" s="64">
        <f>IFERROR(1/J218*(Y218/H218),"0")</f>
        <v>2.7472527472527476E-2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5</v>
      </c>
      <c r="Y220" s="543">
        <f>IFERROR(Y218/H218,"0")+IFERROR(Y219/H219,"0")</f>
        <v>5</v>
      </c>
      <c r="Z220" s="543">
        <f>IFERROR(IF(Z218="",0,Z218),"0")+IFERROR(IF(Z219="",0,Z219),"0")</f>
        <v>3.2550000000000003E-2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12</v>
      </c>
      <c r="Y221" s="543">
        <f>IFERROR(SUM(Y218:Y219),"0")</f>
        <v>12</v>
      </c>
      <c r="Z221" s="37"/>
      <c r="AA221" s="544"/>
      <c r="AB221" s="544"/>
      <c r="AC221" s="544"/>
    </row>
    <row r="222" spans="1:68" ht="16.5" customHeight="1" x14ac:dyDescent="0.25">
      <c r="A222" s="559" t="s">
        <v>356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8" t="s">
        <v>101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382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386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398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8" t="s">
        <v>101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9" t="s">
        <v>414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8" t="s">
        <v>101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425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8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9" t="s">
        <v>434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8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5" t="s">
        <v>446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9" t="s">
        <v>448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8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449</v>
      </c>
      <c r="B289" s="54" t="s">
        <v>450</v>
      </c>
      <c r="C289" s="31">
        <v>4301012126</v>
      </c>
      <c r="D289" s="548">
        <v>4607091386004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461</v>
      </c>
      <c r="B293" s="54" t="s">
        <v>462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IFERROR(X289/H289,"0")+IFERROR(X290/H290,"0")+IFERROR(X291/H291,"0")+IFERROR(X292/H292,"0")+IFERROR(X293/H293,"0")+IFERROR(X294/H294,"0")</f>
        <v>0</v>
      </c>
      <c r="Y295" s="543">
        <f>IFERROR(Y289/H289,"0")+IFERROR(Y290/H290,"0")+IFERROR(Y291/H291,"0")+IFERROR(Y292/H292,"0")+IFERROR(Y293/H293,"0")+IFERROR(Y294/H294,"0")</f>
        <v>0</v>
      </c>
      <c r="Z295" s="543">
        <f>IFERROR(IF(Z289="",0,Z289),"0")+IFERROR(IF(Z290="",0,Z290),"0")+IFERROR(IF(Z291="",0,Z291),"0")+IFERROR(IF(Z292="",0,Z292),"0")+IFERROR(IF(Z293="",0,Z293),"0")+IFERROR(IF(Z294="",0,Z294),"0")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IFERROR(SUM(X289:X294),"0")</f>
        <v>0</v>
      </c>
      <c r="Y296" s="543">
        <f>IFERROR(SUM(Y289:Y294),"0")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20</v>
      </c>
      <c r="Y298" s="542">
        <f t="shared" ref="Y298:Y304" si="31">IFERROR(IF(X298="",0,CEILING((X298/$H298),1)*$H298),"")</f>
        <v>21</v>
      </c>
      <c r="Z298" s="36">
        <f>IFERROR(IF(Y298=0,"",ROUNDUP(Y298/H298,0)*0.00902),"")</f>
        <v>4.5100000000000001E-2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21.19047619047619</v>
      </c>
      <c r="BN298" s="64">
        <f t="shared" ref="BN298:BN304" si="33">IFERROR(Y298*I298/H298,"0")</f>
        <v>22.25</v>
      </c>
      <c r="BO298" s="64">
        <f t="shared" ref="BO298:BO304" si="34">IFERROR(1/J298*(X298/H298),"0")</f>
        <v>3.6075036075036072E-2</v>
      </c>
      <c r="BP298" s="64">
        <f t="shared" ref="BP298:BP304" si="35">IFERROR(1/J298*(Y298/H298),"0")</f>
        <v>3.787878787878788E-2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20</v>
      </c>
      <c r="Y299" s="542">
        <f t="shared" si="31"/>
        <v>21</v>
      </c>
      <c r="Z299" s="36">
        <f>IFERROR(IF(Y299=0,"",ROUNDUP(Y299/H299,0)*0.00902),"")</f>
        <v>4.5100000000000001E-2</v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21.19047619047619</v>
      </c>
      <c r="BN299" s="64">
        <f t="shared" si="33"/>
        <v>22.25</v>
      </c>
      <c r="BO299" s="64">
        <f t="shared" si="34"/>
        <v>3.6075036075036072E-2</v>
      </c>
      <c r="BP299" s="64">
        <f t="shared" si="35"/>
        <v>3.787878787878788E-2</v>
      </c>
    </row>
    <row r="300" spans="1:68" ht="27" customHeight="1" x14ac:dyDescent="0.25">
      <c r="A300" s="54" t="s">
        <v>472</v>
      </c>
      <c r="B300" s="54" t="s">
        <v>473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480</v>
      </c>
      <c r="B303" s="54" t="s">
        <v>481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482</v>
      </c>
      <c r="B304" s="54" t="s">
        <v>483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9.5238095238095237</v>
      </c>
      <c r="Y305" s="543">
        <f>IFERROR(Y298/H298,"0")+IFERROR(Y299/H299,"0")+IFERROR(Y300/H300,"0")+IFERROR(Y301/H301,"0")+IFERROR(Y302/H302,"0")+IFERROR(Y303/H303,"0")+IFERROR(Y304/H304,"0")</f>
        <v>10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9.0200000000000002E-2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40</v>
      </c>
      <c r="Y306" s="543">
        <f>IFERROR(SUM(Y298:Y304),"0")</f>
        <v>42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4400</v>
      </c>
      <c r="Y308" s="542">
        <f>IFERROR(IF(X308="",0,CEILING((X308/$H308),1)*$H308),"")</f>
        <v>4407</v>
      </c>
      <c r="Z308" s="36">
        <f>IFERROR(IF(Y308=0,"",ROUNDUP(Y308/H308,0)*0.01898),"")</f>
        <v>10.723700000000001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4675.2820512820517</v>
      </c>
      <c r="BN308" s="64">
        <f>IFERROR(Y308*I308/H308,"0")</f>
        <v>4682.72</v>
      </c>
      <c r="BO308" s="64">
        <f>IFERROR(1/J308*(X308/H308),"0")</f>
        <v>8.8141025641025639</v>
      </c>
      <c r="BP308" s="64">
        <f>IFERROR(1/J308*(Y308/H308),"0")</f>
        <v>8.828125</v>
      </c>
    </row>
    <row r="309" spans="1:68" ht="27" customHeight="1" x14ac:dyDescent="0.25">
      <c r="A309" s="54" t="s">
        <v>488</v>
      </c>
      <c r="B309" s="54" t="s">
        <v>489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564.10256410256409</v>
      </c>
      <c r="Y312" s="543">
        <f>IFERROR(Y308/H308,"0")+IFERROR(Y309/H309,"0")+IFERROR(Y310/H310,"0")+IFERROR(Y311/H311,"0")</f>
        <v>565</v>
      </c>
      <c r="Z312" s="543">
        <f>IFERROR(IF(Z308="",0,Z308),"0")+IFERROR(IF(Z309="",0,Z309),"0")+IFERROR(IF(Z310="",0,Z310),"0")+IFERROR(IF(Z311="",0,Z311),"0")</f>
        <v>10.723700000000001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4400</v>
      </c>
      <c r="Y313" s="543">
        <f>IFERROR(SUM(Y308:Y311),"0")</f>
        <v>4407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430</v>
      </c>
      <c r="Y316" s="542">
        <f>IFERROR(IF(X316="",0,CEILING((X316/$H316),1)*$H316),"")</f>
        <v>436.8</v>
      </c>
      <c r="Z316" s="36">
        <f>IFERROR(IF(Y316=0,"",ROUNDUP(Y316/H316,0)*0.01898),"")</f>
        <v>1.06288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457.23333333333335</v>
      </c>
      <c r="BN316" s="64">
        <f>IFERROR(Y316*I316/H316,"0")</f>
        <v>464.46400000000006</v>
      </c>
      <c r="BO316" s="64">
        <f>IFERROR(1/J316*(X316/H316),"0")</f>
        <v>0.86137820512820518</v>
      </c>
      <c r="BP316" s="64">
        <f>IFERROR(1/J316*(Y316/H316),"0")</f>
        <v>0.875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100</v>
      </c>
      <c r="Y317" s="542">
        <f>IFERROR(IF(X317="",0,CEILING((X317/$H317),1)*$H317),"")</f>
        <v>100.80000000000001</v>
      </c>
      <c r="Z317" s="36">
        <f>IFERROR(IF(Y317=0,"",ROUNDUP(Y317/H317,0)*0.01898),"")</f>
        <v>0.22776000000000002</v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105.88095238095238</v>
      </c>
      <c r="BN317" s="64">
        <f>IFERROR(Y317*I317/H317,"0")</f>
        <v>106.72800000000001</v>
      </c>
      <c r="BO317" s="64">
        <f>IFERROR(1/J317*(X317/H317),"0")</f>
        <v>0.18601190476190477</v>
      </c>
      <c r="BP317" s="64">
        <f>IFERROR(1/J317*(Y317/H317),"0")</f>
        <v>0.1875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67.032967032967036</v>
      </c>
      <c r="Y318" s="543">
        <f>IFERROR(Y315/H315,"0")+IFERROR(Y316/H316,"0")+IFERROR(Y317/H317,"0")</f>
        <v>68</v>
      </c>
      <c r="Z318" s="543">
        <f>IFERROR(IF(Z315="",0,Z315),"0")+IFERROR(IF(Z316="",0,Z316),"0")+IFERROR(IF(Z317="",0,Z317),"0")</f>
        <v>1.29064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530</v>
      </c>
      <c r="Y319" s="543">
        <f>IFERROR(SUM(Y315:Y317),"0")</f>
        <v>537.6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516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525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40</v>
      </c>
      <c r="Y335" s="542">
        <f>IFERROR(IF(X335="",0,CEILING((X335/$H335),1)*$H335),"")</f>
        <v>40.5</v>
      </c>
      <c r="Z335" s="36">
        <f>IFERROR(IF(Y335=0,"",ROUNDUP(Y335/H335,0)*0.01898),"")</f>
        <v>9.4899999999999998E-2</v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42.439506172839508</v>
      </c>
      <c r="BN335" s="64">
        <f>IFERROR(Y335*I335/H335,"0")</f>
        <v>42.97</v>
      </c>
      <c r="BO335" s="64">
        <f>IFERROR(1/J335*(X335/H335),"0")</f>
        <v>7.7160493827160503E-2</v>
      </c>
      <c r="BP335" s="64">
        <f>IFERROR(1/J335*(Y335/H335),"0")</f>
        <v>7.8125E-2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4.9382716049382722</v>
      </c>
      <c r="Y338" s="543">
        <f>IFERROR(Y335/H335,"0")+IFERROR(Y336/H336,"0")+IFERROR(Y337/H337,"0")</f>
        <v>5</v>
      </c>
      <c r="Z338" s="543">
        <f>IFERROR(IF(Z335="",0,Z335),"0")+IFERROR(IF(Z336="",0,Z336),"0")+IFERROR(IF(Z337="",0,Z337),"0")</f>
        <v>9.4899999999999998E-2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40</v>
      </c>
      <c r="Y339" s="543">
        <f>IFERROR(SUM(Y335:Y337),"0")</f>
        <v>40.5</v>
      </c>
      <c r="Z339" s="37"/>
      <c r="AA339" s="544"/>
      <c r="AB339" s="544"/>
      <c r="AC339" s="544"/>
    </row>
    <row r="340" spans="1:68" ht="27.75" customHeight="1" x14ac:dyDescent="0.2">
      <c r="A340" s="632" t="s">
        <v>535</v>
      </c>
      <c r="B340" s="633"/>
      <c r="C340" s="633"/>
      <c r="D340" s="633"/>
      <c r="E340" s="633"/>
      <c r="F340" s="633"/>
      <c r="G340" s="633"/>
      <c r="H340" s="633"/>
      <c r="I340" s="633"/>
      <c r="J340" s="633"/>
      <c r="K340" s="633"/>
      <c r="L340" s="633"/>
      <c r="M340" s="633"/>
      <c r="N340" s="633"/>
      <c r="O340" s="633"/>
      <c r="P340" s="633"/>
      <c r="Q340" s="633"/>
      <c r="R340" s="633"/>
      <c r="S340" s="633"/>
      <c r="T340" s="633"/>
      <c r="U340" s="633"/>
      <c r="V340" s="633"/>
      <c r="W340" s="633"/>
      <c r="X340" s="633"/>
      <c r="Y340" s="633"/>
      <c r="Z340" s="633"/>
      <c r="AA340" s="48"/>
      <c r="AB340" s="48"/>
      <c r="AC340" s="48"/>
    </row>
    <row r="341" spans="1:68" ht="16.5" customHeight="1" x14ac:dyDescent="0.25">
      <c r="A341" s="559" t="s">
        <v>536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101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1500</v>
      </c>
      <c r="Y343" s="542">
        <f t="shared" ref="Y343:Y349" si="36">IFERROR(IF(X343="",0,CEILING((X343/$H343),1)*$H343),"")</f>
        <v>1500</v>
      </c>
      <c r="Z343" s="36">
        <f>IFERROR(IF(Y343=0,"",ROUNDUP(Y343/H343,0)*0.02175),"")</f>
        <v>2.1749999999999998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1547</v>
      </c>
      <c r="BN343" s="64">
        <f t="shared" ref="BN343:BN349" si="38">IFERROR(Y343*I343/H343,"0")</f>
        <v>1547</v>
      </c>
      <c r="BO343" s="64">
        <f t="shared" ref="BO343:BO349" si="39">IFERROR(1/J343*(X343/H343),"0")</f>
        <v>2.083333333333333</v>
      </c>
      <c r="BP343" s="64">
        <f t="shared" ref="BP343:BP349" si="40">IFERROR(1/J343*(Y343/H343),"0")</f>
        <v>2.083333333333333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750</v>
      </c>
      <c r="Y344" s="542">
        <f t="shared" si="36"/>
        <v>750</v>
      </c>
      <c r="Z344" s="36">
        <f>IFERROR(IF(Y344=0,"",ROUNDUP(Y344/H344,0)*0.02175),"")</f>
        <v>1.0874999999999999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773.5</v>
      </c>
      <c r="BN344" s="64">
        <f t="shared" si="38"/>
        <v>773.5</v>
      </c>
      <c r="BO344" s="64">
        <f t="shared" si="39"/>
        <v>1.0416666666666665</v>
      </c>
      <c r="BP344" s="64">
        <f t="shared" si="40"/>
        <v>1.0416666666666665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7000</v>
      </c>
      <c r="Y346" s="542">
        <f t="shared" si="36"/>
        <v>7005</v>
      </c>
      <c r="Z346" s="36">
        <f>IFERROR(IF(Y346=0,"",ROUNDUP(Y346/H346,0)*0.02175),"")</f>
        <v>10.157249999999999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7219.333333333333</v>
      </c>
      <c r="BN346" s="64">
        <f t="shared" si="38"/>
        <v>7224.4900000000007</v>
      </c>
      <c r="BO346" s="64">
        <f t="shared" si="39"/>
        <v>9.7222222222222214</v>
      </c>
      <c r="BP346" s="64">
        <f t="shared" si="40"/>
        <v>9.7291666666666661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616.66666666666674</v>
      </c>
      <c r="Y350" s="543">
        <f>IFERROR(Y343/H343,"0")+IFERROR(Y344/H344,"0")+IFERROR(Y345/H345,"0")+IFERROR(Y346/H346,"0")+IFERROR(Y347/H347,"0")+IFERROR(Y348/H348,"0")+IFERROR(Y349/H349,"0")</f>
        <v>617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13.419749999999999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9250</v>
      </c>
      <c r="Y351" s="543">
        <f>IFERROR(SUM(Y343:Y349),"0")</f>
        <v>9255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750</v>
      </c>
      <c r="Y353" s="542">
        <f>IFERROR(IF(X353="",0,CEILING((X353/$H353),1)*$H353),"")</f>
        <v>750</v>
      </c>
      <c r="Z353" s="36">
        <f>IFERROR(IF(Y353=0,"",ROUNDUP(Y353/H353,0)*0.02175),"")</f>
        <v>1.0874999999999999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773.5</v>
      </c>
      <c r="BN353" s="64">
        <f>IFERROR(Y353*I353/H353,"0")</f>
        <v>773.5</v>
      </c>
      <c r="BO353" s="64">
        <f>IFERROR(1/J353*(X353/H353),"0")</f>
        <v>1.0416666666666665</v>
      </c>
      <c r="BP353" s="64">
        <f>IFERROR(1/J353*(Y353/H353),"0")</f>
        <v>1.0416666666666665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50</v>
      </c>
      <c r="Y355" s="543">
        <f>IFERROR(Y353/H353,"0")+IFERROR(Y354/H354,"0")</f>
        <v>50</v>
      </c>
      <c r="Z355" s="543">
        <f>IFERROR(IF(Z353="",0,Z353),"0")+IFERROR(IF(Z354="",0,Z354),"0")</f>
        <v>1.0874999999999999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750</v>
      </c>
      <c r="Y356" s="543">
        <f>IFERROR(SUM(Y353:Y354),"0")</f>
        <v>750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120</v>
      </c>
      <c r="Y358" s="542">
        <f>IFERROR(IF(X358="",0,CEILING((X358/$H358),1)*$H358),"")</f>
        <v>126</v>
      </c>
      <c r="Z358" s="36">
        <f>IFERROR(IF(Y358=0,"",ROUNDUP(Y358/H358,0)*0.01898),"")</f>
        <v>0.26572000000000001</v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126.66666666666667</v>
      </c>
      <c r="BN358" s="64">
        <f>IFERROR(Y358*I358/H358,"0")</f>
        <v>133</v>
      </c>
      <c r="BO358" s="64">
        <f>IFERROR(1/J358*(X358/H358),"0")</f>
        <v>0.20833333333333334</v>
      </c>
      <c r="BP358" s="64">
        <f>IFERROR(1/J358*(Y358/H358),"0")</f>
        <v>0.21875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200</v>
      </c>
      <c r="Y359" s="542">
        <f>IFERROR(IF(X359="",0,CEILING((X359/$H359),1)*$H359),"")</f>
        <v>207</v>
      </c>
      <c r="Z359" s="36">
        <f>IFERROR(IF(Y359=0,"",ROUNDUP(Y359/H359,0)*0.01898),"")</f>
        <v>0.43653999999999998</v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210.97777777777776</v>
      </c>
      <c r="BN359" s="64">
        <f>IFERROR(Y359*I359/H359,"0")</f>
        <v>218.36199999999999</v>
      </c>
      <c r="BO359" s="64">
        <f>IFERROR(1/J359*(X359/H359),"0")</f>
        <v>0.34722222222222221</v>
      </c>
      <c r="BP359" s="64">
        <f>IFERROR(1/J359*(Y359/H359),"0")</f>
        <v>0.359375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35.555555555555557</v>
      </c>
      <c r="Y360" s="543">
        <f>IFERROR(Y358/H358,"0")+IFERROR(Y359/H359,"0")</f>
        <v>37</v>
      </c>
      <c r="Z360" s="543">
        <f>IFERROR(IF(Z358="",0,Z358),"0")+IFERROR(IF(Z359="",0,Z359),"0")</f>
        <v>0.70226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320</v>
      </c>
      <c r="Y361" s="543">
        <f>IFERROR(SUM(Y358:Y359),"0")</f>
        <v>333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250</v>
      </c>
      <c r="Y363" s="542">
        <f>IFERROR(IF(X363="",0,CEILING((X363/$H363),1)*$H363),"")</f>
        <v>252</v>
      </c>
      <c r="Z363" s="36">
        <f>IFERROR(IF(Y363=0,"",ROUNDUP(Y363/H363,0)*0.01898),"")</f>
        <v>0.53144000000000002</v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263.72222222222223</v>
      </c>
      <c r="BN363" s="64">
        <f>IFERROR(Y363*I363/H363,"0")</f>
        <v>265.83199999999999</v>
      </c>
      <c r="BO363" s="64">
        <f>IFERROR(1/J363*(X363/H363),"0")</f>
        <v>0.43402777777777779</v>
      </c>
      <c r="BP363" s="64">
        <f>IFERROR(1/J363*(Y363/H363),"0")</f>
        <v>0.4375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27.777777777777779</v>
      </c>
      <c r="Y364" s="543">
        <f>IFERROR(Y363/H363,"0")</f>
        <v>28</v>
      </c>
      <c r="Z364" s="543">
        <f>IFERROR(IF(Z363="",0,Z363),"0")</f>
        <v>0.53144000000000002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250</v>
      </c>
      <c r="Y365" s="543">
        <f>IFERROR(SUM(Y363:Y363),"0")</f>
        <v>252</v>
      </c>
      <c r="Z365" s="37"/>
      <c r="AA365" s="544"/>
      <c r="AB365" s="544"/>
      <c r="AC365" s="544"/>
    </row>
    <row r="366" spans="1:68" ht="16.5" customHeight="1" x14ac:dyDescent="0.25">
      <c r="A366" s="559" t="s">
        <v>570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101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80</v>
      </c>
      <c r="Y378" s="542">
        <f>IFERROR(IF(X378="",0,CEILING((X378/$H378),1)*$H378),"")</f>
        <v>81</v>
      </c>
      <c r="Z378" s="36">
        <f>IFERROR(IF(Y378=0,"",ROUNDUP(Y378/H378,0)*0.01898),"")</f>
        <v>0.17082</v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84.391111111111115</v>
      </c>
      <c r="BN378" s="64">
        <f>IFERROR(Y378*I378/H378,"0")</f>
        <v>85.445999999999998</v>
      </c>
      <c r="BO378" s="64">
        <f>IFERROR(1/J378*(X378/H378),"0")</f>
        <v>0.1388888888888889</v>
      </c>
      <c r="BP378" s="64">
        <f>IFERROR(1/J378*(Y378/H378),"0")</f>
        <v>0.140625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8.8888888888888893</v>
      </c>
      <c r="Y380" s="543">
        <f>IFERROR(Y378/H378,"0")+IFERROR(Y379/H379,"0")</f>
        <v>9</v>
      </c>
      <c r="Z380" s="543">
        <f>IFERROR(IF(Z378="",0,Z378),"0")+IFERROR(IF(Z379="",0,Z379),"0")</f>
        <v>0.17082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80</v>
      </c>
      <c r="Y381" s="543">
        <f>IFERROR(SUM(Y378:Y379),"0")</f>
        <v>81</v>
      </c>
      <c r="Z381" s="37"/>
      <c r="AA381" s="544"/>
      <c r="AB381" s="544"/>
      <c r="AC381" s="544"/>
    </row>
    <row r="382" spans="1:68" ht="27.75" customHeight="1" x14ac:dyDescent="0.2">
      <c r="A382" s="632" t="s">
        <v>586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9" t="s">
        <v>587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40</v>
      </c>
      <c r="Y385" s="542">
        <f t="shared" ref="Y385:Y393" si="41">IFERROR(IF(X385="",0,CEILING((X385/$H385),1)*$H385),"")</f>
        <v>43.2</v>
      </c>
      <c r="Z385" s="36">
        <f>IFERROR(IF(Y385=0,"",ROUNDUP(Y385/H385,0)*0.00902),"")</f>
        <v>7.2160000000000002E-2</v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41.407407407407405</v>
      </c>
      <c r="BN385" s="64">
        <f t="shared" ref="BN385:BN393" si="43">IFERROR(Y385*I385/H385,"0")</f>
        <v>44.72</v>
      </c>
      <c r="BO385" s="64">
        <f t="shared" ref="BO385:BO393" si="44">IFERROR(1/J385*(X385/H385),"0")</f>
        <v>5.6116722783389444E-2</v>
      </c>
      <c r="BP385" s="64">
        <f t="shared" ref="BP385:BP393" si="45">IFERROR(1/J385*(Y385/H385),"0")</f>
        <v>6.0606060606060608E-2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100</v>
      </c>
      <c r="Y387" s="542">
        <f t="shared" si="41"/>
        <v>102.60000000000001</v>
      </c>
      <c r="Z387" s="36">
        <f>IFERROR(IF(Y387=0,"",ROUNDUP(Y387/H387,0)*0.00902),"")</f>
        <v>0.17138</v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103.5185185185185</v>
      </c>
      <c r="BN387" s="64">
        <f t="shared" si="43"/>
        <v>106.21</v>
      </c>
      <c r="BO387" s="64">
        <f t="shared" si="44"/>
        <v>0.14029180695847362</v>
      </c>
      <c r="BP387" s="64">
        <f t="shared" si="45"/>
        <v>0.14393939393939395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25.925925925925924</v>
      </c>
      <c r="Y394" s="543">
        <f>IFERROR(Y385/H385,"0")+IFERROR(Y386/H386,"0")+IFERROR(Y387/H387,"0")+IFERROR(Y388/H388,"0")+IFERROR(Y389/H389,"0")+IFERROR(Y390/H390,"0")+IFERROR(Y391/H391,"0")+IFERROR(Y392/H392,"0")+IFERROR(Y393/H393,"0")</f>
        <v>27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0.24354000000000001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140</v>
      </c>
      <c r="Y395" s="543">
        <f>IFERROR(SUM(Y385:Y393),"0")</f>
        <v>145.80000000000001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618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136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130</v>
      </c>
      <c r="Y407" s="542">
        <f>IFERROR(IF(X407="",0,CEILING((X407/$H407),1)*$H407),"")</f>
        <v>135</v>
      </c>
      <c r="Z407" s="36">
        <f>IFERROR(IF(Y407=0,"",ROUNDUP(Y407/H407,0)*0.00902),"")</f>
        <v>0.22550000000000001</v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134.57407407407405</v>
      </c>
      <c r="BN407" s="64">
        <f>IFERROR(Y407*I407/H407,"0")</f>
        <v>139.75</v>
      </c>
      <c r="BO407" s="64">
        <f>IFERROR(1/J407*(X407/H407),"0")</f>
        <v>0.18237934904601572</v>
      </c>
      <c r="BP407" s="64">
        <f>IFERROR(1/J407*(Y407/H407),"0")</f>
        <v>0.18939393939393939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24.074074074074073</v>
      </c>
      <c r="Y411" s="543">
        <f>IFERROR(Y407/H407,"0")+IFERROR(Y408/H408,"0")+IFERROR(Y409/H409,"0")+IFERROR(Y410/H410,"0")</f>
        <v>25</v>
      </c>
      <c r="Z411" s="543">
        <f>IFERROR(IF(Z407="",0,Z407),"0")+IFERROR(IF(Z408="",0,Z408),"0")+IFERROR(IF(Z409="",0,Z409),"0")+IFERROR(IF(Z410="",0,Z410),"0")</f>
        <v>0.22550000000000001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130</v>
      </c>
      <c r="Y412" s="543">
        <f>IFERROR(SUM(Y407:Y410),"0")</f>
        <v>135</v>
      </c>
      <c r="Z412" s="37"/>
      <c r="AA412" s="544"/>
      <c r="AB412" s="544"/>
      <c r="AC412" s="544"/>
    </row>
    <row r="413" spans="1:68" ht="16.5" customHeight="1" x14ac:dyDescent="0.25">
      <c r="A413" s="559" t="s">
        <v>633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637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9" t="s">
        <v>637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101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100</v>
      </c>
      <c r="Y422" s="542">
        <f t="shared" si="47"/>
        <v>100.32000000000001</v>
      </c>
      <c r="Z422" s="36">
        <f t="shared" si="48"/>
        <v>0.22724</v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106.62878787878788</v>
      </c>
      <c r="BN422" s="64">
        <f t="shared" si="50"/>
        <v>106.97</v>
      </c>
      <c r="BO422" s="64">
        <f t="shared" si="51"/>
        <v>0.18210955710955709</v>
      </c>
      <c r="BP422" s="64">
        <f t="shared" si="52"/>
        <v>0.18269230769230771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80</v>
      </c>
      <c r="Y426" s="542">
        <f t="shared" si="47"/>
        <v>84.48</v>
      </c>
      <c r="Z426" s="36">
        <f t="shared" si="48"/>
        <v>0.19136</v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85.303030303030297</v>
      </c>
      <c r="BN426" s="64">
        <f t="shared" si="50"/>
        <v>90.08</v>
      </c>
      <c r="BO426" s="64">
        <f t="shared" si="51"/>
        <v>0.14568764568764569</v>
      </c>
      <c r="BP426" s="64">
        <f t="shared" si="52"/>
        <v>0.15384615384615385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34.090909090909086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0.41859999999999997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180</v>
      </c>
      <c r="Y433" s="543">
        <f>IFERROR(SUM(Y421:Y431),"0")</f>
        <v>184.8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80</v>
      </c>
      <c r="Y435" s="542">
        <f>IFERROR(IF(X435="",0,CEILING((X435/$H435),1)*$H435),"")</f>
        <v>84.48</v>
      </c>
      <c r="Z435" s="36">
        <f>IFERROR(IF(Y435=0,"",ROUNDUP(Y435/H435,0)*0.01196),"")</f>
        <v>0.19136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85.303030303030297</v>
      </c>
      <c r="BN435" s="64">
        <f>IFERROR(Y435*I435/H435,"0")</f>
        <v>90.08</v>
      </c>
      <c r="BO435" s="64">
        <f>IFERROR(1/J435*(X435/H435),"0")</f>
        <v>0.14568764568764569</v>
      </c>
      <c r="BP435" s="64">
        <f>IFERROR(1/J435*(Y435/H435),"0")</f>
        <v>0.15384615384615385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15.15151515151515</v>
      </c>
      <c r="Y438" s="543">
        <f>IFERROR(Y435/H435,"0")+IFERROR(Y436/H436,"0")+IFERROR(Y437/H437,"0")</f>
        <v>16</v>
      </c>
      <c r="Z438" s="543">
        <f>IFERROR(IF(Z435="",0,Z435),"0")+IFERROR(IF(Z436="",0,Z436),"0")+IFERROR(IF(Z437="",0,Z437),"0")</f>
        <v>0.19136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80</v>
      </c>
      <c r="Y439" s="543">
        <f>IFERROR(SUM(Y435:Y437),"0")</f>
        <v>84.48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80</v>
      </c>
      <c r="Y441" s="542">
        <f t="shared" ref="Y441:Y446" si="53">IFERROR(IF(X441="",0,CEILING((X441/$H441),1)*$H441),"")</f>
        <v>84.48</v>
      </c>
      <c r="Z441" s="36">
        <f>IFERROR(IF(Y441=0,"",ROUNDUP(Y441/H441,0)*0.01196),"")</f>
        <v>0.19136</v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85.303030303030297</v>
      </c>
      <c r="BN441" s="64">
        <f t="shared" ref="BN441:BN446" si="55">IFERROR(Y441*I441/H441,"0")</f>
        <v>90.08</v>
      </c>
      <c r="BO441" s="64">
        <f t="shared" ref="BO441:BO446" si="56">IFERROR(1/J441*(X441/H441),"0")</f>
        <v>0.14568764568764569</v>
      </c>
      <c r="BP441" s="64">
        <f t="shared" ref="BP441:BP446" si="57">IFERROR(1/J441*(Y441/H441),"0")</f>
        <v>0.15384615384615385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15.15151515151515</v>
      </c>
      <c r="Y447" s="543">
        <f>IFERROR(Y441/H441,"0")+IFERROR(Y442/H442,"0")+IFERROR(Y443/H443,"0")+IFERROR(Y444/H444,"0")+IFERROR(Y445/H445,"0")+IFERROR(Y446/H446,"0")</f>
        <v>16</v>
      </c>
      <c r="Z447" s="543">
        <f>IFERROR(IF(Z441="",0,Z441),"0")+IFERROR(IF(Z442="",0,Z442),"0")+IFERROR(IF(Z443="",0,Z443),"0")+IFERROR(IF(Z444="",0,Z444),"0")+IFERROR(IF(Z445="",0,Z445),"0")+IFERROR(IF(Z446="",0,Z446),"0")</f>
        <v>0.19136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80</v>
      </c>
      <c r="Y448" s="543">
        <f>IFERROR(SUM(Y441:Y446),"0")</f>
        <v>84.48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697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9" t="s">
        <v>697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101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7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200</v>
      </c>
      <c r="Y460" s="542">
        <f>IFERROR(IF(X460="",0,CEILING((X460/$H460),1)*$H460),"")</f>
        <v>204</v>
      </c>
      <c r="Z460" s="36">
        <f>IFERROR(IF(Y460=0,"",ROUNDUP(Y460/H460,0)*0.01898),"")</f>
        <v>0.32266</v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206.83333333333334</v>
      </c>
      <c r="BN460" s="64">
        <f>IFERROR(Y460*I460/H460,"0")</f>
        <v>210.97</v>
      </c>
      <c r="BO460" s="64">
        <f>IFERROR(1/J460*(X460/H460),"0")</f>
        <v>0.26041666666666669</v>
      </c>
      <c r="BP460" s="64">
        <f>IFERROR(1/J460*(Y460/H460),"0")</f>
        <v>0.265625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16.666666666666668</v>
      </c>
      <c r="Y462" s="543">
        <f>IFERROR(Y458/H458,"0")+IFERROR(Y459/H459,"0")+IFERROR(Y460/H460,"0")+IFERROR(Y461/H461,"0")</f>
        <v>17</v>
      </c>
      <c r="Z462" s="543">
        <f>IFERROR(IF(Z458="",0,Z458),"0")+IFERROR(IF(Z459="",0,Z459),"0")+IFERROR(IF(Z460="",0,Z460),"0")+IFERROR(IF(Z461="",0,Z461),"0")</f>
        <v>0.32266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200</v>
      </c>
      <c r="Y463" s="543">
        <f>IFERROR(SUM(Y458:Y461),"0")</f>
        <v>204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733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0"/>
      <c r="P489" s="627" t="s">
        <v>737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18084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18175.859999999997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0"/>
      <c r="P490" s="627" t="s">
        <v>738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18863.442914201598</v>
      </c>
      <c r="Y490" s="543">
        <f>IFERROR(SUM(BN22:BN486),"0")</f>
        <v>18959.902000000009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0"/>
      <c r="P491" s="627" t="s">
        <v>739</v>
      </c>
      <c r="Q491" s="628"/>
      <c r="R491" s="628"/>
      <c r="S491" s="628"/>
      <c r="T491" s="628"/>
      <c r="U491" s="628"/>
      <c r="V491" s="629"/>
      <c r="W491" s="37" t="s">
        <v>740</v>
      </c>
      <c r="X491" s="38">
        <f>ROUNDUP(SUM(BO22:BO486),0)</f>
        <v>29</v>
      </c>
      <c r="Y491" s="38">
        <f>ROUNDUP(SUM(BP22:BP486),0)</f>
        <v>30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0"/>
      <c r="P492" s="627" t="s">
        <v>741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19588.442914201598</v>
      </c>
      <c r="Y492" s="543">
        <f>GrossWeightTotalR+PalletQtyTotalR*25</f>
        <v>19709.902000000009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0"/>
      <c r="P493" s="627" t="s">
        <v>742</v>
      </c>
      <c r="Q493" s="628"/>
      <c r="R493" s="628"/>
      <c r="S493" s="628"/>
      <c r="T493" s="628"/>
      <c r="U493" s="628"/>
      <c r="V493" s="629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1793.7895145510092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1807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0"/>
      <c r="P494" s="627" t="s">
        <v>743</v>
      </c>
      <c r="Q494" s="628"/>
      <c r="R494" s="628"/>
      <c r="S494" s="628"/>
      <c r="T494" s="628"/>
      <c r="U494" s="628"/>
      <c r="V494" s="629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32.846139999999998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2" t="s">
        <v>99</v>
      </c>
      <c r="D496" s="653"/>
      <c r="E496" s="653"/>
      <c r="F496" s="653"/>
      <c r="G496" s="653"/>
      <c r="H496" s="621"/>
      <c r="I496" s="592" t="s">
        <v>251</v>
      </c>
      <c r="J496" s="653"/>
      <c r="K496" s="653"/>
      <c r="L496" s="653"/>
      <c r="M496" s="653"/>
      <c r="N496" s="653"/>
      <c r="O496" s="653"/>
      <c r="P496" s="653"/>
      <c r="Q496" s="653"/>
      <c r="R496" s="621"/>
      <c r="S496" s="592" t="s">
        <v>535</v>
      </c>
      <c r="T496" s="621"/>
      <c r="U496" s="592" t="s">
        <v>586</v>
      </c>
      <c r="V496" s="653"/>
      <c r="W496" s="621"/>
      <c r="X496" s="538" t="s">
        <v>637</v>
      </c>
      <c r="Y496" s="592" t="s">
        <v>697</v>
      </c>
      <c r="Z496" s="621"/>
      <c r="AB496" s="52"/>
      <c r="AC496" s="52"/>
      <c r="AF496" s="539"/>
    </row>
    <row r="497" spans="1:32" ht="14.25" customHeight="1" thickTop="1" x14ac:dyDescent="0.2">
      <c r="A497" s="835" t="s">
        <v>746</v>
      </c>
      <c r="B497" s="592" t="s">
        <v>63</v>
      </c>
      <c r="C497" s="592" t="s">
        <v>100</v>
      </c>
      <c r="D497" s="592" t="s">
        <v>117</v>
      </c>
      <c r="E497" s="592" t="s">
        <v>171</v>
      </c>
      <c r="F497" s="592" t="s">
        <v>190</v>
      </c>
      <c r="G497" s="592" t="s">
        <v>220</v>
      </c>
      <c r="H497" s="592" t="s">
        <v>99</v>
      </c>
      <c r="I497" s="592" t="s">
        <v>252</v>
      </c>
      <c r="J497" s="592" t="s">
        <v>297</v>
      </c>
      <c r="K497" s="592" t="s">
        <v>356</v>
      </c>
      <c r="L497" s="592" t="s">
        <v>398</v>
      </c>
      <c r="M497" s="592" t="s">
        <v>414</v>
      </c>
      <c r="N497" s="539"/>
      <c r="O497" s="592" t="s">
        <v>425</v>
      </c>
      <c r="P497" s="592" t="s">
        <v>434</v>
      </c>
      <c r="Q497" s="592" t="s">
        <v>448</v>
      </c>
      <c r="R497" s="592" t="s">
        <v>525</v>
      </c>
      <c r="S497" s="592" t="s">
        <v>536</v>
      </c>
      <c r="T497" s="592" t="s">
        <v>570</v>
      </c>
      <c r="U497" s="592" t="s">
        <v>587</v>
      </c>
      <c r="V497" s="592" t="s">
        <v>618</v>
      </c>
      <c r="W497" s="592" t="s">
        <v>633</v>
      </c>
      <c r="X497" s="592" t="s">
        <v>637</v>
      </c>
      <c r="Y497" s="592" t="s">
        <v>697</v>
      </c>
      <c r="Z497" s="592" t="s">
        <v>733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37.200000000000003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637.20000000000005</v>
      </c>
      <c r="G499" s="46">
        <f>IFERROR(Y124*1,"0")+IFERROR(Y125*1,"0")+IFERROR(Y129*1,"0")+IFERROR(Y130*1,"0")+IFERROR(Y134*1,"0")+IFERROR(Y135*1,"0")</f>
        <v>8.3999999999999986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42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914.40000000000009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4986.6000000000004</v>
      </c>
      <c r="R499" s="46">
        <f>IFERROR(Y335*1,"0")+IFERROR(Y336*1,"0")+IFERROR(Y337*1,"0")</f>
        <v>40.5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10590</v>
      </c>
      <c r="T499" s="46">
        <f>IFERROR(Y368*1,"0")+IFERROR(Y369*1,"0")+IFERROR(Y373*1,"0")+IFERROR(Y374*1,"0")+IFERROR(Y378*1,"0")+IFERROR(Y379*1,"0")</f>
        <v>81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145.80000000000001</v>
      </c>
      <c r="V499" s="46">
        <f>IFERROR(Y403*1,"0")+IFERROR(Y407*1,"0")+IFERROR(Y408*1,"0")+IFERROR(Y409*1,"0")+IFERROR(Y410*1,"0")</f>
        <v>135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353.76000000000005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204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D344:E344"/>
    <mergeCell ref="D42:E42"/>
    <mergeCell ref="D471:E471"/>
    <mergeCell ref="V12:W12"/>
    <mergeCell ref="D191:E191"/>
    <mergeCell ref="D458:E458"/>
    <mergeCell ref="P368:T368"/>
    <mergeCell ref="A362:Z362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U17:V17"/>
    <mergeCell ref="P410:T410"/>
    <mergeCell ref="P385:T385"/>
    <mergeCell ref="Y17:Y18"/>
    <mergeCell ref="A484:Z484"/>
    <mergeCell ref="A479:Z479"/>
    <mergeCell ref="D17:E18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421:E42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A447:O448"/>
    <mergeCell ref="Q6:R6"/>
    <mergeCell ref="P200:T200"/>
    <mergeCell ref="P134:T134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A192:O193"/>
    <mergeCell ref="D279:E279"/>
    <mergeCell ref="A136:O137"/>
    <mergeCell ref="I496:R496"/>
    <mergeCell ref="W497:W498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65:T465"/>
    <mergeCell ref="D386:E386"/>
    <mergeCell ref="P250:V250"/>
    <mergeCell ref="A364:O365"/>
    <mergeCell ref="B497:B498"/>
    <mergeCell ref="P492:V492"/>
    <mergeCell ref="A103:O104"/>
    <mergeCell ref="S496:T496"/>
    <mergeCell ref="P415:T415"/>
    <mergeCell ref="P286:V286"/>
    <mergeCell ref="P336:T336"/>
    <mergeCell ref="P131:V131"/>
    <mergeCell ref="P187:V187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83:V483"/>
    <mergeCell ref="D298:E298"/>
    <mergeCell ref="P91:T91"/>
    <mergeCell ref="P404:V404"/>
    <mergeCell ref="D273:E273"/>
    <mergeCell ref="P468:V468"/>
    <mergeCell ref="A464:Z464"/>
    <mergeCell ref="A160:Z160"/>
    <mergeCell ref="P212:T212"/>
    <mergeCell ref="P405:V405"/>
    <mergeCell ref="A401:Z401"/>
    <mergeCell ref="A152:O153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D461:E461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321:T321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140:E1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125:T125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P451:T451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P63:V63"/>
    <mergeCell ref="M17:M18"/>
    <mergeCell ref="D460:E460"/>
    <mergeCell ref="P210:T210"/>
    <mergeCell ref="P439:V439"/>
    <mergeCell ref="D398:E398"/>
    <mergeCell ref="A438:O439"/>
    <mergeCell ref="P433:V433"/>
    <mergeCell ref="P308:T308"/>
    <mergeCell ref="A267:O268"/>
    <mergeCell ref="A69:O70"/>
    <mergeCell ref="P185:T185"/>
    <mergeCell ref="D106:E106"/>
    <mergeCell ref="P427:T427"/>
    <mergeCell ref="P283:T283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A419:Z419"/>
    <mergeCell ref="P446:T446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B17:B18"/>
    <mergeCell ref="P143:V143"/>
    <mergeCell ref="A171:O172"/>
    <mergeCell ref="D258:E258"/>
    <mergeCell ref="P235:V235"/>
    <mergeCell ref="P477:V477"/>
    <mergeCell ref="D124:E124"/>
    <mergeCell ref="P56:T56"/>
    <mergeCell ref="D195:E195"/>
    <mergeCell ref="P379:T379"/>
    <mergeCell ref="P462:V462"/>
    <mergeCell ref="A105:Z105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96:Z396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D472:E472"/>
    <mergeCell ref="A352:Z352"/>
    <mergeCell ref="D410:E410"/>
    <mergeCell ref="A276:Z276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D426:E426"/>
    <mergeCell ref="A63:O64"/>
    <mergeCell ref="P306:V30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2025-11-25T08:34:54Z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