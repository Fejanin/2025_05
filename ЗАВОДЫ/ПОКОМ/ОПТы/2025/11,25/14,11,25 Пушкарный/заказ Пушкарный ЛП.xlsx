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20E0CA2D-B619-4620-BA47-E44E0FC3A24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Y483" i="1" s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Y455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P408" i="1"/>
  <c r="BO408" i="1"/>
  <c r="BN408" i="1"/>
  <c r="BM408" i="1"/>
  <c r="Z408" i="1"/>
  <c r="Y408" i="1"/>
  <c r="P408" i="1"/>
  <c r="X406" i="1"/>
  <c r="Y405" i="1"/>
  <c r="X405" i="1"/>
  <c r="BP404" i="1"/>
  <c r="BO404" i="1"/>
  <c r="BN404" i="1"/>
  <c r="BM404" i="1"/>
  <c r="Z404" i="1"/>
  <c r="Z405" i="1" s="1"/>
  <c r="Y404" i="1"/>
  <c r="P404" i="1"/>
  <c r="X401" i="1"/>
  <c r="Y400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Y381" i="1" s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X327" i="1"/>
  <c r="Y326" i="1"/>
  <c r="X326" i="1"/>
  <c r="BP325" i="1"/>
  <c r="BO325" i="1"/>
  <c r="BN325" i="1"/>
  <c r="BM325" i="1"/>
  <c r="Z325" i="1"/>
  <c r="Y325" i="1"/>
  <c r="P325" i="1"/>
  <c r="BO324" i="1"/>
  <c r="BM324" i="1"/>
  <c r="Y324" i="1"/>
  <c r="P324" i="1"/>
  <c r="BP323" i="1"/>
  <c r="BO323" i="1"/>
  <c r="BN323" i="1"/>
  <c r="BM323" i="1"/>
  <c r="Z323" i="1"/>
  <c r="Y323" i="1"/>
  <c r="BP322" i="1"/>
  <c r="BO322" i="1"/>
  <c r="BN322" i="1"/>
  <c r="BM322" i="1"/>
  <c r="Z322" i="1"/>
  <c r="Y322" i="1"/>
  <c r="Y327" i="1" s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X287" i="1"/>
  <c r="X286" i="1"/>
  <c r="BP285" i="1"/>
  <c r="BO285" i="1"/>
  <c r="BN285" i="1"/>
  <c r="BM285" i="1"/>
  <c r="Z285" i="1"/>
  <c r="Y285" i="1"/>
  <c r="P285" i="1"/>
  <c r="BO284" i="1"/>
  <c r="BM284" i="1"/>
  <c r="Y284" i="1"/>
  <c r="X282" i="1"/>
  <c r="Y281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Y261" i="1" s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Y252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Y116" i="1" s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Y95" i="1" s="1"/>
  <c r="P91" i="1"/>
  <c r="X89" i="1"/>
  <c r="X88" i="1"/>
  <c r="BO87" i="1"/>
  <c r="BM87" i="1"/>
  <c r="Y87" i="1"/>
  <c r="Y89" i="1" s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Y58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500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4" i="1" s="1"/>
  <c r="BO22" i="1"/>
  <c r="X492" i="1" s="1"/>
  <c r="BM22" i="1"/>
  <c r="X491" i="1" s="1"/>
  <c r="X493" i="1" s="1"/>
  <c r="Y22" i="1"/>
  <c r="B500" i="1" s="1"/>
  <c r="P22" i="1"/>
  <c r="H10" i="1"/>
  <c r="A9" i="1"/>
  <c r="F10" i="1" s="1"/>
  <c r="D7" i="1"/>
  <c r="Q6" i="1"/>
  <c r="P2" i="1"/>
  <c r="Y32" i="1" l="1"/>
  <c r="Y44" i="1"/>
  <c r="Y48" i="1"/>
  <c r="Y69" i="1"/>
  <c r="BP66" i="1"/>
  <c r="BN66" i="1"/>
  <c r="Z66" i="1"/>
  <c r="BP74" i="1"/>
  <c r="BN74" i="1"/>
  <c r="Z74" i="1"/>
  <c r="BP108" i="1"/>
  <c r="BN108" i="1"/>
  <c r="Z108" i="1"/>
  <c r="Y110" i="1"/>
  <c r="BP125" i="1"/>
  <c r="BN125" i="1"/>
  <c r="Z125" i="1"/>
  <c r="Z126" i="1" s="1"/>
  <c r="Y132" i="1"/>
  <c r="BP129" i="1"/>
  <c r="BN129" i="1"/>
  <c r="Z129" i="1"/>
  <c r="Z131" i="1" s="1"/>
  <c r="BP142" i="1"/>
  <c r="BN142" i="1"/>
  <c r="Z142" i="1"/>
  <c r="Y144" i="1"/>
  <c r="H9" i="1"/>
  <c r="A10" i="1"/>
  <c r="Y24" i="1"/>
  <c r="Y36" i="1"/>
  <c r="Y57" i="1"/>
  <c r="Y64" i="1"/>
  <c r="BP87" i="1"/>
  <c r="BN87" i="1"/>
  <c r="Z87" i="1"/>
  <c r="Y96" i="1"/>
  <c r="BP91" i="1"/>
  <c r="BN91" i="1"/>
  <c r="Z91" i="1"/>
  <c r="BP100" i="1"/>
  <c r="BN100" i="1"/>
  <c r="Z100" i="1"/>
  <c r="Z103" i="1" s="1"/>
  <c r="Y117" i="1"/>
  <c r="BP112" i="1"/>
  <c r="BN112" i="1"/>
  <c r="Z112" i="1"/>
  <c r="Y127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Z178" i="1" s="1"/>
  <c r="BP197" i="1"/>
  <c r="BN197" i="1"/>
  <c r="Z197" i="1"/>
  <c r="Z204" i="1" s="1"/>
  <c r="BP201" i="1"/>
  <c r="BN201" i="1"/>
  <c r="Z201" i="1"/>
  <c r="BP249" i="1"/>
  <c r="BN249" i="1"/>
  <c r="Z249" i="1"/>
  <c r="BP267" i="1"/>
  <c r="BN267" i="1"/>
  <c r="Z267" i="1"/>
  <c r="Y269" i="1"/>
  <c r="O500" i="1"/>
  <c r="Y275" i="1"/>
  <c r="BP272" i="1"/>
  <c r="BN272" i="1"/>
  <c r="Z272" i="1"/>
  <c r="Y276" i="1"/>
  <c r="Y287" i="1"/>
  <c r="BP284" i="1"/>
  <c r="BN284" i="1"/>
  <c r="Z284" i="1"/>
  <c r="Z286" i="1" s="1"/>
  <c r="Y286" i="1"/>
  <c r="Z332" i="1"/>
  <c r="BP330" i="1"/>
  <c r="BN330" i="1"/>
  <c r="Z330" i="1"/>
  <c r="Y332" i="1"/>
  <c r="D500" i="1"/>
  <c r="F9" i="1"/>
  <c r="J9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63" i="1"/>
  <c r="Z61" i="1"/>
  <c r="Z63" i="1" s="1"/>
  <c r="BN61" i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0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500" i="1"/>
  <c r="Y143" i="1"/>
  <c r="BP140" i="1"/>
  <c r="BN140" i="1"/>
  <c r="Z140" i="1"/>
  <c r="Z143" i="1" s="1"/>
  <c r="BP148" i="1"/>
  <c r="BN148" i="1"/>
  <c r="Z148" i="1"/>
  <c r="Y15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BP208" i="1"/>
  <c r="BN208" i="1"/>
  <c r="Z208" i="1"/>
  <c r="Z216" i="1" s="1"/>
  <c r="BP212" i="1"/>
  <c r="BN212" i="1"/>
  <c r="Z212" i="1"/>
  <c r="Y216" i="1"/>
  <c r="BP220" i="1"/>
  <c r="BN220" i="1"/>
  <c r="Z220" i="1"/>
  <c r="Z221" i="1" s="1"/>
  <c r="Y222" i="1"/>
  <c r="K500" i="1"/>
  <c r="Y236" i="1"/>
  <c r="BP225" i="1"/>
  <c r="BN225" i="1"/>
  <c r="Z225" i="1"/>
  <c r="Y235" i="1"/>
  <c r="BP229" i="1"/>
  <c r="BN229" i="1"/>
  <c r="Z229" i="1"/>
  <c r="BP233" i="1"/>
  <c r="BN233" i="1"/>
  <c r="Z233" i="1"/>
  <c r="BP258" i="1"/>
  <c r="BN258" i="1"/>
  <c r="Z258" i="1"/>
  <c r="Q500" i="1"/>
  <c r="BP293" i="1"/>
  <c r="BN293" i="1"/>
  <c r="Z293" i="1"/>
  <c r="BP301" i="1"/>
  <c r="BN301" i="1"/>
  <c r="Z301" i="1"/>
  <c r="BP305" i="1"/>
  <c r="BN305" i="1"/>
  <c r="Z305" i="1"/>
  <c r="Y307" i="1"/>
  <c r="Y314" i="1"/>
  <c r="BP309" i="1"/>
  <c r="BN309" i="1"/>
  <c r="Z309" i="1"/>
  <c r="Z313" i="1" s="1"/>
  <c r="Y313" i="1"/>
  <c r="Z319" i="1"/>
  <c r="BP317" i="1"/>
  <c r="BN317" i="1"/>
  <c r="Z317" i="1"/>
  <c r="Y319" i="1"/>
  <c r="BP345" i="1"/>
  <c r="BN345" i="1"/>
  <c r="Z345" i="1"/>
  <c r="Z351" i="1" s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Z412" i="1" s="1"/>
  <c r="Y413" i="1"/>
  <c r="BP424" i="1"/>
  <c r="BN424" i="1"/>
  <c r="Z424" i="1"/>
  <c r="BP460" i="1"/>
  <c r="BN460" i="1"/>
  <c r="Z460" i="1"/>
  <c r="Z463" i="1" s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Z483" i="1"/>
  <c r="U500" i="1"/>
  <c r="F500" i="1"/>
  <c r="Y103" i="1"/>
  <c r="G500" i="1"/>
  <c r="Y126" i="1"/>
  <c r="I500" i="1"/>
  <c r="Y160" i="1"/>
  <c r="J500" i="1"/>
  <c r="Y188" i="1"/>
  <c r="Y205" i="1"/>
  <c r="Y204" i="1"/>
  <c r="Y217" i="1"/>
  <c r="BP210" i="1"/>
  <c r="BN210" i="1"/>
  <c r="Z210" i="1"/>
  <c r="BP214" i="1"/>
  <c r="BN214" i="1"/>
  <c r="Z214" i="1"/>
  <c r="Y221" i="1"/>
  <c r="BP227" i="1"/>
  <c r="BN227" i="1"/>
  <c r="Z227" i="1"/>
  <c r="BP231" i="1"/>
  <c r="BN231" i="1"/>
  <c r="Z231" i="1"/>
  <c r="Z251" i="1"/>
  <c r="BP247" i="1"/>
  <c r="BN247" i="1"/>
  <c r="Z247" i="1"/>
  <c r="Y251" i="1"/>
  <c r="BP256" i="1"/>
  <c r="BN256" i="1"/>
  <c r="Z256" i="1"/>
  <c r="Z260" i="1" s="1"/>
  <c r="Y260" i="1"/>
  <c r="BP265" i="1"/>
  <c r="BN265" i="1"/>
  <c r="Z265" i="1"/>
  <c r="Z268" i="1" s="1"/>
  <c r="BP274" i="1"/>
  <c r="BN274" i="1"/>
  <c r="Z274" i="1"/>
  <c r="P500" i="1"/>
  <c r="Y282" i="1"/>
  <c r="BP279" i="1"/>
  <c r="BN279" i="1"/>
  <c r="Z279" i="1"/>
  <c r="Z281" i="1" s="1"/>
  <c r="BP291" i="1"/>
  <c r="BN291" i="1"/>
  <c r="Z291" i="1"/>
  <c r="Z296" i="1" s="1"/>
  <c r="BP295" i="1"/>
  <c r="BN295" i="1"/>
  <c r="Z295" i="1"/>
  <c r="Y297" i="1"/>
  <c r="Y306" i="1"/>
  <c r="BP299" i="1"/>
  <c r="BN299" i="1"/>
  <c r="Z299" i="1"/>
  <c r="BP303" i="1"/>
  <c r="BN303" i="1"/>
  <c r="Z303" i="1"/>
  <c r="BP311" i="1"/>
  <c r="BN311" i="1"/>
  <c r="Z311" i="1"/>
  <c r="Y320" i="1"/>
  <c r="BP324" i="1"/>
  <c r="BN324" i="1"/>
  <c r="Z324" i="1"/>
  <c r="Z326" i="1" s="1"/>
  <c r="Y333" i="1"/>
  <c r="Z339" i="1"/>
  <c r="BP337" i="1"/>
  <c r="BN337" i="1"/>
  <c r="Z337" i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Z376" i="1" s="1"/>
  <c r="Y376" i="1"/>
  <c r="Z381" i="1"/>
  <c r="L500" i="1"/>
  <c r="M500" i="1"/>
  <c r="Y268" i="1"/>
  <c r="Y296" i="1"/>
  <c r="R500" i="1"/>
  <c r="Y340" i="1"/>
  <c r="S500" i="1"/>
  <c r="Y351" i="1"/>
  <c r="Y362" i="1"/>
  <c r="BP359" i="1"/>
  <c r="BN359" i="1"/>
  <c r="Z359" i="1"/>
  <c r="Z361" i="1" s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Z454" i="1" s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Y484" i="1"/>
  <c r="Z500" i="1"/>
  <c r="Y488" i="1"/>
  <c r="BP487" i="1"/>
  <c r="BN487" i="1"/>
  <c r="Z487" i="1"/>
  <c r="Z488" i="1" s="1"/>
  <c r="Y489" i="1"/>
  <c r="Z43" i="1" l="1"/>
  <c r="Z31" i="1"/>
  <c r="Y494" i="1"/>
  <c r="Y491" i="1"/>
  <c r="Z275" i="1"/>
  <c r="Z116" i="1"/>
  <c r="Z69" i="1"/>
  <c r="Z395" i="1"/>
  <c r="Z172" i="1"/>
  <c r="Z439" i="1"/>
  <c r="Z448" i="1"/>
  <c r="Z433" i="1"/>
  <c r="Z306" i="1"/>
  <c r="Z235" i="1"/>
  <c r="Y492" i="1"/>
  <c r="Z149" i="1"/>
  <c r="Z95" i="1"/>
  <c r="Z495" i="1" s="1"/>
  <c r="Y490" i="1"/>
  <c r="Y493" i="1" l="1"/>
</calcChain>
</file>

<file path=xl/sharedStrings.xml><?xml version="1.0" encoding="utf-8"?>
<sst xmlns="http://schemas.openxmlformats.org/spreadsheetml/2006/main" count="2349" uniqueCount="770">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</sst>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4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5" t="s">
        <v>0</v>
      </c>
      <c r="E1" s="575"/>
      <c r="F1" s="575"/>
      <c r="G1" s="12" t="s">
        <v>1</v>
      </c>
      <c r="H1" s="625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69" t="s">
        <v>8</v>
      </c>
      <c r="B5" s="642"/>
      <c r="C5" s="643"/>
      <c r="D5" s="628"/>
      <c r="E5" s="629"/>
      <c r="F5" s="836" t="s">
        <v>9</v>
      </c>
      <c r="G5" s="643"/>
      <c r="H5" s="628"/>
      <c r="I5" s="777"/>
      <c r="J5" s="777"/>
      <c r="K5" s="777"/>
      <c r="L5" s="777"/>
      <c r="M5" s="629"/>
      <c r="N5" s="58"/>
      <c r="P5" s="24" t="s">
        <v>10</v>
      </c>
      <c r="Q5" s="848">
        <v>45981</v>
      </c>
      <c r="R5" s="668"/>
      <c r="T5" s="708" t="s">
        <v>11</v>
      </c>
      <c r="U5" s="709"/>
      <c r="V5" s="710" t="s">
        <v>12</v>
      </c>
      <c r="W5" s="668"/>
      <c r="AB5" s="51"/>
      <c r="AC5" s="51"/>
      <c r="AD5" s="51"/>
      <c r="AE5" s="51"/>
    </row>
    <row r="6" spans="1:32" s="537" customFormat="1" ht="24" customHeight="1" x14ac:dyDescent="0.2">
      <c r="A6" s="669" t="s">
        <v>13</v>
      </c>
      <c r="B6" s="642"/>
      <c r="C6" s="643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68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Четверг</v>
      </c>
      <c r="R6" s="551"/>
      <c r="T6" s="718" t="s">
        <v>16</v>
      </c>
      <c r="U6" s="709"/>
      <c r="V6" s="764" t="s">
        <v>17</v>
      </c>
      <c r="W6" s="591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55"/>
      <c r="U7" s="709"/>
      <c r="V7" s="765"/>
      <c r="W7" s="766"/>
      <c r="AB7" s="51"/>
      <c r="AC7" s="51"/>
      <c r="AD7" s="51"/>
      <c r="AE7" s="51"/>
    </row>
    <row r="8" spans="1:32" s="537" customFormat="1" ht="25.5" customHeight="1" x14ac:dyDescent="0.2">
      <c r="A8" s="868" t="s">
        <v>18</v>
      </c>
      <c r="B8" s="564"/>
      <c r="C8" s="565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75">
        <v>0.41666666666666669</v>
      </c>
      <c r="R8" s="608"/>
      <c r="T8" s="555"/>
      <c r="U8" s="709"/>
      <c r="V8" s="765"/>
      <c r="W8" s="766"/>
      <c r="AB8" s="51"/>
      <c r="AC8" s="51"/>
      <c r="AD8" s="51"/>
      <c r="AE8" s="51"/>
    </row>
    <row r="9" spans="1:32" s="537" customFormat="1" ht="39.950000000000003" customHeight="1" x14ac:dyDescent="0.2">
      <c r="A9" s="6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6"/>
      <c r="E9" s="562"/>
      <c r="F9" s="6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1" t="str">
        <f>IF(AND($A$9="Тип доверенности/получателя при получении в адресе перегруза:",$D$9="Разовая доверенность"),"Введите ФИО","")</f>
        <v/>
      </c>
      <c r="I9" s="562"/>
      <c r="J9" s="5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2"/>
      <c r="L9" s="562"/>
      <c r="M9" s="562"/>
      <c r="N9" s="535"/>
      <c r="P9" s="26" t="s">
        <v>21</v>
      </c>
      <c r="Q9" s="664"/>
      <c r="R9" s="665"/>
      <c r="T9" s="555"/>
      <c r="U9" s="709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6"/>
      <c r="E10" s="562"/>
      <c r="F10" s="6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57" t="str">
        <f>IFERROR(VLOOKUP($D$10,Proxy,2,FALSE),"")</f>
        <v/>
      </c>
      <c r="I10" s="555"/>
      <c r="J10" s="555"/>
      <c r="K10" s="555"/>
      <c r="L10" s="555"/>
      <c r="M10" s="555"/>
      <c r="N10" s="536"/>
      <c r="P10" s="26" t="s">
        <v>22</v>
      </c>
      <c r="Q10" s="719"/>
      <c r="R10" s="720"/>
      <c r="U10" s="24" t="s">
        <v>23</v>
      </c>
      <c r="V10" s="590" t="s">
        <v>24</v>
      </c>
      <c r="W10" s="591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5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3" t="s">
        <v>29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30</v>
      </c>
      <c r="Q12" s="675"/>
      <c r="R12" s="608"/>
      <c r="S12" s="23"/>
      <c r="U12" s="24"/>
      <c r="V12" s="575"/>
      <c r="W12" s="555"/>
      <c r="AB12" s="51"/>
      <c r="AC12" s="51"/>
      <c r="AD12" s="51"/>
      <c r="AE12" s="51"/>
    </row>
    <row r="13" spans="1:32" s="537" customFormat="1" ht="23.25" customHeight="1" x14ac:dyDescent="0.2">
      <c r="A13" s="703" t="s">
        <v>31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32</v>
      </c>
      <c r="Q13" s="805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3" t="s">
        <v>33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3" t="s">
        <v>34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696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7"/>
      <c r="Q16" s="697"/>
      <c r="R16" s="697"/>
      <c r="S16" s="697"/>
      <c r="T16" s="6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683" t="s">
        <v>38</v>
      </c>
      <c r="D17" s="586" t="s">
        <v>39</v>
      </c>
      <c r="E17" s="651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650"/>
      <c r="R17" s="650"/>
      <c r="S17" s="650"/>
      <c r="T17" s="651"/>
      <c r="U17" s="866" t="s">
        <v>51</v>
      </c>
      <c r="V17" s="643"/>
      <c r="W17" s="586" t="s">
        <v>52</v>
      </c>
      <c r="X17" s="586" t="s">
        <v>53</v>
      </c>
      <c r="Y17" s="863" t="s">
        <v>54</v>
      </c>
      <c r="Z17" s="775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31"/>
      <c r="AF17" s="832"/>
      <c r="AG17" s="66"/>
      <c r="BD17" s="65" t="s">
        <v>60</v>
      </c>
    </row>
    <row r="18" spans="1:68" ht="14.25" customHeight="1" x14ac:dyDescent="0.2">
      <c r="A18" s="587"/>
      <c r="B18" s="587"/>
      <c r="C18" s="587"/>
      <c r="D18" s="652"/>
      <c r="E18" s="654"/>
      <c r="F18" s="587"/>
      <c r="G18" s="587"/>
      <c r="H18" s="587"/>
      <c r="I18" s="587"/>
      <c r="J18" s="587"/>
      <c r="K18" s="587"/>
      <c r="L18" s="587"/>
      <c r="M18" s="587"/>
      <c r="N18" s="587"/>
      <c r="O18" s="587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87"/>
      <c r="X18" s="587"/>
      <c r="Y18" s="864"/>
      <c r="Z18" s="776"/>
      <c r="AA18" s="756"/>
      <c r="AB18" s="756"/>
      <c r="AC18" s="756"/>
      <c r="AD18" s="833"/>
      <c r="AE18" s="834"/>
      <c r="AF18" s="835"/>
      <c r="AG18" s="66"/>
      <c r="BD18" s="65"/>
    </row>
    <row r="19" spans="1:68" ht="27.75" customHeight="1" x14ac:dyDescent="0.2">
      <c r="A19" s="567" t="s">
        <v>63</v>
      </c>
      <c r="B19" s="568"/>
      <c r="C19" s="568"/>
      <c r="D19" s="568"/>
      <c r="E19" s="568"/>
      <c r="F19" s="568"/>
      <c r="G19" s="568"/>
      <c r="H19" s="568"/>
      <c r="I19" s="568"/>
      <c r="J19" s="568"/>
      <c r="K19" s="568"/>
      <c r="L19" s="568"/>
      <c r="M19" s="568"/>
      <c r="N19" s="568"/>
      <c r="O19" s="568"/>
      <c r="P19" s="568"/>
      <c r="Q19" s="568"/>
      <c r="R19" s="568"/>
      <c r="S19" s="568"/>
      <c r="T19" s="568"/>
      <c r="U19" s="568"/>
      <c r="V19" s="568"/>
      <c r="W19" s="568"/>
      <c r="X19" s="568"/>
      <c r="Y19" s="568"/>
      <c r="Z19" s="568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8"/>
      <c r="AB20" s="538"/>
      <c r="AC20" s="538"/>
    </row>
    <row r="21" spans="1:68" ht="14.25" customHeight="1" x14ac:dyDescent="0.25">
      <c r="A21" s="560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50">
        <v>4680115886643</v>
      </c>
      <c r="E22" s="551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3" t="s">
        <v>71</v>
      </c>
      <c r="Q23" s="564"/>
      <c r="R23" s="564"/>
      <c r="S23" s="564"/>
      <c r="T23" s="564"/>
      <c r="U23" s="564"/>
      <c r="V23" s="565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3" t="s">
        <v>71</v>
      </c>
      <c r="Q24" s="564"/>
      <c r="R24" s="564"/>
      <c r="S24" s="564"/>
      <c r="T24" s="564"/>
      <c r="U24" s="564"/>
      <c r="V24" s="565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60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50">
        <v>4680115885912</v>
      </c>
      <c r="E26" s="551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50">
        <v>4607091388237</v>
      </c>
      <c r="E27" s="551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50">
        <v>4680115887350</v>
      </c>
      <c r="E28" s="551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0">
        <v>4680115885905</v>
      </c>
      <c r="E29" s="551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50">
        <v>4607091388244</v>
      </c>
      <c r="E30" s="551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3" t="s">
        <v>71</v>
      </c>
      <c r="Q31" s="564"/>
      <c r="R31" s="564"/>
      <c r="S31" s="564"/>
      <c r="T31" s="564"/>
      <c r="U31" s="564"/>
      <c r="V31" s="565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3" t="s">
        <v>71</v>
      </c>
      <c r="Q32" s="564"/>
      <c r="R32" s="564"/>
      <c r="S32" s="564"/>
      <c r="T32" s="564"/>
      <c r="U32" s="564"/>
      <c r="V32" s="565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60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0">
        <v>4607091388503</v>
      </c>
      <c r="E34" s="551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3" t="s">
        <v>71</v>
      </c>
      <c r="Q35" s="564"/>
      <c r="R35" s="564"/>
      <c r="S35" s="564"/>
      <c r="T35" s="564"/>
      <c r="U35" s="564"/>
      <c r="V35" s="565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3" t="s">
        <v>71</v>
      </c>
      <c r="Q36" s="564"/>
      <c r="R36" s="564"/>
      <c r="S36" s="564"/>
      <c r="T36" s="564"/>
      <c r="U36" s="564"/>
      <c r="V36" s="565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7" t="s">
        <v>99</v>
      </c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68"/>
      <c r="P37" s="568"/>
      <c r="Q37" s="568"/>
      <c r="R37" s="568"/>
      <c r="S37" s="568"/>
      <c r="T37" s="568"/>
      <c r="U37" s="568"/>
      <c r="V37" s="568"/>
      <c r="W37" s="568"/>
      <c r="X37" s="568"/>
      <c r="Y37" s="568"/>
      <c r="Z37" s="568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8"/>
      <c r="AB38" s="538"/>
      <c r="AC38" s="538"/>
    </row>
    <row r="39" spans="1:68" ht="14.25" customHeight="1" x14ac:dyDescent="0.25">
      <c r="A39" s="560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0">
        <v>4607091385670</v>
      </c>
      <c r="E40" s="551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0">
        <v>4607091385687</v>
      </c>
      <c r="E41" s="551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50">
        <v>4680115882539</v>
      </c>
      <c r="E42" s="551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3" t="s">
        <v>71</v>
      </c>
      <c r="Q43" s="564"/>
      <c r="R43" s="564"/>
      <c r="S43" s="564"/>
      <c r="T43" s="564"/>
      <c r="U43" s="564"/>
      <c r="V43" s="565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3" t="s">
        <v>71</v>
      </c>
      <c r="Q44" s="564"/>
      <c r="R44" s="564"/>
      <c r="S44" s="564"/>
      <c r="T44" s="564"/>
      <c r="U44" s="564"/>
      <c r="V44" s="565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customHeight="1" x14ac:dyDescent="0.25">
      <c r="A45" s="560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0">
        <v>4680115884915</v>
      </c>
      <c r="E46" s="551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3" t="s">
        <v>71</v>
      </c>
      <c r="Q47" s="564"/>
      <c r="R47" s="564"/>
      <c r="S47" s="564"/>
      <c r="T47" s="564"/>
      <c r="U47" s="564"/>
      <c r="V47" s="565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3" t="s">
        <v>71</v>
      </c>
      <c r="Q48" s="564"/>
      <c r="R48" s="564"/>
      <c r="S48" s="564"/>
      <c r="T48" s="564"/>
      <c r="U48" s="564"/>
      <c r="V48" s="565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8"/>
      <c r="AB49" s="538"/>
      <c r="AC49" s="538"/>
    </row>
    <row r="50" spans="1:68" ht="14.25" customHeight="1" x14ac:dyDescent="0.25">
      <c r="A50" s="560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0">
        <v>4680115885882</v>
      </c>
      <c r="E51" s="551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0">
        <v>4680115881426</v>
      </c>
      <c r="E52" s="551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3">
        <v>600</v>
      </c>
      <c r="Y52" s="544">
        <f t="shared" si="0"/>
        <v>604.80000000000007</v>
      </c>
      <c r="Z52" s="36">
        <f>IFERROR(IF(Y52=0,"",ROUNDUP(Y52/H52,0)*0.01898),"")</f>
        <v>1.06288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622.77777777777783</v>
      </c>
      <c r="BN52" s="64">
        <f t="shared" si="2"/>
        <v>627.76</v>
      </c>
      <c r="BO52" s="64">
        <f t="shared" si="3"/>
        <v>0.86805555555555547</v>
      </c>
      <c r="BP52" s="64">
        <f t="shared" si="4"/>
        <v>0.875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0">
        <v>4680115880283</v>
      </c>
      <c r="E53" s="551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50">
        <v>4680115881525</v>
      </c>
      <c r="E54" s="551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0">
        <v>4680115885899</v>
      </c>
      <c r="E55" s="551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50">
        <v>4680115881419</v>
      </c>
      <c r="E56" s="551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3">
        <v>591</v>
      </c>
      <c r="Y56" s="544">
        <f t="shared" si="0"/>
        <v>594</v>
      </c>
      <c r="Z56" s="36">
        <f>IFERROR(IF(Y56=0,"",ROUNDUP(Y56/H56,0)*0.00902),"")</f>
        <v>1.1906400000000001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615.95333333333338</v>
      </c>
      <c r="BN56" s="64">
        <f t="shared" si="2"/>
        <v>619.08000000000004</v>
      </c>
      <c r="BO56" s="64">
        <f t="shared" si="3"/>
        <v>0.99494949494949503</v>
      </c>
      <c r="BP56" s="64">
        <f t="shared" si="4"/>
        <v>1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3" t="s">
        <v>71</v>
      </c>
      <c r="Q57" s="564"/>
      <c r="R57" s="564"/>
      <c r="S57" s="564"/>
      <c r="T57" s="564"/>
      <c r="U57" s="564"/>
      <c r="V57" s="565"/>
      <c r="W57" s="37" t="s">
        <v>72</v>
      </c>
      <c r="X57" s="545">
        <f>IFERROR(X51/H51,"0")+IFERROR(X52/H52,"0")+IFERROR(X53/H53,"0")+IFERROR(X54/H54,"0")+IFERROR(X55/H55,"0")+IFERROR(X56/H56,"0")</f>
        <v>186.88888888888889</v>
      </c>
      <c r="Y57" s="545">
        <f>IFERROR(Y51/H51,"0")+IFERROR(Y52/H52,"0")+IFERROR(Y53/H53,"0")+IFERROR(Y54/H54,"0")+IFERROR(Y55/H55,"0")+IFERROR(Y56/H56,"0")</f>
        <v>188</v>
      </c>
      <c r="Z57" s="545">
        <f>IFERROR(IF(Z51="",0,Z51),"0")+IFERROR(IF(Z52="",0,Z52),"0")+IFERROR(IF(Z53="",0,Z53),"0")+IFERROR(IF(Z54="",0,Z54),"0")+IFERROR(IF(Z55="",0,Z55),"0")+IFERROR(IF(Z56="",0,Z56),"0")</f>
        <v>2.25352</v>
      </c>
      <c r="AA57" s="546"/>
      <c r="AB57" s="546"/>
      <c r="AC57" s="546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3" t="s">
        <v>71</v>
      </c>
      <c r="Q58" s="564"/>
      <c r="R58" s="564"/>
      <c r="S58" s="564"/>
      <c r="T58" s="564"/>
      <c r="U58" s="564"/>
      <c r="V58" s="565"/>
      <c r="W58" s="37" t="s">
        <v>69</v>
      </c>
      <c r="X58" s="545">
        <f>IFERROR(SUM(X51:X56),"0")</f>
        <v>1191</v>
      </c>
      <c r="Y58" s="545">
        <f>IFERROR(SUM(Y51:Y56),"0")</f>
        <v>1198.8000000000002</v>
      </c>
      <c r="Z58" s="37"/>
      <c r="AA58" s="546"/>
      <c r="AB58" s="546"/>
      <c r="AC58" s="546"/>
    </row>
    <row r="59" spans="1:68" ht="14.25" customHeight="1" x14ac:dyDescent="0.25">
      <c r="A59" s="560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0">
        <v>4680115881440</v>
      </c>
      <c r="E60" s="551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3">
        <v>600</v>
      </c>
      <c r="Y60" s="544">
        <f>IFERROR(IF(X60="",0,CEILING((X60/$H60),1)*$H60),"")</f>
        <v>604.80000000000007</v>
      </c>
      <c r="Z60" s="36">
        <f>IFERROR(IF(Y60=0,"",ROUNDUP(Y60/H60,0)*0.01898),"")</f>
        <v>1.06288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622.77777777777783</v>
      </c>
      <c r="BN60" s="64">
        <f>IFERROR(Y60*I60/H60,"0")</f>
        <v>627.76</v>
      </c>
      <c r="BO60" s="64">
        <f>IFERROR(1/J60*(X60/H60),"0")</f>
        <v>0.86805555555555547</v>
      </c>
      <c r="BP60" s="64">
        <f>IFERROR(1/J60*(Y60/H60),"0")</f>
        <v>0.875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0">
        <v>4680115885950</v>
      </c>
      <c r="E61" s="551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0">
        <v>4680115881433</v>
      </c>
      <c r="E62" s="551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3" t="s">
        <v>71</v>
      </c>
      <c r="Q63" s="564"/>
      <c r="R63" s="564"/>
      <c r="S63" s="564"/>
      <c r="T63" s="564"/>
      <c r="U63" s="564"/>
      <c r="V63" s="565"/>
      <c r="W63" s="37" t="s">
        <v>72</v>
      </c>
      <c r="X63" s="545">
        <f>IFERROR(X60/H60,"0")+IFERROR(X61/H61,"0")+IFERROR(X62/H62,"0")</f>
        <v>55.55555555555555</v>
      </c>
      <c r="Y63" s="545">
        <f>IFERROR(Y60/H60,"0")+IFERROR(Y61/H61,"0")+IFERROR(Y62/H62,"0")</f>
        <v>56</v>
      </c>
      <c r="Z63" s="545">
        <f>IFERROR(IF(Z60="",0,Z60),"0")+IFERROR(IF(Z61="",0,Z61),"0")+IFERROR(IF(Z62="",0,Z62),"0")</f>
        <v>1.06288</v>
      </c>
      <c r="AA63" s="546"/>
      <c r="AB63" s="546"/>
      <c r="AC63" s="546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3" t="s">
        <v>71</v>
      </c>
      <c r="Q64" s="564"/>
      <c r="R64" s="564"/>
      <c r="S64" s="564"/>
      <c r="T64" s="564"/>
      <c r="U64" s="564"/>
      <c r="V64" s="565"/>
      <c r="W64" s="37" t="s">
        <v>69</v>
      </c>
      <c r="X64" s="545">
        <f>IFERROR(SUM(X60:X62),"0")</f>
        <v>600</v>
      </c>
      <c r="Y64" s="545">
        <f>IFERROR(SUM(Y60:Y62),"0")</f>
        <v>604.80000000000007</v>
      </c>
      <c r="Z64" s="37"/>
      <c r="AA64" s="546"/>
      <c r="AB64" s="546"/>
      <c r="AC64" s="546"/>
    </row>
    <row r="65" spans="1:68" ht="14.25" customHeight="1" x14ac:dyDescent="0.25">
      <c r="A65" s="560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0">
        <v>4680115885073</v>
      </c>
      <c r="E66" s="551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50">
        <v>4680115885059</v>
      </c>
      <c r="E67" s="551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50">
        <v>4680115885097</v>
      </c>
      <c r="E68" s="551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3" t="s">
        <v>71</v>
      </c>
      <c r="Q69" s="564"/>
      <c r="R69" s="564"/>
      <c r="S69" s="564"/>
      <c r="T69" s="564"/>
      <c r="U69" s="564"/>
      <c r="V69" s="565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3" t="s">
        <v>71</v>
      </c>
      <c r="Q70" s="564"/>
      <c r="R70" s="564"/>
      <c r="S70" s="564"/>
      <c r="T70" s="564"/>
      <c r="U70" s="564"/>
      <c r="V70" s="565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60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9"/>
      <c r="AB71" s="539"/>
      <c r="AC71" s="539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50">
        <v>4680115885769</v>
      </c>
      <c r="E72" s="551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50">
        <v>4680115884311</v>
      </c>
      <c r="E73" s="551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50">
        <v>4680115885929</v>
      </c>
      <c r="E74" s="551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50">
        <v>4680115884403</v>
      </c>
      <c r="E75" s="551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3" t="s">
        <v>71</v>
      </c>
      <c r="Q76" s="564"/>
      <c r="R76" s="564"/>
      <c r="S76" s="564"/>
      <c r="T76" s="564"/>
      <c r="U76" s="564"/>
      <c r="V76" s="565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3" t="s">
        <v>71</v>
      </c>
      <c r="Q77" s="564"/>
      <c r="R77" s="564"/>
      <c r="S77" s="564"/>
      <c r="T77" s="564"/>
      <c r="U77" s="564"/>
      <c r="V77" s="565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customHeight="1" x14ac:dyDescent="0.25">
      <c r="A78" s="560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9"/>
      <c r="AB78" s="539"/>
      <c r="AC78" s="539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50">
        <v>4680115881532</v>
      </c>
      <c r="E79" s="551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50">
        <v>4680115881464</v>
      </c>
      <c r="E80" s="551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7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3" t="s">
        <v>71</v>
      </c>
      <c r="Q81" s="564"/>
      <c r="R81" s="564"/>
      <c r="S81" s="564"/>
      <c r="T81" s="564"/>
      <c r="U81" s="564"/>
      <c r="V81" s="565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3" t="s">
        <v>71</v>
      </c>
      <c r="Q82" s="564"/>
      <c r="R82" s="564"/>
      <c r="S82" s="564"/>
      <c r="T82" s="564"/>
      <c r="U82" s="564"/>
      <c r="V82" s="565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8"/>
      <c r="AB83" s="538"/>
      <c r="AC83" s="538"/>
    </row>
    <row r="84" spans="1:68" ht="14.25" customHeight="1" x14ac:dyDescent="0.25">
      <c r="A84" s="560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0">
        <v>4680115881327</v>
      </c>
      <c r="E85" s="551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0">
        <v>4680115881518</v>
      </c>
      <c r="E86" s="551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0">
        <v>4680115881303</v>
      </c>
      <c r="E87" s="551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2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3" t="s">
        <v>71</v>
      </c>
      <c r="Q88" s="564"/>
      <c r="R88" s="564"/>
      <c r="S88" s="564"/>
      <c r="T88" s="564"/>
      <c r="U88" s="564"/>
      <c r="V88" s="565"/>
      <c r="W88" s="37" t="s">
        <v>72</v>
      </c>
      <c r="X88" s="545">
        <f>IFERROR(X85/H85,"0")+IFERROR(X86/H86,"0")+IFERROR(X87/H87,"0")</f>
        <v>0</v>
      </c>
      <c r="Y88" s="545">
        <f>IFERROR(Y85/H85,"0")+IFERROR(Y86/H86,"0")+IFERROR(Y87/H87,"0")</f>
        <v>0</v>
      </c>
      <c r="Z88" s="545">
        <f>IFERROR(IF(Z85="",0,Z85),"0")+IFERROR(IF(Z86="",0,Z86),"0")+IFERROR(IF(Z87="",0,Z87),"0")</f>
        <v>0</v>
      </c>
      <c r="AA88" s="546"/>
      <c r="AB88" s="546"/>
      <c r="AC88" s="546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3" t="s">
        <v>71</v>
      </c>
      <c r="Q89" s="564"/>
      <c r="R89" s="564"/>
      <c r="S89" s="564"/>
      <c r="T89" s="564"/>
      <c r="U89" s="564"/>
      <c r="V89" s="565"/>
      <c r="W89" s="37" t="s">
        <v>69</v>
      </c>
      <c r="X89" s="545">
        <f>IFERROR(SUM(X85:X87),"0")</f>
        <v>0</v>
      </c>
      <c r="Y89" s="545">
        <f>IFERROR(SUM(Y85:Y87),"0")</f>
        <v>0</v>
      </c>
      <c r="Z89" s="37"/>
      <c r="AA89" s="546"/>
      <c r="AB89" s="546"/>
      <c r="AC89" s="546"/>
    </row>
    <row r="90" spans="1:68" ht="14.25" customHeight="1" x14ac:dyDescent="0.25">
      <c r="A90" s="560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9"/>
      <c r="AB90" s="539"/>
      <c r="AC90" s="539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50">
        <v>4607091386967</v>
      </c>
      <c r="E91" s="551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5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3">
        <v>0</v>
      </c>
      <c r="Y91" s="54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0">
        <v>4680115884953</v>
      </c>
      <c r="E92" s="551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0">
        <v>4607091385731</v>
      </c>
      <c r="E93" s="551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0">
        <v>4680115880894</v>
      </c>
      <c r="E94" s="551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3" t="s">
        <v>71</v>
      </c>
      <c r="Q95" s="564"/>
      <c r="R95" s="564"/>
      <c r="S95" s="564"/>
      <c r="T95" s="564"/>
      <c r="U95" s="564"/>
      <c r="V95" s="565"/>
      <c r="W95" s="37" t="s">
        <v>72</v>
      </c>
      <c r="X95" s="545">
        <f>IFERROR(X91/H91,"0")+IFERROR(X92/H92,"0")+IFERROR(X93/H93,"0")+IFERROR(X94/H94,"0")</f>
        <v>0</v>
      </c>
      <c r="Y95" s="545">
        <f>IFERROR(Y91/H91,"0")+IFERROR(Y92/H92,"0")+IFERROR(Y93/H93,"0")+IFERROR(Y94/H94,"0")</f>
        <v>0</v>
      </c>
      <c r="Z95" s="545">
        <f>IFERROR(IF(Z91="",0,Z91),"0")+IFERROR(IF(Z92="",0,Z92),"0")+IFERROR(IF(Z93="",0,Z93),"0")+IFERROR(IF(Z94="",0,Z94),"0")</f>
        <v>0</v>
      </c>
      <c r="AA95" s="546"/>
      <c r="AB95" s="546"/>
      <c r="AC95" s="546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3" t="s">
        <v>71</v>
      </c>
      <c r="Q96" s="564"/>
      <c r="R96" s="564"/>
      <c r="S96" s="564"/>
      <c r="T96" s="564"/>
      <c r="U96" s="564"/>
      <c r="V96" s="565"/>
      <c r="W96" s="37" t="s">
        <v>69</v>
      </c>
      <c r="X96" s="545">
        <f>IFERROR(SUM(X91:X94),"0")</f>
        <v>0</v>
      </c>
      <c r="Y96" s="545">
        <f>IFERROR(SUM(Y91:Y94),"0")</f>
        <v>0</v>
      </c>
      <c r="Z96" s="37"/>
      <c r="AA96" s="546"/>
      <c r="AB96" s="546"/>
      <c r="AC96" s="546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8"/>
      <c r="AB97" s="538"/>
      <c r="AC97" s="538"/>
    </row>
    <row r="98" spans="1:68" ht="14.25" customHeight="1" x14ac:dyDescent="0.25">
      <c r="A98" s="560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9"/>
      <c r="AB98" s="539"/>
      <c r="AC98" s="539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0">
        <v>4680115882133</v>
      </c>
      <c r="E99" s="551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50">
        <v>4680115880269</v>
      </c>
      <c r="E100" s="551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50">
        <v>4680115880429</v>
      </c>
      <c r="E101" s="551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50">
        <v>4680115881457</v>
      </c>
      <c r="E102" s="551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3" t="s">
        <v>71</v>
      </c>
      <c r="Q103" s="564"/>
      <c r="R103" s="564"/>
      <c r="S103" s="564"/>
      <c r="T103" s="564"/>
      <c r="U103" s="564"/>
      <c r="V103" s="565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3" t="s">
        <v>71</v>
      </c>
      <c r="Q104" s="564"/>
      <c r="R104" s="564"/>
      <c r="S104" s="564"/>
      <c r="T104" s="564"/>
      <c r="U104" s="564"/>
      <c r="V104" s="565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customHeight="1" x14ac:dyDescent="0.25">
      <c r="A105" s="560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9"/>
      <c r="AB105" s="539"/>
      <c r="AC105" s="539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50">
        <v>4680115881488</v>
      </c>
      <c r="E106" s="551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50">
        <v>4680115882775</v>
      </c>
      <c r="E107" s="551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1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50">
        <v>4680115880658</v>
      </c>
      <c r="E108" s="551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3" t="s">
        <v>71</v>
      </c>
      <c r="Q109" s="564"/>
      <c r="R109" s="564"/>
      <c r="S109" s="564"/>
      <c r="T109" s="564"/>
      <c r="U109" s="564"/>
      <c r="V109" s="565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3" t="s">
        <v>71</v>
      </c>
      <c r="Q110" s="564"/>
      <c r="R110" s="564"/>
      <c r="S110" s="564"/>
      <c r="T110" s="564"/>
      <c r="U110" s="564"/>
      <c r="V110" s="565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customHeight="1" x14ac:dyDescent="0.25">
      <c r="A111" s="560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0">
        <v>4607091385168</v>
      </c>
      <c r="E112" s="551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80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3">
        <v>200</v>
      </c>
      <c r="Y112" s="544">
        <f>IFERROR(IF(X112="",0,CEILING((X112/$H112),1)*$H112),"")</f>
        <v>202.5</v>
      </c>
      <c r="Z112" s="36">
        <f>IFERROR(IF(Y112=0,"",ROUNDUP(Y112/H112,0)*0.01898),"")</f>
        <v>0.47450000000000003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212.04938271604939</v>
      </c>
      <c r="BN112" s="64">
        <f>IFERROR(Y112*I112/H112,"0")</f>
        <v>214.7</v>
      </c>
      <c r="BO112" s="64">
        <f>IFERROR(1/J112*(X112/H112),"0")</f>
        <v>0.38580246913580246</v>
      </c>
      <c r="BP112" s="64">
        <f>IFERROR(1/J112*(Y112/H112),"0")</f>
        <v>0.390625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50">
        <v>4607091383256</v>
      </c>
      <c r="E113" s="551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0">
        <v>4607091385748</v>
      </c>
      <c r="E114" s="551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0">
        <v>4680115884533</v>
      </c>
      <c r="E115" s="551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3" t="s">
        <v>71</v>
      </c>
      <c r="Q116" s="564"/>
      <c r="R116" s="564"/>
      <c r="S116" s="564"/>
      <c r="T116" s="564"/>
      <c r="U116" s="564"/>
      <c r="V116" s="565"/>
      <c r="W116" s="37" t="s">
        <v>72</v>
      </c>
      <c r="X116" s="545">
        <f>IFERROR(X112/H112,"0")+IFERROR(X113/H113,"0")+IFERROR(X114/H114,"0")+IFERROR(X115/H115,"0")</f>
        <v>24.691358024691358</v>
      </c>
      <c r="Y116" s="545">
        <f>IFERROR(Y112/H112,"0")+IFERROR(Y113/H113,"0")+IFERROR(Y114/H114,"0")+IFERROR(Y115/H115,"0")</f>
        <v>25</v>
      </c>
      <c r="Z116" s="545">
        <f>IFERROR(IF(Z112="",0,Z112),"0")+IFERROR(IF(Z113="",0,Z113),"0")+IFERROR(IF(Z114="",0,Z114),"0")+IFERROR(IF(Z115="",0,Z115),"0")</f>
        <v>0.47450000000000003</v>
      </c>
      <c r="AA116" s="546"/>
      <c r="AB116" s="546"/>
      <c r="AC116" s="546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3" t="s">
        <v>71</v>
      </c>
      <c r="Q117" s="564"/>
      <c r="R117" s="564"/>
      <c r="S117" s="564"/>
      <c r="T117" s="564"/>
      <c r="U117" s="564"/>
      <c r="V117" s="565"/>
      <c r="W117" s="37" t="s">
        <v>69</v>
      </c>
      <c r="X117" s="545">
        <f>IFERROR(SUM(X112:X115),"0")</f>
        <v>200</v>
      </c>
      <c r="Y117" s="545">
        <f>IFERROR(SUM(Y112:Y115),"0")</f>
        <v>202.5</v>
      </c>
      <c r="Z117" s="37"/>
      <c r="AA117" s="546"/>
      <c r="AB117" s="546"/>
      <c r="AC117" s="546"/>
    </row>
    <row r="118" spans="1:68" ht="14.25" customHeight="1" x14ac:dyDescent="0.25">
      <c r="A118" s="560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9"/>
      <c r="AB118" s="539"/>
      <c r="AC118" s="539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0">
        <v>4680115880238</v>
      </c>
      <c r="E119" s="551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8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3" t="s">
        <v>71</v>
      </c>
      <c r="Q120" s="564"/>
      <c r="R120" s="564"/>
      <c r="S120" s="564"/>
      <c r="T120" s="564"/>
      <c r="U120" s="564"/>
      <c r="V120" s="565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3" t="s">
        <v>71</v>
      </c>
      <c r="Q121" s="564"/>
      <c r="R121" s="564"/>
      <c r="S121" s="564"/>
      <c r="T121" s="564"/>
      <c r="U121" s="564"/>
      <c r="V121" s="565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8"/>
      <c r="AB122" s="538"/>
      <c r="AC122" s="538"/>
    </row>
    <row r="123" spans="1:68" ht="14.25" customHeight="1" x14ac:dyDescent="0.25">
      <c r="A123" s="560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9"/>
      <c r="AB123" s="539"/>
      <c r="AC123" s="539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50">
        <v>4680115882577</v>
      </c>
      <c r="E124" s="551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50">
        <v>4680115882577</v>
      </c>
      <c r="E125" s="551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3" t="s">
        <v>71</v>
      </c>
      <c r="Q126" s="564"/>
      <c r="R126" s="564"/>
      <c r="S126" s="564"/>
      <c r="T126" s="564"/>
      <c r="U126" s="564"/>
      <c r="V126" s="565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3" t="s">
        <v>71</v>
      </c>
      <c r="Q127" s="564"/>
      <c r="R127" s="564"/>
      <c r="S127" s="564"/>
      <c r="T127" s="564"/>
      <c r="U127" s="564"/>
      <c r="V127" s="565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customHeight="1" x14ac:dyDescent="0.25">
      <c r="A128" s="560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9"/>
      <c r="AB128" s="539"/>
      <c r="AC128" s="539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50">
        <v>4680115883444</v>
      </c>
      <c r="E129" s="551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50">
        <v>4680115883444</v>
      </c>
      <c r="E130" s="551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3" t="s">
        <v>71</v>
      </c>
      <c r="Q131" s="564"/>
      <c r="R131" s="564"/>
      <c r="S131" s="564"/>
      <c r="T131" s="564"/>
      <c r="U131" s="564"/>
      <c r="V131" s="565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3" t="s">
        <v>71</v>
      </c>
      <c r="Q132" s="564"/>
      <c r="R132" s="564"/>
      <c r="S132" s="564"/>
      <c r="T132" s="564"/>
      <c r="U132" s="564"/>
      <c r="V132" s="565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customHeight="1" x14ac:dyDescent="0.25">
      <c r="A133" s="560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9"/>
      <c r="AB133" s="539"/>
      <c r="AC133" s="539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50">
        <v>4680115882584</v>
      </c>
      <c r="E134" s="551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50">
        <v>4680115882584</v>
      </c>
      <c r="E135" s="551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3" t="s">
        <v>71</v>
      </c>
      <c r="Q136" s="564"/>
      <c r="R136" s="564"/>
      <c r="S136" s="564"/>
      <c r="T136" s="564"/>
      <c r="U136" s="564"/>
      <c r="V136" s="565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3" t="s">
        <v>71</v>
      </c>
      <c r="Q137" s="564"/>
      <c r="R137" s="564"/>
      <c r="S137" s="564"/>
      <c r="T137" s="564"/>
      <c r="U137" s="564"/>
      <c r="V137" s="565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8"/>
      <c r="AB138" s="538"/>
      <c r="AC138" s="538"/>
    </row>
    <row r="139" spans="1:68" ht="14.25" customHeight="1" x14ac:dyDescent="0.25">
      <c r="A139" s="560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9"/>
      <c r="AB139" s="539"/>
      <c r="AC139" s="539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50">
        <v>4680115887374</v>
      </c>
      <c r="E140" s="551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50">
        <v>4607091384604</v>
      </c>
      <c r="E141" s="551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50">
        <v>4680115886810</v>
      </c>
      <c r="E142" s="551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72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3" t="s">
        <v>71</v>
      </c>
      <c r="Q143" s="564"/>
      <c r="R143" s="564"/>
      <c r="S143" s="564"/>
      <c r="T143" s="564"/>
      <c r="U143" s="564"/>
      <c r="V143" s="565"/>
      <c r="W143" s="37" t="s">
        <v>72</v>
      </c>
      <c r="X143" s="545">
        <f>IFERROR(X140/H140,"0")+IFERROR(X141/H141,"0")+IFERROR(X142/H142,"0")</f>
        <v>0</v>
      </c>
      <c r="Y143" s="545">
        <f>IFERROR(Y140/H140,"0")+IFERROR(Y141/H141,"0")+IFERROR(Y142/H142,"0")</f>
        <v>0</v>
      </c>
      <c r="Z143" s="545">
        <f>IFERROR(IF(Z140="",0,Z140),"0")+IFERROR(IF(Z141="",0,Z141),"0")+IFERROR(IF(Z142="",0,Z142),"0")</f>
        <v>0</v>
      </c>
      <c r="AA143" s="546"/>
      <c r="AB143" s="546"/>
      <c r="AC143" s="546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3" t="s">
        <v>71</v>
      </c>
      <c r="Q144" s="564"/>
      <c r="R144" s="564"/>
      <c r="S144" s="564"/>
      <c r="T144" s="564"/>
      <c r="U144" s="564"/>
      <c r="V144" s="565"/>
      <c r="W144" s="37" t="s">
        <v>69</v>
      </c>
      <c r="X144" s="545">
        <f>IFERROR(SUM(X140:X142),"0")</f>
        <v>0</v>
      </c>
      <c r="Y144" s="545">
        <f>IFERROR(SUM(Y140:Y142),"0")</f>
        <v>0</v>
      </c>
      <c r="Z144" s="37"/>
      <c r="AA144" s="546"/>
      <c r="AB144" s="546"/>
      <c r="AC144" s="546"/>
    </row>
    <row r="145" spans="1:68" ht="14.25" customHeight="1" x14ac:dyDescent="0.25">
      <c r="A145" s="560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9"/>
      <c r="AB145" s="539"/>
      <c r="AC145" s="539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50">
        <v>4607091387667</v>
      </c>
      <c r="E146" s="551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4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50">
        <v>4607091387636</v>
      </c>
      <c r="E147" s="551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3">
        <v>42</v>
      </c>
      <c r="Y147" s="544">
        <f>IFERROR(IF(X147="",0,CEILING((X147/$H147),1)*$H147),"")</f>
        <v>42</v>
      </c>
      <c r="Z147" s="36">
        <f>IFERROR(IF(Y147=0,"",ROUNDUP(Y147/H147,0)*0.00651),"")</f>
        <v>6.5100000000000005E-2</v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44.699999999999996</v>
      </c>
      <c r="BN147" s="64">
        <f>IFERROR(Y147*I147/H147,"0")</f>
        <v>44.699999999999996</v>
      </c>
      <c r="BO147" s="64">
        <f>IFERROR(1/J147*(X147/H147),"0")</f>
        <v>5.4945054945054951E-2</v>
      </c>
      <c r="BP147" s="64">
        <f>IFERROR(1/J147*(Y147/H147),"0")</f>
        <v>5.4945054945054951E-2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50">
        <v>4607091382426</v>
      </c>
      <c r="E148" s="551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3" t="s">
        <v>71</v>
      </c>
      <c r="Q149" s="564"/>
      <c r="R149" s="564"/>
      <c r="S149" s="564"/>
      <c r="T149" s="564"/>
      <c r="U149" s="564"/>
      <c r="V149" s="565"/>
      <c r="W149" s="37" t="s">
        <v>72</v>
      </c>
      <c r="X149" s="545">
        <f>IFERROR(X146/H146,"0")+IFERROR(X147/H147,"0")+IFERROR(X148/H148,"0")</f>
        <v>10</v>
      </c>
      <c r="Y149" s="545">
        <f>IFERROR(Y146/H146,"0")+IFERROR(Y147/H147,"0")+IFERROR(Y148/H148,"0")</f>
        <v>10</v>
      </c>
      <c r="Z149" s="545">
        <f>IFERROR(IF(Z146="",0,Z146),"0")+IFERROR(IF(Z147="",0,Z147),"0")+IFERROR(IF(Z148="",0,Z148),"0")</f>
        <v>6.5100000000000005E-2</v>
      </c>
      <c r="AA149" s="546"/>
      <c r="AB149" s="546"/>
      <c r="AC149" s="546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3" t="s">
        <v>71</v>
      </c>
      <c r="Q150" s="564"/>
      <c r="R150" s="564"/>
      <c r="S150" s="564"/>
      <c r="T150" s="564"/>
      <c r="U150" s="564"/>
      <c r="V150" s="565"/>
      <c r="W150" s="37" t="s">
        <v>69</v>
      </c>
      <c r="X150" s="545">
        <f>IFERROR(SUM(X146:X148),"0")</f>
        <v>42</v>
      </c>
      <c r="Y150" s="545">
        <f>IFERROR(SUM(Y146:Y148),"0")</f>
        <v>42</v>
      </c>
      <c r="Z150" s="37"/>
      <c r="AA150" s="546"/>
      <c r="AB150" s="546"/>
      <c r="AC150" s="546"/>
    </row>
    <row r="151" spans="1:68" ht="14.25" customHeight="1" x14ac:dyDescent="0.25">
      <c r="A151" s="560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9"/>
      <c r="AB151" s="539"/>
      <c r="AC151" s="539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50">
        <v>4680115887459</v>
      </c>
      <c r="E152" s="551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2" t="s">
        <v>252</v>
      </c>
      <c r="Q152" s="548"/>
      <c r="R152" s="548"/>
      <c r="S152" s="548"/>
      <c r="T152" s="549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3" t="s">
        <v>71</v>
      </c>
      <c r="Q153" s="564"/>
      <c r="R153" s="564"/>
      <c r="S153" s="564"/>
      <c r="T153" s="564"/>
      <c r="U153" s="564"/>
      <c r="V153" s="565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3" t="s">
        <v>71</v>
      </c>
      <c r="Q154" s="564"/>
      <c r="R154" s="564"/>
      <c r="S154" s="564"/>
      <c r="T154" s="564"/>
      <c r="U154" s="564"/>
      <c r="V154" s="565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customHeight="1" x14ac:dyDescent="0.2">
      <c r="A155" s="567" t="s">
        <v>255</v>
      </c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68"/>
      <c r="P155" s="568"/>
      <c r="Q155" s="568"/>
      <c r="R155" s="568"/>
      <c r="S155" s="568"/>
      <c r="T155" s="568"/>
      <c r="U155" s="568"/>
      <c r="V155" s="568"/>
      <c r="W155" s="568"/>
      <c r="X155" s="568"/>
      <c r="Y155" s="568"/>
      <c r="Z155" s="568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8"/>
      <c r="AB156" s="538"/>
      <c r="AC156" s="538"/>
    </row>
    <row r="157" spans="1:68" ht="14.25" customHeight="1" x14ac:dyDescent="0.25">
      <c r="A157" s="560" t="s">
        <v>136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9"/>
      <c r="AB157" s="539"/>
      <c r="AC157" s="539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50">
        <v>4680115886223</v>
      </c>
      <c r="E158" s="551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8"/>
      <c r="R158" s="548"/>
      <c r="S158" s="548"/>
      <c r="T158" s="549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3" t="s">
        <v>71</v>
      </c>
      <c r="Q159" s="564"/>
      <c r="R159" s="564"/>
      <c r="S159" s="564"/>
      <c r="T159" s="564"/>
      <c r="U159" s="564"/>
      <c r="V159" s="565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3" t="s">
        <v>71</v>
      </c>
      <c r="Q160" s="564"/>
      <c r="R160" s="564"/>
      <c r="S160" s="564"/>
      <c r="T160" s="564"/>
      <c r="U160" s="564"/>
      <c r="V160" s="565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customHeight="1" x14ac:dyDescent="0.25">
      <c r="A161" s="560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9"/>
      <c r="AB161" s="539"/>
      <c r="AC161" s="539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50">
        <v>4680115887213</v>
      </c>
      <c r="E162" s="551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83" t="s">
        <v>262</v>
      </c>
      <c r="Q162" s="548"/>
      <c r="R162" s="548"/>
      <c r="S162" s="548"/>
      <c r="T162" s="549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50">
        <v>4680115880993</v>
      </c>
      <c r="E163" s="551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8"/>
      <c r="R163" s="548"/>
      <c r="S163" s="548"/>
      <c r="T163" s="549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50">
        <v>4680115881761</v>
      </c>
      <c r="E164" s="551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50">
        <v>4680115881563</v>
      </c>
      <c r="E165" s="551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50">
        <v>4680115880986</v>
      </c>
      <c r="E166" s="551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8"/>
      <c r="R166" s="548"/>
      <c r="S166" s="548"/>
      <c r="T166" s="549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50">
        <v>4680115881785</v>
      </c>
      <c r="E167" s="551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6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8"/>
      <c r="R167" s="548"/>
      <c r="S167" s="548"/>
      <c r="T167" s="549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50">
        <v>4680115886537</v>
      </c>
      <c r="E168" s="551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8"/>
      <c r="R168" s="548"/>
      <c r="S168" s="548"/>
      <c r="T168" s="549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50">
        <v>4680115881679</v>
      </c>
      <c r="E169" s="551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50">
        <v>4680115880191</v>
      </c>
      <c r="E170" s="551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50">
        <v>4680115883963</v>
      </c>
      <c r="E171" s="551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3" t="s">
        <v>71</v>
      </c>
      <c r="Q172" s="564"/>
      <c r="R172" s="564"/>
      <c r="S172" s="564"/>
      <c r="T172" s="564"/>
      <c r="U172" s="564"/>
      <c r="V172" s="565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3" t="s">
        <v>71</v>
      </c>
      <c r="Q173" s="564"/>
      <c r="R173" s="564"/>
      <c r="S173" s="564"/>
      <c r="T173" s="564"/>
      <c r="U173" s="564"/>
      <c r="V173" s="565"/>
      <c r="W173" s="37" t="s">
        <v>69</v>
      </c>
      <c r="X173" s="545">
        <f>IFERROR(SUM(X162:X171),"0")</f>
        <v>0</v>
      </c>
      <c r="Y173" s="545">
        <f>IFERROR(SUM(Y162:Y171),"0")</f>
        <v>0</v>
      </c>
      <c r="Z173" s="37"/>
      <c r="AA173" s="546"/>
      <c r="AB173" s="546"/>
      <c r="AC173" s="546"/>
    </row>
    <row r="174" spans="1:68" ht="14.25" customHeight="1" x14ac:dyDescent="0.25">
      <c r="A174" s="560" t="s">
        <v>93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9"/>
      <c r="AB174" s="539"/>
      <c r="AC174" s="539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50">
        <v>4680115886780</v>
      </c>
      <c r="E175" s="551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8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50">
        <v>4680115886742</v>
      </c>
      <c r="E176" s="551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0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50">
        <v>4680115886766</v>
      </c>
      <c r="E177" s="551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3" t="s">
        <v>71</v>
      </c>
      <c r="Q178" s="564"/>
      <c r="R178" s="564"/>
      <c r="S178" s="564"/>
      <c r="T178" s="564"/>
      <c r="U178" s="564"/>
      <c r="V178" s="565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3" t="s">
        <v>71</v>
      </c>
      <c r="Q179" s="564"/>
      <c r="R179" s="564"/>
      <c r="S179" s="564"/>
      <c r="T179" s="564"/>
      <c r="U179" s="564"/>
      <c r="V179" s="565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customHeight="1" x14ac:dyDescent="0.25">
      <c r="A180" s="560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9"/>
      <c r="AB180" s="539"/>
      <c r="AC180" s="539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50">
        <v>4680115886797</v>
      </c>
      <c r="E181" s="551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3" t="s">
        <v>71</v>
      </c>
      <c r="Q182" s="564"/>
      <c r="R182" s="564"/>
      <c r="S182" s="564"/>
      <c r="T182" s="564"/>
      <c r="U182" s="564"/>
      <c r="V182" s="565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3" t="s">
        <v>71</v>
      </c>
      <c r="Q183" s="564"/>
      <c r="R183" s="564"/>
      <c r="S183" s="564"/>
      <c r="T183" s="564"/>
      <c r="U183" s="564"/>
      <c r="V183" s="565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8"/>
      <c r="AB184" s="538"/>
      <c r="AC184" s="538"/>
    </row>
    <row r="185" spans="1:68" ht="14.25" customHeight="1" x14ac:dyDescent="0.25">
      <c r="A185" s="560" t="s">
        <v>101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9"/>
      <c r="AB185" s="539"/>
      <c r="AC185" s="539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50">
        <v>4680115881402</v>
      </c>
      <c r="E186" s="551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8"/>
      <c r="R186" s="548"/>
      <c r="S186" s="548"/>
      <c r="T186" s="549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50">
        <v>4680115881396</v>
      </c>
      <c r="E187" s="551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5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8"/>
      <c r="R187" s="548"/>
      <c r="S187" s="548"/>
      <c r="T187" s="549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3" t="s">
        <v>71</v>
      </c>
      <c r="Q188" s="564"/>
      <c r="R188" s="564"/>
      <c r="S188" s="564"/>
      <c r="T188" s="564"/>
      <c r="U188" s="564"/>
      <c r="V188" s="565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3" t="s">
        <v>71</v>
      </c>
      <c r="Q189" s="564"/>
      <c r="R189" s="564"/>
      <c r="S189" s="564"/>
      <c r="T189" s="564"/>
      <c r="U189" s="564"/>
      <c r="V189" s="565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60" t="s">
        <v>136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9"/>
      <c r="AB190" s="539"/>
      <c r="AC190" s="539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50">
        <v>4680115882935</v>
      </c>
      <c r="E191" s="551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8"/>
      <c r="R191" s="548"/>
      <c r="S191" s="548"/>
      <c r="T191" s="549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50">
        <v>4680115880764</v>
      </c>
      <c r="E192" s="551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8"/>
      <c r="R192" s="548"/>
      <c r="S192" s="548"/>
      <c r="T192" s="549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3" t="s">
        <v>71</v>
      </c>
      <c r="Q193" s="564"/>
      <c r="R193" s="564"/>
      <c r="S193" s="564"/>
      <c r="T193" s="564"/>
      <c r="U193" s="564"/>
      <c r="V193" s="565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3" t="s">
        <v>71</v>
      </c>
      <c r="Q194" s="564"/>
      <c r="R194" s="564"/>
      <c r="S194" s="564"/>
      <c r="T194" s="564"/>
      <c r="U194" s="564"/>
      <c r="V194" s="565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60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9"/>
      <c r="AB195" s="539"/>
      <c r="AC195" s="539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50">
        <v>4680115882683</v>
      </c>
      <c r="E196" s="551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50">
        <v>4680115882690</v>
      </c>
      <c r="E197" s="551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50">
        <v>4680115882669</v>
      </c>
      <c r="E198" s="551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50">
        <v>4680115882676</v>
      </c>
      <c r="E199" s="551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50">
        <v>4680115884014</v>
      </c>
      <c r="E200" s="551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50">
        <v>4680115884007</v>
      </c>
      <c r="E201" s="551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50">
        <v>4680115884038</v>
      </c>
      <c r="E202" s="551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50">
        <v>4680115884021</v>
      </c>
      <c r="E203" s="551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1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3" t="s">
        <v>71</v>
      </c>
      <c r="Q204" s="564"/>
      <c r="R204" s="564"/>
      <c r="S204" s="564"/>
      <c r="T204" s="564"/>
      <c r="U204" s="564"/>
      <c r="V204" s="565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3" t="s">
        <v>71</v>
      </c>
      <c r="Q205" s="564"/>
      <c r="R205" s="564"/>
      <c r="S205" s="564"/>
      <c r="T205" s="564"/>
      <c r="U205" s="564"/>
      <c r="V205" s="565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customHeight="1" x14ac:dyDescent="0.25">
      <c r="A206" s="560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9"/>
      <c r="AB206" s="539"/>
      <c r="AC206" s="539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50">
        <v>4680115881594</v>
      </c>
      <c r="E207" s="551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50">
        <v>4680115881617</v>
      </c>
      <c r="E208" s="551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8"/>
      <c r="R208" s="548"/>
      <c r="S208" s="548"/>
      <c r="T208" s="549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50">
        <v>4680115880573</v>
      </c>
      <c r="E209" s="551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50">
        <v>4680115882195</v>
      </c>
      <c r="E210" s="551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50">
        <v>4680115882607</v>
      </c>
      <c r="E211" s="551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50">
        <v>4680115880092</v>
      </c>
      <c r="E212" s="551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50">
        <v>4680115880221</v>
      </c>
      <c r="E213" s="551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50">
        <v>4680115880504</v>
      </c>
      <c r="E214" s="551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8"/>
      <c r="R214" s="548"/>
      <c r="S214" s="548"/>
      <c r="T214" s="549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50">
        <v>4680115882164</v>
      </c>
      <c r="E215" s="551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3" t="s">
        <v>71</v>
      </c>
      <c r="Q216" s="564"/>
      <c r="R216" s="564"/>
      <c r="S216" s="564"/>
      <c r="T216" s="564"/>
      <c r="U216" s="564"/>
      <c r="V216" s="565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3" t="s">
        <v>71</v>
      </c>
      <c r="Q217" s="564"/>
      <c r="R217" s="564"/>
      <c r="S217" s="564"/>
      <c r="T217" s="564"/>
      <c r="U217" s="564"/>
      <c r="V217" s="565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customHeight="1" x14ac:dyDescent="0.25">
      <c r="A218" s="560" t="s">
        <v>164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9"/>
      <c r="AB218" s="539"/>
      <c r="AC218" s="539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50">
        <v>4680115880818</v>
      </c>
      <c r="E219" s="551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50">
        <v>4680115880801</v>
      </c>
      <c r="E220" s="551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8"/>
      <c r="R220" s="548"/>
      <c r="S220" s="548"/>
      <c r="T220" s="549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3" t="s">
        <v>71</v>
      </c>
      <c r="Q221" s="564"/>
      <c r="R221" s="564"/>
      <c r="S221" s="564"/>
      <c r="T221" s="564"/>
      <c r="U221" s="564"/>
      <c r="V221" s="565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3" t="s">
        <v>71</v>
      </c>
      <c r="Q222" s="564"/>
      <c r="R222" s="564"/>
      <c r="S222" s="564"/>
      <c r="T222" s="564"/>
      <c r="U222" s="564"/>
      <c r="V222" s="565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8"/>
      <c r="AB223" s="538"/>
      <c r="AC223" s="538"/>
    </row>
    <row r="224" spans="1:68" ht="14.25" customHeight="1" x14ac:dyDescent="0.25">
      <c r="A224" s="560" t="s">
        <v>101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9"/>
      <c r="AB224" s="539"/>
      <c r="AC224" s="539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50">
        <v>4680115884137</v>
      </c>
      <c r="E225" s="551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50">
        <v>4680115884236</v>
      </c>
      <c r="E226" s="551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50">
        <v>4680115884175</v>
      </c>
      <c r="E227" s="551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50">
        <v>4680115884144</v>
      </c>
      <c r="E228" s="551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50">
        <v>4680115884144</v>
      </c>
      <c r="E229" s="551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50">
        <v>4680115886551</v>
      </c>
      <c r="E230" s="551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50">
        <v>4680115884182</v>
      </c>
      <c r="E231" s="551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50">
        <v>4680115887282</v>
      </c>
      <c r="E232" s="551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50">
        <v>4680115884205</v>
      </c>
      <c r="E233" s="551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50">
        <v>4680115884205</v>
      </c>
      <c r="E234" s="551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3" t="s">
        <v>71</v>
      </c>
      <c r="Q235" s="564"/>
      <c r="R235" s="564"/>
      <c r="S235" s="564"/>
      <c r="T235" s="564"/>
      <c r="U235" s="564"/>
      <c r="V235" s="565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3" t="s">
        <v>71</v>
      </c>
      <c r="Q236" s="564"/>
      <c r="R236" s="564"/>
      <c r="S236" s="564"/>
      <c r="T236" s="564"/>
      <c r="U236" s="564"/>
      <c r="V236" s="565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60" t="s">
        <v>136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9"/>
      <c r="AB237" s="539"/>
      <c r="AC237" s="539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50">
        <v>4680115885981</v>
      </c>
      <c r="E238" s="551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3" t="s">
        <v>71</v>
      </c>
      <c r="Q239" s="564"/>
      <c r="R239" s="564"/>
      <c r="S239" s="564"/>
      <c r="T239" s="564"/>
      <c r="U239" s="564"/>
      <c r="V239" s="565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3" t="s">
        <v>71</v>
      </c>
      <c r="Q240" s="564"/>
      <c r="R240" s="564"/>
      <c r="S240" s="564"/>
      <c r="T240" s="564"/>
      <c r="U240" s="564"/>
      <c r="V240" s="565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60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9"/>
      <c r="AB241" s="539"/>
      <c r="AC241" s="539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50">
        <v>4680115886803</v>
      </c>
      <c r="E242" s="551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2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8"/>
      <c r="R242" s="548"/>
      <c r="S242" s="548"/>
      <c r="T242" s="549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3" t="s">
        <v>71</v>
      </c>
      <c r="Q243" s="564"/>
      <c r="R243" s="564"/>
      <c r="S243" s="564"/>
      <c r="T243" s="564"/>
      <c r="U243" s="564"/>
      <c r="V243" s="565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3" t="s">
        <v>71</v>
      </c>
      <c r="Q244" s="564"/>
      <c r="R244" s="564"/>
      <c r="S244" s="564"/>
      <c r="T244" s="564"/>
      <c r="U244" s="564"/>
      <c r="V244" s="565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60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9"/>
      <c r="AB245" s="539"/>
      <c r="AC245" s="539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50">
        <v>4680115886704</v>
      </c>
      <c r="E246" s="551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50">
        <v>4680115886681</v>
      </c>
      <c r="E247" s="551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0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50">
        <v>4680115886735</v>
      </c>
      <c r="E248" s="551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50">
        <v>4680115886728</v>
      </c>
      <c r="E249" s="551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50">
        <v>4680115886711</v>
      </c>
      <c r="E250" s="551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8"/>
      <c r="R250" s="548"/>
      <c r="S250" s="548"/>
      <c r="T250" s="549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3" t="s">
        <v>71</v>
      </c>
      <c r="Q251" s="564"/>
      <c r="R251" s="564"/>
      <c r="S251" s="564"/>
      <c r="T251" s="564"/>
      <c r="U251" s="564"/>
      <c r="V251" s="565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3" t="s">
        <v>71</v>
      </c>
      <c r="Q252" s="564"/>
      <c r="R252" s="564"/>
      <c r="S252" s="564"/>
      <c r="T252" s="564"/>
      <c r="U252" s="564"/>
      <c r="V252" s="565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8"/>
      <c r="AB253" s="538"/>
      <c r="AC253" s="538"/>
    </row>
    <row r="254" spans="1:68" ht="14.25" customHeight="1" x14ac:dyDescent="0.25">
      <c r="A254" s="560" t="s">
        <v>101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9"/>
      <c r="AB254" s="539"/>
      <c r="AC254" s="539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50">
        <v>4680115885837</v>
      </c>
      <c r="E255" s="551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50">
        <v>4680115885851</v>
      </c>
      <c r="E256" s="551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50">
        <v>4680115885806</v>
      </c>
      <c r="E257" s="551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50">
        <v>4680115885844</v>
      </c>
      <c r="E258" s="551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50">
        <v>4680115885820</v>
      </c>
      <c r="E259" s="551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8"/>
      <c r="R259" s="548"/>
      <c r="S259" s="548"/>
      <c r="T259" s="549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3" t="s">
        <v>71</v>
      </c>
      <c r="Q260" s="564"/>
      <c r="R260" s="564"/>
      <c r="S260" s="564"/>
      <c r="T260" s="564"/>
      <c r="U260" s="564"/>
      <c r="V260" s="565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3" t="s">
        <v>71</v>
      </c>
      <c r="Q261" s="564"/>
      <c r="R261" s="564"/>
      <c r="S261" s="564"/>
      <c r="T261" s="564"/>
      <c r="U261" s="564"/>
      <c r="V261" s="565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8"/>
      <c r="AB262" s="538"/>
      <c r="AC262" s="538"/>
    </row>
    <row r="263" spans="1:68" ht="14.25" customHeight="1" x14ac:dyDescent="0.25">
      <c r="A263" s="560" t="s">
        <v>101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9"/>
      <c r="AB263" s="539"/>
      <c r="AC263" s="539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50">
        <v>4607091383423</v>
      </c>
      <c r="E264" s="551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9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8"/>
      <c r="R264" s="548"/>
      <c r="S264" s="548"/>
      <c r="T264" s="549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50">
        <v>4680115886957</v>
      </c>
      <c r="E265" s="551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50">
        <v>4680115885660</v>
      </c>
      <c r="E266" s="551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50">
        <v>4680115886773</v>
      </c>
      <c r="E267" s="551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8"/>
      <c r="R267" s="548"/>
      <c r="S267" s="548"/>
      <c r="T267" s="549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3" t="s">
        <v>71</v>
      </c>
      <c r="Q268" s="564"/>
      <c r="R268" s="564"/>
      <c r="S268" s="564"/>
      <c r="T268" s="564"/>
      <c r="U268" s="564"/>
      <c r="V268" s="565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3" t="s">
        <v>71</v>
      </c>
      <c r="Q269" s="564"/>
      <c r="R269" s="564"/>
      <c r="S269" s="564"/>
      <c r="T269" s="564"/>
      <c r="U269" s="564"/>
      <c r="V269" s="565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8"/>
      <c r="AB270" s="538"/>
      <c r="AC270" s="538"/>
    </row>
    <row r="271" spans="1:68" ht="14.25" customHeight="1" x14ac:dyDescent="0.25">
      <c r="A271" s="560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9"/>
      <c r="AB271" s="539"/>
      <c r="AC271" s="539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50">
        <v>4680115886186</v>
      </c>
      <c r="E272" s="551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50">
        <v>4680115881228</v>
      </c>
      <c r="E273" s="551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8"/>
      <c r="R273" s="548"/>
      <c r="S273" s="548"/>
      <c r="T273" s="549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50">
        <v>4680115881211</v>
      </c>
      <c r="E274" s="551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8"/>
      <c r="R274" s="548"/>
      <c r="S274" s="548"/>
      <c r="T274" s="549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3" t="s">
        <v>71</v>
      </c>
      <c r="Q275" s="564"/>
      <c r="R275" s="564"/>
      <c r="S275" s="564"/>
      <c r="T275" s="564"/>
      <c r="U275" s="564"/>
      <c r="V275" s="565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3" t="s">
        <v>71</v>
      </c>
      <c r="Q276" s="564"/>
      <c r="R276" s="564"/>
      <c r="S276" s="564"/>
      <c r="T276" s="564"/>
      <c r="U276" s="564"/>
      <c r="V276" s="565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8"/>
      <c r="AB277" s="538"/>
      <c r="AC277" s="538"/>
    </row>
    <row r="278" spans="1:68" ht="14.25" customHeight="1" x14ac:dyDescent="0.25">
      <c r="A278" s="560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9"/>
      <c r="AB278" s="539"/>
      <c r="AC278" s="539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50">
        <v>4680115880344</v>
      </c>
      <c r="E279" s="551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50">
        <v>4680115886919</v>
      </c>
      <c r="E280" s="551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8"/>
      <c r="R280" s="548"/>
      <c r="S280" s="548"/>
      <c r="T280" s="549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3" t="s">
        <v>71</v>
      </c>
      <c r="Q281" s="564"/>
      <c r="R281" s="564"/>
      <c r="S281" s="564"/>
      <c r="T281" s="564"/>
      <c r="U281" s="564"/>
      <c r="V281" s="565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3" t="s">
        <v>71</v>
      </c>
      <c r="Q282" s="564"/>
      <c r="R282" s="564"/>
      <c r="S282" s="564"/>
      <c r="T282" s="564"/>
      <c r="U282" s="564"/>
      <c r="V282" s="565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60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9"/>
      <c r="AB283" s="539"/>
      <c r="AC283" s="539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50">
        <v>4680115887114</v>
      </c>
      <c r="E284" s="551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48" t="s">
        <v>448</v>
      </c>
      <c r="Q284" s="548"/>
      <c r="R284" s="548"/>
      <c r="S284" s="548"/>
      <c r="T284" s="549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50">
        <v>4680115884618</v>
      </c>
      <c r="E285" s="551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8"/>
      <c r="R285" s="548"/>
      <c r="S285" s="548"/>
      <c r="T285" s="549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3" t="s">
        <v>71</v>
      </c>
      <c r="Q286" s="564"/>
      <c r="R286" s="564"/>
      <c r="S286" s="564"/>
      <c r="T286" s="564"/>
      <c r="U286" s="564"/>
      <c r="V286" s="565"/>
      <c r="W286" s="37" t="s">
        <v>72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3" t="s">
        <v>71</v>
      </c>
      <c r="Q287" s="564"/>
      <c r="R287" s="564"/>
      <c r="S287" s="564"/>
      <c r="T287" s="564"/>
      <c r="U287" s="564"/>
      <c r="V287" s="565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8"/>
      <c r="AB288" s="538"/>
      <c r="AC288" s="538"/>
    </row>
    <row r="289" spans="1:68" ht="14.25" customHeight="1" x14ac:dyDescent="0.25">
      <c r="A289" s="560" t="s">
        <v>101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9"/>
      <c r="AB289" s="539"/>
      <c r="AC289" s="539"/>
    </row>
    <row r="290" spans="1:68" ht="27" customHeight="1" x14ac:dyDescent="0.25">
      <c r="A290" s="54" t="s">
        <v>454</v>
      </c>
      <c r="B290" s="54" t="s">
        <v>455</v>
      </c>
      <c r="C290" s="31">
        <v>4301012126</v>
      </c>
      <c r="D290" s="550">
        <v>4607091386004</v>
      </c>
      <c r="E290" s="551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8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3">
        <v>0</v>
      </c>
      <c r="Y290" s="544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457</v>
      </c>
      <c r="B291" s="54" t="s">
        <v>458</v>
      </c>
      <c r="C291" s="31">
        <v>4301012024</v>
      </c>
      <c r="D291" s="550">
        <v>4680115885615</v>
      </c>
      <c r="E291" s="551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84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customHeight="1" x14ac:dyDescent="0.25">
      <c r="A292" s="54" t="s">
        <v>460</v>
      </c>
      <c r="B292" s="54" t="s">
        <v>461</v>
      </c>
      <c r="C292" s="31">
        <v>4301011858</v>
      </c>
      <c r="D292" s="550">
        <v>4680115885646</v>
      </c>
      <c r="E292" s="551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85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4301012016</v>
      </c>
      <c r="D293" s="550">
        <v>4680115885554</v>
      </c>
      <c r="E293" s="551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466</v>
      </c>
      <c r="B294" s="54" t="s">
        <v>467</v>
      </c>
      <c r="C294" s="31">
        <v>4301011857</v>
      </c>
      <c r="D294" s="550">
        <v>4680115885622</v>
      </c>
      <c r="E294" s="551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48"/>
      <c r="R294" s="548"/>
      <c r="S294" s="548"/>
      <c r="T294" s="549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468</v>
      </c>
      <c r="B295" s="54" t="s">
        <v>469</v>
      </c>
      <c r="C295" s="31">
        <v>4301011859</v>
      </c>
      <c r="D295" s="550">
        <v>4680115885608</v>
      </c>
      <c r="E295" s="551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8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48"/>
      <c r="R295" s="548"/>
      <c r="S295" s="548"/>
      <c r="T295" s="549"/>
      <c r="U295" s="34"/>
      <c r="V295" s="34"/>
      <c r="W295" s="35" t="s">
        <v>69</v>
      </c>
      <c r="X295" s="543">
        <v>0</v>
      </c>
      <c r="Y295" s="544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x14ac:dyDescent="0.2">
      <c r="A296" s="554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3" t="s">
        <v>71</v>
      </c>
      <c r="Q296" s="564"/>
      <c r="R296" s="564"/>
      <c r="S296" s="564"/>
      <c r="T296" s="564"/>
      <c r="U296" s="564"/>
      <c r="V296" s="565"/>
      <c r="W296" s="37" t="s">
        <v>72</v>
      </c>
      <c r="X296" s="545">
        <f>IFERROR(X290/H290,"0")+IFERROR(X291/H291,"0")+IFERROR(X292/H292,"0")+IFERROR(X293/H293,"0")+IFERROR(X294/H294,"0")+IFERROR(X295/H295,"0")</f>
        <v>0</v>
      </c>
      <c r="Y296" s="545">
        <f>IFERROR(Y290/H290,"0")+IFERROR(Y291/H291,"0")+IFERROR(Y292/H292,"0")+IFERROR(Y293/H293,"0")+IFERROR(Y294/H294,"0")+IFERROR(Y295/H295,"0")</f>
        <v>0</v>
      </c>
      <c r="Z296" s="545">
        <f>IFERROR(IF(Z290="",0,Z290),"0")+IFERROR(IF(Z291="",0,Z291),"0")+IFERROR(IF(Z292="",0,Z292),"0")+IFERROR(IF(Z293="",0,Z293),"0")+IFERROR(IF(Z294="",0,Z294),"0")+IFERROR(IF(Z295="",0,Z295),"0")</f>
        <v>0</v>
      </c>
      <c r="AA296" s="546"/>
      <c r="AB296" s="546"/>
      <c r="AC296" s="546"/>
    </row>
    <row r="297" spans="1:68" x14ac:dyDescent="0.2">
      <c r="A297" s="555"/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6"/>
      <c r="P297" s="563" t="s">
        <v>71</v>
      </c>
      <c r="Q297" s="564"/>
      <c r="R297" s="564"/>
      <c r="S297" s="564"/>
      <c r="T297" s="564"/>
      <c r="U297" s="564"/>
      <c r="V297" s="565"/>
      <c r="W297" s="37" t="s">
        <v>69</v>
      </c>
      <c r="X297" s="545">
        <f>IFERROR(SUM(X290:X295),"0")</f>
        <v>0</v>
      </c>
      <c r="Y297" s="545">
        <f>IFERROR(SUM(Y290:Y295),"0")</f>
        <v>0</v>
      </c>
      <c r="Z297" s="37"/>
      <c r="AA297" s="546"/>
      <c r="AB297" s="546"/>
      <c r="AC297" s="546"/>
    </row>
    <row r="298" spans="1:68" ht="14.25" customHeight="1" x14ac:dyDescent="0.25">
      <c r="A298" s="560" t="s">
        <v>64</v>
      </c>
      <c r="B298" s="555"/>
      <c r="C298" s="555"/>
      <c r="D298" s="555"/>
      <c r="E298" s="555"/>
      <c r="F298" s="555"/>
      <c r="G298" s="555"/>
      <c r="H298" s="555"/>
      <c r="I298" s="555"/>
      <c r="J298" s="555"/>
      <c r="K298" s="555"/>
      <c r="L298" s="555"/>
      <c r="M298" s="555"/>
      <c r="N298" s="555"/>
      <c r="O298" s="555"/>
      <c r="P298" s="555"/>
      <c r="Q298" s="555"/>
      <c r="R298" s="555"/>
      <c r="S298" s="555"/>
      <c r="T298" s="555"/>
      <c r="U298" s="555"/>
      <c r="V298" s="555"/>
      <c r="W298" s="555"/>
      <c r="X298" s="555"/>
      <c r="Y298" s="555"/>
      <c r="Z298" s="555"/>
      <c r="AA298" s="539"/>
      <c r="AB298" s="539"/>
      <c r="AC298" s="539"/>
    </row>
    <row r="299" spans="1:68" ht="27" customHeight="1" x14ac:dyDescent="0.25">
      <c r="A299" s="54" t="s">
        <v>471</v>
      </c>
      <c r="B299" s="54" t="s">
        <v>472</v>
      </c>
      <c r="C299" s="31">
        <v>4301030878</v>
      </c>
      <c r="D299" s="550">
        <v>4607091387193</v>
      </c>
      <c r="E299" s="551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3">
        <v>0</v>
      </c>
      <c r="Y299" s="544">
        <f t="shared" ref="Y299:Y305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0</v>
      </c>
      <c r="BN299" s="64">
        <f t="shared" ref="BN299:BN305" si="33">IFERROR(Y299*I299/H299,"0")</f>
        <v>0</v>
      </c>
      <c r="BO299" s="64">
        <f t="shared" ref="BO299:BO305" si="34">IFERROR(1/J299*(X299/H299),"0")</f>
        <v>0</v>
      </c>
      <c r="BP299" s="64">
        <f t="shared" ref="BP299:BP305" si="35">IFERROR(1/J299*(Y299/H299),"0")</f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4301031153</v>
      </c>
      <c r="D300" s="550">
        <v>4607091387230</v>
      </c>
      <c r="E300" s="551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68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4301031154</v>
      </c>
      <c r="D301" s="550">
        <v>4607091387292</v>
      </c>
      <c r="E301" s="551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480</v>
      </c>
      <c r="B302" s="54" t="s">
        <v>481</v>
      </c>
      <c r="C302" s="31">
        <v>4301031152</v>
      </c>
      <c r="D302" s="550">
        <v>4607091387285</v>
      </c>
      <c r="E302" s="551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48"/>
      <c r="R302" s="548"/>
      <c r="S302" s="548"/>
      <c r="T302" s="549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4301031305</v>
      </c>
      <c r="D303" s="550">
        <v>4607091389845</v>
      </c>
      <c r="E303" s="551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6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485</v>
      </c>
      <c r="B304" s="54" t="s">
        <v>486</v>
      </c>
      <c r="C304" s="31">
        <v>4301031306</v>
      </c>
      <c r="D304" s="550">
        <v>4680115882881</v>
      </c>
      <c r="E304" s="551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4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48"/>
      <c r="R304" s="548"/>
      <c r="S304" s="548"/>
      <c r="T304" s="549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4301031066</v>
      </c>
      <c r="D305" s="550">
        <v>4607091383836</v>
      </c>
      <c r="E305" s="551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6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48"/>
      <c r="R305" s="548"/>
      <c r="S305" s="548"/>
      <c r="T305" s="549"/>
      <c r="U305" s="34"/>
      <c r="V305" s="34"/>
      <c r="W305" s="35" t="s">
        <v>69</v>
      </c>
      <c r="X305" s="543">
        <v>0</v>
      </c>
      <c r="Y305" s="544">
        <f t="shared" si="31"/>
        <v>0</v>
      </c>
      <c r="Z305" s="36" t="str">
        <f>IFERROR(IF(Y305=0,"",ROUNDUP(Y305/H305,0)*0.00651),"")</f>
        <v/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x14ac:dyDescent="0.2">
      <c r="A306" s="554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3" t="s">
        <v>71</v>
      </c>
      <c r="Q306" s="564"/>
      <c r="R306" s="564"/>
      <c r="S306" s="564"/>
      <c r="T306" s="564"/>
      <c r="U306" s="564"/>
      <c r="V306" s="565"/>
      <c r="W306" s="37" t="s">
        <v>72</v>
      </c>
      <c r="X306" s="545">
        <f>IFERROR(X299/H299,"0")+IFERROR(X300/H300,"0")+IFERROR(X301/H301,"0")+IFERROR(X302/H302,"0")+IFERROR(X303/H303,"0")+IFERROR(X304/H304,"0")+IFERROR(X305/H305,"0")</f>
        <v>0</v>
      </c>
      <c r="Y306" s="545">
        <f>IFERROR(Y299/H299,"0")+IFERROR(Y300/H300,"0")+IFERROR(Y301/H301,"0")+IFERROR(Y302/H302,"0")+IFERROR(Y303/H303,"0")+IFERROR(Y304/H304,"0")+IFERROR(Y305/H305,"0")</f>
        <v>0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546"/>
      <c r="AB306" s="546"/>
      <c r="AC306" s="546"/>
    </row>
    <row r="307" spans="1:68" x14ac:dyDescent="0.2">
      <c r="A307" s="555"/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6"/>
      <c r="P307" s="563" t="s">
        <v>71</v>
      </c>
      <c r="Q307" s="564"/>
      <c r="R307" s="564"/>
      <c r="S307" s="564"/>
      <c r="T307" s="564"/>
      <c r="U307" s="564"/>
      <c r="V307" s="565"/>
      <c r="W307" s="37" t="s">
        <v>69</v>
      </c>
      <c r="X307" s="545">
        <f>IFERROR(SUM(X299:X305),"0")</f>
        <v>0</v>
      </c>
      <c r="Y307" s="545">
        <f>IFERROR(SUM(Y299:Y305),"0")</f>
        <v>0</v>
      </c>
      <c r="Z307" s="37"/>
      <c r="AA307" s="546"/>
      <c r="AB307" s="546"/>
      <c r="AC307" s="546"/>
    </row>
    <row r="308" spans="1:68" ht="14.25" customHeight="1" x14ac:dyDescent="0.25">
      <c r="A308" s="560" t="s">
        <v>73</v>
      </c>
      <c r="B308" s="555"/>
      <c r="C308" s="555"/>
      <c r="D308" s="555"/>
      <c r="E308" s="555"/>
      <c r="F308" s="555"/>
      <c r="G308" s="555"/>
      <c r="H308" s="555"/>
      <c r="I308" s="555"/>
      <c r="J308" s="555"/>
      <c r="K308" s="555"/>
      <c r="L308" s="555"/>
      <c r="M308" s="555"/>
      <c r="N308" s="555"/>
      <c r="O308" s="555"/>
      <c r="P308" s="555"/>
      <c r="Q308" s="555"/>
      <c r="R308" s="555"/>
      <c r="S308" s="555"/>
      <c r="T308" s="555"/>
      <c r="U308" s="555"/>
      <c r="V308" s="555"/>
      <c r="W308" s="555"/>
      <c r="X308" s="555"/>
      <c r="Y308" s="555"/>
      <c r="Z308" s="555"/>
      <c r="AA308" s="539"/>
      <c r="AB308" s="539"/>
      <c r="AC308" s="539"/>
    </row>
    <row r="309" spans="1:68" ht="27" customHeight="1" x14ac:dyDescent="0.25">
      <c r="A309" s="54" t="s">
        <v>490</v>
      </c>
      <c r="B309" s="54" t="s">
        <v>491</v>
      </c>
      <c r="C309" s="31">
        <v>4301051100</v>
      </c>
      <c r="D309" s="550">
        <v>4607091387766</v>
      </c>
      <c r="E309" s="551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72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48"/>
      <c r="R309" s="548"/>
      <c r="S309" s="548"/>
      <c r="T309" s="549"/>
      <c r="U309" s="34"/>
      <c r="V309" s="34"/>
      <c r="W309" s="35" t="s">
        <v>69</v>
      </c>
      <c r="X309" s="543">
        <v>11500</v>
      </c>
      <c r="Y309" s="544">
        <f>IFERROR(IF(X309="",0,CEILING((X309/$H309),1)*$H309),"")</f>
        <v>11505</v>
      </c>
      <c r="Z309" s="36">
        <f>IFERROR(IF(Y309=0,"",ROUNDUP(Y309/H309,0)*0.01898),"")</f>
        <v>27.9955</v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12219.48717948718</v>
      </c>
      <c r="BN309" s="64">
        <f>IFERROR(Y309*I309/H309,"0")</f>
        <v>12224.800000000001</v>
      </c>
      <c r="BO309" s="64">
        <f>IFERROR(1/J309*(X309/H309),"0")</f>
        <v>23.036858974358974</v>
      </c>
      <c r="BP309" s="64">
        <f>IFERROR(1/J309*(Y309/H309),"0")</f>
        <v>23.046875</v>
      </c>
    </row>
    <row r="310" spans="1:68" ht="27" customHeight="1" x14ac:dyDescent="0.25">
      <c r="A310" s="54" t="s">
        <v>493</v>
      </c>
      <c r="B310" s="54" t="s">
        <v>494</v>
      </c>
      <c r="C310" s="31">
        <v>4301051818</v>
      </c>
      <c r="D310" s="550">
        <v>4607091387957</v>
      </c>
      <c r="E310" s="551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48"/>
      <c r="R310" s="548"/>
      <c r="S310" s="548"/>
      <c r="T310" s="549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4301051819</v>
      </c>
      <c r="D311" s="550">
        <v>4607091387964</v>
      </c>
      <c r="E311" s="551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1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499</v>
      </c>
      <c r="B312" s="54" t="s">
        <v>500</v>
      </c>
      <c r="C312" s="31">
        <v>4301051734</v>
      </c>
      <c r="D312" s="550">
        <v>4680115884588</v>
      </c>
      <c r="E312" s="551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66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48"/>
      <c r="R312" s="548"/>
      <c r="S312" s="548"/>
      <c r="T312" s="549"/>
      <c r="U312" s="34"/>
      <c r="V312" s="34"/>
      <c r="W312" s="35" t="s">
        <v>69</v>
      </c>
      <c r="X312" s="543">
        <v>150</v>
      </c>
      <c r="Y312" s="544">
        <f>IFERROR(IF(X312="",0,CEILING((X312/$H312),1)*$H312),"")</f>
        <v>150</v>
      </c>
      <c r="Z312" s="36">
        <f>IFERROR(IF(Y312=0,"",ROUNDUP(Y312/H312,0)*0.00651),"")</f>
        <v>0.32550000000000001</v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162.29999999999998</v>
      </c>
      <c r="BN312" s="64">
        <f>IFERROR(Y312*I312/H312,"0")</f>
        <v>162.29999999999998</v>
      </c>
      <c r="BO312" s="64">
        <f>IFERROR(1/J312*(X312/H312),"0")</f>
        <v>0.27472527472527475</v>
      </c>
      <c r="BP312" s="64">
        <f>IFERROR(1/J312*(Y312/H312),"0")</f>
        <v>0.27472527472527475</v>
      </c>
    </row>
    <row r="313" spans="1:68" x14ac:dyDescent="0.2">
      <c r="A313" s="554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3" t="s">
        <v>71</v>
      </c>
      <c r="Q313" s="564"/>
      <c r="R313" s="564"/>
      <c r="S313" s="564"/>
      <c r="T313" s="564"/>
      <c r="U313" s="564"/>
      <c r="V313" s="565"/>
      <c r="W313" s="37" t="s">
        <v>72</v>
      </c>
      <c r="X313" s="545">
        <f>IFERROR(X309/H309,"0")+IFERROR(X310/H310,"0")+IFERROR(X311/H311,"0")+IFERROR(X312/H312,"0")</f>
        <v>1524.3589743589744</v>
      </c>
      <c r="Y313" s="545">
        <f>IFERROR(Y309/H309,"0")+IFERROR(Y310/H310,"0")+IFERROR(Y311/H311,"0")+IFERROR(Y312/H312,"0")</f>
        <v>1525</v>
      </c>
      <c r="Z313" s="545">
        <f>IFERROR(IF(Z309="",0,Z309),"0")+IFERROR(IF(Z310="",0,Z310),"0")+IFERROR(IF(Z311="",0,Z311),"0")+IFERROR(IF(Z312="",0,Z312),"0")</f>
        <v>28.321000000000002</v>
      </c>
      <c r="AA313" s="546"/>
      <c r="AB313" s="546"/>
      <c r="AC313" s="546"/>
    </row>
    <row r="314" spans="1:68" x14ac:dyDescent="0.2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6"/>
      <c r="P314" s="563" t="s">
        <v>71</v>
      </c>
      <c r="Q314" s="564"/>
      <c r="R314" s="564"/>
      <c r="S314" s="564"/>
      <c r="T314" s="564"/>
      <c r="U314" s="564"/>
      <c r="V314" s="565"/>
      <c r="W314" s="37" t="s">
        <v>69</v>
      </c>
      <c r="X314" s="545">
        <f>IFERROR(SUM(X309:X312),"0")</f>
        <v>11650</v>
      </c>
      <c r="Y314" s="545">
        <f>IFERROR(SUM(Y309:Y312),"0")</f>
        <v>11655</v>
      </c>
      <c r="Z314" s="37"/>
      <c r="AA314" s="546"/>
      <c r="AB314" s="546"/>
      <c r="AC314" s="546"/>
    </row>
    <row r="315" spans="1:68" ht="14.25" customHeight="1" x14ac:dyDescent="0.25">
      <c r="A315" s="560" t="s">
        <v>164</v>
      </c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  <c r="W315" s="555"/>
      <c r="X315" s="555"/>
      <c r="Y315" s="555"/>
      <c r="Z315" s="555"/>
      <c r="AA315" s="539"/>
      <c r="AB315" s="539"/>
      <c r="AC315" s="539"/>
    </row>
    <row r="316" spans="1:68" ht="27" customHeight="1" x14ac:dyDescent="0.25">
      <c r="A316" s="54" t="s">
        <v>502</v>
      </c>
      <c r="B316" s="54" t="s">
        <v>503</v>
      </c>
      <c r="C316" s="31">
        <v>4301060387</v>
      </c>
      <c r="D316" s="550">
        <v>4607091380880</v>
      </c>
      <c r="E316" s="551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505</v>
      </c>
      <c r="B317" s="54" t="s">
        <v>506</v>
      </c>
      <c r="C317" s="31">
        <v>4301060406</v>
      </c>
      <c r="D317" s="550">
        <v>4607091384482</v>
      </c>
      <c r="E317" s="551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16.5" customHeight="1" x14ac:dyDescent="0.25">
      <c r="A318" s="54" t="s">
        <v>508</v>
      </c>
      <c r="B318" s="54" t="s">
        <v>509</v>
      </c>
      <c r="C318" s="31">
        <v>4301060484</v>
      </c>
      <c r="D318" s="550">
        <v>4607091380897</v>
      </c>
      <c r="E318" s="551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48"/>
      <c r="R318" s="548"/>
      <c r="S318" s="548"/>
      <c r="T318" s="549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54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3" t="s">
        <v>71</v>
      </c>
      <c r="Q319" s="564"/>
      <c r="R319" s="564"/>
      <c r="S319" s="564"/>
      <c r="T319" s="564"/>
      <c r="U319" s="564"/>
      <c r="V319" s="565"/>
      <c r="W319" s="37" t="s">
        <v>72</v>
      </c>
      <c r="X319" s="545">
        <f>IFERROR(X316/H316,"0")+IFERROR(X317/H317,"0")+IFERROR(X318/H318,"0")</f>
        <v>0</v>
      </c>
      <c r="Y319" s="545">
        <f>IFERROR(Y316/H316,"0")+IFERROR(Y317/H317,"0")+IFERROR(Y318/H318,"0")</f>
        <v>0</v>
      </c>
      <c r="Z319" s="545">
        <f>IFERROR(IF(Z316="",0,Z316),"0")+IFERROR(IF(Z317="",0,Z317),"0")+IFERROR(IF(Z318="",0,Z318),"0")</f>
        <v>0</v>
      </c>
      <c r="AA319" s="546"/>
      <c r="AB319" s="546"/>
      <c r="AC319" s="546"/>
    </row>
    <row r="320" spans="1:68" x14ac:dyDescent="0.2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6"/>
      <c r="P320" s="563" t="s">
        <v>71</v>
      </c>
      <c r="Q320" s="564"/>
      <c r="R320" s="564"/>
      <c r="S320" s="564"/>
      <c r="T320" s="564"/>
      <c r="U320" s="564"/>
      <c r="V320" s="565"/>
      <c r="W320" s="37" t="s">
        <v>69</v>
      </c>
      <c r="X320" s="545">
        <f>IFERROR(SUM(X316:X318),"0")</f>
        <v>0</v>
      </c>
      <c r="Y320" s="545">
        <f>IFERROR(SUM(Y316:Y318),"0")</f>
        <v>0</v>
      </c>
      <c r="Z320" s="37"/>
      <c r="AA320" s="546"/>
      <c r="AB320" s="546"/>
      <c r="AC320" s="546"/>
    </row>
    <row r="321" spans="1:68" ht="14.25" customHeight="1" x14ac:dyDescent="0.25">
      <c r="A321" s="560" t="s">
        <v>93</v>
      </c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  <c r="W321" s="555"/>
      <c r="X321" s="555"/>
      <c r="Y321" s="555"/>
      <c r="Z321" s="555"/>
      <c r="AA321" s="539"/>
      <c r="AB321" s="539"/>
      <c r="AC321" s="539"/>
    </row>
    <row r="322" spans="1:68" ht="27" customHeight="1" x14ac:dyDescent="0.25">
      <c r="A322" s="54" t="s">
        <v>511</v>
      </c>
      <c r="B322" s="54" t="s">
        <v>512</v>
      </c>
      <c r="C322" s="31">
        <v>4301030235</v>
      </c>
      <c r="D322" s="550">
        <v>4607091388381</v>
      </c>
      <c r="E322" s="551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4301030232</v>
      </c>
      <c r="D323" s="550">
        <v>4607091388374</v>
      </c>
      <c r="E323" s="551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3" t="s">
        <v>516</v>
      </c>
      <c r="Q323" s="548"/>
      <c r="R323" s="548"/>
      <c r="S323" s="548"/>
      <c r="T323" s="549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4301032015</v>
      </c>
      <c r="D324" s="550">
        <v>4607091383102</v>
      </c>
      <c r="E324" s="551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520</v>
      </c>
      <c r="B325" s="54" t="s">
        <v>521</v>
      </c>
      <c r="C325" s="31">
        <v>4301030233</v>
      </c>
      <c r="D325" s="550">
        <v>4607091388404</v>
      </c>
      <c r="E325" s="551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48"/>
      <c r="R325" s="548"/>
      <c r="S325" s="548"/>
      <c r="T325" s="549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54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3" t="s">
        <v>71</v>
      </c>
      <c r="Q326" s="564"/>
      <c r="R326" s="564"/>
      <c r="S326" s="564"/>
      <c r="T326" s="564"/>
      <c r="U326" s="564"/>
      <c r="V326" s="565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x14ac:dyDescent="0.2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6"/>
      <c r="P327" s="563" t="s">
        <v>71</v>
      </c>
      <c r="Q327" s="564"/>
      <c r="R327" s="564"/>
      <c r="S327" s="564"/>
      <c r="T327" s="564"/>
      <c r="U327" s="564"/>
      <c r="V327" s="565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customHeight="1" x14ac:dyDescent="0.25">
      <c r="A328" s="560" t="s">
        <v>522</v>
      </c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  <c r="W328" s="555"/>
      <c r="X328" s="555"/>
      <c r="Y328" s="555"/>
      <c r="Z328" s="555"/>
      <c r="AA328" s="539"/>
      <c r="AB328" s="539"/>
      <c r="AC328" s="539"/>
    </row>
    <row r="329" spans="1:68" ht="16.5" customHeight="1" x14ac:dyDescent="0.25">
      <c r="A329" s="54" t="s">
        <v>523</v>
      </c>
      <c r="B329" s="54" t="s">
        <v>524</v>
      </c>
      <c r="C329" s="31">
        <v>4301180007</v>
      </c>
      <c r="D329" s="550">
        <v>4680115881808</v>
      </c>
      <c r="E329" s="551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527</v>
      </c>
      <c r="B330" s="54" t="s">
        <v>528</v>
      </c>
      <c r="C330" s="31">
        <v>4301180006</v>
      </c>
      <c r="D330" s="550">
        <v>4680115881822</v>
      </c>
      <c r="E330" s="551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7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48"/>
      <c r="R330" s="548"/>
      <c r="S330" s="548"/>
      <c r="T330" s="549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529</v>
      </c>
      <c r="B331" s="54" t="s">
        <v>530</v>
      </c>
      <c r="C331" s="31">
        <v>4301180001</v>
      </c>
      <c r="D331" s="550">
        <v>4680115880016</v>
      </c>
      <c r="E331" s="551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6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48"/>
      <c r="R331" s="548"/>
      <c r="S331" s="548"/>
      <c r="T331" s="549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54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3" t="s">
        <v>71</v>
      </c>
      <c r="Q332" s="564"/>
      <c r="R332" s="564"/>
      <c r="S332" s="564"/>
      <c r="T332" s="564"/>
      <c r="U332" s="564"/>
      <c r="V332" s="565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6"/>
      <c r="P333" s="563" t="s">
        <v>71</v>
      </c>
      <c r="Q333" s="564"/>
      <c r="R333" s="564"/>
      <c r="S333" s="564"/>
      <c r="T333" s="564"/>
      <c r="U333" s="564"/>
      <c r="V333" s="565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customHeight="1" x14ac:dyDescent="0.25">
      <c r="A334" s="559" t="s">
        <v>531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8"/>
      <c r="AB334" s="538"/>
      <c r="AC334" s="538"/>
    </row>
    <row r="335" spans="1:68" ht="14.25" customHeight="1" x14ac:dyDescent="0.25">
      <c r="A335" s="560" t="s">
        <v>73</v>
      </c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  <c r="W335" s="555"/>
      <c r="X335" s="555"/>
      <c r="Y335" s="555"/>
      <c r="Z335" s="555"/>
      <c r="AA335" s="539"/>
      <c r="AB335" s="539"/>
      <c r="AC335" s="539"/>
    </row>
    <row r="336" spans="1:68" ht="27" customHeight="1" x14ac:dyDescent="0.25">
      <c r="A336" s="54" t="s">
        <v>532</v>
      </c>
      <c r="B336" s="54" t="s">
        <v>533</v>
      </c>
      <c r="C336" s="31">
        <v>4301051489</v>
      </c>
      <c r="D336" s="550">
        <v>4607091387919</v>
      </c>
      <c r="E336" s="551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48"/>
      <c r="R336" s="548"/>
      <c r="S336" s="548"/>
      <c r="T336" s="549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4301051461</v>
      </c>
      <c r="D337" s="550">
        <v>4680115883604</v>
      </c>
      <c r="E337" s="551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538</v>
      </c>
      <c r="B338" s="54" t="s">
        <v>539</v>
      </c>
      <c r="C338" s="31">
        <v>4301051864</v>
      </c>
      <c r="D338" s="550">
        <v>4680115883567</v>
      </c>
      <c r="E338" s="551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48"/>
      <c r="R338" s="548"/>
      <c r="S338" s="548"/>
      <c r="T338" s="549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54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3" t="s">
        <v>71</v>
      </c>
      <c r="Q339" s="564"/>
      <c r="R339" s="564"/>
      <c r="S339" s="564"/>
      <c r="T339" s="564"/>
      <c r="U339" s="564"/>
      <c r="V339" s="565"/>
      <c r="W339" s="37" t="s">
        <v>72</v>
      </c>
      <c r="X339" s="545">
        <f>IFERROR(X336/H336,"0")+IFERROR(X337/H337,"0")+IFERROR(X338/H338,"0")</f>
        <v>0</v>
      </c>
      <c r="Y339" s="545">
        <f>IFERROR(Y336/H336,"0")+IFERROR(Y337/H337,"0")+IFERROR(Y338/H338,"0")</f>
        <v>0</v>
      </c>
      <c r="Z339" s="545">
        <f>IFERROR(IF(Z336="",0,Z336),"0")+IFERROR(IF(Z337="",0,Z337),"0")+IFERROR(IF(Z338="",0,Z338),"0")</f>
        <v>0</v>
      </c>
      <c r="AA339" s="546"/>
      <c r="AB339" s="546"/>
      <c r="AC339" s="546"/>
    </row>
    <row r="340" spans="1:68" x14ac:dyDescent="0.2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6"/>
      <c r="P340" s="563" t="s">
        <v>71</v>
      </c>
      <c r="Q340" s="564"/>
      <c r="R340" s="564"/>
      <c r="S340" s="564"/>
      <c r="T340" s="564"/>
      <c r="U340" s="564"/>
      <c r="V340" s="565"/>
      <c r="W340" s="37" t="s">
        <v>69</v>
      </c>
      <c r="X340" s="545">
        <f>IFERROR(SUM(X336:X338),"0")</f>
        <v>0</v>
      </c>
      <c r="Y340" s="545">
        <f>IFERROR(SUM(Y336:Y338),"0")</f>
        <v>0</v>
      </c>
      <c r="Z340" s="37"/>
      <c r="AA340" s="546"/>
      <c r="AB340" s="546"/>
      <c r="AC340" s="546"/>
    </row>
    <row r="341" spans="1:68" ht="27.75" customHeight="1" x14ac:dyDescent="0.2">
      <c r="A341" s="567" t="s">
        <v>541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48"/>
      <c r="AB341" s="48"/>
      <c r="AC341" s="48"/>
    </row>
    <row r="342" spans="1:68" ht="16.5" customHeight="1" x14ac:dyDescent="0.25">
      <c r="A342" s="559" t="s">
        <v>542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8"/>
      <c r="AB342" s="538"/>
      <c r="AC342" s="538"/>
    </row>
    <row r="343" spans="1:68" ht="14.25" customHeight="1" x14ac:dyDescent="0.25">
      <c r="A343" s="560" t="s">
        <v>101</v>
      </c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  <c r="W343" s="555"/>
      <c r="X343" s="555"/>
      <c r="Y343" s="555"/>
      <c r="Z343" s="555"/>
      <c r="AA343" s="539"/>
      <c r="AB343" s="539"/>
      <c r="AC343" s="539"/>
    </row>
    <row r="344" spans="1:68" ht="37.5" customHeight="1" x14ac:dyDescent="0.25">
      <c r="A344" s="54" t="s">
        <v>543</v>
      </c>
      <c r="B344" s="54" t="s">
        <v>544</v>
      </c>
      <c r="C344" s="31">
        <v>4301011869</v>
      </c>
      <c r="D344" s="550">
        <v>4680115884847</v>
      </c>
      <c r="E344" s="551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48"/>
      <c r="R344" s="548"/>
      <c r="S344" s="548"/>
      <c r="T344" s="549"/>
      <c r="U344" s="34"/>
      <c r="V344" s="34"/>
      <c r="W344" s="35" t="s">
        <v>69</v>
      </c>
      <c r="X344" s="543">
        <v>750</v>
      </c>
      <c r="Y344" s="544">
        <f t="shared" ref="Y344:Y350" si="36">IFERROR(IF(X344="",0,CEILING((X344/$H344),1)*$H344),"")</f>
        <v>750</v>
      </c>
      <c r="Z344" s="36">
        <f>IFERROR(IF(Y344=0,"",ROUNDUP(Y344/H344,0)*0.02175),"")</f>
        <v>1.0874999999999999</v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773.5</v>
      </c>
      <c r="BN344" s="64">
        <f t="shared" ref="BN344:BN350" si="38">IFERROR(Y344*I344/H344,"0")</f>
        <v>773.5</v>
      </c>
      <c r="BO344" s="64">
        <f t="shared" ref="BO344:BO350" si="39">IFERROR(1/J344*(X344/H344),"0")</f>
        <v>1.0416666666666665</v>
      </c>
      <c r="BP344" s="64">
        <f t="shared" ref="BP344:BP350" si="40">IFERROR(1/J344*(Y344/H344),"0")</f>
        <v>1.0416666666666665</v>
      </c>
    </row>
    <row r="345" spans="1:68" ht="27" customHeight="1" x14ac:dyDescent="0.25">
      <c r="A345" s="54" t="s">
        <v>546</v>
      </c>
      <c r="B345" s="54" t="s">
        <v>547</v>
      </c>
      <c r="C345" s="31">
        <v>4301011870</v>
      </c>
      <c r="D345" s="550">
        <v>4680115884854</v>
      </c>
      <c r="E345" s="551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37.5" customHeight="1" x14ac:dyDescent="0.25">
      <c r="A346" s="54" t="s">
        <v>549</v>
      </c>
      <c r="B346" s="54" t="s">
        <v>550</v>
      </c>
      <c r="C346" s="31">
        <v>4301011867</v>
      </c>
      <c r="D346" s="550">
        <v>4680115884830</v>
      </c>
      <c r="E346" s="551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48"/>
      <c r="R346" s="548"/>
      <c r="S346" s="548"/>
      <c r="T346" s="549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4301012215</v>
      </c>
      <c r="D347" s="550">
        <v>4680115887046</v>
      </c>
      <c r="E347" s="551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825" t="s">
        <v>554</v>
      </c>
      <c r="Q347" s="548"/>
      <c r="R347" s="548"/>
      <c r="S347" s="548"/>
      <c r="T347" s="549"/>
      <c r="U347" s="34"/>
      <c r="V347" s="34"/>
      <c r="W347" s="35" t="s">
        <v>69</v>
      </c>
      <c r="X347" s="543">
        <v>3600</v>
      </c>
      <c r="Y347" s="544">
        <f t="shared" si="36"/>
        <v>3600</v>
      </c>
      <c r="Z347" s="36">
        <f>IFERROR(IF(Y347=0,"",ROUNDUP(Y347/H347,0)*0.02175),"")</f>
        <v>5.22</v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3712.8</v>
      </c>
      <c r="BN347" s="64">
        <f t="shared" si="38"/>
        <v>3712.8</v>
      </c>
      <c r="BO347" s="64">
        <f t="shared" si="39"/>
        <v>5</v>
      </c>
      <c r="BP347" s="64">
        <f t="shared" si="40"/>
        <v>5</v>
      </c>
    </row>
    <row r="348" spans="1:68" ht="27" customHeight="1" x14ac:dyDescent="0.25">
      <c r="A348" s="54" t="s">
        <v>556</v>
      </c>
      <c r="B348" s="54" t="s">
        <v>557</v>
      </c>
      <c r="C348" s="31">
        <v>4301011433</v>
      </c>
      <c r="D348" s="550">
        <v>4680115882638</v>
      </c>
      <c r="E348" s="551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0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559</v>
      </c>
      <c r="B349" s="54" t="s">
        <v>560</v>
      </c>
      <c r="C349" s="31">
        <v>4301011952</v>
      </c>
      <c r="D349" s="550">
        <v>4680115884922</v>
      </c>
      <c r="E349" s="551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561</v>
      </c>
      <c r="B350" s="54" t="s">
        <v>562</v>
      </c>
      <c r="C350" s="31">
        <v>4301011868</v>
      </c>
      <c r="D350" s="550">
        <v>4680115884861</v>
      </c>
      <c r="E350" s="551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48"/>
      <c r="R350" s="548"/>
      <c r="S350" s="548"/>
      <c r="T350" s="549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4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3" t="s">
        <v>71</v>
      </c>
      <c r="Q351" s="564"/>
      <c r="R351" s="564"/>
      <c r="S351" s="564"/>
      <c r="T351" s="564"/>
      <c r="U351" s="564"/>
      <c r="V351" s="565"/>
      <c r="W351" s="37" t="s">
        <v>72</v>
      </c>
      <c r="X351" s="545">
        <f>IFERROR(X344/H344,"0")+IFERROR(X345/H345,"0")+IFERROR(X346/H346,"0")+IFERROR(X347/H347,"0")+IFERROR(X348/H348,"0")+IFERROR(X349/H349,"0")+IFERROR(X350/H350,"0")</f>
        <v>290</v>
      </c>
      <c r="Y351" s="545">
        <f>IFERROR(Y344/H344,"0")+IFERROR(Y345/H345,"0")+IFERROR(Y346/H346,"0")+IFERROR(Y347/H347,"0")+IFERROR(Y348/H348,"0")+IFERROR(Y349/H349,"0")+IFERROR(Y350/H350,"0")</f>
        <v>290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6.3074999999999992</v>
      </c>
      <c r="AA351" s="546"/>
      <c r="AB351" s="546"/>
      <c r="AC351" s="546"/>
    </row>
    <row r="352" spans="1:68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63" t="s">
        <v>71</v>
      </c>
      <c r="Q352" s="564"/>
      <c r="R352" s="564"/>
      <c r="S352" s="564"/>
      <c r="T352" s="564"/>
      <c r="U352" s="564"/>
      <c r="V352" s="565"/>
      <c r="W352" s="37" t="s">
        <v>69</v>
      </c>
      <c r="X352" s="545">
        <f>IFERROR(SUM(X344:X350),"0")</f>
        <v>4350</v>
      </c>
      <c r="Y352" s="545">
        <f>IFERROR(SUM(Y344:Y350),"0")</f>
        <v>4350</v>
      </c>
      <c r="Z352" s="37"/>
      <c r="AA352" s="546"/>
      <c r="AB352" s="546"/>
      <c r="AC352" s="546"/>
    </row>
    <row r="353" spans="1:68" ht="14.25" customHeight="1" x14ac:dyDescent="0.25">
      <c r="A353" s="560" t="s">
        <v>136</v>
      </c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  <c r="W353" s="555"/>
      <c r="X353" s="555"/>
      <c r="Y353" s="555"/>
      <c r="Z353" s="555"/>
      <c r="AA353" s="539"/>
      <c r="AB353" s="539"/>
      <c r="AC353" s="539"/>
    </row>
    <row r="354" spans="1:68" ht="27" customHeight="1" x14ac:dyDescent="0.25">
      <c r="A354" s="54" t="s">
        <v>563</v>
      </c>
      <c r="B354" s="54" t="s">
        <v>564</v>
      </c>
      <c r="C354" s="31">
        <v>4301020178</v>
      </c>
      <c r="D354" s="550">
        <v>4607091383980</v>
      </c>
      <c r="E354" s="551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2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48"/>
      <c r="R354" s="548"/>
      <c r="S354" s="548"/>
      <c r="T354" s="549"/>
      <c r="U354" s="34"/>
      <c r="V354" s="34"/>
      <c r="W354" s="35" t="s">
        <v>69</v>
      </c>
      <c r="X354" s="543">
        <v>0</v>
      </c>
      <c r="Y354" s="544">
        <f>IFERROR(IF(X354="",0,CEILING((X354/$H354),1)*$H354),"")</f>
        <v>0</v>
      </c>
      <c r="Z354" s="36" t="str">
        <f>IFERROR(IF(Y354=0,"",ROUNDUP(Y354/H354,0)*0.02175),"")</f>
        <v/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16.5" customHeight="1" x14ac:dyDescent="0.25">
      <c r="A355" s="54" t="s">
        <v>566</v>
      </c>
      <c r="B355" s="54" t="s">
        <v>567</v>
      </c>
      <c r="C355" s="31">
        <v>4301020179</v>
      </c>
      <c r="D355" s="550">
        <v>4607091384178</v>
      </c>
      <c r="E355" s="551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48"/>
      <c r="R355" s="548"/>
      <c r="S355" s="548"/>
      <c r="T355" s="549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4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3" t="s">
        <v>71</v>
      </c>
      <c r="Q356" s="564"/>
      <c r="R356" s="564"/>
      <c r="S356" s="564"/>
      <c r="T356" s="564"/>
      <c r="U356" s="564"/>
      <c r="V356" s="565"/>
      <c r="W356" s="37" t="s">
        <v>72</v>
      </c>
      <c r="X356" s="545">
        <f>IFERROR(X354/H354,"0")+IFERROR(X355/H355,"0")</f>
        <v>0</v>
      </c>
      <c r="Y356" s="545">
        <f>IFERROR(Y354/H354,"0")+IFERROR(Y355/H355,"0")</f>
        <v>0</v>
      </c>
      <c r="Z356" s="545">
        <f>IFERROR(IF(Z354="",0,Z354),"0")+IFERROR(IF(Z355="",0,Z355),"0")</f>
        <v>0</v>
      </c>
      <c r="AA356" s="546"/>
      <c r="AB356" s="546"/>
      <c r="AC356" s="546"/>
    </row>
    <row r="357" spans="1:68" x14ac:dyDescent="0.2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6"/>
      <c r="P357" s="563" t="s">
        <v>71</v>
      </c>
      <c r="Q357" s="564"/>
      <c r="R357" s="564"/>
      <c r="S357" s="564"/>
      <c r="T357" s="564"/>
      <c r="U357" s="564"/>
      <c r="V357" s="565"/>
      <c r="W357" s="37" t="s">
        <v>69</v>
      </c>
      <c r="X357" s="545">
        <f>IFERROR(SUM(X354:X355),"0")</f>
        <v>0</v>
      </c>
      <c r="Y357" s="545">
        <f>IFERROR(SUM(Y354:Y355),"0")</f>
        <v>0</v>
      </c>
      <c r="Z357" s="37"/>
      <c r="AA357" s="546"/>
      <c r="AB357" s="546"/>
      <c r="AC357" s="546"/>
    </row>
    <row r="358" spans="1:68" ht="14.25" customHeight="1" x14ac:dyDescent="0.25">
      <c r="A358" s="560" t="s">
        <v>73</v>
      </c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39"/>
      <c r="AB358" s="539"/>
      <c r="AC358" s="539"/>
    </row>
    <row r="359" spans="1:68" ht="27" customHeight="1" x14ac:dyDescent="0.25">
      <c r="A359" s="54" t="s">
        <v>568</v>
      </c>
      <c r="B359" s="54" t="s">
        <v>569</v>
      </c>
      <c r="C359" s="31">
        <v>4301051903</v>
      </c>
      <c r="D359" s="550">
        <v>4607091383928</v>
      </c>
      <c r="E359" s="551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571</v>
      </c>
      <c r="B360" s="54" t="s">
        <v>572</v>
      </c>
      <c r="C360" s="31">
        <v>4301051897</v>
      </c>
      <c r="D360" s="550">
        <v>4607091384260</v>
      </c>
      <c r="E360" s="551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48"/>
      <c r="R360" s="548"/>
      <c r="S360" s="548"/>
      <c r="T360" s="549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4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3" t="s">
        <v>71</v>
      </c>
      <c r="Q361" s="564"/>
      <c r="R361" s="564"/>
      <c r="S361" s="564"/>
      <c r="T361" s="564"/>
      <c r="U361" s="564"/>
      <c r="V361" s="565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63" t="s">
        <v>71</v>
      </c>
      <c r="Q362" s="564"/>
      <c r="R362" s="564"/>
      <c r="S362" s="564"/>
      <c r="T362" s="564"/>
      <c r="U362" s="564"/>
      <c r="V362" s="565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customHeight="1" x14ac:dyDescent="0.25">
      <c r="A363" s="560" t="s">
        <v>164</v>
      </c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39"/>
      <c r="AB363" s="539"/>
      <c r="AC363" s="539"/>
    </row>
    <row r="364" spans="1:68" ht="16.5" customHeight="1" x14ac:dyDescent="0.25">
      <c r="A364" s="54" t="s">
        <v>574</v>
      </c>
      <c r="B364" s="54" t="s">
        <v>575</v>
      </c>
      <c r="C364" s="31">
        <v>4301060524</v>
      </c>
      <c r="D364" s="550">
        <v>4607091384673</v>
      </c>
      <c r="E364" s="551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48"/>
      <c r="R364" s="548"/>
      <c r="S364" s="548"/>
      <c r="T364" s="549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54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3" t="s">
        <v>71</v>
      </c>
      <c r="Q365" s="564"/>
      <c r="R365" s="564"/>
      <c r="S365" s="564"/>
      <c r="T365" s="564"/>
      <c r="U365" s="564"/>
      <c r="V365" s="565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63" t="s">
        <v>71</v>
      </c>
      <c r="Q366" s="564"/>
      <c r="R366" s="564"/>
      <c r="S366" s="564"/>
      <c r="T366" s="564"/>
      <c r="U366" s="564"/>
      <c r="V366" s="565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customHeight="1" x14ac:dyDescent="0.25">
      <c r="A367" s="559" t="s">
        <v>577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8"/>
      <c r="AB367" s="538"/>
      <c r="AC367" s="538"/>
    </row>
    <row r="368" spans="1:68" ht="14.25" customHeight="1" x14ac:dyDescent="0.25">
      <c r="A368" s="560" t="s">
        <v>101</v>
      </c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  <c r="W368" s="555"/>
      <c r="X368" s="555"/>
      <c r="Y368" s="555"/>
      <c r="Z368" s="555"/>
      <c r="AA368" s="539"/>
      <c r="AB368" s="539"/>
      <c r="AC368" s="539"/>
    </row>
    <row r="369" spans="1:68" ht="37.5" customHeight="1" x14ac:dyDescent="0.25">
      <c r="A369" s="54" t="s">
        <v>578</v>
      </c>
      <c r="B369" s="54" t="s">
        <v>579</v>
      </c>
      <c r="C369" s="31">
        <v>4301011875</v>
      </c>
      <c r="D369" s="550">
        <v>4680115884885</v>
      </c>
      <c r="E369" s="551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581</v>
      </c>
      <c r="B370" s="54" t="s">
        <v>582</v>
      </c>
      <c r="C370" s="31">
        <v>4301011871</v>
      </c>
      <c r="D370" s="550">
        <v>4680115884908</v>
      </c>
      <c r="E370" s="551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48"/>
      <c r="R370" s="548"/>
      <c r="S370" s="548"/>
      <c r="T370" s="549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4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3" t="s">
        <v>71</v>
      </c>
      <c r="Q371" s="564"/>
      <c r="R371" s="564"/>
      <c r="S371" s="564"/>
      <c r="T371" s="564"/>
      <c r="U371" s="564"/>
      <c r="V371" s="565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63" t="s">
        <v>71</v>
      </c>
      <c r="Q372" s="564"/>
      <c r="R372" s="564"/>
      <c r="S372" s="564"/>
      <c r="T372" s="564"/>
      <c r="U372" s="564"/>
      <c r="V372" s="565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customHeight="1" x14ac:dyDescent="0.25">
      <c r="A373" s="560" t="s">
        <v>64</v>
      </c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  <c r="W373" s="555"/>
      <c r="X373" s="555"/>
      <c r="Y373" s="555"/>
      <c r="Z373" s="555"/>
      <c r="AA373" s="539"/>
      <c r="AB373" s="539"/>
      <c r="AC373" s="539"/>
    </row>
    <row r="374" spans="1:68" ht="27" customHeight="1" x14ac:dyDescent="0.25">
      <c r="A374" s="54" t="s">
        <v>583</v>
      </c>
      <c r="B374" s="54" t="s">
        <v>584</v>
      </c>
      <c r="C374" s="31">
        <v>4301031303</v>
      </c>
      <c r="D374" s="550">
        <v>4607091384802</v>
      </c>
      <c r="E374" s="551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48"/>
      <c r="R374" s="548"/>
      <c r="S374" s="548"/>
      <c r="T374" s="549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583</v>
      </c>
      <c r="B375" s="54" t="s">
        <v>586</v>
      </c>
      <c r="C375" s="31">
        <v>4301031457</v>
      </c>
      <c r="D375" s="550">
        <v>4607091384802</v>
      </c>
      <c r="E375" s="551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48"/>
      <c r="R375" s="548"/>
      <c r="S375" s="548"/>
      <c r="T375" s="549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4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3" t="s">
        <v>71</v>
      </c>
      <c r="Q376" s="564"/>
      <c r="R376" s="564"/>
      <c r="S376" s="564"/>
      <c r="T376" s="564"/>
      <c r="U376" s="564"/>
      <c r="V376" s="565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x14ac:dyDescent="0.2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6"/>
      <c r="P377" s="563" t="s">
        <v>71</v>
      </c>
      <c r="Q377" s="564"/>
      <c r="R377" s="564"/>
      <c r="S377" s="564"/>
      <c r="T377" s="564"/>
      <c r="U377" s="564"/>
      <c r="V377" s="565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customHeight="1" x14ac:dyDescent="0.25">
      <c r="A378" s="560" t="s">
        <v>73</v>
      </c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  <c r="W378" s="555"/>
      <c r="X378" s="555"/>
      <c r="Y378" s="555"/>
      <c r="Z378" s="555"/>
      <c r="AA378" s="539"/>
      <c r="AB378" s="539"/>
      <c r="AC378" s="539"/>
    </row>
    <row r="379" spans="1:68" ht="27" customHeight="1" x14ac:dyDescent="0.25">
      <c r="A379" s="54" t="s">
        <v>588</v>
      </c>
      <c r="B379" s="54" t="s">
        <v>589</v>
      </c>
      <c r="C379" s="31">
        <v>4301051899</v>
      </c>
      <c r="D379" s="550">
        <v>4607091384246</v>
      </c>
      <c r="E379" s="551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591</v>
      </c>
      <c r="B380" s="54" t="s">
        <v>592</v>
      </c>
      <c r="C380" s="31">
        <v>4301051660</v>
      </c>
      <c r="D380" s="550">
        <v>4607091384253</v>
      </c>
      <c r="E380" s="551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48"/>
      <c r="R380" s="548"/>
      <c r="S380" s="548"/>
      <c r="T380" s="549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4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3" t="s">
        <v>71</v>
      </c>
      <c r="Q381" s="564"/>
      <c r="R381" s="564"/>
      <c r="S381" s="564"/>
      <c r="T381" s="564"/>
      <c r="U381" s="564"/>
      <c r="V381" s="565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x14ac:dyDescent="0.2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6"/>
      <c r="P382" s="563" t="s">
        <v>71</v>
      </c>
      <c r="Q382" s="564"/>
      <c r="R382" s="564"/>
      <c r="S382" s="564"/>
      <c r="T382" s="564"/>
      <c r="U382" s="564"/>
      <c r="V382" s="565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customHeight="1" x14ac:dyDescent="0.2">
      <c r="A383" s="567" t="s">
        <v>593</v>
      </c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68"/>
      <c r="P383" s="568"/>
      <c r="Q383" s="568"/>
      <c r="R383" s="568"/>
      <c r="S383" s="568"/>
      <c r="T383" s="568"/>
      <c r="U383" s="568"/>
      <c r="V383" s="568"/>
      <c r="W383" s="568"/>
      <c r="X383" s="568"/>
      <c r="Y383" s="568"/>
      <c r="Z383" s="568"/>
      <c r="AA383" s="48"/>
      <c r="AB383" s="48"/>
      <c r="AC383" s="48"/>
    </row>
    <row r="384" spans="1:68" ht="16.5" customHeight="1" x14ac:dyDescent="0.25">
      <c r="A384" s="559" t="s">
        <v>594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8"/>
      <c r="AB384" s="538"/>
      <c r="AC384" s="538"/>
    </row>
    <row r="385" spans="1:68" ht="14.25" customHeight="1" x14ac:dyDescent="0.25">
      <c r="A385" s="560" t="s">
        <v>64</v>
      </c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  <c r="W385" s="555"/>
      <c r="X385" s="555"/>
      <c r="Y385" s="555"/>
      <c r="Z385" s="555"/>
      <c r="AA385" s="539"/>
      <c r="AB385" s="539"/>
      <c r="AC385" s="539"/>
    </row>
    <row r="386" spans="1:68" ht="27" customHeight="1" x14ac:dyDescent="0.25">
      <c r="A386" s="54" t="s">
        <v>595</v>
      </c>
      <c r="B386" s="54" t="s">
        <v>596</v>
      </c>
      <c r="C386" s="31">
        <v>4301031405</v>
      </c>
      <c r="D386" s="550">
        <v>4680115886100</v>
      </c>
      <c r="E386" s="551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4301031406</v>
      </c>
      <c r="D387" s="550">
        <v>4680115886117</v>
      </c>
      <c r="E387" s="551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4301031402</v>
      </c>
      <c r="D388" s="550">
        <v>4680115886124</v>
      </c>
      <c r="E388" s="551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604</v>
      </c>
      <c r="B389" s="54" t="s">
        <v>605</v>
      </c>
      <c r="C389" s="31">
        <v>4301031366</v>
      </c>
      <c r="D389" s="550">
        <v>4680115883147</v>
      </c>
      <c r="E389" s="551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48"/>
      <c r="R389" s="548"/>
      <c r="S389" s="548"/>
      <c r="T389" s="549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606</v>
      </c>
      <c r="B390" s="54" t="s">
        <v>607</v>
      </c>
      <c r="C390" s="31">
        <v>4301031362</v>
      </c>
      <c r="D390" s="550">
        <v>4607091384338</v>
      </c>
      <c r="E390" s="551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customHeight="1" x14ac:dyDescent="0.25">
      <c r="A391" s="54" t="s">
        <v>608</v>
      </c>
      <c r="B391" s="54" t="s">
        <v>609</v>
      </c>
      <c r="C391" s="31">
        <v>4301031361</v>
      </c>
      <c r="D391" s="550">
        <v>4607091389524</v>
      </c>
      <c r="E391" s="551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48"/>
      <c r="R391" s="548"/>
      <c r="S391" s="548"/>
      <c r="T391" s="549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4301031364</v>
      </c>
      <c r="D392" s="550">
        <v>4680115883161</v>
      </c>
      <c r="E392" s="551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48"/>
      <c r="R392" s="548"/>
      <c r="S392" s="548"/>
      <c r="T392" s="549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614</v>
      </c>
      <c r="B393" s="54" t="s">
        <v>615</v>
      </c>
      <c r="C393" s="31">
        <v>4301031358</v>
      </c>
      <c r="D393" s="550">
        <v>4607091389531</v>
      </c>
      <c r="E393" s="551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617</v>
      </c>
      <c r="B394" s="54" t="s">
        <v>618</v>
      </c>
      <c r="C394" s="31">
        <v>4301031360</v>
      </c>
      <c r="D394" s="550">
        <v>4607091384345</v>
      </c>
      <c r="E394" s="551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48"/>
      <c r="R394" s="548"/>
      <c r="S394" s="548"/>
      <c r="T394" s="549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4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3" t="s">
        <v>71</v>
      </c>
      <c r="Q395" s="564"/>
      <c r="R395" s="564"/>
      <c r="S395" s="564"/>
      <c r="T395" s="564"/>
      <c r="U395" s="564"/>
      <c r="V395" s="565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63" t="s">
        <v>71</v>
      </c>
      <c r="Q396" s="564"/>
      <c r="R396" s="564"/>
      <c r="S396" s="564"/>
      <c r="T396" s="564"/>
      <c r="U396" s="564"/>
      <c r="V396" s="565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customHeight="1" x14ac:dyDescent="0.25">
      <c r="A397" s="560" t="s">
        <v>73</v>
      </c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  <c r="W397" s="555"/>
      <c r="X397" s="555"/>
      <c r="Y397" s="555"/>
      <c r="Z397" s="555"/>
      <c r="AA397" s="539"/>
      <c r="AB397" s="539"/>
      <c r="AC397" s="539"/>
    </row>
    <row r="398" spans="1:68" ht="27" customHeight="1" x14ac:dyDescent="0.25">
      <c r="A398" s="54" t="s">
        <v>619</v>
      </c>
      <c r="B398" s="54" t="s">
        <v>620</v>
      </c>
      <c r="C398" s="31">
        <v>4301051284</v>
      </c>
      <c r="D398" s="550">
        <v>4607091384352</v>
      </c>
      <c r="E398" s="551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622</v>
      </c>
      <c r="B399" s="54" t="s">
        <v>623</v>
      </c>
      <c r="C399" s="31">
        <v>4301051431</v>
      </c>
      <c r="D399" s="550">
        <v>4607091389654</v>
      </c>
      <c r="E399" s="551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48"/>
      <c r="R399" s="548"/>
      <c r="S399" s="548"/>
      <c r="T399" s="549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4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3" t="s">
        <v>71</v>
      </c>
      <c r="Q400" s="564"/>
      <c r="R400" s="564"/>
      <c r="S400" s="564"/>
      <c r="T400" s="564"/>
      <c r="U400" s="564"/>
      <c r="V400" s="565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6"/>
      <c r="P401" s="563" t="s">
        <v>71</v>
      </c>
      <c r="Q401" s="564"/>
      <c r="R401" s="564"/>
      <c r="S401" s="564"/>
      <c r="T401" s="564"/>
      <c r="U401" s="564"/>
      <c r="V401" s="565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9" t="s">
        <v>625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8"/>
      <c r="AB402" s="538"/>
      <c r="AC402" s="538"/>
    </row>
    <row r="403" spans="1:68" ht="14.25" customHeight="1" x14ac:dyDescent="0.25">
      <c r="A403" s="560" t="s">
        <v>136</v>
      </c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  <c r="W403" s="555"/>
      <c r="X403" s="555"/>
      <c r="Y403" s="555"/>
      <c r="Z403" s="555"/>
      <c r="AA403" s="539"/>
      <c r="AB403" s="539"/>
      <c r="AC403" s="539"/>
    </row>
    <row r="404" spans="1:68" ht="27" customHeight="1" x14ac:dyDescent="0.25">
      <c r="A404" s="54" t="s">
        <v>626</v>
      </c>
      <c r="B404" s="54" t="s">
        <v>627</v>
      </c>
      <c r="C404" s="31">
        <v>4301020319</v>
      </c>
      <c r="D404" s="550">
        <v>4680115885240</v>
      </c>
      <c r="E404" s="551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48"/>
      <c r="R404" s="548"/>
      <c r="S404" s="548"/>
      <c r="T404" s="549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4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3" t="s">
        <v>71</v>
      </c>
      <c r="Q405" s="564"/>
      <c r="R405" s="564"/>
      <c r="S405" s="564"/>
      <c r="T405" s="564"/>
      <c r="U405" s="564"/>
      <c r="V405" s="565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6"/>
      <c r="P406" s="563" t="s">
        <v>71</v>
      </c>
      <c r="Q406" s="564"/>
      <c r="R406" s="564"/>
      <c r="S406" s="564"/>
      <c r="T406" s="564"/>
      <c r="U406" s="564"/>
      <c r="V406" s="565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60" t="s">
        <v>64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39"/>
      <c r="AB407" s="539"/>
      <c r="AC407" s="539"/>
    </row>
    <row r="408" spans="1:68" ht="27" customHeight="1" x14ac:dyDescent="0.25">
      <c r="A408" s="54" t="s">
        <v>629</v>
      </c>
      <c r="B408" s="54" t="s">
        <v>630</v>
      </c>
      <c r="C408" s="31">
        <v>4301031403</v>
      </c>
      <c r="D408" s="550">
        <v>4680115886094</v>
      </c>
      <c r="E408" s="551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4301031363</v>
      </c>
      <c r="D409" s="550">
        <v>4607091389425</v>
      </c>
      <c r="E409" s="551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48"/>
      <c r="R409" s="548"/>
      <c r="S409" s="548"/>
      <c r="T409" s="549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4301031373</v>
      </c>
      <c r="D410" s="550">
        <v>4680115880771</v>
      </c>
      <c r="E410" s="551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638</v>
      </c>
      <c r="B411" s="54" t="s">
        <v>639</v>
      </c>
      <c r="C411" s="31">
        <v>4301031359</v>
      </c>
      <c r="D411" s="550">
        <v>4607091389500</v>
      </c>
      <c r="E411" s="551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48"/>
      <c r="R411" s="548"/>
      <c r="S411" s="548"/>
      <c r="T411" s="549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4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3" t="s">
        <v>71</v>
      </c>
      <c r="Q412" s="564"/>
      <c r="R412" s="564"/>
      <c r="S412" s="564"/>
      <c r="T412" s="564"/>
      <c r="U412" s="564"/>
      <c r="V412" s="565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6"/>
      <c r="P413" s="563" t="s">
        <v>71</v>
      </c>
      <c r="Q413" s="564"/>
      <c r="R413" s="564"/>
      <c r="S413" s="564"/>
      <c r="T413" s="564"/>
      <c r="U413" s="564"/>
      <c r="V413" s="565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59" t="s">
        <v>640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8"/>
      <c r="AB414" s="538"/>
      <c r="AC414" s="538"/>
    </row>
    <row r="415" spans="1:68" ht="14.25" customHeight="1" x14ac:dyDescent="0.25">
      <c r="A415" s="560" t="s">
        <v>64</v>
      </c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  <c r="W415" s="555"/>
      <c r="X415" s="555"/>
      <c r="Y415" s="555"/>
      <c r="Z415" s="555"/>
      <c r="AA415" s="539"/>
      <c r="AB415" s="539"/>
      <c r="AC415" s="539"/>
    </row>
    <row r="416" spans="1:68" ht="27" customHeight="1" x14ac:dyDescent="0.25">
      <c r="A416" s="54" t="s">
        <v>641</v>
      </c>
      <c r="B416" s="54" t="s">
        <v>642</v>
      </c>
      <c r="C416" s="31">
        <v>4301031347</v>
      </c>
      <c r="D416" s="550">
        <v>4680115885110</v>
      </c>
      <c r="E416" s="551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48"/>
      <c r="R416" s="548"/>
      <c r="S416" s="548"/>
      <c r="T416" s="549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4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3" t="s">
        <v>71</v>
      </c>
      <c r="Q417" s="564"/>
      <c r="R417" s="564"/>
      <c r="S417" s="564"/>
      <c r="T417" s="564"/>
      <c r="U417" s="564"/>
      <c r="V417" s="565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6"/>
      <c r="P418" s="563" t="s">
        <v>71</v>
      </c>
      <c r="Q418" s="564"/>
      <c r="R418" s="564"/>
      <c r="S418" s="564"/>
      <c r="T418" s="564"/>
      <c r="U418" s="564"/>
      <c r="V418" s="565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7" t="s">
        <v>644</v>
      </c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68"/>
      <c r="P419" s="568"/>
      <c r="Q419" s="568"/>
      <c r="R419" s="568"/>
      <c r="S419" s="568"/>
      <c r="T419" s="568"/>
      <c r="U419" s="568"/>
      <c r="V419" s="568"/>
      <c r="W419" s="568"/>
      <c r="X419" s="568"/>
      <c r="Y419" s="568"/>
      <c r="Z419" s="568"/>
      <c r="AA419" s="48"/>
      <c r="AB419" s="48"/>
      <c r="AC419" s="48"/>
    </row>
    <row r="420" spans="1:68" ht="16.5" customHeight="1" x14ac:dyDescent="0.25">
      <c r="A420" s="559" t="s">
        <v>644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8"/>
      <c r="AB420" s="538"/>
      <c r="AC420" s="538"/>
    </row>
    <row r="421" spans="1:68" ht="14.25" customHeight="1" x14ac:dyDescent="0.25">
      <c r="A421" s="560" t="s">
        <v>101</v>
      </c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  <c r="W421" s="555"/>
      <c r="X421" s="555"/>
      <c r="Y421" s="555"/>
      <c r="Z421" s="555"/>
      <c r="AA421" s="539"/>
      <c r="AB421" s="539"/>
      <c r="AC421" s="539"/>
    </row>
    <row r="422" spans="1:68" ht="27" customHeight="1" x14ac:dyDescent="0.25">
      <c r="A422" s="54" t="s">
        <v>645</v>
      </c>
      <c r="B422" s="54" t="s">
        <v>646</v>
      </c>
      <c r="C422" s="31">
        <v>4301011795</v>
      </c>
      <c r="D422" s="550">
        <v>4607091389067</v>
      </c>
      <c r="E422" s="551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9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48"/>
      <c r="R422" s="548"/>
      <c r="S422" s="548"/>
      <c r="T422" s="549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4301011961</v>
      </c>
      <c r="D423" s="550">
        <v>4680115885271</v>
      </c>
      <c r="E423" s="551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650</v>
      </c>
      <c r="B424" s="54" t="s">
        <v>651</v>
      </c>
      <c r="C424" s="31">
        <v>4301011376</v>
      </c>
      <c r="D424" s="550">
        <v>4680115885226</v>
      </c>
      <c r="E424" s="551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653</v>
      </c>
      <c r="B425" s="54" t="s">
        <v>654</v>
      </c>
      <c r="C425" s="31">
        <v>4301012145</v>
      </c>
      <c r="D425" s="550">
        <v>4607091383522</v>
      </c>
      <c r="E425" s="551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48"/>
      <c r="R425" s="548"/>
      <c r="S425" s="548"/>
      <c r="T425" s="549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656</v>
      </c>
      <c r="B426" s="54" t="s">
        <v>657</v>
      </c>
      <c r="C426" s="31">
        <v>4301011774</v>
      </c>
      <c r="D426" s="550">
        <v>4680115884502</v>
      </c>
      <c r="E426" s="551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659</v>
      </c>
      <c r="B427" s="54" t="s">
        <v>660</v>
      </c>
      <c r="C427" s="31">
        <v>4301011771</v>
      </c>
      <c r="D427" s="550">
        <v>4607091389104</v>
      </c>
      <c r="E427" s="551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48"/>
      <c r="R427" s="548"/>
      <c r="S427" s="548"/>
      <c r="T427" s="549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4301012125</v>
      </c>
      <c r="D428" s="550">
        <v>4680115886391</v>
      </c>
      <c r="E428" s="551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48"/>
      <c r="R428" s="548"/>
      <c r="S428" s="548"/>
      <c r="T428" s="549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664</v>
      </c>
      <c r="B429" s="54" t="s">
        <v>665</v>
      </c>
      <c r="C429" s="31">
        <v>4301012035</v>
      </c>
      <c r="D429" s="550">
        <v>4680115880603</v>
      </c>
      <c r="E429" s="551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4301012036</v>
      </c>
      <c r="D430" s="550">
        <v>4680115882782</v>
      </c>
      <c r="E430" s="551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4301012050</v>
      </c>
      <c r="D431" s="550">
        <v>4680115885479</v>
      </c>
      <c r="E431" s="551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4301012034</v>
      </c>
      <c r="D432" s="550">
        <v>4607091389982</v>
      </c>
      <c r="E432" s="551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48"/>
      <c r="R432" s="548"/>
      <c r="S432" s="548"/>
      <c r="T432" s="549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4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3" t="s">
        <v>71</v>
      </c>
      <c r="Q433" s="564"/>
      <c r="R433" s="564"/>
      <c r="S433" s="564"/>
      <c r="T433" s="564"/>
      <c r="U433" s="564"/>
      <c r="V433" s="565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546"/>
      <c r="AB433" s="546"/>
      <c r="AC433" s="546"/>
    </row>
    <row r="434" spans="1:68" x14ac:dyDescent="0.2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6"/>
      <c r="P434" s="563" t="s">
        <v>71</v>
      </c>
      <c r="Q434" s="564"/>
      <c r="R434" s="564"/>
      <c r="S434" s="564"/>
      <c r="T434" s="564"/>
      <c r="U434" s="564"/>
      <c r="V434" s="565"/>
      <c r="W434" s="37" t="s">
        <v>69</v>
      </c>
      <c r="X434" s="545">
        <f>IFERROR(SUM(X422:X432),"0")</f>
        <v>0</v>
      </c>
      <c r="Y434" s="545">
        <f>IFERROR(SUM(Y422:Y432),"0")</f>
        <v>0</v>
      </c>
      <c r="Z434" s="37"/>
      <c r="AA434" s="546"/>
      <c r="AB434" s="546"/>
      <c r="AC434" s="546"/>
    </row>
    <row r="435" spans="1:68" ht="14.25" customHeight="1" x14ac:dyDescent="0.25">
      <c r="A435" s="560" t="s">
        <v>136</v>
      </c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  <c r="W435" s="555"/>
      <c r="X435" s="555"/>
      <c r="Y435" s="555"/>
      <c r="Z435" s="555"/>
      <c r="AA435" s="539"/>
      <c r="AB435" s="539"/>
      <c r="AC435" s="539"/>
    </row>
    <row r="436" spans="1:68" ht="16.5" customHeight="1" x14ac:dyDescent="0.25">
      <c r="A436" s="54" t="s">
        <v>673</v>
      </c>
      <c r="B436" s="54" t="s">
        <v>674</v>
      </c>
      <c r="C436" s="31">
        <v>4301020334</v>
      </c>
      <c r="D436" s="550">
        <v>4607091388930</v>
      </c>
      <c r="E436" s="551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48"/>
      <c r="R436" s="548"/>
      <c r="S436" s="548"/>
      <c r="T436" s="549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676</v>
      </c>
      <c r="B437" s="54" t="s">
        <v>677</v>
      </c>
      <c r="C437" s="31">
        <v>4301020384</v>
      </c>
      <c r="D437" s="550">
        <v>4680115886407</v>
      </c>
      <c r="E437" s="551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48"/>
      <c r="R437" s="548"/>
      <c r="S437" s="548"/>
      <c r="T437" s="549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678</v>
      </c>
      <c r="B438" s="54" t="s">
        <v>679</v>
      </c>
      <c r="C438" s="31">
        <v>4301020385</v>
      </c>
      <c r="D438" s="550">
        <v>4680115880054</v>
      </c>
      <c r="E438" s="551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48"/>
      <c r="R438" s="548"/>
      <c r="S438" s="548"/>
      <c r="T438" s="549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4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3" t="s">
        <v>71</v>
      </c>
      <c r="Q439" s="564"/>
      <c r="R439" s="564"/>
      <c r="S439" s="564"/>
      <c r="T439" s="564"/>
      <c r="U439" s="564"/>
      <c r="V439" s="565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63" t="s">
        <v>71</v>
      </c>
      <c r="Q440" s="564"/>
      <c r="R440" s="564"/>
      <c r="S440" s="564"/>
      <c r="T440" s="564"/>
      <c r="U440" s="564"/>
      <c r="V440" s="565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customHeight="1" x14ac:dyDescent="0.25">
      <c r="A441" s="560" t="s">
        <v>64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39"/>
      <c r="AB441" s="539"/>
      <c r="AC441" s="539"/>
    </row>
    <row r="442" spans="1:68" ht="27" customHeight="1" x14ac:dyDescent="0.25">
      <c r="A442" s="54" t="s">
        <v>680</v>
      </c>
      <c r="B442" s="54" t="s">
        <v>681</v>
      </c>
      <c r="C442" s="31">
        <v>4301031349</v>
      </c>
      <c r="D442" s="550">
        <v>4680115883116</v>
      </c>
      <c r="E442" s="551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customHeight="1" x14ac:dyDescent="0.25">
      <c r="A443" s="54" t="s">
        <v>683</v>
      </c>
      <c r="B443" s="54" t="s">
        <v>684</v>
      </c>
      <c r="C443" s="31">
        <v>4301031350</v>
      </c>
      <c r="D443" s="550">
        <v>4680115883093</v>
      </c>
      <c r="E443" s="551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686</v>
      </c>
      <c r="B444" s="54" t="s">
        <v>687</v>
      </c>
      <c r="C444" s="31">
        <v>4301031353</v>
      </c>
      <c r="D444" s="550">
        <v>4680115883109</v>
      </c>
      <c r="E444" s="551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689</v>
      </c>
      <c r="B445" s="54" t="s">
        <v>690</v>
      </c>
      <c r="C445" s="31">
        <v>4301031419</v>
      </c>
      <c r="D445" s="550">
        <v>4680115882072</v>
      </c>
      <c r="E445" s="551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48"/>
      <c r="R445" s="548"/>
      <c r="S445" s="548"/>
      <c r="T445" s="549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691</v>
      </c>
      <c r="B446" s="54" t="s">
        <v>692</v>
      </c>
      <c r="C446" s="31">
        <v>4301031418</v>
      </c>
      <c r="D446" s="550">
        <v>4680115882102</v>
      </c>
      <c r="E446" s="551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693</v>
      </c>
      <c r="B447" s="54" t="s">
        <v>694</v>
      </c>
      <c r="C447" s="31">
        <v>4301031417</v>
      </c>
      <c r="D447" s="550">
        <v>4680115882096</v>
      </c>
      <c r="E447" s="551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48"/>
      <c r="R447" s="548"/>
      <c r="S447" s="548"/>
      <c r="T447" s="549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4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3" t="s">
        <v>71</v>
      </c>
      <c r="Q448" s="564"/>
      <c r="R448" s="564"/>
      <c r="S448" s="564"/>
      <c r="T448" s="564"/>
      <c r="U448" s="564"/>
      <c r="V448" s="565"/>
      <c r="W448" s="37" t="s">
        <v>72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x14ac:dyDescent="0.2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6"/>
      <c r="P449" s="563" t="s">
        <v>71</v>
      </c>
      <c r="Q449" s="564"/>
      <c r="R449" s="564"/>
      <c r="S449" s="564"/>
      <c r="T449" s="564"/>
      <c r="U449" s="564"/>
      <c r="V449" s="565"/>
      <c r="W449" s="37" t="s">
        <v>69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customHeight="1" x14ac:dyDescent="0.25">
      <c r="A450" s="560" t="s">
        <v>73</v>
      </c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  <c r="W450" s="555"/>
      <c r="X450" s="555"/>
      <c r="Y450" s="555"/>
      <c r="Z450" s="555"/>
      <c r="AA450" s="539"/>
      <c r="AB450" s="539"/>
      <c r="AC450" s="539"/>
    </row>
    <row r="451" spans="1:68" ht="16.5" customHeight="1" x14ac:dyDescent="0.25">
      <c r="A451" s="54" t="s">
        <v>695</v>
      </c>
      <c r="B451" s="54" t="s">
        <v>696</v>
      </c>
      <c r="C451" s="31">
        <v>4301051232</v>
      </c>
      <c r="D451" s="550">
        <v>4607091383409</v>
      </c>
      <c r="E451" s="551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698</v>
      </c>
      <c r="B452" s="54" t="s">
        <v>699</v>
      </c>
      <c r="C452" s="31">
        <v>4301051233</v>
      </c>
      <c r="D452" s="550">
        <v>4607091383416</v>
      </c>
      <c r="E452" s="551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701</v>
      </c>
      <c r="B453" s="54" t="s">
        <v>702</v>
      </c>
      <c r="C453" s="31">
        <v>4301051064</v>
      </c>
      <c r="D453" s="550">
        <v>4680115883536</v>
      </c>
      <c r="E453" s="551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3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48"/>
      <c r="R453" s="548"/>
      <c r="S453" s="548"/>
      <c r="T453" s="549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4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3" t="s">
        <v>71</v>
      </c>
      <c r="Q454" s="564"/>
      <c r="R454" s="564"/>
      <c r="S454" s="564"/>
      <c r="T454" s="564"/>
      <c r="U454" s="564"/>
      <c r="V454" s="565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6"/>
      <c r="P455" s="563" t="s">
        <v>71</v>
      </c>
      <c r="Q455" s="564"/>
      <c r="R455" s="564"/>
      <c r="S455" s="564"/>
      <c r="T455" s="564"/>
      <c r="U455" s="564"/>
      <c r="V455" s="565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7" t="s">
        <v>704</v>
      </c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68"/>
      <c r="P456" s="568"/>
      <c r="Q456" s="568"/>
      <c r="R456" s="568"/>
      <c r="S456" s="568"/>
      <c r="T456" s="568"/>
      <c r="U456" s="568"/>
      <c r="V456" s="568"/>
      <c r="W456" s="568"/>
      <c r="X456" s="568"/>
      <c r="Y456" s="568"/>
      <c r="Z456" s="568"/>
      <c r="AA456" s="48"/>
      <c r="AB456" s="48"/>
      <c r="AC456" s="48"/>
    </row>
    <row r="457" spans="1:68" ht="16.5" customHeight="1" x14ac:dyDescent="0.25">
      <c r="A457" s="559" t="s">
        <v>704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8"/>
      <c r="AB457" s="538"/>
      <c r="AC457" s="538"/>
    </row>
    <row r="458" spans="1:68" ht="14.25" customHeight="1" x14ac:dyDescent="0.25">
      <c r="A458" s="560" t="s">
        <v>101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39"/>
      <c r="AB458" s="539"/>
      <c r="AC458" s="539"/>
    </row>
    <row r="459" spans="1:68" ht="27" customHeight="1" x14ac:dyDescent="0.25">
      <c r="A459" s="54" t="s">
        <v>705</v>
      </c>
      <c r="B459" s="54" t="s">
        <v>706</v>
      </c>
      <c r="C459" s="31">
        <v>4301011763</v>
      </c>
      <c r="D459" s="550">
        <v>4640242181011</v>
      </c>
      <c r="E459" s="551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4301011585</v>
      </c>
      <c r="D460" s="550">
        <v>4640242180441</v>
      </c>
      <c r="E460" s="551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4301011584</v>
      </c>
      <c r="D461" s="550">
        <v>4640242180564</v>
      </c>
      <c r="E461" s="551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714</v>
      </c>
      <c r="B462" s="54" t="s">
        <v>715</v>
      </c>
      <c r="C462" s="31">
        <v>4301011764</v>
      </c>
      <c r="D462" s="550">
        <v>4640242181189</v>
      </c>
      <c r="E462" s="551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48"/>
      <c r="R462" s="548"/>
      <c r="S462" s="548"/>
      <c r="T462" s="549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4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3" t="s">
        <v>71</v>
      </c>
      <c r="Q463" s="564"/>
      <c r="R463" s="564"/>
      <c r="S463" s="564"/>
      <c r="T463" s="564"/>
      <c r="U463" s="564"/>
      <c r="V463" s="565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6"/>
      <c r="P464" s="563" t="s">
        <v>71</v>
      </c>
      <c r="Q464" s="564"/>
      <c r="R464" s="564"/>
      <c r="S464" s="564"/>
      <c r="T464" s="564"/>
      <c r="U464" s="564"/>
      <c r="V464" s="565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60" t="s">
        <v>136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39"/>
      <c r="AB465" s="539"/>
      <c r="AC465" s="539"/>
    </row>
    <row r="466" spans="1:68" ht="27" customHeight="1" x14ac:dyDescent="0.25">
      <c r="A466" s="54" t="s">
        <v>716</v>
      </c>
      <c r="B466" s="54" t="s">
        <v>717</v>
      </c>
      <c r="C466" s="31">
        <v>4301020400</v>
      </c>
      <c r="D466" s="550">
        <v>4640242180519</v>
      </c>
      <c r="E466" s="551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48"/>
      <c r="R466" s="548"/>
      <c r="S466" s="548"/>
      <c r="T466" s="549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4301020260</v>
      </c>
      <c r="D467" s="550">
        <v>4640242180526</v>
      </c>
      <c r="E467" s="551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7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48"/>
      <c r="R467" s="548"/>
      <c r="S467" s="548"/>
      <c r="T467" s="549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722</v>
      </c>
      <c r="B468" s="54" t="s">
        <v>723</v>
      </c>
      <c r="C468" s="31">
        <v>4301020295</v>
      </c>
      <c r="D468" s="550">
        <v>4640242181363</v>
      </c>
      <c r="E468" s="551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48"/>
      <c r="R468" s="548"/>
      <c r="S468" s="548"/>
      <c r="T468" s="549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4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3" t="s">
        <v>71</v>
      </c>
      <c r="Q469" s="564"/>
      <c r="R469" s="564"/>
      <c r="S469" s="564"/>
      <c r="T469" s="564"/>
      <c r="U469" s="564"/>
      <c r="V469" s="565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6"/>
      <c r="P470" s="563" t="s">
        <v>71</v>
      </c>
      <c r="Q470" s="564"/>
      <c r="R470" s="564"/>
      <c r="S470" s="564"/>
      <c r="T470" s="564"/>
      <c r="U470" s="564"/>
      <c r="V470" s="565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60" t="s">
        <v>64</v>
      </c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  <c r="W471" s="555"/>
      <c r="X471" s="555"/>
      <c r="Y471" s="555"/>
      <c r="Z471" s="555"/>
      <c r="AA471" s="539"/>
      <c r="AB471" s="539"/>
      <c r="AC471" s="539"/>
    </row>
    <row r="472" spans="1:68" ht="27" customHeight="1" x14ac:dyDescent="0.25">
      <c r="A472" s="54" t="s">
        <v>725</v>
      </c>
      <c r="B472" s="54" t="s">
        <v>726</v>
      </c>
      <c r="C472" s="31">
        <v>4301031280</v>
      </c>
      <c r="D472" s="550">
        <v>4640242180816</v>
      </c>
      <c r="E472" s="551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728</v>
      </c>
      <c r="B473" s="54" t="s">
        <v>729</v>
      </c>
      <c r="C473" s="31">
        <v>4301031244</v>
      </c>
      <c r="D473" s="550">
        <v>4640242180595</v>
      </c>
      <c r="E473" s="551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48"/>
      <c r="R473" s="548"/>
      <c r="S473" s="548"/>
      <c r="T473" s="549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54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3" t="s">
        <v>71</v>
      </c>
      <c r="Q474" s="564"/>
      <c r="R474" s="564"/>
      <c r="S474" s="564"/>
      <c r="T474" s="564"/>
      <c r="U474" s="564"/>
      <c r="V474" s="565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x14ac:dyDescent="0.2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6"/>
      <c r="P475" s="563" t="s">
        <v>71</v>
      </c>
      <c r="Q475" s="564"/>
      <c r="R475" s="564"/>
      <c r="S475" s="564"/>
      <c r="T475" s="564"/>
      <c r="U475" s="564"/>
      <c r="V475" s="565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customHeight="1" x14ac:dyDescent="0.25">
      <c r="A476" s="560" t="s">
        <v>73</v>
      </c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  <c r="W476" s="555"/>
      <c r="X476" s="555"/>
      <c r="Y476" s="555"/>
      <c r="Z476" s="555"/>
      <c r="AA476" s="539"/>
      <c r="AB476" s="539"/>
      <c r="AC476" s="539"/>
    </row>
    <row r="477" spans="1:68" ht="27" customHeight="1" x14ac:dyDescent="0.25">
      <c r="A477" s="54" t="s">
        <v>731</v>
      </c>
      <c r="B477" s="54" t="s">
        <v>732</v>
      </c>
      <c r="C477" s="31">
        <v>4301052046</v>
      </c>
      <c r="D477" s="550">
        <v>4640242180533</v>
      </c>
      <c r="E477" s="551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48"/>
      <c r="R477" s="548"/>
      <c r="S477" s="548"/>
      <c r="T477" s="549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54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3" t="s">
        <v>71</v>
      </c>
      <c r="Q478" s="564"/>
      <c r="R478" s="564"/>
      <c r="S478" s="564"/>
      <c r="T478" s="564"/>
      <c r="U478" s="564"/>
      <c r="V478" s="565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6"/>
      <c r="P479" s="563" t="s">
        <v>71</v>
      </c>
      <c r="Q479" s="564"/>
      <c r="R479" s="564"/>
      <c r="S479" s="564"/>
      <c r="T479" s="564"/>
      <c r="U479" s="564"/>
      <c r="V479" s="565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60" t="s">
        <v>164</v>
      </c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  <c r="W480" s="555"/>
      <c r="X480" s="555"/>
      <c r="Y480" s="555"/>
      <c r="Z480" s="555"/>
      <c r="AA480" s="539"/>
      <c r="AB480" s="539"/>
      <c r="AC480" s="539"/>
    </row>
    <row r="481" spans="1:68" ht="27" customHeight="1" x14ac:dyDescent="0.25">
      <c r="A481" s="54" t="s">
        <v>734</v>
      </c>
      <c r="B481" s="54" t="s">
        <v>735</v>
      </c>
      <c r="C481" s="31">
        <v>4301060491</v>
      </c>
      <c r="D481" s="550">
        <v>4640242180120</v>
      </c>
      <c r="E481" s="551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737</v>
      </c>
      <c r="B482" s="54" t="s">
        <v>738</v>
      </c>
      <c r="C482" s="31">
        <v>4301060493</v>
      </c>
      <c r="D482" s="550">
        <v>4640242180137</v>
      </c>
      <c r="E482" s="551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48"/>
      <c r="R482" s="548"/>
      <c r="S482" s="548"/>
      <c r="T482" s="549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54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3" t="s">
        <v>71</v>
      </c>
      <c r="Q483" s="564"/>
      <c r="R483" s="564"/>
      <c r="S483" s="564"/>
      <c r="T483" s="564"/>
      <c r="U483" s="564"/>
      <c r="V483" s="565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6"/>
      <c r="P484" s="563" t="s">
        <v>71</v>
      </c>
      <c r="Q484" s="564"/>
      <c r="R484" s="564"/>
      <c r="S484" s="564"/>
      <c r="T484" s="564"/>
      <c r="U484" s="564"/>
      <c r="V484" s="565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740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8"/>
      <c r="AB485" s="538"/>
      <c r="AC485" s="538"/>
    </row>
    <row r="486" spans="1:68" ht="14.25" customHeight="1" x14ac:dyDescent="0.25">
      <c r="A486" s="560" t="s">
        <v>136</v>
      </c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  <c r="W486" s="555"/>
      <c r="X486" s="555"/>
      <c r="Y486" s="555"/>
      <c r="Z486" s="555"/>
      <c r="AA486" s="539"/>
      <c r="AB486" s="539"/>
      <c r="AC486" s="539"/>
    </row>
    <row r="487" spans="1:68" ht="27" customHeight="1" x14ac:dyDescent="0.25">
      <c r="A487" s="54" t="s">
        <v>741</v>
      </c>
      <c r="B487" s="54" t="s">
        <v>742</v>
      </c>
      <c r="C487" s="31">
        <v>4301020314</v>
      </c>
      <c r="D487" s="550">
        <v>4640242180090</v>
      </c>
      <c r="E487" s="551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48"/>
      <c r="R487" s="548"/>
      <c r="S487" s="548"/>
      <c r="T487" s="549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4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3" t="s">
        <v>71</v>
      </c>
      <c r="Q488" s="564"/>
      <c r="R488" s="564"/>
      <c r="S488" s="564"/>
      <c r="T488" s="564"/>
      <c r="U488" s="564"/>
      <c r="V488" s="565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6"/>
      <c r="P489" s="563" t="s">
        <v>71</v>
      </c>
      <c r="Q489" s="564"/>
      <c r="R489" s="564"/>
      <c r="S489" s="564"/>
      <c r="T489" s="564"/>
      <c r="U489" s="564"/>
      <c r="V489" s="565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1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9"/>
      <c r="P490" s="641" t="s">
        <v>744</v>
      </c>
      <c r="Q490" s="642"/>
      <c r="R490" s="642"/>
      <c r="S490" s="642"/>
      <c r="T490" s="642"/>
      <c r="U490" s="642"/>
      <c r="V490" s="643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18033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18053.099999999999</v>
      </c>
      <c r="Z490" s="37"/>
      <c r="AA490" s="546"/>
      <c r="AB490" s="546"/>
      <c r="AC490" s="546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9"/>
      <c r="P491" s="641" t="s">
        <v>745</v>
      </c>
      <c r="Q491" s="642"/>
      <c r="R491" s="642"/>
      <c r="S491" s="642"/>
      <c r="T491" s="642"/>
      <c r="U491" s="642"/>
      <c r="V491" s="643"/>
      <c r="W491" s="37" t="s">
        <v>69</v>
      </c>
      <c r="X491" s="545">
        <f>IFERROR(SUM(BM22:BM487),"0")</f>
        <v>18986.345451092118</v>
      </c>
      <c r="Y491" s="545">
        <f>IFERROR(SUM(BN22:BN487),"0")</f>
        <v>19007.400000000001</v>
      </c>
      <c r="Z491" s="37"/>
      <c r="AA491" s="546"/>
      <c r="AB491" s="546"/>
      <c r="AC491" s="546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9"/>
      <c r="P492" s="641" t="s">
        <v>746</v>
      </c>
      <c r="Q492" s="642"/>
      <c r="R492" s="642"/>
      <c r="S492" s="642"/>
      <c r="T492" s="642"/>
      <c r="U492" s="642"/>
      <c r="V492" s="643"/>
      <c r="W492" s="37" t="s">
        <v>747</v>
      </c>
      <c r="X492" s="38">
        <f>ROUNDUP(SUM(BO22:BO487),0)</f>
        <v>33</v>
      </c>
      <c r="Y492" s="38">
        <f>ROUNDUP(SUM(BP22:BP487),0)</f>
        <v>33</v>
      </c>
      <c r="Z492" s="37"/>
      <c r="AA492" s="546"/>
      <c r="AB492" s="546"/>
      <c r="AC492" s="546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9"/>
      <c r="P493" s="641" t="s">
        <v>748</v>
      </c>
      <c r="Q493" s="642"/>
      <c r="R493" s="642"/>
      <c r="S493" s="642"/>
      <c r="T493" s="642"/>
      <c r="U493" s="642"/>
      <c r="V493" s="643"/>
      <c r="W493" s="37" t="s">
        <v>69</v>
      </c>
      <c r="X493" s="545">
        <f>GrossWeightTotal+PalletQtyTotal*25</f>
        <v>19811.345451092118</v>
      </c>
      <c r="Y493" s="545">
        <f>GrossWeightTotalR+PalletQtyTotalR*25</f>
        <v>19832.400000000001</v>
      </c>
      <c r="Z493" s="37"/>
      <c r="AA493" s="546"/>
      <c r="AB493" s="546"/>
      <c r="AC493" s="546"/>
    </row>
    <row r="494" spans="1:68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9"/>
      <c r="P494" s="641" t="s">
        <v>749</v>
      </c>
      <c r="Q494" s="642"/>
      <c r="R494" s="642"/>
      <c r="S494" s="642"/>
      <c r="T494" s="642"/>
      <c r="U494" s="642"/>
      <c r="V494" s="643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2091.4947768281099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2094</v>
      </c>
      <c r="Z494" s="37"/>
      <c r="AA494" s="546"/>
      <c r="AB494" s="546"/>
      <c r="AC494" s="546"/>
    </row>
    <row r="495" spans="1:68" ht="14.25" customHeight="1" x14ac:dyDescent="0.2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709"/>
      <c r="P495" s="641" t="s">
        <v>750</v>
      </c>
      <c r="Q495" s="642"/>
      <c r="R495" s="642"/>
      <c r="S495" s="642"/>
      <c r="T495" s="642"/>
      <c r="U495" s="642"/>
      <c r="V495" s="643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38.484499999999997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40" t="s">
        <v>63</v>
      </c>
      <c r="C497" s="597" t="s">
        <v>99</v>
      </c>
      <c r="D497" s="600"/>
      <c r="E497" s="600"/>
      <c r="F497" s="600"/>
      <c r="G497" s="600"/>
      <c r="H497" s="601"/>
      <c r="I497" s="597" t="s">
        <v>255</v>
      </c>
      <c r="J497" s="600"/>
      <c r="K497" s="600"/>
      <c r="L497" s="600"/>
      <c r="M497" s="600"/>
      <c r="N497" s="600"/>
      <c r="O497" s="600"/>
      <c r="P497" s="600"/>
      <c r="Q497" s="600"/>
      <c r="R497" s="601"/>
      <c r="S497" s="597" t="s">
        <v>541</v>
      </c>
      <c r="T497" s="601"/>
      <c r="U497" s="597" t="s">
        <v>593</v>
      </c>
      <c r="V497" s="600"/>
      <c r="W497" s="601"/>
      <c r="X497" s="540" t="s">
        <v>644</v>
      </c>
      <c r="Y497" s="597" t="s">
        <v>704</v>
      </c>
      <c r="Z497" s="601"/>
      <c r="AB497" s="52"/>
      <c r="AC497" s="52"/>
      <c r="AF497" s="541"/>
    </row>
    <row r="498" spans="1:32" ht="14.25" customHeight="1" thickTop="1" x14ac:dyDescent="0.2">
      <c r="A498" s="613" t="s">
        <v>753</v>
      </c>
      <c r="B498" s="597" t="s">
        <v>63</v>
      </c>
      <c r="C498" s="597" t="s">
        <v>100</v>
      </c>
      <c r="D498" s="597" t="s">
        <v>117</v>
      </c>
      <c r="E498" s="597" t="s">
        <v>171</v>
      </c>
      <c r="F498" s="597" t="s">
        <v>190</v>
      </c>
      <c r="G498" s="597" t="s">
        <v>220</v>
      </c>
      <c r="H498" s="597" t="s">
        <v>99</v>
      </c>
      <c r="I498" s="597" t="s">
        <v>256</v>
      </c>
      <c r="J498" s="597" t="s">
        <v>301</v>
      </c>
      <c r="K498" s="597" t="s">
        <v>361</v>
      </c>
      <c r="L498" s="597" t="s">
        <v>403</v>
      </c>
      <c r="M498" s="597" t="s">
        <v>419</v>
      </c>
      <c r="N498" s="541"/>
      <c r="O498" s="597" t="s">
        <v>430</v>
      </c>
      <c r="P498" s="597" t="s">
        <v>439</v>
      </c>
      <c r="Q498" s="597" t="s">
        <v>453</v>
      </c>
      <c r="R498" s="597" t="s">
        <v>531</v>
      </c>
      <c r="S498" s="597" t="s">
        <v>542</v>
      </c>
      <c r="T498" s="597" t="s">
        <v>577</v>
      </c>
      <c r="U498" s="597" t="s">
        <v>594</v>
      </c>
      <c r="V498" s="597" t="s">
        <v>625</v>
      </c>
      <c r="W498" s="597" t="s">
        <v>640</v>
      </c>
      <c r="X498" s="597" t="s">
        <v>644</v>
      </c>
      <c r="Y498" s="597" t="s">
        <v>704</v>
      </c>
      <c r="Z498" s="597" t="s">
        <v>740</v>
      </c>
      <c r="AB498" s="52"/>
      <c r="AC498" s="52"/>
      <c r="AF498" s="541"/>
    </row>
    <row r="499" spans="1:32" ht="13.5" customHeight="1" thickBot="1" x14ac:dyDescent="0.25">
      <c r="A499" s="614"/>
      <c r="B499" s="598"/>
      <c r="C499" s="598"/>
      <c r="D499" s="598"/>
      <c r="E499" s="598"/>
      <c r="F499" s="598"/>
      <c r="G499" s="598"/>
      <c r="H499" s="598"/>
      <c r="I499" s="598"/>
      <c r="J499" s="598"/>
      <c r="K499" s="598"/>
      <c r="L499" s="598"/>
      <c r="M499" s="598"/>
      <c r="N499" s="541"/>
      <c r="O499" s="598"/>
      <c r="P499" s="598"/>
      <c r="Q499" s="598"/>
      <c r="R499" s="598"/>
      <c r="S499" s="598"/>
      <c r="T499" s="598"/>
      <c r="U499" s="598"/>
      <c r="V499" s="598"/>
      <c r="W499" s="598"/>
      <c r="X499" s="598"/>
      <c r="Y499" s="598"/>
      <c r="Z499" s="598"/>
      <c r="AB499" s="52"/>
      <c r="AC499" s="52"/>
      <c r="AF499" s="541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1803.6000000000004</v>
      </c>
      <c r="E500" s="46">
        <f>IFERROR(Y85*1,"0")+IFERROR(Y86*1,"0")+IFERROR(Y87*1,"0")+IFERROR(Y91*1,"0")+IFERROR(Y92*1,"0")+IFERROR(Y93*1,"0")+IFERROR(Y94*1,"0")</f>
        <v>0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202.5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IFERROR(Y140*1,"0")+IFERROR(Y141*1,"0")+IFERROR(Y142*1,"0")+IFERROR(Y146*1,"0")+IFERROR(Y147*1,"0")+IFERROR(Y148*1,"0")+IFERROR(Y152*1,"0")</f>
        <v>42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11655</v>
      </c>
      <c r="R500" s="46">
        <f>IFERROR(Y336*1,"0")+IFERROR(Y337*1,"0")+IFERROR(Y338*1,"0")</f>
        <v>0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4350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P492:V492"/>
    <mergeCell ref="A103:O104"/>
    <mergeCell ref="P286:V286"/>
    <mergeCell ref="P479:V479"/>
    <mergeCell ref="A339:O340"/>
    <mergeCell ref="M17:M18"/>
    <mergeCell ref="O17:O18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D318:E318"/>
    <mergeCell ref="D389:E389"/>
    <mergeCell ref="P201:T201"/>
    <mergeCell ref="P176:T176"/>
    <mergeCell ref="P247:T247"/>
    <mergeCell ref="P114:T114"/>
    <mergeCell ref="A328:Z328"/>
    <mergeCell ref="A157:Z157"/>
    <mergeCell ref="D447:E447"/>
    <mergeCell ref="P301:T301"/>
    <mergeCell ref="P295:T295"/>
    <mergeCell ref="A400:O401"/>
    <mergeCell ref="D257:E257"/>
    <mergeCell ref="P214:T214"/>
    <mergeCell ref="D213:E213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P70:V70"/>
    <mergeCell ref="A156:Z156"/>
    <mergeCell ref="P116:V116"/>
    <mergeCell ref="D86:E86"/>
    <mergeCell ref="P101:T101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A136:O137"/>
    <mergeCell ref="A254:Z254"/>
    <mergeCell ref="P181:T181"/>
    <mergeCell ref="P344:T344"/>
    <mergeCell ref="D436:E436"/>
    <mergeCell ref="D292:E292"/>
    <mergeCell ref="P346:T346"/>
    <mergeCell ref="A243:O244"/>
    <mergeCell ref="D227:E227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F17:F18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J9:M9"/>
    <mergeCell ref="A296:O297"/>
    <mergeCell ref="D112:E112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A138:Z138"/>
    <mergeCell ref="P307:V307"/>
    <mergeCell ref="P380:T380"/>
    <mergeCell ref="P58:V58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419:Z419"/>
    <mergeCell ref="D477:E477"/>
    <mergeCell ref="A153:O154"/>
    <mergeCell ref="A133:Z133"/>
    <mergeCell ref="P375:T375"/>
    <mergeCell ref="D125:E125"/>
    <mergeCell ref="P446:T446"/>
    <mergeCell ref="P207:T207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P15:T16"/>
    <mergeCell ref="A275:O276"/>
    <mergeCell ref="P219:T219"/>
    <mergeCell ref="A335:Z335"/>
    <mergeCell ref="D162:E162"/>
    <mergeCell ref="P272:T272"/>
    <mergeCell ref="D460:E460"/>
    <mergeCell ref="P210:T210"/>
    <mergeCell ref="P439:V439"/>
    <mergeCell ref="D398:E398"/>
    <mergeCell ref="D91:E91"/>
    <mergeCell ref="P433:V433"/>
    <mergeCell ref="A69:O70"/>
    <mergeCell ref="D106:E106"/>
    <mergeCell ref="D416:E416"/>
    <mergeCell ref="P427:T427"/>
    <mergeCell ref="D264:E264"/>
    <mergeCell ref="D93:E93"/>
    <mergeCell ref="D391:E391"/>
    <mergeCell ref="D220:E220"/>
    <mergeCell ref="A195:Z195"/>
    <mergeCell ref="P297:V297"/>
    <mergeCell ref="P285:T285"/>
    <mergeCell ref="P136:V136"/>
    <mergeCell ref="A483:O484"/>
    <mergeCell ref="D169:E169"/>
    <mergeCell ref="P204:V204"/>
    <mergeCell ref="P82:V82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D375:E375"/>
    <mergeCell ref="P429:T429"/>
    <mergeCell ref="P258:T258"/>
    <mergeCell ref="D369:E369"/>
    <mergeCell ref="P423:T423"/>
    <mergeCell ref="A182:O183"/>
    <mergeCell ref="P52:T52"/>
    <mergeCell ref="D108:E108"/>
    <mergeCell ref="P350:T350"/>
    <mergeCell ref="D267:E267"/>
    <mergeCell ref="D425:E425"/>
    <mergeCell ref="D359:E359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482:T482"/>
    <mergeCell ref="D354:E354"/>
    <mergeCell ref="A332:O333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A498:A499"/>
    <mergeCell ref="P265:T265"/>
    <mergeCell ref="P94:T94"/>
    <mergeCell ref="D379:E379"/>
    <mergeCell ref="D208:E208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T498:T499"/>
    <mergeCell ref="P443:T443"/>
    <mergeCell ref="D197:E197"/>
    <mergeCell ref="D53:E53"/>
    <mergeCell ref="A84:Z84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P56:T56"/>
    <mergeCell ref="V10:W10"/>
    <mergeCell ref="P379:T379"/>
    <mergeCell ref="D360:E360"/>
    <mergeCell ref="D431:E431"/>
    <mergeCell ref="P99:T99"/>
    <mergeCell ref="P170:T170"/>
    <mergeCell ref="P468:T468"/>
    <mergeCell ref="P316:T316"/>
    <mergeCell ref="D66:E66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329:E329"/>
    <mergeCell ref="D158:E158"/>
    <mergeCell ref="A402:Z402"/>
    <mergeCell ref="D229:E22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P79:T79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A83:Z83"/>
    <mergeCell ref="D410:E410"/>
    <mergeCell ref="A441:Z441"/>
    <mergeCell ref="A270:Z270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P187:T18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2025-11-14T07:04:38Z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