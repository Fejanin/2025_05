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34C4B1C4-CFF3-44E6-835C-FF0D10763A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N56" i="1"/>
  <c r="BM56" i="1"/>
  <c r="Z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Y24" i="1" l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Z330" i="1" s="1"/>
  <c r="Y330" i="1"/>
  <c r="D498" i="1"/>
  <c r="H9" i="1"/>
  <c r="A10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3" i="1" s="1"/>
  <c r="BP148" i="1"/>
  <c r="BN148" i="1"/>
  <c r="Z148" i="1"/>
  <c r="Y150" i="1"/>
  <c r="BP163" i="1"/>
  <c r="BN163" i="1"/>
  <c r="Z163" i="1"/>
  <c r="BP167" i="1"/>
  <c r="BN167" i="1"/>
  <c r="Z167" i="1"/>
  <c r="Z171" i="1" s="1"/>
  <c r="Y171" i="1"/>
  <c r="Z177" i="1"/>
  <c r="BP175" i="1"/>
  <c r="BN175" i="1"/>
  <c r="Z175" i="1"/>
  <c r="Y192" i="1"/>
  <c r="BP196" i="1"/>
  <c r="BN196" i="1"/>
  <c r="Z196" i="1"/>
  <c r="Z203" i="1" s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Z259" i="1" s="1"/>
  <c r="BP266" i="1"/>
  <c r="BN266" i="1"/>
  <c r="Z266" i="1"/>
  <c r="Z267" i="1" s="1"/>
  <c r="O498" i="1"/>
  <c r="Y274" i="1"/>
  <c r="BP271" i="1"/>
  <c r="BN271" i="1"/>
  <c r="Z271" i="1"/>
  <c r="Z274" i="1" s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46" i="1" l="1"/>
  <c r="Z431" i="1"/>
  <c r="Y490" i="1"/>
  <c r="Z116" i="1"/>
  <c r="Z95" i="1"/>
  <c r="Z393" i="1"/>
  <c r="Z234" i="1"/>
  <c r="Z43" i="1"/>
  <c r="Z31" i="1"/>
  <c r="Z493" i="1" s="1"/>
  <c r="Y492" i="1"/>
  <c r="Y489" i="1"/>
  <c r="Y491" i="1" s="1"/>
  <c r="Z149" i="1"/>
  <c r="Z69" i="1"/>
  <c r="Y488" i="1"/>
</calcChain>
</file>

<file path=xl/sharedStrings.xml><?xml version="1.0" encoding="utf-8"?>
<sst xmlns="http://schemas.openxmlformats.org/spreadsheetml/2006/main" count="2311" uniqueCount="762">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</sst>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0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customHeight="1" x14ac:dyDescent="0.25">
      <c r="A97" s="552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4</v>
      </c>
      <c r="Y162" s="540">
        <f t="shared" ref="Y162:Y170" si="5">IFERROR(IF(X162="",0,CEILING((X162/$H162),1)*$H162),"")</f>
        <v>4.2</v>
      </c>
      <c r="Z162" s="36">
        <f>IFERROR(IF(Y162=0,"",ROUNDUP(Y162/H162,0)*0.00902),"")</f>
        <v>9.0200000000000002E-3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4.2380952380952381</v>
      </c>
      <c r="BN162" s="64">
        <f t="shared" ref="BN162:BN170" si="7">IFERROR(Y162*I162/H162,"0")</f>
        <v>4.45</v>
      </c>
      <c r="BO162" s="64">
        <f t="shared" ref="BO162:BO170" si="8">IFERROR(1/J162*(X162/H162),"0")</f>
        <v>7.215007215007215E-3</v>
      </c>
      <c r="BP162" s="64">
        <f t="shared" ref="BP162:BP170" si="9">IFERROR(1/J162*(Y162/H162),"0")</f>
        <v>7.575757575757576E-3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4</v>
      </c>
      <c r="Y163" s="540">
        <f t="shared" si="5"/>
        <v>4.2</v>
      </c>
      <c r="Z163" s="36">
        <f>IFERROR(IF(Y163=0,"",ROUNDUP(Y163/H163,0)*0.00902),"")</f>
        <v>9.0200000000000002E-3</v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4.2380952380952381</v>
      </c>
      <c r="BN163" s="64">
        <f t="shared" si="7"/>
        <v>4.45</v>
      </c>
      <c r="BO163" s="64">
        <f t="shared" si="8"/>
        <v>7.215007215007215E-3</v>
      </c>
      <c r="BP163" s="64">
        <f t="shared" si="9"/>
        <v>7.575757575757576E-3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4</v>
      </c>
      <c r="Y164" s="540">
        <f t="shared" si="5"/>
        <v>4.2</v>
      </c>
      <c r="Z164" s="36">
        <f>IFERROR(IF(Y164=0,"",ROUNDUP(Y164/H164,0)*0.00902),"")</f>
        <v>9.0200000000000002E-3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4.1809523809523803</v>
      </c>
      <c r="BN164" s="64">
        <f t="shared" si="7"/>
        <v>4.3899999999999997</v>
      </c>
      <c r="BO164" s="64">
        <f t="shared" si="8"/>
        <v>7.215007215007215E-3</v>
      </c>
      <c r="BP164" s="64">
        <f t="shared" si="9"/>
        <v>7.575757575757576E-3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2.8571428571428568</v>
      </c>
      <c r="Y171" s="541">
        <f>IFERROR(Y162/H162,"0")+IFERROR(Y163/H163,"0")+IFERROR(Y164/H164,"0")+IFERROR(Y165/H165,"0")+IFERROR(Y166/H166,"0")+IFERROR(Y167/H167,"0")+IFERROR(Y168/H168,"0")+IFERROR(Y169/H169,"0")+IFERROR(Y170/H170,"0")</f>
        <v>3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2.7060000000000001E-2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12</v>
      </c>
      <c r="Y172" s="541">
        <f>IFERROR(SUM(Y162:Y170),"0")</f>
        <v>12.600000000000001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4</v>
      </c>
      <c r="Y195" s="540">
        <f t="shared" ref="Y195:Y202" si="10">IFERROR(IF(X195="",0,CEILING((X195/$H195),1)*$H195),"")</f>
        <v>5.4</v>
      </c>
      <c r="Z195" s="36">
        <f>IFERROR(IF(Y195=0,"",ROUNDUP(Y195/H195,0)*0.00902),"")</f>
        <v>9.0200000000000002E-3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4.1407407407407399</v>
      </c>
      <c r="BN195" s="64">
        <f t="shared" ref="BN195:BN202" si="12">IFERROR(Y195*I195/H195,"0")</f>
        <v>5.59</v>
      </c>
      <c r="BO195" s="64">
        <f t="shared" ref="BO195:BO202" si="13">IFERROR(1/J195*(X195/H195),"0")</f>
        <v>5.6116722783389446E-3</v>
      </c>
      <c r="BP195" s="64">
        <f t="shared" ref="BP195:BP202" si="14">IFERROR(1/J195*(Y195/H195),"0")</f>
        <v>7.575757575757576E-3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4</v>
      </c>
      <c r="Y196" s="540">
        <f t="shared" si="10"/>
        <v>5.4</v>
      </c>
      <c r="Z196" s="36">
        <f>IFERROR(IF(Y196=0,"",ROUNDUP(Y196/H196,0)*0.00902),"")</f>
        <v>9.0200000000000002E-3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4.1407407407407399</v>
      </c>
      <c r="BN196" s="64">
        <f t="shared" si="12"/>
        <v>5.59</v>
      </c>
      <c r="BO196" s="64">
        <f t="shared" si="13"/>
        <v>5.6116722783389446E-3</v>
      </c>
      <c r="BP196" s="64">
        <f t="shared" si="14"/>
        <v>7.575757575757576E-3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4</v>
      </c>
      <c r="Y197" s="540">
        <f t="shared" si="10"/>
        <v>5.4</v>
      </c>
      <c r="Z197" s="36">
        <f>IFERROR(IF(Y197=0,"",ROUNDUP(Y197/H197,0)*0.00902),"")</f>
        <v>9.0200000000000002E-3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4.1407407407407399</v>
      </c>
      <c r="BN197" s="64">
        <f t="shared" si="12"/>
        <v>5.59</v>
      </c>
      <c r="BO197" s="64">
        <f t="shared" si="13"/>
        <v>5.6116722783389446E-3</v>
      </c>
      <c r="BP197" s="64">
        <f t="shared" si="14"/>
        <v>7.575757575757576E-3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4</v>
      </c>
      <c r="Y198" s="540">
        <f t="shared" si="10"/>
        <v>5.4</v>
      </c>
      <c r="Z198" s="36">
        <f>IFERROR(IF(Y198=0,"",ROUNDUP(Y198/H198,0)*0.00902),"")</f>
        <v>9.0200000000000002E-3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4.1407407407407399</v>
      </c>
      <c r="BN198" s="64">
        <f t="shared" si="12"/>
        <v>5.59</v>
      </c>
      <c r="BO198" s="64">
        <f t="shared" si="13"/>
        <v>5.6116722783389446E-3</v>
      </c>
      <c r="BP198" s="64">
        <f t="shared" si="14"/>
        <v>7.575757575757576E-3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2.9629629629629628</v>
      </c>
      <c r="Y203" s="541">
        <f>IFERROR(Y195/H195,"0")+IFERROR(Y196/H196,"0")+IFERROR(Y197/H197,"0")+IFERROR(Y198/H198,"0")+IFERROR(Y199/H199,"0")+IFERROR(Y200/H200,"0")+IFERROR(Y201/H201,"0")+IFERROR(Y202/H202,"0")</f>
        <v>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3.6080000000000001E-2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16</v>
      </c>
      <c r="Y204" s="541">
        <f>IFERROR(SUM(Y195:Y202),"0")</f>
        <v>21.6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15</v>
      </c>
      <c r="Y342" s="540">
        <f t="shared" ref="Y342:Y348" si="31">IFERROR(IF(X342="",0,CEILING((X342/$H342),1)*$H342),"")</f>
        <v>15</v>
      </c>
      <c r="Z342" s="36">
        <f>IFERROR(IF(Y342=0,"",ROUNDUP(Y342/H342,0)*0.02175),"")</f>
        <v>2.1749999999999999E-2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15.47</v>
      </c>
      <c r="BN342" s="64">
        <f t="shared" ref="BN342:BN348" si="33">IFERROR(Y342*I342/H342,"0")</f>
        <v>15.47</v>
      </c>
      <c r="BO342" s="64">
        <f t="shared" ref="BO342:BO348" si="34">IFERROR(1/J342*(X342/H342),"0")</f>
        <v>2.0833333333333332E-2</v>
      </c>
      <c r="BP342" s="64">
        <f t="shared" ref="BP342:BP348" si="35">IFERROR(1/J342*(Y342/H342),"0")</f>
        <v>2.0833333333333332E-2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15</v>
      </c>
      <c r="Y343" s="540">
        <f t="shared" si="31"/>
        <v>15</v>
      </c>
      <c r="Z343" s="36">
        <f>IFERROR(IF(Y343=0,"",ROUNDUP(Y343/H343,0)*0.02175),"")</f>
        <v>2.1749999999999999E-2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15.47</v>
      </c>
      <c r="BN343" s="64">
        <f t="shared" si="33"/>
        <v>15.47</v>
      </c>
      <c r="BO343" s="64">
        <f t="shared" si="34"/>
        <v>2.0833333333333332E-2</v>
      </c>
      <c r="BP343" s="64">
        <f t="shared" si="35"/>
        <v>2.0833333333333332E-2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15</v>
      </c>
      <c r="Y345" s="540">
        <f t="shared" si="31"/>
        <v>15</v>
      </c>
      <c r="Z345" s="36">
        <f>IFERROR(IF(Y345=0,"",ROUNDUP(Y345/H345,0)*0.02175),"")</f>
        <v>2.1749999999999999E-2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15.47</v>
      </c>
      <c r="BN345" s="64">
        <f t="shared" si="33"/>
        <v>15.47</v>
      </c>
      <c r="BO345" s="64">
        <f t="shared" si="34"/>
        <v>2.0833333333333332E-2</v>
      </c>
      <c r="BP345" s="64">
        <f t="shared" si="35"/>
        <v>2.0833333333333332E-2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</v>
      </c>
      <c r="Y349" s="541">
        <f>IFERROR(Y342/H342,"0")+IFERROR(Y343/H343,"0")+IFERROR(Y344/H344,"0")+IFERROR(Y345/H345,"0")+IFERROR(Y346/H346,"0")+IFERROR(Y347/H347,"0")+IFERROR(Y348/H348,"0")</f>
        <v>3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6.5250000000000002E-2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45</v>
      </c>
      <c r="Y350" s="541">
        <f>IFERROR(SUM(Y342:Y348),"0")</f>
        <v>45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15</v>
      </c>
      <c r="Y352" s="540">
        <f>IFERROR(IF(X352="",0,CEILING((X352/$H352),1)*$H352),"")</f>
        <v>15</v>
      </c>
      <c r="Z352" s="36">
        <f>IFERROR(IF(Y352=0,"",ROUNDUP(Y352/H352,0)*0.02175),"")</f>
        <v>2.1749999999999999E-2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15.47</v>
      </c>
      <c r="BN352" s="64">
        <f>IFERROR(Y352*I352/H352,"0")</f>
        <v>15.47</v>
      </c>
      <c r="BO352" s="64">
        <f>IFERROR(1/J352*(X352/H352),"0")</f>
        <v>2.0833333333333332E-2</v>
      </c>
      <c r="BP352" s="64">
        <f>IFERROR(1/J352*(Y352/H352),"0")</f>
        <v>2.0833333333333332E-2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1</v>
      </c>
      <c r="Y354" s="541">
        <f>IFERROR(Y352/H352,"0")+IFERROR(Y353/H353,"0")</f>
        <v>1</v>
      </c>
      <c r="Z354" s="541">
        <f>IFERROR(IF(Z352="",0,Z352),"0")+IFERROR(IF(Z353="",0,Z353),"0")</f>
        <v>2.1749999999999999E-2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15</v>
      </c>
      <c r="Y355" s="541">
        <f>IFERROR(SUM(Y352:Y353),"0")</f>
        <v>15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4</v>
      </c>
      <c r="Y384" s="540">
        <f t="shared" ref="Y384:Y392" si="36">IFERROR(IF(X384="",0,CEILING((X384/$H384),1)*$H384),"")</f>
        <v>5.4</v>
      </c>
      <c r="Z384" s="36">
        <f>IFERROR(IF(Y384=0,"",ROUNDUP(Y384/H384,0)*0.00902),"")</f>
        <v>9.0200000000000002E-3</v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4.1407407407407399</v>
      </c>
      <c r="BN384" s="64">
        <f t="shared" ref="BN384:BN392" si="38">IFERROR(Y384*I384/H384,"0")</f>
        <v>5.59</v>
      </c>
      <c r="BO384" s="64">
        <f t="shared" ref="BO384:BO392" si="39">IFERROR(1/J384*(X384/H384),"0")</f>
        <v>5.6116722783389446E-3</v>
      </c>
      <c r="BP384" s="64">
        <f t="shared" ref="BP384:BP392" si="40">IFERROR(1/J384*(Y384/H384),"0")</f>
        <v>7.575757575757576E-3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4</v>
      </c>
      <c r="Y386" s="540">
        <f t="shared" si="36"/>
        <v>5.4</v>
      </c>
      <c r="Z386" s="36">
        <f>IFERROR(IF(Y386=0,"",ROUNDUP(Y386/H386,0)*0.00902),"")</f>
        <v>9.0200000000000002E-3</v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4.1407407407407399</v>
      </c>
      <c r="BN386" s="64">
        <f t="shared" si="38"/>
        <v>5.59</v>
      </c>
      <c r="BO386" s="64">
        <f t="shared" si="39"/>
        <v>5.6116722783389446E-3</v>
      </c>
      <c r="BP386" s="64">
        <f t="shared" si="40"/>
        <v>7.575757575757576E-3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1.4814814814814814</v>
      </c>
      <c r="Y393" s="541">
        <f>IFERROR(Y384/H384,"0")+IFERROR(Y385/H385,"0")+IFERROR(Y386/H386,"0")+IFERROR(Y387/H387,"0")+IFERROR(Y388/H388,"0")+IFERROR(Y389/H389,"0")+IFERROR(Y390/H390,"0")+IFERROR(Y391/H391,"0")+IFERROR(Y392/H392,"0")</f>
        <v>2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1.804E-2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8</v>
      </c>
      <c r="Y394" s="541">
        <f>IFERROR(SUM(Y384:Y392),"0")</f>
        <v>10.8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1.4</v>
      </c>
      <c r="Y407" s="540">
        <f>IFERROR(IF(X407="",0,CEILING((X407/$H407),1)*$H407),"")</f>
        <v>2.1</v>
      </c>
      <c r="Z407" s="36">
        <f>IFERROR(IF(Y407=0,"",ROUNDUP(Y407/H407,0)*0.00502),"")</f>
        <v>5.0200000000000002E-3</v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1.4866666666666666</v>
      </c>
      <c r="BN407" s="64">
        <f>IFERROR(Y407*I407/H407,"0")</f>
        <v>2.23</v>
      </c>
      <c r="BO407" s="64">
        <f>IFERROR(1/J407*(X407/H407),"0")</f>
        <v>2.8490028490028491E-3</v>
      </c>
      <c r="BP407" s="64">
        <f>IFERROR(1/J407*(Y407/H407),"0")</f>
        <v>4.2735042735042739E-3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0.66666666666666663</v>
      </c>
      <c r="Y410" s="541">
        <f>IFERROR(Y406/H406,"0")+IFERROR(Y407/H407,"0")+IFERROR(Y408/H408,"0")+IFERROR(Y409/H409,"0")</f>
        <v>1</v>
      </c>
      <c r="Z410" s="541">
        <f>IFERROR(IF(Z406="",0,Z406),"0")+IFERROR(IF(Z407="",0,Z407),"0")+IFERROR(IF(Z408="",0,Z408),"0")+IFERROR(IF(Z409="",0,Z409),"0")</f>
        <v>5.0200000000000002E-3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1.4</v>
      </c>
      <c r="Y411" s="541">
        <f>IFERROR(SUM(Y406:Y409),"0")</f>
        <v>2.1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0</v>
      </c>
      <c r="Y432" s="541">
        <f>IFERROR(SUM(Y420:Y430),"0")</f>
        <v>0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97.4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107.1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100.86825396825395</v>
      </c>
      <c r="Y489" s="541">
        <f>IFERROR(SUM(BN22:BN485),"0")</f>
        <v>110.94000000000001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1</v>
      </c>
      <c r="Y490" s="38">
        <f>ROUNDUP(SUM(BP22:BP485),0)</f>
        <v>1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125.86825396825395</v>
      </c>
      <c r="Y491" s="541">
        <f>GrossWeightTotalR+PalletQtyTotalR*25</f>
        <v>135.94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11.968253968253967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14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0.17319999999999999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190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12.600000000000001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21.6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60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10.8</v>
      </c>
      <c r="V498" s="46">
        <f>IFERROR(Y402*1,"0")+IFERROR(Y406*1,"0")+IFERROR(Y407*1,"0")+IFERROR(Y408*1,"0")+IFERROR(Y409*1,"0")</f>
        <v>2.1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