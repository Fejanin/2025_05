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CDC1321-C949-43D8-8F65-6CDC677088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Z425" i="1"/>
  <c r="Y425" i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Y435" i="1" s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1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U501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51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Y326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Y306" i="1" s="1"/>
  <c r="P299" i="1"/>
  <c r="X297" i="1"/>
  <c r="X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Q501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Y287" i="1" s="1"/>
  <c r="P284" i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N259" i="1"/>
  <c r="BM259" i="1"/>
  <c r="Z259" i="1"/>
  <c r="Y259" i="1"/>
  <c r="BP259" i="1" s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501" i="1" s="1"/>
  <c r="P225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1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H501" i="1" s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1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X495" i="1" s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A9" i="1"/>
  <c r="A10" i="1" s="1"/>
  <c r="D7" i="1"/>
  <c r="Q6" i="1"/>
  <c r="P2" i="1"/>
  <c r="F9" i="1" l="1"/>
  <c r="J9" i="1"/>
  <c r="F10" i="1"/>
  <c r="Y24" i="1"/>
  <c r="Y32" i="1"/>
  <c r="Y44" i="1"/>
  <c r="Y59" i="1"/>
  <c r="Y65" i="1"/>
  <c r="Y71" i="1"/>
  <c r="Y77" i="1"/>
  <c r="Y83" i="1"/>
  <c r="Y90" i="1"/>
  <c r="Y96" i="1"/>
  <c r="Y105" i="1"/>
  <c r="Y111" i="1"/>
  <c r="Y117" i="1"/>
  <c r="Y128" i="1"/>
  <c r="Y132" i="1"/>
  <c r="Y138" i="1"/>
  <c r="Y143" i="1"/>
  <c r="Y149" i="1"/>
  <c r="Y173" i="1"/>
  <c r="Y179" i="1"/>
  <c r="Y183" i="1"/>
  <c r="Y188" i="1"/>
  <c r="Y194" i="1"/>
  <c r="Y204" i="1"/>
  <c r="Y216" i="1"/>
  <c r="Y222" i="1"/>
  <c r="Y235" i="1"/>
  <c r="Y251" i="1"/>
  <c r="BP266" i="1"/>
  <c r="BN266" i="1"/>
  <c r="Z266" i="1"/>
  <c r="H9" i="1"/>
  <c r="Z22" i="1"/>
  <c r="Z24" i="1" s="1"/>
  <c r="BN22" i="1"/>
  <c r="BP22" i="1"/>
  <c r="Y25" i="1"/>
  <c r="Z28" i="1"/>
  <c r="Z32" i="1" s="1"/>
  <c r="BN28" i="1"/>
  <c r="Z30" i="1"/>
  <c r="BN30" i="1"/>
  <c r="C501" i="1"/>
  <c r="Z42" i="1"/>
  <c r="Z44" i="1" s="1"/>
  <c r="BN42" i="1"/>
  <c r="Y45" i="1"/>
  <c r="D501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BN67" i="1"/>
  <c r="BP67" i="1"/>
  <c r="Z69" i="1"/>
  <c r="BN69" i="1"/>
  <c r="Z73" i="1"/>
  <c r="Z77" i="1" s="1"/>
  <c r="BN73" i="1"/>
  <c r="BP73" i="1"/>
  <c r="Z75" i="1"/>
  <c r="BN75" i="1"/>
  <c r="Z81" i="1"/>
  <c r="Z82" i="1" s="1"/>
  <c r="BN81" i="1"/>
  <c r="Z86" i="1"/>
  <c r="BN86" i="1"/>
  <c r="BP86" i="1"/>
  <c r="Z88" i="1"/>
  <c r="BN88" i="1"/>
  <c r="Y89" i="1"/>
  <c r="Z92" i="1"/>
  <c r="BN92" i="1"/>
  <c r="BP92" i="1"/>
  <c r="Z94" i="1"/>
  <c r="BN94" i="1"/>
  <c r="F501" i="1"/>
  <c r="Z101" i="1"/>
  <c r="Z104" i="1" s="1"/>
  <c r="BN101" i="1"/>
  <c r="Z103" i="1"/>
  <c r="BN103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G501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Z143" i="1" s="1"/>
  <c r="BN141" i="1"/>
  <c r="BP141" i="1"/>
  <c r="Y144" i="1"/>
  <c r="Z147" i="1"/>
  <c r="Z149" i="1" s="1"/>
  <c r="BN147" i="1"/>
  <c r="I501" i="1"/>
  <c r="Y160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Z208" i="1"/>
  <c r="Z216" i="1" s="1"/>
  <c r="BN208" i="1"/>
  <c r="Z210" i="1"/>
  <c r="BN210" i="1"/>
  <c r="Z212" i="1"/>
  <c r="BN212" i="1"/>
  <c r="Z214" i="1"/>
  <c r="BN214" i="1"/>
  <c r="Z220" i="1"/>
  <c r="Z221" i="1" s="1"/>
  <c r="BN220" i="1"/>
  <c r="Z225" i="1"/>
  <c r="Z235" i="1" s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Z251" i="1" s="1"/>
  <c r="BN247" i="1"/>
  <c r="Z249" i="1"/>
  <c r="BN249" i="1"/>
  <c r="L501" i="1"/>
  <c r="Y260" i="1"/>
  <c r="Z256" i="1"/>
  <c r="Z260" i="1" s="1"/>
  <c r="BN256" i="1"/>
  <c r="Z258" i="1"/>
  <c r="BN258" i="1"/>
  <c r="Y261" i="1"/>
  <c r="M501" i="1"/>
  <c r="Y269" i="1"/>
  <c r="BP264" i="1"/>
  <c r="BN264" i="1"/>
  <c r="Z264" i="1"/>
  <c r="Z268" i="1" s="1"/>
  <c r="Y268" i="1"/>
  <c r="Y275" i="1"/>
  <c r="Y282" i="1"/>
  <c r="Y286" i="1"/>
  <c r="Y297" i="1"/>
  <c r="Y305" i="1"/>
  <c r="Y313" i="1"/>
  <c r="Y319" i="1"/>
  <c r="Y325" i="1"/>
  <c r="Y331" i="1"/>
  <c r="Y338" i="1"/>
  <c r="Y350" i="1"/>
  <c r="Y356" i="1"/>
  <c r="Y360" i="1"/>
  <c r="Y371" i="1"/>
  <c r="Y375" i="1"/>
  <c r="Y381" i="1"/>
  <c r="Y395" i="1"/>
  <c r="Y401" i="1"/>
  <c r="Y406" i="1"/>
  <c r="Y412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Y449" i="1"/>
  <c r="BP453" i="1"/>
  <c r="BN453" i="1"/>
  <c r="Z453" i="1"/>
  <c r="Z455" i="1" s="1"/>
  <c r="BP463" i="1"/>
  <c r="BN463" i="1"/>
  <c r="Z463" i="1"/>
  <c r="Y465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S501" i="1"/>
  <c r="W501" i="1"/>
  <c r="Z273" i="1"/>
  <c r="Z275" i="1" s="1"/>
  <c r="BN273" i="1"/>
  <c r="P501" i="1"/>
  <c r="Z280" i="1"/>
  <c r="Z281" i="1" s="1"/>
  <c r="BN280" i="1"/>
  <c r="Y281" i="1"/>
  <c r="Z284" i="1"/>
  <c r="Z286" i="1" s="1"/>
  <c r="BN284" i="1"/>
  <c r="BP284" i="1"/>
  <c r="Z291" i="1"/>
  <c r="Z296" i="1" s="1"/>
  <c r="BN291" i="1"/>
  <c r="Z293" i="1"/>
  <c r="BN293" i="1"/>
  <c r="Z295" i="1"/>
  <c r="BN295" i="1"/>
  <c r="Y296" i="1"/>
  <c r="Z299" i="1"/>
  <c r="Z305" i="1" s="1"/>
  <c r="BN299" i="1"/>
  <c r="BP299" i="1"/>
  <c r="Z301" i="1"/>
  <c r="BN301" i="1"/>
  <c r="Z303" i="1"/>
  <c r="BN303" i="1"/>
  <c r="Z309" i="1"/>
  <c r="Z312" i="1" s="1"/>
  <c r="BN309" i="1"/>
  <c r="Z311" i="1"/>
  <c r="BN311" i="1"/>
  <c r="Z315" i="1"/>
  <c r="BN315" i="1"/>
  <c r="BP315" i="1"/>
  <c r="Z317" i="1"/>
  <c r="BN317" i="1"/>
  <c r="Z321" i="1"/>
  <c r="Z325" i="1" s="1"/>
  <c r="BN321" i="1"/>
  <c r="BP321" i="1"/>
  <c r="Z323" i="1"/>
  <c r="BN323" i="1"/>
  <c r="Z329" i="1"/>
  <c r="Z331" i="1" s="1"/>
  <c r="BN329" i="1"/>
  <c r="R501" i="1"/>
  <c r="Z336" i="1"/>
  <c r="Z338" i="1" s="1"/>
  <c r="BN336" i="1"/>
  <c r="Y339" i="1"/>
  <c r="Z344" i="1"/>
  <c r="Z350" i="1" s="1"/>
  <c r="BN344" i="1"/>
  <c r="Z346" i="1"/>
  <c r="BN346" i="1"/>
  <c r="Z348" i="1"/>
  <c r="BN348" i="1"/>
  <c r="Z354" i="1"/>
  <c r="Z355" i="1" s="1"/>
  <c r="BN354" i="1"/>
  <c r="Z358" i="1"/>
  <c r="Z360" i="1" s="1"/>
  <c r="BN358" i="1"/>
  <c r="BP358" i="1"/>
  <c r="T501" i="1"/>
  <c r="Z369" i="1"/>
  <c r="Z370" i="1" s="1"/>
  <c r="BN369" i="1"/>
  <c r="Y370" i="1"/>
  <c r="Z373" i="1"/>
  <c r="Z375" i="1" s="1"/>
  <c r="BN373" i="1"/>
  <c r="BP373" i="1"/>
  <c r="Z379" i="1"/>
  <c r="Z381" i="1" s="1"/>
  <c r="BN379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Z412" i="1" s="1"/>
  <c r="BN408" i="1"/>
  <c r="BP408" i="1"/>
  <c r="Z410" i="1"/>
  <c r="BN410" i="1"/>
  <c r="X501" i="1"/>
  <c r="Y434" i="1"/>
  <c r="Z424" i="1"/>
  <c r="Z434" i="1" s="1"/>
  <c r="BN424" i="1"/>
  <c r="BP425" i="1"/>
  <c r="BN425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Z449" i="1" s="1"/>
  <c r="BP447" i="1"/>
  <c r="BN447" i="1"/>
  <c r="Z447" i="1"/>
  <c r="Y456" i="1"/>
  <c r="Y455" i="1"/>
  <c r="BP461" i="1"/>
  <c r="BN461" i="1"/>
  <c r="Z461" i="1"/>
  <c r="Z464" i="1" s="1"/>
  <c r="BP469" i="1"/>
  <c r="BN469" i="1"/>
  <c r="Z469" i="1"/>
  <c r="Y471" i="1"/>
  <c r="Y476" i="1"/>
  <c r="BP473" i="1"/>
  <c r="BN473" i="1"/>
  <c r="Z473" i="1"/>
  <c r="Z475" i="1" s="1"/>
  <c r="Y484" i="1"/>
  <c r="Y501" i="1"/>
  <c r="Z470" i="1" l="1"/>
  <c r="Z440" i="1"/>
  <c r="Y493" i="1"/>
  <c r="Y495" i="1"/>
  <c r="Z318" i="1"/>
  <c r="Z204" i="1"/>
  <c r="Z178" i="1"/>
  <c r="Z117" i="1"/>
  <c r="Z96" i="1"/>
  <c r="Z89" i="1"/>
  <c r="Z70" i="1"/>
  <c r="Z496" i="1" s="1"/>
  <c r="Y491" i="1"/>
  <c r="Y492" i="1"/>
  <c r="Y494" i="1" s="1"/>
</calcChain>
</file>

<file path=xl/sharedStrings.xml><?xml version="1.0" encoding="utf-8"?>
<sst xmlns="http://schemas.openxmlformats.org/spreadsheetml/2006/main" count="2242" uniqueCount="768">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</sst>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45998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Воскресенье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0.375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 t="s">
        <v>81</v>
      </c>
      <c r="M27" s="33" t="s">
        <v>82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 t="s">
        <v>84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85</v>
      </c>
      <c r="B28" s="54" t="s">
        <v>86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82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88</v>
      </c>
      <c r="B29" s="54" t="s">
        <v>89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90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91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92</v>
      </c>
      <c r="B30" s="54" t="s">
        <v>93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90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90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20</v>
      </c>
      <c r="Y41" s="546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111</v>
      </c>
      <c r="AG41" s="64"/>
      <c r="AJ41" s="68" t="s">
        <v>84</v>
      </c>
      <c r="AK41" s="68">
        <v>86.4</v>
      </c>
      <c r="BB41" s="86" t="s">
        <v>1</v>
      </c>
      <c r="BM41" s="64">
        <f>IFERROR(X41*I41/H41,"0")</f>
        <v>20.75925925925926</v>
      </c>
      <c r="BN41" s="64">
        <f>IFERROR(Y41*I41/H41,"0")</f>
        <v>22.42</v>
      </c>
      <c r="BO41" s="64">
        <f>IFERROR(1/J41*(X41/H41),"0")</f>
        <v>2.8935185185185182E-2</v>
      </c>
      <c r="BP41" s="64">
        <f>IFERROR(1/J41*(Y41/H41),"0")</f>
        <v>3.125E-2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82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84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82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1.8518518518518516</v>
      </c>
      <c r="Y44" s="547">
        <f>IFERROR(Y41/H41,"0")+IFERROR(Y42/H42,"0")+IFERROR(Y43/H43,"0")</f>
        <v>2</v>
      </c>
      <c r="Z44" s="547">
        <f>IFERROR(IF(Z41="",0,Z41),"0")+IFERROR(IF(Z42="",0,Z42),"0")+IFERROR(IF(Z43="",0,Z43),"0")</f>
        <v>3.7960000000000001E-2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20</v>
      </c>
      <c r="Y45" s="547">
        <f>IFERROR(SUM(Y41:Y43),"0")</f>
        <v>21.6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82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/>
      <c r="M52" s="33" t="s">
        <v>82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90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 t="s">
        <v>115</v>
      </c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 t="s">
        <v>84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10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9.0200000000000002E-2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45</v>
      </c>
      <c r="Y59" s="547">
        <f>IFERROR(SUM(Y52:Y57),"0")</f>
        <v>45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/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82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 t="s">
        <v>81</v>
      </c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 t="s">
        <v>84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82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82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82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82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/>
      <c r="M80" s="33" t="s">
        <v>90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/>
      <c r="M81" s="33" t="s">
        <v>82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90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84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82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90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84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/>
      <c r="M92" s="33" t="s">
        <v>90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82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90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/>
      <c r="M95" s="33" t="s">
        <v>82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84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/>
      <c r="M101" s="33" t="s">
        <v>82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82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84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82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/>
      <c r="M113" s="33" t="s">
        <v>90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/>
      <c r="M114" s="33" t="s">
        <v>90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/>
      <c r="M115" s="33" t="s">
        <v>90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10.8</v>
      </c>
      <c r="Y115" s="546">
        <f>IFERROR(IF(X115="",0,CEILING((X115/$H115),1)*$H115),"")</f>
        <v>10.8</v>
      </c>
      <c r="Z115" s="36">
        <f>IFERROR(IF(Y115=0,"",ROUNDUP(Y115/H115,0)*0.00651),"")</f>
        <v>2.6040000000000001E-2</v>
      </c>
      <c r="AA115" s="56"/>
      <c r="AB115" s="57"/>
      <c r="AC115" s="161" t="s">
        <v>213</v>
      </c>
      <c r="AG115" s="64"/>
      <c r="AJ115" s="68"/>
      <c r="AK115" s="68">
        <v>0</v>
      </c>
      <c r="BB115" s="162" t="s">
        <v>1</v>
      </c>
      <c r="BM115" s="64">
        <f>IFERROR(X115*I115/H115,"0")</f>
        <v>11.808</v>
      </c>
      <c r="BN115" s="64">
        <f>IFERROR(Y115*I115/H115,"0")</f>
        <v>11.808</v>
      </c>
      <c r="BO115" s="64">
        <f>IFERROR(1/J115*(X115/H115),"0")</f>
        <v>2.197802197802198E-2</v>
      </c>
      <c r="BP115" s="64">
        <f>IFERROR(1/J115*(Y115/H115),"0")</f>
        <v>2.197802197802198E-2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81</v>
      </c>
      <c r="M116" s="33" t="s">
        <v>82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84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4</v>
      </c>
      <c r="Y117" s="547">
        <f>IFERROR(Y113/H113,"0")+IFERROR(Y114/H114,"0")+IFERROR(Y115/H115,"0")+IFERROR(Y116/H116,"0")</f>
        <v>4</v>
      </c>
      <c r="Z117" s="547">
        <f>IFERROR(IF(Z113="",0,Z113),"0")+IFERROR(IF(Z114="",0,Z114),"0")+IFERROR(IF(Z115="",0,Z115),"0")+IFERROR(IF(Z116="",0,Z116),"0")</f>
        <v>2.6040000000000001E-2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10.8</v>
      </c>
      <c r="Y118" s="547">
        <f>IFERROR(SUM(Y113:Y116),"0")</f>
        <v>10.8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81</v>
      </c>
      <c r="M120" s="33" t="s">
        <v>82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84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/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/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/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82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84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84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/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270</v>
      </c>
      <c r="B166" s="54" t="s">
        <v>271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275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84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275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84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/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84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30</v>
      </c>
      <c r="Y197" s="546">
        <f t="shared" si="10"/>
        <v>32.400000000000006</v>
      </c>
      <c r="Z197" s="36">
        <f>IFERROR(IF(Y197=0,"",ROUNDUP(Y197/H197,0)*0.00902),"")</f>
        <v>5.4120000000000001E-2</v>
      </c>
      <c r="AA197" s="56"/>
      <c r="AB197" s="57"/>
      <c r="AC197" s="231" t="s">
        <v>315</v>
      </c>
      <c r="AG197" s="64"/>
      <c r="AJ197" s="68" t="s">
        <v>84</v>
      </c>
      <c r="AK197" s="68">
        <v>64.8</v>
      </c>
      <c r="BB197" s="232" t="s">
        <v>1</v>
      </c>
      <c r="BM197" s="64">
        <f t="shared" si="11"/>
        <v>31.05555555555555</v>
      </c>
      <c r="BN197" s="64">
        <f t="shared" si="12"/>
        <v>33.54</v>
      </c>
      <c r="BO197" s="64">
        <f t="shared" si="13"/>
        <v>4.208754208754209E-2</v>
      </c>
      <c r="BP197" s="64">
        <f t="shared" si="14"/>
        <v>4.5454545454545463E-2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84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84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/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275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84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 t="s">
        <v>275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84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275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84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5.5555555555555554</v>
      </c>
      <c r="Y204" s="547">
        <f>IFERROR(Y196/H196,"0")+IFERROR(Y197/H197,"0")+IFERROR(Y198/H198,"0")+IFERROR(Y199/H199,"0")+IFERROR(Y200/H200,"0")+IFERROR(Y201/H201,"0")+IFERROR(Y202/H202,"0")+IFERROR(Y203/H203,"0")</f>
        <v>6.0000000000000009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5.4120000000000001E-2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30</v>
      </c>
      <c r="Y205" s="547">
        <f>IFERROR(SUM(Y196:Y203),"0")</f>
        <v>32.400000000000006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82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82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25</v>
      </c>
      <c r="Y208" s="546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26.469135802469136</v>
      </c>
      <c r="BN208" s="64">
        <f t="shared" si="17"/>
        <v>34.304000000000002</v>
      </c>
      <c r="BO208" s="64">
        <f t="shared" si="18"/>
        <v>4.8225308641975308E-2</v>
      </c>
      <c r="BP208" s="64">
        <f t="shared" si="19"/>
        <v>6.25E-2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82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84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81</v>
      </c>
      <c r="M210" s="33" t="s">
        <v>82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84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/>
      <c r="M211" s="33" t="s">
        <v>90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81</v>
      </c>
      <c r="M212" s="33" t="s">
        <v>82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84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/>
      <c r="M213" s="33" t="s">
        <v>82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81</v>
      </c>
      <c r="M214" s="33" t="s">
        <v>90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84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81</v>
      </c>
      <c r="M215" s="33" t="s">
        <v>82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84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3.0864197530864197</v>
      </c>
      <c r="Y216" s="547">
        <f>IFERROR(Y207/H207,"0")+IFERROR(Y208/H208,"0")+IFERROR(Y209/H209,"0")+IFERROR(Y210/H210,"0")+IFERROR(Y211/H211,"0")+IFERROR(Y212/H212,"0")+IFERROR(Y213/H213,"0")+IFERROR(Y214/H214,"0")+IFERROR(Y215/H215,"0")</f>
        <v>4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7.5920000000000001E-2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25</v>
      </c>
      <c r="Y217" s="547">
        <f>IFERROR(SUM(Y207:Y215),"0")</f>
        <v>32.4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81</v>
      </c>
      <c r="M219" s="33" t="s">
        <v>90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84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81</v>
      </c>
      <c r="M220" s="33" t="s">
        <v>82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84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/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84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82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/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10</v>
      </c>
      <c r="Y256" s="546">
        <f>IFERROR(IF(X256="",0,CEILING((X256/$H256),1)*$H256),"")</f>
        <v>10.8</v>
      </c>
      <c r="Z256" s="36">
        <f>IFERROR(IF(Y256=0,"",ROUNDUP(Y256/H256,0)*0.01898),"")</f>
        <v>1.898E-2</v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10.37962962962963</v>
      </c>
      <c r="BN256" s="64">
        <f>IFERROR(Y256*I256/H256,"0")</f>
        <v>11.21</v>
      </c>
      <c r="BO256" s="64">
        <f>IFERROR(1/J256*(X256/H256),"0")</f>
        <v>1.4467592592592591E-2</v>
      </c>
      <c r="BP256" s="64">
        <f>IFERROR(1/J256*(Y256/H256),"0")</f>
        <v>1.5625E-2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/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20</v>
      </c>
      <c r="Y257" s="546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20.75925925925926</v>
      </c>
      <c r="BN257" s="64">
        <f>IFERROR(Y257*I257/H257,"0")</f>
        <v>22.42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/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2.7777777777777777</v>
      </c>
      <c r="Y260" s="547">
        <f>IFERROR(Y255/H255,"0")+IFERROR(Y256/H256,"0")+IFERROR(Y257/H257,"0")+IFERROR(Y258/H258,"0")+IFERROR(Y259/H259,"0")</f>
        <v>3</v>
      </c>
      <c r="Z260" s="547">
        <f>IFERROR(IF(Z255="",0,Z255),"0")+IFERROR(IF(Z256="",0,Z256),"0")+IFERROR(IF(Z257="",0,Z257),"0")+IFERROR(IF(Z258="",0,Z258),"0")+IFERROR(IF(Z259="",0,Z259),"0")</f>
        <v>5.6940000000000004E-2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30</v>
      </c>
      <c r="Y261" s="547">
        <f>IFERROR(SUM(Y255:Y259),"0")</f>
        <v>32.400000000000006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82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82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82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82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 t="s">
        <v>81</v>
      </c>
      <c r="M273" s="33" t="s">
        <v>90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84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/>
      <c r="M274" s="33" t="s">
        <v>82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/>
      <c r="M284" s="33" t="s">
        <v>82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82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/>
      <c r="M291" s="33" t="s">
        <v>82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/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82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/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/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/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10</v>
      </c>
      <c r="Y299" s="546">
        <f t="shared" ref="Y299:Y304" si="31">IFERROR(IF(X299="",0,CEILING((X299/$H299),1)*$H299),"")</f>
        <v>12.600000000000001</v>
      </c>
      <c r="Z299" s="36">
        <f>IFERROR(IF(Y299=0,"",ROUNDUP(Y299/H299,0)*0.00902),"")</f>
        <v>2.7060000000000001E-2</v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ref="BM299:BM304" si="32">IFERROR(X299*I299/H299,"0")</f>
        <v>10.595238095238095</v>
      </c>
      <c r="BN299" s="64">
        <f t="shared" ref="BN299:BN304" si="33">IFERROR(Y299*I299/H299,"0")</f>
        <v>13.350000000000001</v>
      </c>
      <c r="BO299" s="64">
        <f t="shared" ref="BO299:BO304" si="34">IFERROR(1/J299*(X299/H299),"0")</f>
        <v>1.8037518037518036E-2</v>
      </c>
      <c r="BP299" s="64">
        <f t="shared" ref="BP299:BP304" si="35">IFERROR(1/J299*(Y299/H299),"0")</f>
        <v>2.2727272727272728E-2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/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275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84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81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84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2.3809523809523809</v>
      </c>
      <c r="Y305" s="547">
        <f>IFERROR(Y299/H299,"0")+IFERROR(Y300/H300,"0")+IFERROR(Y301/H301,"0")+IFERROR(Y302/H302,"0")+IFERROR(Y303/H303,"0")+IFERROR(Y304/H304,"0")</f>
        <v>3</v>
      </c>
      <c r="Z305" s="547">
        <f>IFERROR(IF(Z299="",0,Z299),"0")+IFERROR(IF(Z300="",0,Z300),"0")+IFERROR(IF(Z301="",0,Z301),"0")+IFERROR(IF(Z302="",0,Z302),"0")+IFERROR(IF(Z303="",0,Z303),"0")+IFERROR(IF(Z304="",0,Z304),"0")</f>
        <v>2.7060000000000001E-2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10</v>
      </c>
      <c r="Y306" s="547">
        <f>IFERROR(SUM(Y299:Y304),"0")</f>
        <v>12.600000000000001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/>
      <c r="M308" s="33" t="s">
        <v>82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82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82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/>
      <c r="M311" s="33" t="s">
        <v>82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82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84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82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84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/>
      <c r="M317" s="33" t="s">
        <v>90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 t="s">
        <v>81</v>
      </c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 t="s">
        <v>84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/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/>
      <c r="M335" s="33" t="s">
        <v>90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81</v>
      </c>
      <c r="M336" s="33" t="s">
        <v>82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84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81</v>
      </c>
      <c r="M337" s="33" t="s">
        <v>90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84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 t="s">
        <v>109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84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 t="s">
        <v>109</v>
      </c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84</v>
      </c>
      <c r="AK344" s="68">
        <v>120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 t="s">
        <v>109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 t="s">
        <v>84</v>
      </c>
      <c r="AK345" s="68">
        <v>120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90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/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 t="s">
        <v>109</v>
      </c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120</v>
      </c>
      <c r="Y353" s="546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557</v>
      </c>
      <c r="AG353" s="64"/>
      <c r="AJ353" s="68" t="s">
        <v>84</v>
      </c>
      <c r="AK353" s="68">
        <v>120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8</v>
      </c>
      <c r="Y355" s="547">
        <f>IFERROR(Y353/H353,"0")+IFERROR(Y354/H354,"0")</f>
        <v>8</v>
      </c>
      <c r="Z355" s="547">
        <f>IFERROR(IF(Z353="",0,Z353),"0")+IFERROR(IF(Z354="",0,Z354),"0")</f>
        <v>0.17399999999999999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120</v>
      </c>
      <c r="Y356" s="547">
        <f>IFERROR(SUM(Y353:Y354),"0")</f>
        <v>120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/>
      <c r="M358" s="33" t="s">
        <v>82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/>
      <c r="M359" s="33" t="s">
        <v>82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82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/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/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/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/>
      <c r="M378" s="33" t="s">
        <v>82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/>
      <c r="M379" s="33" t="s">
        <v>82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82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/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10</v>
      </c>
      <c r="Y386" s="546">
        <f t="shared" ref="Y386:Y394" si="41">IFERROR(IF(X386="",0,CEILING((X386/$H386),1)*$H386),"")</f>
        <v>10.8</v>
      </c>
      <c r="Z386" s="36">
        <f>IFERROR(IF(Y386=0,"",ROUNDUP(Y386/H386,0)*0.00902),"")</f>
        <v>1.804E-2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ref="BM386:BM394" si="42">IFERROR(X386*I386/H386,"0")</f>
        <v>10.351851851851851</v>
      </c>
      <c r="BN386" s="64">
        <f t="shared" ref="BN386:BN394" si="43">IFERROR(Y386*I386/H386,"0")</f>
        <v>11.18</v>
      </c>
      <c r="BO386" s="64">
        <f t="shared" ref="BO386:BO394" si="44">IFERROR(1/J386*(X386/H386),"0")</f>
        <v>1.4029180695847361E-2</v>
      </c>
      <c r="BP386" s="64">
        <f t="shared" ref="BP386:BP394" si="45">IFERROR(1/J386*(Y386/H386),"0")</f>
        <v>1.5151515151515152E-2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/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 t="s">
        <v>275</v>
      </c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 t="s">
        <v>84</v>
      </c>
      <c r="AK390" s="68">
        <v>37.799999999999997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1.8518518518518516</v>
      </c>
      <c r="Y395" s="547">
        <f>IFERROR(Y386/H386,"0")+IFERROR(Y387/H387,"0")+IFERROR(Y388/H388,"0")+IFERROR(Y389/H389,"0")+IFERROR(Y390/H390,"0")+IFERROR(Y391/H391,"0")+IFERROR(Y392/H392,"0")+IFERROR(Y393/H393,"0")+IFERROR(Y394/H394,"0")</f>
        <v>2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1.804E-2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10</v>
      </c>
      <c r="Y396" s="547">
        <f>IFERROR(SUM(Y386:Y394),"0")</f>
        <v>10.8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/>
      <c r="M398" s="33" t="s">
        <v>82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/>
      <c r="M399" s="33" t="s">
        <v>82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/>
      <c r="AK399" s="68">
        <v>0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/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15</v>
      </c>
      <c r="Y422" s="546">
        <f t="shared" ref="Y422:Y433" si="47">IFERROR(IF(X422="",0,CEILING((X422/$H422),1)*$H422),"")</f>
        <v>15.84</v>
      </c>
      <c r="Z422" s="36">
        <f t="shared" ref="Z422:Z428" si="48">IFERROR(IF(Y422=0,"",ROUNDUP(Y422/H422,0)*0.01196),"")</f>
        <v>3.5880000000000002E-2</v>
      </c>
      <c r="AA422" s="56"/>
      <c r="AB422" s="57"/>
      <c r="AC422" s="463" t="s">
        <v>111</v>
      </c>
      <c r="AG422" s="64"/>
      <c r="AJ422" s="68" t="s">
        <v>84</v>
      </c>
      <c r="AK422" s="68">
        <v>42.24</v>
      </c>
      <c r="BB422" s="464" t="s">
        <v>1</v>
      </c>
      <c r="BM422" s="64">
        <f t="shared" ref="BM422:BM433" si="49">IFERROR(X422*I422/H422,"0")</f>
        <v>15.994318181818182</v>
      </c>
      <c r="BN422" s="64">
        <f t="shared" ref="BN422:BN433" si="50">IFERROR(Y422*I422/H422,"0")</f>
        <v>16.889999999999997</v>
      </c>
      <c r="BO422" s="64">
        <f t="shared" ref="BO422:BO433" si="51">IFERROR(1/J422*(X422/H422),"0")</f>
        <v>2.7316433566433568E-2</v>
      </c>
      <c r="BP422" s="64">
        <f t="shared" ref="BP422:BP433" si="52">IFERROR(1/J422*(Y422/H422),"0")</f>
        <v>2.8846153846153848E-2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/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82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45</v>
      </c>
      <c r="Y426" s="546">
        <f t="shared" si="47"/>
        <v>47.52</v>
      </c>
      <c r="Z426" s="36">
        <f t="shared" si="48"/>
        <v>0.10764</v>
      </c>
      <c r="AA426" s="56"/>
      <c r="AB426" s="57"/>
      <c r="AC426" s="471" t="s">
        <v>652</v>
      </c>
      <c r="AG426" s="64"/>
      <c r="AJ426" s="68" t="s">
        <v>84</v>
      </c>
      <c r="AK426" s="68">
        <v>42.24</v>
      </c>
      <c r="BB426" s="472" t="s">
        <v>1</v>
      </c>
      <c r="BM426" s="64">
        <f t="shared" si="49"/>
        <v>47.98295454545454</v>
      </c>
      <c r="BN426" s="64">
        <f t="shared" si="50"/>
        <v>50.669999999999995</v>
      </c>
      <c r="BO426" s="64">
        <f t="shared" si="51"/>
        <v>8.1949300699300689E-2</v>
      </c>
      <c r="BP426" s="64">
        <f t="shared" si="52"/>
        <v>8.6538461538461536E-2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80</v>
      </c>
      <c r="Y428" s="546">
        <f t="shared" si="47"/>
        <v>84.48</v>
      </c>
      <c r="Z428" s="36">
        <f t="shared" si="48"/>
        <v>0.19136</v>
      </c>
      <c r="AA428" s="56"/>
      <c r="AB428" s="57"/>
      <c r="AC428" s="475" t="s">
        <v>658</v>
      </c>
      <c r="AG428" s="64"/>
      <c r="AJ428" s="68" t="s">
        <v>84</v>
      </c>
      <c r="AK428" s="68">
        <v>42.24</v>
      </c>
      <c r="BB428" s="476" t="s">
        <v>1</v>
      </c>
      <c r="BM428" s="64">
        <f t="shared" si="49"/>
        <v>85.303030303030297</v>
      </c>
      <c r="BN428" s="64">
        <f t="shared" si="50"/>
        <v>90.08</v>
      </c>
      <c r="BO428" s="64">
        <f t="shared" si="51"/>
        <v>0.14568764568764569</v>
      </c>
      <c r="BP428" s="64">
        <f t="shared" si="52"/>
        <v>0.15384615384615385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82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26.515151515151516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0.33488000000000001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140</v>
      </c>
      <c r="Y435" s="547">
        <f>IFERROR(SUM(Y422:Y433),"0")</f>
        <v>147.84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/>
      <c r="M437" s="33" t="s">
        <v>82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45</v>
      </c>
      <c r="Y437" s="546">
        <f>IFERROR(IF(X437="",0,CEILING((X437/$H437),1)*$H437),"")</f>
        <v>47.52</v>
      </c>
      <c r="Z437" s="36">
        <f>IFERROR(IF(Y437=0,"",ROUNDUP(Y437/H437,0)*0.01196),"")</f>
        <v>0.10764</v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47.98295454545454</v>
      </c>
      <c r="BN437" s="64">
        <f>IFERROR(Y437*I437/H437,"0")</f>
        <v>50.669999999999995</v>
      </c>
      <c r="BO437" s="64">
        <f>IFERROR(1/J437*(X437/H437),"0")</f>
        <v>8.1949300699300689E-2</v>
      </c>
      <c r="BP437" s="64">
        <f>IFERROR(1/J437*(Y437/H437),"0")</f>
        <v>8.6538461538461536E-2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82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8.5227272727272716</v>
      </c>
      <c r="Y440" s="547">
        <f>IFERROR(Y437/H437,"0")+IFERROR(Y438/H438,"0")+IFERROR(Y439/H439,"0")</f>
        <v>9</v>
      </c>
      <c r="Z440" s="547">
        <f>IFERROR(IF(Z437="",0,Z437),"0")+IFERROR(IF(Z438="",0,Z438),"0")+IFERROR(IF(Z439="",0,Z439),"0")</f>
        <v>0.10764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45</v>
      </c>
      <c r="Y441" s="547">
        <f>IFERROR(SUM(Y437:Y439),"0")</f>
        <v>47.52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/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/>
      <c r="AK443" s="68">
        <v>0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84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84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82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82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82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82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/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82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/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/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/>
      <c r="M478" s="33" t="s">
        <v>90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50</v>
      </c>
      <c r="Y478" s="546">
        <f>IFERROR(IF(X478="",0,CEILING((X478/$H478),1)*$H478),"")</f>
        <v>54</v>
      </c>
      <c r="Z478" s="36">
        <f>IFERROR(IF(Y478=0,"",ROUNDUP(Y478/H478,0)*0.01898),"")</f>
        <v>0.11388000000000001</v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52.74444444444444</v>
      </c>
      <c r="BN478" s="64">
        <f>IFERROR(Y478*I478/H478,"0")</f>
        <v>56.963999999999992</v>
      </c>
      <c r="BO478" s="64">
        <f>IFERROR(1/J478*(X478/H478),"0")</f>
        <v>8.6805555555555552E-2</v>
      </c>
      <c r="BP478" s="64">
        <f>IFERROR(1/J478*(Y478/H478),"0")</f>
        <v>9.375E-2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5.5555555555555554</v>
      </c>
      <c r="Y479" s="547">
        <f>IFERROR(Y478/H478,"0")</f>
        <v>6</v>
      </c>
      <c r="Z479" s="547">
        <f>IFERROR(IF(Z478="",0,Z478),"0")</f>
        <v>0.11388000000000001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50</v>
      </c>
      <c r="Y480" s="547">
        <f>IFERROR(SUM(Y478:Y478),"0")</f>
        <v>54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82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82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535.79999999999995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567.36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562.84563147346489</v>
      </c>
      <c r="Y492" s="547">
        <f>IFERROR(SUM(BN22:BN488),"0")</f>
        <v>596.16599999999994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</v>
      </c>
      <c r="Y493" s="38">
        <f>ROUNDUP(SUM(BP22:BP488),0)</f>
        <v>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587.84563147346489</v>
      </c>
      <c r="Y494" s="547">
        <f>GrossWeightTotalR+PalletQtyTotalR*25</f>
        <v>621.16599999999994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80.097843514510174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85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1.1166800000000001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10.8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64.800000000000011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32.400000000000006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12.600000000000001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120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10.8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195.36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54</v>
      </c>
      <c r="Z501" s="46">
        <f>IFERROR(Y488*1,"0")</f>
        <v>0</v>
      </c>
      <c r="AB501" s="52"/>
      <c r="AC501" s="52"/>
      <c r="AF501" s="543"/>
    </row>
  </sheetData>
  <sheetProtection algorithmName="SHA-512" hashValue="keQEkJlOIwRVqOQp64+vkONNB95TfvlJdcfK5AJnr8jEYZf+vGZEUQvKVHV4tvrWzmRJQFxo0irsDSy/NYl02A==" saltValue="g0r9o9vla2ppSmyQZM8ez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6 X88 X100 X102 X116 X120 X162 X164 X167 X169 X196:X199 X201:X203 X209:X210 X212 X214:X215 X219:X220 X233 X273 X303:X304 X315:X316 X323 X336:X337 X343:X345 X353 X390 X422 X426 X428 X444:X445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rs8aShgEltBEsd+T2lWKEduhbURLeqS62wqGPd0wYkXpGNaxYRkwdnbHld9B425+lU+9aJnqPrmG23mK7AfAyQ==" saltValue="jdI0OxY2Q+vXPekpW3Nh5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