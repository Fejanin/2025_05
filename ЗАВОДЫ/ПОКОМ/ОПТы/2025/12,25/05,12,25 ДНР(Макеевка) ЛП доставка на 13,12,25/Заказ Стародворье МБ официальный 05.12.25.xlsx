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4A267B0-9052-466B-92FA-0C27D89F33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Лист2!$B$2:$H$38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0" i="2" l="1"/>
  <c r="G18" i="2"/>
  <c r="G15" i="2"/>
  <c r="G13" i="2"/>
  <c r="G12" i="2"/>
  <c r="G11" i="2"/>
  <c r="G9" i="2"/>
  <c r="G8" i="2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10" i="2"/>
  <c r="G14" i="2"/>
  <c r="G16" i="2"/>
  <c r="G17" i="2"/>
  <c r="G19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<sst xmlns="http://schemas.openxmlformats.org/spreadsheetml/2006/main" count="67" uniqueCount="67">
  <si>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</si>
  <si>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</si>
  <si>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</si>
  <si>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</si>
  <si>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</si>
  <si>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</si>
  <si>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</si>
  <si>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</si>
  <si>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</si>
  <si>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</si>
  <si>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</si>
  <si>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</si>
  <si>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</si>
  <si>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</si>
  <si>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</si>
  <si>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</si>
  <si>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</si>
  <si>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</si>
  <si>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</si>
  <si>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</si>
  <si>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</si>
  <si>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</si>
  <si>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</si>
  <si>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</si>
  <si>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</si>
  <si>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</si>
  <si>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</si>
  <si>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</si>
  <si>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</si>
  <si>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</si>
  <si>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</si>
  <si>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</si>
  <si>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</si>
  <si>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</si>
  <si>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</si>
  <si>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</si>
  <si>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</si>
  <si>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</si>
  <si>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</si>
  <si>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</si>
  <si>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</si>
  <si>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</si>
  <si>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</si>
  <si>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</si>
  <si>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</si>
  <si>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</si>
  <si>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</si>
  <si>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</si>
  <si>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</si>
  <si>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</si>
  <si>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</si>
  <si>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</si>
  <si>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</si>
  <si>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</si>
  <si>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</si>
  <si>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</si>
  <si>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</si>
  <si>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</si>
  <si>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</si>
  <si>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</si>
  <si>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</si>
  <si>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</si>
  <si>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</si>
  <si>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</si>
  <si>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</si>
  <si>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</si>
  <si>
    <t>уменьшить на 400кг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</si>
</sst>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  <xf numFmtId="4" fontId="35" fillId="30" borderId="24" xfId="0" applyNumberFormat="1" applyFont="1" applyFill="1" applyBorder="1" applyAlignment="1">
      <alignment horizontal="center" vertical="center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J38"/>
  <sheetViews>
    <sheetView tabSelected="1" zoomScale="70" zoomScaleNormal="68" workbookViewId="0">
      <pane ySplit="2" topLeftCell="A3" activePane="bottomLeft" state="frozen"/>
      <selection pane="bottomLeft" activeCell="O7" sqref="O7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</cols>
  <sheetData>
    <row r="1" spans="2:10" ht="27" thickBot="1" x14ac:dyDescent="0.45"/>
    <row r="2" spans="2:10" ht="79.5" thickBot="1" x14ac:dyDescent="0.3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  <c r="J2" t="s">
        <v>66</v>
      </c>
    </row>
    <row r="3" spans="2:10" ht="27" customHeight="1" x14ac:dyDescent="0.25">
      <c r="B3" s="11" t="s">
        <v>21</v>
      </c>
      <c r="C3" s="7">
        <v>1</v>
      </c>
      <c r="D3" s="21">
        <v>309.37172700000002</v>
      </c>
      <c r="E3" s="27" t="s">
        <v>15</v>
      </c>
      <c r="F3" s="38">
        <v>100</v>
      </c>
      <c r="G3" s="37">
        <f t="shared" ref="G3:G16" si="0">F3*C3</f>
        <v>100</v>
      </c>
      <c r="H3" s="31">
        <f t="shared" ref="H3:H16" si="1">F3*D3</f>
        <v>30937.172700000003</v>
      </c>
    </row>
    <row r="4" spans="2:10" ht="27" hidden="1" customHeight="1" x14ac:dyDescent="0.2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10" ht="27" customHeight="1" thickBot="1" x14ac:dyDescent="0.3">
      <c r="B5" s="11" t="s">
        <v>23</v>
      </c>
      <c r="C5" s="4">
        <v>0.42</v>
      </c>
      <c r="D5" s="17">
        <v>112.516704</v>
      </c>
      <c r="E5" s="27" t="s">
        <v>17</v>
      </c>
      <c r="F5" s="38">
        <v>100</v>
      </c>
      <c r="G5" s="37">
        <f t="shared" si="0"/>
        <v>42</v>
      </c>
      <c r="H5" s="31">
        <f t="shared" si="1"/>
        <v>11251.670400000001</v>
      </c>
    </row>
    <row r="6" spans="2:10" ht="27" customHeight="1" x14ac:dyDescent="0.25">
      <c r="B6" s="11" t="s">
        <v>22</v>
      </c>
      <c r="C6" s="8">
        <v>0.42</v>
      </c>
      <c r="D6" s="21">
        <v>99.07182499999999</v>
      </c>
      <c r="E6" s="27" t="s">
        <v>16</v>
      </c>
      <c r="F6" s="38">
        <v>600</v>
      </c>
      <c r="G6" s="37">
        <f t="shared" si="0"/>
        <v>252</v>
      </c>
      <c r="H6" s="31">
        <f t="shared" si="1"/>
        <v>59443.094999999994</v>
      </c>
    </row>
    <row r="7" spans="2:10" ht="27" customHeight="1" x14ac:dyDescent="0.25">
      <c r="B7" s="11" t="s">
        <v>11</v>
      </c>
      <c r="C7" s="3">
        <v>1</v>
      </c>
      <c r="D7" s="17">
        <v>295.49</v>
      </c>
      <c r="E7" s="27" t="s">
        <v>29</v>
      </c>
      <c r="F7" s="38">
        <v>300</v>
      </c>
      <c r="G7" s="37">
        <f t="shared" si="0"/>
        <v>300</v>
      </c>
      <c r="H7" s="31">
        <f t="shared" si="1"/>
        <v>88647</v>
      </c>
    </row>
    <row r="8" spans="2:10" ht="27" customHeight="1" thickBot="1" x14ac:dyDescent="0.3">
      <c r="B8" s="11" t="s">
        <v>8</v>
      </c>
      <c r="C8" s="3">
        <v>1</v>
      </c>
      <c r="D8" s="21">
        <v>199.36</v>
      </c>
      <c r="E8" s="27" t="s">
        <v>39</v>
      </c>
      <c r="F8" s="38">
        <v>5000</v>
      </c>
      <c r="G8" s="45">
        <f>F8*C8+J8</f>
        <v>4870</v>
      </c>
      <c r="H8" s="31">
        <f t="shared" si="1"/>
        <v>996800.00000000012</v>
      </c>
      <c r="J8">
        <v>-130</v>
      </c>
    </row>
    <row r="9" spans="2:10" ht="27" customHeight="1" x14ac:dyDescent="0.25">
      <c r="B9" s="20" t="s">
        <v>0</v>
      </c>
      <c r="C9" s="9">
        <v>1</v>
      </c>
      <c r="D9" s="21">
        <v>263.07</v>
      </c>
      <c r="E9" s="28" t="s">
        <v>30</v>
      </c>
      <c r="F9" s="38">
        <v>1000</v>
      </c>
      <c r="G9" s="45">
        <f>F9*C9+J9</f>
        <v>970</v>
      </c>
      <c r="H9" s="31">
        <f t="shared" si="1"/>
        <v>263070</v>
      </c>
      <c r="J9">
        <v>-30</v>
      </c>
    </row>
    <row r="10" spans="2:10" ht="27" hidden="1" customHeight="1" x14ac:dyDescent="0.25">
      <c r="B10" s="11" t="s">
        <v>47</v>
      </c>
      <c r="C10" s="3">
        <v>1</v>
      </c>
      <c r="D10" s="18">
        <v>257.47000000000003</v>
      </c>
      <c r="E10" s="27" t="s">
        <v>48</v>
      </c>
      <c r="F10" s="38"/>
      <c r="G10" s="37">
        <f t="shared" si="0"/>
        <v>0</v>
      </c>
      <c r="H10" s="31">
        <f t="shared" si="1"/>
        <v>0</v>
      </c>
    </row>
    <row r="11" spans="2:10" ht="27" customHeight="1" x14ac:dyDescent="0.25">
      <c r="B11" s="11" t="s">
        <v>1</v>
      </c>
      <c r="C11" s="3">
        <v>1</v>
      </c>
      <c r="D11" s="21">
        <v>222.99</v>
      </c>
      <c r="E11" s="27" t="s">
        <v>33</v>
      </c>
      <c r="F11" s="38">
        <v>2000</v>
      </c>
      <c r="G11" s="45">
        <f t="shared" ref="G11:G13" si="2">F11*C11+J11</f>
        <v>1950</v>
      </c>
      <c r="H11" s="31">
        <f t="shared" si="1"/>
        <v>445980</v>
      </c>
      <c r="J11">
        <v>-50</v>
      </c>
    </row>
    <row r="12" spans="2:10" ht="27" customHeight="1" x14ac:dyDescent="0.25">
      <c r="B12" s="11" t="s">
        <v>58</v>
      </c>
      <c r="C12" s="3">
        <v>1</v>
      </c>
      <c r="D12" s="21">
        <v>166</v>
      </c>
      <c r="E12" s="27">
        <v>219</v>
      </c>
      <c r="F12" s="38">
        <v>2000</v>
      </c>
      <c r="G12" s="45">
        <f t="shared" si="2"/>
        <v>1950</v>
      </c>
      <c r="H12" s="31">
        <f t="shared" si="1"/>
        <v>332000</v>
      </c>
      <c r="J12">
        <v>-50</v>
      </c>
    </row>
    <row r="13" spans="2:10" ht="27" customHeight="1" x14ac:dyDescent="0.25">
      <c r="B13" s="11" t="s">
        <v>24</v>
      </c>
      <c r="C13" s="3">
        <v>1</v>
      </c>
      <c r="D13" s="21">
        <v>166</v>
      </c>
      <c r="E13" s="27">
        <v>230</v>
      </c>
      <c r="F13" s="38">
        <v>1000</v>
      </c>
      <c r="G13" s="45">
        <f t="shared" si="2"/>
        <v>970</v>
      </c>
      <c r="H13" s="31">
        <f t="shared" si="1"/>
        <v>166000</v>
      </c>
      <c r="J13">
        <v>-30</v>
      </c>
    </row>
    <row r="14" spans="2:10" ht="27" customHeight="1" thickBot="1" x14ac:dyDescent="0.3">
      <c r="B14" s="14" t="s">
        <v>12</v>
      </c>
      <c r="C14" s="6">
        <v>1</v>
      </c>
      <c r="D14" s="16">
        <v>276.26</v>
      </c>
      <c r="E14" s="29" t="s">
        <v>28</v>
      </c>
      <c r="F14" s="38">
        <v>400</v>
      </c>
      <c r="G14" s="37">
        <f t="shared" si="0"/>
        <v>400</v>
      </c>
      <c r="H14" s="31">
        <f t="shared" si="1"/>
        <v>110504</v>
      </c>
    </row>
    <row r="15" spans="2:10" ht="26.25" customHeight="1" x14ac:dyDescent="0.25">
      <c r="B15" s="11" t="s">
        <v>26</v>
      </c>
      <c r="C15" s="3">
        <v>1</v>
      </c>
      <c r="D15" s="21">
        <v>225.29</v>
      </c>
      <c r="E15" s="27">
        <v>201</v>
      </c>
      <c r="F15" s="38">
        <v>2000</v>
      </c>
      <c r="G15" s="45">
        <f>F15*C15+J15</f>
        <v>1950</v>
      </c>
      <c r="H15" s="31">
        <f t="shared" si="1"/>
        <v>450580</v>
      </c>
      <c r="J15">
        <v>-50</v>
      </c>
    </row>
    <row r="16" spans="2:10" ht="26.25" customHeight="1" x14ac:dyDescent="0.2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100</v>
      </c>
      <c r="G16" s="37">
        <f t="shared" si="0"/>
        <v>100</v>
      </c>
      <c r="H16" s="31">
        <f t="shared" si="1"/>
        <v>27081.095839177186</v>
      </c>
    </row>
    <row r="17" spans="2:10" ht="26.25" customHeight="1" x14ac:dyDescent="0.2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100</v>
      </c>
      <c r="G17" s="37">
        <f t="shared" ref="G17:G23" si="3">F17*C17</f>
        <v>100</v>
      </c>
      <c r="H17" s="31">
        <f t="shared" ref="H17:H23" si="4">F17*D17</f>
        <v>23358.789005547656</v>
      </c>
    </row>
    <row r="18" spans="2:10" ht="26.25" customHeight="1" x14ac:dyDescent="0.25">
      <c r="B18" s="11" t="s">
        <v>2</v>
      </c>
      <c r="C18" s="3">
        <v>1</v>
      </c>
      <c r="D18" s="16">
        <v>234.55</v>
      </c>
      <c r="E18" s="27" t="s">
        <v>34</v>
      </c>
      <c r="F18" s="38">
        <v>1000</v>
      </c>
      <c r="G18" s="45">
        <f>F18*C18+J18</f>
        <v>970</v>
      </c>
      <c r="H18" s="31">
        <f t="shared" si="4"/>
        <v>234550</v>
      </c>
      <c r="J18">
        <v>-30</v>
      </c>
    </row>
    <row r="19" spans="2:10" ht="26.25" hidden="1" customHeight="1" x14ac:dyDescent="0.2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3"/>
        <v>0</v>
      </c>
      <c r="H19" s="31">
        <f t="shared" si="4"/>
        <v>0</v>
      </c>
    </row>
    <row r="20" spans="2:10" ht="26.25" customHeight="1" x14ac:dyDescent="0.25">
      <c r="B20" s="11" t="s">
        <v>25</v>
      </c>
      <c r="C20" s="3">
        <v>1</v>
      </c>
      <c r="D20" s="21">
        <v>166</v>
      </c>
      <c r="E20" s="27">
        <v>235</v>
      </c>
      <c r="F20" s="38">
        <v>1400</v>
      </c>
      <c r="G20" s="45">
        <f>F20*C20+J20</f>
        <v>1370</v>
      </c>
      <c r="H20" s="31">
        <f t="shared" si="4"/>
        <v>232400</v>
      </c>
      <c r="J20">
        <v>-30</v>
      </c>
    </row>
    <row r="21" spans="2:10" ht="26.25" hidden="1" customHeight="1" x14ac:dyDescent="0.25">
      <c r="B21" s="11" t="s">
        <v>3</v>
      </c>
      <c r="C21" s="3">
        <v>1</v>
      </c>
      <c r="D21" s="17">
        <v>276.43</v>
      </c>
      <c r="E21" s="27" t="s">
        <v>35</v>
      </c>
      <c r="F21" s="38"/>
      <c r="G21" s="37">
        <f t="shared" si="3"/>
        <v>0</v>
      </c>
      <c r="H21" s="31">
        <f t="shared" si="4"/>
        <v>0</v>
      </c>
    </row>
    <row r="22" spans="2:10" ht="26.25" customHeight="1" x14ac:dyDescent="0.2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500</v>
      </c>
      <c r="G22" s="37">
        <f t="shared" si="3"/>
        <v>500</v>
      </c>
      <c r="H22" s="31">
        <f t="shared" si="4"/>
        <v>139749.41400159712</v>
      </c>
    </row>
    <row r="23" spans="2:10" ht="26.25" hidden="1" customHeight="1" x14ac:dyDescent="0.25">
      <c r="B23" s="11" t="s">
        <v>5</v>
      </c>
      <c r="C23" s="3">
        <v>1</v>
      </c>
      <c r="D23" s="21">
        <v>273.8</v>
      </c>
      <c r="E23" s="27" t="s">
        <v>37</v>
      </c>
      <c r="F23" s="38"/>
      <c r="G23" s="37">
        <f t="shared" si="3"/>
        <v>0</v>
      </c>
      <c r="H23" s="31">
        <f t="shared" si="4"/>
        <v>0</v>
      </c>
    </row>
    <row r="24" spans="2:10" ht="26.25" hidden="1" customHeight="1" x14ac:dyDescent="0.25">
      <c r="B24" s="11" t="s">
        <v>6</v>
      </c>
      <c r="C24" s="3">
        <v>1</v>
      </c>
      <c r="D24" s="22">
        <v>218.78</v>
      </c>
      <c r="E24" s="27" t="s">
        <v>38</v>
      </c>
      <c r="F24" s="38"/>
      <c r="G24" s="37">
        <f t="shared" ref="G24:G37" si="5">F24*C24</f>
        <v>0</v>
      </c>
      <c r="H24" s="31">
        <f t="shared" ref="H24:H37" si="6">F24*D24</f>
        <v>0</v>
      </c>
    </row>
    <row r="25" spans="2:10" ht="26.25" customHeight="1" x14ac:dyDescent="0.25">
      <c r="B25" s="11" t="s">
        <v>27</v>
      </c>
      <c r="C25" s="4">
        <v>0.45</v>
      </c>
      <c r="D25" s="16">
        <v>137.82</v>
      </c>
      <c r="E25" s="27" t="s">
        <v>18</v>
      </c>
      <c r="F25" s="38">
        <v>400</v>
      </c>
      <c r="G25" s="37">
        <f t="shared" si="5"/>
        <v>180</v>
      </c>
      <c r="H25" s="31">
        <f t="shared" si="6"/>
        <v>55128</v>
      </c>
    </row>
    <row r="26" spans="2:10" ht="26.25" customHeight="1" x14ac:dyDescent="0.25">
      <c r="B26" s="11" t="s">
        <v>20</v>
      </c>
      <c r="C26" s="4">
        <v>0.45</v>
      </c>
      <c r="D26" s="16">
        <v>141.22</v>
      </c>
      <c r="E26" s="27" t="s">
        <v>19</v>
      </c>
      <c r="F26" s="38">
        <v>1000</v>
      </c>
      <c r="G26" s="37">
        <f t="shared" si="5"/>
        <v>450</v>
      </c>
      <c r="H26" s="31">
        <f t="shared" si="6"/>
        <v>141220</v>
      </c>
    </row>
    <row r="27" spans="2:10" ht="26.25" hidden="1" customHeight="1" x14ac:dyDescent="0.25">
      <c r="B27" s="11" t="s">
        <v>51</v>
      </c>
      <c r="C27" s="3">
        <v>1</v>
      </c>
      <c r="D27" s="21">
        <v>162.75498353313137</v>
      </c>
      <c r="E27" s="27" t="s">
        <v>52</v>
      </c>
      <c r="F27" s="38"/>
      <c r="G27" s="37">
        <f t="shared" si="5"/>
        <v>0</v>
      </c>
      <c r="H27" s="31">
        <f t="shared" si="6"/>
        <v>0</v>
      </c>
    </row>
    <row r="28" spans="2:10" ht="26.25" customHeight="1" x14ac:dyDescent="0.2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200</v>
      </c>
      <c r="G28" s="37">
        <f t="shared" si="5"/>
        <v>80</v>
      </c>
      <c r="H28" s="31">
        <f t="shared" si="6"/>
        <v>18689.723331039229</v>
      </c>
    </row>
    <row r="29" spans="2:10" ht="26.25" hidden="1" customHeight="1" x14ac:dyDescent="0.25">
      <c r="B29" s="11" t="s">
        <v>42</v>
      </c>
      <c r="C29" s="3">
        <v>0.4</v>
      </c>
      <c r="D29" s="16">
        <v>89.02</v>
      </c>
      <c r="E29" s="27" t="s">
        <v>44</v>
      </c>
      <c r="F29" s="38"/>
      <c r="G29" s="37">
        <f t="shared" si="5"/>
        <v>0</v>
      </c>
      <c r="H29" s="31">
        <f t="shared" si="6"/>
        <v>0</v>
      </c>
    </row>
    <row r="30" spans="2:10" ht="26.25" hidden="1" customHeight="1" x14ac:dyDescent="0.25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5"/>
        <v>0</v>
      </c>
      <c r="H30" s="31">
        <f t="shared" si="6"/>
        <v>0</v>
      </c>
    </row>
    <row r="31" spans="2:10" ht="26.25" customHeight="1" thickBot="1" x14ac:dyDescent="0.3">
      <c r="B31" s="11" t="s">
        <v>59</v>
      </c>
      <c r="C31" s="5"/>
      <c r="D31" s="18"/>
      <c r="E31" s="27"/>
      <c r="F31" s="38">
        <v>500</v>
      </c>
      <c r="G31" s="37">
        <v>500</v>
      </c>
      <c r="H31" s="31">
        <f t="shared" si="6"/>
        <v>0</v>
      </c>
    </row>
    <row r="32" spans="2:10" ht="26.25" hidden="1" customHeight="1" x14ac:dyDescent="0.25">
      <c r="B32" s="11" t="s">
        <v>61</v>
      </c>
      <c r="C32" s="5"/>
      <c r="D32" s="18"/>
      <c r="E32" s="27"/>
      <c r="F32" s="38"/>
      <c r="G32" s="37"/>
      <c r="H32" s="31">
        <f t="shared" si="6"/>
        <v>0</v>
      </c>
    </row>
    <row r="33" spans="2:8" ht="26.25" hidden="1" customHeight="1" x14ac:dyDescent="0.25">
      <c r="B33" s="11" t="s">
        <v>65</v>
      </c>
      <c r="C33" s="5"/>
      <c r="D33" s="18"/>
      <c r="E33" s="27"/>
      <c r="F33" s="38"/>
      <c r="G33" s="37"/>
      <c r="H33" s="31">
        <f t="shared" si="6"/>
        <v>0</v>
      </c>
    </row>
    <row r="34" spans="2:8" ht="26.25" hidden="1" customHeight="1" x14ac:dyDescent="0.25">
      <c r="B34" s="11" t="s">
        <v>63</v>
      </c>
      <c r="C34" s="5"/>
      <c r="D34" s="18"/>
      <c r="E34" s="27"/>
      <c r="F34" s="38"/>
      <c r="G34" s="37"/>
      <c r="H34" s="31">
        <f t="shared" si="6"/>
        <v>0</v>
      </c>
    </row>
    <row r="35" spans="2:8" ht="26.25" hidden="1" customHeight="1" x14ac:dyDescent="0.25">
      <c r="B35" s="11" t="s">
        <v>64</v>
      </c>
      <c r="C35" s="5"/>
      <c r="D35" s="18"/>
      <c r="E35" s="27"/>
      <c r="F35" s="38"/>
      <c r="G35" s="37"/>
      <c r="H35" s="31"/>
    </row>
    <row r="36" spans="2:8" ht="26.25" hidden="1" customHeight="1" x14ac:dyDescent="0.25">
      <c r="B36" s="11" t="s">
        <v>60</v>
      </c>
      <c r="C36" s="3">
        <v>1</v>
      </c>
      <c r="D36" s="18">
        <v>209.1</v>
      </c>
      <c r="E36" s="27" t="s">
        <v>45</v>
      </c>
      <c r="F36" s="38"/>
      <c r="G36" s="37">
        <f t="shared" si="5"/>
        <v>0</v>
      </c>
      <c r="H36" s="31">
        <f t="shared" si="6"/>
        <v>0</v>
      </c>
    </row>
    <row r="37" spans="2:8" ht="27" hidden="1" customHeight="1" thickBot="1" x14ac:dyDescent="0.3">
      <c r="B37" s="32" t="s">
        <v>46</v>
      </c>
      <c r="C37" s="9"/>
      <c r="D37" s="40">
        <v>151</v>
      </c>
      <c r="E37" s="39"/>
      <c r="F37" s="41"/>
      <c r="G37" s="37">
        <f t="shared" si="5"/>
        <v>0</v>
      </c>
      <c r="H37" s="33">
        <f t="shared" si="6"/>
        <v>0</v>
      </c>
    </row>
    <row r="38" spans="2:8" ht="26.25" customHeight="1" thickBot="1" x14ac:dyDescent="0.4">
      <c r="B38" s="42" t="s">
        <v>57</v>
      </c>
      <c r="C38" s="43"/>
      <c r="D38" s="43"/>
      <c r="E38" s="44"/>
      <c r="F38" s="34">
        <f>SUM(F3:F37)</f>
        <v>19700</v>
      </c>
      <c r="G38" s="35">
        <f>SUM(G3:G37)</f>
        <v>18004</v>
      </c>
      <c r="H38" s="36">
        <f>SUM(H3:H37)</f>
        <v>3827389.9602773613</v>
      </c>
    </row>
  </sheetData>
  <autoFilter ref="B2:H38" xr:uid="{00000000-0009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2025-12-08T07:44:09Z</dcterms:modified>
</cp:coreProperties>
</file>