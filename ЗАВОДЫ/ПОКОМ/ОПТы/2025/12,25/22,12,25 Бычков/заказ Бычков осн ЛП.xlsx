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13442DC5-8DFE-417B-A753-3D446EDCC5A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N198" i="1"/>
  <c r="BM198" i="1"/>
  <c r="Z198" i="1"/>
  <c r="Z200" i="1" s="1"/>
  <c r="Y198" i="1"/>
  <c r="P198" i="1"/>
  <c r="X196" i="1"/>
  <c r="Y195" i="1"/>
  <c r="X195" i="1"/>
  <c r="BP194" i="1"/>
  <c r="BO194" i="1"/>
  <c r="BN194" i="1"/>
  <c r="BM194" i="1"/>
  <c r="Z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Y179" i="1" s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BO149" i="1"/>
  <c r="BM149" i="1"/>
  <c r="Y149" i="1"/>
  <c r="BO148" i="1"/>
  <c r="BM148" i="1"/>
  <c r="Y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3" i="1" s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Y134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Y113" i="1" s="1"/>
  <c r="P109" i="1"/>
  <c r="BP108" i="1"/>
  <c r="BO108" i="1"/>
  <c r="BN108" i="1"/>
  <c r="BM108" i="1"/>
  <c r="Z108" i="1"/>
  <c r="Y108" i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Z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493" i="1" s="1"/>
  <c r="X24" i="1"/>
  <c r="BP23" i="1"/>
  <c r="BO23" i="1"/>
  <c r="BN23" i="1"/>
  <c r="BM23" i="1"/>
  <c r="Z23" i="1"/>
  <c r="Y23" i="1"/>
  <c r="P23" i="1"/>
  <c r="BO22" i="1"/>
  <c r="X495" i="1" s="1"/>
  <c r="BM22" i="1"/>
  <c r="X494" i="1" s="1"/>
  <c r="X496" i="1" s="1"/>
  <c r="Y22" i="1"/>
  <c r="B503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X497" i="1"/>
  <c r="Y25" i="1"/>
  <c r="Z28" i="1"/>
  <c r="Z32" i="1" s="1"/>
  <c r="BN28" i="1"/>
  <c r="BP28" i="1"/>
  <c r="Z30" i="1"/>
  <c r="BN30" i="1"/>
  <c r="C503" i="1"/>
  <c r="Z42" i="1"/>
  <c r="Z44" i="1" s="1"/>
  <c r="BN42" i="1"/>
  <c r="BP42" i="1"/>
  <c r="Y45" i="1"/>
  <c r="D503" i="1"/>
  <c r="Y58" i="1"/>
  <c r="Z53" i="1"/>
  <c r="Z58" i="1" s="1"/>
  <c r="BN53" i="1"/>
  <c r="Z55" i="1"/>
  <c r="BN55" i="1"/>
  <c r="Y59" i="1"/>
  <c r="Y64" i="1"/>
  <c r="BP61" i="1"/>
  <c r="BN61" i="1"/>
  <c r="Z61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Y112" i="1"/>
  <c r="BP111" i="1"/>
  <c r="BN111" i="1"/>
  <c r="Z111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Y139" i="1"/>
  <c r="Y145" i="1"/>
  <c r="Y155" i="1"/>
  <c r="BP148" i="1"/>
  <c r="BN148" i="1"/>
  <c r="Z148" i="1"/>
  <c r="BP150" i="1"/>
  <c r="BN150" i="1"/>
  <c r="Z150" i="1"/>
  <c r="Y154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9" i="1"/>
  <c r="BP188" i="1"/>
  <c r="BN188" i="1"/>
  <c r="Z188" i="1"/>
  <c r="Z189" i="1" s="1"/>
  <c r="Y190" i="1"/>
  <c r="J503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9" i="1"/>
  <c r="Y24" i="1"/>
  <c r="BP57" i="1"/>
  <c r="BN57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Z112" i="1" s="1"/>
  <c r="BP117" i="1"/>
  <c r="BN117" i="1"/>
  <c r="Z117" i="1"/>
  <c r="BP138" i="1"/>
  <c r="BN138" i="1"/>
  <c r="Z138" i="1"/>
  <c r="Z139" i="1" s="1"/>
  <c r="Y140" i="1"/>
  <c r="Y146" i="1"/>
  <c r="BP143" i="1"/>
  <c r="BN143" i="1"/>
  <c r="Z143" i="1"/>
  <c r="Z145" i="1" s="1"/>
  <c r="BP149" i="1"/>
  <c r="BN149" i="1"/>
  <c r="Z149" i="1"/>
  <c r="BP152" i="1"/>
  <c r="BN152" i="1"/>
  <c r="Z152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BP204" i="1"/>
  <c r="BN204" i="1"/>
  <c r="Z204" i="1"/>
  <c r="Z211" i="1" s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Z257" i="1" s="1"/>
  <c r="Y257" i="1"/>
  <c r="BP262" i="1"/>
  <c r="BN262" i="1"/>
  <c r="Z262" i="1"/>
  <c r="Y266" i="1"/>
  <c r="BP271" i="1"/>
  <c r="BN271" i="1"/>
  <c r="Z271" i="1"/>
  <c r="Z274" i="1" s="1"/>
  <c r="Y275" i="1"/>
  <c r="BP280" i="1"/>
  <c r="BN280" i="1"/>
  <c r="Z280" i="1"/>
  <c r="Y282" i="1"/>
  <c r="P503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Z356" i="1" s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9" i="1"/>
  <c r="F503" i="1"/>
  <c r="Y106" i="1"/>
  <c r="G503" i="1"/>
  <c r="Y129" i="1"/>
  <c r="I503" i="1"/>
  <c r="Y165" i="1"/>
  <c r="Y201" i="1"/>
  <c r="BP198" i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503" i="1"/>
  <c r="BP264" i="1"/>
  <c r="BN264" i="1"/>
  <c r="Z264" i="1"/>
  <c r="Z266" i="1" s="1"/>
  <c r="BP273" i="1"/>
  <c r="BN273" i="1"/>
  <c r="Z273" i="1"/>
  <c r="O503" i="1"/>
  <c r="Y281" i="1"/>
  <c r="BP278" i="1"/>
  <c r="BN278" i="1"/>
  <c r="Z278" i="1"/>
  <c r="Z281" i="1" s="1"/>
  <c r="BP291" i="1"/>
  <c r="BN291" i="1"/>
  <c r="Z291" i="1"/>
  <c r="Z292" i="1" s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503" i="1"/>
  <c r="K503" i="1"/>
  <c r="Y242" i="1"/>
  <c r="Y267" i="1"/>
  <c r="M503" i="1"/>
  <c r="Y274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455" i="1" l="1"/>
  <c r="Z418" i="1"/>
  <c r="Z337" i="1"/>
  <c r="Y497" i="1"/>
  <c r="Z154" i="1"/>
  <c r="Z76" i="1"/>
  <c r="Y493" i="1"/>
  <c r="Y495" i="1"/>
  <c r="Z223" i="1"/>
  <c r="Z318" i="1"/>
  <c r="Z179" i="1"/>
  <c r="Z119" i="1"/>
  <c r="Z89" i="1"/>
  <c r="Z64" i="1"/>
  <c r="Z498" i="1" s="1"/>
  <c r="Y494" i="1"/>
  <c r="Y496" i="1" s="1"/>
</calcChain>
</file>

<file path=xl/sharedStrings.xml><?xml version="1.0" encoding="utf-8"?>
<sst xmlns="http://schemas.openxmlformats.org/spreadsheetml/2006/main" count="2366" uniqueCount="777">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</sst>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82" zoomScaleNormal="100" zoomScaleSheetLayoutView="100" workbookViewId="0">
      <selection activeCell="AA504" sqref="AA504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02" t="s">
        <v>0</v>
      </c>
      <c r="E1" s="576"/>
      <c r="F1" s="576"/>
      <c r="G1" s="12" t="s">
        <v>1</v>
      </c>
      <c r="H1" s="802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857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0"/>
      <c r="R2" s="560"/>
      <c r="S2" s="560"/>
      <c r="T2" s="560"/>
      <c r="U2" s="560"/>
      <c r="V2" s="560"/>
      <c r="W2" s="560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0"/>
      <c r="Q3" s="560"/>
      <c r="R3" s="560"/>
      <c r="S3" s="560"/>
      <c r="T3" s="560"/>
      <c r="U3" s="560"/>
      <c r="V3" s="560"/>
      <c r="W3" s="560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59" t="s">
        <v>8</v>
      </c>
      <c r="B5" s="569"/>
      <c r="C5" s="570"/>
      <c r="D5" s="672"/>
      <c r="E5" s="674"/>
      <c r="F5" s="612" t="s">
        <v>9</v>
      </c>
      <c r="G5" s="570"/>
      <c r="H5" s="672"/>
      <c r="I5" s="673"/>
      <c r="J5" s="673"/>
      <c r="K5" s="673"/>
      <c r="L5" s="673"/>
      <c r="M5" s="674"/>
      <c r="N5" s="58"/>
      <c r="P5" s="24" t="s">
        <v>10</v>
      </c>
      <c r="Q5" s="585">
        <v>46016</v>
      </c>
      <c r="R5" s="586"/>
      <c r="T5" s="726" t="s">
        <v>11</v>
      </c>
      <c r="U5" s="666"/>
      <c r="V5" s="727" t="s">
        <v>12</v>
      </c>
      <c r="W5" s="586"/>
      <c r="AB5" s="51"/>
      <c r="AC5" s="51"/>
      <c r="AD5" s="51"/>
      <c r="AE5" s="51"/>
    </row>
    <row r="6" spans="1:32" s="543" customFormat="1" ht="24" customHeight="1" x14ac:dyDescent="0.2">
      <c r="A6" s="759" t="s">
        <v>13</v>
      </c>
      <c r="B6" s="569"/>
      <c r="C6" s="570"/>
      <c r="D6" s="676" t="s">
        <v>14</v>
      </c>
      <c r="E6" s="677"/>
      <c r="F6" s="677"/>
      <c r="G6" s="677"/>
      <c r="H6" s="677"/>
      <c r="I6" s="677"/>
      <c r="J6" s="677"/>
      <c r="K6" s="677"/>
      <c r="L6" s="677"/>
      <c r="M6" s="586"/>
      <c r="N6" s="59"/>
      <c r="P6" s="24" t="s">
        <v>15</v>
      </c>
      <c r="Q6" s="594" t="str">
        <f>IF(Q5=0," ",CHOOSE(WEEKDAY(Q5,2),"Понедельник","Вторник","Среда","Четверг","Пятница","Суббота","Воскресенье"))</f>
        <v>Четверг</v>
      </c>
      <c r="R6" s="566"/>
      <c r="T6" s="733" t="s">
        <v>16</v>
      </c>
      <c r="U6" s="666"/>
      <c r="V6" s="682" t="s">
        <v>17</v>
      </c>
      <c r="W6" s="683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24" t="str">
        <f>IFERROR(VLOOKUP(DeliveryAddress,Table,3,0),1)</f>
        <v>1</v>
      </c>
      <c r="E7" s="825"/>
      <c r="F7" s="825"/>
      <c r="G7" s="825"/>
      <c r="H7" s="825"/>
      <c r="I7" s="825"/>
      <c r="J7" s="825"/>
      <c r="K7" s="825"/>
      <c r="L7" s="825"/>
      <c r="M7" s="731"/>
      <c r="N7" s="60"/>
      <c r="P7" s="24"/>
      <c r="Q7" s="42"/>
      <c r="R7" s="42"/>
      <c r="T7" s="560"/>
      <c r="U7" s="666"/>
      <c r="V7" s="684"/>
      <c r="W7" s="685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36" t="s">
        <v>19</v>
      </c>
      <c r="E8" s="837"/>
      <c r="F8" s="837"/>
      <c r="G8" s="837"/>
      <c r="H8" s="837"/>
      <c r="I8" s="837"/>
      <c r="J8" s="837"/>
      <c r="K8" s="837"/>
      <c r="L8" s="837"/>
      <c r="M8" s="838"/>
      <c r="N8" s="61"/>
      <c r="P8" s="24" t="s">
        <v>20</v>
      </c>
      <c r="Q8" s="730">
        <v>0.41666666666666669</v>
      </c>
      <c r="R8" s="731"/>
      <c r="T8" s="560"/>
      <c r="U8" s="666"/>
      <c r="V8" s="684"/>
      <c r="W8" s="685"/>
      <c r="AB8" s="51"/>
      <c r="AC8" s="51"/>
      <c r="AD8" s="51"/>
      <c r="AE8" s="51"/>
    </row>
    <row r="9" spans="1:32" s="543" customFormat="1" ht="39.950000000000003" customHeight="1" x14ac:dyDescent="0.2">
      <c r="A9" s="5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0"/>
      <c r="C9" s="560"/>
      <c r="D9" s="627"/>
      <c r="E9" s="628"/>
      <c r="F9" s="5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0"/>
      <c r="H9" s="778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7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541"/>
      <c r="P9" s="26" t="s">
        <v>21</v>
      </c>
      <c r="Q9" s="783"/>
      <c r="R9" s="616"/>
      <c r="T9" s="560"/>
      <c r="U9" s="666"/>
      <c r="V9" s="686"/>
      <c r="W9" s="687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0"/>
      <c r="C10" s="560"/>
      <c r="D10" s="627"/>
      <c r="E10" s="628"/>
      <c r="F10" s="5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0"/>
      <c r="H10" s="698" t="str">
        <f>IFERROR(VLOOKUP($D$10,Proxy,2,FALSE),"")</f>
        <v/>
      </c>
      <c r="I10" s="560"/>
      <c r="J10" s="560"/>
      <c r="K10" s="560"/>
      <c r="L10" s="560"/>
      <c r="M10" s="560"/>
      <c r="N10" s="542"/>
      <c r="P10" s="26" t="s">
        <v>22</v>
      </c>
      <c r="Q10" s="734"/>
      <c r="R10" s="735"/>
      <c r="U10" s="24" t="s">
        <v>23</v>
      </c>
      <c r="V10" s="863" t="s">
        <v>24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4"/>
      <c r="R11" s="586"/>
      <c r="U11" s="24" t="s">
        <v>27</v>
      </c>
      <c r="V11" s="615" t="s">
        <v>28</v>
      </c>
      <c r="W11" s="616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1" t="s">
        <v>29</v>
      </c>
      <c r="B12" s="569"/>
      <c r="C12" s="569"/>
      <c r="D12" s="569"/>
      <c r="E12" s="569"/>
      <c r="F12" s="569"/>
      <c r="G12" s="569"/>
      <c r="H12" s="569"/>
      <c r="I12" s="569"/>
      <c r="J12" s="569"/>
      <c r="K12" s="569"/>
      <c r="L12" s="569"/>
      <c r="M12" s="570"/>
      <c r="N12" s="62"/>
      <c r="P12" s="24" t="s">
        <v>30</v>
      </c>
      <c r="Q12" s="730"/>
      <c r="R12" s="731"/>
      <c r="S12" s="23"/>
      <c r="U12" s="24"/>
      <c r="V12" s="576"/>
      <c r="W12" s="560"/>
      <c r="AB12" s="51"/>
      <c r="AC12" s="51"/>
      <c r="AD12" s="51"/>
      <c r="AE12" s="51"/>
    </row>
    <row r="13" spans="1:32" s="543" customFormat="1" ht="23.25" customHeight="1" x14ac:dyDescent="0.2">
      <c r="A13" s="711" t="s">
        <v>31</v>
      </c>
      <c r="B13" s="569"/>
      <c r="C13" s="569"/>
      <c r="D13" s="569"/>
      <c r="E13" s="569"/>
      <c r="F13" s="569"/>
      <c r="G13" s="569"/>
      <c r="H13" s="569"/>
      <c r="I13" s="569"/>
      <c r="J13" s="569"/>
      <c r="K13" s="569"/>
      <c r="L13" s="569"/>
      <c r="M13" s="570"/>
      <c r="N13" s="62"/>
      <c r="O13" s="26"/>
      <c r="P13" s="26" t="s">
        <v>32</v>
      </c>
      <c r="Q13" s="615"/>
      <c r="R13" s="61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1" t="s">
        <v>33</v>
      </c>
      <c r="B14" s="569"/>
      <c r="C14" s="569"/>
      <c r="D14" s="569"/>
      <c r="E14" s="569"/>
      <c r="F14" s="569"/>
      <c r="G14" s="569"/>
      <c r="H14" s="569"/>
      <c r="I14" s="569"/>
      <c r="J14" s="569"/>
      <c r="K14" s="569"/>
      <c r="L14" s="569"/>
      <c r="M14" s="5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14" t="s">
        <v>34</v>
      </c>
      <c r="B15" s="569"/>
      <c r="C15" s="569"/>
      <c r="D15" s="569"/>
      <c r="E15" s="569"/>
      <c r="F15" s="569"/>
      <c r="G15" s="569"/>
      <c r="H15" s="569"/>
      <c r="I15" s="569"/>
      <c r="J15" s="569"/>
      <c r="K15" s="569"/>
      <c r="L15" s="569"/>
      <c r="M15" s="570"/>
      <c r="N15" s="63"/>
      <c r="P15" s="762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3"/>
      <c r="Q16" s="763"/>
      <c r="R16" s="763"/>
      <c r="S16" s="763"/>
      <c r="T16" s="7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1" t="s">
        <v>36</v>
      </c>
      <c r="B17" s="641" t="s">
        <v>37</v>
      </c>
      <c r="C17" s="750" t="s">
        <v>38</v>
      </c>
      <c r="D17" s="641" t="s">
        <v>39</v>
      </c>
      <c r="E17" s="646"/>
      <c r="F17" s="641" t="s">
        <v>40</v>
      </c>
      <c r="G17" s="641" t="s">
        <v>41</v>
      </c>
      <c r="H17" s="641" t="s">
        <v>42</v>
      </c>
      <c r="I17" s="641" t="s">
        <v>43</v>
      </c>
      <c r="J17" s="641" t="s">
        <v>44</v>
      </c>
      <c r="K17" s="641" t="s">
        <v>45</v>
      </c>
      <c r="L17" s="641" t="s">
        <v>46</v>
      </c>
      <c r="M17" s="641" t="s">
        <v>47</v>
      </c>
      <c r="N17" s="641" t="s">
        <v>48</v>
      </c>
      <c r="O17" s="641" t="s">
        <v>49</v>
      </c>
      <c r="P17" s="641" t="s">
        <v>50</v>
      </c>
      <c r="Q17" s="806"/>
      <c r="R17" s="806"/>
      <c r="S17" s="806"/>
      <c r="T17" s="646"/>
      <c r="U17" s="580" t="s">
        <v>51</v>
      </c>
      <c r="V17" s="570"/>
      <c r="W17" s="641" t="s">
        <v>52</v>
      </c>
      <c r="X17" s="641" t="s">
        <v>53</v>
      </c>
      <c r="Y17" s="583" t="s">
        <v>54</v>
      </c>
      <c r="Z17" s="694" t="s">
        <v>55</v>
      </c>
      <c r="AA17" s="606" t="s">
        <v>56</v>
      </c>
      <c r="AB17" s="606" t="s">
        <v>57</v>
      </c>
      <c r="AC17" s="606" t="s">
        <v>58</v>
      </c>
      <c r="AD17" s="606" t="s">
        <v>59</v>
      </c>
      <c r="AE17" s="607"/>
      <c r="AF17" s="608"/>
      <c r="AG17" s="66"/>
      <c r="BD17" s="65" t="s">
        <v>60</v>
      </c>
    </row>
    <row r="18" spans="1:68" ht="14.25" customHeight="1" x14ac:dyDescent="0.2">
      <c r="A18" s="642"/>
      <c r="B18" s="642"/>
      <c r="C18" s="642"/>
      <c r="D18" s="647"/>
      <c r="E18" s="648"/>
      <c r="F18" s="642"/>
      <c r="G18" s="642"/>
      <c r="H18" s="642"/>
      <c r="I18" s="642"/>
      <c r="J18" s="642"/>
      <c r="K18" s="642"/>
      <c r="L18" s="642"/>
      <c r="M18" s="642"/>
      <c r="N18" s="642"/>
      <c r="O18" s="642"/>
      <c r="P18" s="647"/>
      <c r="Q18" s="807"/>
      <c r="R18" s="807"/>
      <c r="S18" s="807"/>
      <c r="T18" s="648"/>
      <c r="U18" s="67" t="s">
        <v>61</v>
      </c>
      <c r="V18" s="67" t="s">
        <v>62</v>
      </c>
      <c r="W18" s="642"/>
      <c r="X18" s="642"/>
      <c r="Y18" s="584"/>
      <c r="Z18" s="695"/>
      <c r="AA18" s="697"/>
      <c r="AB18" s="697"/>
      <c r="AC18" s="697"/>
      <c r="AD18" s="609"/>
      <c r="AE18" s="610"/>
      <c r="AF18" s="611"/>
      <c r="AG18" s="66"/>
      <c r="BD18" s="65"/>
    </row>
    <row r="19" spans="1:68" ht="27.75" customHeight="1" x14ac:dyDescent="0.2">
      <c r="A19" s="596" t="s">
        <v>63</v>
      </c>
      <c r="B19" s="597"/>
      <c r="C19" s="597"/>
      <c r="D19" s="597"/>
      <c r="E19" s="597"/>
      <c r="F19" s="597"/>
      <c r="G19" s="597"/>
      <c r="H19" s="597"/>
      <c r="I19" s="597"/>
      <c r="J19" s="597"/>
      <c r="K19" s="597"/>
      <c r="L19" s="597"/>
      <c r="M19" s="597"/>
      <c r="N19" s="597"/>
      <c r="O19" s="597"/>
      <c r="P19" s="597"/>
      <c r="Q19" s="597"/>
      <c r="R19" s="597"/>
      <c r="S19" s="597"/>
      <c r="T19" s="597"/>
      <c r="U19" s="597"/>
      <c r="V19" s="597"/>
      <c r="W19" s="597"/>
      <c r="X19" s="597"/>
      <c r="Y19" s="597"/>
      <c r="Z19" s="597"/>
      <c r="AA19" s="48"/>
      <c r="AB19" s="48"/>
      <c r="AC19" s="48"/>
    </row>
    <row r="20" spans="1:68" ht="16.5" customHeight="1" x14ac:dyDescent="0.25">
      <c r="A20" s="571" t="s">
        <v>63</v>
      </c>
      <c r="B20" s="560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44"/>
      <c r="AB20" s="544"/>
      <c r="AC20" s="544"/>
    </row>
    <row r="21" spans="1:68" ht="14.25" customHeight="1" x14ac:dyDescent="0.25">
      <c r="A21" s="574" t="s">
        <v>64</v>
      </c>
      <c r="B21" s="560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5">
        <v>4680115887510</v>
      </c>
      <c r="E22" s="566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9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5">
        <v>4680115886643</v>
      </c>
      <c r="E23" s="566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59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1"/>
      <c r="P24" s="572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0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1"/>
      <c r="P25" s="572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74" t="s">
        <v>77</v>
      </c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5">
        <v>4680115885912</v>
      </c>
      <c r="E27" s="566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5">
        <v>4607091388237</v>
      </c>
      <c r="E28" s="566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5">
        <v>4680115887350</v>
      </c>
      <c r="E29" s="566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5">
        <v>4680115885905</v>
      </c>
      <c r="E30" s="566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86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5">
        <v>4607091388244</v>
      </c>
      <c r="E31" s="566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84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7"/>
      <c r="R31" s="557"/>
      <c r="S31" s="557"/>
      <c r="T31" s="558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59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1"/>
      <c r="P32" s="572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x14ac:dyDescent="0.2">
      <c r="A33" s="560"/>
      <c r="B33" s="560"/>
      <c r="C33" s="560"/>
      <c r="D33" s="560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1"/>
      <c r="P33" s="572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customHeight="1" x14ac:dyDescent="0.25">
      <c r="A34" s="574" t="s">
        <v>95</v>
      </c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45"/>
      <c r="AB34" s="545"/>
      <c r="AC34" s="545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5">
        <v>4607091388503</v>
      </c>
      <c r="E35" s="566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65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7"/>
      <c r="R35" s="557"/>
      <c r="S35" s="557"/>
      <c r="T35" s="558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59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1"/>
      <c r="P36" s="572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x14ac:dyDescent="0.2">
      <c r="A37" s="560"/>
      <c r="B37" s="560"/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0"/>
      <c r="O37" s="561"/>
      <c r="P37" s="572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customHeight="1" x14ac:dyDescent="0.2">
      <c r="A38" s="596" t="s">
        <v>101</v>
      </c>
      <c r="B38" s="597"/>
      <c r="C38" s="597"/>
      <c r="D38" s="597"/>
      <c r="E38" s="597"/>
      <c r="F38" s="597"/>
      <c r="G38" s="597"/>
      <c r="H38" s="597"/>
      <c r="I38" s="597"/>
      <c r="J38" s="597"/>
      <c r="K38" s="597"/>
      <c r="L38" s="597"/>
      <c r="M38" s="597"/>
      <c r="N38" s="597"/>
      <c r="O38" s="597"/>
      <c r="P38" s="597"/>
      <c r="Q38" s="597"/>
      <c r="R38" s="597"/>
      <c r="S38" s="597"/>
      <c r="T38" s="597"/>
      <c r="U38" s="597"/>
      <c r="V38" s="597"/>
      <c r="W38" s="597"/>
      <c r="X38" s="597"/>
      <c r="Y38" s="597"/>
      <c r="Z38" s="597"/>
      <c r="AA38" s="48"/>
      <c r="AB38" s="48"/>
      <c r="AC38" s="48"/>
    </row>
    <row r="39" spans="1:68" ht="16.5" customHeight="1" x14ac:dyDescent="0.25">
      <c r="A39" s="571" t="s">
        <v>102</v>
      </c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544"/>
      <c r="AB39" s="544"/>
      <c r="AC39" s="544"/>
    </row>
    <row r="40" spans="1:68" ht="14.25" customHeight="1" x14ac:dyDescent="0.25">
      <c r="A40" s="574" t="s">
        <v>103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0"/>
      <c r="L40" s="560"/>
      <c r="M40" s="560"/>
      <c r="N40" s="560"/>
      <c r="O40" s="560"/>
      <c r="P40" s="560"/>
      <c r="Q40" s="560"/>
      <c r="R40" s="560"/>
      <c r="S40" s="560"/>
      <c r="T40" s="560"/>
      <c r="U40" s="560"/>
      <c r="V40" s="560"/>
      <c r="W40" s="560"/>
      <c r="X40" s="560"/>
      <c r="Y40" s="560"/>
      <c r="Z40" s="560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5">
        <v>4607091385670</v>
      </c>
      <c r="E41" s="566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6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7"/>
      <c r="R41" s="557"/>
      <c r="S41" s="557"/>
      <c r="T41" s="558"/>
      <c r="U41" s="34"/>
      <c r="V41" s="34"/>
      <c r="W41" s="35" t="s">
        <v>69</v>
      </c>
      <c r="X41" s="549">
        <v>80</v>
      </c>
      <c r="Y41" s="550">
        <f>IFERROR(IF(X41="",0,CEILING((X41/$H41),1)*$H41),"")</f>
        <v>86.4</v>
      </c>
      <c r="Z41" s="36">
        <f>IFERROR(IF(Y41=0,"",ROUNDUP(Y41/H41,0)*0.01898),"")</f>
        <v>0.15184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83.037037037037038</v>
      </c>
      <c r="BN41" s="64">
        <f>IFERROR(Y41*I41/H41,"0")</f>
        <v>89.68</v>
      </c>
      <c r="BO41" s="64">
        <f>IFERROR(1/J41*(X41/H41),"0")</f>
        <v>0.11574074074074073</v>
      </c>
      <c r="BP41" s="64">
        <f>IFERROR(1/J41*(Y41/H41),"0")</f>
        <v>0.125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5">
        <v>4680115882539</v>
      </c>
      <c r="E42" s="566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8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5">
        <v>4607091385687</v>
      </c>
      <c r="E43" s="566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7"/>
      <c r="R43" s="557"/>
      <c r="S43" s="557"/>
      <c r="T43" s="558"/>
      <c r="U43" s="34"/>
      <c r="V43" s="34"/>
      <c r="W43" s="35" t="s">
        <v>69</v>
      </c>
      <c r="X43" s="549">
        <v>40</v>
      </c>
      <c r="Y43" s="550">
        <f>IFERROR(IF(X43="",0,CEILING((X43/$H43),1)*$H43),"")</f>
        <v>40</v>
      </c>
      <c r="Z43" s="36">
        <f>IFERROR(IF(Y43=0,"",ROUNDUP(Y43/H43,0)*0.00902),"")</f>
        <v>9.0200000000000002E-2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41.900000000000006</v>
      </c>
      <c r="BN43" s="64">
        <f>IFERROR(Y43*I43/H43,"0")</f>
        <v>41.900000000000006</v>
      </c>
      <c r="BO43" s="64">
        <f>IFERROR(1/J43*(X43/H43),"0")</f>
        <v>7.575757575757576E-2</v>
      </c>
      <c r="BP43" s="64">
        <f>IFERROR(1/J43*(Y43/H43),"0")</f>
        <v>7.575757575757576E-2</v>
      </c>
    </row>
    <row r="44" spans="1:68" x14ac:dyDescent="0.2">
      <c r="A44" s="559"/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1"/>
      <c r="P44" s="572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51">
        <f>IFERROR(X41/H41,"0")+IFERROR(X42/H42,"0")+IFERROR(X43/H43,"0")</f>
        <v>17.407407407407405</v>
      </c>
      <c r="Y44" s="551">
        <f>IFERROR(Y41/H41,"0")+IFERROR(Y42/H42,"0")+IFERROR(Y43/H43,"0")</f>
        <v>18</v>
      </c>
      <c r="Z44" s="551">
        <f>IFERROR(IF(Z41="",0,Z41),"0")+IFERROR(IF(Z42="",0,Z42),"0")+IFERROR(IF(Z43="",0,Z43),"0")</f>
        <v>0.24204000000000001</v>
      </c>
      <c r="AA44" s="552"/>
      <c r="AB44" s="552"/>
      <c r="AC44" s="552"/>
    </row>
    <row r="45" spans="1:68" x14ac:dyDescent="0.2">
      <c r="A45" s="560"/>
      <c r="B45" s="560"/>
      <c r="C45" s="560"/>
      <c r="D45" s="560"/>
      <c r="E45" s="560"/>
      <c r="F45" s="560"/>
      <c r="G45" s="560"/>
      <c r="H45" s="560"/>
      <c r="I45" s="560"/>
      <c r="J45" s="560"/>
      <c r="K45" s="560"/>
      <c r="L45" s="560"/>
      <c r="M45" s="560"/>
      <c r="N45" s="560"/>
      <c r="O45" s="561"/>
      <c r="P45" s="572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51">
        <f>IFERROR(SUM(X41:X43),"0")</f>
        <v>120</v>
      </c>
      <c r="Y45" s="551">
        <f>IFERROR(SUM(Y41:Y43),"0")</f>
        <v>126.4</v>
      </c>
      <c r="Z45" s="37"/>
      <c r="AA45" s="552"/>
      <c r="AB45" s="552"/>
      <c r="AC45" s="552"/>
    </row>
    <row r="46" spans="1:68" ht="14.25" customHeight="1" x14ac:dyDescent="0.25">
      <c r="A46" s="574" t="s">
        <v>77</v>
      </c>
      <c r="B46" s="560"/>
      <c r="C46" s="560"/>
      <c r="D46" s="560"/>
      <c r="E46" s="560"/>
      <c r="F46" s="560"/>
      <c r="G46" s="560"/>
      <c r="H46" s="560"/>
      <c r="I46" s="560"/>
      <c r="J46" s="560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545"/>
      <c r="AB46" s="545"/>
      <c r="AC46" s="545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5">
        <v>4680115884915</v>
      </c>
      <c r="E47" s="566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8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7"/>
      <c r="R47" s="557"/>
      <c r="S47" s="557"/>
      <c r="T47" s="558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59"/>
      <c r="B48" s="560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1"/>
      <c r="P48" s="572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x14ac:dyDescent="0.2">
      <c r="A49" s="560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1"/>
      <c r="P49" s="572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customHeight="1" x14ac:dyDescent="0.25">
      <c r="A50" s="571" t="s">
        <v>119</v>
      </c>
      <c r="B50" s="560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560"/>
      <c r="W50" s="560"/>
      <c r="X50" s="560"/>
      <c r="Y50" s="560"/>
      <c r="Z50" s="560"/>
      <c r="AA50" s="544"/>
      <c r="AB50" s="544"/>
      <c r="AC50" s="544"/>
    </row>
    <row r="51" spans="1:68" ht="14.25" customHeight="1" x14ac:dyDescent="0.25">
      <c r="A51" s="574" t="s">
        <v>103</v>
      </c>
      <c r="B51" s="560"/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  <c r="AA51" s="545"/>
      <c r="AB51" s="545"/>
      <c r="AC51" s="545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5">
        <v>4680115885882</v>
      </c>
      <c r="E52" s="566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7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7"/>
      <c r="R52" s="557"/>
      <c r="S52" s="557"/>
      <c r="T52" s="558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5">
        <v>4680115881426</v>
      </c>
      <c r="E53" s="566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5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7"/>
      <c r="R53" s="557"/>
      <c r="S53" s="557"/>
      <c r="T53" s="558"/>
      <c r="U53" s="34"/>
      <c r="V53" s="34"/>
      <c r="W53" s="35" t="s">
        <v>69</v>
      </c>
      <c r="X53" s="549">
        <v>1050</v>
      </c>
      <c r="Y53" s="550">
        <f t="shared" si="0"/>
        <v>1058.4000000000001</v>
      </c>
      <c r="Z53" s="36">
        <f>IFERROR(IF(Y53=0,"",ROUNDUP(Y53/H53,0)*0.01898),"")</f>
        <v>1.8600400000000001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1089.8611111111111</v>
      </c>
      <c r="BN53" s="64">
        <f t="shared" si="2"/>
        <v>1098.5800000000002</v>
      </c>
      <c r="BO53" s="64">
        <f t="shared" si="3"/>
        <v>1.5190972222222221</v>
      </c>
      <c r="BP53" s="64">
        <f t="shared" si="4"/>
        <v>1.53125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5">
        <v>4680115880283</v>
      </c>
      <c r="E54" s="566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6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7"/>
      <c r="R54" s="557"/>
      <c r="S54" s="557"/>
      <c r="T54" s="558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5">
        <v>4680115881525</v>
      </c>
      <c r="E55" s="566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7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7"/>
      <c r="R55" s="557"/>
      <c r="S55" s="557"/>
      <c r="T55" s="558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5">
        <v>4680115885899</v>
      </c>
      <c r="E56" s="566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85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7"/>
      <c r="R56" s="557"/>
      <c r="S56" s="557"/>
      <c r="T56" s="558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5">
        <v>4680115881419</v>
      </c>
      <c r="E57" s="566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7"/>
      <c r="R57" s="557"/>
      <c r="S57" s="557"/>
      <c r="T57" s="558"/>
      <c r="U57" s="34"/>
      <c r="V57" s="34"/>
      <c r="W57" s="35" t="s">
        <v>69</v>
      </c>
      <c r="X57" s="549">
        <v>130.5</v>
      </c>
      <c r="Y57" s="550">
        <f t="shared" si="0"/>
        <v>130.5</v>
      </c>
      <c r="Z57" s="36">
        <f>IFERROR(IF(Y57=0,"",ROUNDUP(Y57/H57,0)*0.00902),"")</f>
        <v>0.26158000000000003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136.01000000000002</v>
      </c>
      <c r="BN57" s="64">
        <f t="shared" si="2"/>
        <v>136.01000000000002</v>
      </c>
      <c r="BO57" s="64">
        <f t="shared" si="3"/>
        <v>0.2196969696969697</v>
      </c>
      <c r="BP57" s="64">
        <f t="shared" si="4"/>
        <v>0.2196969696969697</v>
      </c>
    </row>
    <row r="58" spans="1:68" x14ac:dyDescent="0.2">
      <c r="A58" s="559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1"/>
      <c r="P58" s="572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51">
        <f>IFERROR(X52/H52,"0")+IFERROR(X53/H53,"0")+IFERROR(X54/H54,"0")+IFERROR(X55/H55,"0")+IFERROR(X56/H56,"0")+IFERROR(X57/H57,"0")</f>
        <v>126.22222222222221</v>
      </c>
      <c r="Y58" s="551">
        <f>IFERROR(Y52/H52,"0")+IFERROR(Y53/H53,"0")+IFERROR(Y54/H54,"0")+IFERROR(Y55/H55,"0")+IFERROR(Y56/H56,"0")+IFERROR(Y57/H57,"0")</f>
        <v>127</v>
      </c>
      <c r="Z58" s="551">
        <f>IFERROR(IF(Z52="",0,Z52),"0")+IFERROR(IF(Z53="",0,Z53),"0")+IFERROR(IF(Z54="",0,Z54),"0")+IFERROR(IF(Z55="",0,Z55),"0")+IFERROR(IF(Z56="",0,Z56),"0")+IFERROR(IF(Z57="",0,Z57),"0")</f>
        <v>2.1216200000000001</v>
      </c>
      <c r="AA58" s="552"/>
      <c r="AB58" s="552"/>
      <c r="AC58" s="552"/>
    </row>
    <row r="59" spans="1:68" x14ac:dyDescent="0.2">
      <c r="A59" s="560"/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1"/>
      <c r="P59" s="572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51">
        <f>IFERROR(SUM(X52:X57),"0")</f>
        <v>1180.5</v>
      </c>
      <c r="Y59" s="551">
        <f>IFERROR(SUM(Y52:Y57),"0")</f>
        <v>1188.9000000000001</v>
      </c>
      <c r="Z59" s="37"/>
      <c r="AA59" s="552"/>
      <c r="AB59" s="552"/>
      <c r="AC59" s="552"/>
    </row>
    <row r="60" spans="1:68" ht="14.25" customHeight="1" x14ac:dyDescent="0.25">
      <c r="A60" s="574" t="s">
        <v>138</v>
      </c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5">
        <v>4680115881440</v>
      </c>
      <c r="E61" s="566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6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7"/>
      <c r="R61" s="557"/>
      <c r="S61" s="557"/>
      <c r="T61" s="558"/>
      <c r="U61" s="34"/>
      <c r="V61" s="34"/>
      <c r="W61" s="35" t="s">
        <v>69</v>
      </c>
      <c r="X61" s="549">
        <v>830</v>
      </c>
      <c r="Y61" s="550">
        <f>IFERROR(IF(X61="",0,CEILING((X61/$H61),1)*$H61),"")</f>
        <v>831.6</v>
      </c>
      <c r="Z61" s="36">
        <f>IFERROR(IF(Y61=0,"",ROUNDUP(Y61/H61,0)*0.01898),"")</f>
        <v>1.46146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861.50925925925935</v>
      </c>
      <c r="BN61" s="64">
        <f>IFERROR(Y61*I61/H61,"0")</f>
        <v>863.17000000000007</v>
      </c>
      <c r="BO61" s="64">
        <f>IFERROR(1/J61*(X61/H61),"0")</f>
        <v>1.2008101851851851</v>
      </c>
      <c r="BP61" s="64">
        <f>IFERROR(1/J61*(Y61/H61),"0")</f>
        <v>1.203125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5">
        <v>4680115885950</v>
      </c>
      <c r="E62" s="566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7"/>
      <c r="R62" s="557"/>
      <c r="S62" s="557"/>
      <c r="T62" s="558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5">
        <v>4680115881433</v>
      </c>
      <c r="E63" s="566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8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7"/>
      <c r="R63" s="557"/>
      <c r="S63" s="557"/>
      <c r="T63" s="558"/>
      <c r="U63" s="34"/>
      <c r="V63" s="34"/>
      <c r="W63" s="35" t="s">
        <v>69</v>
      </c>
      <c r="X63" s="549">
        <v>135</v>
      </c>
      <c r="Y63" s="550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59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1"/>
      <c r="P64" s="572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51">
        <f>IFERROR(X61/H61,"0")+IFERROR(X62/H62,"0")+IFERROR(X63/H63,"0")</f>
        <v>126.85185185185185</v>
      </c>
      <c r="Y64" s="551">
        <f>IFERROR(Y61/H61,"0")+IFERROR(Y62/H62,"0")+IFERROR(Y63/H63,"0")</f>
        <v>127</v>
      </c>
      <c r="Z64" s="551">
        <f>IFERROR(IF(Z61="",0,Z61),"0")+IFERROR(IF(Z62="",0,Z62),"0")+IFERROR(IF(Z63="",0,Z63),"0")</f>
        <v>1.7869600000000001</v>
      </c>
      <c r="AA64" s="552"/>
      <c r="AB64" s="552"/>
      <c r="AC64" s="552"/>
    </row>
    <row r="65" spans="1:68" x14ac:dyDescent="0.2">
      <c r="A65" s="560"/>
      <c r="B65" s="560"/>
      <c r="C65" s="560"/>
      <c r="D65" s="560"/>
      <c r="E65" s="560"/>
      <c r="F65" s="560"/>
      <c r="G65" s="560"/>
      <c r="H65" s="560"/>
      <c r="I65" s="560"/>
      <c r="J65" s="560"/>
      <c r="K65" s="560"/>
      <c r="L65" s="560"/>
      <c r="M65" s="560"/>
      <c r="N65" s="560"/>
      <c r="O65" s="561"/>
      <c r="P65" s="572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51">
        <f>IFERROR(SUM(X61:X63),"0")</f>
        <v>965</v>
      </c>
      <c r="Y65" s="551">
        <f>IFERROR(SUM(Y61:Y63),"0")</f>
        <v>966.6</v>
      </c>
      <c r="Z65" s="37"/>
      <c r="AA65" s="552"/>
      <c r="AB65" s="552"/>
      <c r="AC65" s="552"/>
    </row>
    <row r="66" spans="1:68" ht="14.25" customHeight="1" x14ac:dyDescent="0.25">
      <c r="A66" s="574" t="s">
        <v>64</v>
      </c>
      <c r="B66" s="560"/>
      <c r="C66" s="560"/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  <c r="AA66" s="545"/>
      <c r="AB66" s="545"/>
      <c r="AC66" s="545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5">
        <v>4680115885073</v>
      </c>
      <c r="E67" s="566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7"/>
      <c r="R67" s="557"/>
      <c r="S67" s="557"/>
      <c r="T67" s="558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5">
        <v>4680115885097</v>
      </c>
      <c r="E68" s="566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5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9"/>
      <c r="B69" s="560"/>
      <c r="C69" s="560"/>
      <c r="D69" s="560"/>
      <c r="E69" s="560"/>
      <c r="F69" s="560"/>
      <c r="G69" s="560"/>
      <c r="H69" s="560"/>
      <c r="I69" s="560"/>
      <c r="J69" s="560"/>
      <c r="K69" s="560"/>
      <c r="L69" s="560"/>
      <c r="M69" s="560"/>
      <c r="N69" s="560"/>
      <c r="O69" s="561"/>
      <c r="P69" s="572" t="s">
        <v>75</v>
      </c>
      <c r="Q69" s="554"/>
      <c r="R69" s="554"/>
      <c r="S69" s="554"/>
      <c r="T69" s="554"/>
      <c r="U69" s="554"/>
      <c r="V69" s="555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x14ac:dyDescent="0.2">
      <c r="A70" s="560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1"/>
      <c r="P70" s="572" t="s">
        <v>75</v>
      </c>
      <c r="Q70" s="554"/>
      <c r="R70" s="554"/>
      <c r="S70" s="554"/>
      <c r="T70" s="554"/>
      <c r="U70" s="554"/>
      <c r="V70" s="555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customHeight="1" x14ac:dyDescent="0.25">
      <c r="A71" s="574" t="s">
        <v>77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45"/>
      <c r="AB71" s="545"/>
      <c r="AC71" s="54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5">
        <v>4680115885769</v>
      </c>
      <c r="E72" s="566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7"/>
      <c r="R72" s="557"/>
      <c r="S72" s="557"/>
      <c r="T72" s="558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5">
        <v>4680115884311</v>
      </c>
      <c r="E73" s="566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87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7"/>
      <c r="R73" s="557"/>
      <c r="S73" s="557"/>
      <c r="T73" s="558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5">
        <v>4680115885929</v>
      </c>
      <c r="E74" s="566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7"/>
      <c r="R74" s="557"/>
      <c r="S74" s="557"/>
      <c r="T74" s="558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5">
        <v>4680115884403</v>
      </c>
      <c r="E75" s="566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6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7"/>
      <c r="R75" s="557"/>
      <c r="S75" s="557"/>
      <c r="T75" s="558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9"/>
      <c r="B76" s="560"/>
      <c r="C76" s="560"/>
      <c r="D76" s="560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1"/>
      <c r="P76" s="572" t="s">
        <v>75</v>
      </c>
      <c r="Q76" s="554"/>
      <c r="R76" s="554"/>
      <c r="S76" s="554"/>
      <c r="T76" s="554"/>
      <c r="U76" s="554"/>
      <c r="V76" s="555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x14ac:dyDescent="0.2">
      <c r="A77" s="560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1"/>
      <c r="P77" s="572" t="s">
        <v>75</v>
      </c>
      <c r="Q77" s="554"/>
      <c r="R77" s="554"/>
      <c r="S77" s="554"/>
      <c r="T77" s="554"/>
      <c r="U77" s="554"/>
      <c r="V77" s="555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customHeight="1" x14ac:dyDescent="0.25">
      <c r="A78" s="574" t="s">
        <v>163</v>
      </c>
      <c r="B78" s="560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45"/>
      <c r="AB78" s="545"/>
      <c r="AC78" s="54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5">
        <v>4680115881532</v>
      </c>
      <c r="E79" s="566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8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7"/>
      <c r="R79" s="557"/>
      <c r="S79" s="557"/>
      <c r="T79" s="558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5">
        <v>4680115881464</v>
      </c>
      <c r="E80" s="566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6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7"/>
      <c r="R80" s="557"/>
      <c r="S80" s="557"/>
      <c r="T80" s="558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9"/>
      <c r="B81" s="560"/>
      <c r="C81" s="560"/>
      <c r="D81" s="560"/>
      <c r="E81" s="560"/>
      <c r="F81" s="560"/>
      <c r="G81" s="560"/>
      <c r="H81" s="560"/>
      <c r="I81" s="560"/>
      <c r="J81" s="560"/>
      <c r="K81" s="560"/>
      <c r="L81" s="560"/>
      <c r="M81" s="560"/>
      <c r="N81" s="560"/>
      <c r="O81" s="561"/>
      <c r="P81" s="572" t="s">
        <v>75</v>
      </c>
      <c r="Q81" s="554"/>
      <c r="R81" s="554"/>
      <c r="S81" s="554"/>
      <c r="T81" s="554"/>
      <c r="U81" s="554"/>
      <c r="V81" s="555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x14ac:dyDescent="0.2">
      <c r="A82" s="560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1"/>
      <c r="P82" s="572" t="s">
        <v>75</v>
      </c>
      <c r="Q82" s="554"/>
      <c r="R82" s="554"/>
      <c r="S82" s="554"/>
      <c r="T82" s="554"/>
      <c r="U82" s="554"/>
      <c r="V82" s="555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customHeight="1" x14ac:dyDescent="0.25">
      <c r="A83" s="571" t="s">
        <v>170</v>
      </c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44"/>
      <c r="AB83" s="544"/>
      <c r="AC83" s="544"/>
    </row>
    <row r="84" spans="1:68" ht="14.25" customHeight="1" x14ac:dyDescent="0.25">
      <c r="A84" s="574" t="s">
        <v>103</v>
      </c>
      <c r="B84" s="560"/>
      <c r="C84" s="560"/>
      <c r="D84" s="560"/>
      <c r="E84" s="560"/>
      <c r="F84" s="560"/>
      <c r="G84" s="560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5">
        <v>4680115881327</v>
      </c>
      <c r="E85" s="566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57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7"/>
      <c r="R85" s="557"/>
      <c r="S85" s="557"/>
      <c r="T85" s="558"/>
      <c r="U85" s="34"/>
      <c r="V85" s="34"/>
      <c r="W85" s="35" t="s">
        <v>69</v>
      </c>
      <c r="X85" s="549">
        <v>290</v>
      </c>
      <c r="Y85" s="550">
        <f>IFERROR(IF(X85="",0,CEILING((X85/$H85),1)*$H85),"")</f>
        <v>291.60000000000002</v>
      </c>
      <c r="Z85" s="36">
        <f>IFERROR(IF(Y85=0,"",ROUNDUP(Y85/H85,0)*0.01898),"")</f>
        <v>0.51246000000000003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301.00925925925924</v>
      </c>
      <c r="BN85" s="64">
        <f>IFERROR(Y85*I85/H85,"0")</f>
        <v>302.67000000000007</v>
      </c>
      <c r="BO85" s="64">
        <f>IFERROR(1/J85*(X85/H85),"0")</f>
        <v>0.41956018518518517</v>
      </c>
      <c r="BP85" s="64">
        <f>IFERROR(1/J85*(Y85/H85),"0")</f>
        <v>0.421875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5">
        <v>4680115887732</v>
      </c>
      <c r="E86" s="566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8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7"/>
      <c r="R86" s="557"/>
      <c r="S86" s="557"/>
      <c r="T86" s="558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5">
        <v>4680115881518</v>
      </c>
      <c r="E87" s="566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2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5">
        <v>4680115881303</v>
      </c>
      <c r="E88" s="566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2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4"/>
      <c r="V88" s="34"/>
      <c r="W88" s="35" t="s">
        <v>69</v>
      </c>
      <c r="X88" s="549">
        <v>99</v>
      </c>
      <c r="Y88" s="550">
        <f>IFERROR(IF(X88="",0,CEILING((X88/$H88),1)*$H88),"")</f>
        <v>99</v>
      </c>
      <c r="Z88" s="36">
        <f>IFERROR(IF(Y88=0,"",ROUNDUP(Y88/H88,0)*0.00902),"")</f>
        <v>0.19844000000000001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103.18</v>
      </c>
      <c r="BN88" s="64">
        <f>IFERROR(Y88*I88/H88,"0")</f>
        <v>103.18</v>
      </c>
      <c r="BO88" s="64">
        <f>IFERROR(1/J88*(X88/H88),"0")</f>
        <v>0.16666666666666669</v>
      </c>
      <c r="BP88" s="64">
        <f>IFERROR(1/J88*(Y88/H88),"0")</f>
        <v>0.16666666666666669</v>
      </c>
    </row>
    <row r="89" spans="1:68" x14ac:dyDescent="0.2">
      <c r="A89" s="559"/>
      <c r="B89" s="560"/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1"/>
      <c r="P89" s="572" t="s">
        <v>75</v>
      </c>
      <c r="Q89" s="554"/>
      <c r="R89" s="554"/>
      <c r="S89" s="554"/>
      <c r="T89" s="554"/>
      <c r="U89" s="554"/>
      <c r="V89" s="555"/>
      <c r="W89" s="37" t="s">
        <v>76</v>
      </c>
      <c r="X89" s="551">
        <f>IFERROR(X85/H85,"0")+IFERROR(X86/H86,"0")+IFERROR(X87/H87,"0")+IFERROR(X88/H88,"0")</f>
        <v>48.851851851851848</v>
      </c>
      <c r="Y89" s="551">
        <f>IFERROR(Y85/H85,"0")+IFERROR(Y86/H86,"0")+IFERROR(Y87/H87,"0")+IFERROR(Y88/H88,"0")</f>
        <v>49</v>
      </c>
      <c r="Z89" s="551">
        <f>IFERROR(IF(Z85="",0,Z85),"0")+IFERROR(IF(Z86="",0,Z86),"0")+IFERROR(IF(Z87="",0,Z87),"0")+IFERROR(IF(Z88="",0,Z88),"0")</f>
        <v>0.71090000000000009</v>
      </c>
      <c r="AA89" s="552"/>
      <c r="AB89" s="552"/>
      <c r="AC89" s="552"/>
    </row>
    <row r="90" spans="1:68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1"/>
      <c r="P90" s="572" t="s">
        <v>75</v>
      </c>
      <c r="Q90" s="554"/>
      <c r="R90" s="554"/>
      <c r="S90" s="554"/>
      <c r="T90" s="554"/>
      <c r="U90" s="554"/>
      <c r="V90" s="555"/>
      <c r="W90" s="37" t="s">
        <v>69</v>
      </c>
      <c r="X90" s="551">
        <f>IFERROR(SUM(X85:X88),"0")</f>
        <v>389</v>
      </c>
      <c r="Y90" s="551">
        <f>IFERROR(SUM(Y85:Y88),"0")</f>
        <v>390.6</v>
      </c>
      <c r="Z90" s="37"/>
      <c r="AA90" s="552"/>
      <c r="AB90" s="552"/>
      <c r="AC90" s="552"/>
    </row>
    <row r="91" spans="1:68" ht="14.25" customHeight="1" x14ac:dyDescent="0.25">
      <c r="A91" s="574" t="s">
        <v>77</v>
      </c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45"/>
      <c r="AB91" s="545"/>
      <c r="AC91" s="545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5">
        <v>4607091386967</v>
      </c>
      <c r="E92" s="566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82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4"/>
      <c r="V92" s="34"/>
      <c r="W92" s="35" t="s">
        <v>69</v>
      </c>
      <c r="X92" s="549">
        <v>80</v>
      </c>
      <c r="Y92" s="550">
        <f>IFERROR(IF(X92="",0,CEILING((X92/$H92),1)*$H92),"")</f>
        <v>81</v>
      </c>
      <c r="Z92" s="36">
        <f>IFERROR(IF(Y92=0,"",ROUNDUP(Y92/H92,0)*0.01898),"")</f>
        <v>0.1898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84.879012345679016</v>
      </c>
      <c r="BN92" s="64">
        <f>IFERROR(Y92*I92/H92,"0")</f>
        <v>85.94</v>
      </c>
      <c r="BO92" s="64">
        <f>IFERROR(1/J92*(X92/H92),"0")</f>
        <v>0.15432098765432101</v>
      </c>
      <c r="BP92" s="64">
        <f>IFERROR(1/J92*(Y92/H92),"0")</f>
        <v>0.15625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5">
        <v>4680115884953</v>
      </c>
      <c r="E93" s="566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5">
        <v>4607091385731</v>
      </c>
      <c r="E94" s="566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4"/>
      <c r="V94" s="34"/>
      <c r="W94" s="35" t="s">
        <v>69</v>
      </c>
      <c r="X94" s="549">
        <v>18</v>
      </c>
      <c r="Y94" s="550">
        <f>IFERROR(IF(X94="",0,CEILING((X94/$H94),1)*$H94),"")</f>
        <v>18.900000000000002</v>
      </c>
      <c r="Z94" s="36">
        <f>IFERROR(IF(Y94=0,"",ROUNDUP(Y94/H94,0)*0.00651),"")</f>
        <v>4.5569999999999999E-2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19.679999999999996</v>
      </c>
      <c r="BN94" s="64">
        <f>IFERROR(Y94*I94/H94,"0")</f>
        <v>20.664000000000001</v>
      </c>
      <c r="BO94" s="64">
        <f>IFERROR(1/J94*(X94/H94),"0")</f>
        <v>3.6630036630036632E-2</v>
      </c>
      <c r="BP94" s="64">
        <f>IFERROR(1/J94*(Y94/H94),"0")</f>
        <v>3.8461538461538464E-2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65">
        <v>4680115880894</v>
      </c>
      <c r="E95" s="566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8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9"/>
      <c r="B96" s="560"/>
      <c r="C96" s="560"/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1"/>
      <c r="P96" s="572" t="s">
        <v>75</v>
      </c>
      <c r="Q96" s="554"/>
      <c r="R96" s="554"/>
      <c r="S96" s="554"/>
      <c r="T96" s="554"/>
      <c r="U96" s="554"/>
      <c r="V96" s="555"/>
      <c r="W96" s="37" t="s">
        <v>76</v>
      </c>
      <c r="X96" s="551">
        <f>IFERROR(X92/H92,"0")+IFERROR(X93/H93,"0")+IFERROR(X94/H94,"0")+IFERROR(X95/H95,"0")</f>
        <v>16.543209876543209</v>
      </c>
      <c r="Y96" s="551">
        <f>IFERROR(Y92/H92,"0")+IFERROR(Y93/H93,"0")+IFERROR(Y94/H94,"0")+IFERROR(Y95/H95,"0")</f>
        <v>17</v>
      </c>
      <c r="Z96" s="551">
        <f>IFERROR(IF(Z92="",0,Z92),"0")+IFERROR(IF(Z93="",0,Z93),"0")+IFERROR(IF(Z94="",0,Z94),"0")+IFERROR(IF(Z95="",0,Z95),"0")</f>
        <v>0.23537</v>
      </c>
      <c r="AA96" s="552"/>
      <c r="AB96" s="552"/>
      <c r="AC96" s="552"/>
    </row>
    <row r="97" spans="1:68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1"/>
      <c r="P97" s="572" t="s">
        <v>75</v>
      </c>
      <c r="Q97" s="554"/>
      <c r="R97" s="554"/>
      <c r="S97" s="554"/>
      <c r="T97" s="554"/>
      <c r="U97" s="554"/>
      <c r="V97" s="555"/>
      <c r="W97" s="37" t="s">
        <v>69</v>
      </c>
      <c r="X97" s="551">
        <f>IFERROR(SUM(X92:X95),"0")</f>
        <v>98</v>
      </c>
      <c r="Y97" s="551">
        <f>IFERROR(SUM(Y92:Y95),"0")</f>
        <v>99.9</v>
      </c>
      <c r="Z97" s="37"/>
      <c r="AA97" s="552"/>
      <c r="AB97" s="552"/>
      <c r="AC97" s="552"/>
    </row>
    <row r="98" spans="1:68" ht="16.5" customHeight="1" x14ac:dyDescent="0.25">
      <c r="A98" s="571" t="s">
        <v>193</v>
      </c>
      <c r="B98" s="560"/>
      <c r="C98" s="560"/>
      <c r="D98" s="560"/>
      <c r="E98" s="560"/>
      <c r="F98" s="560"/>
      <c r="G98" s="560"/>
      <c r="H98" s="560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44"/>
      <c r="AB98" s="544"/>
      <c r="AC98" s="544"/>
    </row>
    <row r="99" spans="1:68" ht="14.25" customHeight="1" x14ac:dyDescent="0.25">
      <c r="A99" s="574" t="s">
        <v>103</v>
      </c>
      <c r="B99" s="560"/>
      <c r="C99" s="560"/>
      <c r="D99" s="560"/>
      <c r="E99" s="560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5">
        <v>4680115882133</v>
      </c>
      <c r="E100" s="566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8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4"/>
      <c r="V100" s="34"/>
      <c r="W100" s="35" t="s">
        <v>69</v>
      </c>
      <c r="X100" s="549">
        <v>10</v>
      </c>
      <c r="Y100" s="550">
        <f>IFERROR(IF(X100="",0,CEILING((X100/$H100),1)*$H100),"")</f>
        <v>10.8</v>
      </c>
      <c r="Z100" s="36">
        <f>IFERROR(IF(Y100=0,"",ROUNDUP(Y100/H100,0)*0.01898),"")</f>
        <v>1.898E-2</v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10.37962962962963</v>
      </c>
      <c r="BN100" s="64">
        <f>IFERROR(Y100*I100/H100,"0")</f>
        <v>11.21</v>
      </c>
      <c r="BO100" s="64">
        <f>IFERROR(1/J100*(X100/H100),"0")</f>
        <v>1.4467592592592591E-2</v>
      </c>
      <c r="BP100" s="64">
        <f>IFERROR(1/J100*(Y100/H100),"0")</f>
        <v>1.5625E-2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65">
        <v>4680115887718</v>
      </c>
      <c r="E101" s="566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7"/>
      <c r="R101" s="557"/>
      <c r="S101" s="557"/>
      <c r="T101" s="558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65">
        <v>4680115880269</v>
      </c>
      <c r="E102" s="566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63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7"/>
      <c r="R102" s="557"/>
      <c r="S102" s="557"/>
      <c r="T102" s="558"/>
      <c r="U102" s="34"/>
      <c r="V102" s="34"/>
      <c r="W102" s="35" t="s">
        <v>69</v>
      </c>
      <c r="X102" s="549">
        <v>7.5</v>
      </c>
      <c r="Y102" s="550">
        <f>IFERROR(IF(X102="",0,CEILING((X102/$H102),1)*$H102),"")</f>
        <v>7.5</v>
      </c>
      <c r="Z102" s="36">
        <f>IFERROR(IF(Y102=0,"",ROUNDUP(Y102/H102,0)*0.00902),"")</f>
        <v>1.804E-2</v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7.88</v>
      </c>
      <c r="BN102" s="64">
        <f>IFERROR(Y102*I102/H102,"0")</f>
        <v>7.88</v>
      </c>
      <c r="BO102" s="64">
        <f>IFERROR(1/J102*(X102/H102),"0")</f>
        <v>1.5151515151515152E-2</v>
      </c>
      <c r="BP102" s="64">
        <f>IFERROR(1/J102*(Y102/H102),"0")</f>
        <v>1.5151515151515152E-2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65">
        <v>4680115880429</v>
      </c>
      <c r="E103" s="566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7"/>
      <c r="R103" s="557"/>
      <c r="S103" s="557"/>
      <c r="T103" s="558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65">
        <v>4680115881457</v>
      </c>
      <c r="E104" s="566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7"/>
      <c r="R104" s="557"/>
      <c r="S104" s="557"/>
      <c r="T104" s="558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59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1"/>
      <c r="P105" s="572" t="s">
        <v>75</v>
      </c>
      <c r="Q105" s="554"/>
      <c r="R105" s="554"/>
      <c r="S105" s="554"/>
      <c r="T105" s="554"/>
      <c r="U105" s="554"/>
      <c r="V105" s="555"/>
      <c r="W105" s="37" t="s">
        <v>76</v>
      </c>
      <c r="X105" s="551">
        <f>IFERROR(X100/H100,"0")+IFERROR(X101/H101,"0")+IFERROR(X102/H102,"0")+IFERROR(X103/H103,"0")+IFERROR(X104/H104,"0")</f>
        <v>2.9259259259259256</v>
      </c>
      <c r="Y105" s="551">
        <f>IFERROR(Y100/H100,"0")+IFERROR(Y101/H101,"0")+IFERROR(Y102/H102,"0")+IFERROR(Y103/H103,"0")+IFERROR(Y104/H104,"0")</f>
        <v>3</v>
      </c>
      <c r="Z105" s="551">
        <f>IFERROR(IF(Z100="",0,Z100),"0")+IFERROR(IF(Z101="",0,Z101),"0")+IFERROR(IF(Z102="",0,Z102),"0")+IFERROR(IF(Z103="",0,Z103),"0")+IFERROR(IF(Z104="",0,Z104),"0")</f>
        <v>3.7019999999999997E-2</v>
      </c>
      <c r="AA105" s="552"/>
      <c r="AB105" s="552"/>
      <c r="AC105" s="552"/>
    </row>
    <row r="106" spans="1:68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1"/>
      <c r="P106" s="572" t="s">
        <v>75</v>
      </c>
      <c r="Q106" s="554"/>
      <c r="R106" s="554"/>
      <c r="S106" s="554"/>
      <c r="T106" s="554"/>
      <c r="U106" s="554"/>
      <c r="V106" s="555"/>
      <c r="W106" s="37" t="s">
        <v>69</v>
      </c>
      <c r="X106" s="551">
        <f>IFERROR(SUM(X100:X104),"0")</f>
        <v>17.5</v>
      </c>
      <c r="Y106" s="551">
        <f>IFERROR(SUM(Y100:Y104),"0")</f>
        <v>18.3</v>
      </c>
      <c r="Z106" s="37"/>
      <c r="AA106" s="552"/>
      <c r="AB106" s="552"/>
      <c r="AC106" s="552"/>
    </row>
    <row r="107" spans="1:68" ht="14.25" customHeight="1" x14ac:dyDescent="0.25">
      <c r="A107" s="574" t="s">
        <v>138</v>
      </c>
      <c r="B107" s="560"/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45"/>
      <c r="AB107" s="545"/>
      <c r="AC107" s="545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65">
        <v>4680115881488</v>
      </c>
      <c r="E108" s="566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7"/>
      <c r="R108" s="557"/>
      <c r="S108" s="557"/>
      <c r="T108" s="558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65">
        <v>4680115887664</v>
      </c>
      <c r="E109" s="566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6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7"/>
      <c r="R109" s="557"/>
      <c r="S109" s="557"/>
      <c r="T109" s="558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65">
        <v>4680115882775</v>
      </c>
      <c r="E110" s="566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60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7"/>
      <c r="R110" s="557"/>
      <c r="S110" s="557"/>
      <c r="T110" s="558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65">
        <v>4680115880658</v>
      </c>
      <c r="E111" s="566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6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7"/>
      <c r="R111" s="557"/>
      <c r="S111" s="557"/>
      <c r="T111" s="558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59"/>
      <c r="B112" s="560"/>
      <c r="C112" s="560"/>
      <c r="D112" s="560"/>
      <c r="E112" s="560"/>
      <c r="F112" s="560"/>
      <c r="G112" s="560"/>
      <c r="H112" s="560"/>
      <c r="I112" s="560"/>
      <c r="J112" s="560"/>
      <c r="K112" s="560"/>
      <c r="L112" s="560"/>
      <c r="M112" s="560"/>
      <c r="N112" s="560"/>
      <c r="O112" s="561"/>
      <c r="P112" s="572" t="s">
        <v>75</v>
      </c>
      <c r="Q112" s="554"/>
      <c r="R112" s="554"/>
      <c r="S112" s="554"/>
      <c r="T112" s="554"/>
      <c r="U112" s="554"/>
      <c r="V112" s="555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x14ac:dyDescent="0.2">
      <c r="A113" s="560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  <c r="L113" s="560"/>
      <c r="M113" s="560"/>
      <c r="N113" s="560"/>
      <c r="O113" s="561"/>
      <c r="P113" s="572" t="s">
        <v>75</v>
      </c>
      <c r="Q113" s="554"/>
      <c r="R113" s="554"/>
      <c r="S113" s="554"/>
      <c r="T113" s="554"/>
      <c r="U113" s="554"/>
      <c r="V113" s="555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customHeight="1" x14ac:dyDescent="0.25">
      <c r="A114" s="574" t="s">
        <v>77</v>
      </c>
      <c r="B114" s="560"/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5">
        <v>4607091385168</v>
      </c>
      <c r="E115" s="566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1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7"/>
      <c r="R115" s="557"/>
      <c r="S115" s="557"/>
      <c r="T115" s="558"/>
      <c r="U115" s="34"/>
      <c r="V115" s="34"/>
      <c r="W115" s="35" t="s">
        <v>69</v>
      </c>
      <c r="X115" s="549">
        <v>40</v>
      </c>
      <c r="Y115" s="550">
        <f>IFERROR(IF(X115="",0,CEILING((X115/$H115),1)*$H115),"")</f>
        <v>40.5</v>
      </c>
      <c r="Z115" s="36">
        <f>IFERROR(IF(Y115=0,"",ROUNDUP(Y115/H115,0)*0.01898),"")</f>
        <v>9.4899999999999998E-2</v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42.409876543209876</v>
      </c>
      <c r="BN115" s="64">
        <f>IFERROR(Y115*I115/H115,"0")</f>
        <v>42.94</v>
      </c>
      <c r="BO115" s="64">
        <f>IFERROR(1/J115*(X115/H115),"0")</f>
        <v>7.7160493827160503E-2</v>
      </c>
      <c r="BP115" s="64">
        <f>IFERROR(1/J115*(Y115/H115),"0")</f>
        <v>7.8125E-2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65">
        <v>4607091383256</v>
      </c>
      <c r="E116" s="566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81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7"/>
      <c r="R116" s="557"/>
      <c r="S116" s="557"/>
      <c r="T116" s="558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5">
        <v>4607091385748</v>
      </c>
      <c r="E117" s="566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7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7"/>
      <c r="R117" s="557"/>
      <c r="S117" s="557"/>
      <c r="T117" s="558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65">
        <v>4680115884533</v>
      </c>
      <c r="E118" s="566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7"/>
      <c r="R118" s="557"/>
      <c r="S118" s="557"/>
      <c r="T118" s="558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59"/>
      <c r="B119" s="560"/>
      <c r="C119" s="560"/>
      <c r="D119" s="560"/>
      <c r="E119" s="560"/>
      <c r="F119" s="560"/>
      <c r="G119" s="560"/>
      <c r="H119" s="560"/>
      <c r="I119" s="560"/>
      <c r="J119" s="560"/>
      <c r="K119" s="560"/>
      <c r="L119" s="560"/>
      <c r="M119" s="560"/>
      <c r="N119" s="560"/>
      <c r="O119" s="561"/>
      <c r="P119" s="572" t="s">
        <v>75</v>
      </c>
      <c r="Q119" s="554"/>
      <c r="R119" s="554"/>
      <c r="S119" s="554"/>
      <c r="T119" s="554"/>
      <c r="U119" s="554"/>
      <c r="V119" s="555"/>
      <c r="W119" s="37" t="s">
        <v>76</v>
      </c>
      <c r="X119" s="551">
        <f>IFERROR(X115/H115,"0")+IFERROR(X116/H116,"0")+IFERROR(X117/H117,"0")+IFERROR(X118/H118,"0")</f>
        <v>4.9382716049382722</v>
      </c>
      <c r="Y119" s="551">
        <f>IFERROR(Y115/H115,"0")+IFERROR(Y116/H116,"0")+IFERROR(Y117/H117,"0")+IFERROR(Y118/H118,"0")</f>
        <v>5</v>
      </c>
      <c r="Z119" s="551">
        <f>IFERROR(IF(Z115="",0,Z115),"0")+IFERROR(IF(Z116="",0,Z116),"0")+IFERROR(IF(Z117="",0,Z117),"0")+IFERROR(IF(Z118="",0,Z118),"0")</f>
        <v>9.4899999999999998E-2</v>
      </c>
      <c r="AA119" s="552"/>
      <c r="AB119" s="552"/>
      <c r="AC119" s="552"/>
    </row>
    <row r="120" spans="1:68" x14ac:dyDescent="0.2">
      <c r="A120" s="560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1"/>
      <c r="P120" s="572" t="s">
        <v>75</v>
      </c>
      <c r="Q120" s="554"/>
      <c r="R120" s="554"/>
      <c r="S120" s="554"/>
      <c r="T120" s="554"/>
      <c r="U120" s="554"/>
      <c r="V120" s="555"/>
      <c r="W120" s="37" t="s">
        <v>69</v>
      </c>
      <c r="X120" s="551">
        <f>IFERROR(SUM(X115:X118),"0")</f>
        <v>40</v>
      </c>
      <c r="Y120" s="551">
        <f>IFERROR(SUM(Y115:Y118),"0")</f>
        <v>40.5</v>
      </c>
      <c r="Z120" s="37"/>
      <c r="AA120" s="552"/>
      <c r="AB120" s="552"/>
      <c r="AC120" s="552"/>
    </row>
    <row r="121" spans="1:68" ht="14.25" customHeight="1" x14ac:dyDescent="0.25">
      <c r="A121" s="574" t="s">
        <v>163</v>
      </c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45"/>
      <c r="AB121" s="545"/>
      <c r="AC121" s="545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65">
        <v>4680115880238</v>
      </c>
      <c r="E122" s="566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7"/>
      <c r="R122" s="557"/>
      <c r="S122" s="557"/>
      <c r="T122" s="558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59"/>
      <c r="B123" s="560"/>
      <c r="C123" s="560"/>
      <c r="D123" s="560"/>
      <c r="E123" s="560"/>
      <c r="F123" s="560"/>
      <c r="G123" s="560"/>
      <c r="H123" s="560"/>
      <c r="I123" s="560"/>
      <c r="J123" s="560"/>
      <c r="K123" s="560"/>
      <c r="L123" s="560"/>
      <c r="M123" s="560"/>
      <c r="N123" s="560"/>
      <c r="O123" s="561"/>
      <c r="P123" s="572" t="s">
        <v>75</v>
      </c>
      <c r="Q123" s="554"/>
      <c r="R123" s="554"/>
      <c r="S123" s="554"/>
      <c r="T123" s="554"/>
      <c r="U123" s="554"/>
      <c r="V123" s="555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x14ac:dyDescent="0.2">
      <c r="A124" s="560"/>
      <c r="B124" s="560"/>
      <c r="C124" s="560"/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60"/>
      <c r="O124" s="561"/>
      <c r="P124" s="572" t="s">
        <v>75</v>
      </c>
      <c r="Q124" s="554"/>
      <c r="R124" s="554"/>
      <c r="S124" s="554"/>
      <c r="T124" s="554"/>
      <c r="U124" s="554"/>
      <c r="V124" s="555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customHeight="1" x14ac:dyDescent="0.25">
      <c r="A125" s="571" t="s">
        <v>230</v>
      </c>
      <c r="B125" s="560"/>
      <c r="C125" s="560"/>
      <c r="D125" s="560"/>
      <c r="E125" s="560"/>
      <c r="F125" s="560"/>
      <c r="G125" s="560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44"/>
      <c r="AB125" s="544"/>
      <c r="AC125" s="544"/>
    </row>
    <row r="126" spans="1:68" ht="14.25" customHeight="1" x14ac:dyDescent="0.25">
      <c r="A126" s="574" t="s">
        <v>103</v>
      </c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45"/>
      <c r="AB126" s="545"/>
      <c r="AC126" s="545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65">
        <v>4680115882577</v>
      </c>
      <c r="E127" s="566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6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7"/>
      <c r="R127" s="557"/>
      <c r="S127" s="557"/>
      <c r="T127" s="558"/>
      <c r="U127" s="34"/>
      <c r="V127" s="34"/>
      <c r="W127" s="35" t="s">
        <v>69</v>
      </c>
      <c r="X127" s="549">
        <v>17.600000000000001</v>
      </c>
      <c r="Y127" s="550">
        <f>IFERROR(IF(X127="",0,CEILING((X127/$H127),1)*$H127),"")</f>
        <v>19.200000000000003</v>
      </c>
      <c r="Z127" s="36">
        <f>IFERROR(IF(Y127=0,"",ROUNDUP(Y127/H127,0)*0.00651),"")</f>
        <v>3.9059999999999997E-2</v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18.59</v>
      </c>
      <c r="BN127" s="64">
        <f>IFERROR(Y127*I127/H127,"0")</f>
        <v>20.279999999999998</v>
      </c>
      <c r="BO127" s="64">
        <f>IFERROR(1/J127*(X127/H127),"0")</f>
        <v>3.0219780219780223E-2</v>
      </c>
      <c r="BP127" s="64">
        <f>IFERROR(1/J127*(Y127/H127),"0")</f>
        <v>3.2967032967032975E-2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65">
        <v>4680115882577</v>
      </c>
      <c r="E128" s="566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6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59"/>
      <c r="B129" s="560"/>
      <c r="C129" s="560"/>
      <c r="D129" s="560"/>
      <c r="E129" s="560"/>
      <c r="F129" s="560"/>
      <c r="G129" s="560"/>
      <c r="H129" s="560"/>
      <c r="I129" s="560"/>
      <c r="J129" s="560"/>
      <c r="K129" s="560"/>
      <c r="L129" s="560"/>
      <c r="M129" s="560"/>
      <c r="N129" s="560"/>
      <c r="O129" s="561"/>
      <c r="P129" s="572" t="s">
        <v>75</v>
      </c>
      <c r="Q129" s="554"/>
      <c r="R129" s="554"/>
      <c r="S129" s="554"/>
      <c r="T129" s="554"/>
      <c r="U129" s="554"/>
      <c r="V129" s="555"/>
      <c r="W129" s="37" t="s">
        <v>76</v>
      </c>
      <c r="X129" s="551">
        <f>IFERROR(X127/H127,"0")+IFERROR(X128/H128,"0")</f>
        <v>5.5</v>
      </c>
      <c r="Y129" s="551">
        <f>IFERROR(Y127/H127,"0")+IFERROR(Y128/H128,"0")</f>
        <v>6.0000000000000009</v>
      </c>
      <c r="Z129" s="551">
        <f>IFERROR(IF(Z127="",0,Z127),"0")+IFERROR(IF(Z128="",0,Z128),"0")</f>
        <v>3.9059999999999997E-2</v>
      </c>
      <c r="AA129" s="552"/>
      <c r="AB129" s="552"/>
      <c r="AC129" s="552"/>
    </row>
    <row r="130" spans="1:68" x14ac:dyDescent="0.2">
      <c r="A130" s="560"/>
      <c r="B130" s="560"/>
      <c r="C130" s="560"/>
      <c r="D130" s="560"/>
      <c r="E130" s="560"/>
      <c r="F130" s="560"/>
      <c r="G130" s="560"/>
      <c r="H130" s="560"/>
      <c r="I130" s="560"/>
      <c r="J130" s="560"/>
      <c r="K130" s="560"/>
      <c r="L130" s="560"/>
      <c r="M130" s="560"/>
      <c r="N130" s="560"/>
      <c r="O130" s="561"/>
      <c r="P130" s="572" t="s">
        <v>75</v>
      </c>
      <c r="Q130" s="554"/>
      <c r="R130" s="554"/>
      <c r="S130" s="554"/>
      <c r="T130" s="554"/>
      <c r="U130" s="554"/>
      <c r="V130" s="555"/>
      <c r="W130" s="37" t="s">
        <v>69</v>
      </c>
      <c r="X130" s="551">
        <f>IFERROR(SUM(X127:X128),"0")</f>
        <v>17.600000000000001</v>
      </c>
      <c r="Y130" s="551">
        <f>IFERROR(SUM(Y127:Y128),"0")</f>
        <v>19.200000000000003</v>
      </c>
      <c r="Z130" s="37"/>
      <c r="AA130" s="552"/>
      <c r="AB130" s="552"/>
      <c r="AC130" s="552"/>
    </row>
    <row r="131" spans="1:68" ht="14.25" customHeight="1" x14ac:dyDescent="0.25">
      <c r="A131" s="574" t="s">
        <v>64</v>
      </c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45"/>
      <c r="AB131" s="545"/>
      <c r="AC131" s="545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65">
        <v>4680115883444</v>
      </c>
      <c r="E132" s="566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7"/>
      <c r="R132" s="557"/>
      <c r="S132" s="557"/>
      <c r="T132" s="558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65">
        <v>4680115883444</v>
      </c>
      <c r="E133" s="566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6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4"/>
      <c r="V133" s="34"/>
      <c r="W133" s="35" t="s">
        <v>69</v>
      </c>
      <c r="X133" s="549">
        <v>3.5</v>
      </c>
      <c r="Y133" s="550">
        <f>IFERROR(IF(X133="",0,CEILING((X133/$H133),1)*$H133),"")</f>
        <v>5.6</v>
      </c>
      <c r="Z133" s="36">
        <f>IFERROR(IF(Y133=0,"",ROUNDUP(Y133/H133,0)*0.00651),"")</f>
        <v>1.302E-2</v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3.835</v>
      </c>
      <c r="BN133" s="64">
        <f>IFERROR(Y133*I133/H133,"0")</f>
        <v>6.1359999999999992</v>
      </c>
      <c r="BO133" s="64">
        <f>IFERROR(1/J133*(X133/H133),"0")</f>
        <v>6.8681318681318689E-3</v>
      </c>
      <c r="BP133" s="64">
        <f>IFERROR(1/J133*(Y133/H133),"0")</f>
        <v>1.098901098901099E-2</v>
      </c>
    </row>
    <row r="134" spans="1:68" x14ac:dyDescent="0.2">
      <c r="A134" s="559"/>
      <c r="B134" s="560"/>
      <c r="C134" s="560"/>
      <c r="D134" s="560"/>
      <c r="E134" s="560"/>
      <c r="F134" s="560"/>
      <c r="G134" s="560"/>
      <c r="H134" s="560"/>
      <c r="I134" s="560"/>
      <c r="J134" s="560"/>
      <c r="K134" s="560"/>
      <c r="L134" s="560"/>
      <c r="M134" s="560"/>
      <c r="N134" s="560"/>
      <c r="O134" s="561"/>
      <c r="P134" s="572" t="s">
        <v>75</v>
      </c>
      <c r="Q134" s="554"/>
      <c r="R134" s="554"/>
      <c r="S134" s="554"/>
      <c r="T134" s="554"/>
      <c r="U134" s="554"/>
      <c r="V134" s="555"/>
      <c r="W134" s="37" t="s">
        <v>76</v>
      </c>
      <c r="X134" s="551">
        <f>IFERROR(X132/H132,"0")+IFERROR(X133/H133,"0")</f>
        <v>1.25</v>
      </c>
      <c r="Y134" s="551">
        <f>IFERROR(Y132/H132,"0")+IFERROR(Y133/H133,"0")</f>
        <v>2</v>
      </c>
      <c r="Z134" s="551">
        <f>IFERROR(IF(Z132="",0,Z132),"0")+IFERROR(IF(Z133="",0,Z133),"0")</f>
        <v>1.302E-2</v>
      </c>
      <c r="AA134" s="552"/>
      <c r="AB134" s="552"/>
      <c r="AC134" s="552"/>
    </row>
    <row r="135" spans="1:68" x14ac:dyDescent="0.2">
      <c r="A135" s="560"/>
      <c r="B135" s="560"/>
      <c r="C135" s="560"/>
      <c r="D135" s="560"/>
      <c r="E135" s="560"/>
      <c r="F135" s="560"/>
      <c r="G135" s="560"/>
      <c r="H135" s="560"/>
      <c r="I135" s="560"/>
      <c r="J135" s="560"/>
      <c r="K135" s="560"/>
      <c r="L135" s="560"/>
      <c r="M135" s="560"/>
      <c r="N135" s="560"/>
      <c r="O135" s="561"/>
      <c r="P135" s="572" t="s">
        <v>75</v>
      </c>
      <c r="Q135" s="554"/>
      <c r="R135" s="554"/>
      <c r="S135" s="554"/>
      <c r="T135" s="554"/>
      <c r="U135" s="554"/>
      <c r="V135" s="555"/>
      <c r="W135" s="37" t="s">
        <v>69</v>
      </c>
      <c r="X135" s="551">
        <f>IFERROR(SUM(X132:X133),"0")</f>
        <v>3.5</v>
      </c>
      <c r="Y135" s="551">
        <f>IFERROR(SUM(Y132:Y133),"0")</f>
        <v>5.6</v>
      </c>
      <c r="Z135" s="37"/>
      <c r="AA135" s="552"/>
      <c r="AB135" s="552"/>
      <c r="AC135" s="552"/>
    </row>
    <row r="136" spans="1:68" ht="14.25" customHeight="1" x14ac:dyDescent="0.25">
      <c r="A136" s="574" t="s">
        <v>77</v>
      </c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45"/>
      <c r="AB136" s="545"/>
      <c r="AC136" s="545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65">
        <v>4680115882584</v>
      </c>
      <c r="E137" s="566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7"/>
      <c r="R137" s="557"/>
      <c r="S137" s="557"/>
      <c r="T137" s="558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65">
        <v>4680115882584</v>
      </c>
      <c r="E138" s="566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7"/>
      <c r="R138" s="557"/>
      <c r="S138" s="557"/>
      <c r="T138" s="558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59"/>
      <c r="B139" s="560"/>
      <c r="C139" s="560"/>
      <c r="D139" s="560"/>
      <c r="E139" s="560"/>
      <c r="F139" s="560"/>
      <c r="G139" s="560"/>
      <c r="H139" s="560"/>
      <c r="I139" s="560"/>
      <c r="J139" s="560"/>
      <c r="K139" s="560"/>
      <c r="L139" s="560"/>
      <c r="M139" s="560"/>
      <c r="N139" s="560"/>
      <c r="O139" s="561"/>
      <c r="P139" s="572" t="s">
        <v>75</v>
      </c>
      <c r="Q139" s="554"/>
      <c r="R139" s="554"/>
      <c r="S139" s="554"/>
      <c r="T139" s="554"/>
      <c r="U139" s="554"/>
      <c r="V139" s="555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x14ac:dyDescent="0.2">
      <c r="A140" s="560"/>
      <c r="B140" s="560"/>
      <c r="C140" s="560"/>
      <c r="D140" s="560"/>
      <c r="E140" s="560"/>
      <c r="F140" s="560"/>
      <c r="G140" s="560"/>
      <c r="H140" s="560"/>
      <c r="I140" s="560"/>
      <c r="J140" s="560"/>
      <c r="K140" s="560"/>
      <c r="L140" s="560"/>
      <c r="M140" s="560"/>
      <c r="N140" s="560"/>
      <c r="O140" s="561"/>
      <c r="P140" s="572" t="s">
        <v>75</v>
      </c>
      <c r="Q140" s="554"/>
      <c r="R140" s="554"/>
      <c r="S140" s="554"/>
      <c r="T140" s="554"/>
      <c r="U140" s="554"/>
      <c r="V140" s="555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customHeight="1" x14ac:dyDescent="0.25">
      <c r="A141" s="571" t="s">
        <v>101</v>
      </c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44"/>
      <c r="AB141" s="544"/>
      <c r="AC141" s="544"/>
    </row>
    <row r="142" spans="1:68" ht="14.25" customHeight="1" x14ac:dyDescent="0.25">
      <c r="A142" s="574" t="s">
        <v>103</v>
      </c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45"/>
      <c r="AB142" s="545"/>
      <c r="AC142" s="545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65">
        <v>4680115887374</v>
      </c>
      <c r="E143" s="566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7"/>
      <c r="R143" s="557"/>
      <c r="S143" s="557"/>
      <c r="T143" s="558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65">
        <v>4607091384604</v>
      </c>
      <c r="E144" s="566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8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7"/>
      <c r="R144" s="557"/>
      <c r="S144" s="557"/>
      <c r="T144" s="558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59"/>
      <c r="B145" s="560"/>
      <c r="C145" s="560"/>
      <c r="D145" s="560"/>
      <c r="E145" s="560"/>
      <c r="F145" s="560"/>
      <c r="G145" s="560"/>
      <c r="H145" s="560"/>
      <c r="I145" s="560"/>
      <c r="J145" s="560"/>
      <c r="K145" s="560"/>
      <c r="L145" s="560"/>
      <c r="M145" s="560"/>
      <c r="N145" s="560"/>
      <c r="O145" s="561"/>
      <c r="P145" s="572" t="s">
        <v>75</v>
      </c>
      <c r="Q145" s="554"/>
      <c r="R145" s="554"/>
      <c r="S145" s="554"/>
      <c r="T145" s="554"/>
      <c r="U145" s="554"/>
      <c r="V145" s="555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x14ac:dyDescent="0.2">
      <c r="A146" s="560"/>
      <c r="B146" s="560"/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1"/>
      <c r="P146" s="572" t="s">
        <v>75</v>
      </c>
      <c r="Q146" s="554"/>
      <c r="R146" s="554"/>
      <c r="S146" s="554"/>
      <c r="T146" s="554"/>
      <c r="U146" s="554"/>
      <c r="V146" s="555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customHeight="1" x14ac:dyDescent="0.25">
      <c r="A147" s="574" t="s">
        <v>64</v>
      </c>
      <c r="B147" s="560"/>
      <c r="C147" s="560"/>
      <c r="D147" s="560"/>
      <c r="E147" s="560"/>
      <c r="F147" s="560"/>
      <c r="G147" s="560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45"/>
      <c r="AB147" s="545"/>
      <c r="AC147" s="545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65">
        <v>4680115887428</v>
      </c>
      <c r="E148" s="566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816" t="s">
        <v>250</v>
      </c>
      <c r="Q148" s="557"/>
      <c r="R148" s="557"/>
      <c r="S148" s="557"/>
      <c r="T148" s="558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65">
        <v>4680115887336</v>
      </c>
      <c r="E149" s="566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579" t="s">
        <v>255</v>
      </c>
      <c r="Q149" s="557"/>
      <c r="R149" s="557"/>
      <c r="S149" s="557"/>
      <c r="T149" s="558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65">
        <v>4680115887398</v>
      </c>
      <c r="E150" s="566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877" t="s">
        <v>259</v>
      </c>
      <c r="Q150" s="557"/>
      <c r="R150" s="557"/>
      <c r="S150" s="557"/>
      <c r="T150" s="558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65">
        <v>4607091387667</v>
      </c>
      <c r="E151" s="566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5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7"/>
      <c r="R151" s="557"/>
      <c r="S151" s="557"/>
      <c r="T151" s="558"/>
      <c r="U151" s="34"/>
      <c r="V151" s="34"/>
      <c r="W151" s="35" t="s">
        <v>69</v>
      </c>
      <c r="X151" s="549">
        <v>65</v>
      </c>
      <c r="Y151" s="550">
        <f t="shared" si="5"/>
        <v>72</v>
      </c>
      <c r="Z151" s="36">
        <f>IFERROR(IF(Y151=0,"",ROUNDUP(Y151/H151,0)*0.01898),"")</f>
        <v>0.15184</v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69.044444444444437</v>
      </c>
      <c r="BN151" s="64">
        <f t="shared" si="7"/>
        <v>76.48</v>
      </c>
      <c r="BO151" s="64">
        <f t="shared" si="8"/>
        <v>0.11284722222222222</v>
      </c>
      <c r="BP151" s="64">
        <f t="shared" si="9"/>
        <v>0.125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65">
        <v>4607091387636</v>
      </c>
      <c r="E152" s="566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86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7"/>
      <c r="R152" s="557"/>
      <c r="S152" s="557"/>
      <c r="T152" s="558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5">
        <v>4607091382426</v>
      </c>
      <c r="E153" s="566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7"/>
      <c r="R153" s="557"/>
      <c r="S153" s="557"/>
      <c r="T153" s="558"/>
      <c r="U153" s="34"/>
      <c r="V153" s="34"/>
      <c r="W153" s="35" t="s">
        <v>69</v>
      </c>
      <c r="X153" s="549">
        <v>40</v>
      </c>
      <c r="Y153" s="550">
        <f t="shared" si="5"/>
        <v>45</v>
      </c>
      <c r="Z153" s="36">
        <f>IFERROR(IF(Y153=0,"",ROUNDUP(Y153/H153,0)*0.01898),"")</f>
        <v>9.4899999999999998E-2</v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42.488888888888894</v>
      </c>
      <c r="BN153" s="64">
        <f t="shared" si="7"/>
        <v>47.800000000000004</v>
      </c>
      <c r="BO153" s="64">
        <f t="shared" si="8"/>
        <v>6.9444444444444448E-2</v>
      </c>
      <c r="BP153" s="64">
        <f t="shared" si="9"/>
        <v>7.8125E-2</v>
      </c>
    </row>
    <row r="154" spans="1:68" x14ac:dyDescent="0.2">
      <c r="A154" s="559"/>
      <c r="B154" s="560"/>
      <c r="C154" s="560"/>
      <c r="D154" s="560"/>
      <c r="E154" s="560"/>
      <c r="F154" s="560"/>
      <c r="G154" s="560"/>
      <c r="H154" s="560"/>
      <c r="I154" s="560"/>
      <c r="J154" s="560"/>
      <c r="K154" s="560"/>
      <c r="L154" s="560"/>
      <c r="M154" s="560"/>
      <c r="N154" s="560"/>
      <c r="O154" s="561"/>
      <c r="P154" s="572" t="s">
        <v>75</v>
      </c>
      <c r="Q154" s="554"/>
      <c r="R154" s="554"/>
      <c r="S154" s="554"/>
      <c r="T154" s="554"/>
      <c r="U154" s="554"/>
      <c r="V154" s="555"/>
      <c r="W154" s="37" t="s">
        <v>76</v>
      </c>
      <c r="X154" s="551">
        <f>IFERROR(X148/H148,"0")+IFERROR(X149/H149,"0")+IFERROR(X150/H150,"0")+IFERROR(X151/H151,"0")+IFERROR(X152/H152,"0")+IFERROR(X153/H153,"0")</f>
        <v>11.666666666666668</v>
      </c>
      <c r="Y154" s="551">
        <f>IFERROR(Y148/H148,"0")+IFERROR(Y149/H149,"0")+IFERROR(Y150/H150,"0")+IFERROR(Y151/H151,"0")+IFERROR(Y152/H152,"0")+IFERROR(Y153/H153,"0")</f>
        <v>13</v>
      </c>
      <c r="Z154" s="551">
        <f>IFERROR(IF(Z148="",0,Z148),"0")+IFERROR(IF(Z149="",0,Z149),"0")+IFERROR(IF(Z150="",0,Z150),"0")+IFERROR(IF(Z151="",0,Z151),"0")+IFERROR(IF(Z152="",0,Z152),"0")+IFERROR(IF(Z153="",0,Z153),"0")</f>
        <v>0.24674000000000001</v>
      </c>
      <c r="AA154" s="552"/>
      <c r="AB154" s="552"/>
      <c r="AC154" s="552"/>
    </row>
    <row r="155" spans="1:68" x14ac:dyDescent="0.2">
      <c r="A155" s="560"/>
      <c r="B155" s="560"/>
      <c r="C155" s="560"/>
      <c r="D155" s="560"/>
      <c r="E155" s="560"/>
      <c r="F155" s="560"/>
      <c r="G155" s="560"/>
      <c r="H155" s="560"/>
      <c r="I155" s="560"/>
      <c r="J155" s="560"/>
      <c r="K155" s="560"/>
      <c r="L155" s="560"/>
      <c r="M155" s="560"/>
      <c r="N155" s="560"/>
      <c r="O155" s="561"/>
      <c r="P155" s="572" t="s">
        <v>75</v>
      </c>
      <c r="Q155" s="554"/>
      <c r="R155" s="554"/>
      <c r="S155" s="554"/>
      <c r="T155" s="554"/>
      <c r="U155" s="554"/>
      <c r="V155" s="555"/>
      <c r="W155" s="37" t="s">
        <v>69</v>
      </c>
      <c r="X155" s="551">
        <f>IFERROR(SUM(X148:X153),"0")</f>
        <v>105</v>
      </c>
      <c r="Y155" s="551">
        <f>IFERROR(SUM(Y148:Y153),"0")</f>
        <v>117</v>
      </c>
      <c r="Z155" s="37"/>
      <c r="AA155" s="552"/>
      <c r="AB155" s="552"/>
      <c r="AC155" s="552"/>
    </row>
    <row r="156" spans="1:68" ht="14.25" customHeight="1" x14ac:dyDescent="0.25">
      <c r="A156" s="574" t="s">
        <v>77</v>
      </c>
      <c r="B156" s="560"/>
      <c r="C156" s="560"/>
      <c r="D156" s="560"/>
      <c r="E156" s="560"/>
      <c r="F156" s="560"/>
      <c r="G156" s="560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45"/>
      <c r="AB156" s="545"/>
      <c r="AC156" s="545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65">
        <v>4680115887459</v>
      </c>
      <c r="E157" s="566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9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1"/>
      <c r="P158" s="572" t="s">
        <v>75</v>
      </c>
      <c r="Q158" s="554"/>
      <c r="R158" s="554"/>
      <c r="S158" s="554"/>
      <c r="T158" s="554"/>
      <c r="U158" s="554"/>
      <c r="V158" s="555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x14ac:dyDescent="0.2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1"/>
      <c r="P159" s="572" t="s">
        <v>75</v>
      </c>
      <c r="Q159" s="554"/>
      <c r="R159" s="554"/>
      <c r="S159" s="554"/>
      <c r="T159" s="554"/>
      <c r="U159" s="554"/>
      <c r="V159" s="555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customHeight="1" x14ac:dyDescent="0.2">
      <c r="A160" s="596" t="s">
        <v>273</v>
      </c>
      <c r="B160" s="597"/>
      <c r="C160" s="597"/>
      <c r="D160" s="597"/>
      <c r="E160" s="597"/>
      <c r="F160" s="597"/>
      <c r="G160" s="597"/>
      <c r="H160" s="597"/>
      <c r="I160" s="597"/>
      <c r="J160" s="597"/>
      <c r="K160" s="597"/>
      <c r="L160" s="597"/>
      <c r="M160" s="597"/>
      <c r="N160" s="597"/>
      <c r="O160" s="597"/>
      <c r="P160" s="597"/>
      <c r="Q160" s="597"/>
      <c r="R160" s="597"/>
      <c r="S160" s="597"/>
      <c r="T160" s="597"/>
      <c r="U160" s="597"/>
      <c r="V160" s="597"/>
      <c r="W160" s="597"/>
      <c r="X160" s="597"/>
      <c r="Y160" s="597"/>
      <c r="Z160" s="597"/>
      <c r="AA160" s="48"/>
      <c r="AB160" s="48"/>
      <c r="AC160" s="48"/>
    </row>
    <row r="161" spans="1:68" ht="16.5" customHeight="1" x14ac:dyDescent="0.25">
      <c r="A161" s="571" t="s">
        <v>274</v>
      </c>
      <c r="B161" s="560"/>
      <c r="C161" s="560"/>
      <c r="D161" s="560"/>
      <c r="E161" s="560"/>
      <c r="F161" s="560"/>
      <c r="G161" s="560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44"/>
      <c r="AB161" s="544"/>
      <c r="AC161" s="544"/>
    </row>
    <row r="162" spans="1:68" ht="14.25" customHeight="1" x14ac:dyDescent="0.25">
      <c r="A162" s="574" t="s">
        <v>138</v>
      </c>
      <c r="B162" s="560"/>
      <c r="C162" s="560"/>
      <c r="D162" s="560"/>
      <c r="E162" s="560"/>
      <c r="F162" s="560"/>
      <c r="G162" s="560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45"/>
      <c r="AB162" s="545"/>
      <c r="AC162" s="545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65">
        <v>4680115886223</v>
      </c>
      <c r="E163" s="566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59"/>
      <c r="B164" s="560"/>
      <c r="C164" s="560"/>
      <c r="D164" s="560"/>
      <c r="E164" s="560"/>
      <c r="F164" s="560"/>
      <c r="G164" s="560"/>
      <c r="H164" s="560"/>
      <c r="I164" s="560"/>
      <c r="J164" s="560"/>
      <c r="K164" s="560"/>
      <c r="L164" s="560"/>
      <c r="M164" s="560"/>
      <c r="N164" s="560"/>
      <c r="O164" s="561"/>
      <c r="P164" s="572" t="s">
        <v>75</v>
      </c>
      <c r="Q164" s="554"/>
      <c r="R164" s="554"/>
      <c r="S164" s="554"/>
      <c r="T164" s="554"/>
      <c r="U164" s="554"/>
      <c r="V164" s="555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x14ac:dyDescent="0.2">
      <c r="A165" s="560"/>
      <c r="B165" s="560"/>
      <c r="C165" s="560"/>
      <c r="D165" s="560"/>
      <c r="E165" s="560"/>
      <c r="F165" s="560"/>
      <c r="G165" s="560"/>
      <c r="H165" s="560"/>
      <c r="I165" s="560"/>
      <c r="J165" s="560"/>
      <c r="K165" s="560"/>
      <c r="L165" s="560"/>
      <c r="M165" s="560"/>
      <c r="N165" s="560"/>
      <c r="O165" s="561"/>
      <c r="P165" s="572" t="s">
        <v>75</v>
      </c>
      <c r="Q165" s="554"/>
      <c r="R165" s="554"/>
      <c r="S165" s="554"/>
      <c r="T165" s="554"/>
      <c r="U165" s="554"/>
      <c r="V165" s="555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customHeight="1" x14ac:dyDescent="0.25">
      <c r="A166" s="574" t="s">
        <v>64</v>
      </c>
      <c r="B166" s="560"/>
      <c r="C166" s="560"/>
      <c r="D166" s="560"/>
      <c r="E166" s="560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45"/>
      <c r="AB166" s="545"/>
      <c r="AC166" s="545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5">
        <v>4680115880993</v>
      </c>
      <c r="E167" s="566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7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4"/>
      <c r="V167" s="34"/>
      <c r="W167" s="35" t="s">
        <v>69</v>
      </c>
      <c r="X167" s="549">
        <v>10</v>
      </c>
      <c r="Y167" s="550">
        <f t="shared" ref="Y167:Y178" si="10">IFERROR(IF(X167="",0,CEILING((X167/$H167),1)*$H167),"")</f>
        <v>12.600000000000001</v>
      </c>
      <c r="Z167" s="36">
        <f>IFERROR(IF(Y167=0,"",ROUNDUP(Y167/H167,0)*0.00902),"")</f>
        <v>2.7060000000000001E-2</v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10.595238095238095</v>
      </c>
      <c r="BN167" s="64">
        <f t="shared" ref="BN167:BN178" si="12">IFERROR(Y167*I167/H167,"0")</f>
        <v>13.350000000000001</v>
      </c>
      <c r="BO167" s="64">
        <f t="shared" ref="BO167:BO178" si="13">IFERROR(1/J167*(X167/H167),"0")</f>
        <v>1.8037518037518036E-2</v>
      </c>
      <c r="BP167" s="64">
        <f t="shared" ref="BP167:BP178" si="14">IFERROR(1/J167*(Y167/H167),"0")</f>
        <v>2.2727272727272728E-2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65">
        <v>4680115881761</v>
      </c>
      <c r="E168" s="566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8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65">
        <v>4680115881563</v>
      </c>
      <c r="E169" s="566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65">
        <v>4680115887565</v>
      </c>
      <c r="E170" s="566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65">
        <v>4680115880986</v>
      </c>
      <c r="E171" s="566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8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4"/>
      <c r="V171" s="34"/>
      <c r="W171" s="35" t="s">
        <v>69</v>
      </c>
      <c r="X171" s="549">
        <v>7</v>
      </c>
      <c r="Y171" s="550">
        <f t="shared" si="10"/>
        <v>8.4</v>
      </c>
      <c r="Z171" s="36">
        <f>IFERROR(IF(Y171=0,"",ROUNDUP(Y171/H171,0)*0.00502),"")</f>
        <v>2.0080000000000001E-2</v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7.4333333333333327</v>
      </c>
      <c r="BN171" s="64">
        <f t="shared" si="12"/>
        <v>8.92</v>
      </c>
      <c r="BO171" s="64">
        <f t="shared" si="13"/>
        <v>1.4245014245014245E-2</v>
      </c>
      <c r="BP171" s="64">
        <f t="shared" si="14"/>
        <v>1.7094017094017096E-2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65">
        <v>4680115887213</v>
      </c>
      <c r="E172" s="566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86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65">
        <v>4680115881785</v>
      </c>
      <c r="E173" s="566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65">
        <v>4680115886537</v>
      </c>
      <c r="E174" s="566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57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7"/>
      <c r="R174" s="557"/>
      <c r="S174" s="557"/>
      <c r="T174" s="558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65">
        <v>4680115887596</v>
      </c>
      <c r="E175" s="566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65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7"/>
      <c r="R175" s="557"/>
      <c r="S175" s="557"/>
      <c r="T175" s="558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65">
        <v>4680115881679</v>
      </c>
      <c r="E176" s="566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6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7"/>
      <c r="R176" s="557"/>
      <c r="S176" s="557"/>
      <c r="T176" s="558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65">
        <v>4680115880191</v>
      </c>
      <c r="E177" s="566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7"/>
      <c r="R177" s="557"/>
      <c r="S177" s="557"/>
      <c r="T177" s="558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65">
        <v>4680115883963</v>
      </c>
      <c r="E178" s="566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7"/>
      <c r="R178" s="557"/>
      <c r="S178" s="557"/>
      <c r="T178" s="558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59"/>
      <c r="B179" s="560"/>
      <c r="C179" s="560"/>
      <c r="D179" s="560"/>
      <c r="E179" s="560"/>
      <c r="F179" s="560"/>
      <c r="G179" s="560"/>
      <c r="H179" s="560"/>
      <c r="I179" s="560"/>
      <c r="J179" s="560"/>
      <c r="K179" s="560"/>
      <c r="L179" s="560"/>
      <c r="M179" s="560"/>
      <c r="N179" s="560"/>
      <c r="O179" s="561"/>
      <c r="P179" s="572" t="s">
        <v>75</v>
      </c>
      <c r="Q179" s="554"/>
      <c r="R179" s="554"/>
      <c r="S179" s="554"/>
      <c r="T179" s="554"/>
      <c r="U179" s="554"/>
      <c r="V179" s="555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5.7142857142857135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7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4.7140000000000001E-2</v>
      </c>
      <c r="AA179" s="552"/>
      <c r="AB179" s="552"/>
      <c r="AC179" s="552"/>
    </row>
    <row r="180" spans="1:68" x14ac:dyDescent="0.2">
      <c r="A180" s="560"/>
      <c r="B180" s="560"/>
      <c r="C180" s="560"/>
      <c r="D180" s="560"/>
      <c r="E180" s="560"/>
      <c r="F180" s="560"/>
      <c r="G180" s="560"/>
      <c r="H180" s="560"/>
      <c r="I180" s="560"/>
      <c r="J180" s="560"/>
      <c r="K180" s="560"/>
      <c r="L180" s="560"/>
      <c r="M180" s="560"/>
      <c r="N180" s="560"/>
      <c r="O180" s="561"/>
      <c r="P180" s="572" t="s">
        <v>75</v>
      </c>
      <c r="Q180" s="554"/>
      <c r="R180" s="554"/>
      <c r="S180" s="554"/>
      <c r="T180" s="554"/>
      <c r="U180" s="554"/>
      <c r="V180" s="555"/>
      <c r="W180" s="37" t="s">
        <v>69</v>
      </c>
      <c r="X180" s="551">
        <f>IFERROR(SUM(X167:X178),"0")</f>
        <v>17</v>
      </c>
      <c r="Y180" s="551">
        <f>IFERROR(SUM(Y167:Y178),"0")</f>
        <v>21</v>
      </c>
      <c r="Z180" s="37"/>
      <c r="AA180" s="552"/>
      <c r="AB180" s="552"/>
      <c r="AC180" s="552"/>
    </row>
    <row r="181" spans="1:68" ht="14.25" customHeight="1" x14ac:dyDescent="0.25">
      <c r="A181" s="574" t="s">
        <v>95</v>
      </c>
      <c r="B181" s="560"/>
      <c r="C181" s="560"/>
      <c r="D181" s="560"/>
      <c r="E181" s="560"/>
      <c r="F181" s="560"/>
      <c r="G181" s="560"/>
      <c r="H181" s="560"/>
      <c r="I181" s="560"/>
      <c r="J181" s="560"/>
      <c r="K181" s="560"/>
      <c r="L181" s="560"/>
      <c r="M181" s="560"/>
      <c r="N181" s="560"/>
      <c r="O181" s="560"/>
      <c r="P181" s="560"/>
      <c r="Q181" s="560"/>
      <c r="R181" s="560"/>
      <c r="S181" s="560"/>
      <c r="T181" s="560"/>
      <c r="U181" s="560"/>
      <c r="V181" s="560"/>
      <c r="W181" s="560"/>
      <c r="X181" s="560"/>
      <c r="Y181" s="560"/>
      <c r="Z181" s="560"/>
      <c r="AA181" s="545"/>
      <c r="AB181" s="545"/>
      <c r="AC181" s="545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65">
        <v>4680115886780</v>
      </c>
      <c r="E182" s="566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7"/>
      <c r="R182" s="557"/>
      <c r="S182" s="557"/>
      <c r="T182" s="558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65">
        <v>4680115886742</v>
      </c>
      <c r="E183" s="566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6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7"/>
      <c r="R183" s="557"/>
      <c r="S183" s="557"/>
      <c r="T183" s="558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65">
        <v>4680115886766</v>
      </c>
      <c r="E184" s="566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7"/>
      <c r="R184" s="557"/>
      <c r="S184" s="557"/>
      <c r="T184" s="558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59"/>
      <c r="B185" s="560"/>
      <c r="C185" s="560"/>
      <c r="D185" s="560"/>
      <c r="E185" s="560"/>
      <c r="F185" s="560"/>
      <c r="G185" s="560"/>
      <c r="H185" s="560"/>
      <c r="I185" s="560"/>
      <c r="J185" s="560"/>
      <c r="K185" s="560"/>
      <c r="L185" s="560"/>
      <c r="M185" s="560"/>
      <c r="N185" s="560"/>
      <c r="O185" s="561"/>
      <c r="P185" s="572" t="s">
        <v>75</v>
      </c>
      <c r="Q185" s="554"/>
      <c r="R185" s="554"/>
      <c r="S185" s="554"/>
      <c r="T185" s="554"/>
      <c r="U185" s="554"/>
      <c r="V185" s="555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x14ac:dyDescent="0.2">
      <c r="A186" s="560"/>
      <c r="B186" s="560"/>
      <c r="C186" s="560"/>
      <c r="D186" s="560"/>
      <c r="E186" s="560"/>
      <c r="F186" s="560"/>
      <c r="G186" s="560"/>
      <c r="H186" s="560"/>
      <c r="I186" s="560"/>
      <c r="J186" s="560"/>
      <c r="K186" s="560"/>
      <c r="L186" s="560"/>
      <c r="M186" s="560"/>
      <c r="N186" s="560"/>
      <c r="O186" s="561"/>
      <c r="P186" s="572" t="s">
        <v>75</v>
      </c>
      <c r="Q186" s="554"/>
      <c r="R186" s="554"/>
      <c r="S186" s="554"/>
      <c r="T186" s="554"/>
      <c r="U186" s="554"/>
      <c r="V186" s="555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customHeight="1" x14ac:dyDescent="0.25">
      <c r="A187" s="574" t="s">
        <v>321</v>
      </c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0"/>
      <c r="P187" s="560"/>
      <c r="Q187" s="560"/>
      <c r="R187" s="560"/>
      <c r="S187" s="560"/>
      <c r="T187" s="560"/>
      <c r="U187" s="560"/>
      <c r="V187" s="560"/>
      <c r="W187" s="560"/>
      <c r="X187" s="560"/>
      <c r="Y187" s="560"/>
      <c r="Z187" s="560"/>
      <c r="AA187" s="545"/>
      <c r="AB187" s="545"/>
      <c r="AC187" s="545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65">
        <v>4680115886797</v>
      </c>
      <c r="E188" s="566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7"/>
      <c r="R188" s="557"/>
      <c r="S188" s="557"/>
      <c r="T188" s="558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59"/>
      <c r="B189" s="560"/>
      <c r="C189" s="560"/>
      <c r="D189" s="560"/>
      <c r="E189" s="560"/>
      <c r="F189" s="560"/>
      <c r="G189" s="560"/>
      <c r="H189" s="560"/>
      <c r="I189" s="560"/>
      <c r="J189" s="560"/>
      <c r="K189" s="560"/>
      <c r="L189" s="560"/>
      <c r="M189" s="560"/>
      <c r="N189" s="560"/>
      <c r="O189" s="561"/>
      <c r="P189" s="572" t="s">
        <v>75</v>
      </c>
      <c r="Q189" s="554"/>
      <c r="R189" s="554"/>
      <c r="S189" s="554"/>
      <c r="T189" s="554"/>
      <c r="U189" s="554"/>
      <c r="V189" s="555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x14ac:dyDescent="0.2">
      <c r="A190" s="560"/>
      <c r="B190" s="560"/>
      <c r="C190" s="560"/>
      <c r="D190" s="560"/>
      <c r="E190" s="560"/>
      <c r="F190" s="560"/>
      <c r="G190" s="560"/>
      <c r="H190" s="560"/>
      <c r="I190" s="560"/>
      <c r="J190" s="560"/>
      <c r="K190" s="560"/>
      <c r="L190" s="560"/>
      <c r="M190" s="560"/>
      <c r="N190" s="560"/>
      <c r="O190" s="561"/>
      <c r="P190" s="572" t="s">
        <v>75</v>
      </c>
      <c r="Q190" s="554"/>
      <c r="R190" s="554"/>
      <c r="S190" s="554"/>
      <c r="T190" s="554"/>
      <c r="U190" s="554"/>
      <c r="V190" s="555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customHeight="1" x14ac:dyDescent="0.25">
      <c r="A191" s="571" t="s">
        <v>324</v>
      </c>
      <c r="B191" s="560"/>
      <c r="C191" s="560"/>
      <c r="D191" s="560"/>
      <c r="E191" s="560"/>
      <c r="F191" s="560"/>
      <c r="G191" s="560"/>
      <c r="H191" s="560"/>
      <c r="I191" s="560"/>
      <c r="J191" s="560"/>
      <c r="K191" s="560"/>
      <c r="L191" s="560"/>
      <c r="M191" s="560"/>
      <c r="N191" s="560"/>
      <c r="O191" s="560"/>
      <c r="P191" s="560"/>
      <c r="Q191" s="560"/>
      <c r="R191" s="560"/>
      <c r="S191" s="560"/>
      <c r="T191" s="560"/>
      <c r="U191" s="560"/>
      <c r="V191" s="560"/>
      <c r="W191" s="560"/>
      <c r="X191" s="560"/>
      <c r="Y191" s="560"/>
      <c r="Z191" s="560"/>
      <c r="AA191" s="544"/>
      <c r="AB191" s="544"/>
      <c r="AC191" s="544"/>
    </row>
    <row r="192" spans="1:68" ht="14.25" customHeight="1" x14ac:dyDescent="0.25">
      <c r="A192" s="574" t="s">
        <v>103</v>
      </c>
      <c r="B192" s="560"/>
      <c r="C192" s="560"/>
      <c r="D192" s="560"/>
      <c r="E192" s="560"/>
      <c r="F192" s="560"/>
      <c r="G192" s="560"/>
      <c r="H192" s="560"/>
      <c r="I192" s="560"/>
      <c r="J192" s="560"/>
      <c r="K192" s="560"/>
      <c r="L192" s="560"/>
      <c r="M192" s="560"/>
      <c r="N192" s="560"/>
      <c r="O192" s="560"/>
      <c r="P192" s="560"/>
      <c r="Q192" s="560"/>
      <c r="R192" s="560"/>
      <c r="S192" s="560"/>
      <c r="T192" s="560"/>
      <c r="U192" s="560"/>
      <c r="V192" s="560"/>
      <c r="W192" s="560"/>
      <c r="X192" s="560"/>
      <c r="Y192" s="560"/>
      <c r="Z192" s="560"/>
      <c r="AA192" s="545"/>
      <c r="AB192" s="545"/>
      <c r="AC192" s="545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65">
        <v>4680115881402</v>
      </c>
      <c r="E193" s="566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7"/>
      <c r="R193" s="557"/>
      <c r="S193" s="557"/>
      <c r="T193" s="558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65">
        <v>4680115881396</v>
      </c>
      <c r="E194" s="566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7"/>
      <c r="R194" s="557"/>
      <c r="S194" s="557"/>
      <c r="T194" s="558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59"/>
      <c r="B195" s="560"/>
      <c r="C195" s="560"/>
      <c r="D195" s="560"/>
      <c r="E195" s="560"/>
      <c r="F195" s="560"/>
      <c r="G195" s="560"/>
      <c r="H195" s="560"/>
      <c r="I195" s="560"/>
      <c r="J195" s="560"/>
      <c r="K195" s="560"/>
      <c r="L195" s="560"/>
      <c r="M195" s="560"/>
      <c r="N195" s="560"/>
      <c r="O195" s="561"/>
      <c r="P195" s="572" t="s">
        <v>75</v>
      </c>
      <c r="Q195" s="554"/>
      <c r="R195" s="554"/>
      <c r="S195" s="554"/>
      <c r="T195" s="554"/>
      <c r="U195" s="554"/>
      <c r="V195" s="555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x14ac:dyDescent="0.2">
      <c r="A196" s="560"/>
      <c r="B196" s="560"/>
      <c r="C196" s="560"/>
      <c r="D196" s="560"/>
      <c r="E196" s="560"/>
      <c r="F196" s="560"/>
      <c r="G196" s="560"/>
      <c r="H196" s="560"/>
      <c r="I196" s="560"/>
      <c r="J196" s="560"/>
      <c r="K196" s="560"/>
      <c r="L196" s="560"/>
      <c r="M196" s="560"/>
      <c r="N196" s="560"/>
      <c r="O196" s="561"/>
      <c r="P196" s="572" t="s">
        <v>75</v>
      </c>
      <c r="Q196" s="554"/>
      <c r="R196" s="554"/>
      <c r="S196" s="554"/>
      <c r="T196" s="554"/>
      <c r="U196" s="554"/>
      <c r="V196" s="555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customHeight="1" x14ac:dyDescent="0.25">
      <c r="A197" s="574" t="s">
        <v>138</v>
      </c>
      <c r="B197" s="560"/>
      <c r="C197" s="560"/>
      <c r="D197" s="560"/>
      <c r="E197" s="560"/>
      <c r="F197" s="560"/>
      <c r="G197" s="560"/>
      <c r="H197" s="560"/>
      <c r="I197" s="560"/>
      <c r="J197" s="560"/>
      <c r="K197" s="560"/>
      <c r="L197" s="560"/>
      <c r="M197" s="560"/>
      <c r="N197" s="560"/>
      <c r="O197" s="560"/>
      <c r="P197" s="560"/>
      <c r="Q197" s="560"/>
      <c r="R197" s="560"/>
      <c r="S197" s="560"/>
      <c r="T197" s="560"/>
      <c r="U197" s="560"/>
      <c r="V197" s="560"/>
      <c r="W197" s="560"/>
      <c r="X197" s="560"/>
      <c r="Y197" s="560"/>
      <c r="Z197" s="560"/>
      <c r="AA197" s="545"/>
      <c r="AB197" s="545"/>
      <c r="AC197" s="545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65">
        <v>4680115882935</v>
      </c>
      <c r="E198" s="566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6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7"/>
      <c r="R198" s="557"/>
      <c r="S198" s="557"/>
      <c r="T198" s="558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65">
        <v>4680115880764</v>
      </c>
      <c r="E199" s="566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6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7"/>
      <c r="R199" s="557"/>
      <c r="S199" s="557"/>
      <c r="T199" s="558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59"/>
      <c r="B200" s="560"/>
      <c r="C200" s="560"/>
      <c r="D200" s="560"/>
      <c r="E200" s="560"/>
      <c r="F200" s="560"/>
      <c r="G200" s="560"/>
      <c r="H200" s="560"/>
      <c r="I200" s="560"/>
      <c r="J200" s="560"/>
      <c r="K200" s="560"/>
      <c r="L200" s="560"/>
      <c r="M200" s="560"/>
      <c r="N200" s="560"/>
      <c r="O200" s="561"/>
      <c r="P200" s="572" t="s">
        <v>75</v>
      </c>
      <c r="Q200" s="554"/>
      <c r="R200" s="554"/>
      <c r="S200" s="554"/>
      <c r="T200" s="554"/>
      <c r="U200" s="554"/>
      <c r="V200" s="555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x14ac:dyDescent="0.2">
      <c r="A201" s="560"/>
      <c r="B201" s="560"/>
      <c r="C201" s="560"/>
      <c r="D201" s="560"/>
      <c r="E201" s="560"/>
      <c r="F201" s="560"/>
      <c r="G201" s="560"/>
      <c r="H201" s="560"/>
      <c r="I201" s="560"/>
      <c r="J201" s="560"/>
      <c r="K201" s="560"/>
      <c r="L201" s="560"/>
      <c r="M201" s="560"/>
      <c r="N201" s="560"/>
      <c r="O201" s="561"/>
      <c r="P201" s="572" t="s">
        <v>75</v>
      </c>
      <c r="Q201" s="554"/>
      <c r="R201" s="554"/>
      <c r="S201" s="554"/>
      <c r="T201" s="554"/>
      <c r="U201" s="554"/>
      <c r="V201" s="555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customHeight="1" x14ac:dyDescent="0.25">
      <c r="A202" s="574" t="s">
        <v>64</v>
      </c>
      <c r="B202" s="560"/>
      <c r="C202" s="560"/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0"/>
      <c r="X202" s="560"/>
      <c r="Y202" s="560"/>
      <c r="Z202" s="560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5">
        <v>4680115882683</v>
      </c>
      <c r="E203" s="566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7"/>
      <c r="R203" s="557"/>
      <c r="S203" s="557"/>
      <c r="T203" s="558"/>
      <c r="U203" s="34"/>
      <c r="V203" s="34"/>
      <c r="W203" s="35" t="s">
        <v>69</v>
      </c>
      <c r="X203" s="549">
        <v>80</v>
      </c>
      <c r="Y203" s="550">
        <f t="shared" ref="Y203:Y210" si="15">IFERROR(IF(X203="",0,CEILING((X203/$H203),1)*$H203),"")</f>
        <v>81</v>
      </c>
      <c r="Z203" s="36">
        <f>IFERROR(IF(Y203=0,"",ROUNDUP(Y203/H203,0)*0.00902),"")</f>
        <v>0.1353</v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82.81481481481481</v>
      </c>
      <c r="BN203" s="64">
        <f t="shared" ref="BN203:BN210" si="17">IFERROR(Y203*I203/H203,"0")</f>
        <v>83.85</v>
      </c>
      <c r="BO203" s="64">
        <f t="shared" ref="BO203:BO210" si="18">IFERROR(1/J203*(X203/H203),"0")</f>
        <v>0.11223344556677889</v>
      </c>
      <c r="BP203" s="64">
        <f t="shared" ref="BP203:BP210" si="19">IFERROR(1/J203*(Y203/H203),"0")</f>
        <v>0.11363636363636363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5">
        <v>4680115882690</v>
      </c>
      <c r="E204" s="566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7"/>
      <c r="R204" s="557"/>
      <c r="S204" s="557"/>
      <c r="T204" s="558"/>
      <c r="U204" s="34"/>
      <c r="V204" s="34"/>
      <c r="W204" s="35" t="s">
        <v>69</v>
      </c>
      <c r="X204" s="549">
        <v>100</v>
      </c>
      <c r="Y204" s="550">
        <f t="shared" si="15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103.5185185185185</v>
      </c>
      <c r="BN204" s="64">
        <f t="shared" si="17"/>
        <v>106.21</v>
      </c>
      <c r="BO204" s="64">
        <f t="shared" si="18"/>
        <v>0.14029180695847362</v>
      </c>
      <c r="BP204" s="64">
        <f t="shared" si="19"/>
        <v>0.14393939393939395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5">
        <v>4680115882669</v>
      </c>
      <c r="E205" s="566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7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7"/>
      <c r="R205" s="557"/>
      <c r="S205" s="557"/>
      <c r="T205" s="558"/>
      <c r="U205" s="34"/>
      <c r="V205" s="34"/>
      <c r="W205" s="35" t="s">
        <v>69</v>
      </c>
      <c r="X205" s="549">
        <v>50</v>
      </c>
      <c r="Y205" s="550">
        <f t="shared" si="15"/>
        <v>54</v>
      </c>
      <c r="Z205" s="36">
        <f>IFERROR(IF(Y205=0,"",ROUNDUP(Y205/H205,0)*0.00902),"")</f>
        <v>9.0200000000000002E-2</v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51.759259259259252</v>
      </c>
      <c r="BN205" s="64">
        <f t="shared" si="17"/>
        <v>55.9</v>
      </c>
      <c r="BO205" s="64">
        <f t="shared" si="18"/>
        <v>7.0145903479236812E-2</v>
      </c>
      <c r="BP205" s="64">
        <f t="shared" si="19"/>
        <v>7.575757575757576E-2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5">
        <v>4680115882676</v>
      </c>
      <c r="E206" s="566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7"/>
      <c r="R206" s="557"/>
      <c r="S206" s="557"/>
      <c r="T206" s="558"/>
      <c r="U206" s="34"/>
      <c r="V206" s="34"/>
      <c r="W206" s="35" t="s">
        <v>69</v>
      </c>
      <c r="X206" s="549">
        <v>50</v>
      </c>
      <c r="Y206" s="550">
        <f t="shared" si="15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51.759259259259252</v>
      </c>
      <c r="BN206" s="64">
        <f t="shared" si="17"/>
        <v>55.9</v>
      </c>
      <c r="BO206" s="64">
        <f t="shared" si="18"/>
        <v>7.0145903479236812E-2</v>
      </c>
      <c r="BP206" s="64">
        <f t="shared" si="19"/>
        <v>7.575757575757576E-2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65">
        <v>4680115884014</v>
      </c>
      <c r="E207" s="566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7"/>
      <c r="R207" s="557"/>
      <c r="S207" s="557"/>
      <c r="T207" s="558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65">
        <v>4680115884007</v>
      </c>
      <c r="E208" s="566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7"/>
      <c r="R208" s="557"/>
      <c r="S208" s="557"/>
      <c r="T208" s="558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65">
        <v>4680115884038</v>
      </c>
      <c r="E209" s="566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4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7"/>
      <c r="R209" s="557"/>
      <c r="S209" s="557"/>
      <c r="T209" s="558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65">
        <v>4680115884021</v>
      </c>
      <c r="E210" s="566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4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7"/>
      <c r="R210" s="557"/>
      <c r="S210" s="557"/>
      <c r="T210" s="558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59"/>
      <c r="B211" s="560"/>
      <c r="C211" s="560"/>
      <c r="D211" s="560"/>
      <c r="E211" s="560"/>
      <c r="F211" s="560"/>
      <c r="G211" s="560"/>
      <c r="H211" s="560"/>
      <c r="I211" s="560"/>
      <c r="J211" s="560"/>
      <c r="K211" s="560"/>
      <c r="L211" s="560"/>
      <c r="M211" s="560"/>
      <c r="N211" s="560"/>
      <c r="O211" s="561"/>
      <c r="P211" s="572" t="s">
        <v>75</v>
      </c>
      <c r="Q211" s="554"/>
      <c r="R211" s="554"/>
      <c r="S211" s="554"/>
      <c r="T211" s="554"/>
      <c r="U211" s="554"/>
      <c r="V211" s="555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51.851851851851848</v>
      </c>
      <c r="Y211" s="551">
        <f>IFERROR(Y203/H203,"0")+IFERROR(Y204/H204,"0")+IFERROR(Y205/H205,"0")+IFERROR(Y206/H206,"0")+IFERROR(Y207/H207,"0")+IFERROR(Y208/H208,"0")+IFERROR(Y209/H209,"0")+IFERROR(Y210/H210,"0")</f>
        <v>54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0.48708000000000001</v>
      </c>
      <c r="AA211" s="552"/>
      <c r="AB211" s="552"/>
      <c r="AC211" s="552"/>
    </row>
    <row r="212" spans="1:68" x14ac:dyDescent="0.2">
      <c r="A212" s="560"/>
      <c r="B212" s="560"/>
      <c r="C212" s="560"/>
      <c r="D212" s="560"/>
      <c r="E212" s="560"/>
      <c r="F212" s="560"/>
      <c r="G212" s="560"/>
      <c r="H212" s="560"/>
      <c r="I212" s="560"/>
      <c r="J212" s="560"/>
      <c r="K212" s="560"/>
      <c r="L212" s="560"/>
      <c r="M212" s="560"/>
      <c r="N212" s="560"/>
      <c r="O212" s="561"/>
      <c r="P212" s="572" t="s">
        <v>75</v>
      </c>
      <c r="Q212" s="554"/>
      <c r="R212" s="554"/>
      <c r="S212" s="554"/>
      <c r="T212" s="554"/>
      <c r="U212" s="554"/>
      <c r="V212" s="555"/>
      <c r="W212" s="37" t="s">
        <v>69</v>
      </c>
      <c r="X212" s="551">
        <f>IFERROR(SUM(X203:X210),"0")</f>
        <v>280</v>
      </c>
      <c r="Y212" s="551">
        <f>IFERROR(SUM(Y203:Y210),"0")</f>
        <v>291.60000000000002</v>
      </c>
      <c r="Z212" s="37"/>
      <c r="AA212" s="552"/>
      <c r="AB212" s="552"/>
      <c r="AC212" s="552"/>
    </row>
    <row r="213" spans="1:68" ht="14.25" customHeight="1" x14ac:dyDescent="0.25">
      <c r="A213" s="574" t="s">
        <v>77</v>
      </c>
      <c r="B213" s="560"/>
      <c r="C213" s="560"/>
      <c r="D213" s="560"/>
      <c r="E213" s="560"/>
      <c r="F213" s="560"/>
      <c r="G213" s="560"/>
      <c r="H213" s="560"/>
      <c r="I213" s="560"/>
      <c r="J213" s="560"/>
      <c r="K213" s="560"/>
      <c r="L213" s="560"/>
      <c r="M213" s="560"/>
      <c r="N213" s="560"/>
      <c r="O213" s="560"/>
      <c r="P213" s="560"/>
      <c r="Q213" s="560"/>
      <c r="R213" s="560"/>
      <c r="S213" s="560"/>
      <c r="T213" s="560"/>
      <c r="U213" s="560"/>
      <c r="V213" s="560"/>
      <c r="W213" s="560"/>
      <c r="X213" s="560"/>
      <c r="Y213" s="560"/>
      <c r="Z213" s="560"/>
      <c r="AA213" s="545"/>
      <c r="AB213" s="545"/>
      <c r="AC213" s="545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65">
        <v>4680115881594</v>
      </c>
      <c r="E214" s="566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6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7"/>
      <c r="R214" s="557"/>
      <c r="S214" s="557"/>
      <c r="T214" s="558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65">
        <v>4680115881617</v>
      </c>
      <c r="E215" s="566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85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7"/>
      <c r="R215" s="557"/>
      <c r="S215" s="557"/>
      <c r="T215" s="558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65">
        <v>4680115880573</v>
      </c>
      <c r="E216" s="566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1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7"/>
      <c r="R216" s="557"/>
      <c r="S216" s="557"/>
      <c r="T216" s="558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65">
        <v>4680115882195</v>
      </c>
      <c r="E217" s="566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7"/>
      <c r="R217" s="557"/>
      <c r="S217" s="557"/>
      <c r="T217" s="558"/>
      <c r="U217" s="34"/>
      <c r="V217" s="34"/>
      <c r="W217" s="35" t="s">
        <v>69</v>
      </c>
      <c r="X217" s="549">
        <v>12</v>
      </c>
      <c r="Y217" s="550">
        <f t="shared" si="20"/>
        <v>12</v>
      </c>
      <c r="Z217" s="36">
        <f t="shared" ref="Z217:Z222" si="25">IFERROR(IF(Y217=0,"",ROUNDUP(Y217/H217,0)*0.00651),"")</f>
        <v>3.2550000000000003E-2</v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13.35</v>
      </c>
      <c r="BN217" s="64">
        <f t="shared" si="22"/>
        <v>13.35</v>
      </c>
      <c r="BO217" s="64">
        <f t="shared" si="23"/>
        <v>2.7472527472527476E-2</v>
      </c>
      <c r="BP217" s="64">
        <f t="shared" si="24"/>
        <v>2.7472527472527476E-2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65">
        <v>4680115882607</v>
      </c>
      <c r="E218" s="566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5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7"/>
      <c r="R218" s="557"/>
      <c r="S218" s="557"/>
      <c r="T218" s="558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5">
        <v>4680115880092</v>
      </c>
      <c r="E219" s="566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7"/>
      <c r="R219" s="557"/>
      <c r="S219" s="557"/>
      <c r="T219" s="558"/>
      <c r="U219" s="34"/>
      <c r="V219" s="34"/>
      <c r="W219" s="35" t="s">
        <v>69</v>
      </c>
      <c r="X219" s="549">
        <v>13.5</v>
      </c>
      <c r="Y219" s="550">
        <f t="shared" si="20"/>
        <v>14.399999999999999</v>
      </c>
      <c r="Z219" s="36">
        <f t="shared" si="25"/>
        <v>3.9059999999999997E-2</v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14.9175</v>
      </c>
      <c r="BN219" s="64">
        <f t="shared" si="22"/>
        <v>15.912000000000001</v>
      </c>
      <c r="BO219" s="64">
        <f t="shared" si="23"/>
        <v>3.0906593406593408E-2</v>
      </c>
      <c r="BP219" s="64">
        <f t="shared" si="24"/>
        <v>3.2967032967032968E-2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65">
        <v>4680115880221</v>
      </c>
      <c r="E220" s="566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7"/>
      <c r="R220" s="557"/>
      <c r="S220" s="557"/>
      <c r="T220" s="558"/>
      <c r="U220" s="34"/>
      <c r="V220" s="34"/>
      <c r="W220" s="35" t="s">
        <v>69</v>
      </c>
      <c r="X220" s="549">
        <v>13.5</v>
      </c>
      <c r="Y220" s="550">
        <f t="shared" si="20"/>
        <v>14.399999999999999</v>
      </c>
      <c r="Z220" s="36">
        <f t="shared" si="25"/>
        <v>3.9059999999999997E-2</v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14.9175</v>
      </c>
      <c r="BN220" s="64">
        <f t="shared" si="22"/>
        <v>15.912000000000001</v>
      </c>
      <c r="BO220" s="64">
        <f t="shared" si="23"/>
        <v>3.0906593406593408E-2</v>
      </c>
      <c r="BP220" s="64">
        <f t="shared" si="24"/>
        <v>3.2967032967032968E-2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65">
        <v>4680115880504</v>
      </c>
      <c r="E221" s="566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8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7"/>
      <c r="R221" s="557"/>
      <c r="S221" s="557"/>
      <c r="T221" s="558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65">
        <v>4680115882164</v>
      </c>
      <c r="E222" s="566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7"/>
      <c r="R222" s="557"/>
      <c r="S222" s="557"/>
      <c r="T222" s="558"/>
      <c r="U222" s="34"/>
      <c r="V222" s="34"/>
      <c r="W222" s="35" t="s">
        <v>69</v>
      </c>
      <c r="X222" s="549">
        <v>12</v>
      </c>
      <c r="Y222" s="550">
        <f t="shared" si="20"/>
        <v>12</v>
      </c>
      <c r="Z222" s="36">
        <f t="shared" si="25"/>
        <v>3.2550000000000003E-2</v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13.290000000000001</v>
      </c>
      <c r="BN222" s="64">
        <f t="shared" si="22"/>
        <v>13.290000000000001</v>
      </c>
      <c r="BO222" s="64">
        <f t="shared" si="23"/>
        <v>2.7472527472527476E-2</v>
      </c>
      <c r="BP222" s="64">
        <f t="shared" si="24"/>
        <v>2.7472527472527476E-2</v>
      </c>
    </row>
    <row r="223" spans="1:68" x14ac:dyDescent="0.2">
      <c r="A223" s="559"/>
      <c r="B223" s="560"/>
      <c r="C223" s="560"/>
      <c r="D223" s="560"/>
      <c r="E223" s="560"/>
      <c r="F223" s="560"/>
      <c r="G223" s="560"/>
      <c r="H223" s="560"/>
      <c r="I223" s="560"/>
      <c r="J223" s="560"/>
      <c r="K223" s="560"/>
      <c r="L223" s="560"/>
      <c r="M223" s="560"/>
      <c r="N223" s="560"/>
      <c r="O223" s="561"/>
      <c r="P223" s="572" t="s">
        <v>75</v>
      </c>
      <c r="Q223" s="554"/>
      <c r="R223" s="554"/>
      <c r="S223" s="554"/>
      <c r="T223" s="554"/>
      <c r="U223" s="554"/>
      <c r="V223" s="555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21.25</v>
      </c>
      <c r="Y223" s="551">
        <f>IFERROR(Y214/H214,"0")+IFERROR(Y215/H215,"0")+IFERROR(Y216/H216,"0")+IFERROR(Y217/H217,"0")+IFERROR(Y218/H218,"0")+IFERROR(Y219/H219,"0")+IFERROR(Y220/H220,"0")+IFERROR(Y221/H221,"0")+IFERROR(Y222/H222,"0")</f>
        <v>22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0.14322000000000001</v>
      </c>
      <c r="AA223" s="552"/>
      <c r="AB223" s="552"/>
      <c r="AC223" s="552"/>
    </row>
    <row r="224" spans="1:68" x14ac:dyDescent="0.2">
      <c r="A224" s="560"/>
      <c r="B224" s="560"/>
      <c r="C224" s="560"/>
      <c r="D224" s="560"/>
      <c r="E224" s="560"/>
      <c r="F224" s="560"/>
      <c r="G224" s="560"/>
      <c r="H224" s="560"/>
      <c r="I224" s="560"/>
      <c r="J224" s="560"/>
      <c r="K224" s="560"/>
      <c r="L224" s="560"/>
      <c r="M224" s="560"/>
      <c r="N224" s="560"/>
      <c r="O224" s="561"/>
      <c r="P224" s="572" t="s">
        <v>75</v>
      </c>
      <c r="Q224" s="554"/>
      <c r="R224" s="554"/>
      <c r="S224" s="554"/>
      <c r="T224" s="554"/>
      <c r="U224" s="554"/>
      <c r="V224" s="555"/>
      <c r="W224" s="37" t="s">
        <v>69</v>
      </c>
      <c r="X224" s="551">
        <f>IFERROR(SUM(X214:X222),"0")</f>
        <v>51</v>
      </c>
      <c r="Y224" s="551">
        <f>IFERROR(SUM(Y214:Y222),"0")</f>
        <v>52.8</v>
      </c>
      <c r="Z224" s="37"/>
      <c r="AA224" s="552"/>
      <c r="AB224" s="552"/>
      <c r="AC224" s="552"/>
    </row>
    <row r="225" spans="1:68" ht="14.25" customHeight="1" x14ac:dyDescent="0.25">
      <c r="A225" s="574" t="s">
        <v>163</v>
      </c>
      <c r="B225" s="560"/>
      <c r="C225" s="560"/>
      <c r="D225" s="560"/>
      <c r="E225" s="560"/>
      <c r="F225" s="560"/>
      <c r="G225" s="560"/>
      <c r="H225" s="560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45"/>
      <c r="AB225" s="545"/>
      <c r="AC225" s="545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65">
        <v>4680115880818</v>
      </c>
      <c r="E226" s="566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6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7"/>
      <c r="R226" s="557"/>
      <c r="S226" s="557"/>
      <c r="T226" s="558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65">
        <v>4680115880801</v>
      </c>
      <c r="E227" s="566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6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7"/>
      <c r="R227" s="557"/>
      <c r="S227" s="557"/>
      <c r="T227" s="558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59"/>
      <c r="B228" s="560"/>
      <c r="C228" s="560"/>
      <c r="D228" s="560"/>
      <c r="E228" s="560"/>
      <c r="F228" s="560"/>
      <c r="G228" s="560"/>
      <c r="H228" s="560"/>
      <c r="I228" s="560"/>
      <c r="J228" s="560"/>
      <c r="K228" s="560"/>
      <c r="L228" s="560"/>
      <c r="M228" s="560"/>
      <c r="N228" s="560"/>
      <c r="O228" s="561"/>
      <c r="P228" s="572" t="s">
        <v>75</v>
      </c>
      <c r="Q228" s="554"/>
      <c r="R228" s="554"/>
      <c r="S228" s="554"/>
      <c r="T228" s="554"/>
      <c r="U228" s="554"/>
      <c r="V228" s="555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x14ac:dyDescent="0.2">
      <c r="A229" s="560"/>
      <c r="B229" s="560"/>
      <c r="C229" s="560"/>
      <c r="D229" s="560"/>
      <c r="E229" s="560"/>
      <c r="F229" s="560"/>
      <c r="G229" s="560"/>
      <c r="H229" s="560"/>
      <c r="I229" s="560"/>
      <c r="J229" s="560"/>
      <c r="K229" s="560"/>
      <c r="L229" s="560"/>
      <c r="M229" s="560"/>
      <c r="N229" s="560"/>
      <c r="O229" s="561"/>
      <c r="P229" s="572" t="s">
        <v>75</v>
      </c>
      <c r="Q229" s="554"/>
      <c r="R229" s="554"/>
      <c r="S229" s="554"/>
      <c r="T229" s="554"/>
      <c r="U229" s="554"/>
      <c r="V229" s="555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customHeight="1" x14ac:dyDescent="0.25">
      <c r="A230" s="571" t="s">
        <v>383</v>
      </c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44"/>
      <c r="AB230" s="544"/>
      <c r="AC230" s="544"/>
    </row>
    <row r="231" spans="1:68" ht="14.25" customHeight="1" x14ac:dyDescent="0.25">
      <c r="A231" s="574" t="s">
        <v>103</v>
      </c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45"/>
      <c r="AB231" s="545"/>
      <c r="AC231" s="545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65">
        <v>4680115884137</v>
      </c>
      <c r="E232" s="566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7"/>
      <c r="R232" s="557"/>
      <c r="S232" s="557"/>
      <c r="T232" s="558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65">
        <v>4680115884236</v>
      </c>
      <c r="E233" s="566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1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7"/>
      <c r="R233" s="557"/>
      <c r="S233" s="557"/>
      <c r="T233" s="558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65">
        <v>4680115884175</v>
      </c>
      <c r="E234" s="566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7"/>
      <c r="R234" s="557"/>
      <c r="S234" s="557"/>
      <c r="T234" s="558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65">
        <v>4680115884144</v>
      </c>
      <c r="E235" s="566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7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7"/>
      <c r="R235" s="557"/>
      <c r="S235" s="557"/>
      <c r="T235" s="558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65">
        <v>4680115884144</v>
      </c>
      <c r="E236" s="566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82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7"/>
      <c r="R236" s="557"/>
      <c r="S236" s="557"/>
      <c r="T236" s="558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65">
        <v>4680115886551</v>
      </c>
      <c r="E237" s="566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8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7"/>
      <c r="R237" s="557"/>
      <c r="S237" s="557"/>
      <c r="T237" s="558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65">
        <v>4680115887282</v>
      </c>
      <c r="E238" s="566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7"/>
      <c r="R238" s="557"/>
      <c r="S238" s="557"/>
      <c r="T238" s="558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65">
        <v>4680115884205</v>
      </c>
      <c r="E239" s="566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7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7"/>
      <c r="R239" s="557"/>
      <c r="S239" s="557"/>
      <c r="T239" s="558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65">
        <v>4680115884205</v>
      </c>
      <c r="E240" s="566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81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7"/>
      <c r="R240" s="557"/>
      <c r="S240" s="557"/>
      <c r="T240" s="558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59"/>
      <c r="B241" s="560"/>
      <c r="C241" s="560"/>
      <c r="D241" s="560"/>
      <c r="E241" s="560"/>
      <c r="F241" s="560"/>
      <c r="G241" s="560"/>
      <c r="H241" s="560"/>
      <c r="I241" s="560"/>
      <c r="J241" s="560"/>
      <c r="K241" s="560"/>
      <c r="L241" s="560"/>
      <c r="M241" s="560"/>
      <c r="N241" s="560"/>
      <c r="O241" s="561"/>
      <c r="P241" s="572" t="s">
        <v>75</v>
      </c>
      <c r="Q241" s="554"/>
      <c r="R241" s="554"/>
      <c r="S241" s="554"/>
      <c r="T241" s="554"/>
      <c r="U241" s="554"/>
      <c r="V241" s="555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x14ac:dyDescent="0.2">
      <c r="A242" s="560"/>
      <c r="B242" s="560"/>
      <c r="C242" s="560"/>
      <c r="D242" s="560"/>
      <c r="E242" s="560"/>
      <c r="F242" s="560"/>
      <c r="G242" s="560"/>
      <c r="H242" s="560"/>
      <c r="I242" s="560"/>
      <c r="J242" s="560"/>
      <c r="K242" s="560"/>
      <c r="L242" s="560"/>
      <c r="M242" s="560"/>
      <c r="N242" s="560"/>
      <c r="O242" s="561"/>
      <c r="P242" s="572" t="s">
        <v>75</v>
      </c>
      <c r="Q242" s="554"/>
      <c r="R242" s="554"/>
      <c r="S242" s="554"/>
      <c r="T242" s="554"/>
      <c r="U242" s="554"/>
      <c r="V242" s="555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customHeight="1" x14ac:dyDescent="0.25">
      <c r="A243" s="574" t="s">
        <v>138</v>
      </c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45"/>
      <c r="AB243" s="545"/>
      <c r="AC243" s="545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65">
        <v>4680115885981</v>
      </c>
      <c r="E244" s="566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7"/>
      <c r="R244" s="557"/>
      <c r="S244" s="557"/>
      <c r="T244" s="558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59"/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1"/>
      <c r="P245" s="572" t="s">
        <v>75</v>
      </c>
      <c r="Q245" s="554"/>
      <c r="R245" s="554"/>
      <c r="S245" s="554"/>
      <c r="T245" s="554"/>
      <c r="U245" s="554"/>
      <c r="V245" s="555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x14ac:dyDescent="0.2">
      <c r="A246" s="560"/>
      <c r="B246" s="560"/>
      <c r="C246" s="560"/>
      <c r="D246" s="560"/>
      <c r="E246" s="560"/>
      <c r="F246" s="560"/>
      <c r="G246" s="560"/>
      <c r="H246" s="560"/>
      <c r="I246" s="560"/>
      <c r="J246" s="560"/>
      <c r="K246" s="560"/>
      <c r="L246" s="560"/>
      <c r="M246" s="560"/>
      <c r="N246" s="560"/>
      <c r="O246" s="561"/>
      <c r="P246" s="572" t="s">
        <v>75</v>
      </c>
      <c r="Q246" s="554"/>
      <c r="R246" s="554"/>
      <c r="S246" s="554"/>
      <c r="T246" s="554"/>
      <c r="U246" s="554"/>
      <c r="V246" s="555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customHeight="1" x14ac:dyDescent="0.25">
      <c r="A247" s="574" t="s">
        <v>407</v>
      </c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45"/>
      <c r="AB247" s="545"/>
      <c r="AC247" s="545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65">
        <v>4680115886803</v>
      </c>
      <c r="E248" s="566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7"/>
      <c r="R248" s="557"/>
      <c r="S248" s="557"/>
      <c r="T248" s="558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59"/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1"/>
      <c r="P249" s="572" t="s">
        <v>75</v>
      </c>
      <c r="Q249" s="554"/>
      <c r="R249" s="554"/>
      <c r="S249" s="554"/>
      <c r="T249" s="554"/>
      <c r="U249" s="554"/>
      <c r="V249" s="555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x14ac:dyDescent="0.2">
      <c r="A250" s="560"/>
      <c r="B250" s="560"/>
      <c r="C250" s="560"/>
      <c r="D250" s="560"/>
      <c r="E250" s="560"/>
      <c r="F250" s="560"/>
      <c r="G250" s="560"/>
      <c r="H250" s="560"/>
      <c r="I250" s="560"/>
      <c r="J250" s="560"/>
      <c r="K250" s="560"/>
      <c r="L250" s="560"/>
      <c r="M250" s="560"/>
      <c r="N250" s="560"/>
      <c r="O250" s="561"/>
      <c r="P250" s="572" t="s">
        <v>75</v>
      </c>
      <c r="Q250" s="554"/>
      <c r="R250" s="554"/>
      <c r="S250" s="554"/>
      <c r="T250" s="554"/>
      <c r="U250" s="554"/>
      <c r="V250" s="555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customHeight="1" x14ac:dyDescent="0.25">
      <c r="A251" s="574" t="s">
        <v>411</v>
      </c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45"/>
      <c r="AB251" s="545"/>
      <c r="AC251" s="545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65">
        <v>4680115886704</v>
      </c>
      <c r="E252" s="566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84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7"/>
      <c r="R252" s="557"/>
      <c r="S252" s="557"/>
      <c r="T252" s="558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65">
        <v>4680115886681</v>
      </c>
      <c r="E253" s="566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6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7"/>
      <c r="R253" s="557"/>
      <c r="S253" s="557"/>
      <c r="T253" s="558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65">
        <v>4680115886735</v>
      </c>
      <c r="E254" s="566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7"/>
      <c r="R254" s="557"/>
      <c r="S254" s="557"/>
      <c r="T254" s="558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65">
        <v>4680115886728</v>
      </c>
      <c r="E255" s="566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80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7"/>
      <c r="R255" s="557"/>
      <c r="S255" s="557"/>
      <c r="T255" s="558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65">
        <v>4680115886711</v>
      </c>
      <c r="E256" s="566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0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7"/>
      <c r="R256" s="557"/>
      <c r="S256" s="557"/>
      <c r="T256" s="558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59"/>
      <c r="B257" s="560"/>
      <c r="C257" s="560"/>
      <c r="D257" s="560"/>
      <c r="E257" s="560"/>
      <c r="F257" s="560"/>
      <c r="G257" s="560"/>
      <c r="H257" s="560"/>
      <c r="I257" s="560"/>
      <c r="J257" s="560"/>
      <c r="K257" s="560"/>
      <c r="L257" s="560"/>
      <c r="M257" s="560"/>
      <c r="N257" s="560"/>
      <c r="O257" s="561"/>
      <c r="P257" s="572" t="s">
        <v>75</v>
      </c>
      <c r="Q257" s="554"/>
      <c r="R257" s="554"/>
      <c r="S257" s="554"/>
      <c r="T257" s="554"/>
      <c r="U257" s="554"/>
      <c r="V257" s="555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x14ac:dyDescent="0.2">
      <c r="A258" s="560"/>
      <c r="B258" s="560"/>
      <c r="C258" s="560"/>
      <c r="D258" s="560"/>
      <c r="E258" s="560"/>
      <c r="F258" s="560"/>
      <c r="G258" s="560"/>
      <c r="H258" s="560"/>
      <c r="I258" s="560"/>
      <c r="J258" s="560"/>
      <c r="K258" s="560"/>
      <c r="L258" s="560"/>
      <c r="M258" s="560"/>
      <c r="N258" s="560"/>
      <c r="O258" s="561"/>
      <c r="P258" s="572" t="s">
        <v>75</v>
      </c>
      <c r="Q258" s="554"/>
      <c r="R258" s="554"/>
      <c r="S258" s="554"/>
      <c r="T258" s="554"/>
      <c r="U258" s="554"/>
      <c r="V258" s="555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customHeight="1" x14ac:dyDescent="0.25">
      <c r="A259" s="571" t="s">
        <v>423</v>
      </c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44"/>
      <c r="AB259" s="544"/>
      <c r="AC259" s="544"/>
    </row>
    <row r="260" spans="1:68" ht="14.25" customHeight="1" x14ac:dyDescent="0.25">
      <c r="A260" s="574" t="s">
        <v>103</v>
      </c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45"/>
      <c r="AB260" s="545"/>
      <c r="AC260" s="545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65">
        <v>4680115885837</v>
      </c>
      <c r="E261" s="566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7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7"/>
      <c r="R261" s="557"/>
      <c r="S261" s="557"/>
      <c r="T261" s="558"/>
      <c r="U261" s="34"/>
      <c r="V261" s="34"/>
      <c r="W261" s="35" t="s">
        <v>69</v>
      </c>
      <c r="X261" s="549">
        <v>150</v>
      </c>
      <c r="Y261" s="550">
        <f>IFERROR(IF(X261="",0,CEILING((X261/$H261),1)*$H261),"")</f>
        <v>151.20000000000002</v>
      </c>
      <c r="Z261" s="36">
        <f>IFERROR(IF(Y261=0,"",ROUNDUP(Y261/H261,0)*0.01898),"")</f>
        <v>0.26572000000000001</v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155.69444444444446</v>
      </c>
      <c r="BN261" s="64">
        <f>IFERROR(Y261*I261/H261,"0")</f>
        <v>156.94</v>
      </c>
      <c r="BO261" s="64">
        <f>IFERROR(1/J261*(X261/H261),"0")</f>
        <v>0.21701388888888887</v>
      </c>
      <c r="BP261" s="64">
        <f>IFERROR(1/J261*(Y261/H261),"0")</f>
        <v>0.21875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65">
        <v>4680115885851</v>
      </c>
      <c r="E262" s="566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6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7"/>
      <c r="R262" s="557"/>
      <c r="S262" s="557"/>
      <c r="T262" s="558"/>
      <c r="U262" s="34"/>
      <c r="V262" s="34"/>
      <c r="W262" s="35" t="s">
        <v>69</v>
      </c>
      <c r="X262" s="549">
        <v>40</v>
      </c>
      <c r="Y262" s="550">
        <f>IFERROR(IF(X262="",0,CEILING((X262/$H262),1)*$H262),"")</f>
        <v>43.2</v>
      </c>
      <c r="Z262" s="36">
        <f>IFERROR(IF(Y262=0,"",ROUNDUP(Y262/H262,0)*0.01898),"")</f>
        <v>7.5920000000000001E-2</v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41.518518518518519</v>
      </c>
      <c r="BN262" s="64">
        <f>IFERROR(Y262*I262/H262,"0")</f>
        <v>44.84</v>
      </c>
      <c r="BO262" s="64">
        <f>IFERROR(1/J262*(X262/H262),"0")</f>
        <v>5.7870370370370364E-2</v>
      </c>
      <c r="BP262" s="64">
        <f>IFERROR(1/J262*(Y262/H262),"0")</f>
        <v>6.25E-2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65">
        <v>4680115885806</v>
      </c>
      <c r="E263" s="566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5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7"/>
      <c r="R263" s="557"/>
      <c r="S263" s="557"/>
      <c r="T263" s="558"/>
      <c r="U263" s="34"/>
      <c r="V263" s="34"/>
      <c r="W263" s="35" t="s">
        <v>69</v>
      </c>
      <c r="X263" s="549">
        <v>360</v>
      </c>
      <c r="Y263" s="550">
        <f>IFERROR(IF(X263="",0,CEILING((X263/$H263),1)*$H263),"")</f>
        <v>367.20000000000005</v>
      </c>
      <c r="Z263" s="36">
        <f>IFERROR(IF(Y263=0,"",ROUNDUP(Y263/H263,0)*0.01898),"")</f>
        <v>0.64532</v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373.66666666666669</v>
      </c>
      <c r="BN263" s="64">
        <f>IFERROR(Y263*I263/H263,"0")</f>
        <v>381.14000000000004</v>
      </c>
      <c r="BO263" s="64">
        <f>IFERROR(1/J263*(X263/H263),"0")</f>
        <v>0.52083333333333326</v>
      </c>
      <c r="BP263" s="64">
        <f>IFERROR(1/J263*(Y263/H263),"0")</f>
        <v>0.53125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65">
        <v>4680115885844</v>
      </c>
      <c r="E264" s="566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7"/>
      <c r="R264" s="557"/>
      <c r="S264" s="557"/>
      <c r="T264" s="558"/>
      <c r="U264" s="34"/>
      <c r="V264" s="34"/>
      <c r="W264" s="35" t="s">
        <v>69</v>
      </c>
      <c r="X264" s="549">
        <v>40</v>
      </c>
      <c r="Y264" s="550">
        <f>IFERROR(IF(X264="",0,CEILING((X264/$H264),1)*$H264),"")</f>
        <v>40</v>
      </c>
      <c r="Z264" s="36">
        <f>IFERROR(IF(Y264=0,"",ROUNDUP(Y264/H264,0)*0.00902),"")</f>
        <v>9.0200000000000002E-2</v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41.900000000000006</v>
      </c>
      <c r="BN264" s="64">
        <f>IFERROR(Y264*I264/H264,"0")</f>
        <v>41.900000000000006</v>
      </c>
      <c r="BO264" s="64">
        <f>IFERROR(1/J264*(X264/H264),"0")</f>
        <v>7.575757575757576E-2</v>
      </c>
      <c r="BP264" s="64">
        <f>IFERROR(1/J264*(Y264/H264),"0")</f>
        <v>7.575757575757576E-2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65">
        <v>4680115885820</v>
      </c>
      <c r="E265" s="566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83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7"/>
      <c r="R265" s="557"/>
      <c r="S265" s="557"/>
      <c r="T265" s="558"/>
      <c r="U265" s="34"/>
      <c r="V265" s="34"/>
      <c r="W265" s="35" t="s">
        <v>69</v>
      </c>
      <c r="X265" s="549">
        <v>36</v>
      </c>
      <c r="Y265" s="550">
        <f>IFERROR(IF(X265="",0,CEILING((X265/$H265),1)*$H265),"")</f>
        <v>36</v>
      </c>
      <c r="Z265" s="36">
        <f>IFERROR(IF(Y265=0,"",ROUNDUP(Y265/H265,0)*0.00902),"")</f>
        <v>8.1180000000000002E-2</v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37.71</v>
      </c>
      <c r="BN265" s="64">
        <f>IFERROR(Y265*I265/H265,"0")</f>
        <v>37.71</v>
      </c>
      <c r="BO265" s="64">
        <f>IFERROR(1/J265*(X265/H265),"0")</f>
        <v>6.8181818181818177E-2</v>
      </c>
      <c r="BP265" s="64">
        <f>IFERROR(1/J265*(Y265/H265),"0")</f>
        <v>6.8181818181818177E-2</v>
      </c>
    </row>
    <row r="266" spans="1:68" x14ac:dyDescent="0.2">
      <c r="A266" s="559"/>
      <c r="B266" s="560"/>
      <c r="C266" s="560"/>
      <c r="D266" s="560"/>
      <c r="E266" s="560"/>
      <c r="F266" s="560"/>
      <c r="G266" s="560"/>
      <c r="H266" s="560"/>
      <c r="I266" s="560"/>
      <c r="J266" s="560"/>
      <c r="K266" s="560"/>
      <c r="L266" s="560"/>
      <c r="M266" s="560"/>
      <c r="N266" s="560"/>
      <c r="O266" s="561"/>
      <c r="P266" s="572" t="s">
        <v>75</v>
      </c>
      <c r="Q266" s="554"/>
      <c r="R266" s="554"/>
      <c r="S266" s="554"/>
      <c r="T266" s="554"/>
      <c r="U266" s="554"/>
      <c r="V266" s="555"/>
      <c r="W266" s="37" t="s">
        <v>76</v>
      </c>
      <c r="X266" s="551">
        <f>IFERROR(X261/H261,"0")+IFERROR(X262/H262,"0")+IFERROR(X263/H263,"0")+IFERROR(X264/H264,"0")+IFERROR(X265/H265,"0")</f>
        <v>69.925925925925924</v>
      </c>
      <c r="Y266" s="551">
        <f>IFERROR(Y261/H261,"0")+IFERROR(Y262/H262,"0")+IFERROR(Y263/H263,"0")+IFERROR(Y264/H264,"0")+IFERROR(Y265/H265,"0")</f>
        <v>71</v>
      </c>
      <c r="Z266" s="551">
        <f>IFERROR(IF(Z261="",0,Z261),"0")+IFERROR(IF(Z262="",0,Z262),"0")+IFERROR(IF(Z263="",0,Z263),"0")+IFERROR(IF(Z264="",0,Z264),"0")+IFERROR(IF(Z265="",0,Z265),"0")</f>
        <v>1.1583400000000001</v>
      </c>
      <c r="AA266" s="552"/>
      <c r="AB266" s="552"/>
      <c r="AC266" s="552"/>
    </row>
    <row r="267" spans="1:68" x14ac:dyDescent="0.2">
      <c r="A267" s="560"/>
      <c r="B267" s="560"/>
      <c r="C267" s="560"/>
      <c r="D267" s="560"/>
      <c r="E267" s="560"/>
      <c r="F267" s="560"/>
      <c r="G267" s="560"/>
      <c r="H267" s="560"/>
      <c r="I267" s="560"/>
      <c r="J267" s="560"/>
      <c r="K267" s="560"/>
      <c r="L267" s="560"/>
      <c r="M267" s="560"/>
      <c r="N267" s="560"/>
      <c r="O267" s="561"/>
      <c r="P267" s="572" t="s">
        <v>75</v>
      </c>
      <c r="Q267" s="554"/>
      <c r="R267" s="554"/>
      <c r="S267" s="554"/>
      <c r="T267" s="554"/>
      <c r="U267" s="554"/>
      <c r="V267" s="555"/>
      <c r="W267" s="37" t="s">
        <v>69</v>
      </c>
      <c r="X267" s="551">
        <f>IFERROR(SUM(X261:X265),"0")</f>
        <v>626</v>
      </c>
      <c r="Y267" s="551">
        <f>IFERROR(SUM(Y261:Y265),"0")</f>
        <v>637.60000000000014</v>
      </c>
      <c r="Z267" s="37"/>
      <c r="AA267" s="552"/>
      <c r="AB267" s="552"/>
      <c r="AC267" s="552"/>
    </row>
    <row r="268" spans="1:68" ht="16.5" customHeight="1" x14ac:dyDescent="0.25">
      <c r="A268" s="571" t="s">
        <v>439</v>
      </c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44"/>
      <c r="AB268" s="544"/>
      <c r="AC268" s="544"/>
    </row>
    <row r="269" spans="1:68" ht="14.25" customHeight="1" x14ac:dyDescent="0.25">
      <c r="A269" s="574" t="s">
        <v>103</v>
      </c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45"/>
      <c r="AB269" s="545"/>
      <c r="AC269" s="545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65">
        <v>4607091383423</v>
      </c>
      <c r="E270" s="566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67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7"/>
      <c r="R270" s="557"/>
      <c r="S270" s="557"/>
      <c r="T270" s="558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65">
        <v>4680115886957</v>
      </c>
      <c r="E271" s="566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83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7"/>
      <c r="R271" s="557"/>
      <c r="S271" s="557"/>
      <c r="T271" s="558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65">
        <v>4680115885660</v>
      </c>
      <c r="E272" s="566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7"/>
      <c r="R272" s="557"/>
      <c r="S272" s="557"/>
      <c r="T272" s="558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65">
        <v>4680115886773</v>
      </c>
      <c r="E273" s="566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82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7"/>
      <c r="R273" s="557"/>
      <c r="S273" s="557"/>
      <c r="T273" s="558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9"/>
      <c r="B274" s="560"/>
      <c r="C274" s="560"/>
      <c r="D274" s="560"/>
      <c r="E274" s="560"/>
      <c r="F274" s="560"/>
      <c r="G274" s="560"/>
      <c r="H274" s="560"/>
      <c r="I274" s="560"/>
      <c r="J274" s="560"/>
      <c r="K274" s="560"/>
      <c r="L274" s="560"/>
      <c r="M274" s="560"/>
      <c r="N274" s="560"/>
      <c r="O274" s="561"/>
      <c r="P274" s="572" t="s">
        <v>75</v>
      </c>
      <c r="Q274" s="554"/>
      <c r="R274" s="554"/>
      <c r="S274" s="554"/>
      <c r="T274" s="554"/>
      <c r="U274" s="554"/>
      <c r="V274" s="555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x14ac:dyDescent="0.2">
      <c r="A275" s="560"/>
      <c r="B275" s="560"/>
      <c r="C275" s="560"/>
      <c r="D275" s="560"/>
      <c r="E275" s="560"/>
      <c r="F275" s="560"/>
      <c r="G275" s="560"/>
      <c r="H275" s="560"/>
      <c r="I275" s="560"/>
      <c r="J275" s="560"/>
      <c r="K275" s="560"/>
      <c r="L275" s="560"/>
      <c r="M275" s="560"/>
      <c r="N275" s="560"/>
      <c r="O275" s="561"/>
      <c r="P275" s="572" t="s">
        <v>75</v>
      </c>
      <c r="Q275" s="554"/>
      <c r="R275" s="554"/>
      <c r="S275" s="554"/>
      <c r="T275" s="554"/>
      <c r="U275" s="554"/>
      <c r="V275" s="555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customHeight="1" x14ac:dyDescent="0.25">
      <c r="A276" s="571" t="s">
        <v>450</v>
      </c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44"/>
      <c r="AB276" s="544"/>
      <c r="AC276" s="544"/>
    </row>
    <row r="277" spans="1:68" ht="14.25" customHeight="1" x14ac:dyDescent="0.25">
      <c r="A277" s="574" t="s">
        <v>77</v>
      </c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45"/>
      <c r="AB277" s="545"/>
      <c r="AC277" s="545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65">
        <v>4680115886186</v>
      </c>
      <c r="E278" s="566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9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7"/>
      <c r="R278" s="557"/>
      <c r="S278" s="557"/>
      <c r="T278" s="558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65">
        <v>4680115881228</v>
      </c>
      <c r="E279" s="566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7"/>
      <c r="R279" s="557"/>
      <c r="S279" s="557"/>
      <c r="T279" s="558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65">
        <v>4680115881211</v>
      </c>
      <c r="E280" s="566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7"/>
      <c r="R280" s="557"/>
      <c r="S280" s="557"/>
      <c r="T280" s="558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9"/>
      <c r="B281" s="560"/>
      <c r="C281" s="560"/>
      <c r="D281" s="560"/>
      <c r="E281" s="560"/>
      <c r="F281" s="560"/>
      <c r="G281" s="560"/>
      <c r="H281" s="560"/>
      <c r="I281" s="560"/>
      <c r="J281" s="560"/>
      <c r="K281" s="560"/>
      <c r="L281" s="560"/>
      <c r="M281" s="560"/>
      <c r="N281" s="560"/>
      <c r="O281" s="561"/>
      <c r="P281" s="572" t="s">
        <v>75</v>
      </c>
      <c r="Q281" s="554"/>
      <c r="R281" s="554"/>
      <c r="S281" s="554"/>
      <c r="T281" s="554"/>
      <c r="U281" s="554"/>
      <c r="V281" s="555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x14ac:dyDescent="0.2">
      <c r="A282" s="560"/>
      <c r="B282" s="560"/>
      <c r="C282" s="560"/>
      <c r="D282" s="560"/>
      <c r="E282" s="560"/>
      <c r="F282" s="560"/>
      <c r="G282" s="560"/>
      <c r="H282" s="560"/>
      <c r="I282" s="560"/>
      <c r="J282" s="560"/>
      <c r="K282" s="560"/>
      <c r="L282" s="560"/>
      <c r="M282" s="560"/>
      <c r="N282" s="560"/>
      <c r="O282" s="561"/>
      <c r="P282" s="572" t="s">
        <v>75</v>
      </c>
      <c r="Q282" s="554"/>
      <c r="R282" s="554"/>
      <c r="S282" s="554"/>
      <c r="T282" s="554"/>
      <c r="U282" s="554"/>
      <c r="V282" s="555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customHeight="1" x14ac:dyDescent="0.25">
      <c r="A283" s="571" t="s">
        <v>459</v>
      </c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44"/>
      <c r="AB283" s="544"/>
      <c r="AC283" s="544"/>
    </row>
    <row r="284" spans="1:68" ht="14.25" customHeight="1" x14ac:dyDescent="0.25">
      <c r="A284" s="574" t="s">
        <v>64</v>
      </c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45"/>
      <c r="AB284" s="545"/>
      <c r="AC284" s="545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65">
        <v>4680115880344</v>
      </c>
      <c r="E285" s="566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7"/>
      <c r="R285" s="557"/>
      <c r="S285" s="557"/>
      <c r="T285" s="558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65">
        <v>4680115886919</v>
      </c>
      <c r="E286" s="566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9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7"/>
      <c r="R286" s="557"/>
      <c r="S286" s="557"/>
      <c r="T286" s="558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59"/>
      <c r="B287" s="560"/>
      <c r="C287" s="560"/>
      <c r="D287" s="560"/>
      <c r="E287" s="560"/>
      <c r="F287" s="560"/>
      <c r="G287" s="560"/>
      <c r="H287" s="560"/>
      <c r="I287" s="560"/>
      <c r="J287" s="560"/>
      <c r="K287" s="560"/>
      <c r="L287" s="560"/>
      <c r="M287" s="560"/>
      <c r="N287" s="560"/>
      <c r="O287" s="561"/>
      <c r="P287" s="572" t="s">
        <v>75</v>
      </c>
      <c r="Q287" s="554"/>
      <c r="R287" s="554"/>
      <c r="S287" s="554"/>
      <c r="T287" s="554"/>
      <c r="U287" s="554"/>
      <c r="V287" s="555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x14ac:dyDescent="0.2">
      <c r="A288" s="560"/>
      <c r="B288" s="560"/>
      <c r="C288" s="560"/>
      <c r="D288" s="560"/>
      <c r="E288" s="560"/>
      <c r="F288" s="560"/>
      <c r="G288" s="560"/>
      <c r="H288" s="560"/>
      <c r="I288" s="560"/>
      <c r="J288" s="560"/>
      <c r="K288" s="560"/>
      <c r="L288" s="560"/>
      <c r="M288" s="560"/>
      <c r="N288" s="560"/>
      <c r="O288" s="561"/>
      <c r="P288" s="572" t="s">
        <v>75</v>
      </c>
      <c r="Q288" s="554"/>
      <c r="R288" s="554"/>
      <c r="S288" s="554"/>
      <c r="T288" s="554"/>
      <c r="U288" s="554"/>
      <c r="V288" s="555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customHeight="1" x14ac:dyDescent="0.25">
      <c r="A289" s="574" t="s">
        <v>77</v>
      </c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45"/>
      <c r="AB289" s="545"/>
      <c r="AC289" s="545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65">
        <v>4680115884618</v>
      </c>
      <c r="E290" s="566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8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7"/>
      <c r="R290" s="557"/>
      <c r="S290" s="557"/>
      <c r="T290" s="558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65">
        <v>4680115887114</v>
      </c>
      <c r="E291" s="566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58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7"/>
      <c r="R291" s="557"/>
      <c r="S291" s="557"/>
      <c r="T291" s="558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59"/>
      <c r="B292" s="560"/>
      <c r="C292" s="560"/>
      <c r="D292" s="560"/>
      <c r="E292" s="560"/>
      <c r="F292" s="560"/>
      <c r="G292" s="560"/>
      <c r="H292" s="560"/>
      <c r="I292" s="560"/>
      <c r="J292" s="560"/>
      <c r="K292" s="560"/>
      <c r="L292" s="560"/>
      <c r="M292" s="560"/>
      <c r="N292" s="560"/>
      <c r="O292" s="561"/>
      <c r="P292" s="572" t="s">
        <v>75</v>
      </c>
      <c r="Q292" s="554"/>
      <c r="R292" s="554"/>
      <c r="S292" s="554"/>
      <c r="T292" s="554"/>
      <c r="U292" s="554"/>
      <c r="V292" s="555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x14ac:dyDescent="0.2">
      <c r="A293" s="560"/>
      <c r="B293" s="560"/>
      <c r="C293" s="560"/>
      <c r="D293" s="560"/>
      <c r="E293" s="560"/>
      <c r="F293" s="560"/>
      <c r="G293" s="560"/>
      <c r="H293" s="560"/>
      <c r="I293" s="560"/>
      <c r="J293" s="560"/>
      <c r="K293" s="560"/>
      <c r="L293" s="560"/>
      <c r="M293" s="560"/>
      <c r="N293" s="560"/>
      <c r="O293" s="561"/>
      <c r="P293" s="572" t="s">
        <v>75</v>
      </c>
      <c r="Q293" s="554"/>
      <c r="R293" s="554"/>
      <c r="S293" s="554"/>
      <c r="T293" s="554"/>
      <c r="U293" s="554"/>
      <c r="V293" s="555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customHeight="1" x14ac:dyDescent="0.25">
      <c r="A294" s="571" t="s">
        <v>472</v>
      </c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44"/>
      <c r="AB294" s="544"/>
      <c r="AC294" s="544"/>
    </row>
    <row r="295" spans="1:68" ht="14.25" customHeight="1" x14ac:dyDescent="0.25">
      <c r="A295" s="574" t="s">
        <v>103</v>
      </c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45"/>
      <c r="AB295" s="545"/>
      <c r="AC295" s="545"/>
    </row>
    <row r="296" spans="1:68" ht="27" customHeight="1" x14ac:dyDescent="0.25">
      <c r="A296" s="54" t="s">
        <v>473</v>
      </c>
      <c r="B296" s="54" t="s">
        <v>474</v>
      </c>
      <c r="C296" s="31">
        <v>4301012126</v>
      </c>
      <c r="D296" s="565">
        <v>4607091386004</v>
      </c>
      <c r="E296" s="566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3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7"/>
      <c r="R296" s="557"/>
      <c r="S296" s="557"/>
      <c r="T296" s="558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5">
        <v>4680115885615</v>
      </c>
      <c r="E297" s="566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58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4"/>
      <c r="V297" s="34"/>
      <c r="W297" s="35" t="s">
        <v>69</v>
      </c>
      <c r="X297" s="549">
        <v>230</v>
      </c>
      <c r="Y297" s="550">
        <f t="shared" si="31"/>
        <v>237.60000000000002</v>
      </c>
      <c r="Z297" s="36">
        <f>IFERROR(IF(Y297=0,"",ROUNDUP(Y297/H297,0)*0.01898),"")</f>
        <v>0.41755999999999999</v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238.7314814814815</v>
      </c>
      <c r="BN297" s="64">
        <f t="shared" si="33"/>
        <v>246.62000000000003</v>
      </c>
      <c r="BO297" s="64">
        <f t="shared" si="34"/>
        <v>0.33275462962962959</v>
      </c>
      <c r="BP297" s="64">
        <f t="shared" si="35"/>
        <v>0.34375</v>
      </c>
    </row>
    <row r="298" spans="1:68" ht="37.5" customHeight="1" x14ac:dyDescent="0.25">
      <c r="A298" s="54" t="s">
        <v>479</v>
      </c>
      <c r="B298" s="54" t="s">
        <v>480</v>
      </c>
      <c r="C298" s="31">
        <v>4301011858</v>
      </c>
      <c r="D298" s="565">
        <v>4680115885646</v>
      </c>
      <c r="E298" s="566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6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4"/>
      <c r="V298" s="34"/>
      <c r="W298" s="35" t="s">
        <v>69</v>
      </c>
      <c r="X298" s="549">
        <v>160</v>
      </c>
      <c r="Y298" s="550">
        <f t="shared" si="31"/>
        <v>162</v>
      </c>
      <c r="Z298" s="36">
        <f>IFERROR(IF(Y298=0,"",ROUNDUP(Y298/H298,0)*0.01898),"")</f>
        <v>0.28470000000000001</v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166.07407407407408</v>
      </c>
      <c r="BN298" s="64">
        <f t="shared" si="33"/>
        <v>168.15</v>
      </c>
      <c r="BO298" s="64">
        <f t="shared" si="34"/>
        <v>0.23148148148148145</v>
      </c>
      <c r="BP298" s="64">
        <f t="shared" si="35"/>
        <v>0.23437499999999997</v>
      </c>
    </row>
    <row r="299" spans="1:68" ht="27" customHeight="1" x14ac:dyDescent="0.25">
      <c r="A299" s="54" t="s">
        <v>482</v>
      </c>
      <c r="B299" s="54" t="s">
        <v>483</v>
      </c>
      <c r="C299" s="31">
        <v>4301012016</v>
      </c>
      <c r="D299" s="565">
        <v>4680115885554</v>
      </c>
      <c r="E299" s="566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78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4"/>
      <c r="V299" s="34"/>
      <c r="W299" s="35" t="s">
        <v>69</v>
      </c>
      <c r="X299" s="549">
        <v>1350</v>
      </c>
      <c r="Y299" s="550">
        <f t="shared" si="31"/>
        <v>1350</v>
      </c>
      <c r="Z299" s="36">
        <f>IFERROR(IF(Y299=0,"",ROUNDUP(Y299/H299,0)*0.01898),"")</f>
        <v>2.3725000000000001</v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1401.25</v>
      </c>
      <c r="BN299" s="64">
        <f t="shared" si="33"/>
        <v>1401.25</v>
      </c>
      <c r="BO299" s="64">
        <f t="shared" si="34"/>
        <v>1.9531249999999998</v>
      </c>
      <c r="BP299" s="64">
        <f t="shared" si="35"/>
        <v>1.9531249999999998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5">
        <v>4680115885622</v>
      </c>
      <c r="E300" s="566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74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4"/>
      <c r="V300" s="34"/>
      <c r="W300" s="35" t="s">
        <v>69</v>
      </c>
      <c r="X300" s="549">
        <v>28</v>
      </c>
      <c r="Y300" s="550">
        <f t="shared" si="31"/>
        <v>28</v>
      </c>
      <c r="Z300" s="36">
        <f>IFERROR(IF(Y300=0,"",ROUNDUP(Y300/H300,0)*0.00902),"")</f>
        <v>6.3140000000000002E-2</v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29.330000000000002</v>
      </c>
      <c r="BN300" s="64">
        <f t="shared" si="33"/>
        <v>29.330000000000002</v>
      </c>
      <c r="BO300" s="64">
        <f t="shared" si="34"/>
        <v>5.3030303030303032E-2</v>
      </c>
      <c r="BP300" s="64">
        <f t="shared" si="35"/>
        <v>5.3030303030303032E-2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5">
        <v>4680115885608</v>
      </c>
      <c r="E301" s="566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66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4"/>
      <c r="V301" s="34"/>
      <c r="W301" s="35" t="s">
        <v>69</v>
      </c>
      <c r="X301" s="549">
        <v>152</v>
      </c>
      <c r="Y301" s="550">
        <f t="shared" si="31"/>
        <v>152</v>
      </c>
      <c r="Z301" s="36">
        <f>IFERROR(IF(Y301=0,"",ROUNDUP(Y301/H301,0)*0.00902),"")</f>
        <v>0.34276000000000001</v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159.22000000000003</v>
      </c>
      <c r="BN301" s="64">
        <f t="shared" si="33"/>
        <v>159.22000000000003</v>
      </c>
      <c r="BO301" s="64">
        <f t="shared" si="34"/>
        <v>0.2878787878787879</v>
      </c>
      <c r="BP301" s="64">
        <f t="shared" si="35"/>
        <v>0.2878787878787879</v>
      </c>
    </row>
    <row r="302" spans="1:68" x14ac:dyDescent="0.2">
      <c r="A302" s="559"/>
      <c r="B302" s="560"/>
      <c r="C302" s="560"/>
      <c r="D302" s="560"/>
      <c r="E302" s="560"/>
      <c r="F302" s="560"/>
      <c r="G302" s="560"/>
      <c r="H302" s="560"/>
      <c r="I302" s="560"/>
      <c r="J302" s="560"/>
      <c r="K302" s="560"/>
      <c r="L302" s="560"/>
      <c r="M302" s="560"/>
      <c r="N302" s="560"/>
      <c r="O302" s="561"/>
      <c r="P302" s="572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IFERROR(X296/H296,"0")+IFERROR(X297/H297,"0")+IFERROR(X298/H298,"0")+IFERROR(X299/H299,"0")+IFERROR(X300/H300,"0")+IFERROR(X301/H301,"0")</f>
        <v>206.11111111111109</v>
      </c>
      <c r="Y302" s="551">
        <f>IFERROR(Y296/H296,"0")+IFERROR(Y297/H297,"0")+IFERROR(Y298/H298,"0")+IFERROR(Y299/H299,"0")+IFERROR(Y300/H300,"0")+IFERROR(Y301/H301,"0")</f>
        <v>207</v>
      </c>
      <c r="Z302" s="551">
        <f>IFERROR(IF(Z296="",0,Z296),"0")+IFERROR(IF(Z297="",0,Z297),"0")+IFERROR(IF(Z298="",0,Z298),"0")+IFERROR(IF(Z299="",0,Z299),"0")+IFERROR(IF(Z300="",0,Z300),"0")+IFERROR(IF(Z301="",0,Z301),"0")</f>
        <v>3.4806600000000003</v>
      </c>
      <c r="AA302" s="552"/>
      <c r="AB302" s="552"/>
      <c r="AC302" s="552"/>
    </row>
    <row r="303" spans="1:68" x14ac:dyDescent="0.2">
      <c r="A303" s="560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1"/>
      <c r="P303" s="572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IFERROR(SUM(X296:X301),"0")</f>
        <v>1920</v>
      </c>
      <c r="Y303" s="551">
        <f>IFERROR(SUM(Y296:Y301),"0")</f>
        <v>1929.6</v>
      </c>
      <c r="Z303" s="37"/>
      <c r="AA303" s="552"/>
      <c r="AB303" s="552"/>
      <c r="AC303" s="552"/>
    </row>
    <row r="304" spans="1:68" ht="14.25" customHeight="1" x14ac:dyDescent="0.25">
      <c r="A304" s="574" t="s">
        <v>64</v>
      </c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5">
        <v>4607091387193</v>
      </c>
      <c r="E305" s="566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74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4"/>
      <c r="V305" s="34"/>
      <c r="W305" s="35" t="s">
        <v>69</v>
      </c>
      <c r="X305" s="549">
        <v>189</v>
      </c>
      <c r="Y305" s="550">
        <f t="shared" ref="Y305:Y310" si="36">IFERROR(IF(X305="",0,CEILING((X305/$H305),1)*$H305),"")</f>
        <v>189</v>
      </c>
      <c r="Z305" s="36">
        <f>IFERROR(IF(Y305=0,"",ROUNDUP(Y305/H305,0)*0.00902),"")</f>
        <v>0.40590000000000004</v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200.25</v>
      </c>
      <c r="BN305" s="64">
        <f t="shared" ref="BN305:BN310" si="38">IFERROR(Y305*I305/H305,"0")</f>
        <v>200.25</v>
      </c>
      <c r="BO305" s="64">
        <f t="shared" ref="BO305:BO310" si="39">IFERROR(1/J305*(X305/H305),"0")</f>
        <v>0.34090909090909094</v>
      </c>
      <c r="BP305" s="64">
        <f t="shared" ref="BP305:BP310" si="40">IFERROR(1/J305*(Y305/H305),"0")</f>
        <v>0.34090909090909094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5">
        <v>4607091387230</v>
      </c>
      <c r="E306" s="566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7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4"/>
      <c r="V306" s="34"/>
      <c r="W306" s="35" t="s">
        <v>69</v>
      </c>
      <c r="X306" s="549">
        <v>270</v>
      </c>
      <c r="Y306" s="550">
        <f t="shared" si="36"/>
        <v>273</v>
      </c>
      <c r="Z306" s="36">
        <f>IFERROR(IF(Y306=0,"",ROUNDUP(Y306/H306,0)*0.00902),"")</f>
        <v>0.58630000000000004</v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286.07142857142856</v>
      </c>
      <c r="BN306" s="64">
        <f t="shared" si="38"/>
        <v>289.25</v>
      </c>
      <c r="BO306" s="64">
        <f t="shared" si="39"/>
        <v>0.48701298701298695</v>
      </c>
      <c r="BP306" s="64">
        <f t="shared" si="40"/>
        <v>0.49242424242424243</v>
      </c>
    </row>
    <row r="307" spans="1:68" ht="27" customHeight="1" x14ac:dyDescent="0.25">
      <c r="A307" s="54" t="s">
        <v>496</v>
      </c>
      <c r="B307" s="54" t="s">
        <v>497</v>
      </c>
      <c r="C307" s="31">
        <v>4301031154</v>
      </c>
      <c r="D307" s="565">
        <v>4607091387292</v>
      </c>
      <c r="E307" s="566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6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5">
        <v>4607091387285</v>
      </c>
      <c r="E308" s="566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4"/>
      <c r="V308" s="34"/>
      <c r="W308" s="35" t="s">
        <v>69</v>
      </c>
      <c r="X308" s="549">
        <v>79.449999999999989</v>
      </c>
      <c r="Y308" s="550">
        <f t="shared" si="36"/>
        <v>79.8</v>
      </c>
      <c r="Z308" s="36">
        <f>IFERROR(IF(Y308=0,"",ROUNDUP(Y308/H308,0)*0.00502),"")</f>
        <v>0.19076000000000001</v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84.368333333333311</v>
      </c>
      <c r="BN308" s="64">
        <f t="shared" si="38"/>
        <v>84.739999999999981</v>
      </c>
      <c r="BO308" s="64">
        <f t="shared" si="39"/>
        <v>0.16168091168091167</v>
      </c>
      <c r="BP308" s="64">
        <f t="shared" si="40"/>
        <v>0.1623931623931624</v>
      </c>
    </row>
    <row r="309" spans="1:68" ht="27" customHeight="1" x14ac:dyDescent="0.25">
      <c r="A309" s="54" t="s">
        <v>501</v>
      </c>
      <c r="B309" s="54" t="s">
        <v>502</v>
      </c>
      <c r="C309" s="31">
        <v>4301031305</v>
      </c>
      <c r="D309" s="565">
        <v>4607091389845</v>
      </c>
      <c r="E309" s="566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4"/>
      <c r="V309" s="34"/>
      <c r="W309" s="35" t="s">
        <v>69</v>
      </c>
      <c r="X309" s="549">
        <v>16.8</v>
      </c>
      <c r="Y309" s="550">
        <f t="shared" si="36"/>
        <v>16.8</v>
      </c>
      <c r="Z309" s="36">
        <f>IFERROR(IF(Y309=0,"",ROUNDUP(Y309/H309,0)*0.00502),"")</f>
        <v>4.0160000000000001E-2</v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17.600000000000001</v>
      </c>
      <c r="BN309" s="64">
        <f t="shared" si="38"/>
        <v>17.600000000000001</v>
      </c>
      <c r="BO309" s="64">
        <f t="shared" si="39"/>
        <v>3.4188034188034191E-2</v>
      </c>
      <c r="BP309" s="64">
        <f t="shared" si="40"/>
        <v>3.4188034188034191E-2</v>
      </c>
    </row>
    <row r="310" spans="1:68" ht="27" customHeight="1" x14ac:dyDescent="0.25">
      <c r="A310" s="54" t="s">
        <v>504</v>
      </c>
      <c r="B310" s="54" t="s">
        <v>505</v>
      </c>
      <c r="C310" s="31">
        <v>4301031066</v>
      </c>
      <c r="D310" s="565">
        <v>4607091383836</v>
      </c>
      <c r="E310" s="566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7"/>
      <c r="R310" s="557"/>
      <c r="S310" s="557"/>
      <c r="T310" s="558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59"/>
      <c r="B311" s="560"/>
      <c r="C311" s="560"/>
      <c r="D311" s="560"/>
      <c r="E311" s="560"/>
      <c r="F311" s="560"/>
      <c r="G311" s="560"/>
      <c r="H311" s="560"/>
      <c r="I311" s="560"/>
      <c r="J311" s="560"/>
      <c r="K311" s="560"/>
      <c r="L311" s="560"/>
      <c r="M311" s="560"/>
      <c r="N311" s="560"/>
      <c r="O311" s="561"/>
      <c r="P311" s="572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155.11904761904759</v>
      </c>
      <c r="Y311" s="551">
        <f>IFERROR(Y305/H305,"0")+IFERROR(Y306/H306,"0")+IFERROR(Y307/H307,"0")+IFERROR(Y308/H308,"0")+IFERROR(Y309/H309,"0")+IFERROR(Y310/H310,"0")</f>
        <v>156</v>
      </c>
      <c r="Z311" s="551">
        <f>IFERROR(IF(Z305="",0,Z305),"0")+IFERROR(IF(Z306="",0,Z306),"0")+IFERROR(IF(Z307="",0,Z307),"0")+IFERROR(IF(Z308="",0,Z308),"0")+IFERROR(IF(Z309="",0,Z309),"0")+IFERROR(IF(Z310="",0,Z310),"0")</f>
        <v>1.22312</v>
      </c>
      <c r="AA311" s="552"/>
      <c r="AB311" s="552"/>
      <c r="AC311" s="552"/>
    </row>
    <row r="312" spans="1:68" x14ac:dyDescent="0.2">
      <c r="A312" s="560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1"/>
      <c r="P312" s="572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555.25</v>
      </c>
      <c r="Y312" s="551">
        <f>IFERROR(SUM(Y305:Y310),"0")</f>
        <v>558.59999999999991</v>
      </c>
      <c r="Z312" s="37"/>
      <c r="AA312" s="552"/>
      <c r="AB312" s="552"/>
      <c r="AC312" s="552"/>
    </row>
    <row r="313" spans="1:68" ht="14.25" customHeight="1" x14ac:dyDescent="0.25">
      <c r="A313" s="574" t="s">
        <v>77</v>
      </c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5">
        <v>4607091387766</v>
      </c>
      <c r="E314" s="566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69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7"/>
      <c r="R314" s="557"/>
      <c r="S314" s="557"/>
      <c r="T314" s="558"/>
      <c r="U314" s="34"/>
      <c r="V314" s="34"/>
      <c r="W314" s="35" t="s">
        <v>69</v>
      </c>
      <c r="X314" s="549">
        <v>2680</v>
      </c>
      <c r="Y314" s="550">
        <f>IFERROR(IF(X314="",0,CEILING((X314/$H314),1)*$H314),"")</f>
        <v>2683.2</v>
      </c>
      <c r="Z314" s="36">
        <f>IFERROR(IF(Y314=0,"",ROUNDUP(Y314/H314,0)*0.01898),"")</f>
        <v>6.5291199999999998</v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2847.6717948717951</v>
      </c>
      <c r="BN314" s="64">
        <f>IFERROR(Y314*I314/H314,"0")</f>
        <v>2851.0720000000001</v>
      </c>
      <c r="BO314" s="64">
        <f>IFERROR(1/J314*(X314/H314),"0")</f>
        <v>5.3685897435897436</v>
      </c>
      <c r="BP314" s="64">
        <f>IFERROR(1/J314*(Y314/H314),"0")</f>
        <v>5.375</v>
      </c>
    </row>
    <row r="315" spans="1:68" ht="27" customHeight="1" x14ac:dyDescent="0.25">
      <c r="A315" s="54" t="s">
        <v>510</v>
      </c>
      <c r="B315" s="54" t="s">
        <v>511</v>
      </c>
      <c r="C315" s="31">
        <v>4301051818</v>
      </c>
      <c r="D315" s="565">
        <v>4607091387957</v>
      </c>
      <c r="E315" s="566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7"/>
      <c r="R315" s="557"/>
      <c r="S315" s="557"/>
      <c r="T315" s="558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4301051819</v>
      </c>
      <c r="D316" s="565">
        <v>4607091387964</v>
      </c>
      <c r="E316" s="566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8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7"/>
      <c r="R316" s="557"/>
      <c r="S316" s="557"/>
      <c r="T316" s="558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516</v>
      </c>
      <c r="B317" s="54" t="s">
        <v>517</v>
      </c>
      <c r="C317" s="31">
        <v>4301051734</v>
      </c>
      <c r="D317" s="565">
        <v>4680115884588</v>
      </c>
      <c r="E317" s="566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7"/>
      <c r="R317" s="557"/>
      <c r="S317" s="557"/>
      <c r="T317" s="558"/>
      <c r="U317" s="34"/>
      <c r="V317" s="34"/>
      <c r="W317" s="35" t="s">
        <v>69</v>
      </c>
      <c r="X317" s="549">
        <v>7.1999999999999993</v>
      </c>
      <c r="Y317" s="550">
        <f>IFERROR(IF(X317="",0,CEILING((X317/$H317),1)*$H317),"")</f>
        <v>9</v>
      </c>
      <c r="Z317" s="36">
        <f>IFERROR(IF(Y317=0,"",ROUNDUP(Y317/H317,0)*0.00651),"")</f>
        <v>1.9529999999999999E-2</v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7.7903999999999991</v>
      </c>
      <c r="BN317" s="64">
        <f>IFERROR(Y317*I317/H317,"0")</f>
        <v>9.7379999999999995</v>
      </c>
      <c r="BO317" s="64">
        <f>IFERROR(1/J317*(X317/H317),"0")</f>
        <v>1.3186813186813187E-2</v>
      </c>
      <c r="BP317" s="64">
        <f>IFERROR(1/J317*(Y317/H317),"0")</f>
        <v>1.6483516483516484E-2</v>
      </c>
    </row>
    <row r="318" spans="1:68" x14ac:dyDescent="0.2">
      <c r="A318" s="559"/>
      <c r="B318" s="560"/>
      <c r="C318" s="560"/>
      <c r="D318" s="560"/>
      <c r="E318" s="560"/>
      <c r="F318" s="560"/>
      <c r="G318" s="560"/>
      <c r="H318" s="560"/>
      <c r="I318" s="560"/>
      <c r="J318" s="560"/>
      <c r="K318" s="560"/>
      <c r="L318" s="560"/>
      <c r="M318" s="560"/>
      <c r="N318" s="560"/>
      <c r="O318" s="561"/>
      <c r="P318" s="572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345.98974358974357</v>
      </c>
      <c r="Y318" s="551">
        <f>IFERROR(Y314/H314,"0")+IFERROR(Y315/H315,"0")+IFERROR(Y316/H316,"0")+IFERROR(Y317/H317,"0")</f>
        <v>347</v>
      </c>
      <c r="Z318" s="551">
        <f>IFERROR(IF(Z314="",0,Z314),"0")+IFERROR(IF(Z315="",0,Z315),"0")+IFERROR(IF(Z316="",0,Z316),"0")+IFERROR(IF(Z317="",0,Z317),"0")</f>
        <v>6.5486499999999994</v>
      </c>
      <c r="AA318" s="552"/>
      <c r="AB318" s="552"/>
      <c r="AC318" s="552"/>
    </row>
    <row r="319" spans="1:68" x14ac:dyDescent="0.2">
      <c r="A319" s="560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1"/>
      <c r="P319" s="572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2687.2</v>
      </c>
      <c r="Y319" s="551">
        <f>IFERROR(SUM(Y314:Y317),"0")</f>
        <v>2692.2</v>
      </c>
      <c r="Z319" s="37"/>
      <c r="AA319" s="552"/>
      <c r="AB319" s="552"/>
      <c r="AC319" s="552"/>
    </row>
    <row r="320" spans="1:68" ht="14.25" customHeight="1" x14ac:dyDescent="0.25">
      <c r="A320" s="574" t="s">
        <v>163</v>
      </c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45"/>
      <c r="AB320" s="545"/>
      <c r="AC320" s="545"/>
    </row>
    <row r="321" spans="1:68" ht="27" customHeight="1" x14ac:dyDescent="0.25">
      <c r="A321" s="54" t="s">
        <v>519</v>
      </c>
      <c r="B321" s="54" t="s">
        <v>520</v>
      </c>
      <c r="C321" s="31">
        <v>4301060387</v>
      </c>
      <c r="D321" s="565">
        <v>4607091380880</v>
      </c>
      <c r="E321" s="566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6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7"/>
      <c r="R321" s="557"/>
      <c r="S321" s="557"/>
      <c r="T321" s="558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65">
        <v>4607091384482</v>
      </c>
      <c r="E322" s="566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2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7"/>
      <c r="R322" s="557"/>
      <c r="S322" s="557"/>
      <c r="T322" s="558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5">
        <v>4607091380897</v>
      </c>
      <c r="E323" s="566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6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7"/>
      <c r="R323" s="557"/>
      <c r="S323" s="557"/>
      <c r="T323" s="558"/>
      <c r="U323" s="34"/>
      <c r="V323" s="34"/>
      <c r="W323" s="35" t="s">
        <v>69</v>
      </c>
      <c r="X323" s="549">
        <v>36</v>
      </c>
      <c r="Y323" s="550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38.117142857142859</v>
      </c>
      <c r="BN323" s="64">
        <f>IFERROR(Y323*I323/H323,"0")</f>
        <v>44.47</v>
      </c>
      <c r="BO323" s="64">
        <f>IFERROR(1/J323*(X323/H323),"0")</f>
        <v>6.6964285714285712E-2</v>
      </c>
      <c r="BP323" s="64">
        <f>IFERROR(1/J323*(Y323/H323),"0")</f>
        <v>7.8125E-2</v>
      </c>
    </row>
    <row r="324" spans="1:68" x14ac:dyDescent="0.2">
      <c r="A324" s="559"/>
      <c r="B324" s="560"/>
      <c r="C324" s="560"/>
      <c r="D324" s="560"/>
      <c r="E324" s="560"/>
      <c r="F324" s="560"/>
      <c r="G324" s="560"/>
      <c r="H324" s="560"/>
      <c r="I324" s="560"/>
      <c r="J324" s="560"/>
      <c r="K324" s="560"/>
      <c r="L324" s="560"/>
      <c r="M324" s="560"/>
      <c r="N324" s="560"/>
      <c r="O324" s="561"/>
      <c r="P324" s="572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4.2857142857142856</v>
      </c>
      <c r="Y324" s="551">
        <f>IFERROR(Y321/H321,"0")+IFERROR(Y322/H322,"0")+IFERROR(Y323/H323,"0")</f>
        <v>5</v>
      </c>
      <c r="Z324" s="551">
        <f>IFERROR(IF(Z321="",0,Z321),"0")+IFERROR(IF(Z322="",0,Z322),"0")+IFERROR(IF(Z323="",0,Z323),"0")</f>
        <v>9.4899999999999998E-2</v>
      </c>
      <c r="AA324" s="552"/>
      <c r="AB324" s="552"/>
      <c r="AC324" s="552"/>
    </row>
    <row r="325" spans="1:68" x14ac:dyDescent="0.2">
      <c r="A325" s="560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1"/>
      <c r="P325" s="572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36</v>
      </c>
      <c r="Y325" s="551">
        <f>IFERROR(SUM(Y321:Y323),"0")</f>
        <v>42</v>
      </c>
      <c r="Z325" s="37"/>
      <c r="AA325" s="552"/>
      <c r="AB325" s="552"/>
      <c r="AC325" s="552"/>
    </row>
    <row r="326" spans="1:68" ht="14.25" customHeight="1" x14ac:dyDescent="0.25">
      <c r="A326" s="574" t="s">
        <v>95</v>
      </c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45"/>
      <c r="AB326" s="545"/>
      <c r="AC326" s="545"/>
    </row>
    <row r="327" spans="1:68" ht="27" customHeight="1" x14ac:dyDescent="0.25">
      <c r="A327" s="54" t="s">
        <v>528</v>
      </c>
      <c r="B327" s="54" t="s">
        <v>529</v>
      </c>
      <c r="C327" s="31">
        <v>4301030235</v>
      </c>
      <c r="D327" s="565">
        <v>4607091388381</v>
      </c>
      <c r="E327" s="566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0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7"/>
      <c r="R327" s="557"/>
      <c r="S327" s="557"/>
      <c r="T327" s="558"/>
      <c r="U327" s="34"/>
      <c r="V327" s="34"/>
      <c r="W327" s="35" t="s">
        <v>69</v>
      </c>
      <c r="X327" s="549">
        <v>15</v>
      </c>
      <c r="Y327" s="550">
        <f>IFERROR(IF(X327="",0,CEILING((X327/$H327),1)*$H327),"")</f>
        <v>15.2</v>
      </c>
      <c r="Z327" s="36">
        <f>IFERROR(IF(Y327=0,"",ROUNDUP(Y327/H327,0)*0.00902),"")</f>
        <v>4.5100000000000001E-2</v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16.332236842105264</v>
      </c>
      <c r="BN327" s="64">
        <f>IFERROR(Y327*I327/H327,"0")</f>
        <v>16.55</v>
      </c>
      <c r="BO327" s="64">
        <f>IFERROR(1/J327*(X327/H327),"0")</f>
        <v>3.7380382775119618E-2</v>
      </c>
      <c r="BP327" s="64">
        <f>IFERROR(1/J327*(Y327/H327),"0")</f>
        <v>3.787878787878788E-2</v>
      </c>
    </row>
    <row r="328" spans="1:68" ht="27" customHeight="1" x14ac:dyDescent="0.25">
      <c r="A328" s="54" t="s">
        <v>531</v>
      </c>
      <c r="B328" s="54" t="s">
        <v>532</v>
      </c>
      <c r="C328" s="31">
        <v>4301030232</v>
      </c>
      <c r="D328" s="565">
        <v>4607091388374</v>
      </c>
      <c r="E328" s="566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86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7"/>
      <c r="R328" s="557"/>
      <c r="S328" s="557"/>
      <c r="T328" s="558"/>
      <c r="U328" s="34"/>
      <c r="V328" s="34"/>
      <c r="W328" s="35" t="s">
        <v>69</v>
      </c>
      <c r="X328" s="549">
        <v>15</v>
      </c>
      <c r="Y328" s="550">
        <f>IFERROR(IF(X328="",0,CEILING((X328/$H328),1)*$H328),"")</f>
        <v>15.2</v>
      </c>
      <c r="Z328" s="36">
        <f>IFERROR(IF(Y328=0,"",ROUNDUP(Y328/H328,0)*0.00902),"")</f>
        <v>4.5100000000000001E-2</v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16.13486842105263</v>
      </c>
      <c r="BN328" s="64">
        <f>IFERROR(Y328*I328/H328,"0")</f>
        <v>16.350000000000001</v>
      </c>
      <c r="BO328" s="64">
        <f>IFERROR(1/J328*(X328/H328),"0")</f>
        <v>3.7380382775119618E-2</v>
      </c>
      <c r="BP328" s="64">
        <f>IFERROR(1/J328*(Y328/H328),"0")</f>
        <v>3.787878787878788E-2</v>
      </c>
    </row>
    <row r="329" spans="1:68" ht="27" customHeight="1" x14ac:dyDescent="0.25">
      <c r="A329" s="54" t="s">
        <v>533</v>
      </c>
      <c r="B329" s="54" t="s">
        <v>534</v>
      </c>
      <c r="C329" s="31">
        <v>4301032015</v>
      </c>
      <c r="D329" s="565">
        <v>4607091383102</v>
      </c>
      <c r="E329" s="566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8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7"/>
      <c r="R329" s="557"/>
      <c r="S329" s="557"/>
      <c r="T329" s="558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5">
        <v>4607091388404</v>
      </c>
      <c r="E330" s="566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7"/>
      <c r="R330" s="557"/>
      <c r="S330" s="557"/>
      <c r="T330" s="558"/>
      <c r="U330" s="34"/>
      <c r="V330" s="34"/>
      <c r="W330" s="35" t="s">
        <v>69</v>
      </c>
      <c r="X330" s="549">
        <v>10.199999999999999</v>
      </c>
      <c r="Y330" s="550">
        <f>IFERROR(IF(X330="",0,CEILING((X330/$H330),1)*$H330),"")</f>
        <v>10.199999999999999</v>
      </c>
      <c r="Z330" s="36">
        <f>IFERROR(IF(Y330=0,"",ROUNDUP(Y330/H330,0)*0.00651),"")</f>
        <v>2.6040000000000001E-2</v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11.52</v>
      </c>
      <c r="BN330" s="64">
        <f>IFERROR(Y330*I330/H330,"0")</f>
        <v>11.52</v>
      </c>
      <c r="BO330" s="64">
        <f>IFERROR(1/J330*(X330/H330),"0")</f>
        <v>2.197802197802198E-2</v>
      </c>
      <c r="BP330" s="64">
        <f>IFERROR(1/J330*(Y330/H330),"0")</f>
        <v>2.197802197802198E-2</v>
      </c>
    </row>
    <row r="331" spans="1:68" x14ac:dyDescent="0.2">
      <c r="A331" s="559"/>
      <c r="B331" s="560"/>
      <c r="C331" s="560"/>
      <c r="D331" s="560"/>
      <c r="E331" s="560"/>
      <c r="F331" s="560"/>
      <c r="G331" s="560"/>
      <c r="H331" s="560"/>
      <c r="I331" s="560"/>
      <c r="J331" s="560"/>
      <c r="K331" s="560"/>
      <c r="L331" s="560"/>
      <c r="M331" s="560"/>
      <c r="N331" s="560"/>
      <c r="O331" s="561"/>
      <c r="P331" s="572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13.868421052631579</v>
      </c>
      <c r="Y331" s="551">
        <f>IFERROR(Y327/H327,"0")+IFERROR(Y328/H328,"0")+IFERROR(Y329/H329,"0")+IFERROR(Y330/H330,"0")</f>
        <v>14</v>
      </c>
      <c r="Z331" s="551">
        <f>IFERROR(IF(Z327="",0,Z327),"0")+IFERROR(IF(Z328="",0,Z328),"0")+IFERROR(IF(Z329="",0,Z329),"0")+IFERROR(IF(Z330="",0,Z330),"0")</f>
        <v>0.11624000000000001</v>
      </c>
      <c r="AA331" s="552"/>
      <c r="AB331" s="552"/>
      <c r="AC331" s="552"/>
    </row>
    <row r="332" spans="1:68" x14ac:dyDescent="0.2">
      <c r="A332" s="560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1"/>
      <c r="P332" s="572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40.200000000000003</v>
      </c>
      <c r="Y332" s="551">
        <f>IFERROR(SUM(Y327:Y330),"0")</f>
        <v>40.599999999999994</v>
      </c>
      <c r="Z332" s="37"/>
      <c r="AA332" s="552"/>
      <c r="AB332" s="552"/>
      <c r="AC332" s="552"/>
    </row>
    <row r="333" spans="1:68" ht="14.25" customHeight="1" x14ac:dyDescent="0.25">
      <c r="A333" s="574" t="s">
        <v>538</v>
      </c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45"/>
      <c r="AB333" s="545"/>
      <c r="AC333" s="545"/>
    </row>
    <row r="334" spans="1:68" ht="16.5" customHeight="1" x14ac:dyDescent="0.25">
      <c r="A334" s="54" t="s">
        <v>539</v>
      </c>
      <c r="B334" s="54" t="s">
        <v>540</v>
      </c>
      <c r="C334" s="31">
        <v>4301180007</v>
      </c>
      <c r="D334" s="565">
        <v>4680115881808</v>
      </c>
      <c r="E334" s="566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8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7"/>
      <c r="R334" s="557"/>
      <c r="S334" s="557"/>
      <c r="T334" s="558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543</v>
      </c>
      <c r="B335" s="54" t="s">
        <v>544</v>
      </c>
      <c r="C335" s="31">
        <v>4301180006</v>
      </c>
      <c r="D335" s="565">
        <v>4680115881822</v>
      </c>
      <c r="E335" s="566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6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7"/>
      <c r="R335" s="557"/>
      <c r="S335" s="557"/>
      <c r="T335" s="558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4301180001</v>
      </c>
      <c r="D336" s="565">
        <v>4680115880016</v>
      </c>
      <c r="E336" s="566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6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7"/>
      <c r="R336" s="557"/>
      <c r="S336" s="557"/>
      <c r="T336" s="558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9"/>
      <c r="B337" s="560"/>
      <c r="C337" s="560"/>
      <c r="D337" s="560"/>
      <c r="E337" s="560"/>
      <c r="F337" s="560"/>
      <c r="G337" s="560"/>
      <c r="H337" s="560"/>
      <c r="I337" s="560"/>
      <c r="J337" s="560"/>
      <c r="K337" s="560"/>
      <c r="L337" s="560"/>
      <c r="M337" s="560"/>
      <c r="N337" s="560"/>
      <c r="O337" s="561"/>
      <c r="P337" s="572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0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1"/>
      <c r="P338" s="572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1" t="s">
        <v>547</v>
      </c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44"/>
      <c r="AB339" s="544"/>
      <c r="AC339" s="544"/>
    </row>
    <row r="340" spans="1:68" ht="14.25" customHeight="1" x14ac:dyDescent="0.25">
      <c r="A340" s="574" t="s">
        <v>77</v>
      </c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45"/>
      <c r="AB340" s="545"/>
      <c r="AC340" s="545"/>
    </row>
    <row r="341" spans="1:68" ht="27" customHeight="1" x14ac:dyDescent="0.25">
      <c r="A341" s="54" t="s">
        <v>548</v>
      </c>
      <c r="B341" s="54" t="s">
        <v>549</v>
      </c>
      <c r="C341" s="31">
        <v>4301051489</v>
      </c>
      <c r="D341" s="565">
        <v>4607091387919</v>
      </c>
      <c r="E341" s="566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6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7"/>
      <c r="R341" s="557"/>
      <c r="S341" s="557"/>
      <c r="T341" s="558"/>
      <c r="U341" s="34"/>
      <c r="V341" s="34"/>
      <c r="W341" s="35" t="s">
        <v>69</v>
      </c>
      <c r="X341" s="549">
        <v>36</v>
      </c>
      <c r="Y341" s="550">
        <f>IFERROR(IF(X341="",0,CEILING((X341/$H341),1)*$H341),"")</f>
        <v>40.5</v>
      </c>
      <c r="Z341" s="36">
        <f>IFERROR(IF(Y341=0,"",ROUNDUP(Y341/H341,0)*0.01898),"")</f>
        <v>9.4899999999999998E-2</v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38.195555555555551</v>
      </c>
      <c r="BN341" s="64">
        <f>IFERROR(Y341*I341/H341,"0")</f>
        <v>42.97</v>
      </c>
      <c r="BO341" s="64">
        <f>IFERROR(1/J341*(X341/H341),"0")</f>
        <v>6.9444444444444448E-2</v>
      </c>
      <c r="BP341" s="64">
        <f>IFERROR(1/J341*(Y341/H341),"0")</f>
        <v>7.8125E-2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5">
        <v>4680115883604</v>
      </c>
      <c r="E342" s="566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6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7"/>
      <c r="R342" s="557"/>
      <c r="S342" s="557"/>
      <c r="T342" s="558"/>
      <c r="U342" s="34"/>
      <c r="V342" s="34"/>
      <c r="W342" s="35" t="s">
        <v>69</v>
      </c>
      <c r="X342" s="549">
        <v>26.6</v>
      </c>
      <c r="Y342" s="550">
        <f>IFERROR(IF(X342="",0,CEILING((X342/$H342),1)*$H342),"")</f>
        <v>27.3</v>
      </c>
      <c r="Z342" s="36">
        <f>IFERROR(IF(Y342=0,"",ROUNDUP(Y342/H342,0)*0.00651),"")</f>
        <v>8.4629999999999997E-2</v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29.791999999999998</v>
      </c>
      <c r="BN342" s="64">
        <f>IFERROR(Y342*I342/H342,"0")</f>
        <v>30.575999999999997</v>
      </c>
      <c r="BO342" s="64">
        <f>IFERROR(1/J342*(X342/H342),"0")</f>
        <v>6.95970695970696E-2</v>
      </c>
      <c r="BP342" s="64">
        <f>IFERROR(1/J342*(Y342/H342),"0")</f>
        <v>7.1428571428571438E-2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5">
        <v>4680115883567</v>
      </c>
      <c r="E343" s="566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0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7"/>
      <c r="R343" s="557"/>
      <c r="S343" s="557"/>
      <c r="T343" s="558"/>
      <c r="U343" s="34"/>
      <c r="V343" s="34"/>
      <c r="W343" s="35" t="s">
        <v>69</v>
      </c>
      <c r="X343" s="549">
        <v>62.3</v>
      </c>
      <c r="Y343" s="550">
        <f>IFERROR(IF(X343="",0,CEILING((X343/$H343),1)*$H343),"")</f>
        <v>63</v>
      </c>
      <c r="Z343" s="36">
        <f>IFERROR(IF(Y343=0,"",ROUNDUP(Y343/H343,0)*0.00651),"")</f>
        <v>0.1953</v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69.419999999999987</v>
      </c>
      <c r="BN343" s="64">
        <f>IFERROR(Y343*I343/H343,"0")</f>
        <v>70.199999999999989</v>
      </c>
      <c r="BO343" s="64">
        <f>IFERROR(1/J343*(X343/H343),"0")</f>
        <v>0.16300366300366301</v>
      </c>
      <c r="BP343" s="64">
        <f>IFERROR(1/J343*(Y343/H343),"0")</f>
        <v>0.16483516483516486</v>
      </c>
    </row>
    <row r="344" spans="1:68" x14ac:dyDescent="0.2">
      <c r="A344" s="559"/>
      <c r="B344" s="560"/>
      <c r="C344" s="560"/>
      <c r="D344" s="560"/>
      <c r="E344" s="560"/>
      <c r="F344" s="560"/>
      <c r="G344" s="560"/>
      <c r="H344" s="560"/>
      <c r="I344" s="560"/>
      <c r="J344" s="560"/>
      <c r="K344" s="560"/>
      <c r="L344" s="560"/>
      <c r="M344" s="560"/>
      <c r="N344" s="560"/>
      <c r="O344" s="561"/>
      <c r="P344" s="572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46.777777777777771</v>
      </c>
      <c r="Y344" s="551">
        <f>IFERROR(Y341/H341,"0")+IFERROR(Y342/H342,"0")+IFERROR(Y343/H343,"0")</f>
        <v>48</v>
      </c>
      <c r="Z344" s="551">
        <f>IFERROR(IF(Z341="",0,Z341),"0")+IFERROR(IF(Z342="",0,Z342),"0")+IFERROR(IF(Z343="",0,Z343),"0")</f>
        <v>0.37483</v>
      </c>
      <c r="AA344" s="552"/>
      <c r="AB344" s="552"/>
      <c r="AC344" s="552"/>
    </row>
    <row r="345" spans="1:68" x14ac:dyDescent="0.2">
      <c r="A345" s="560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1"/>
      <c r="P345" s="572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124.9</v>
      </c>
      <c r="Y345" s="551">
        <f>IFERROR(SUM(Y341:Y343),"0")</f>
        <v>130.80000000000001</v>
      </c>
      <c r="Z345" s="37"/>
      <c r="AA345" s="552"/>
      <c r="AB345" s="552"/>
      <c r="AC345" s="552"/>
    </row>
    <row r="346" spans="1:68" ht="27.75" customHeight="1" x14ac:dyDescent="0.2">
      <c r="A346" s="596" t="s">
        <v>557</v>
      </c>
      <c r="B346" s="597"/>
      <c r="C346" s="597"/>
      <c r="D346" s="597"/>
      <c r="E346" s="597"/>
      <c r="F346" s="597"/>
      <c r="G346" s="597"/>
      <c r="H346" s="597"/>
      <c r="I346" s="597"/>
      <c r="J346" s="597"/>
      <c r="K346" s="597"/>
      <c r="L346" s="597"/>
      <c r="M346" s="597"/>
      <c r="N346" s="597"/>
      <c r="O346" s="597"/>
      <c r="P346" s="597"/>
      <c r="Q346" s="597"/>
      <c r="R346" s="597"/>
      <c r="S346" s="597"/>
      <c r="T346" s="597"/>
      <c r="U346" s="597"/>
      <c r="V346" s="597"/>
      <c r="W346" s="597"/>
      <c r="X346" s="597"/>
      <c r="Y346" s="597"/>
      <c r="Z346" s="597"/>
      <c r="AA346" s="48"/>
      <c r="AB346" s="48"/>
      <c r="AC346" s="48"/>
    </row>
    <row r="347" spans="1:68" ht="16.5" customHeight="1" x14ac:dyDescent="0.25">
      <c r="A347" s="571" t="s">
        <v>558</v>
      </c>
      <c r="B347" s="560"/>
      <c r="C347" s="560"/>
      <c r="D347" s="560"/>
      <c r="E347" s="560"/>
      <c r="F347" s="560"/>
      <c r="G347" s="560"/>
      <c r="H347" s="560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44"/>
      <c r="AB347" s="544"/>
      <c r="AC347" s="544"/>
    </row>
    <row r="348" spans="1:68" ht="14.25" customHeight="1" x14ac:dyDescent="0.25">
      <c r="A348" s="574" t="s">
        <v>103</v>
      </c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5">
        <v>4680115884847</v>
      </c>
      <c r="E349" s="566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6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7"/>
      <c r="R349" s="557"/>
      <c r="S349" s="557"/>
      <c r="T349" s="558"/>
      <c r="U349" s="34"/>
      <c r="V349" s="34"/>
      <c r="W349" s="35" t="s">
        <v>69</v>
      </c>
      <c r="X349" s="549">
        <v>230</v>
      </c>
      <c r="Y349" s="550">
        <f t="shared" ref="Y349:Y355" si="41">IFERROR(IF(X349="",0,CEILING((X349/$H349),1)*$H349),"")</f>
        <v>240</v>
      </c>
      <c r="Z349" s="36">
        <f>IFERROR(IF(Y349=0,"",ROUNDUP(Y349/H349,0)*0.02175),"")</f>
        <v>0.34799999999999998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237.20666666666668</v>
      </c>
      <c r="BN349" s="64">
        <f t="shared" ref="BN349:BN355" si="43">IFERROR(Y349*I349/H349,"0")</f>
        <v>247.52</v>
      </c>
      <c r="BO349" s="64">
        <f t="shared" ref="BO349:BO355" si="44">IFERROR(1/J349*(X349/H349),"0")</f>
        <v>0.31944444444444442</v>
      </c>
      <c r="BP349" s="64">
        <f t="shared" ref="BP349:BP355" si="45">IFERROR(1/J349*(Y349/H349),"0")</f>
        <v>0.33333333333333331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5">
        <v>4680115884854</v>
      </c>
      <c r="E350" s="566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7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7"/>
      <c r="R350" s="557"/>
      <c r="S350" s="557"/>
      <c r="T350" s="558"/>
      <c r="U350" s="34"/>
      <c r="V350" s="34"/>
      <c r="W350" s="35" t="s">
        <v>69</v>
      </c>
      <c r="X350" s="549">
        <v>580</v>
      </c>
      <c r="Y350" s="550">
        <f t="shared" si="41"/>
        <v>585</v>
      </c>
      <c r="Z350" s="36">
        <f>IFERROR(IF(Y350=0,"",ROUNDUP(Y350/H350,0)*0.02175),"")</f>
        <v>0.84824999999999995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598.1733333333334</v>
      </c>
      <c r="BN350" s="64">
        <f t="shared" si="43"/>
        <v>603.33000000000004</v>
      </c>
      <c r="BO350" s="64">
        <f t="shared" si="44"/>
        <v>0.80555555555555547</v>
      </c>
      <c r="BP350" s="64">
        <f t="shared" si="45"/>
        <v>0.8125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5">
        <v>4680115887046</v>
      </c>
      <c r="E351" s="566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7"/>
      <c r="R351" s="557"/>
      <c r="S351" s="557"/>
      <c r="T351" s="558"/>
      <c r="U351" s="34"/>
      <c r="V351" s="34"/>
      <c r="W351" s="35" t="s">
        <v>69</v>
      </c>
      <c r="X351" s="549">
        <v>1780</v>
      </c>
      <c r="Y351" s="550">
        <f t="shared" si="41"/>
        <v>1785</v>
      </c>
      <c r="Z351" s="36">
        <f>IFERROR(IF(Y351=0,"",ROUNDUP(Y351/H351,0)*0.02175),"")</f>
        <v>2.5882499999999999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1835.7733333333335</v>
      </c>
      <c r="BN351" s="64">
        <f t="shared" si="43"/>
        <v>1840.93</v>
      </c>
      <c r="BO351" s="64">
        <f t="shared" si="44"/>
        <v>2.4722222222222223</v>
      </c>
      <c r="BP351" s="64">
        <f t="shared" si="45"/>
        <v>2.4791666666666665</v>
      </c>
    </row>
    <row r="352" spans="1:68" ht="37.5" customHeight="1" x14ac:dyDescent="0.25">
      <c r="A352" s="54" t="s">
        <v>568</v>
      </c>
      <c r="B352" s="54" t="s">
        <v>569</v>
      </c>
      <c r="C352" s="31">
        <v>4301011867</v>
      </c>
      <c r="D352" s="565">
        <v>4680115884830</v>
      </c>
      <c r="E352" s="566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4301011433</v>
      </c>
      <c r="D353" s="565">
        <v>4680115882638</v>
      </c>
      <c r="E353" s="566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76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7"/>
      <c r="R353" s="557"/>
      <c r="S353" s="557"/>
      <c r="T353" s="558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574</v>
      </c>
      <c r="B354" s="54" t="s">
        <v>575</v>
      </c>
      <c r="C354" s="31">
        <v>4301011952</v>
      </c>
      <c r="D354" s="565">
        <v>4680115884922</v>
      </c>
      <c r="E354" s="566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6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7"/>
      <c r="R354" s="557"/>
      <c r="S354" s="557"/>
      <c r="T354" s="558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5">
        <v>4680115884861</v>
      </c>
      <c r="E355" s="566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5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7"/>
      <c r="R355" s="557"/>
      <c r="S355" s="557"/>
      <c r="T355" s="558"/>
      <c r="U355" s="34"/>
      <c r="V355" s="34"/>
      <c r="W355" s="35" t="s">
        <v>69</v>
      </c>
      <c r="X355" s="549">
        <v>10</v>
      </c>
      <c r="Y355" s="550">
        <f t="shared" si="41"/>
        <v>10</v>
      </c>
      <c r="Z355" s="36">
        <f>IFERROR(IF(Y355=0,"",ROUNDUP(Y355/H355,0)*0.00902),"")</f>
        <v>1.804E-2</v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10.38</v>
      </c>
      <c r="BN355" s="64">
        <f t="shared" si="43"/>
        <v>10.38</v>
      </c>
      <c r="BO355" s="64">
        <f t="shared" si="44"/>
        <v>1.5151515151515152E-2</v>
      </c>
      <c r="BP355" s="64">
        <f t="shared" si="45"/>
        <v>1.5151515151515152E-2</v>
      </c>
    </row>
    <row r="356" spans="1:68" x14ac:dyDescent="0.2">
      <c r="A356" s="559"/>
      <c r="B356" s="560"/>
      <c r="C356" s="560"/>
      <c r="D356" s="560"/>
      <c r="E356" s="560"/>
      <c r="F356" s="560"/>
      <c r="G356" s="560"/>
      <c r="H356" s="560"/>
      <c r="I356" s="560"/>
      <c r="J356" s="560"/>
      <c r="K356" s="560"/>
      <c r="L356" s="560"/>
      <c r="M356" s="560"/>
      <c r="N356" s="560"/>
      <c r="O356" s="561"/>
      <c r="P356" s="572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174.66666666666669</v>
      </c>
      <c r="Y356" s="551">
        <f>IFERROR(Y349/H349,"0")+IFERROR(Y350/H350,"0")+IFERROR(Y351/H351,"0")+IFERROR(Y352/H352,"0")+IFERROR(Y353/H353,"0")+IFERROR(Y354/H354,"0")+IFERROR(Y355/H355,"0")</f>
        <v>176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3.80254</v>
      </c>
      <c r="AA356" s="552"/>
      <c r="AB356" s="552"/>
      <c r="AC356" s="552"/>
    </row>
    <row r="357" spans="1:68" x14ac:dyDescent="0.2">
      <c r="A357" s="560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1"/>
      <c r="P357" s="572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2600</v>
      </c>
      <c r="Y357" s="551">
        <f>IFERROR(SUM(Y349:Y355),"0")</f>
        <v>2620</v>
      </c>
      <c r="Z357" s="37"/>
      <c r="AA357" s="552"/>
      <c r="AB357" s="552"/>
      <c r="AC357" s="552"/>
    </row>
    <row r="358" spans="1:68" ht="14.25" customHeight="1" x14ac:dyDescent="0.25">
      <c r="A358" s="574" t="s">
        <v>138</v>
      </c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5">
        <v>4607091383980</v>
      </c>
      <c r="E359" s="566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64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7"/>
      <c r="R359" s="557"/>
      <c r="S359" s="557"/>
      <c r="T359" s="558"/>
      <c r="U359" s="34"/>
      <c r="V359" s="34"/>
      <c r="W359" s="35" t="s">
        <v>69</v>
      </c>
      <c r="X359" s="549">
        <v>1915</v>
      </c>
      <c r="Y359" s="550">
        <f>IFERROR(IF(X359="",0,CEILING((X359/$H359),1)*$H359),"")</f>
        <v>1920</v>
      </c>
      <c r="Z359" s="36">
        <f>IFERROR(IF(Y359=0,"",ROUNDUP(Y359/H359,0)*0.02175),"")</f>
        <v>2.7839999999999998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1975.0033333333336</v>
      </c>
      <c r="BN359" s="64">
        <f>IFERROR(Y359*I359/H359,"0")</f>
        <v>1980.16</v>
      </c>
      <c r="BO359" s="64">
        <f>IFERROR(1/J359*(X359/H359),"0")</f>
        <v>2.6597222222222223</v>
      </c>
      <c r="BP359" s="64">
        <f>IFERROR(1/J359*(Y359/H359),"0")</f>
        <v>2.6666666666666665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5">
        <v>4607091384178</v>
      </c>
      <c r="E360" s="566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55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7"/>
      <c r="R360" s="557"/>
      <c r="S360" s="557"/>
      <c r="T360" s="558"/>
      <c r="U360" s="34"/>
      <c r="V360" s="34"/>
      <c r="W360" s="35" t="s">
        <v>69</v>
      </c>
      <c r="X360" s="549">
        <v>4</v>
      </c>
      <c r="Y360" s="550">
        <f>IFERROR(IF(X360="",0,CEILING((X360/$H360),1)*$H360),"")</f>
        <v>4</v>
      </c>
      <c r="Z360" s="36">
        <f>IFERROR(IF(Y360=0,"",ROUNDUP(Y360/H360,0)*0.00902),"")</f>
        <v>9.0200000000000002E-3</v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4.1900000000000004</v>
      </c>
      <c r="BN360" s="64">
        <f>IFERROR(Y360*I360/H360,"0")</f>
        <v>4.1900000000000004</v>
      </c>
      <c r="BO360" s="64">
        <f>IFERROR(1/J360*(X360/H360),"0")</f>
        <v>7.575757575757576E-3</v>
      </c>
      <c r="BP360" s="64">
        <f>IFERROR(1/J360*(Y360/H360),"0")</f>
        <v>7.575757575757576E-3</v>
      </c>
    </row>
    <row r="361" spans="1:68" x14ac:dyDescent="0.2">
      <c r="A361" s="559"/>
      <c r="B361" s="560"/>
      <c r="C361" s="560"/>
      <c r="D361" s="560"/>
      <c r="E361" s="560"/>
      <c r="F361" s="560"/>
      <c r="G361" s="560"/>
      <c r="H361" s="560"/>
      <c r="I361" s="560"/>
      <c r="J361" s="560"/>
      <c r="K361" s="560"/>
      <c r="L361" s="560"/>
      <c r="M361" s="560"/>
      <c r="N361" s="560"/>
      <c r="O361" s="561"/>
      <c r="P361" s="572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128.66666666666669</v>
      </c>
      <c r="Y361" s="551">
        <f>IFERROR(Y359/H359,"0")+IFERROR(Y360/H360,"0")</f>
        <v>129</v>
      </c>
      <c r="Z361" s="551">
        <f>IFERROR(IF(Z359="",0,Z359),"0")+IFERROR(IF(Z360="",0,Z360),"0")</f>
        <v>2.7930199999999998</v>
      </c>
      <c r="AA361" s="552"/>
      <c r="AB361" s="552"/>
      <c r="AC361" s="552"/>
    </row>
    <row r="362" spans="1:68" x14ac:dyDescent="0.2">
      <c r="A362" s="560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1"/>
      <c r="P362" s="572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1919</v>
      </c>
      <c r="Y362" s="551">
        <f>IFERROR(SUM(Y359:Y360),"0")</f>
        <v>1924</v>
      </c>
      <c r="Z362" s="37"/>
      <c r="AA362" s="552"/>
      <c r="AB362" s="552"/>
      <c r="AC362" s="552"/>
    </row>
    <row r="363" spans="1:68" ht="14.25" customHeight="1" x14ac:dyDescent="0.25">
      <c r="A363" s="574" t="s">
        <v>77</v>
      </c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45"/>
      <c r="AB363" s="545"/>
      <c r="AC363" s="545"/>
    </row>
    <row r="364" spans="1:68" ht="27" customHeight="1" x14ac:dyDescent="0.25">
      <c r="A364" s="54" t="s">
        <v>584</v>
      </c>
      <c r="B364" s="54" t="s">
        <v>585</v>
      </c>
      <c r="C364" s="31">
        <v>4301051903</v>
      </c>
      <c r="D364" s="565">
        <v>4607091383928</v>
      </c>
      <c r="E364" s="566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6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7"/>
      <c r="R364" s="557"/>
      <c r="S364" s="557"/>
      <c r="T364" s="558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587</v>
      </c>
      <c r="B365" s="54" t="s">
        <v>588</v>
      </c>
      <c r="C365" s="31">
        <v>4301051897</v>
      </c>
      <c r="D365" s="565">
        <v>4607091384260</v>
      </c>
      <c r="E365" s="566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63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7"/>
      <c r="R365" s="557"/>
      <c r="S365" s="557"/>
      <c r="T365" s="558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59"/>
      <c r="B366" s="560"/>
      <c r="C366" s="560"/>
      <c r="D366" s="560"/>
      <c r="E366" s="560"/>
      <c r="F366" s="560"/>
      <c r="G366" s="560"/>
      <c r="H366" s="560"/>
      <c r="I366" s="560"/>
      <c r="J366" s="560"/>
      <c r="K366" s="560"/>
      <c r="L366" s="560"/>
      <c r="M366" s="560"/>
      <c r="N366" s="560"/>
      <c r="O366" s="561"/>
      <c r="P366" s="572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0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1"/>
      <c r="P367" s="572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74" t="s">
        <v>163</v>
      </c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45"/>
      <c r="AB368" s="545"/>
      <c r="AC368" s="545"/>
    </row>
    <row r="369" spans="1:68" ht="16.5" customHeight="1" x14ac:dyDescent="0.25">
      <c r="A369" s="54" t="s">
        <v>590</v>
      </c>
      <c r="B369" s="54" t="s">
        <v>591</v>
      </c>
      <c r="C369" s="31">
        <v>4301060524</v>
      </c>
      <c r="D369" s="565">
        <v>4607091384673</v>
      </c>
      <c r="E369" s="566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6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7"/>
      <c r="R369" s="557"/>
      <c r="S369" s="557"/>
      <c r="T369" s="558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9"/>
      <c r="B370" s="560"/>
      <c r="C370" s="560"/>
      <c r="D370" s="560"/>
      <c r="E370" s="560"/>
      <c r="F370" s="560"/>
      <c r="G370" s="560"/>
      <c r="H370" s="560"/>
      <c r="I370" s="560"/>
      <c r="J370" s="560"/>
      <c r="K370" s="560"/>
      <c r="L370" s="560"/>
      <c r="M370" s="560"/>
      <c r="N370" s="560"/>
      <c r="O370" s="561"/>
      <c r="P370" s="572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0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1"/>
      <c r="P371" s="572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71" t="s">
        <v>593</v>
      </c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44"/>
      <c r="AB372" s="544"/>
      <c r="AC372" s="544"/>
    </row>
    <row r="373" spans="1:68" ht="14.25" customHeight="1" x14ac:dyDescent="0.25">
      <c r="A373" s="574" t="s">
        <v>103</v>
      </c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45"/>
      <c r="AB373" s="545"/>
      <c r="AC373" s="545"/>
    </row>
    <row r="374" spans="1:68" ht="37.5" customHeight="1" x14ac:dyDescent="0.25">
      <c r="A374" s="54" t="s">
        <v>594</v>
      </c>
      <c r="B374" s="54" t="s">
        <v>595</v>
      </c>
      <c r="C374" s="31">
        <v>4301011875</v>
      </c>
      <c r="D374" s="565">
        <v>4680115884885</v>
      </c>
      <c r="E374" s="566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7"/>
      <c r="R374" s="557"/>
      <c r="S374" s="557"/>
      <c r="T374" s="558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597</v>
      </c>
      <c r="B375" s="54" t="s">
        <v>598</v>
      </c>
      <c r="C375" s="31">
        <v>4301011871</v>
      </c>
      <c r="D375" s="565">
        <v>4680115884908</v>
      </c>
      <c r="E375" s="566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7"/>
      <c r="R375" s="557"/>
      <c r="S375" s="557"/>
      <c r="T375" s="558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9"/>
      <c r="B376" s="560"/>
      <c r="C376" s="560"/>
      <c r="D376" s="560"/>
      <c r="E376" s="560"/>
      <c r="F376" s="560"/>
      <c r="G376" s="560"/>
      <c r="H376" s="560"/>
      <c r="I376" s="560"/>
      <c r="J376" s="560"/>
      <c r="K376" s="560"/>
      <c r="L376" s="560"/>
      <c r="M376" s="560"/>
      <c r="N376" s="560"/>
      <c r="O376" s="561"/>
      <c r="P376" s="572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0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1"/>
      <c r="P377" s="572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74" t="s">
        <v>64</v>
      </c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45"/>
      <c r="AB378" s="545"/>
      <c r="AC378" s="545"/>
    </row>
    <row r="379" spans="1:68" ht="27" customHeight="1" x14ac:dyDescent="0.25">
      <c r="A379" s="54" t="s">
        <v>599</v>
      </c>
      <c r="B379" s="54" t="s">
        <v>600</v>
      </c>
      <c r="C379" s="31">
        <v>4301031457</v>
      </c>
      <c r="D379" s="565">
        <v>4607091384802</v>
      </c>
      <c r="E379" s="566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8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7"/>
      <c r="R379" s="557"/>
      <c r="S379" s="557"/>
      <c r="T379" s="558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599</v>
      </c>
      <c r="B380" s="54" t="s">
        <v>602</v>
      </c>
      <c r="C380" s="31">
        <v>4301031303</v>
      </c>
      <c r="D380" s="565">
        <v>4607091384802</v>
      </c>
      <c r="E380" s="566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1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7"/>
      <c r="R380" s="557"/>
      <c r="S380" s="557"/>
      <c r="T380" s="558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9"/>
      <c r="B381" s="560"/>
      <c r="C381" s="560"/>
      <c r="D381" s="560"/>
      <c r="E381" s="560"/>
      <c r="F381" s="560"/>
      <c r="G381" s="560"/>
      <c r="H381" s="560"/>
      <c r="I381" s="560"/>
      <c r="J381" s="560"/>
      <c r="K381" s="560"/>
      <c r="L381" s="560"/>
      <c r="M381" s="560"/>
      <c r="N381" s="560"/>
      <c r="O381" s="561"/>
      <c r="P381" s="572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0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1"/>
      <c r="P382" s="572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74" t="s">
        <v>77</v>
      </c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45"/>
      <c r="AB383" s="545"/>
      <c r="AC383" s="545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5">
        <v>4607091384246</v>
      </c>
      <c r="E384" s="566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8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607</v>
      </c>
      <c r="B385" s="54" t="s">
        <v>608</v>
      </c>
      <c r="C385" s="31">
        <v>4301051660</v>
      </c>
      <c r="D385" s="565">
        <v>4607091384253</v>
      </c>
      <c r="E385" s="566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607</v>
      </c>
      <c r="B386" s="54" t="s">
        <v>609</v>
      </c>
      <c r="C386" s="31">
        <v>4301052069</v>
      </c>
      <c r="D386" s="565">
        <v>4607091384253</v>
      </c>
      <c r="E386" s="566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59"/>
      <c r="B387" s="560"/>
      <c r="C387" s="560"/>
      <c r="D387" s="560"/>
      <c r="E387" s="560"/>
      <c r="F387" s="560"/>
      <c r="G387" s="560"/>
      <c r="H387" s="560"/>
      <c r="I387" s="560"/>
      <c r="J387" s="560"/>
      <c r="K387" s="560"/>
      <c r="L387" s="560"/>
      <c r="M387" s="560"/>
      <c r="N387" s="560"/>
      <c r="O387" s="561"/>
      <c r="P387" s="572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0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1"/>
      <c r="P388" s="572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596" t="s">
        <v>611</v>
      </c>
      <c r="B389" s="597"/>
      <c r="C389" s="597"/>
      <c r="D389" s="597"/>
      <c r="E389" s="597"/>
      <c r="F389" s="597"/>
      <c r="G389" s="597"/>
      <c r="H389" s="597"/>
      <c r="I389" s="597"/>
      <c r="J389" s="597"/>
      <c r="K389" s="597"/>
      <c r="L389" s="597"/>
      <c r="M389" s="597"/>
      <c r="N389" s="597"/>
      <c r="O389" s="597"/>
      <c r="P389" s="597"/>
      <c r="Q389" s="597"/>
      <c r="R389" s="597"/>
      <c r="S389" s="597"/>
      <c r="T389" s="597"/>
      <c r="U389" s="597"/>
      <c r="V389" s="597"/>
      <c r="W389" s="597"/>
      <c r="X389" s="597"/>
      <c r="Y389" s="597"/>
      <c r="Z389" s="597"/>
      <c r="AA389" s="48"/>
      <c r="AB389" s="48"/>
      <c r="AC389" s="48"/>
    </row>
    <row r="390" spans="1:68" ht="16.5" customHeight="1" x14ac:dyDescent="0.25">
      <c r="A390" s="571" t="s">
        <v>612</v>
      </c>
      <c r="B390" s="560"/>
      <c r="C390" s="560"/>
      <c r="D390" s="560"/>
      <c r="E390" s="560"/>
      <c r="F390" s="560"/>
      <c r="G390" s="560"/>
      <c r="H390" s="560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44"/>
      <c r="AB390" s="544"/>
      <c r="AC390" s="544"/>
    </row>
    <row r="391" spans="1:68" ht="14.25" customHeight="1" x14ac:dyDescent="0.25">
      <c r="A391" s="574" t="s">
        <v>64</v>
      </c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45"/>
      <c r="AB391" s="545"/>
      <c r="AC391" s="545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65">
        <v>4680115886100</v>
      </c>
      <c r="E392" s="566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8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4301031406</v>
      </c>
      <c r="D393" s="565">
        <v>4680115886117</v>
      </c>
      <c r="E393" s="566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78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4301031402</v>
      </c>
      <c r="D394" s="565">
        <v>4680115886124</v>
      </c>
      <c r="E394" s="566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8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622</v>
      </c>
      <c r="B395" s="54" t="s">
        <v>623</v>
      </c>
      <c r="C395" s="31">
        <v>4301031366</v>
      </c>
      <c r="D395" s="565">
        <v>4680115883147</v>
      </c>
      <c r="E395" s="566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9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4301031362</v>
      </c>
      <c r="D396" s="565">
        <v>4607091384338</v>
      </c>
      <c r="E396" s="566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4"/>
      <c r="V396" s="34"/>
      <c r="W396" s="35" t="s">
        <v>69</v>
      </c>
      <c r="X396" s="549">
        <v>4.1999999999999993</v>
      </c>
      <c r="Y396" s="550">
        <f t="shared" si="46"/>
        <v>4.2</v>
      </c>
      <c r="Z396" s="36">
        <f t="shared" si="51"/>
        <v>1.004E-2</v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4.4599999999999991</v>
      </c>
      <c r="BN396" s="64">
        <f t="shared" si="48"/>
        <v>4.46</v>
      </c>
      <c r="BO396" s="64">
        <f t="shared" si="49"/>
        <v>8.5470085470085461E-3</v>
      </c>
      <c r="BP396" s="64">
        <f t="shared" si="50"/>
        <v>8.5470085470085479E-3</v>
      </c>
    </row>
    <row r="397" spans="1:68" ht="37.5" customHeight="1" x14ac:dyDescent="0.25">
      <c r="A397" s="54" t="s">
        <v>626</v>
      </c>
      <c r="B397" s="54" t="s">
        <v>627</v>
      </c>
      <c r="C397" s="31">
        <v>4301031361</v>
      </c>
      <c r="D397" s="565">
        <v>4607091389524</v>
      </c>
      <c r="E397" s="566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4"/>
      <c r="V397" s="34"/>
      <c r="W397" s="35" t="s">
        <v>69</v>
      </c>
      <c r="X397" s="549">
        <v>4.1999999999999993</v>
      </c>
      <c r="Y397" s="550">
        <f t="shared" si="46"/>
        <v>4.2</v>
      </c>
      <c r="Z397" s="36">
        <f t="shared" si="51"/>
        <v>1.004E-2</v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4.4599999999999991</v>
      </c>
      <c r="BN397" s="64">
        <f t="shared" si="48"/>
        <v>4.46</v>
      </c>
      <c r="BO397" s="64">
        <f t="shared" si="49"/>
        <v>8.5470085470085461E-3</v>
      </c>
      <c r="BP397" s="64">
        <f t="shared" si="50"/>
        <v>8.5470085470085479E-3</v>
      </c>
    </row>
    <row r="398" spans="1:68" ht="27" customHeight="1" x14ac:dyDescent="0.25">
      <c r="A398" s="54" t="s">
        <v>629</v>
      </c>
      <c r="B398" s="54" t="s">
        <v>630</v>
      </c>
      <c r="C398" s="31">
        <v>4301031364</v>
      </c>
      <c r="D398" s="565">
        <v>4680115883161</v>
      </c>
      <c r="E398" s="566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6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632</v>
      </c>
      <c r="B399" s="54" t="s">
        <v>633</v>
      </c>
      <c r="C399" s="31">
        <v>4301031358</v>
      </c>
      <c r="D399" s="565">
        <v>4607091389531</v>
      </c>
      <c r="E399" s="566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4"/>
      <c r="V399" s="34"/>
      <c r="W399" s="35" t="s">
        <v>69</v>
      </c>
      <c r="X399" s="549">
        <v>6.3</v>
      </c>
      <c r="Y399" s="550">
        <f t="shared" si="46"/>
        <v>6.3000000000000007</v>
      </c>
      <c r="Z399" s="36">
        <f t="shared" si="51"/>
        <v>1.506E-2</v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6.6899999999999995</v>
      </c>
      <c r="BN399" s="64">
        <f t="shared" si="48"/>
        <v>6.69</v>
      </c>
      <c r="BO399" s="64">
        <f t="shared" si="49"/>
        <v>1.2820512820512822E-2</v>
      </c>
      <c r="BP399" s="64">
        <f t="shared" si="50"/>
        <v>1.2820512820512822E-2</v>
      </c>
    </row>
    <row r="400" spans="1:68" ht="37.5" customHeight="1" x14ac:dyDescent="0.25">
      <c r="A400" s="54" t="s">
        <v>635</v>
      </c>
      <c r="B400" s="54" t="s">
        <v>636</v>
      </c>
      <c r="C400" s="31">
        <v>4301031360</v>
      </c>
      <c r="D400" s="565">
        <v>4607091384345</v>
      </c>
      <c r="E400" s="566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8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4"/>
      <c r="V400" s="34"/>
      <c r="W400" s="35" t="s">
        <v>69</v>
      </c>
      <c r="X400" s="549">
        <v>4.1999999999999993</v>
      </c>
      <c r="Y400" s="550">
        <f t="shared" si="46"/>
        <v>4.2</v>
      </c>
      <c r="Z400" s="36">
        <f t="shared" si="51"/>
        <v>1.004E-2</v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4.4599999999999991</v>
      </c>
      <c r="BN400" s="64">
        <f t="shared" si="48"/>
        <v>4.46</v>
      </c>
      <c r="BO400" s="64">
        <f t="shared" si="49"/>
        <v>8.5470085470085461E-3</v>
      </c>
      <c r="BP400" s="64">
        <f t="shared" si="50"/>
        <v>8.5470085470085479E-3</v>
      </c>
    </row>
    <row r="401" spans="1:68" x14ac:dyDescent="0.2">
      <c r="A401" s="559"/>
      <c r="B401" s="560"/>
      <c r="C401" s="560"/>
      <c r="D401" s="560"/>
      <c r="E401" s="560"/>
      <c r="F401" s="560"/>
      <c r="G401" s="560"/>
      <c r="H401" s="560"/>
      <c r="I401" s="560"/>
      <c r="J401" s="560"/>
      <c r="K401" s="560"/>
      <c r="L401" s="560"/>
      <c r="M401" s="560"/>
      <c r="N401" s="560"/>
      <c r="O401" s="561"/>
      <c r="P401" s="572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8.9999999999999982</v>
      </c>
      <c r="Y401" s="551">
        <f>IFERROR(Y392/H392,"0")+IFERROR(Y393/H393,"0")+IFERROR(Y394/H394,"0")+IFERROR(Y395/H395,"0")+IFERROR(Y396/H396,"0")+IFERROR(Y397/H397,"0")+IFERROR(Y398/H398,"0")+IFERROR(Y399/H399,"0")+IFERROR(Y400/H400,"0")</f>
        <v>9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4.5180000000000005E-2</v>
      </c>
      <c r="AA401" s="552"/>
      <c r="AB401" s="552"/>
      <c r="AC401" s="552"/>
    </row>
    <row r="402" spans="1:68" x14ac:dyDescent="0.2">
      <c r="A402" s="560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1"/>
      <c r="P402" s="572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18.899999999999999</v>
      </c>
      <c r="Y402" s="551">
        <f>IFERROR(SUM(Y392:Y400),"0")</f>
        <v>18.900000000000002</v>
      </c>
      <c r="Z402" s="37"/>
      <c r="AA402" s="552"/>
      <c r="AB402" s="552"/>
      <c r="AC402" s="552"/>
    </row>
    <row r="403" spans="1:68" ht="14.25" customHeight="1" x14ac:dyDescent="0.25">
      <c r="A403" s="574" t="s">
        <v>77</v>
      </c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45"/>
      <c r="AB403" s="545"/>
      <c r="AC403" s="545"/>
    </row>
    <row r="404" spans="1:68" ht="27" customHeight="1" x14ac:dyDescent="0.25">
      <c r="A404" s="54" t="s">
        <v>637</v>
      </c>
      <c r="B404" s="54" t="s">
        <v>638</v>
      </c>
      <c r="C404" s="31">
        <v>4301051284</v>
      </c>
      <c r="D404" s="565">
        <v>4607091384352</v>
      </c>
      <c r="E404" s="566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640</v>
      </c>
      <c r="B405" s="54" t="s">
        <v>641</v>
      </c>
      <c r="C405" s="31">
        <v>4301051431</v>
      </c>
      <c r="D405" s="565">
        <v>4607091389654</v>
      </c>
      <c r="E405" s="566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81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59"/>
      <c r="B406" s="560"/>
      <c r="C406" s="560"/>
      <c r="D406" s="560"/>
      <c r="E406" s="560"/>
      <c r="F406" s="560"/>
      <c r="G406" s="560"/>
      <c r="H406" s="560"/>
      <c r="I406" s="560"/>
      <c r="J406" s="560"/>
      <c r="K406" s="560"/>
      <c r="L406" s="560"/>
      <c r="M406" s="560"/>
      <c r="N406" s="560"/>
      <c r="O406" s="561"/>
      <c r="P406" s="572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0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1"/>
      <c r="P407" s="572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1" t="s">
        <v>643</v>
      </c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44"/>
      <c r="AB408" s="544"/>
      <c r="AC408" s="544"/>
    </row>
    <row r="409" spans="1:68" ht="14.25" customHeight="1" x14ac:dyDescent="0.25">
      <c r="A409" s="574" t="s">
        <v>138</v>
      </c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45"/>
      <c r="AB409" s="545"/>
      <c r="AC409" s="545"/>
    </row>
    <row r="410" spans="1:68" ht="27" customHeight="1" x14ac:dyDescent="0.25">
      <c r="A410" s="54" t="s">
        <v>644</v>
      </c>
      <c r="B410" s="54" t="s">
        <v>645</v>
      </c>
      <c r="C410" s="31">
        <v>4301020319</v>
      </c>
      <c r="D410" s="565">
        <v>4680115885240</v>
      </c>
      <c r="E410" s="566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9"/>
      <c r="B411" s="560"/>
      <c r="C411" s="560"/>
      <c r="D411" s="560"/>
      <c r="E411" s="560"/>
      <c r="F411" s="560"/>
      <c r="G411" s="560"/>
      <c r="H411" s="560"/>
      <c r="I411" s="560"/>
      <c r="J411" s="560"/>
      <c r="K411" s="560"/>
      <c r="L411" s="560"/>
      <c r="M411" s="560"/>
      <c r="N411" s="560"/>
      <c r="O411" s="561"/>
      <c r="P411" s="572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0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1"/>
      <c r="P412" s="572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74" t="s">
        <v>64</v>
      </c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45"/>
      <c r="AB413" s="545"/>
      <c r="AC413" s="545"/>
    </row>
    <row r="414" spans="1:68" ht="27" customHeight="1" x14ac:dyDescent="0.25">
      <c r="A414" s="54" t="s">
        <v>647</v>
      </c>
      <c r="B414" s="54" t="s">
        <v>648</v>
      </c>
      <c r="C414" s="31">
        <v>4301031403</v>
      </c>
      <c r="D414" s="565">
        <v>4680115886094</v>
      </c>
      <c r="E414" s="566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7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4"/>
      <c r="V414" s="34"/>
      <c r="W414" s="35" t="s">
        <v>69</v>
      </c>
      <c r="X414" s="549">
        <v>20</v>
      </c>
      <c r="Y414" s="550">
        <f>IFERROR(IF(X414="",0,CEILING((X414/$H414),1)*$H414),"")</f>
        <v>21.6</v>
      </c>
      <c r="Z414" s="36">
        <f>IFERROR(IF(Y414=0,"",ROUNDUP(Y414/H414,0)*0.00902),"")</f>
        <v>3.6080000000000001E-2</v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20.703703703703702</v>
      </c>
      <c r="BN414" s="64">
        <f>IFERROR(Y414*I414/H414,"0")</f>
        <v>22.36</v>
      </c>
      <c r="BO414" s="64">
        <f>IFERROR(1/J414*(X414/H414),"0")</f>
        <v>2.8058361391694722E-2</v>
      </c>
      <c r="BP414" s="64">
        <f>IFERROR(1/J414*(Y414/H414),"0")</f>
        <v>3.0303030303030304E-2</v>
      </c>
    </row>
    <row r="415" spans="1:68" ht="27" customHeight="1" x14ac:dyDescent="0.25">
      <c r="A415" s="54" t="s">
        <v>650</v>
      </c>
      <c r="B415" s="54" t="s">
        <v>651</v>
      </c>
      <c r="C415" s="31">
        <v>4301031363</v>
      </c>
      <c r="D415" s="565">
        <v>4607091389425</v>
      </c>
      <c r="E415" s="566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4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7"/>
      <c r="R415" s="557"/>
      <c r="S415" s="557"/>
      <c r="T415" s="558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4301031373</v>
      </c>
      <c r="D416" s="565">
        <v>4680115880771</v>
      </c>
      <c r="E416" s="566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7"/>
      <c r="R416" s="557"/>
      <c r="S416" s="557"/>
      <c r="T416" s="558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656</v>
      </c>
      <c r="B417" s="54" t="s">
        <v>657</v>
      </c>
      <c r="C417" s="31">
        <v>4301031359</v>
      </c>
      <c r="D417" s="565">
        <v>4607091389500</v>
      </c>
      <c r="E417" s="566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7"/>
      <c r="R417" s="557"/>
      <c r="S417" s="557"/>
      <c r="T417" s="558"/>
      <c r="U417" s="34"/>
      <c r="V417" s="34"/>
      <c r="W417" s="35" t="s">
        <v>69</v>
      </c>
      <c r="X417" s="549">
        <v>2.1</v>
      </c>
      <c r="Y417" s="550">
        <f>IFERROR(IF(X417="",0,CEILING((X417/$H417),1)*$H417),"")</f>
        <v>2.1</v>
      </c>
      <c r="Z417" s="36">
        <f>IFERROR(IF(Y417=0,"",ROUNDUP(Y417/H417,0)*0.00502),"")</f>
        <v>5.0200000000000002E-3</v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2.23</v>
      </c>
      <c r="BN417" s="64">
        <f>IFERROR(Y417*I417/H417,"0")</f>
        <v>2.23</v>
      </c>
      <c r="BO417" s="64">
        <f>IFERROR(1/J417*(X417/H417),"0")</f>
        <v>4.2735042735042739E-3</v>
      </c>
      <c r="BP417" s="64">
        <f>IFERROR(1/J417*(Y417/H417),"0")</f>
        <v>4.2735042735042739E-3</v>
      </c>
    </row>
    <row r="418" spans="1:68" x14ac:dyDescent="0.2">
      <c r="A418" s="559"/>
      <c r="B418" s="560"/>
      <c r="C418" s="560"/>
      <c r="D418" s="560"/>
      <c r="E418" s="560"/>
      <c r="F418" s="560"/>
      <c r="G418" s="560"/>
      <c r="H418" s="560"/>
      <c r="I418" s="560"/>
      <c r="J418" s="560"/>
      <c r="K418" s="560"/>
      <c r="L418" s="560"/>
      <c r="M418" s="560"/>
      <c r="N418" s="560"/>
      <c r="O418" s="561"/>
      <c r="P418" s="572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4.7037037037037033</v>
      </c>
      <c r="Y418" s="551">
        <f>IFERROR(Y414/H414,"0")+IFERROR(Y415/H415,"0")+IFERROR(Y416/H416,"0")+IFERROR(Y417/H417,"0")</f>
        <v>5</v>
      </c>
      <c r="Z418" s="551">
        <f>IFERROR(IF(Z414="",0,Z414),"0")+IFERROR(IF(Z415="",0,Z415),"0")+IFERROR(IF(Z416="",0,Z416),"0")+IFERROR(IF(Z417="",0,Z417),"0")</f>
        <v>4.1099999999999998E-2</v>
      </c>
      <c r="AA418" s="552"/>
      <c r="AB418" s="552"/>
      <c r="AC418" s="552"/>
    </row>
    <row r="419" spans="1:68" x14ac:dyDescent="0.2">
      <c r="A419" s="560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1"/>
      <c r="P419" s="572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22.1</v>
      </c>
      <c r="Y419" s="551">
        <f>IFERROR(SUM(Y414:Y417),"0")</f>
        <v>23.700000000000003</v>
      </c>
      <c r="Z419" s="37"/>
      <c r="AA419" s="552"/>
      <c r="AB419" s="552"/>
      <c r="AC419" s="552"/>
    </row>
    <row r="420" spans="1:68" ht="16.5" customHeight="1" x14ac:dyDescent="0.25">
      <c r="A420" s="571" t="s">
        <v>658</v>
      </c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44"/>
      <c r="AB420" s="544"/>
      <c r="AC420" s="544"/>
    </row>
    <row r="421" spans="1:68" ht="14.25" customHeight="1" x14ac:dyDescent="0.25">
      <c r="A421" s="574" t="s">
        <v>64</v>
      </c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45"/>
      <c r="AB421" s="545"/>
      <c r="AC421" s="545"/>
    </row>
    <row r="422" spans="1:68" ht="27" customHeight="1" x14ac:dyDescent="0.25">
      <c r="A422" s="54" t="s">
        <v>659</v>
      </c>
      <c r="B422" s="54" t="s">
        <v>660</v>
      </c>
      <c r="C422" s="31">
        <v>4301031347</v>
      </c>
      <c r="D422" s="565">
        <v>4680115885110</v>
      </c>
      <c r="E422" s="566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5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7"/>
      <c r="R422" s="557"/>
      <c r="S422" s="557"/>
      <c r="T422" s="558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59"/>
      <c r="B423" s="560"/>
      <c r="C423" s="560"/>
      <c r="D423" s="560"/>
      <c r="E423" s="560"/>
      <c r="F423" s="560"/>
      <c r="G423" s="560"/>
      <c r="H423" s="560"/>
      <c r="I423" s="560"/>
      <c r="J423" s="560"/>
      <c r="K423" s="560"/>
      <c r="L423" s="560"/>
      <c r="M423" s="560"/>
      <c r="N423" s="560"/>
      <c r="O423" s="561"/>
      <c r="P423" s="572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0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1"/>
      <c r="P424" s="572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596" t="s">
        <v>662</v>
      </c>
      <c r="B425" s="597"/>
      <c r="C425" s="597"/>
      <c r="D425" s="597"/>
      <c r="E425" s="597"/>
      <c r="F425" s="597"/>
      <c r="G425" s="597"/>
      <c r="H425" s="597"/>
      <c r="I425" s="597"/>
      <c r="J425" s="597"/>
      <c r="K425" s="597"/>
      <c r="L425" s="597"/>
      <c r="M425" s="597"/>
      <c r="N425" s="597"/>
      <c r="O425" s="597"/>
      <c r="P425" s="597"/>
      <c r="Q425" s="597"/>
      <c r="R425" s="597"/>
      <c r="S425" s="597"/>
      <c r="T425" s="597"/>
      <c r="U425" s="597"/>
      <c r="V425" s="597"/>
      <c r="W425" s="597"/>
      <c r="X425" s="597"/>
      <c r="Y425" s="597"/>
      <c r="Z425" s="597"/>
      <c r="AA425" s="48"/>
      <c r="AB425" s="48"/>
      <c r="AC425" s="48"/>
    </row>
    <row r="426" spans="1:68" ht="16.5" customHeight="1" x14ac:dyDescent="0.25">
      <c r="A426" s="571" t="s">
        <v>662</v>
      </c>
      <c r="B426" s="560"/>
      <c r="C426" s="560"/>
      <c r="D426" s="560"/>
      <c r="E426" s="560"/>
      <c r="F426" s="560"/>
      <c r="G426" s="560"/>
      <c r="H426" s="560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44"/>
      <c r="AB426" s="544"/>
      <c r="AC426" s="544"/>
    </row>
    <row r="427" spans="1:68" ht="14.25" customHeight="1" x14ac:dyDescent="0.25">
      <c r="A427" s="574" t="s">
        <v>103</v>
      </c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5">
        <v>4607091389067</v>
      </c>
      <c r="E428" s="566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8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7"/>
      <c r="R428" s="557"/>
      <c r="S428" s="557"/>
      <c r="T428" s="558"/>
      <c r="U428" s="34"/>
      <c r="V428" s="34"/>
      <c r="W428" s="35" t="s">
        <v>69</v>
      </c>
      <c r="X428" s="549">
        <v>100</v>
      </c>
      <c r="Y428" s="550">
        <f t="shared" ref="Y428:Y439" si="52">IFERROR(IF(X428="",0,CEILING((X428/$H428),1)*$H428),"")</f>
        <v>100.32000000000001</v>
      </c>
      <c r="Z428" s="36">
        <f t="shared" ref="Z428:Z434" si="53">IFERROR(IF(Y428=0,"",ROUNDUP(Y428/H428,0)*0.01196),"")</f>
        <v>0.22724</v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106.62878787878788</v>
      </c>
      <c r="BN428" s="64">
        <f t="shared" ref="BN428:BN439" si="55">IFERROR(Y428*I428/H428,"0")</f>
        <v>106.97</v>
      </c>
      <c r="BO428" s="64">
        <f t="shared" ref="BO428:BO439" si="56">IFERROR(1/J428*(X428/H428),"0")</f>
        <v>0.18210955710955709</v>
      </c>
      <c r="BP428" s="64">
        <f t="shared" ref="BP428:BP439" si="57">IFERROR(1/J428*(Y428/H428),"0")</f>
        <v>0.18269230769230771</v>
      </c>
    </row>
    <row r="429" spans="1:68" ht="27" customHeight="1" x14ac:dyDescent="0.25">
      <c r="A429" s="54" t="s">
        <v>665</v>
      </c>
      <c r="B429" s="54" t="s">
        <v>666</v>
      </c>
      <c r="C429" s="31">
        <v>4301012145</v>
      </c>
      <c r="D429" s="565">
        <v>4607091383522</v>
      </c>
      <c r="E429" s="566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7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7"/>
      <c r="R429" s="557"/>
      <c r="S429" s="557"/>
      <c r="T429" s="558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665</v>
      </c>
      <c r="B430" s="54" t="s">
        <v>668</v>
      </c>
      <c r="C430" s="31">
        <v>4301012210</v>
      </c>
      <c r="D430" s="565">
        <v>4607091383522</v>
      </c>
      <c r="E430" s="566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6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7"/>
      <c r="R430" s="557"/>
      <c r="S430" s="557"/>
      <c r="T430" s="558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4301011961</v>
      </c>
      <c r="D431" s="565">
        <v>4680115885271</v>
      </c>
      <c r="E431" s="566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7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7"/>
      <c r="R431" s="557"/>
      <c r="S431" s="557"/>
      <c r="T431" s="558"/>
      <c r="U431" s="34"/>
      <c r="V431" s="34"/>
      <c r="W431" s="35" t="s">
        <v>69</v>
      </c>
      <c r="X431" s="549">
        <v>5</v>
      </c>
      <c r="Y431" s="550">
        <f t="shared" si="52"/>
        <v>5.28</v>
      </c>
      <c r="Z431" s="36">
        <f t="shared" si="53"/>
        <v>1.196E-2</v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5.3314393939393936</v>
      </c>
      <c r="BN431" s="64">
        <f t="shared" si="55"/>
        <v>5.63</v>
      </c>
      <c r="BO431" s="64">
        <f t="shared" si="56"/>
        <v>9.1054778554778559E-3</v>
      </c>
      <c r="BP431" s="64">
        <f t="shared" si="57"/>
        <v>9.6153846153846159E-3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5">
        <v>4680115885226</v>
      </c>
      <c r="E432" s="566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8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7"/>
      <c r="R432" s="557"/>
      <c r="S432" s="557"/>
      <c r="T432" s="558"/>
      <c r="U432" s="34"/>
      <c r="V432" s="34"/>
      <c r="W432" s="35" t="s">
        <v>69</v>
      </c>
      <c r="X432" s="549">
        <v>42</v>
      </c>
      <c r="Y432" s="550">
        <f t="shared" si="52"/>
        <v>42.24</v>
      </c>
      <c r="Z432" s="36">
        <f t="shared" si="53"/>
        <v>9.5680000000000001E-2</v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44.784090909090907</v>
      </c>
      <c r="BN432" s="64">
        <f t="shared" si="55"/>
        <v>45.04</v>
      </c>
      <c r="BO432" s="64">
        <f t="shared" si="56"/>
        <v>7.6486013986013984E-2</v>
      </c>
      <c r="BP432" s="64">
        <f t="shared" si="57"/>
        <v>7.6923076923076927E-2</v>
      </c>
    </row>
    <row r="433" spans="1:68" ht="16.5" customHeight="1" x14ac:dyDescent="0.25">
      <c r="A433" s="54" t="s">
        <v>675</v>
      </c>
      <c r="B433" s="54" t="s">
        <v>676</v>
      </c>
      <c r="C433" s="31">
        <v>4301011774</v>
      </c>
      <c r="D433" s="565">
        <v>4680115884502</v>
      </c>
      <c r="E433" s="566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5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7"/>
      <c r="R433" s="557"/>
      <c r="S433" s="557"/>
      <c r="T433" s="558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5">
        <v>4607091389104</v>
      </c>
      <c r="E434" s="566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5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7"/>
      <c r="R434" s="557"/>
      <c r="S434" s="557"/>
      <c r="T434" s="558"/>
      <c r="U434" s="34"/>
      <c r="V434" s="34"/>
      <c r="W434" s="35" t="s">
        <v>69</v>
      </c>
      <c r="X434" s="549">
        <v>42</v>
      </c>
      <c r="Y434" s="550">
        <f t="shared" si="52"/>
        <v>42.24</v>
      </c>
      <c r="Z434" s="36">
        <f t="shared" si="53"/>
        <v>9.5680000000000001E-2</v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44.784090909090907</v>
      </c>
      <c r="BN434" s="64">
        <f t="shared" si="55"/>
        <v>45.04</v>
      </c>
      <c r="BO434" s="64">
        <f t="shared" si="56"/>
        <v>7.6486013986013984E-2</v>
      </c>
      <c r="BP434" s="64">
        <f t="shared" si="57"/>
        <v>7.6923076923076927E-2</v>
      </c>
    </row>
    <row r="435" spans="1:68" ht="27" customHeight="1" x14ac:dyDescent="0.25">
      <c r="A435" s="54" t="s">
        <v>681</v>
      </c>
      <c r="B435" s="54" t="s">
        <v>682</v>
      </c>
      <c r="C435" s="31">
        <v>4301012125</v>
      </c>
      <c r="D435" s="565">
        <v>4680115886391</v>
      </c>
      <c r="E435" s="566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7"/>
      <c r="R435" s="557"/>
      <c r="S435" s="557"/>
      <c r="T435" s="558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4301012035</v>
      </c>
      <c r="D436" s="565">
        <v>4680115880603</v>
      </c>
      <c r="E436" s="566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7"/>
      <c r="R436" s="557"/>
      <c r="S436" s="557"/>
      <c r="T436" s="558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4301012036</v>
      </c>
      <c r="D437" s="565">
        <v>4680115882782</v>
      </c>
      <c r="E437" s="566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8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7"/>
      <c r="R437" s="557"/>
      <c r="S437" s="557"/>
      <c r="T437" s="558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4301012050</v>
      </c>
      <c r="D438" s="565">
        <v>4680115885479</v>
      </c>
      <c r="E438" s="566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3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7"/>
      <c r="R438" s="557"/>
      <c r="S438" s="557"/>
      <c r="T438" s="558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4301012034</v>
      </c>
      <c r="D439" s="565">
        <v>4607091389982</v>
      </c>
      <c r="E439" s="566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59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7"/>
      <c r="R439" s="557"/>
      <c r="S439" s="557"/>
      <c r="T439" s="558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59"/>
      <c r="B440" s="560"/>
      <c r="C440" s="560"/>
      <c r="D440" s="560"/>
      <c r="E440" s="560"/>
      <c r="F440" s="560"/>
      <c r="G440" s="560"/>
      <c r="H440" s="560"/>
      <c r="I440" s="560"/>
      <c r="J440" s="560"/>
      <c r="K440" s="560"/>
      <c r="L440" s="560"/>
      <c r="M440" s="560"/>
      <c r="N440" s="560"/>
      <c r="O440" s="561"/>
      <c r="P440" s="572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35.79545454545454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36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0.43056</v>
      </c>
      <c r="AA440" s="552"/>
      <c r="AB440" s="552"/>
      <c r="AC440" s="552"/>
    </row>
    <row r="441" spans="1:68" x14ac:dyDescent="0.2">
      <c r="A441" s="560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  <c r="L441" s="560"/>
      <c r="M441" s="560"/>
      <c r="N441" s="560"/>
      <c r="O441" s="561"/>
      <c r="P441" s="572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189</v>
      </c>
      <c r="Y441" s="551">
        <f>IFERROR(SUM(Y428:Y439),"0")</f>
        <v>190.08</v>
      </c>
      <c r="Z441" s="37"/>
      <c r="AA441" s="552"/>
      <c r="AB441" s="552"/>
      <c r="AC441" s="552"/>
    </row>
    <row r="442" spans="1:68" ht="14.25" customHeight="1" x14ac:dyDescent="0.25">
      <c r="A442" s="574" t="s">
        <v>138</v>
      </c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5">
        <v>4607091388930</v>
      </c>
      <c r="E443" s="566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8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7"/>
      <c r="R443" s="557"/>
      <c r="S443" s="557"/>
      <c r="T443" s="558"/>
      <c r="U443" s="34"/>
      <c r="V443" s="34"/>
      <c r="W443" s="35" t="s">
        <v>69</v>
      </c>
      <c r="X443" s="549">
        <v>630</v>
      </c>
      <c r="Y443" s="550">
        <f>IFERROR(IF(X443="",0,CEILING((X443/$H443),1)*$H443),"")</f>
        <v>633.6</v>
      </c>
      <c r="Z443" s="36">
        <f>IFERROR(IF(Y443=0,"",ROUNDUP(Y443/H443,0)*0.01196),"")</f>
        <v>1.4352</v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671.76136363636363</v>
      </c>
      <c r="BN443" s="64">
        <f>IFERROR(Y443*I443/H443,"0")</f>
        <v>675.6</v>
      </c>
      <c r="BO443" s="64">
        <f>IFERROR(1/J443*(X443/H443),"0")</f>
        <v>1.1472902097902098</v>
      </c>
      <c r="BP443" s="64">
        <f>IFERROR(1/J443*(Y443/H443),"0")</f>
        <v>1.153846153846154</v>
      </c>
    </row>
    <row r="444" spans="1:68" ht="16.5" customHeight="1" x14ac:dyDescent="0.25">
      <c r="A444" s="54" t="s">
        <v>695</v>
      </c>
      <c r="B444" s="54" t="s">
        <v>696</v>
      </c>
      <c r="C444" s="31">
        <v>4301020384</v>
      </c>
      <c r="D444" s="565">
        <v>4680115886407</v>
      </c>
      <c r="E444" s="566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7"/>
      <c r="R444" s="557"/>
      <c r="S444" s="557"/>
      <c r="T444" s="558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4301020385</v>
      </c>
      <c r="D445" s="565">
        <v>4680115880054</v>
      </c>
      <c r="E445" s="566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84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7"/>
      <c r="R445" s="557"/>
      <c r="S445" s="557"/>
      <c r="T445" s="558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59"/>
      <c r="B446" s="560"/>
      <c r="C446" s="560"/>
      <c r="D446" s="560"/>
      <c r="E446" s="560"/>
      <c r="F446" s="560"/>
      <c r="G446" s="560"/>
      <c r="H446" s="560"/>
      <c r="I446" s="560"/>
      <c r="J446" s="560"/>
      <c r="K446" s="560"/>
      <c r="L446" s="560"/>
      <c r="M446" s="560"/>
      <c r="N446" s="560"/>
      <c r="O446" s="561"/>
      <c r="P446" s="572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119.31818181818181</v>
      </c>
      <c r="Y446" s="551">
        <f>IFERROR(Y443/H443,"0")+IFERROR(Y444/H444,"0")+IFERROR(Y445/H445,"0")</f>
        <v>120</v>
      </c>
      <c r="Z446" s="551">
        <f>IFERROR(IF(Z443="",0,Z443),"0")+IFERROR(IF(Z444="",0,Z444),"0")+IFERROR(IF(Z445="",0,Z445),"0")</f>
        <v>1.4352</v>
      </c>
      <c r="AA446" s="552"/>
      <c r="AB446" s="552"/>
      <c r="AC446" s="552"/>
    </row>
    <row r="447" spans="1:68" x14ac:dyDescent="0.2">
      <c r="A447" s="560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1"/>
      <c r="P447" s="572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630</v>
      </c>
      <c r="Y447" s="551">
        <f>IFERROR(SUM(Y443:Y445),"0")</f>
        <v>633.6</v>
      </c>
      <c r="Z447" s="37"/>
      <c r="AA447" s="552"/>
      <c r="AB447" s="552"/>
      <c r="AC447" s="552"/>
    </row>
    <row r="448" spans="1:68" ht="14.25" customHeight="1" x14ac:dyDescent="0.25">
      <c r="A448" s="574" t="s">
        <v>64</v>
      </c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5">
        <v>4680115883116</v>
      </c>
      <c r="E449" s="566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5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7"/>
      <c r="R449" s="557"/>
      <c r="S449" s="557"/>
      <c r="T449" s="558"/>
      <c r="U449" s="34"/>
      <c r="V449" s="34"/>
      <c r="W449" s="35" t="s">
        <v>69</v>
      </c>
      <c r="X449" s="549">
        <v>47</v>
      </c>
      <c r="Y449" s="550">
        <f t="shared" ref="Y449:Y454" si="58">IFERROR(IF(X449="",0,CEILING((X449/$H449),1)*$H449),"")</f>
        <v>47.52</v>
      </c>
      <c r="Z449" s="36">
        <f>IFERROR(IF(Y449=0,"",ROUNDUP(Y449/H449,0)*0.01196),"")</f>
        <v>0.10764</v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50.115530303030305</v>
      </c>
      <c r="BN449" s="64">
        <f t="shared" ref="BN449:BN454" si="60">IFERROR(Y449*I449/H449,"0")</f>
        <v>50.669999999999995</v>
      </c>
      <c r="BO449" s="64">
        <f t="shared" ref="BO449:BO454" si="61">IFERROR(1/J449*(X449/H449),"0")</f>
        <v>8.559149184149184E-2</v>
      </c>
      <c r="BP449" s="64">
        <f t="shared" ref="BP449:BP454" si="62">IFERROR(1/J449*(Y449/H449),"0")</f>
        <v>8.6538461538461536E-2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5">
        <v>4680115883093</v>
      </c>
      <c r="E450" s="566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4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7"/>
      <c r="R450" s="557"/>
      <c r="S450" s="557"/>
      <c r="T450" s="558"/>
      <c r="U450" s="34"/>
      <c r="V450" s="34"/>
      <c r="W450" s="35" t="s">
        <v>69</v>
      </c>
      <c r="X450" s="549">
        <v>65</v>
      </c>
      <c r="Y450" s="550">
        <f t="shared" si="58"/>
        <v>68.64</v>
      </c>
      <c r="Z450" s="36">
        <f>IFERROR(IF(Y450=0,"",ROUNDUP(Y450/H450,0)*0.01196),"")</f>
        <v>0.15548000000000001</v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69.30871212121211</v>
      </c>
      <c r="BN450" s="64">
        <f t="shared" si="60"/>
        <v>73.19</v>
      </c>
      <c r="BO450" s="64">
        <f t="shared" si="61"/>
        <v>0.11837121212121213</v>
      </c>
      <c r="BP450" s="64">
        <f t="shared" si="62"/>
        <v>0.125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5">
        <v>4680115883109</v>
      </c>
      <c r="E451" s="566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7"/>
      <c r="R451" s="557"/>
      <c r="S451" s="557"/>
      <c r="T451" s="558"/>
      <c r="U451" s="34"/>
      <c r="V451" s="34"/>
      <c r="W451" s="35" t="s">
        <v>69</v>
      </c>
      <c r="X451" s="549">
        <v>35</v>
      </c>
      <c r="Y451" s="550">
        <f t="shared" si="58"/>
        <v>36.96</v>
      </c>
      <c r="Z451" s="36">
        <f>IFERROR(IF(Y451=0,"",ROUNDUP(Y451/H451,0)*0.01196),"")</f>
        <v>8.3720000000000003E-2</v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37.320075757575751</v>
      </c>
      <c r="BN451" s="64">
        <f t="shared" si="60"/>
        <v>39.409999999999997</v>
      </c>
      <c r="BO451" s="64">
        <f t="shared" si="61"/>
        <v>6.3738344988344992E-2</v>
      </c>
      <c r="BP451" s="64">
        <f t="shared" si="62"/>
        <v>6.7307692307692318E-2</v>
      </c>
    </row>
    <row r="452" spans="1:68" ht="27" customHeight="1" x14ac:dyDescent="0.25">
      <c r="A452" s="54" t="s">
        <v>708</v>
      </c>
      <c r="B452" s="54" t="s">
        <v>709</v>
      </c>
      <c r="C452" s="31">
        <v>4301031419</v>
      </c>
      <c r="D452" s="565">
        <v>4680115882072</v>
      </c>
      <c r="E452" s="566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84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7"/>
      <c r="R452" s="557"/>
      <c r="S452" s="557"/>
      <c r="T452" s="558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4301031418</v>
      </c>
      <c r="D453" s="565">
        <v>4680115882102</v>
      </c>
      <c r="E453" s="566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81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4301031417</v>
      </c>
      <c r="D454" s="565">
        <v>4680115882096</v>
      </c>
      <c r="E454" s="566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8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59"/>
      <c r="B455" s="560"/>
      <c r="C455" s="560"/>
      <c r="D455" s="560"/>
      <c r="E455" s="560"/>
      <c r="F455" s="560"/>
      <c r="G455" s="560"/>
      <c r="H455" s="560"/>
      <c r="I455" s="560"/>
      <c r="J455" s="560"/>
      <c r="K455" s="560"/>
      <c r="L455" s="560"/>
      <c r="M455" s="560"/>
      <c r="N455" s="560"/>
      <c r="O455" s="561"/>
      <c r="P455" s="572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27.84090909090909</v>
      </c>
      <c r="Y455" s="551">
        <f>IFERROR(Y449/H449,"0")+IFERROR(Y450/H450,"0")+IFERROR(Y451/H451,"0")+IFERROR(Y452/H452,"0")+IFERROR(Y453/H453,"0")+IFERROR(Y454/H454,"0")</f>
        <v>29</v>
      </c>
      <c r="Z455" s="551">
        <f>IFERROR(IF(Z449="",0,Z449),"0")+IFERROR(IF(Z450="",0,Z450),"0")+IFERROR(IF(Z451="",0,Z451),"0")+IFERROR(IF(Z452="",0,Z452),"0")+IFERROR(IF(Z453="",0,Z453),"0")+IFERROR(IF(Z454="",0,Z454),"0")</f>
        <v>0.34684000000000004</v>
      </c>
      <c r="AA455" s="552"/>
      <c r="AB455" s="552"/>
      <c r="AC455" s="552"/>
    </row>
    <row r="456" spans="1:68" x14ac:dyDescent="0.2">
      <c r="A456" s="560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  <c r="L456" s="560"/>
      <c r="M456" s="560"/>
      <c r="N456" s="560"/>
      <c r="O456" s="561"/>
      <c r="P456" s="572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147</v>
      </c>
      <c r="Y456" s="551">
        <f>IFERROR(SUM(Y449:Y454),"0")</f>
        <v>153.12</v>
      </c>
      <c r="Z456" s="37"/>
      <c r="AA456" s="552"/>
      <c r="AB456" s="552"/>
      <c r="AC456" s="552"/>
    </row>
    <row r="457" spans="1:68" ht="14.25" customHeight="1" x14ac:dyDescent="0.25">
      <c r="A457" s="574" t="s">
        <v>77</v>
      </c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45"/>
      <c r="AB457" s="545"/>
      <c r="AC457" s="545"/>
    </row>
    <row r="458" spans="1:68" ht="27" customHeight="1" x14ac:dyDescent="0.25">
      <c r="A458" s="54" t="s">
        <v>714</v>
      </c>
      <c r="B458" s="54" t="s">
        <v>715</v>
      </c>
      <c r="C458" s="31">
        <v>4301051064</v>
      </c>
      <c r="D458" s="565">
        <v>4680115883536</v>
      </c>
      <c r="E458" s="566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4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7"/>
      <c r="R458" s="557"/>
      <c r="S458" s="557"/>
      <c r="T458" s="558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59"/>
      <c r="B459" s="560"/>
      <c r="C459" s="560"/>
      <c r="D459" s="560"/>
      <c r="E459" s="560"/>
      <c r="F459" s="560"/>
      <c r="G459" s="560"/>
      <c r="H459" s="560"/>
      <c r="I459" s="560"/>
      <c r="J459" s="560"/>
      <c r="K459" s="560"/>
      <c r="L459" s="560"/>
      <c r="M459" s="560"/>
      <c r="N459" s="560"/>
      <c r="O459" s="561"/>
      <c r="P459" s="572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0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1"/>
      <c r="P460" s="572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596" t="s">
        <v>717</v>
      </c>
      <c r="B461" s="597"/>
      <c r="C461" s="597"/>
      <c r="D461" s="597"/>
      <c r="E461" s="597"/>
      <c r="F461" s="597"/>
      <c r="G461" s="597"/>
      <c r="H461" s="597"/>
      <c r="I461" s="597"/>
      <c r="J461" s="597"/>
      <c r="K461" s="597"/>
      <c r="L461" s="597"/>
      <c r="M461" s="597"/>
      <c r="N461" s="597"/>
      <c r="O461" s="597"/>
      <c r="P461" s="597"/>
      <c r="Q461" s="597"/>
      <c r="R461" s="597"/>
      <c r="S461" s="597"/>
      <c r="T461" s="597"/>
      <c r="U461" s="597"/>
      <c r="V461" s="597"/>
      <c r="W461" s="597"/>
      <c r="X461" s="597"/>
      <c r="Y461" s="597"/>
      <c r="Z461" s="597"/>
      <c r="AA461" s="48"/>
      <c r="AB461" s="48"/>
      <c r="AC461" s="48"/>
    </row>
    <row r="462" spans="1:68" ht="16.5" customHeight="1" x14ac:dyDescent="0.25">
      <c r="A462" s="571" t="s">
        <v>717</v>
      </c>
      <c r="B462" s="560"/>
      <c r="C462" s="560"/>
      <c r="D462" s="560"/>
      <c r="E462" s="560"/>
      <c r="F462" s="560"/>
      <c r="G462" s="560"/>
      <c r="H462" s="560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44"/>
      <c r="AB462" s="544"/>
      <c r="AC462" s="544"/>
    </row>
    <row r="463" spans="1:68" ht="14.25" customHeight="1" x14ac:dyDescent="0.25">
      <c r="A463" s="574" t="s">
        <v>103</v>
      </c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45"/>
      <c r="AB463" s="545"/>
      <c r="AC463" s="545"/>
    </row>
    <row r="464" spans="1:68" ht="27" customHeight="1" x14ac:dyDescent="0.25">
      <c r="A464" s="54" t="s">
        <v>718</v>
      </c>
      <c r="B464" s="54" t="s">
        <v>719</v>
      </c>
      <c r="C464" s="31">
        <v>4301011763</v>
      </c>
      <c r="D464" s="565">
        <v>4640242181011</v>
      </c>
      <c r="E464" s="566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81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7"/>
      <c r="R464" s="557"/>
      <c r="S464" s="557"/>
      <c r="T464" s="558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4301011585</v>
      </c>
      <c r="D465" s="565">
        <v>4640242180441</v>
      </c>
      <c r="E465" s="566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70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7"/>
      <c r="R465" s="557"/>
      <c r="S465" s="557"/>
      <c r="T465" s="558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4301011584</v>
      </c>
      <c r="D466" s="565">
        <v>4640242180564</v>
      </c>
      <c r="E466" s="566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8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7"/>
      <c r="R466" s="557"/>
      <c r="S466" s="557"/>
      <c r="T466" s="558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727</v>
      </c>
      <c r="B467" s="54" t="s">
        <v>728</v>
      </c>
      <c r="C467" s="31">
        <v>4301011764</v>
      </c>
      <c r="D467" s="565">
        <v>4640242181189</v>
      </c>
      <c r="E467" s="566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7"/>
      <c r="R467" s="557"/>
      <c r="S467" s="557"/>
      <c r="T467" s="558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9"/>
      <c r="B468" s="560"/>
      <c r="C468" s="560"/>
      <c r="D468" s="560"/>
      <c r="E468" s="560"/>
      <c r="F468" s="560"/>
      <c r="G468" s="560"/>
      <c r="H468" s="560"/>
      <c r="I468" s="560"/>
      <c r="J468" s="560"/>
      <c r="K468" s="560"/>
      <c r="L468" s="560"/>
      <c r="M468" s="560"/>
      <c r="N468" s="560"/>
      <c r="O468" s="561"/>
      <c r="P468" s="572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0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  <c r="L469" s="560"/>
      <c r="M469" s="560"/>
      <c r="N469" s="560"/>
      <c r="O469" s="561"/>
      <c r="P469" s="572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74" t="s">
        <v>138</v>
      </c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45"/>
      <c r="AB470" s="545"/>
      <c r="AC470" s="545"/>
    </row>
    <row r="471" spans="1:68" ht="27" customHeight="1" x14ac:dyDescent="0.25">
      <c r="A471" s="54" t="s">
        <v>729</v>
      </c>
      <c r="B471" s="54" t="s">
        <v>730</v>
      </c>
      <c r="C471" s="31">
        <v>4301020400</v>
      </c>
      <c r="D471" s="565">
        <v>4640242180519</v>
      </c>
      <c r="E471" s="566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81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7"/>
      <c r="R471" s="557"/>
      <c r="S471" s="557"/>
      <c r="T471" s="558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732</v>
      </c>
      <c r="B472" s="54" t="s">
        <v>733</v>
      </c>
      <c r="C472" s="31">
        <v>4301020260</v>
      </c>
      <c r="D472" s="565">
        <v>4640242180526</v>
      </c>
      <c r="E472" s="566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7"/>
      <c r="R472" s="557"/>
      <c r="S472" s="557"/>
      <c r="T472" s="558"/>
      <c r="U472" s="34"/>
      <c r="V472" s="34"/>
      <c r="W472" s="35" t="s">
        <v>69</v>
      </c>
      <c r="X472" s="549">
        <v>150</v>
      </c>
      <c r="Y472" s="550">
        <f>IFERROR(IF(X472="",0,CEILING((X472/$H472),1)*$H472),"")</f>
        <v>151.20000000000002</v>
      </c>
      <c r="Z472" s="36">
        <f>IFERROR(IF(Y472=0,"",ROUNDUP(Y472/H472,0)*0.01898),"")</f>
        <v>0.26572000000000001</v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155.69444444444446</v>
      </c>
      <c r="BN472" s="64">
        <f>IFERROR(Y472*I472/H472,"0")</f>
        <v>156.94</v>
      </c>
      <c r="BO472" s="64">
        <f>IFERROR(1/J472*(X472/H472),"0")</f>
        <v>0.21701388888888887</v>
      </c>
      <c r="BP472" s="64">
        <f>IFERROR(1/J472*(Y472/H472),"0")</f>
        <v>0.21875</v>
      </c>
    </row>
    <row r="473" spans="1:68" x14ac:dyDescent="0.2">
      <c r="A473" s="559"/>
      <c r="B473" s="560"/>
      <c r="C473" s="560"/>
      <c r="D473" s="560"/>
      <c r="E473" s="560"/>
      <c r="F473" s="560"/>
      <c r="G473" s="560"/>
      <c r="H473" s="560"/>
      <c r="I473" s="560"/>
      <c r="J473" s="560"/>
      <c r="K473" s="560"/>
      <c r="L473" s="560"/>
      <c r="M473" s="560"/>
      <c r="N473" s="560"/>
      <c r="O473" s="561"/>
      <c r="P473" s="572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13.888888888888888</v>
      </c>
      <c r="Y473" s="551">
        <f>IFERROR(Y471/H471,"0")+IFERROR(Y472/H472,"0")</f>
        <v>14</v>
      </c>
      <c r="Z473" s="551">
        <f>IFERROR(IF(Z471="",0,Z471),"0")+IFERROR(IF(Z472="",0,Z472),"0")</f>
        <v>0.26572000000000001</v>
      </c>
      <c r="AA473" s="552"/>
      <c r="AB473" s="552"/>
      <c r="AC473" s="552"/>
    </row>
    <row r="474" spans="1:68" x14ac:dyDescent="0.2">
      <c r="A474" s="560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  <c r="L474" s="560"/>
      <c r="M474" s="560"/>
      <c r="N474" s="560"/>
      <c r="O474" s="561"/>
      <c r="P474" s="572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150</v>
      </c>
      <c r="Y474" s="551">
        <f>IFERROR(SUM(Y471:Y472),"0")</f>
        <v>151.20000000000002</v>
      </c>
      <c r="Z474" s="37"/>
      <c r="AA474" s="552"/>
      <c r="AB474" s="552"/>
      <c r="AC474" s="552"/>
    </row>
    <row r="475" spans="1:68" ht="14.25" customHeight="1" x14ac:dyDescent="0.25">
      <c r="A475" s="574" t="s">
        <v>64</v>
      </c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45"/>
      <c r="AB475" s="545"/>
      <c r="AC475" s="545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5">
        <v>4640242180595</v>
      </c>
      <c r="E476" s="566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8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7"/>
      <c r="R476" s="557"/>
      <c r="S476" s="557"/>
      <c r="T476" s="558"/>
      <c r="U476" s="34"/>
      <c r="V476" s="34"/>
      <c r="W476" s="35" t="s">
        <v>69</v>
      </c>
      <c r="X476" s="549">
        <v>100</v>
      </c>
      <c r="Y476" s="550">
        <f>IFERROR(IF(X476="",0,CEILING((X476/$H476),1)*$H476),"")</f>
        <v>100.80000000000001</v>
      </c>
      <c r="Z476" s="36">
        <f>IFERROR(IF(Y476=0,"",ROUNDUP(Y476/H476,0)*0.00902),"")</f>
        <v>0.21648000000000001</v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105.95238095238095</v>
      </c>
      <c r="BN476" s="64">
        <f>IFERROR(Y476*I476/H476,"0")</f>
        <v>106.80000000000001</v>
      </c>
      <c r="BO476" s="64">
        <f>IFERROR(1/J476*(X476/H476),"0")</f>
        <v>0.18037518037518038</v>
      </c>
      <c r="BP476" s="64">
        <f>IFERROR(1/J476*(Y476/H476),"0")</f>
        <v>0.18181818181818182</v>
      </c>
    </row>
    <row r="477" spans="1:68" x14ac:dyDescent="0.2">
      <c r="A477" s="559"/>
      <c r="B477" s="560"/>
      <c r="C477" s="560"/>
      <c r="D477" s="560"/>
      <c r="E477" s="560"/>
      <c r="F477" s="560"/>
      <c r="G477" s="560"/>
      <c r="H477" s="560"/>
      <c r="I477" s="560"/>
      <c r="J477" s="560"/>
      <c r="K477" s="560"/>
      <c r="L477" s="560"/>
      <c r="M477" s="560"/>
      <c r="N477" s="560"/>
      <c r="O477" s="561"/>
      <c r="P477" s="572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23.80952380952381</v>
      </c>
      <c r="Y477" s="551">
        <f>IFERROR(Y476/H476,"0")</f>
        <v>24</v>
      </c>
      <c r="Z477" s="551">
        <f>IFERROR(IF(Z476="",0,Z476),"0")</f>
        <v>0.21648000000000001</v>
      </c>
      <c r="AA477" s="552"/>
      <c r="AB477" s="552"/>
      <c r="AC477" s="552"/>
    </row>
    <row r="478" spans="1:68" x14ac:dyDescent="0.2">
      <c r="A478" s="560"/>
      <c r="B478" s="560"/>
      <c r="C478" s="560"/>
      <c r="D478" s="560"/>
      <c r="E478" s="560"/>
      <c r="F478" s="560"/>
      <c r="G478" s="560"/>
      <c r="H478" s="560"/>
      <c r="I478" s="560"/>
      <c r="J478" s="560"/>
      <c r="K478" s="560"/>
      <c r="L478" s="560"/>
      <c r="M478" s="560"/>
      <c r="N478" s="560"/>
      <c r="O478" s="561"/>
      <c r="P478" s="572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100</v>
      </c>
      <c r="Y478" s="551">
        <f>IFERROR(SUM(Y476:Y476),"0")</f>
        <v>100.80000000000001</v>
      </c>
      <c r="Z478" s="37"/>
      <c r="AA478" s="552"/>
      <c r="AB478" s="552"/>
      <c r="AC478" s="552"/>
    </row>
    <row r="479" spans="1:68" ht="14.25" customHeight="1" x14ac:dyDescent="0.25">
      <c r="A479" s="574" t="s">
        <v>77</v>
      </c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45"/>
      <c r="AB479" s="545"/>
      <c r="AC479" s="545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65">
        <v>4640242180533</v>
      </c>
      <c r="E480" s="566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7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7"/>
      <c r="R480" s="557"/>
      <c r="S480" s="557"/>
      <c r="T480" s="558"/>
      <c r="U480" s="34"/>
      <c r="V480" s="34"/>
      <c r="W480" s="35" t="s">
        <v>69</v>
      </c>
      <c r="X480" s="549">
        <v>20</v>
      </c>
      <c r="Y480" s="550">
        <f>IFERROR(IF(X480="",0,CEILING((X480/$H480),1)*$H480),"")</f>
        <v>27</v>
      </c>
      <c r="Z480" s="36">
        <f>IFERROR(IF(Y480=0,"",ROUNDUP(Y480/H480,0)*0.01898),"")</f>
        <v>5.6940000000000004E-2</v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21.097777777777779</v>
      </c>
      <c r="BN480" s="64">
        <f>IFERROR(Y480*I480/H480,"0")</f>
        <v>28.481999999999996</v>
      </c>
      <c r="BO480" s="64">
        <f>IFERROR(1/J480*(X480/H480),"0")</f>
        <v>3.4722222222222224E-2</v>
      </c>
      <c r="BP480" s="64">
        <f>IFERROR(1/J480*(Y480/H480),"0")</f>
        <v>4.6875E-2</v>
      </c>
    </row>
    <row r="481" spans="1:68" x14ac:dyDescent="0.2">
      <c r="A481" s="559"/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1"/>
      <c r="P481" s="572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2.2222222222222223</v>
      </c>
      <c r="Y481" s="551">
        <f>IFERROR(Y480/H480,"0")</f>
        <v>3</v>
      </c>
      <c r="Z481" s="551">
        <f>IFERROR(IF(Z480="",0,Z480),"0")</f>
        <v>5.6940000000000004E-2</v>
      </c>
      <c r="AA481" s="552"/>
      <c r="AB481" s="552"/>
      <c r="AC481" s="552"/>
    </row>
    <row r="482" spans="1:68" x14ac:dyDescent="0.2">
      <c r="A482" s="560"/>
      <c r="B482" s="560"/>
      <c r="C482" s="560"/>
      <c r="D482" s="560"/>
      <c r="E482" s="560"/>
      <c r="F482" s="560"/>
      <c r="G482" s="560"/>
      <c r="H482" s="560"/>
      <c r="I482" s="560"/>
      <c r="J482" s="560"/>
      <c r="K482" s="560"/>
      <c r="L482" s="560"/>
      <c r="M482" s="560"/>
      <c r="N482" s="560"/>
      <c r="O482" s="561"/>
      <c r="P482" s="572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20</v>
      </c>
      <c r="Y482" s="551">
        <f>IFERROR(SUM(Y480:Y480),"0")</f>
        <v>27</v>
      </c>
      <c r="Z482" s="37"/>
      <c r="AA482" s="552"/>
      <c r="AB482" s="552"/>
      <c r="AC482" s="552"/>
    </row>
    <row r="483" spans="1:68" ht="14.25" customHeight="1" x14ac:dyDescent="0.25">
      <c r="A483" s="574" t="s">
        <v>163</v>
      </c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45"/>
      <c r="AB483" s="545"/>
      <c r="AC483" s="545"/>
    </row>
    <row r="484" spans="1:68" ht="27" customHeight="1" x14ac:dyDescent="0.25">
      <c r="A484" s="54" t="s">
        <v>741</v>
      </c>
      <c r="B484" s="54" t="s">
        <v>742</v>
      </c>
      <c r="C484" s="31">
        <v>4301060491</v>
      </c>
      <c r="D484" s="565">
        <v>4640242180120</v>
      </c>
      <c r="E484" s="566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59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7"/>
      <c r="R484" s="557"/>
      <c r="S484" s="557"/>
      <c r="T484" s="558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744</v>
      </c>
      <c r="B485" s="54" t="s">
        <v>745</v>
      </c>
      <c r="C485" s="31">
        <v>4301060493</v>
      </c>
      <c r="D485" s="565">
        <v>4640242180137</v>
      </c>
      <c r="E485" s="566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6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7"/>
      <c r="R485" s="557"/>
      <c r="S485" s="557"/>
      <c r="T485" s="558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59"/>
      <c r="B486" s="560"/>
      <c r="C486" s="560"/>
      <c r="D486" s="560"/>
      <c r="E486" s="560"/>
      <c r="F486" s="560"/>
      <c r="G486" s="560"/>
      <c r="H486" s="560"/>
      <c r="I486" s="560"/>
      <c r="J486" s="560"/>
      <c r="K486" s="560"/>
      <c r="L486" s="560"/>
      <c r="M486" s="560"/>
      <c r="N486" s="560"/>
      <c r="O486" s="561"/>
      <c r="P486" s="572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0"/>
      <c r="B487" s="560"/>
      <c r="C487" s="560"/>
      <c r="D487" s="560"/>
      <c r="E487" s="560"/>
      <c r="F487" s="560"/>
      <c r="G487" s="560"/>
      <c r="H487" s="560"/>
      <c r="I487" s="560"/>
      <c r="J487" s="560"/>
      <c r="K487" s="560"/>
      <c r="L487" s="560"/>
      <c r="M487" s="560"/>
      <c r="N487" s="560"/>
      <c r="O487" s="561"/>
      <c r="P487" s="572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1" t="s">
        <v>747</v>
      </c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44"/>
      <c r="AB488" s="544"/>
      <c r="AC488" s="544"/>
    </row>
    <row r="489" spans="1:68" ht="14.25" customHeight="1" x14ac:dyDescent="0.25">
      <c r="A489" s="574" t="s">
        <v>138</v>
      </c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45"/>
      <c r="AB489" s="545"/>
      <c r="AC489" s="545"/>
    </row>
    <row r="490" spans="1:68" ht="27" customHeight="1" x14ac:dyDescent="0.25">
      <c r="A490" s="54" t="s">
        <v>748</v>
      </c>
      <c r="B490" s="54" t="s">
        <v>749</v>
      </c>
      <c r="C490" s="31">
        <v>4301020314</v>
      </c>
      <c r="D490" s="565">
        <v>4640242180090</v>
      </c>
      <c r="E490" s="566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65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7"/>
      <c r="R490" s="557"/>
      <c r="S490" s="557"/>
      <c r="T490" s="558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59"/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1"/>
      <c r="P491" s="572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0"/>
      <c r="B492" s="560"/>
      <c r="C492" s="560"/>
      <c r="D492" s="560"/>
      <c r="E492" s="560"/>
      <c r="F492" s="560"/>
      <c r="G492" s="560"/>
      <c r="H492" s="560"/>
      <c r="I492" s="560"/>
      <c r="J492" s="560"/>
      <c r="K492" s="560"/>
      <c r="L492" s="560"/>
      <c r="M492" s="560"/>
      <c r="N492" s="560"/>
      <c r="O492" s="561"/>
      <c r="P492" s="572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665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666"/>
      <c r="P493" s="568" t="s">
        <v>751</v>
      </c>
      <c r="Q493" s="569"/>
      <c r="R493" s="569"/>
      <c r="S493" s="569"/>
      <c r="T493" s="569"/>
      <c r="U493" s="569"/>
      <c r="V493" s="570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15069.65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15212.200000000003</v>
      </c>
      <c r="Z493" s="37"/>
      <c r="AA493" s="552"/>
      <c r="AB493" s="552"/>
      <c r="AC493" s="552"/>
    </row>
    <row r="494" spans="1:68" x14ac:dyDescent="0.2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666"/>
      <c r="P494" s="568" t="s">
        <v>752</v>
      </c>
      <c r="Q494" s="569"/>
      <c r="R494" s="569"/>
      <c r="S494" s="569"/>
      <c r="T494" s="569"/>
      <c r="U494" s="569"/>
      <c r="V494" s="570"/>
      <c r="W494" s="37" t="s">
        <v>69</v>
      </c>
      <c r="X494" s="551">
        <f>IFERROR(SUM(BM22:BM490),"0")</f>
        <v>15748.916951890606</v>
      </c>
      <c r="Y494" s="551">
        <f>IFERROR(SUM(BN22:BN490),"0")</f>
        <v>15898.441999999997</v>
      </c>
      <c r="Z494" s="37"/>
      <c r="AA494" s="552"/>
      <c r="AB494" s="552"/>
      <c r="AC494" s="552"/>
    </row>
    <row r="495" spans="1:68" x14ac:dyDescent="0.2">
      <c r="A495" s="560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666"/>
      <c r="P495" s="568" t="s">
        <v>753</v>
      </c>
      <c r="Q495" s="569"/>
      <c r="R495" s="569"/>
      <c r="S495" s="569"/>
      <c r="T495" s="569"/>
      <c r="U495" s="569"/>
      <c r="V495" s="570"/>
      <c r="W495" s="37" t="s">
        <v>754</v>
      </c>
      <c r="X495" s="38">
        <f>ROUNDUP(SUM(BO22:BO490),0)</f>
        <v>25</v>
      </c>
      <c r="Y495" s="38">
        <f>ROUNDUP(SUM(BP22:BP490),0)</f>
        <v>25</v>
      </c>
      <c r="Z495" s="37"/>
      <c r="AA495" s="552"/>
      <c r="AB495" s="552"/>
      <c r="AC495" s="552"/>
    </row>
    <row r="496" spans="1:68" x14ac:dyDescent="0.2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666"/>
      <c r="P496" s="568" t="s">
        <v>755</v>
      </c>
      <c r="Q496" s="569"/>
      <c r="R496" s="569"/>
      <c r="S496" s="569"/>
      <c r="T496" s="569"/>
      <c r="U496" s="569"/>
      <c r="V496" s="570"/>
      <c r="W496" s="37" t="s">
        <v>69</v>
      </c>
      <c r="X496" s="551">
        <f>GrossWeightTotal+PalletQtyTotal*25</f>
        <v>16373.916951890606</v>
      </c>
      <c r="Y496" s="551">
        <f>GrossWeightTotalR+PalletQtyTotalR*25</f>
        <v>16523.441999999995</v>
      </c>
      <c r="Z496" s="37"/>
      <c r="AA496" s="552"/>
      <c r="AB496" s="552"/>
      <c r="AC496" s="552"/>
    </row>
    <row r="497" spans="1:32" x14ac:dyDescent="0.2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666"/>
      <c r="P497" s="568" t="s">
        <v>756</v>
      </c>
      <c r="Q497" s="569"/>
      <c r="R497" s="569"/>
      <c r="S497" s="569"/>
      <c r="T497" s="569"/>
      <c r="U497" s="569"/>
      <c r="V497" s="570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1822.9635037477142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1843</v>
      </c>
      <c r="Z497" s="37"/>
      <c r="AA497" s="552"/>
      <c r="AB497" s="552"/>
      <c r="AC497" s="552"/>
    </row>
    <row r="498" spans="1:32" ht="14.25" customHeight="1" x14ac:dyDescent="0.2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  <c r="L498" s="560"/>
      <c r="M498" s="560"/>
      <c r="N498" s="560"/>
      <c r="O498" s="666"/>
      <c r="P498" s="568" t="s">
        <v>757</v>
      </c>
      <c r="Q498" s="569"/>
      <c r="R498" s="569"/>
      <c r="S498" s="569"/>
      <c r="T498" s="569"/>
      <c r="U498" s="569"/>
      <c r="V498" s="570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28.635390000000001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63" t="s">
        <v>101</v>
      </c>
      <c r="D500" s="638"/>
      <c r="E500" s="638"/>
      <c r="F500" s="638"/>
      <c r="G500" s="638"/>
      <c r="H500" s="639"/>
      <c r="I500" s="563" t="s">
        <v>273</v>
      </c>
      <c r="J500" s="638"/>
      <c r="K500" s="638"/>
      <c r="L500" s="638"/>
      <c r="M500" s="638"/>
      <c r="N500" s="638"/>
      <c r="O500" s="638"/>
      <c r="P500" s="638"/>
      <c r="Q500" s="638"/>
      <c r="R500" s="639"/>
      <c r="S500" s="563" t="s">
        <v>557</v>
      </c>
      <c r="T500" s="639"/>
      <c r="U500" s="563" t="s">
        <v>611</v>
      </c>
      <c r="V500" s="638"/>
      <c r="W500" s="639"/>
      <c r="X500" s="546" t="s">
        <v>662</v>
      </c>
      <c r="Y500" s="563" t="s">
        <v>717</v>
      </c>
      <c r="Z500" s="639"/>
      <c r="AB500" s="52"/>
      <c r="AC500" s="52"/>
      <c r="AF500" s="547"/>
    </row>
    <row r="501" spans="1:32" ht="14.25" customHeight="1" thickTop="1" x14ac:dyDescent="0.2">
      <c r="A501" s="653" t="s">
        <v>760</v>
      </c>
      <c r="B501" s="563" t="s">
        <v>63</v>
      </c>
      <c r="C501" s="563" t="s">
        <v>102</v>
      </c>
      <c r="D501" s="563" t="s">
        <v>119</v>
      </c>
      <c r="E501" s="563" t="s">
        <v>170</v>
      </c>
      <c r="F501" s="563" t="s">
        <v>193</v>
      </c>
      <c r="G501" s="563" t="s">
        <v>230</v>
      </c>
      <c r="H501" s="563" t="s">
        <v>101</v>
      </c>
      <c r="I501" s="563" t="s">
        <v>274</v>
      </c>
      <c r="J501" s="563" t="s">
        <v>324</v>
      </c>
      <c r="K501" s="563" t="s">
        <v>383</v>
      </c>
      <c r="L501" s="563" t="s">
        <v>423</v>
      </c>
      <c r="M501" s="563" t="s">
        <v>439</v>
      </c>
      <c r="N501" s="547"/>
      <c r="O501" s="563" t="s">
        <v>450</v>
      </c>
      <c r="P501" s="563" t="s">
        <v>459</v>
      </c>
      <c r="Q501" s="563" t="s">
        <v>472</v>
      </c>
      <c r="R501" s="563" t="s">
        <v>547</v>
      </c>
      <c r="S501" s="563" t="s">
        <v>558</v>
      </c>
      <c r="T501" s="563" t="s">
        <v>593</v>
      </c>
      <c r="U501" s="563" t="s">
        <v>612</v>
      </c>
      <c r="V501" s="563" t="s">
        <v>643</v>
      </c>
      <c r="W501" s="563" t="s">
        <v>658</v>
      </c>
      <c r="X501" s="563" t="s">
        <v>662</v>
      </c>
      <c r="Y501" s="563" t="s">
        <v>717</v>
      </c>
      <c r="Z501" s="563" t="s">
        <v>747</v>
      </c>
      <c r="AB501" s="52"/>
      <c r="AC501" s="52"/>
      <c r="AF501" s="547"/>
    </row>
    <row r="502" spans="1:32" ht="13.5" customHeight="1" thickBot="1" x14ac:dyDescent="0.25">
      <c r="A502" s="654"/>
      <c r="B502" s="564"/>
      <c r="C502" s="564"/>
      <c r="D502" s="564"/>
      <c r="E502" s="564"/>
      <c r="F502" s="564"/>
      <c r="G502" s="564"/>
      <c r="H502" s="564"/>
      <c r="I502" s="564"/>
      <c r="J502" s="564"/>
      <c r="K502" s="564"/>
      <c r="L502" s="564"/>
      <c r="M502" s="564"/>
      <c r="N502" s="547"/>
      <c r="O502" s="564"/>
      <c r="P502" s="564"/>
      <c r="Q502" s="564"/>
      <c r="R502" s="564"/>
      <c r="S502" s="564"/>
      <c r="T502" s="564"/>
      <c r="U502" s="564"/>
      <c r="V502" s="564"/>
      <c r="W502" s="564"/>
      <c r="X502" s="564"/>
      <c r="Y502" s="564"/>
      <c r="Z502" s="564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126.4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2155.5</v>
      </c>
      <c r="E503" s="46">
        <f>IFERROR(Y85*1,"0")+IFERROR(Y86*1,"0")+IFERROR(Y87*1,"0")+IFERROR(Y88*1,"0")+IFERROR(Y92*1,"0")+IFERROR(Y93*1,"0")+IFERROR(Y94*1,"0")+IFERROR(Y95*1,"0")</f>
        <v>490.5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58.8</v>
      </c>
      <c r="G503" s="46">
        <f>IFERROR(Y127*1,"0")+IFERROR(Y128*1,"0")+IFERROR(Y132*1,"0")+IFERROR(Y133*1,"0")+IFERROR(Y137*1,"0")+IFERROR(Y138*1,"0")</f>
        <v>24.800000000000004</v>
      </c>
      <c r="H503" s="46">
        <f>IFERROR(Y143*1,"0")+IFERROR(Y144*1,"0")+IFERROR(Y148*1,"0")+IFERROR(Y149*1,"0")+IFERROR(Y150*1,"0")+IFERROR(Y151*1,"0")+IFERROR(Y152*1,"0")+IFERROR(Y153*1,"0")+IFERROR(Y157*1,"0")</f>
        <v>117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21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344.4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637.60000000000014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5262.9999999999991</v>
      </c>
      <c r="R503" s="46">
        <f>IFERROR(Y341*1,"0")+IFERROR(Y342*1,"0")+IFERROR(Y343*1,"0")</f>
        <v>130.80000000000001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4544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18.900000000000002</v>
      </c>
      <c r="V503" s="46">
        <f>IFERROR(Y410*1,"0")+IFERROR(Y414*1,"0")+IFERROR(Y415*1,"0")+IFERROR(Y416*1,"0")+IFERROR(Y417*1,"0")</f>
        <v>23.700000000000003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976.80000000000007</v>
      </c>
      <c r="Y503" s="46">
        <f>IFERROR(Y464*1,"0")+IFERROR(Y465*1,"0")+IFERROR(Y466*1,"0")+IFERROR(Y467*1,"0")+IFERROR(Y471*1,"0")+IFERROR(Y472*1,"0")+IFERROR(Y476*1,"0")+IFERROR(Y480*1,"0")+IFERROR(Y484*1,"0")+IFERROR(Y485*1,"0")</f>
        <v>279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P487:V487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405:T405"/>
    <mergeCell ref="P476:T476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458:T458"/>
    <mergeCell ref="A459:O460"/>
    <mergeCell ref="A26:Z26"/>
    <mergeCell ref="P59:V59"/>
    <mergeCell ref="P168:T168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P338:V338"/>
    <mergeCell ref="D285:E285"/>
    <mergeCell ref="P155:V155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29:T29"/>
    <mergeCell ref="P37:V37"/>
    <mergeCell ref="P468:V468"/>
    <mergeCell ref="A160:Z160"/>
    <mergeCell ref="A141:Z141"/>
    <mergeCell ref="W501:W502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F501:F502"/>
    <mergeCell ref="H501:H502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S500:T500"/>
    <mergeCell ref="P175:T175"/>
    <mergeCell ref="P266:V266"/>
    <mergeCell ref="A292:O293"/>
    <mergeCell ref="P331:V331"/>
    <mergeCell ref="D143:E143"/>
    <mergeCell ref="P398:T398"/>
    <mergeCell ref="P227:T227"/>
    <mergeCell ref="P177:T177"/>
    <mergeCell ref="A223:O224"/>
    <mergeCell ref="P226:T226"/>
    <mergeCell ref="P335:T335"/>
    <mergeCell ref="D256:E256"/>
    <mergeCell ref="D207:E207"/>
    <mergeCell ref="A493:O498"/>
    <mergeCell ref="P176:T176"/>
    <mergeCell ref="A284:Z284"/>
    <mergeCell ref="D149:E149"/>
    <mergeCell ref="Y500:Z500"/>
    <mergeCell ref="D385:E385"/>
    <mergeCell ref="P301:T301"/>
    <mergeCell ref="P178:T178"/>
    <mergeCell ref="P214:T214"/>
    <mergeCell ref="P270:T270"/>
    <mergeCell ref="Y501:Y502"/>
    <mergeCell ref="D299:E299"/>
    <mergeCell ref="A501:A502"/>
    <mergeCell ref="A230:Z230"/>
    <mergeCell ref="D222:E222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A461:Z461"/>
    <mergeCell ref="P123:V123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A105:O106"/>
    <mergeCell ref="D227:E227"/>
    <mergeCell ref="P321:T321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I500:R500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279:E279"/>
    <mergeCell ref="D152:E152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D296:E296"/>
    <mergeCell ref="P275:V275"/>
    <mergeCell ref="P494:V494"/>
    <mergeCell ref="P430:T430"/>
    <mergeCell ref="P481:V481"/>
    <mergeCell ref="P417:T417"/>
    <mergeCell ref="P102:T102"/>
    <mergeCell ref="B501:B502"/>
    <mergeCell ref="A247:Z247"/>
    <mergeCell ref="P189:V189"/>
    <mergeCell ref="P456:V456"/>
    <mergeCell ref="A483:Z483"/>
    <mergeCell ref="P287:V287"/>
    <mergeCell ref="D177:E177"/>
    <mergeCell ref="P281:V281"/>
    <mergeCell ref="P354:T354"/>
    <mergeCell ref="D226:E226"/>
    <mergeCell ref="P183:T183"/>
    <mergeCell ref="P365:T365"/>
    <mergeCell ref="A245:O246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A344:O345"/>
    <mergeCell ref="P128:T128"/>
    <mergeCell ref="D310:E310"/>
    <mergeCell ref="P364:T364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2025-12-22T10:35:06Z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