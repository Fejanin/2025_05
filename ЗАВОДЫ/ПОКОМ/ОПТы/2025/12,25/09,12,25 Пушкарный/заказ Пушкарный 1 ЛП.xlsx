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2,25\09,12,25 Пушкарный\"/>
    </mc:Choice>
  </mc:AlternateContent>
  <xr:revisionPtr revIDLastSave="0" documentId="13_ncr:1_{C9D51E28-AE84-492F-A27F-A3E5718706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Z425" i="1" s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Z292" i="1"/>
  <c r="Y292" i="1"/>
  <c r="P292" i="1"/>
  <c r="BO291" i="1"/>
  <c r="BM291" i="1"/>
  <c r="Y291" i="1"/>
  <c r="P291" i="1"/>
  <c r="BO290" i="1"/>
  <c r="BM290" i="1"/>
  <c r="Y290" i="1"/>
  <c r="Q501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N259" i="1"/>
  <c r="BM259" i="1"/>
  <c r="Z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N210" i="1"/>
  <c r="BM210" i="1"/>
  <c r="Z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Y217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P152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G501" i="1" s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F501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BP23" i="1" s="1"/>
  <c r="P23" i="1"/>
  <c r="BO22" i="1"/>
  <c r="BM22" i="1"/>
  <c r="Y22" i="1"/>
  <c r="BP22" i="1" s="1"/>
  <c r="H10" i="1"/>
  <c r="A9" i="1"/>
  <c r="F10" i="1" s="1"/>
  <c r="D7" i="1"/>
  <c r="Q6" i="1"/>
  <c r="P2" i="1"/>
  <c r="BP304" i="1" l="1"/>
  <c r="BN304" i="1"/>
  <c r="Z304" i="1"/>
  <c r="BP322" i="1"/>
  <c r="BN322" i="1"/>
  <c r="Z322" i="1"/>
  <c r="BP335" i="1"/>
  <c r="BN335" i="1"/>
  <c r="Z335" i="1"/>
  <c r="BP349" i="1"/>
  <c r="BN349" i="1"/>
  <c r="Z349" i="1"/>
  <c r="Y382" i="1"/>
  <c r="BP378" i="1"/>
  <c r="BN378" i="1"/>
  <c r="Z378" i="1"/>
  <c r="BP392" i="1"/>
  <c r="BN392" i="1"/>
  <c r="Z392" i="1"/>
  <c r="BP411" i="1"/>
  <c r="BN411" i="1"/>
  <c r="Z411" i="1"/>
  <c r="BP428" i="1"/>
  <c r="BN428" i="1"/>
  <c r="Z428" i="1"/>
  <c r="BP444" i="1"/>
  <c r="BN444" i="1"/>
  <c r="Z444" i="1"/>
  <c r="BP454" i="1"/>
  <c r="BN454" i="1"/>
  <c r="Z454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Z22" i="1"/>
  <c r="BN22" i="1"/>
  <c r="Y32" i="1"/>
  <c r="Z30" i="1"/>
  <c r="BN30" i="1"/>
  <c r="C501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92" i="1"/>
  <c r="BN92" i="1"/>
  <c r="BP92" i="1"/>
  <c r="Z101" i="1"/>
  <c r="BN101" i="1"/>
  <c r="Z107" i="1"/>
  <c r="BN107" i="1"/>
  <c r="BP107" i="1"/>
  <c r="Z113" i="1"/>
  <c r="BN113" i="1"/>
  <c r="BP113" i="1"/>
  <c r="Z126" i="1"/>
  <c r="BN126" i="1"/>
  <c r="Y132" i="1"/>
  <c r="Z136" i="1"/>
  <c r="BN136" i="1"/>
  <c r="Z147" i="1"/>
  <c r="BN147" i="1"/>
  <c r="I501" i="1"/>
  <c r="Y173" i="1"/>
  <c r="Z165" i="1"/>
  <c r="BN165" i="1"/>
  <c r="Z169" i="1"/>
  <c r="BN169" i="1"/>
  <c r="Z175" i="1"/>
  <c r="BN175" i="1"/>
  <c r="BP175" i="1"/>
  <c r="Z181" i="1"/>
  <c r="Z182" i="1" s="1"/>
  <c r="BN181" i="1"/>
  <c r="BP181" i="1"/>
  <c r="Y182" i="1"/>
  <c r="Z186" i="1"/>
  <c r="BN186" i="1"/>
  <c r="Z196" i="1"/>
  <c r="BN196" i="1"/>
  <c r="BP196" i="1"/>
  <c r="Z200" i="1"/>
  <c r="BN200" i="1"/>
  <c r="Z208" i="1"/>
  <c r="BN208" i="1"/>
  <c r="Z213" i="1"/>
  <c r="BN213" i="1"/>
  <c r="Z219" i="1"/>
  <c r="BN21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50" i="1"/>
  <c r="BN250" i="1"/>
  <c r="Z257" i="1"/>
  <c r="BN257" i="1"/>
  <c r="Z267" i="1"/>
  <c r="BN267" i="1"/>
  <c r="Y276" i="1"/>
  <c r="Z274" i="1"/>
  <c r="BN274" i="1"/>
  <c r="Y275" i="1"/>
  <c r="Z279" i="1"/>
  <c r="BN279" i="1"/>
  <c r="Z290" i="1"/>
  <c r="BN290" i="1"/>
  <c r="BP290" i="1"/>
  <c r="BP292" i="1"/>
  <c r="BN292" i="1"/>
  <c r="BP300" i="1"/>
  <c r="BN300" i="1"/>
  <c r="Z300" i="1"/>
  <c r="BP310" i="1"/>
  <c r="BN310" i="1"/>
  <c r="Z310" i="1"/>
  <c r="BP328" i="1"/>
  <c r="BN328" i="1"/>
  <c r="Z328" i="1"/>
  <c r="Y338" i="1"/>
  <c r="BP345" i="1"/>
  <c r="BN345" i="1"/>
  <c r="Z345" i="1"/>
  <c r="BP359" i="1"/>
  <c r="BN359" i="1"/>
  <c r="Z359" i="1"/>
  <c r="Y365" i="1"/>
  <c r="Y364" i="1"/>
  <c r="BP363" i="1"/>
  <c r="BN363" i="1"/>
  <c r="Z363" i="1"/>
  <c r="Z364" i="1" s="1"/>
  <c r="BP368" i="1"/>
  <c r="BN368" i="1"/>
  <c r="Z368" i="1"/>
  <c r="Y381" i="1"/>
  <c r="BP388" i="1"/>
  <c r="BN388" i="1"/>
  <c r="Z388" i="1"/>
  <c r="BP398" i="1"/>
  <c r="BN398" i="1"/>
  <c r="Z398" i="1"/>
  <c r="BP432" i="1"/>
  <c r="BN432" i="1"/>
  <c r="Z432" i="1"/>
  <c r="BP448" i="1"/>
  <c r="BN448" i="1"/>
  <c r="Z448" i="1"/>
  <c r="BP462" i="1"/>
  <c r="BN462" i="1"/>
  <c r="Z462" i="1"/>
  <c r="O501" i="1"/>
  <c r="Y355" i="1"/>
  <c r="Y464" i="1"/>
  <c r="W501" i="1"/>
  <c r="H9" i="1"/>
  <c r="A10" i="1"/>
  <c r="Y25" i="1"/>
  <c r="Y33" i="1"/>
  <c r="Y37" i="1"/>
  <c r="Y45" i="1"/>
  <c r="Y49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4" i="1"/>
  <c r="Y160" i="1"/>
  <c r="Y172" i="1"/>
  <c r="Y178" i="1"/>
  <c r="Y189" i="1"/>
  <c r="Y193" i="1"/>
  <c r="Y205" i="1"/>
  <c r="BP212" i="1"/>
  <c r="BN212" i="1"/>
  <c r="Z212" i="1"/>
  <c r="Y216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80" i="1"/>
  <c r="BN280" i="1"/>
  <c r="Z280" i="1"/>
  <c r="Z281" i="1" s="1"/>
  <c r="Y282" i="1"/>
  <c r="Y287" i="1"/>
  <c r="BP284" i="1"/>
  <c r="BN284" i="1"/>
  <c r="Z284" i="1"/>
  <c r="Z286" i="1" s="1"/>
  <c r="Y286" i="1"/>
  <c r="BP344" i="1"/>
  <c r="BN344" i="1"/>
  <c r="Z344" i="1"/>
  <c r="Z350" i="1" s="1"/>
  <c r="S501" i="1"/>
  <c r="Y350" i="1"/>
  <c r="BP348" i="1"/>
  <c r="BN348" i="1"/>
  <c r="Z348" i="1"/>
  <c r="BP387" i="1"/>
  <c r="BN387" i="1"/>
  <c r="Z387" i="1"/>
  <c r="BP391" i="1"/>
  <c r="BN391" i="1"/>
  <c r="Z391" i="1"/>
  <c r="Y395" i="1"/>
  <c r="BP399" i="1"/>
  <c r="BN399" i="1"/>
  <c r="Z399" i="1"/>
  <c r="Y401" i="1"/>
  <c r="V501" i="1"/>
  <c r="Y405" i="1"/>
  <c r="BP404" i="1"/>
  <c r="BN404" i="1"/>
  <c r="Z404" i="1"/>
  <c r="Z405" i="1" s="1"/>
  <c r="Y406" i="1"/>
  <c r="Y413" i="1"/>
  <c r="BP408" i="1"/>
  <c r="BN408" i="1"/>
  <c r="Z408" i="1"/>
  <c r="Y412" i="1"/>
  <c r="BP424" i="1"/>
  <c r="BN424" i="1"/>
  <c r="Z424" i="1"/>
  <c r="Y435" i="1"/>
  <c r="F9" i="1"/>
  <c r="J9" i="1"/>
  <c r="B501" i="1"/>
  <c r="X492" i="1"/>
  <c r="X493" i="1"/>
  <c r="Z23" i="1"/>
  <c r="Z24" i="1" s="1"/>
  <c r="BN23" i="1"/>
  <c r="Y24" i="1"/>
  <c r="X49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BN74" i="1"/>
  <c r="Z76" i="1"/>
  <c r="BN76" i="1"/>
  <c r="Z80" i="1"/>
  <c r="Z82" i="1" s="1"/>
  <c r="BN80" i="1"/>
  <c r="BP80" i="1"/>
  <c r="E501" i="1"/>
  <c r="Z87" i="1"/>
  <c r="Z89" i="1" s="1"/>
  <c r="BN87" i="1"/>
  <c r="Y90" i="1"/>
  <c r="Z93" i="1"/>
  <c r="BN93" i="1"/>
  <c r="Z95" i="1"/>
  <c r="BN95" i="1"/>
  <c r="Z100" i="1"/>
  <c r="BN100" i="1"/>
  <c r="BP100" i="1"/>
  <c r="Z102" i="1"/>
  <c r="BN102" i="1"/>
  <c r="Y105" i="1"/>
  <c r="Z108" i="1"/>
  <c r="Z110" i="1" s="1"/>
  <c r="BN108" i="1"/>
  <c r="Z114" i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1" i="1"/>
  <c r="Z142" i="1"/>
  <c r="Z143" i="1" s="1"/>
  <c r="BN142" i="1"/>
  <c r="Y143" i="1"/>
  <c r="Z146" i="1"/>
  <c r="BN146" i="1"/>
  <c r="BP146" i="1"/>
  <c r="Z148" i="1"/>
  <c r="BN148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1" i="1"/>
  <c r="Z187" i="1"/>
  <c r="Z188" i="1" s="1"/>
  <c r="BN187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BP214" i="1"/>
  <c r="BN214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BP266" i="1"/>
  <c r="BN266" i="1"/>
  <c r="Z266" i="1"/>
  <c r="BP293" i="1"/>
  <c r="BN293" i="1"/>
  <c r="Z293" i="1"/>
  <c r="BP301" i="1"/>
  <c r="BN301" i="1"/>
  <c r="Z301" i="1"/>
  <c r="Y305" i="1"/>
  <c r="BP309" i="1"/>
  <c r="BN309" i="1"/>
  <c r="Z309" i="1"/>
  <c r="Y313" i="1"/>
  <c r="BP317" i="1"/>
  <c r="BN317" i="1"/>
  <c r="Z317" i="1"/>
  <c r="Y319" i="1"/>
  <c r="Y326" i="1"/>
  <c r="BP321" i="1"/>
  <c r="BN321" i="1"/>
  <c r="Z321" i="1"/>
  <c r="Y325" i="1"/>
  <c r="Z331" i="1"/>
  <c r="BP329" i="1"/>
  <c r="BN329" i="1"/>
  <c r="Z329" i="1"/>
  <c r="Y331" i="1"/>
  <c r="BP369" i="1"/>
  <c r="BN369" i="1"/>
  <c r="Z369" i="1"/>
  <c r="Z370" i="1" s="1"/>
  <c r="Y371" i="1"/>
  <c r="Y376" i="1"/>
  <c r="BP373" i="1"/>
  <c r="BN373" i="1"/>
  <c r="Z373" i="1"/>
  <c r="Z375" i="1" s="1"/>
  <c r="Y375" i="1"/>
  <c r="BP463" i="1"/>
  <c r="BN463" i="1"/>
  <c r="Z463" i="1"/>
  <c r="Y465" i="1"/>
  <c r="Y470" i="1"/>
  <c r="BP467" i="1"/>
  <c r="BN467" i="1"/>
  <c r="Z467" i="1"/>
  <c r="Y471" i="1"/>
  <c r="BP483" i="1"/>
  <c r="BN483" i="1"/>
  <c r="Z483" i="1"/>
  <c r="Y485" i="1"/>
  <c r="Z501" i="1"/>
  <c r="Y489" i="1"/>
  <c r="BP488" i="1"/>
  <c r="BN488" i="1"/>
  <c r="Z488" i="1"/>
  <c r="Z489" i="1" s="1"/>
  <c r="Y490" i="1"/>
  <c r="L501" i="1"/>
  <c r="Y260" i="1"/>
  <c r="Y261" i="1"/>
  <c r="M501" i="1"/>
  <c r="Y269" i="1"/>
  <c r="BP264" i="1"/>
  <c r="BN264" i="1"/>
  <c r="Z264" i="1"/>
  <c r="Z268" i="1" s="1"/>
  <c r="Y268" i="1"/>
  <c r="Z275" i="1"/>
  <c r="BP273" i="1"/>
  <c r="BN273" i="1"/>
  <c r="Z273" i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5" i="1" s="1"/>
  <c r="BP303" i="1"/>
  <c r="BN303" i="1"/>
  <c r="Z303" i="1"/>
  <c r="Y312" i="1"/>
  <c r="BP311" i="1"/>
  <c r="BN311" i="1"/>
  <c r="Z311" i="1"/>
  <c r="Z312" i="1" s="1"/>
  <c r="Y318" i="1"/>
  <c r="BP315" i="1"/>
  <c r="BN315" i="1"/>
  <c r="Z315" i="1"/>
  <c r="Z318" i="1" s="1"/>
  <c r="BP323" i="1"/>
  <c r="BN323" i="1"/>
  <c r="Z323" i="1"/>
  <c r="Y332" i="1"/>
  <c r="Z338" i="1"/>
  <c r="BP336" i="1"/>
  <c r="BN336" i="1"/>
  <c r="Z336" i="1"/>
  <c r="Y351" i="1"/>
  <c r="BP346" i="1"/>
  <c r="BN346" i="1"/>
  <c r="Z346" i="1"/>
  <c r="BP354" i="1"/>
  <c r="BN354" i="1"/>
  <c r="Z354" i="1"/>
  <c r="Z355" i="1" s="1"/>
  <c r="Y356" i="1"/>
  <c r="Y361" i="1"/>
  <c r="BP358" i="1"/>
  <c r="BN358" i="1"/>
  <c r="Z358" i="1"/>
  <c r="Z360" i="1" s="1"/>
  <c r="Z381" i="1"/>
  <c r="BP379" i="1"/>
  <c r="BN379" i="1"/>
  <c r="Z379" i="1"/>
  <c r="U501" i="1"/>
  <c r="BP389" i="1"/>
  <c r="BN389" i="1"/>
  <c r="Z389" i="1"/>
  <c r="BP393" i="1"/>
  <c r="BN393" i="1"/>
  <c r="Z393" i="1"/>
  <c r="Y400" i="1"/>
  <c r="BP410" i="1"/>
  <c r="BN410" i="1"/>
  <c r="Z410" i="1"/>
  <c r="BP429" i="1"/>
  <c r="BN429" i="1"/>
  <c r="Z429" i="1"/>
  <c r="BP433" i="1"/>
  <c r="BN433" i="1"/>
  <c r="Z433" i="1"/>
  <c r="Y440" i="1"/>
  <c r="BP437" i="1"/>
  <c r="BN437" i="1"/>
  <c r="Z437" i="1"/>
  <c r="Z440" i="1" s="1"/>
  <c r="Y441" i="1"/>
  <c r="BP445" i="1"/>
  <c r="BN445" i="1"/>
  <c r="Z445" i="1"/>
  <c r="Y449" i="1"/>
  <c r="Z455" i="1"/>
  <c r="BP453" i="1"/>
  <c r="BN453" i="1"/>
  <c r="Z453" i="1"/>
  <c r="Y455" i="1"/>
  <c r="P501" i="1"/>
  <c r="Y281" i="1"/>
  <c r="Y296" i="1"/>
  <c r="R501" i="1"/>
  <c r="Y339" i="1"/>
  <c r="T501" i="1"/>
  <c r="Y370" i="1"/>
  <c r="Y396" i="1"/>
  <c r="X501" i="1"/>
  <c r="Y434" i="1"/>
  <c r="BP425" i="1"/>
  <c r="BN425" i="1"/>
  <c r="BP427" i="1"/>
  <c r="BN427" i="1"/>
  <c r="Z427" i="1"/>
  <c r="BP431" i="1"/>
  <c r="BN431" i="1"/>
  <c r="Z431" i="1"/>
  <c r="BP439" i="1"/>
  <c r="BN439" i="1"/>
  <c r="Z439" i="1"/>
  <c r="Y450" i="1"/>
  <c r="BP443" i="1"/>
  <c r="BN443" i="1"/>
  <c r="Z443" i="1"/>
  <c r="BP447" i="1"/>
  <c r="BN447" i="1"/>
  <c r="Z447" i="1"/>
  <c r="Y456" i="1"/>
  <c r="BP461" i="1"/>
  <c r="BN461" i="1"/>
  <c r="Z461" i="1"/>
  <c r="Z464" i="1" s="1"/>
  <c r="BP469" i="1"/>
  <c r="BN469" i="1"/>
  <c r="Z469" i="1"/>
  <c r="Y476" i="1"/>
  <c r="BP473" i="1"/>
  <c r="BN473" i="1"/>
  <c r="Z473" i="1"/>
  <c r="Y484" i="1"/>
  <c r="Y501" i="1"/>
  <c r="Z77" i="1" l="1"/>
  <c r="Y492" i="1"/>
  <c r="Y494" i="1" s="1"/>
  <c r="Z395" i="1"/>
  <c r="Z475" i="1"/>
  <c r="Z434" i="1"/>
  <c r="Z484" i="1"/>
  <c r="Z251" i="1"/>
  <c r="Z204" i="1"/>
  <c r="Z117" i="1"/>
  <c r="Z96" i="1"/>
  <c r="Y493" i="1"/>
  <c r="Z400" i="1"/>
  <c r="Z325" i="1"/>
  <c r="Z449" i="1"/>
  <c r="Z470" i="1"/>
  <c r="Z216" i="1"/>
  <c r="Z172" i="1"/>
  <c r="Z149" i="1"/>
  <c r="Z104" i="1"/>
  <c r="Z44" i="1"/>
  <c r="Z32" i="1"/>
  <c r="Y495" i="1"/>
  <c r="X494" i="1"/>
  <c r="Z412" i="1"/>
  <c r="Z235" i="1"/>
  <c r="Y491" i="1"/>
  <c r="Z496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<sst xmlns="http://schemas.openxmlformats.org/spreadsheetml/2006/main" count="2352" uniqueCount="768">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</sst>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787" t="s">
        <v>0</v>
      </c>
      <c r="E1" s="577"/>
      <c r="F1" s="577"/>
      <c r="G1" s="12" t="s">
        <v>1</v>
      </c>
      <c r="H1" s="787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50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57" t="s">
        <v>8</v>
      </c>
      <c r="B5" s="559"/>
      <c r="C5" s="560"/>
      <c r="D5" s="662"/>
      <c r="E5" s="664"/>
      <c r="F5" s="602" t="s">
        <v>9</v>
      </c>
      <c r="G5" s="560"/>
      <c r="H5" s="662"/>
      <c r="I5" s="663"/>
      <c r="J5" s="663"/>
      <c r="K5" s="663"/>
      <c r="L5" s="663"/>
      <c r="M5" s="664"/>
      <c r="N5" s="58"/>
      <c r="P5" s="24" t="s">
        <v>10</v>
      </c>
      <c r="Q5" s="584">
        <v>46002</v>
      </c>
      <c r="R5" s="585"/>
      <c r="T5" s="740" t="s">
        <v>11</v>
      </c>
      <c r="U5" s="589"/>
      <c r="V5" s="726" t="s">
        <v>12</v>
      </c>
      <c r="W5" s="585"/>
      <c r="AB5" s="51"/>
      <c r="AC5" s="51"/>
      <c r="AD5" s="51"/>
      <c r="AE5" s="51"/>
    </row>
    <row r="6" spans="1:32" s="539" customFormat="1" ht="24" customHeight="1" x14ac:dyDescent="0.2">
      <c r="A6" s="757" t="s">
        <v>13</v>
      </c>
      <c r="B6" s="559"/>
      <c r="C6" s="560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85"/>
      <c r="N6" s="59"/>
      <c r="P6" s="24" t="s">
        <v>15</v>
      </c>
      <c r="Q6" s="596" t="str">
        <f>IF(Q5=0," ",CHOOSE(WEEKDAY(Q5,2),"Понедельник","Вторник","Среда","Четверг","Пятница","Суббота","Воскресенье"))</f>
        <v>Четверг</v>
      </c>
      <c r="R6" s="553"/>
      <c r="T6" s="736" t="s">
        <v>16</v>
      </c>
      <c r="U6" s="589"/>
      <c r="V6" s="674" t="s">
        <v>17</v>
      </c>
      <c r="W6" s="675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13" t="str">
        <f>IFERROR(VLOOKUP(DeliveryAddress,Table,3,0),1)</f>
        <v>1</v>
      </c>
      <c r="E7" s="814"/>
      <c r="F7" s="814"/>
      <c r="G7" s="814"/>
      <c r="H7" s="814"/>
      <c r="I7" s="814"/>
      <c r="J7" s="814"/>
      <c r="K7" s="814"/>
      <c r="L7" s="814"/>
      <c r="M7" s="730"/>
      <c r="N7" s="60"/>
      <c r="P7" s="24"/>
      <c r="Q7" s="42"/>
      <c r="R7" s="42"/>
      <c r="T7" s="556"/>
      <c r="U7" s="589"/>
      <c r="V7" s="676"/>
      <c r="W7" s="677"/>
      <c r="AB7" s="51"/>
      <c r="AC7" s="51"/>
      <c r="AD7" s="51"/>
      <c r="AE7" s="51"/>
    </row>
    <row r="8" spans="1:32" s="539" customFormat="1" ht="25.5" customHeight="1" x14ac:dyDescent="0.2">
      <c r="A8" s="549" t="s">
        <v>18</v>
      </c>
      <c r="B8" s="550"/>
      <c r="C8" s="551"/>
      <c r="D8" s="821" t="s">
        <v>19</v>
      </c>
      <c r="E8" s="822"/>
      <c r="F8" s="822"/>
      <c r="G8" s="822"/>
      <c r="H8" s="822"/>
      <c r="I8" s="822"/>
      <c r="J8" s="822"/>
      <c r="K8" s="822"/>
      <c r="L8" s="822"/>
      <c r="M8" s="823"/>
      <c r="N8" s="61"/>
      <c r="P8" s="24" t="s">
        <v>20</v>
      </c>
      <c r="Q8" s="729">
        <v>0.41666666666666669</v>
      </c>
      <c r="R8" s="730"/>
      <c r="T8" s="556"/>
      <c r="U8" s="589"/>
      <c r="V8" s="676"/>
      <c r="W8" s="677"/>
      <c r="AB8" s="51"/>
      <c r="AC8" s="51"/>
      <c r="AD8" s="51"/>
      <c r="AE8" s="51"/>
    </row>
    <row r="9" spans="1:32" s="539" customFormat="1" ht="39.950000000000003" customHeight="1" x14ac:dyDescent="0.2">
      <c r="A9" s="5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28"/>
      <c r="E9" s="629"/>
      <c r="F9" s="5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37"/>
      <c r="P9" s="26" t="s">
        <v>21</v>
      </c>
      <c r="Q9" s="774"/>
      <c r="R9" s="606"/>
      <c r="T9" s="556"/>
      <c r="U9" s="589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28"/>
      <c r="E10" s="629"/>
      <c r="F10" s="5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2" t="str">
        <f>IFERROR(VLOOKUP($D$10,Proxy,2,FALSE),"")</f>
        <v/>
      </c>
      <c r="I10" s="556"/>
      <c r="J10" s="556"/>
      <c r="K10" s="556"/>
      <c r="L10" s="556"/>
      <c r="M10" s="556"/>
      <c r="N10" s="538"/>
      <c r="P10" s="26" t="s">
        <v>22</v>
      </c>
      <c r="Q10" s="742"/>
      <c r="R10" s="743"/>
      <c r="U10" s="24" t="s">
        <v>23</v>
      </c>
      <c r="V10" s="861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5"/>
      <c r="R11" s="585"/>
      <c r="U11" s="24" t="s">
        <v>27</v>
      </c>
      <c r="V11" s="605" t="s">
        <v>28</v>
      </c>
      <c r="W11" s="60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38" t="s">
        <v>29</v>
      </c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60"/>
      <c r="N12" s="62"/>
      <c r="P12" s="24" t="s">
        <v>30</v>
      </c>
      <c r="Q12" s="729"/>
      <c r="R12" s="730"/>
      <c r="S12" s="23"/>
      <c r="U12" s="24"/>
      <c r="V12" s="577"/>
      <c r="W12" s="556"/>
      <c r="AB12" s="51"/>
      <c r="AC12" s="51"/>
      <c r="AD12" s="51"/>
      <c r="AE12" s="51"/>
    </row>
    <row r="13" spans="1:32" s="539" customFormat="1" ht="23.25" customHeight="1" x14ac:dyDescent="0.2">
      <c r="A13" s="738" t="s">
        <v>31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60"/>
      <c r="N13" s="62"/>
      <c r="O13" s="26"/>
      <c r="P13" s="26" t="s">
        <v>32</v>
      </c>
      <c r="Q13" s="605"/>
      <c r="R13" s="6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38" t="s">
        <v>33</v>
      </c>
      <c r="B14" s="559"/>
      <c r="C14" s="559"/>
      <c r="D14" s="559"/>
      <c r="E14" s="559"/>
      <c r="F14" s="559"/>
      <c r="G14" s="559"/>
      <c r="H14" s="559"/>
      <c r="I14" s="559"/>
      <c r="J14" s="559"/>
      <c r="K14" s="559"/>
      <c r="L14" s="559"/>
      <c r="M14" s="56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15" t="s">
        <v>34</v>
      </c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60"/>
      <c r="N15" s="63"/>
      <c r="P15" s="77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1"/>
      <c r="Q16" s="771"/>
      <c r="R16" s="771"/>
      <c r="S16" s="771"/>
      <c r="T16" s="7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7" t="s">
        <v>36</v>
      </c>
      <c r="B17" s="567" t="s">
        <v>37</v>
      </c>
      <c r="C17" s="761" t="s">
        <v>38</v>
      </c>
      <c r="D17" s="567" t="s">
        <v>39</v>
      </c>
      <c r="E17" s="568"/>
      <c r="F17" s="567" t="s">
        <v>40</v>
      </c>
      <c r="G17" s="567" t="s">
        <v>41</v>
      </c>
      <c r="H17" s="567" t="s">
        <v>42</v>
      </c>
      <c r="I17" s="567" t="s">
        <v>43</v>
      </c>
      <c r="J17" s="567" t="s">
        <v>44</v>
      </c>
      <c r="K17" s="567" t="s">
        <v>45</v>
      </c>
      <c r="L17" s="567" t="s">
        <v>46</v>
      </c>
      <c r="M17" s="567" t="s">
        <v>47</v>
      </c>
      <c r="N17" s="567" t="s">
        <v>48</v>
      </c>
      <c r="O17" s="567" t="s">
        <v>49</v>
      </c>
      <c r="P17" s="567" t="s">
        <v>50</v>
      </c>
      <c r="Q17" s="793"/>
      <c r="R17" s="793"/>
      <c r="S17" s="793"/>
      <c r="T17" s="568"/>
      <c r="U17" s="583" t="s">
        <v>51</v>
      </c>
      <c r="V17" s="560"/>
      <c r="W17" s="567" t="s">
        <v>52</v>
      </c>
      <c r="X17" s="567" t="s">
        <v>53</v>
      </c>
      <c r="Y17" s="581" t="s">
        <v>54</v>
      </c>
      <c r="Z17" s="697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569"/>
      <c r="E18" s="570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69"/>
      <c r="Q18" s="794"/>
      <c r="R18" s="794"/>
      <c r="S18" s="794"/>
      <c r="T18" s="570"/>
      <c r="U18" s="67" t="s">
        <v>61</v>
      </c>
      <c r="V18" s="67" t="s">
        <v>62</v>
      </c>
      <c r="W18" s="587"/>
      <c r="X18" s="587"/>
      <c r="Y18" s="582"/>
      <c r="Z18" s="698"/>
      <c r="AA18" s="661"/>
      <c r="AB18" s="661"/>
      <c r="AC18" s="661"/>
      <c r="AD18" s="616"/>
      <c r="AE18" s="617"/>
      <c r="AF18" s="618"/>
      <c r="AG18" s="66"/>
      <c r="BD18" s="65"/>
    </row>
    <row r="19" spans="1:68" ht="27.75" hidden="1" customHeight="1" x14ac:dyDescent="0.2">
      <c r="A19" s="636" t="s">
        <v>63</v>
      </c>
      <c r="B19" s="637"/>
      <c r="C19" s="637"/>
      <c r="D19" s="637"/>
      <c r="E19" s="637"/>
      <c r="F19" s="637"/>
      <c r="G19" s="637"/>
      <c r="H19" s="637"/>
      <c r="I19" s="637"/>
      <c r="J19" s="637"/>
      <c r="K19" s="637"/>
      <c r="L19" s="637"/>
      <c r="M19" s="637"/>
      <c r="N19" s="637"/>
      <c r="O19" s="637"/>
      <c r="P19" s="637"/>
      <c r="Q19" s="637"/>
      <c r="R19" s="637"/>
      <c r="S19" s="637"/>
      <c r="T19" s="637"/>
      <c r="U19" s="637"/>
      <c r="V19" s="637"/>
      <c r="W19" s="637"/>
      <c r="X19" s="637"/>
      <c r="Y19" s="637"/>
      <c r="Z19" s="637"/>
      <c r="AA19" s="48"/>
      <c r="AB19" s="48"/>
      <c r="AC19" s="48"/>
    </row>
    <row r="20" spans="1:68" ht="16.5" hidden="1" customHeight="1" x14ac:dyDescent="0.25">
      <c r="A20" s="576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0"/>
      <c r="AB20" s="540"/>
      <c r="AC20" s="540"/>
    </row>
    <row r="21" spans="1:68" ht="14.25" hidden="1" customHeight="1" x14ac:dyDescent="0.25">
      <c r="A21" s="56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">
        <v>69</v>
      </c>
      <c r="Q22" s="563"/>
      <c r="R22" s="563"/>
      <c r="S22" s="563"/>
      <c r="T22" s="564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5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54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7"/>
      <c r="P25" s="554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65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8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8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52">
        <v>4607091388244</v>
      </c>
      <c r="E31" s="553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82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5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54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7"/>
      <c r="P33" s="554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65" t="s">
        <v>97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52">
        <v>4607091388503</v>
      </c>
      <c r="E35" s="553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6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5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54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7"/>
      <c r="P37" s="554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36" t="s">
        <v>103</v>
      </c>
      <c r="B38" s="637"/>
      <c r="C38" s="637"/>
      <c r="D38" s="637"/>
      <c r="E38" s="637"/>
      <c r="F38" s="637"/>
      <c r="G38" s="637"/>
      <c r="H38" s="637"/>
      <c r="I38" s="637"/>
      <c r="J38" s="637"/>
      <c r="K38" s="637"/>
      <c r="L38" s="637"/>
      <c r="M38" s="637"/>
      <c r="N38" s="637"/>
      <c r="O38" s="637"/>
      <c r="P38" s="637"/>
      <c r="Q38" s="637"/>
      <c r="R38" s="637"/>
      <c r="S38" s="637"/>
      <c r="T38" s="637"/>
      <c r="U38" s="637"/>
      <c r="V38" s="637"/>
      <c r="W38" s="637"/>
      <c r="X38" s="637"/>
      <c r="Y38" s="637"/>
      <c r="Z38" s="637"/>
      <c r="AA38" s="48"/>
      <c r="AB38" s="48"/>
      <c r="AC38" s="48"/>
    </row>
    <row r="39" spans="1:68" ht="16.5" hidden="1" customHeight="1" x14ac:dyDescent="0.25">
      <c r="A39" s="576" t="s">
        <v>104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0"/>
      <c r="AB39" s="540"/>
      <c r="AC39" s="540"/>
    </row>
    <row r="40" spans="1:68" ht="14.25" hidden="1" customHeight="1" x14ac:dyDescent="0.25">
      <c r="A40" s="565" t="s">
        <v>105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52">
        <v>4607091385670</v>
      </c>
      <c r="E41" s="553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6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8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3"/>
      <c r="R42" s="563"/>
      <c r="S42" s="563"/>
      <c r="T42" s="564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52">
        <v>4680115882539</v>
      </c>
      <c r="E43" s="553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3"/>
      <c r="R43" s="563"/>
      <c r="S43" s="563"/>
      <c r="T43" s="564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5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54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7"/>
      <c r="P45" s="554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65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52">
        <v>4680115884915</v>
      </c>
      <c r="E47" s="553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78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5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54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7"/>
      <c r="P49" s="554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6" t="s">
        <v>121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0"/>
      <c r="AB50" s="540"/>
      <c r="AC50" s="540"/>
    </row>
    <row r="51" spans="1:68" ht="14.25" hidden="1" customHeight="1" x14ac:dyDescent="0.25">
      <c r="A51" s="565" t="s">
        <v>105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52">
        <v>4680115885882</v>
      </c>
      <c r="E52" s="553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8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52">
        <v>4680115881426</v>
      </c>
      <c r="E53" s="553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52">
        <v>4680115880283</v>
      </c>
      <c r="E54" s="553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62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52">
        <v>4680115881525</v>
      </c>
      <c r="E55" s="553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7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52">
        <v>4680115885899</v>
      </c>
      <c r="E56" s="553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8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52">
        <v>4680115881419</v>
      </c>
      <c r="E57" s="553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60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55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54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7">
        <f>IFERROR(X52/H52,"0")+IFERROR(X53/H53,"0")+IFERROR(X54/H54,"0")+IFERROR(X55/H55,"0")+IFERROR(X56/H56,"0")+IFERROR(X57/H57,"0")</f>
        <v>10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9.0200000000000002E-2</v>
      </c>
      <c r="AA58" s="548"/>
      <c r="AB58" s="548"/>
      <c r="AC58" s="548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7"/>
      <c r="P59" s="554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7">
        <f>IFERROR(SUM(X52:X57),"0")</f>
        <v>45</v>
      </c>
      <c r="Y59" s="547">
        <f>IFERROR(SUM(Y52:Y57),"0")</f>
        <v>45</v>
      </c>
      <c r="Z59" s="37"/>
      <c r="AA59" s="548"/>
      <c r="AB59" s="548"/>
      <c r="AC59" s="548"/>
    </row>
    <row r="60" spans="1:68" ht="14.25" hidden="1" customHeight="1" x14ac:dyDescent="0.25">
      <c r="A60" s="565" t="s">
        <v>140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52">
        <v>4680115881440</v>
      </c>
      <c r="E61" s="553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70</v>
      </c>
      <c r="X61" s="545">
        <v>20</v>
      </c>
      <c r="Y61" s="54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20.75925925925926</v>
      </c>
      <c r="BN61" s="64">
        <f>IFERROR(Y61*I61/H61,"0")</f>
        <v>22.42</v>
      </c>
      <c r="BO61" s="64">
        <f>IFERROR(1/J61*(X61/H61),"0")</f>
        <v>2.8935185185185182E-2</v>
      </c>
      <c r="BP61" s="64">
        <f>IFERROR(1/J61*(Y61/H61),"0")</f>
        <v>3.125E-2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52">
        <v>4680115885950</v>
      </c>
      <c r="E62" s="553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6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52">
        <v>4680115881433</v>
      </c>
      <c r="E63" s="553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5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54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7">
        <f>IFERROR(X61/H61,"0")+IFERROR(X62/H62,"0")+IFERROR(X63/H63,"0")</f>
        <v>1.8518518518518516</v>
      </c>
      <c r="Y64" s="547">
        <f>IFERROR(Y61/H61,"0")+IFERROR(Y62/H62,"0")+IFERROR(Y63/H63,"0")</f>
        <v>2</v>
      </c>
      <c r="Z64" s="547">
        <f>IFERROR(IF(Z61="",0,Z61),"0")+IFERROR(IF(Z62="",0,Z62),"0")+IFERROR(IF(Z63="",0,Z63),"0")</f>
        <v>3.7960000000000001E-2</v>
      </c>
      <c r="AA64" s="548"/>
      <c r="AB64" s="548"/>
      <c r="AC64" s="548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7"/>
      <c r="P65" s="554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7">
        <f>IFERROR(SUM(X61:X63),"0")</f>
        <v>20</v>
      </c>
      <c r="Y65" s="547">
        <f>IFERROR(SUM(Y61:Y63),"0")</f>
        <v>21.6</v>
      </c>
      <c r="Z65" s="37"/>
      <c r="AA65" s="548"/>
      <c r="AB65" s="548"/>
      <c r="AC65" s="548"/>
    </row>
    <row r="66" spans="1:68" ht="14.25" hidden="1" customHeight="1" x14ac:dyDescent="0.25">
      <c r="A66" s="565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52">
        <v>4680115885073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60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52">
        <v>4680115885059</v>
      </c>
      <c r="E68" s="553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5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3"/>
      <c r="R68" s="563"/>
      <c r="S68" s="563"/>
      <c r="T68" s="564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52">
        <v>4680115885097</v>
      </c>
      <c r="E69" s="553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3"/>
      <c r="R69" s="563"/>
      <c r="S69" s="563"/>
      <c r="T69" s="564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54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7"/>
      <c r="P71" s="554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65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52">
        <v>4680115885769</v>
      </c>
      <c r="E73" s="553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3"/>
      <c r="R73" s="563"/>
      <c r="S73" s="563"/>
      <c r="T73" s="564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52">
        <v>4680115884311</v>
      </c>
      <c r="E74" s="553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3"/>
      <c r="R74" s="563"/>
      <c r="S74" s="563"/>
      <c r="T74" s="564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52">
        <v>4680115885929</v>
      </c>
      <c r="E75" s="553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6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3"/>
      <c r="R75" s="563"/>
      <c r="S75" s="563"/>
      <c r="T75" s="564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52">
        <v>4680115884403</v>
      </c>
      <c r="E76" s="553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3"/>
      <c r="R76" s="563"/>
      <c r="S76" s="563"/>
      <c r="T76" s="564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5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54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7"/>
      <c r="P78" s="554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65" t="s">
        <v>168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52">
        <v>4680115881532</v>
      </c>
      <c r="E80" s="553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6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3"/>
      <c r="R80" s="563"/>
      <c r="S80" s="563"/>
      <c r="T80" s="564"/>
      <c r="U80" s="34"/>
      <c r="V80" s="34"/>
      <c r="W80" s="35" t="s">
        <v>70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52">
        <v>4680115881464</v>
      </c>
      <c r="E81" s="553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3"/>
      <c r="R81" s="563"/>
      <c r="S81" s="563"/>
      <c r="T81" s="564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5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54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7"/>
      <c r="P83" s="554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hidden="1" customHeight="1" x14ac:dyDescent="0.25">
      <c r="A84" s="576" t="s">
        <v>175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0"/>
      <c r="AB84" s="540"/>
      <c r="AC84" s="540"/>
    </row>
    <row r="85" spans="1:68" ht="14.25" hidden="1" customHeight="1" x14ac:dyDescent="0.25">
      <c r="A85" s="565" t="s">
        <v>105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52">
        <v>4680115881327</v>
      </c>
      <c r="E86" s="553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3"/>
      <c r="R86" s="563"/>
      <c r="S86" s="563"/>
      <c r="T86" s="564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52">
        <v>4680115881518</v>
      </c>
      <c r="E87" s="553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52">
        <v>4680115881303</v>
      </c>
      <c r="E88" s="553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5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54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7"/>
      <c r="P90" s="554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65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52">
        <v>4607091386967</v>
      </c>
      <c r="E92" s="553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8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52">
        <v>4680115884953</v>
      </c>
      <c r="E93" s="553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52">
        <v>4607091385731</v>
      </c>
      <c r="E94" s="553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8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52">
        <v>4680115880894</v>
      </c>
      <c r="E95" s="553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8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55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54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7"/>
      <c r="P97" s="554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76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40"/>
      <c r="AB98" s="540"/>
      <c r="AC98" s="540"/>
    </row>
    <row r="99" spans="1:68" ht="14.25" hidden="1" customHeight="1" x14ac:dyDescent="0.25">
      <c r="A99" s="565" t="s">
        <v>105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52">
        <v>4680115882133</v>
      </c>
      <c r="E100" s="553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8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6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3"/>
      <c r="R101" s="563"/>
      <c r="S101" s="563"/>
      <c r="T101" s="564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6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3"/>
      <c r="R102" s="563"/>
      <c r="S102" s="563"/>
      <c r="T102" s="564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3"/>
      <c r="R103" s="563"/>
      <c r="S103" s="563"/>
      <c r="T103" s="564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5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54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7"/>
      <c r="P105" s="554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65" t="s">
        <v>140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3"/>
      <c r="R107" s="563"/>
      <c r="S107" s="563"/>
      <c r="T107" s="564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52">
        <v>4680115882775</v>
      </c>
      <c r="E108" s="553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69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63"/>
      <c r="R108" s="563"/>
      <c r="S108" s="563"/>
      <c r="T108" s="564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52">
        <v>4680115880658</v>
      </c>
      <c r="E109" s="553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63"/>
      <c r="R109" s="563"/>
      <c r="S109" s="563"/>
      <c r="T109" s="564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5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54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7"/>
      <c r="P111" s="554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65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52">
        <v>4607091385168</v>
      </c>
      <c r="E113" s="553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63"/>
      <c r="R113" s="563"/>
      <c r="S113" s="563"/>
      <c r="T113" s="564"/>
      <c r="U113" s="34"/>
      <c r="V113" s="34"/>
      <c r="W113" s="35" t="s">
        <v>70</v>
      </c>
      <c r="X113" s="545">
        <v>100</v>
      </c>
      <c r="Y113" s="546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106.0246913580247</v>
      </c>
      <c r="BN113" s="64">
        <f>IFERROR(Y113*I113/H113,"0")</f>
        <v>111.64399999999999</v>
      </c>
      <c r="BO113" s="64">
        <f>IFERROR(1/J113*(X113/H113),"0")</f>
        <v>0.19290123456790123</v>
      </c>
      <c r="BP113" s="64">
        <f>IFERROR(1/J113*(Y113/H113),"0")</f>
        <v>0.203125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52">
        <v>4607091383256</v>
      </c>
      <c r="E114" s="553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63"/>
      <c r="R114" s="563"/>
      <c r="S114" s="563"/>
      <c r="T114" s="564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52">
        <v>4607091385748</v>
      </c>
      <c r="E115" s="553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63"/>
      <c r="R115" s="563"/>
      <c r="S115" s="563"/>
      <c r="T115" s="564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52">
        <v>4680115884533</v>
      </c>
      <c r="E116" s="553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7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63"/>
      <c r="R116" s="563"/>
      <c r="S116" s="563"/>
      <c r="T116" s="564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5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54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7">
        <f>IFERROR(X113/H113,"0")+IFERROR(X114/H114,"0")+IFERROR(X115/H115,"0")+IFERROR(X116/H116,"0")</f>
        <v>12.345679012345679</v>
      </c>
      <c r="Y117" s="547">
        <f>IFERROR(Y113/H113,"0")+IFERROR(Y114/H114,"0")+IFERROR(Y115/H115,"0")+IFERROR(Y116/H116,"0")</f>
        <v>13</v>
      </c>
      <c r="Z117" s="547">
        <f>IFERROR(IF(Z113="",0,Z113),"0")+IFERROR(IF(Z114="",0,Z114),"0")+IFERROR(IF(Z115="",0,Z115),"0")+IFERROR(IF(Z116="",0,Z116),"0")</f>
        <v>0.24674000000000001</v>
      </c>
      <c r="AA117" s="548"/>
      <c r="AB117" s="548"/>
      <c r="AC117" s="548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7"/>
      <c r="P118" s="554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7">
        <f>IFERROR(SUM(X113:X116),"0")</f>
        <v>100</v>
      </c>
      <c r="Y118" s="547">
        <f>IFERROR(SUM(Y113:Y116),"0")</f>
        <v>105.3</v>
      </c>
      <c r="Z118" s="37"/>
      <c r="AA118" s="548"/>
      <c r="AB118" s="548"/>
      <c r="AC118" s="548"/>
    </row>
    <row r="119" spans="1:68" ht="14.25" hidden="1" customHeight="1" x14ac:dyDescent="0.25">
      <c r="A119" s="565" t="s">
        <v>168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52">
        <v>4680115880238</v>
      </c>
      <c r="E120" s="553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8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63"/>
      <c r="R120" s="563"/>
      <c r="S120" s="563"/>
      <c r="T120" s="564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5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54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7"/>
      <c r="P122" s="554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76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40"/>
      <c r="AB123" s="540"/>
      <c r="AC123" s="540"/>
    </row>
    <row r="124" spans="1:68" ht="14.25" hidden="1" customHeight="1" x14ac:dyDescent="0.25">
      <c r="A124" s="565" t="s">
        <v>105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52">
        <v>4680115882577</v>
      </c>
      <c r="E125" s="553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6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63"/>
      <c r="R125" s="563"/>
      <c r="S125" s="563"/>
      <c r="T125" s="564"/>
      <c r="U125" s="34"/>
      <c r="V125" s="34"/>
      <c r="W125" s="35" t="s">
        <v>70</v>
      </c>
      <c r="X125" s="545">
        <v>9</v>
      </c>
      <c r="Y125" s="546">
        <f>IFERROR(IF(X125="",0,CEILING((X125/$H125),1)*$H125),"")</f>
        <v>9.6000000000000014</v>
      </c>
      <c r="Z125" s="36">
        <f>IFERROR(IF(Y125=0,"",ROUNDUP(Y125/H125,0)*0.00651),"")</f>
        <v>1.9529999999999999E-2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9.5062499999999996</v>
      </c>
      <c r="BN125" s="64">
        <f>IFERROR(Y125*I125/H125,"0")</f>
        <v>10.139999999999999</v>
      </c>
      <c r="BO125" s="64">
        <f>IFERROR(1/J125*(X125/H125),"0")</f>
        <v>1.5453296703296704E-2</v>
      </c>
      <c r="BP125" s="64">
        <f>IFERROR(1/J125*(Y125/H125),"0")</f>
        <v>1.6483516483516487E-2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5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3"/>
      <c r="R126" s="563"/>
      <c r="S126" s="563"/>
      <c r="T126" s="564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5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54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7">
        <f>IFERROR(X125/H125,"0")+IFERROR(X126/H126,"0")</f>
        <v>2.8125</v>
      </c>
      <c r="Y127" s="547">
        <f>IFERROR(Y125/H125,"0")+IFERROR(Y126/H126,"0")</f>
        <v>3.0000000000000004</v>
      </c>
      <c r="Z127" s="547">
        <f>IFERROR(IF(Z125="",0,Z125),"0")+IFERROR(IF(Z126="",0,Z126),"0")</f>
        <v>1.9529999999999999E-2</v>
      </c>
      <c r="AA127" s="548"/>
      <c r="AB127" s="548"/>
      <c r="AC127" s="548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7"/>
      <c r="P128" s="554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7">
        <f>IFERROR(SUM(X125:X126),"0")</f>
        <v>9</v>
      </c>
      <c r="Y128" s="547">
        <f>IFERROR(SUM(Y125:Y126),"0")</f>
        <v>9.6000000000000014</v>
      </c>
      <c r="Z128" s="37"/>
      <c r="AA128" s="548"/>
      <c r="AB128" s="548"/>
      <c r="AC128" s="548"/>
    </row>
    <row r="129" spans="1:68" ht="14.25" hidden="1" customHeight="1" x14ac:dyDescent="0.25">
      <c r="A129" s="56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52">
        <v>4680115883444</v>
      </c>
      <c r="E130" s="553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63"/>
      <c r="R130" s="563"/>
      <c r="S130" s="563"/>
      <c r="T130" s="564"/>
      <c r="U130" s="34"/>
      <c r="V130" s="34"/>
      <c r="W130" s="35" t="s">
        <v>70</v>
      </c>
      <c r="X130" s="545">
        <v>8</v>
      </c>
      <c r="Y130" s="546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8.7657142857142869</v>
      </c>
      <c r="BN130" s="64">
        <f>IFERROR(Y130*I130/H130,"0")</f>
        <v>9.2039999999999988</v>
      </c>
      <c r="BO130" s="64">
        <f>IFERROR(1/J130*(X130/H130),"0")</f>
        <v>1.5698587127158558E-2</v>
      </c>
      <c r="BP130" s="64">
        <f>IFERROR(1/J130*(Y130/H130),"0")</f>
        <v>1.6483516483516484E-2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3"/>
      <c r="R131" s="563"/>
      <c r="S131" s="563"/>
      <c r="T131" s="564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5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54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7">
        <f>IFERROR(X130/H130,"0")+IFERROR(X131/H131,"0")</f>
        <v>2.8571428571428572</v>
      </c>
      <c r="Y132" s="547">
        <f>IFERROR(Y130/H130,"0")+IFERROR(Y131/H131,"0")</f>
        <v>2.9999999999999996</v>
      </c>
      <c r="Z132" s="547">
        <f>IFERROR(IF(Z130="",0,Z130),"0")+IFERROR(IF(Z131="",0,Z131),"0")</f>
        <v>1.9529999999999999E-2</v>
      </c>
      <c r="AA132" s="548"/>
      <c r="AB132" s="548"/>
      <c r="AC132" s="548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7"/>
      <c r="P133" s="554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7">
        <f>IFERROR(SUM(X130:X131),"0")</f>
        <v>8</v>
      </c>
      <c r="Y133" s="547">
        <f>IFERROR(SUM(Y130:Y131),"0")</f>
        <v>8.3999999999999986</v>
      </c>
      <c r="Z133" s="37"/>
      <c r="AA133" s="548"/>
      <c r="AB133" s="548"/>
      <c r="AC133" s="548"/>
    </row>
    <row r="134" spans="1:68" ht="14.25" hidden="1" customHeight="1" x14ac:dyDescent="0.25">
      <c r="A134" s="565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52">
        <v>4680115882584</v>
      </c>
      <c r="E135" s="553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6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63"/>
      <c r="R135" s="563"/>
      <c r="S135" s="563"/>
      <c r="T135" s="564"/>
      <c r="U135" s="34"/>
      <c r="V135" s="34"/>
      <c r="W135" s="35" t="s">
        <v>70</v>
      </c>
      <c r="X135" s="545">
        <v>7</v>
      </c>
      <c r="Y135" s="546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7.7106060606060591</v>
      </c>
      <c r="BN135" s="64">
        <f>IFERROR(Y135*I135/H135,"0")</f>
        <v>8.7240000000000002</v>
      </c>
      <c r="BO135" s="64">
        <f>IFERROR(1/J135*(X135/H135),"0")</f>
        <v>1.456876456876457E-2</v>
      </c>
      <c r="BP135" s="64">
        <f>IFERROR(1/J135*(Y135/H135),"0")</f>
        <v>1.6483516483516484E-2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5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63"/>
      <c r="R136" s="563"/>
      <c r="S136" s="563"/>
      <c r="T136" s="564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5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54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7">
        <f>IFERROR(X135/H135,"0")+IFERROR(X136/H136,"0")</f>
        <v>2.6515151515151514</v>
      </c>
      <c r="Y137" s="547">
        <f>IFERROR(Y135/H135,"0")+IFERROR(Y136/H136,"0")</f>
        <v>3</v>
      </c>
      <c r="Z137" s="547">
        <f>IFERROR(IF(Z135="",0,Z135),"0")+IFERROR(IF(Z136="",0,Z136),"0")</f>
        <v>1.9529999999999999E-2</v>
      </c>
      <c r="AA137" s="548"/>
      <c r="AB137" s="548"/>
      <c r="AC137" s="548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7"/>
      <c r="P138" s="554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7">
        <f>IFERROR(SUM(X135:X136),"0")</f>
        <v>7</v>
      </c>
      <c r="Y138" s="547">
        <f>IFERROR(SUM(Y135:Y136),"0")</f>
        <v>7.92</v>
      </c>
      <c r="Z138" s="37"/>
      <c r="AA138" s="548"/>
      <c r="AB138" s="548"/>
      <c r="AC138" s="548"/>
    </row>
    <row r="139" spans="1:68" ht="16.5" hidden="1" customHeight="1" x14ac:dyDescent="0.25">
      <c r="A139" s="576" t="s">
        <v>103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40"/>
      <c r="AB139" s="540"/>
      <c r="AC139" s="540"/>
    </row>
    <row r="140" spans="1:68" ht="14.25" hidden="1" customHeight="1" x14ac:dyDescent="0.25">
      <c r="A140" s="565" t="s">
        <v>105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52">
        <v>4680115887374</v>
      </c>
      <c r="E141" s="553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63"/>
      <c r="R141" s="563"/>
      <c r="S141" s="563"/>
      <c r="T141" s="564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52">
        <v>4607091384604</v>
      </c>
      <c r="E142" s="553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7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63"/>
      <c r="R142" s="563"/>
      <c r="S142" s="563"/>
      <c r="T142" s="564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54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54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6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52">
        <v>4607091387667</v>
      </c>
      <c r="E146" s="553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61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63"/>
      <c r="R146" s="563"/>
      <c r="S146" s="563"/>
      <c r="T146" s="564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52">
        <v>4607091387636</v>
      </c>
      <c r="E147" s="553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83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63"/>
      <c r="R147" s="563"/>
      <c r="S147" s="563"/>
      <c r="T147" s="564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52">
        <v>4607091382426</v>
      </c>
      <c r="E148" s="553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8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63"/>
      <c r="R148" s="563"/>
      <c r="S148" s="563"/>
      <c r="T148" s="564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54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54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65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52">
        <v>4680115887459</v>
      </c>
      <c r="E152" s="553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63"/>
      <c r="R152" s="563"/>
      <c r="S152" s="563"/>
      <c r="T152" s="564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54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54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636" t="s">
        <v>254</v>
      </c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7"/>
      <c r="P155" s="637"/>
      <c r="Q155" s="637"/>
      <c r="R155" s="637"/>
      <c r="S155" s="637"/>
      <c r="T155" s="637"/>
      <c r="U155" s="637"/>
      <c r="V155" s="637"/>
      <c r="W155" s="637"/>
      <c r="X155" s="637"/>
      <c r="Y155" s="637"/>
      <c r="Z155" s="637"/>
      <c r="AA155" s="48"/>
      <c r="AB155" s="48"/>
      <c r="AC155" s="48"/>
    </row>
    <row r="156" spans="1:68" ht="16.5" hidden="1" customHeight="1" x14ac:dyDescent="0.25">
      <c r="A156" s="576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40"/>
      <c r="AB156" s="540"/>
      <c r="AC156" s="540"/>
    </row>
    <row r="157" spans="1:68" ht="14.25" hidden="1" customHeight="1" x14ac:dyDescent="0.25">
      <c r="A157" s="565" t="s">
        <v>140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52">
        <v>4680115886223</v>
      </c>
      <c r="E158" s="553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63"/>
      <c r="R158" s="563"/>
      <c r="S158" s="563"/>
      <c r="T158" s="564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54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54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65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52">
        <v>4680115880993</v>
      </c>
      <c r="E162" s="553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67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63"/>
      <c r="R162" s="563"/>
      <c r="S162" s="563"/>
      <c r="T162" s="564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52">
        <v>4680115881761</v>
      </c>
      <c r="E163" s="553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63"/>
      <c r="R163" s="563"/>
      <c r="S163" s="563"/>
      <c r="T163" s="564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52">
        <v>4680115881563</v>
      </c>
      <c r="E164" s="553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63"/>
      <c r="R164" s="563"/>
      <c r="S164" s="563"/>
      <c r="T164" s="564"/>
      <c r="U164" s="34"/>
      <c r="V164" s="34"/>
      <c r="W164" s="35" t="s">
        <v>70</v>
      </c>
      <c r="X164" s="545">
        <v>120</v>
      </c>
      <c r="Y164" s="546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52">
        <v>4680115880986</v>
      </c>
      <c r="E165" s="553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63"/>
      <c r="R165" s="563"/>
      <c r="S165" s="563"/>
      <c r="T165" s="564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52">
        <v>4680115887213</v>
      </c>
      <c r="E166" s="553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63"/>
      <c r="R166" s="563"/>
      <c r="S166" s="563"/>
      <c r="T166" s="564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52">
        <v>4680115881785</v>
      </c>
      <c r="E167" s="553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63"/>
      <c r="R167" s="563"/>
      <c r="S167" s="563"/>
      <c r="T167" s="564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52">
        <v>4680115886537</v>
      </c>
      <c r="E168" s="553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7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63"/>
      <c r="R168" s="563"/>
      <c r="S168" s="563"/>
      <c r="T168" s="564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52">
        <v>4680115881679</v>
      </c>
      <c r="E169" s="553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63"/>
      <c r="R169" s="563"/>
      <c r="S169" s="563"/>
      <c r="T169" s="564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52">
        <v>4680115880191</v>
      </c>
      <c r="E170" s="553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63"/>
      <c r="R170" s="563"/>
      <c r="S170" s="563"/>
      <c r="T170" s="564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52">
        <v>4680115883963</v>
      </c>
      <c r="E171" s="553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63"/>
      <c r="R171" s="563"/>
      <c r="S171" s="563"/>
      <c r="T171" s="564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5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54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28.571428571428569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29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0.26158000000000003</v>
      </c>
      <c r="AA172" s="548"/>
      <c r="AB172" s="548"/>
      <c r="AC172" s="548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7"/>
      <c r="P173" s="554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7">
        <f>IFERROR(SUM(X162:X171),"0")</f>
        <v>120</v>
      </c>
      <c r="Y173" s="547">
        <f>IFERROR(SUM(Y162:Y171),"0")</f>
        <v>121.80000000000001</v>
      </c>
      <c r="Z173" s="37"/>
      <c r="AA173" s="548"/>
      <c r="AB173" s="548"/>
      <c r="AC173" s="548"/>
    </row>
    <row r="174" spans="1:68" ht="14.25" hidden="1" customHeight="1" x14ac:dyDescent="0.25">
      <c r="A174" s="565" t="s">
        <v>97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52">
        <v>4680115886780</v>
      </c>
      <c r="E175" s="553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63"/>
      <c r="R175" s="563"/>
      <c r="S175" s="563"/>
      <c r="T175" s="564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52">
        <v>4680115886742</v>
      </c>
      <c r="E176" s="553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63"/>
      <c r="R176" s="563"/>
      <c r="S176" s="563"/>
      <c r="T176" s="564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52">
        <v>4680115886766</v>
      </c>
      <c r="E177" s="553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63"/>
      <c r="R177" s="563"/>
      <c r="S177" s="563"/>
      <c r="T177" s="564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5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54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7"/>
      <c r="P179" s="554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65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52">
        <v>4680115886797</v>
      </c>
      <c r="E181" s="553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63"/>
      <c r="R181" s="563"/>
      <c r="S181" s="563"/>
      <c r="T181" s="564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5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54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7"/>
      <c r="P183" s="554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76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40"/>
      <c r="AB184" s="540"/>
      <c r="AC184" s="540"/>
    </row>
    <row r="185" spans="1:68" ht="14.25" hidden="1" customHeight="1" x14ac:dyDescent="0.25">
      <c r="A185" s="565" t="s">
        <v>105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52">
        <v>4680115881402</v>
      </c>
      <c r="E186" s="553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6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63"/>
      <c r="R186" s="563"/>
      <c r="S186" s="563"/>
      <c r="T186" s="564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52">
        <v>4680115881396</v>
      </c>
      <c r="E187" s="553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63"/>
      <c r="R187" s="563"/>
      <c r="S187" s="563"/>
      <c r="T187" s="564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5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54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7"/>
      <c r="P189" s="554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65" t="s">
        <v>140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52">
        <v>4680115882935</v>
      </c>
      <c r="E191" s="553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63"/>
      <c r="R191" s="563"/>
      <c r="S191" s="563"/>
      <c r="T191" s="564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52">
        <v>4680115880764</v>
      </c>
      <c r="E192" s="553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63"/>
      <c r="R192" s="563"/>
      <c r="S192" s="563"/>
      <c r="T192" s="564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5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54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7"/>
      <c r="P194" s="554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65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52">
        <v>4680115882683</v>
      </c>
      <c r="E196" s="553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0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63"/>
      <c r="R196" s="563"/>
      <c r="S196" s="563"/>
      <c r="T196" s="564"/>
      <c r="U196" s="34"/>
      <c r="V196" s="34"/>
      <c r="W196" s="35" t="s">
        <v>70</v>
      </c>
      <c r="X196" s="545">
        <v>300</v>
      </c>
      <c r="Y196" s="546">
        <f t="shared" ref="Y196:Y203" si="10">IFERROR(IF(X196="",0,CEILING((X196/$H196),1)*$H196),"")</f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310.55555555555554</v>
      </c>
      <c r="BN196" s="64">
        <f t="shared" ref="BN196:BN203" si="12">IFERROR(Y196*I196/H196,"0")</f>
        <v>313.04000000000002</v>
      </c>
      <c r="BO196" s="64">
        <f t="shared" ref="BO196:BO203" si="13">IFERROR(1/J196*(X196/H196),"0")</f>
        <v>0.42087542087542085</v>
      </c>
      <c r="BP196" s="64">
        <f t="shared" ref="BP196:BP203" si="14">IFERROR(1/J196*(Y196/H196),"0")</f>
        <v>0.42424242424242425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52">
        <v>4680115882690</v>
      </c>
      <c r="E197" s="553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63"/>
      <c r="R197" s="563"/>
      <c r="S197" s="563"/>
      <c r="T197" s="564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52">
        <v>4680115882669</v>
      </c>
      <c r="E198" s="553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6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63"/>
      <c r="R198" s="563"/>
      <c r="S198" s="563"/>
      <c r="T198" s="564"/>
      <c r="U198" s="34"/>
      <c r="V198" s="34"/>
      <c r="W198" s="35" t="s">
        <v>70</v>
      </c>
      <c r="X198" s="545">
        <v>400</v>
      </c>
      <c r="Y198" s="546">
        <f t="shared" si="10"/>
        <v>405</v>
      </c>
      <c r="Z198" s="36">
        <f>IFERROR(IF(Y198=0,"",ROUNDUP(Y198/H198,0)*0.00902),"")</f>
        <v>0.67649999999999999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414.07407407407402</v>
      </c>
      <c r="BN198" s="64">
        <f t="shared" si="12"/>
        <v>419.24999999999994</v>
      </c>
      <c r="BO198" s="64">
        <f t="shared" si="13"/>
        <v>0.5611672278338945</v>
      </c>
      <c r="BP198" s="64">
        <f t="shared" si="14"/>
        <v>0.56818181818181823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52">
        <v>4680115882676</v>
      </c>
      <c r="E199" s="553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5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63"/>
      <c r="R199" s="563"/>
      <c r="S199" s="563"/>
      <c r="T199" s="564"/>
      <c r="U199" s="34"/>
      <c r="V199" s="34"/>
      <c r="W199" s="35" t="s">
        <v>70</v>
      </c>
      <c r="X199" s="545">
        <v>640</v>
      </c>
      <c r="Y199" s="546">
        <f t="shared" si="10"/>
        <v>642.6</v>
      </c>
      <c r="Z199" s="36">
        <f>IFERROR(IF(Y199=0,"",ROUNDUP(Y199/H199,0)*0.00902),"")</f>
        <v>1.07338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662.51851851851848</v>
      </c>
      <c r="BN199" s="64">
        <f t="shared" si="12"/>
        <v>665.20999999999992</v>
      </c>
      <c r="BO199" s="64">
        <f t="shared" si="13"/>
        <v>0.89786756453423111</v>
      </c>
      <c r="BP199" s="64">
        <f t="shared" si="14"/>
        <v>0.90151515151515149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52">
        <v>4680115884014</v>
      </c>
      <c r="E200" s="553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5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63"/>
      <c r="R200" s="563"/>
      <c r="S200" s="563"/>
      <c r="T200" s="564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52">
        <v>4680115884007</v>
      </c>
      <c r="E201" s="553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6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63"/>
      <c r="R201" s="563"/>
      <c r="S201" s="563"/>
      <c r="T201" s="564"/>
      <c r="U201" s="34"/>
      <c r="V201" s="34"/>
      <c r="W201" s="35" t="s">
        <v>70</v>
      </c>
      <c r="X201" s="545">
        <v>5</v>
      </c>
      <c r="Y201" s="546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5.2777777777777777</v>
      </c>
      <c r="BN201" s="64">
        <f t="shared" si="12"/>
        <v>5.7</v>
      </c>
      <c r="BO201" s="64">
        <f t="shared" si="13"/>
        <v>1.1870845204178538E-2</v>
      </c>
      <c r="BP201" s="64">
        <f t="shared" si="14"/>
        <v>1.2820512820512822E-2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52">
        <v>4680115884038</v>
      </c>
      <c r="E202" s="553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63"/>
      <c r="R202" s="563"/>
      <c r="S202" s="563"/>
      <c r="T202" s="564"/>
      <c r="U202" s="34"/>
      <c r="V202" s="34"/>
      <c r="W202" s="35" t="s">
        <v>70</v>
      </c>
      <c r="X202" s="545">
        <v>5</v>
      </c>
      <c r="Y202" s="546">
        <f t="shared" si="10"/>
        <v>5.4</v>
      </c>
      <c r="Z202" s="36">
        <f>IFERROR(IF(Y202=0,"",ROUNDUP(Y202/H202,0)*0.00502),"")</f>
        <v>1.506E-2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5.2777777777777777</v>
      </c>
      <c r="BN202" s="64">
        <f t="shared" si="12"/>
        <v>5.7</v>
      </c>
      <c r="BO202" s="64">
        <f t="shared" si="13"/>
        <v>1.1870845204178538E-2</v>
      </c>
      <c r="BP202" s="64">
        <f t="shared" si="14"/>
        <v>1.2820512820512822E-2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52">
        <v>4680115884021</v>
      </c>
      <c r="E203" s="553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63"/>
      <c r="R203" s="563"/>
      <c r="S203" s="563"/>
      <c r="T203" s="564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5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54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281.48148148148141</v>
      </c>
      <c r="Y204" s="547">
        <f>IFERROR(Y196/H196,"0")+IFERROR(Y197/H197,"0")+IFERROR(Y198/H198,"0")+IFERROR(Y199/H199,"0")+IFERROR(Y200/H200,"0")+IFERROR(Y201/H201,"0")+IFERROR(Y202/H202,"0")+IFERROR(Y203/H203,"0")</f>
        <v>284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2.5376799999999999</v>
      </c>
      <c r="AA204" s="548"/>
      <c r="AB204" s="548"/>
      <c r="AC204" s="548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7"/>
      <c r="P205" s="554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7">
        <f>IFERROR(SUM(X196:X203),"0")</f>
        <v>1500</v>
      </c>
      <c r="Y205" s="547">
        <f>IFERROR(SUM(Y196:Y203),"0")</f>
        <v>1512.0000000000002</v>
      </c>
      <c r="Z205" s="37"/>
      <c r="AA205" s="548"/>
      <c r="AB205" s="548"/>
      <c r="AC205" s="548"/>
    </row>
    <row r="206" spans="1:68" ht="14.25" hidden="1" customHeight="1" x14ac:dyDescent="0.25">
      <c r="A206" s="565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52">
        <v>4680115881594</v>
      </c>
      <c r="E207" s="553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63"/>
      <c r="R207" s="563"/>
      <c r="S207" s="563"/>
      <c r="T207" s="564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52">
        <v>4680115881617</v>
      </c>
      <c r="E208" s="553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63"/>
      <c r="R208" s="563"/>
      <c r="S208" s="563"/>
      <c r="T208" s="564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52">
        <v>4680115880573</v>
      </c>
      <c r="E209" s="553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8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63"/>
      <c r="R209" s="563"/>
      <c r="S209" s="563"/>
      <c r="T209" s="564"/>
      <c r="U209" s="34"/>
      <c r="V209" s="34"/>
      <c r="W209" s="35" t="s">
        <v>70</v>
      </c>
      <c r="X209" s="545">
        <v>80</v>
      </c>
      <c r="Y209" s="546">
        <f t="shared" si="15"/>
        <v>87</v>
      </c>
      <c r="Z209" s="36">
        <f>IFERROR(IF(Y209=0,"",ROUNDUP(Y209/H209,0)*0.01898),"")</f>
        <v>0.1898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84.542528735632203</v>
      </c>
      <c r="BN209" s="64">
        <f t="shared" si="17"/>
        <v>91.940000000000012</v>
      </c>
      <c r="BO209" s="64">
        <f t="shared" si="18"/>
        <v>0.14367816091954025</v>
      </c>
      <c r="BP209" s="64">
        <f t="shared" si="19"/>
        <v>0.15625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52">
        <v>4680115882195</v>
      </c>
      <c r="E210" s="553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63"/>
      <c r="R210" s="563"/>
      <c r="S210" s="563"/>
      <c r="T210" s="564"/>
      <c r="U210" s="34"/>
      <c r="V210" s="34"/>
      <c r="W210" s="35" t="s">
        <v>70</v>
      </c>
      <c r="X210" s="545">
        <v>16</v>
      </c>
      <c r="Y210" s="546">
        <f t="shared" si="15"/>
        <v>16.8</v>
      </c>
      <c r="Z210" s="36">
        <f t="shared" ref="Z210:Z215" si="20">IFERROR(IF(Y210=0,"",ROUNDUP(Y210/H210,0)*0.00651),"")</f>
        <v>4.5569999999999999E-2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17.8</v>
      </c>
      <c r="BN210" s="64">
        <f t="shared" si="17"/>
        <v>18.690000000000001</v>
      </c>
      <c r="BO210" s="64">
        <f t="shared" si="18"/>
        <v>3.6630036630036632E-2</v>
      </c>
      <c r="BP210" s="64">
        <f t="shared" si="19"/>
        <v>3.8461538461538471E-2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52">
        <v>4680115882607</v>
      </c>
      <c r="E211" s="553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63"/>
      <c r="R211" s="563"/>
      <c r="S211" s="563"/>
      <c r="T211" s="564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52">
        <v>4680115880092</v>
      </c>
      <c r="E212" s="553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63"/>
      <c r="R212" s="563"/>
      <c r="S212" s="563"/>
      <c r="T212" s="564"/>
      <c r="U212" s="34"/>
      <c r="V212" s="34"/>
      <c r="W212" s="35" t="s">
        <v>70</v>
      </c>
      <c r="X212" s="545">
        <v>103</v>
      </c>
      <c r="Y212" s="546">
        <f t="shared" si="15"/>
        <v>103.2</v>
      </c>
      <c r="Z212" s="36">
        <f t="shared" si="20"/>
        <v>0.27993000000000001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113.81500000000001</v>
      </c>
      <c r="BN212" s="64">
        <f t="shared" si="17"/>
        <v>114.03600000000003</v>
      </c>
      <c r="BO212" s="64">
        <f t="shared" si="18"/>
        <v>0.23580586080586086</v>
      </c>
      <c r="BP212" s="64">
        <f t="shared" si="19"/>
        <v>0.23626373626373628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52">
        <v>4680115880221</v>
      </c>
      <c r="E213" s="553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86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63"/>
      <c r="R213" s="563"/>
      <c r="S213" s="563"/>
      <c r="T213" s="564"/>
      <c r="U213" s="34"/>
      <c r="V213" s="34"/>
      <c r="W213" s="35" t="s">
        <v>70</v>
      </c>
      <c r="X213" s="545">
        <v>7</v>
      </c>
      <c r="Y213" s="546">
        <f t="shared" si="15"/>
        <v>7.1999999999999993</v>
      </c>
      <c r="Z213" s="36">
        <f t="shared" si="20"/>
        <v>1.9529999999999999E-2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7.7350000000000003</v>
      </c>
      <c r="BN213" s="64">
        <f t="shared" si="17"/>
        <v>7.9560000000000004</v>
      </c>
      <c r="BO213" s="64">
        <f t="shared" si="18"/>
        <v>1.6025641025641028E-2</v>
      </c>
      <c r="BP213" s="64">
        <f t="shared" si="19"/>
        <v>1.6483516483516484E-2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52">
        <v>4680115880504</v>
      </c>
      <c r="E214" s="553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6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63"/>
      <c r="R214" s="563"/>
      <c r="S214" s="563"/>
      <c r="T214" s="564"/>
      <c r="U214" s="34"/>
      <c r="V214" s="34"/>
      <c r="W214" s="35" t="s">
        <v>70</v>
      </c>
      <c r="X214" s="545">
        <v>103</v>
      </c>
      <c r="Y214" s="546">
        <f t="shared" si="15"/>
        <v>103.2</v>
      </c>
      <c r="Z214" s="36">
        <f t="shared" si="20"/>
        <v>0.27993000000000001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113.81500000000001</v>
      </c>
      <c r="BN214" s="64">
        <f t="shared" si="17"/>
        <v>114.03600000000003</v>
      </c>
      <c r="BO214" s="64">
        <f t="shared" si="18"/>
        <v>0.23580586080586086</v>
      </c>
      <c r="BP214" s="64">
        <f t="shared" si="19"/>
        <v>0.23626373626373628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52">
        <v>4680115882164</v>
      </c>
      <c r="E215" s="553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8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63"/>
      <c r="R215" s="563"/>
      <c r="S215" s="563"/>
      <c r="T215" s="564"/>
      <c r="U215" s="34"/>
      <c r="V215" s="34"/>
      <c r="W215" s="35" t="s">
        <v>70</v>
      </c>
      <c r="X215" s="545">
        <v>103</v>
      </c>
      <c r="Y215" s="546">
        <f t="shared" si="15"/>
        <v>103.2</v>
      </c>
      <c r="Z215" s="36">
        <f t="shared" si="20"/>
        <v>0.27993000000000001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114.07250000000001</v>
      </c>
      <c r="BN215" s="64">
        <f t="shared" si="17"/>
        <v>114.29400000000001</v>
      </c>
      <c r="BO215" s="64">
        <f t="shared" si="18"/>
        <v>0.23580586080586086</v>
      </c>
      <c r="BP215" s="64">
        <f t="shared" si="19"/>
        <v>0.23626373626373628</v>
      </c>
    </row>
    <row r="216" spans="1:68" x14ac:dyDescent="0.2">
      <c r="A216" s="555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54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147.5287356321839</v>
      </c>
      <c r="Y216" s="547">
        <f>IFERROR(Y207/H207,"0")+IFERROR(Y208/H208,"0")+IFERROR(Y209/H209,"0")+IFERROR(Y210/H210,"0")+IFERROR(Y211/H211,"0")+IFERROR(Y212/H212,"0")+IFERROR(Y213/H213,"0")+IFERROR(Y214/H214,"0")+IFERROR(Y215/H215,"0")</f>
        <v>149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1.0946899999999999</v>
      </c>
      <c r="AA216" s="548"/>
      <c r="AB216" s="548"/>
      <c r="AC216" s="548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7"/>
      <c r="P217" s="554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7">
        <f>IFERROR(SUM(X207:X215),"0")</f>
        <v>412</v>
      </c>
      <c r="Y217" s="547">
        <f>IFERROR(SUM(Y207:Y215),"0")</f>
        <v>420.59999999999997</v>
      </c>
      <c r="Z217" s="37"/>
      <c r="AA217" s="548"/>
      <c r="AB217" s="548"/>
      <c r="AC217" s="548"/>
    </row>
    <row r="218" spans="1:68" ht="14.25" hidden="1" customHeight="1" x14ac:dyDescent="0.25">
      <c r="A218" s="565" t="s">
        <v>168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52">
        <v>4680115880818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63"/>
      <c r="R219" s="563"/>
      <c r="S219" s="563"/>
      <c r="T219" s="564"/>
      <c r="U219" s="34"/>
      <c r="V219" s="34"/>
      <c r="W219" s="35" t="s">
        <v>70</v>
      </c>
      <c r="X219" s="545">
        <v>31</v>
      </c>
      <c r="Y219" s="546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34.255000000000003</v>
      </c>
      <c r="BN219" s="64">
        <f>IFERROR(Y219*I219/H219,"0")</f>
        <v>34.476000000000006</v>
      </c>
      <c r="BO219" s="64">
        <f>IFERROR(1/J219*(X219/H219),"0")</f>
        <v>7.0970695970695982E-2</v>
      </c>
      <c r="BP219" s="64">
        <f>IFERROR(1/J219*(Y219/H219),"0")</f>
        <v>7.1428571428571438E-2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52">
        <v>4680115880801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63"/>
      <c r="R220" s="563"/>
      <c r="S220" s="563"/>
      <c r="T220" s="564"/>
      <c r="U220" s="34"/>
      <c r="V220" s="34"/>
      <c r="W220" s="35" t="s">
        <v>70</v>
      </c>
      <c r="X220" s="545">
        <v>31</v>
      </c>
      <c r="Y220" s="546">
        <f>IFERROR(IF(X220="",0,CEILING((X220/$H220),1)*$H220),"")</f>
        <v>31.2</v>
      </c>
      <c r="Z220" s="36">
        <f>IFERROR(IF(Y220=0,"",ROUNDUP(Y220/H220,0)*0.00651),"")</f>
        <v>8.4629999999999997E-2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34.255000000000003</v>
      </c>
      <c r="BN220" s="64">
        <f>IFERROR(Y220*I220/H220,"0")</f>
        <v>34.476000000000006</v>
      </c>
      <c r="BO220" s="64">
        <f>IFERROR(1/J220*(X220/H220),"0")</f>
        <v>7.0970695970695982E-2</v>
      </c>
      <c r="BP220" s="64">
        <f>IFERROR(1/J220*(Y220/H220),"0")</f>
        <v>7.1428571428571438E-2</v>
      </c>
    </row>
    <row r="221" spans="1:68" x14ac:dyDescent="0.2">
      <c r="A221" s="555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54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7">
        <f>IFERROR(X219/H219,"0")+IFERROR(X220/H220,"0")</f>
        <v>25.833333333333336</v>
      </c>
      <c r="Y221" s="547">
        <f>IFERROR(Y219/H219,"0")+IFERROR(Y220/H220,"0")</f>
        <v>26</v>
      </c>
      <c r="Z221" s="547">
        <f>IFERROR(IF(Z219="",0,Z219),"0")+IFERROR(IF(Z220="",0,Z220),"0")</f>
        <v>0.16925999999999999</v>
      </c>
      <c r="AA221" s="548"/>
      <c r="AB221" s="548"/>
      <c r="AC221" s="548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7"/>
      <c r="P222" s="554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7">
        <f>IFERROR(SUM(X219:X220),"0")</f>
        <v>62</v>
      </c>
      <c r="Y222" s="547">
        <f>IFERROR(SUM(Y219:Y220),"0")</f>
        <v>62.4</v>
      </c>
      <c r="Z222" s="37"/>
      <c r="AA222" s="548"/>
      <c r="AB222" s="548"/>
      <c r="AC222" s="548"/>
    </row>
    <row r="223" spans="1:68" ht="16.5" hidden="1" customHeight="1" x14ac:dyDescent="0.25">
      <c r="A223" s="576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40"/>
      <c r="AB223" s="540"/>
      <c r="AC223" s="540"/>
    </row>
    <row r="224" spans="1:68" ht="14.25" hidden="1" customHeight="1" x14ac:dyDescent="0.25">
      <c r="A224" s="565" t="s">
        <v>105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52">
        <v>4680115884137</v>
      </c>
      <c r="E225" s="553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6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63"/>
      <c r="R225" s="563"/>
      <c r="S225" s="563"/>
      <c r="T225" s="564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52">
        <v>4680115884236</v>
      </c>
      <c r="E226" s="553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6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63"/>
      <c r="R226" s="563"/>
      <c r="S226" s="563"/>
      <c r="T226" s="564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52">
        <v>4680115884175</v>
      </c>
      <c r="E227" s="553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6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63"/>
      <c r="R227" s="563"/>
      <c r="S227" s="563"/>
      <c r="T227" s="564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52">
        <v>4680115884144</v>
      </c>
      <c r="E228" s="553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5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63"/>
      <c r="R228" s="563"/>
      <c r="S228" s="563"/>
      <c r="T228" s="564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52">
        <v>4680115884144</v>
      </c>
      <c r="E229" s="553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63"/>
      <c r="R229" s="563"/>
      <c r="S229" s="563"/>
      <c r="T229" s="564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52">
        <v>4680115886551</v>
      </c>
      <c r="E230" s="553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63"/>
      <c r="R230" s="563"/>
      <c r="S230" s="563"/>
      <c r="T230" s="564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52">
        <v>4680115884182</v>
      </c>
      <c r="E231" s="553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87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63"/>
      <c r="R231" s="563"/>
      <c r="S231" s="563"/>
      <c r="T231" s="564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52">
        <v>4680115887282</v>
      </c>
      <c r="E232" s="553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63"/>
      <c r="R232" s="563"/>
      <c r="S232" s="563"/>
      <c r="T232" s="564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52">
        <v>4680115884205</v>
      </c>
      <c r="E233" s="553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63"/>
      <c r="R233" s="563"/>
      <c r="S233" s="563"/>
      <c r="T233" s="564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52">
        <v>4680115884205</v>
      </c>
      <c r="E234" s="553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8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63"/>
      <c r="R234" s="563"/>
      <c r="S234" s="563"/>
      <c r="T234" s="564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5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54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7"/>
      <c r="P236" s="554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65" t="s">
        <v>140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52">
        <v>4680115885981</v>
      </c>
      <c r="E238" s="553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63"/>
      <c r="R238" s="563"/>
      <c r="S238" s="563"/>
      <c r="T238" s="564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5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54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7"/>
      <c r="P240" s="554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65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52">
        <v>4680115886803</v>
      </c>
      <c r="E242" s="553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63"/>
      <c r="R242" s="563"/>
      <c r="S242" s="563"/>
      <c r="T242" s="564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5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54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7"/>
      <c r="P244" s="554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65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52">
        <v>4680115886704</v>
      </c>
      <c r="E246" s="553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6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63"/>
      <c r="R246" s="563"/>
      <c r="S246" s="563"/>
      <c r="T246" s="564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52">
        <v>4680115886681</v>
      </c>
      <c r="E247" s="553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63"/>
      <c r="R247" s="563"/>
      <c r="S247" s="563"/>
      <c r="T247" s="564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52">
        <v>4680115886735</v>
      </c>
      <c r="E248" s="553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63"/>
      <c r="R248" s="563"/>
      <c r="S248" s="563"/>
      <c r="T248" s="564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52">
        <v>4680115886728</v>
      </c>
      <c r="E249" s="553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6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63"/>
      <c r="R249" s="563"/>
      <c r="S249" s="563"/>
      <c r="T249" s="564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52">
        <v>4680115886711</v>
      </c>
      <c r="E250" s="553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63"/>
      <c r="R250" s="563"/>
      <c r="S250" s="563"/>
      <c r="T250" s="564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5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54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7"/>
      <c r="P252" s="554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76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40"/>
      <c r="AB253" s="540"/>
      <c r="AC253" s="540"/>
    </row>
    <row r="254" spans="1:68" ht="14.25" hidden="1" customHeight="1" x14ac:dyDescent="0.25">
      <c r="A254" s="565" t="s">
        <v>105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52">
        <v>4680115885837</v>
      </c>
      <c r="E255" s="553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63"/>
      <c r="R255" s="563"/>
      <c r="S255" s="563"/>
      <c r="T255" s="564"/>
      <c r="U255" s="34"/>
      <c r="V255" s="34"/>
      <c r="W255" s="35" t="s">
        <v>70</v>
      </c>
      <c r="X255" s="545">
        <v>20</v>
      </c>
      <c r="Y255" s="546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20.75925925925926</v>
      </c>
      <c r="BN255" s="64">
        <f>IFERROR(Y255*I255/H255,"0")</f>
        <v>22.42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52">
        <v>4680115885851</v>
      </c>
      <c r="E256" s="553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69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63"/>
      <c r="R256" s="563"/>
      <c r="S256" s="563"/>
      <c r="T256" s="564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52">
        <v>4680115885806</v>
      </c>
      <c r="E257" s="553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63"/>
      <c r="R257" s="563"/>
      <c r="S257" s="563"/>
      <c r="T257" s="564"/>
      <c r="U257" s="34"/>
      <c r="V257" s="34"/>
      <c r="W257" s="35" t="s">
        <v>70</v>
      </c>
      <c r="X257" s="545">
        <v>30</v>
      </c>
      <c r="Y257" s="546">
        <f>IFERROR(IF(X257="",0,CEILING((X257/$H257),1)*$H257),"")</f>
        <v>32.400000000000006</v>
      </c>
      <c r="Z257" s="36">
        <f>IFERROR(IF(Y257=0,"",ROUNDUP(Y257/H257,0)*0.01898),"")</f>
        <v>5.6940000000000004E-2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31.138888888888889</v>
      </c>
      <c r="BN257" s="64">
        <f>IFERROR(Y257*I257/H257,"0")</f>
        <v>33.630000000000003</v>
      </c>
      <c r="BO257" s="64">
        <f>IFERROR(1/J257*(X257/H257),"0")</f>
        <v>4.3402777777777776E-2</v>
      </c>
      <c r="BP257" s="64">
        <f>IFERROR(1/J257*(Y257/H257),"0")</f>
        <v>4.6875000000000007E-2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52">
        <v>4680115885844</v>
      </c>
      <c r="E258" s="553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63"/>
      <c r="R258" s="563"/>
      <c r="S258" s="563"/>
      <c r="T258" s="564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52">
        <v>4680115885820</v>
      </c>
      <c r="E259" s="553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8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63"/>
      <c r="R259" s="563"/>
      <c r="S259" s="563"/>
      <c r="T259" s="564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5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54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7">
        <f>IFERROR(X255/H255,"0")+IFERROR(X256/H256,"0")+IFERROR(X257/H257,"0")+IFERROR(X258/H258,"0")+IFERROR(X259/H259,"0")</f>
        <v>4.6296296296296298</v>
      </c>
      <c r="Y260" s="547">
        <f>IFERROR(Y255/H255,"0")+IFERROR(Y256/H256,"0")+IFERROR(Y257/H257,"0")+IFERROR(Y258/H258,"0")+IFERROR(Y259/H259,"0")</f>
        <v>5</v>
      </c>
      <c r="Z260" s="547">
        <f>IFERROR(IF(Z255="",0,Z255),"0")+IFERROR(IF(Z256="",0,Z256),"0")+IFERROR(IF(Z257="",0,Z257),"0")+IFERROR(IF(Z258="",0,Z258),"0")+IFERROR(IF(Z259="",0,Z259),"0")</f>
        <v>9.4900000000000012E-2</v>
      </c>
      <c r="AA260" s="548"/>
      <c r="AB260" s="548"/>
      <c r="AC260" s="548"/>
    </row>
    <row r="261" spans="1:68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7"/>
      <c r="P261" s="554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7">
        <f>IFERROR(SUM(X255:X259),"0")</f>
        <v>50</v>
      </c>
      <c r="Y261" s="547">
        <f>IFERROR(SUM(Y255:Y259),"0")</f>
        <v>54.000000000000007</v>
      </c>
      <c r="Z261" s="37"/>
      <c r="AA261" s="548"/>
      <c r="AB261" s="548"/>
      <c r="AC261" s="548"/>
    </row>
    <row r="262" spans="1:68" ht="16.5" hidden="1" customHeight="1" x14ac:dyDescent="0.25">
      <c r="A262" s="576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40"/>
      <c r="AB262" s="540"/>
      <c r="AC262" s="540"/>
    </row>
    <row r="263" spans="1:68" ht="14.25" hidden="1" customHeight="1" x14ac:dyDescent="0.25">
      <c r="A263" s="565" t="s">
        <v>105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52">
        <v>4607091383423</v>
      </c>
      <c r="E264" s="553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63"/>
      <c r="R264" s="563"/>
      <c r="S264" s="563"/>
      <c r="T264" s="564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52">
        <v>4680115886957</v>
      </c>
      <c r="E265" s="553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8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63"/>
      <c r="R265" s="563"/>
      <c r="S265" s="563"/>
      <c r="T265" s="564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52">
        <v>4680115885660</v>
      </c>
      <c r="E266" s="553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8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63"/>
      <c r="R266" s="563"/>
      <c r="S266" s="563"/>
      <c r="T266" s="564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52">
        <v>4680115886773</v>
      </c>
      <c r="E267" s="553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3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63"/>
      <c r="R267" s="563"/>
      <c r="S267" s="563"/>
      <c r="T267" s="564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5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54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7"/>
      <c r="P269" s="554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76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40"/>
      <c r="AB270" s="540"/>
      <c r="AC270" s="540"/>
    </row>
    <row r="271" spans="1:68" ht="14.25" hidden="1" customHeight="1" x14ac:dyDescent="0.25">
      <c r="A271" s="565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52">
        <v>4680115886186</v>
      </c>
      <c r="E272" s="553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63"/>
      <c r="R272" s="563"/>
      <c r="S272" s="563"/>
      <c r="T272" s="564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52">
        <v>4680115881228</v>
      </c>
      <c r="E273" s="553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8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63"/>
      <c r="R273" s="563"/>
      <c r="S273" s="563"/>
      <c r="T273" s="564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52">
        <v>4680115881211</v>
      </c>
      <c r="E274" s="553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63"/>
      <c r="R274" s="563"/>
      <c r="S274" s="563"/>
      <c r="T274" s="564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5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54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7"/>
      <c r="P276" s="554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76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40"/>
      <c r="AB277" s="540"/>
      <c r="AC277" s="540"/>
    </row>
    <row r="278" spans="1:68" ht="14.25" hidden="1" customHeight="1" x14ac:dyDescent="0.25">
      <c r="A278" s="565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52">
        <v>4680115880344</v>
      </c>
      <c r="E279" s="553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63"/>
      <c r="R279" s="563"/>
      <c r="S279" s="563"/>
      <c r="T279" s="564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52">
        <v>4680115886919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7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63"/>
      <c r="R280" s="563"/>
      <c r="S280" s="563"/>
      <c r="T280" s="564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5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54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7"/>
      <c r="P282" s="554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65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52">
        <v>4680115884618</v>
      </c>
      <c r="E284" s="553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7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63"/>
      <c r="R284" s="563"/>
      <c r="S284" s="563"/>
      <c r="T284" s="564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52">
        <v>4680115887114</v>
      </c>
      <c r="E285" s="553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63"/>
      <c r="R285" s="563"/>
      <c r="S285" s="563"/>
      <c r="T285" s="564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5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7"/>
      <c r="P286" s="554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7"/>
      <c r="P287" s="554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76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40"/>
      <c r="AB288" s="540"/>
      <c r="AC288" s="540"/>
    </row>
    <row r="289" spans="1:68" ht="14.25" hidden="1" customHeight="1" x14ac:dyDescent="0.25">
      <c r="A289" s="565" t="s">
        <v>105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52">
        <v>4607091386004</v>
      </c>
      <c r="E290" s="553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63"/>
      <c r="R290" s="563"/>
      <c r="S290" s="563"/>
      <c r="T290" s="564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52">
        <v>4680115885615</v>
      </c>
      <c r="E291" s="553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5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63"/>
      <c r="R291" s="563"/>
      <c r="S291" s="563"/>
      <c r="T291" s="564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52">
        <v>4680115885646</v>
      </c>
      <c r="E292" s="553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59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63"/>
      <c r="R292" s="563"/>
      <c r="S292" s="563"/>
      <c r="T292" s="564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52">
        <v>4680115885554</v>
      </c>
      <c r="E293" s="553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5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63"/>
      <c r="R293" s="563"/>
      <c r="S293" s="563"/>
      <c r="T293" s="564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52">
        <v>4680115885622</v>
      </c>
      <c r="E294" s="553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60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63"/>
      <c r="R294" s="563"/>
      <c r="S294" s="563"/>
      <c r="T294" s="564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52">
        <v>4680115885608</v>
      </c>
      <c r="E295" s="553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6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63"/>
      <c r="R295" s="563"/>
      <c r="S295" s="563"/>
      <c r="T295" s="564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5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7"/>
      <c r="P296" s="554" t="s">
        <v>76</v>
      </c>
      <c r="Q296" s="550"/>
      <c r="R296" s="550"/>
      <c r="S296" s="550"/>
      <c r="T296" s="550"/>
      <c r="U296" s="550"/>
      <c r="V296" s="551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7"/>
      <c r="P297" s="554" t="s">
        <v>76</v>
      </c>
      <c r="Q297" s="550"/>
      <c r="R297" s="550"/>
      <c r="S297" s="550"/>
      <c r="T297" s="550"/>
      <c r="U297" s="550"/>
      <c r="V297" s="551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65" t="s">
        <v>64</v>
      </c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52">
        <v>4607091387193</v>
      </c>
      <c r="E299" s="553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63"/>
      <c r="R299" s="563"/>
      <c r="S299" s="563"/>
      <c r="T299" s="564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52">
        <v>4607091387230</v>
      </c>
      <c r="E300" s="553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76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63"/>
      <c r="R300" s="563"/>
      <c r="S300" s="563"/>
      <c r="T300" s="564"/>
      <c r="U300" s="34"/>
      <c r="V300" s="34"/>
      <c r="W300" s="35" t="s">
        <v>70</v>
      </c>
      <c r="X300" s="545">
        <v>60</v>
      </c>
      <c r="Y300" s="546">
        <f t="shared" si="31"/>
        <v>63</v>
      </c>
      <c r="Z300" s="36">
        <f>IFERROR(IF(Y300=0,"",ROUNDUP(Y300/H300,0)*0.00902),"")</f>
        <v>0.1353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63.571428571428569</v>
      </c>
      <c r="BN300" s="64">
        <f t="shared" si="33"/>
        <v>66.75</v>
      </c>
      <c r="BO300" s="64">
        <f t="shared" si="34"/>
        <v>0.10822510822510822</v>
      </c>
      <c r="BP300" s="64">
        <f t="shared" si="35"/>
        <v>0.11363636363636365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52">
        <v>4607091387292</v>
      </c>
      <c r="E301" s="553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6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63"/>
      <c r="R301" s="563"/>
      <c r="S301" s="563"/>
      <c r="T301" s="564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52">
        <v>4607091387285</v>
      </c>
      <c r="E302" s="553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63"/>
      <c r="R302" s="563"/>
      <c r="S302" s="563"/>
      <c r="T302" s="564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52">
        <v>4607091389845</v>
      </c>
      <c r="E303" s="553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63"/>
      <c r="R303" s="563"/>
      <c r="S303" s="563"/>
      <c r="T303" s="564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52">
        <v>4607091383836</v>
      </c>
      <c r="E304" s="553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63"/>
      <c r="R304" s="563"/>
      <c r="S304" s="563"/>
      <c r="T304" s="564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5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54" t="s">
        <v>76</v>
      </c>
      <c r="Q305" s="550"/>
      <c r="R305" s="550"/>
      <c r="S305" s="550"/>
      <c r="T305" s="550"/>
      <c r="U305" s="550"/>
      <c r="V305" s="551"/>
      <c r="W305" s="37" t="s">
        <v>77</v>
      </c>
      <c r="X305" s="547">
        <f>IFERROR(X299/H299,"0")+IFERROR(X300/H300,"0")+IFERROR(X301/H301,"0")+IFERROR(X302/H302,"0")+IFERROR(X303/H303,"0")+IFERROR(X304/H304,"0")</f>
        <v>14.285714285714285</v>
      </c>
      <c r="Y305" s="547">
        <f>IFERROR(Y299/H299,"0")+IFERROR(Y300/H300,"0")+IFERROR(Y301/H301,"0")+IFERROR(Y302/H302,"0")+IFERROR(Y303/H303,"0")+IFERROR(Y304/H304,"0")</f>
        <v>15</v>
      </c>
      <c r="Z305" s="547">
        <f>IFERROR(IF(Z299="",0,Z299),"0")+IFERROR(IF(Z300="",0,Z300),"0")+IFERROR(IF(Z301="",0,Z301),"0")+IFERROR(IF(Z302="",0,Z302),"0")+IFERROR(IF(Z303="",0,Z303),"0")+IFERROR(IF(Z304="",0,Z304),"0")</f>
        <v>0.1353</v>
      </c>
      <c r="AA305" s="548"/>
      <c r="AB305" s="548"/>
      <c r="AC305" s="548"/>
    </row>
    <row r="306" spans="1:68" x14ac:dyDescent="0.2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7"/>
      <c r="P306" s="554" t="s">
        <v>76</v>
      </c>
      <c r="Q306" s="550"/>
      <c r="R306" s="550"/>
      <c r="S306" s="550"/>
      <c r="T306" s="550"/>
      <c r="U306" s="550"/>
      <c r="V306" s="551"/>
      <c r="W306" s="37" t="s">
        <v>70</v>
      </c>
      <c r="X306" s="547">
        <f>IFERROR(SUM(X299:X304),"0")</f>
        <v>60</v>
      </c>
      <c r="Y306" s="547">
        <f>IFERROR(SUM(Y299:Y304),"0")</f>
        <v>63</v>
      </c>
      <c r="Z306" s="37"/>
      <c r="AA306" s="548"/>
      <c r="AB306" s="548"/>
      <c r="AC306" s="548"/>
    </row>
    <row r="307" spans="1:68" ht="14.25" hidden="1" customHeight="1" x14ac:dyDescent="0.25">
      <c r="A307" s="565" t="s">
        <v>78</v>
      </c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52">
        <v>4607091387766</v>
      </c>
      <c r="E308" s="553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8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63"/>
      <c r="R308" s="563"/>
      <c r="S308" s="563"/>
      <c r="T308" s="564"/>
      <c r="U308" s="34"/>
      <c r="V308" s="34"/>
      <c r="W308" s="35" t="s">
        <v>70</v>
      </c>
      <c r="X308" s="545">
        <v>1000</v>
      </c>
      <c r="Y308" s="546">
        <f>IFERROR(IF(X308="",0,CEILING((X308/$H308),1)*$H308),"")</f>
        <v>1006.1999999999999</v>
      </c>
      <c r="Z308" s="36">
        <f>IFERROR(IF(Y308=0,"",ROUNDUP(Y308/H308,0)*0.01898),"")</f>
        <v>2.44842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1062.5641025641025</v>
      </c>
      <c r="BN308" s="64">
        <f>IFERROR(Y308*I308/H308,"0")</f>
        <v>1069.152</v>
      </c>
      <c r="BO308" s="64">
        <f>IFERROR(1/J308*(X308/H308),"0")</f>
        <v>2.0032051282051282</v>
      </c>
      <c r="BP308" s="64">
        <f>IFERROR(1/J308*(Y308/H308),"0")</f>
        <v>2.015625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52">
        <v>4607091387957</v>
      </c>
      <c r="E309" s="553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63"/>
      <c r="R309" s="563"/>
      <c r="S309" s="563"/>
      <c r="T309" s="564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52">
        <v>4607091387964</v>
      </c>
      <c r="E310" s="553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63"/>
      <c r="R310" s="563"/>
      <c r="S310" s="563"/>
      <c r="T310" s="564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52">
        <v>4680115884588</v>
      </c>
      <c r="E311" s="553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63"/>
      <c r="R311" s="563"/>
      <c r="S311" s="563"/>
      <c r="T311" s="564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54" t="s">
        <v>76</v>
      </c>
      <c r="Q312" s="550"/>
      <c r="R312" s="550"/>
      <c r="S312" s="550"/>
      <c r="T312" s="550"/>
      <c r="U312" s="550"/>
      <c r="V312" s="551"/>
      <c r="W312" s="37" t="s">
        <v>77</v>
      </c>
      <c r="X312" s="547">
        <f>IFERROR(X308/H308,"0")+IFERROR(X309/H309,"0")+IFERROR(X310/H310,"0")+IFERROR(X311/H311,"0")</f>
        <v>128.2051282051282</v>
      </c>
      <c r="Y312" s="547">
        <f>IFERROR(Y308/H308,"0")+IFERROR(Y309/H309,"0")+IFERROR(Y310/H310,"0")+IFERROR(Y311/H311,"0")</f>
        <v>129</v>
      </c>
      <c r="Z312" s="547">
        <f>IFERROR(IF(Z308="",0,Z308),"0")+IFERROR(IF(Z309="",0,Z309),"0")+IFERROR(IF(Z310="",0,Z310),"0")+IFERROR(IF(Z311="",0,Z311),"0")</f>
        <v>2.44842</v>
      </c>
      <c r="AA312" s="548"/>
      <c r="AB312" s="548"/>
      <c r="AC312" s="548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54" t="s">
        <v>76</v>
      </c>
      <c r="Q313" s="550"/>
      <c r="R313" s="550"/>
      <c r="S313" s="550"/>
      <c r="T313" s="550"/>
      <c r="U313" s="550"/>
      <c r="V313" s="551"/>
      <c r="W313" s="37" t="s">
        <v>70</v>
      </c>
      <c r="X313" s="547">
        <f>IFERROR(SUM(X308:X311),"0")</f>
        <v>1000</v>
      </c>
      <c r="Y313" s="547">
        <f>IFERROR(SUM(Y308:Y311),"0")</f>
        <v>1006.1999999999999</v>
      </c>
      <c r="Z313" s="37"/>
      <c r="AA313" s="548"/>
      <c r="AB313" s="548"/>
      <c r="AC313" s="548"/>
    </row>
    <row r="314" spans="1:68" ht="14.25" hidden="1" customHeight="1" x14ac:dyDescent="0.25">
      <c r="A314" s="565" t="s">
        <v>168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52">
        <v>4607091380880</v>
      </c>
      <c r="E315" s="553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8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63"/>
      <c r="R315" s="563"/>
      <c r="S315" s="563"/>
      <c r="T315" s="564"/>
      <c r="U315" s="34"/>
      <c r="V315" s="34"/>
      <c r="W315" s="35" t="s">
        <v>70</v>
      </c>
      <c r="X315" s="545">
        <v>60</v>
      </c>
      <c r="Y315" s="546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63.528571428571425</v>
      </c>
      <c r="BN315" s="64">
        <f>IFERROR(Y315*I315/H315,"0")</f>
        <v>71.152000000000001</v>
      </c>
      <c r="BO315" s="64">
        <f>IFERROR(1/J315*(X315/H315),"0")</f>
        <v>0.11160714285714285</v>
      </c>
      <c r="BP315" s="64">
        <f>IFERROR(1/J315*(Y315/H315),"0")</f>
        <v>0.125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52">
        <v>4607091384482</v>
      </c>
      <c r="E316" s="553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8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63"/>
      <c r="R316" s="563"/>
      <c r="S316" s="563"/>
      <c r="T316" s="564"/>
      <c r="U316" s="34"/>
      <c r="V316" s="34"/>
      <c r="W316" s="35" t="s">
        <v>70</v>
      </c>
      <c r="X316" s="545">
        <v>120</v>
      </c>
      <c r="Y316" s="546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52">
        <v>4607091380897</v>
      </c>
      <c r="E317" s="553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6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63"/>
      <c r="R317" s="563"/>
      <c r="S317" s="563"/>
      <c r="T317" s="564"/>
      <c r="U317" s="34"/>
      <c r="V317" s="34"/>
      <c r="W317" s="35" t="s">
        <v>70</v>
      </c>
      <c r="X317" s="545">
        <v>80</v>
      </c>
      <c r="Y317" s="546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84.704761904761895</v>
      </c>
      <c r="BN317" s="64">
        <f>IFERROR(Y317*I317/H317,"0")</f>
        <v>88.94</v>
      </c>
      <c r="BO317" s="64">
        <f>IFERROR(1/J317*(X317/H317),"0")</f>
        <v>0.14880952380952381</v>
      </c>
      <c r="BP317" s="64">
        <f>IFERROR(1/J317*(Y317/H317),"0")</f>
        <v>0.15625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54" t="s">
        <v>76</v>
      </c>
      <c r="Q318" s="550"/>
      <c r="R318" s="550"/>
      <c r="S318" s="550"/>
      <c r="T318" s="550"/>
      <c r="U318" s="550"/>
      <c r="V318" s="551"/>
      <c r="W318" s="37" t="s">
        <v>77</v>
      </c>
      <c r="X318" s="547">
        <f>IFERROR(X315/H315,"0")+IFERROR(X316/H316,"0")+IFERROR(X317/H317,"0")</f>
        <v>32.051282051282051</v>
      </c>
      <c r="Y318" s="547">
        <f>IFERROR(Y315/H315,"0")+IFERROR(Y316/H316,"0")+IFERROR(Y317/H317,"0")</f>
        <v>34</v>
      </c>
      <c r="Z318" s="547">
        <f>IFERROR(IF(Z315="",0,Z315),"0")+IFERROR(IF(Z316="",0,Z316),"0")+IFERROR(IF(Z317="",0,Z317),"0")</f>
        <v>0.64532</v>
      </c>
      <c r="AA318" s="548"/>
      <c r="AB318" s="548"/>
      <c r="AC318" s="548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54" t="s">
        <v>76</v>
      </c>
      <c r="Q319" s="550"/>
      <c r="R319" s="550"/>
      <c r="S319" s="550"/>
      <c r="T319" s="550"/>
      <c r="U319" s="550"/>
      <c r="V319" s="551"/>
      <c r="W319" s="37" t="s">
        <v>70</v>
      </c>
      <c r="X319" s="547">
        <f>IFERROR(SUM(X315:X317),"0")</f>
        <v>260</v>
      </c>
      <c r="Y319" s="547">
        <f>IFERROR(SUM(Y315:Y317),"0")</f>
        <v>276</v>
      </c>
      <c r="Z319" s="37"/>
      <c r="AA319" s="548"/>
      <c r="AB319" s="548"/>
      <c r="AC319" s="548"/>
    </row>
    <row r="320" spans="1:68" ht="14.25" hidden="1" customHeight="1" x14ac:dyDescent="0.25">
      <c r="A320" s="565" t="s">
        <v>97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52">
        <v>4607091388381</v>
      </c>
      <c r="E321" s="553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6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63"/>
      <c r="R321" s="563"/>
      <c r="S321" s="563"/>
      <c r="T321" s="564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52">
        <v>4607091388374</v>
      </c>
      <c r="E322" s="553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63"/>
      <c r="R322" s="563"/>
      <c r="S322" s="563"/>
      <c r="T322" s="564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52">
        <v>4607091383102</v>
      </c>
      <c r="E323" s="553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63"/>
      <c r="R323" s="563"/>
      <c r="S323" s="563"/>
      <c r="T323" s="564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52">
        <v>4607091388404</v>
      </c>
      <c r="E324" s="553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63"/>
      <c r="R324" s="563"/>
      <c r="S324" s="563"/>
      <c r="T324" s="564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54" t="s">
        <v>76</v>
      </c>
      <c r="Q325" s="550"/>
      <c r="R325" s="550"/>
      <c r="S325" s="550"/>
      <c r="T325" s="550"/>
      <c r="U325" s="550"/>
      <c r="V325" s="551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54" t="s">
        <v>76</v>
      </c>
      <c r="Q326" s="550"/>
      <c r="R326" s="550"/>
      <c r="S326" s="550"/>
      <c r="T326" s="550"/>
      <c r="U326" s="550"/>
      <c r="V326" s="551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65" t="s">
        <v>515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52">
        <v>4680115881808</v>
      </c>
      <c r="E328" s="553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63"/>
      <c r="R328" s="563"/>
      <c r="S328" s="563"/>
      <c r="T328" s="564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52">
        <v>4680115881822</v>
      </c>
      <c r="E329" s="553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8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63"/>
      <c r="R329" s="563"/>
      <c r="S329" s="563"/>
      <c r="T329" s="564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52">
        <v>4680115880016</v>
      </c>
      <c r="E330" s="553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63"/>
      <c r="R330" s="563"/>
      <c r="S330" s="563"/>
      <c r="T330" s="564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54" t="s">
        <v>76</v>
      </c>
      <c r="Q331" s="550"/>
      <c r="R331" s="550"/>
      <c r="S331" s="550"/>
      <c r="T331" s="550"/>
      <c r="U331" s="550"/>
      <c r="V331" s="551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54" t="s">
        <v>76</v>
      </c>
      <c r="Q332" s="550"/>
      <c r="R332" s="550"/>
      <c r="S332" s="550"/>
      <c r="T332" s="550"/>
      <c r="U332" s="550"/>
      <c r="V332" s="551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76" t="s">
        <v>524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40"/>
      <c r="AB333" s="540"/>
      <c r="AC333" s="540"/>
    </row>
    <row r="334" spans="1:68" ht="14.25" hidden="1" customHeight="1" x14ac:dyDescent="0.25">
      <c r="A334" s="565" t="s">
        <v>78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52">
        <v>4607091387919</v>
      </c>
      <c r="E335" s="553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63"/>
      <c r="R335" s="563"/>
      <c r="S335" s="563"/>
      <c r="T335" s="564"/>
      <c r="U335" s="34"/>
      <c r="V335" s="34"/>
      <c r="W335" s="35" t="s">
        <v>70</v>
      </c>
      <c r="X335" s="545">
        <v>90</v>
      </c>
      <c r="Y335" s="546">
        <f>IFERROR(IF(X335="",0,CEILING((X335/$H335),1)*$H335),"")</f>
        <v>97.199999999999989</v>
      </c>
      <c r="Z335" s="36">
        <f>IFERROR(IF(Y335=0,"",ROUNDUP(Y335/H335,0)*0.01898),"")</f>
        <v>0.22776000000000002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95.48888888888888</v>
      </c>
      <c r="BN335" s="64">
        <f>IFERROR(Y335*I335/H335,"0")</f>
        <v>103.12799999999999</v>
      </c>
      <c r="BO335" s="64">
        <f>IFERROR(1/J335*(X335/H335),"0")</f>
        <v>0.1736111111111111</v>
      </c>
      <c r="BP335" s="64">
        <f>IFERROR(1/J335*(Y335/H335),"0")</f>
        <v>0.1875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52">
        <v>4680115883604</v>
      </c>
      <c r="E336" s="553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6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63"/>
      <c r="R336" s="563"/>
      <c r="S336" s="563"/>
      <c r="T336" s="564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52">
        <v>4680115883567</v>
      </c>
      <c r="E337" s="553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63"/>
      <c r="R337" s="563"/>
      <c r="S337" s="563"/>
      <c r="T337" s="564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54" t="s">
        <v>76</v>
      </c>
      <c r="Q338" s="550"/>
      <c r="R338" s="550"/>
      <c r="S338" s="550"/>
      <c r="T338" s="550"/>
      <c r="U338" s="550"/>
      <c r="V338" s="551"/>
      <c r="W338" s="37" t="s">
        <v>77</v>
      </c>
      <c r="X338" s="547">
        <f>IFERROR(X335/H335,"0")+IFERROR(X336/H336,"0")+IFERROR(X337/H337,"0")</f>
        <v>11.111111111111111</v>
      </c>
      <c r="Y338" s="547">
        <f>IFERROR(Y335/H335,"0")+IFERROR(Y336/H336,"0")+IFERROR(Y337/H337,"0")</f>
        <v>12</v>
      </c>
      <c r="Z338" s="547">
        <f>IFERROR(IF(Z335="",0,Z335),"0")+IFERROR(IF(Z336="",0,Z336),"0")+IFERROR(IF(Z337="",0,Z337),"0")</f>
        <v>0.22776000000000002</v>
      </c>
      <c r="AA338" s="548"/>
      <c r="AB338" s="548"/>
      <c r="AC338" s="548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54" t="s">
        <v>76</v>
      </c>
      <c r="Q339" s="550"/>
      <c r="R339" s="550"/>
      <c r="S339" s="550"/>
      <c r="T339" s="550"/>
      <c r="U339" s="550"/>
      <c r="V339" s="551"/>
      <c r="W339" s="37" t="s">
        <v>70</v>
      </c>
      <c r="X339" s="547">
        <f>IFERROR(SUM(X335:X337),"0")</f>
        <v>90</v>
      </c>
      <c r="Y339" s="547">
        <f>IFERROR(SUM(Y335:Y337),"0")</f>
        <v>97.199999999999989</v>
      </c>
      <c r="Z339" s="37"/>
      <c r="AA339" s="548"/>
      <c r="AB339" s="548"/>
      <c r="AC339" s="548"/>
    </row>
    <row r="340" spans="1:68" ht="27.75" hidden="1" customHeight="1" x14ac:dyDescent="0.2">
      <c r="A340" s="636" t="s">
        <v>534</v>
      </c>
      <c r="B340" s="63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637"/>
      <c r="O340" s="637"/>
      <c r="P340" s="637"/>
      <c r="Q340" s="637"/>
      <c r="R340" s="637"/>
      <c r="S340" s="637"/>
      <c r="T340" s="637"/>
      <c r="U340" s="637"/>
      <c r="V340" s="637"/>
      <c r="W340" s="637"/>
      <c r="X340" s="637"/>
      <c r="Y340" s="637"/>
      <c r="Z340" s="637"/>
      <c r="AA340" s="48"/>
      <c r="AB340" s="48"/>
      <c r="AC340" s="48"/>
    </row>
    <row r="341" spans="1:68" ht="16.5" hidden="1" customHeight="1" x14ac:dyDescent="0.25">
      <c r="A341" s="576" t="s">
        <v>535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40"/>
      <c r="AB341" s="540"/>
      <c r="AC341" s="540"/>
    </row>
    <row r="342" spans="1:68" ht="14.25" hidden="1" customHeight="1" x14ac:dyDescent="0.25">
      <c r="A342" s="565" t="s">
        <v>105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52">
        <v>4680115884847</v>
      </c>
      <c r="E343" s="553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69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63"/>
      <c r="R343" s="563"/>
      <c r="S343" s="563"/>
      <c r="T343" s="564"/>
      <c r="U343" s="34"/>
      <c r="V343" s="34"/>
      <c r="W343" s="35" t="s">
        <v>70</v>
      </c>
      <c r="X343" s="545">
        <v>3000</v>
      </c>
      <c r="Y343" s="546">
        <f t="shared" ref="Y343:Y349" si="36">IFERROR(IF(X343="",0,CEILING((X343/$H343),1)*$H343),"")</f>
        <v>3000</v>
      </c>
      <c r="Z343" s="36">
        <f>IFERROR(IF(Y343=0,"",ROUNDUP(Y343/H343,0)*0.02175),"")</f>
        <v>4.3499999999999996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3094</v>
      </c>
      <c r="BN343" s="64">
        <f t="shared" ref="BN343:BN349" si="38">IFERROR(Y343*I343/H343,"0")</f>
        <v>3094</v>
      </c>
      <c r="BO343" s="64">
        <f t="shared" ref="BO343:BO349" si="39">IFERROR(1/J343*(X343/H343),"0")</f>
        <v>4.1666666666666661</v>
      </c>
      <c r="BP343" s="64">
        <f t="shared" ref="BP343:BP349" si="40">IFERROR(1/J343*(Y343/H343),"0")</f>
        <v>4.1666666666666661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52">
        <v>4680115884854</v>
      </c>
      <c r="E344" s="553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63"/>
      <c r="R344" s="563"/>
      <c r="S344" s="563"/>
      <c r="T344" s="564"/>
      <c r="U344" s="34"/>
      <c r="V344" s="34"/>
      <c r="W344" s="35" t="s">
        <v>70</v>
      </c>
      <c r="X344" s="545">
        <v>2500</v>
      </c>
      <c r="Y344" s="546">
        <f t="shared" si="36"/>
        <v>2505</v>
      </c>
      <c r="Z344" s="36">
        <f>IFERROR(IF(Y344=0,"",ROUNDUP(Y344/H344,0)*0.02175),"")</f>
        <v>3.6322499999999995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2578.3333333333335</v>
      </c>
      <c r="BN344" s="64">
        <f t="shared" si="38"/>
        <v>2583.4899999999998</v>
      </c>
      <c r="BO344" s="64">
        <f t="shared" si="39"/>
        <v>3.4722222222222219</v>
      </c>
      <c r="BP344" s="64">
        <f t="shared" si="40"/>
        <v>3.4791666666666665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52">
        <v>4680115884830</v>
      </c>
      <c r="E345" s="553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63"/>
      <c r="R345" s="563"/>
      <c r="S345" s="563"/>
      <c r="T345" s="564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52">
        <v>4680115887046</v>
      </c>
      <c r="E346" s="553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64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63"/>
      <c r="R346" s="563"/>
      <c r="S346" s="563"/>
      <c r="T346" s="564"/>
      <c r="U346" s="34"/>
      <c r="V346" s="34"/>
      <c r="W346" s="35" t="s">
        <v>70</v>
      </c>
      <c r="X346" s="545">
        <v>3000</v>
      </c>
      <c r="Y346" s="546">
        <f t="shared" si="36"/>
        <v>3000</v>
      </c>
      <c r="Z346" s="36">
        <f>IFERROR(IF(Y346=0,"",ROUNDUP(Y346/H346,0)*0.02175),"")</f>
        <v>4.3499999999999996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3094</v>
      </c>
      <c r="BN346" s="64">
        <f t="shared" si="38"/>
        <v>3094</v>
      </c>
      <c r="BO346" s="64">
        <f t="shared" si="39"/>
        <v>4.1666666666666661</v>
      </c>
      <c r="BP346" s="64">
        <f t="shared" si="40"/>
        <v>4.1666666666666661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52">
        <v>4680115882638</v>
      </c>
      <c r="E347" s="553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62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63"/>
      <c r="R347" s="563"/>
      <c r="S347" s="563"/>
      <c r="T347" s="564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52">
        <v>4680115884922</v>
      </c>
      <c r="E348" s="553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63"/>
      <c r="R348" s="563"/>
      <c r="S348" s="563"/>
      <c r="T348" s="564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52">
        <v>4680115884861</v>
      </c>
      <c r="E349" s="553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6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63"/>
      <c r="R349" s="563"/>
      <c r="S349" s="563"/>
      <c r="T349" s="564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54" t="s">
        <v>76</v>
      </c>
      <c r="Q350" s="550"/>
      <c r="R350" s="550"/>
      <c r="S350" s="550"/>
      <c r="T350" s="550"/>
      <c r="U350" s="550"/>
      <c r="V350" s="551"/>
      <c r="W350" s="37" t="s">
        <v>77</v>
      </c>
      <c r="X350" s="547">
        <f>IFERROR(X343/H343,"0")+IFERROR(X344/H344,"0")+IFERROR(X345/H345,"0")+IFERROR(X346/H346,"0")+IFERROR(X347/H347,"0")+IFERROR(X348/H348,"0")+IFERROR(X349/H349,"0")</f>
        <v>566.66666666666663</v>
      </c>
      <c r="Y350" s="547">
        <f>IFERROR(Y343/H343,"0")+IFERROR(Y344/H344,"0")+IFERROR(Y345/H345,"0")+IFERROR(Y346/H346,"0")+IFERROR(Y347/H347,"0")+IFERROR(Y348/H348,"0")+IFERROR(Y349/H349,"0")</f>
        <v>567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12.332249999999998</v>
      </c>
      <c r="AA350" s="548"/>
      <c r="AB350" s="548"/>
      <c r="AC350" s="548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54" t="s">
        <v>76</v>
      </c>
      <c r="Q351" s="550"/>
      <c r="R351" s="550"/>
      <c r="S351" s="550"/>
      <c r="T351" s="550"/>
      <c r="U351" s="550"/>
      <c r="V351" s="551"/>
      <c r="W351" s="37" t="s">
        <v>70</v>
      </c>
      <c r="X351" s="547">
        <f>IFERROR(SUM(X343:X349),"0")</f>
        <v>8500</v>
      </c>
      <c r="Y351" s="547">
        <f>IFERROR(SUM(Y343:Y349),"0")</f>
        <v>8505</v>
      </c>
      <c r="Z351" s="37"/>
      <c r="AA351" s="548"/>
      <c r="AB351" s="548"/>
      <c r="AC351" s="548"/>
    </row>
    <row r="352" spans="1:68" ht="14.25" hidden="1" customHeight="1" x14ac:dyDescent="0.25">
      <c r="A352" s="565" t="s">
        <v>140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52">
        <v>4607091383980</v>
      </c>
      <c r="E353" s="553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63"/>
      <c r="R353" s="563"/>
      <c r="S353" s="563"/>
      <c r="T353" s="564"/>
      <c r="U353" s="34"/>
      <c r="V353" s="34"/>
      <c r="W353" s="35" t="s">
        <v>70</v>
      </c>
      <c r="X353" s="545">
        <v>3000</v>
      </c>
      <c r="Y353" s="546">
        <f>IFERROR(IF(X353="",0,CEILING((X353/$H353),1)*$H353),"")</f>
        <v>3000</v>
      </c>
      <c r="Z353" s="36">
        <f>IFERROR(IF(Y353=0,"",ROUNDUP(Y353/H353,0)*0.02175),"")</f>
        <v>4.3499999999999996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3094</v>
      </c>
      <c r="BN353" s="64">
        <f>IFERROR(Y353*I353/H353,"0")</f>
        <v>3094</v>
      </c>
      <c r="BO353" s="64">
        <f>IFERROR(1/J353*(X353/H353),"0")</f>
        <v>4.1666666666666661</v>
      </c>
      <c r="BP353" s="64">
        <f>IFERROR(1/J353*(Y353/H353),"0")</f>
        <v>4.1666666666666661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52">
        <v>4607091384178</v>
      </c>
      <c r="E354" s="553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6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63"/>
      <c r="R354" s="563"/>
      <c r="S354" s="563"/>
      <c r="T354" s="564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54" t="s">
        <v>76</v>
      </c>
      <c r="Q355" s="550"/>
      <c r="R355" s="550"/>
      <c r="S355" s="550"/>
      <c r="T355" s="550"/>
      <c r="U355" s="550"/>
      <c r="V355" s="551"/>
      <c r="W355" s="37" t="s">
        <v>77</v>
      </c>
      <c r="X355" s="547">
        <f>IFERROR(X353/H353,"0")+IFERROR(X354/H354,"0")</f>
        <v>200</v>
      </c>
      <c r="Y355" s="547">
        <f>IFERROR(Y353/H353,"0")+IFERROR(Y354/H354,"0")</f>
        <v>200</v>
      </c>
      <c r="Z355" s="547">
        <f>IFERROR(IF(Z353="",0,Z353),"0")+IFERROR(IF(Z354="",0,Z354),"0")</f>
        <v>4.3499999999999996</v>
      </c>
      <c r="AA355" s="548"/>
      <c r="AB355" s="548"/>
      <c r="AC355" s="548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54" t="s">
        <v>76</v>
      </c>
      <c r="Q356" s="550"/>
      <c r="R356" s="550"/>
      <c r="S356" s="550"/>
      <c r="T356" s="550"/>
      <c r="U356" s="550"/>
      <c r="V356" s="551"/>
      <c r="W356" s="37" t="s">
        <v>70</v>
      </c>
      <c r="X356" s="547">
        <f>IFERROR(SUM(X353:X354),"0")</f>
        <v>3000</v>
      </c>
      <c r="Y356" s="547">
        <f>IFERROR(SUM(Y353:Y354),"0")</f>
        <v>3000</v>
      </c>
      <c r="Z356" s="37"/>
      <c r="AA356" s="548"/>
      <c r="AB356" s="548"/>
      <c r="AC356" s="548"/>
    </row>
    <row r="357" spans="1:68" ht="14.25" hidden="1" customHeight="1" x14ac:dyDescent="0.25">
      <c r="A357" s="565" t="s">
        <v>78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52">
        <v>4607091383928</v>
      </c>
      <c r="E358" s="553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63"/>
      <c r="R358" s="563"/>
      <c r="S358" s="563"/>
      <c r="T358" s="564"/>
      <c r="U358" s="34"/>
      <c r="V358" s="34"/>
      <c r="W358" s="35" t="s">
        <v>70</v>
      </c>
      <c r="X358" s="545">
        <v>650</v>
      </c>
      <c r="Y358" s="546">
        <f>IFERROR(IF(X358="",0,CEILING((X358/$H358),1)*$H358),"")</f>
        <v>657</v>
      </c>
      <c r="Z358" s="36">
        <f>IFERROR(IF(Y358=0,"",ROUNDUP(Y358/H358,0)*0.01898),"")</f>
        <v>1.38554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686.11111111111109</v>
      </c>
      <c r="BN358" s="64">
        <f>IFERROR(Y358*I358/H358,"0")</f>
        <v>693.5</v>
      </c>
      <c r="BO358" s="64">
        <f>IFERROR(1/J358*(X358/H358),"0")</f>
        <v>1.1284722222222223</v>
      </c>
      <c r="BP358" s="64">
        <f>IFERROR(1/J358*(Y358/H358),"0")</f>
        <v>1.140625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52">
        <v>4607091384260</v>
      </c>
      <c r="E359" s="553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6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63"/>
      <c r="R359" s="563"/>
      <c r="S359" s="563"/>
      <c r="T359" s="564"/>
      <c r="U359" s="34"/>
      <c r="V359" s="34"/>
      <c r="W359" s="35" t="s">
        <v>70</v>
      </c>
      <c r="X359" s="545">
        <v>150</v>
      </c>
      <c r="Y359" s="546">
        <f>IFERROR(IF(X359="",0,CEILING((X359/$H359),1)*$H359),"")</f>
        <v>153</v>
      </c>
      <c r="Z359" s="36">
        <f>IFERROR(IF(Y359=0,"",ROUNDUP(Y359/H359,0)*0.01898),"")</f>
        <v>0.32266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158.23333333333332</v>
      </c>
      <c r="BN359" s="64">
        <f>IFERROR(Y359*I359/H359,"0")</f>
        <v>161.398</v>
      </c>
      <c r="BO359" s="64">
        <f>IFERROR(1/J359*(X359/H359),"0")</f>
        <v>0.26041666666666669</v>
      </c>
      <c r="BP359" s="64">
        <f>IFERROR(1/J359*(Y359/H359),"0")</f>
        <v>0.265625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54" t="s">
        <v>76</v>
      </c>
      <c r="Q360" s="550"/>
      <c r="R360" s="550"/>
      <c r="S360" s="550"/>
      <c r="T360" s="550"/>
      <c r="U360" s="550"/>
      <c r="V360" s="551"/>
      <c r="W360" s="37" t="s">
        <v>77</v>
      </c>
      <c r="X360" s="547">
        <f>IFERROR(X358/H358,"0")+IFERROR(X359/H359,"0")</f>
        <v>88.8888888888889</v>
      </c>
      <c r="Y360" s="547">
        <f>IFERROR(Y358/H358,"0")+IFERROR(Y359/H359,"0")</f>
        <v>90</v>
      </c>
      <c r="Z360" s="547">
        <f>IFERROR(IF(Z358="",0,Z358),"0")+IFERROR(IF(Z359="",0,Z359),"0")</f>
        <v>1.7081999999999999</v>
      </c>
      <c r="AA360" s="548"/>
      <c r="AB360" s="548"/>
      <c r="AC360" s="548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54" t="s">
        <v>76</v>
      </c>
      <c r="Q361" s="550"/>
      <c r="R361" s="550"/>
      <c r="S361" s="550"/>
      <c r="T361" s="550"/>
      <c r="U361" s="550"/>
      <c r="V361" s="551"/>
      <c r="W361" s="37" t="s">
        <v>70</v>
      </c>
      <c r="X361" s="547">
        <f>IFERROR(SUM(X358:X359),"0")</f>
        <v>800</v>
      </c>
      <c r="Y361" s="547">
        <f>IFERROR(SUM(Y358:Y359),"0")</f>
        <v>810</v>
      </c>
      <c r="Z361" s="37"/>
      <c r="AA361" s="548"/>
      <c r="AB361" s="548"/>
      <c r="AC361" s="548"/>
    </row>
    <row r="362" spans="1:68" ht="14.25" hidden="1" customHeight="1" x14ac:dyDescent="0.25">
      <c r="A362" s="565" t="s">
        <v>168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52">
        <v>4607091384673</v>
      </c>
      <c r="E363" s="553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5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63"/>
      <c r="R363" s="563"/>
      <c r="S363" s="563"/>
      <c r="T363" s="564"/>
      <c r="U363" s="34"/>
      <c r="V363" s="34"/>
      <c r="W363" s="35" t="s">
        <v>70</v>
      </c>
      <c r="X363" s="545">
        <v>150</v>
      </c>
      <c r="Y363" s="546">
        <f>IFERROR(IF(X363="",0,CEILING((X363/$H363),1)*$H363),"")</f>
        <v>153</v>
      </c>
      <c r="Z363" s="36">
        <f>IFERROR(IF(Y363=0,"",ROUNDUP(Y363/H363,0)*0.01898),"")</f>
        <v>0.32266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158.23333333333332</v>
      </c>
      <c r="BN363" s="64">
        <f>IFERROR(Y363*I363/H363,"0")</f>
        <v>161.398</v>
      </c>
      <c r="BO363" s="64">
        <f>IFERROR(1/J363*(X363/H363),"0")</f>
        <v>0.26041666666666669</v>
      </c>
      <c r="BP363" s="64">
        <f>IFERROR(1/J363*(Y363/H363),"0")</f>
        <v>0.265625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54" t="s">
        <v>76</v>
      </c>
      <c r="Q364" s="550"/>
      <c r="R364" s="550"/>
      <c r="S364" s="550"/>
      <c r="T364" s="550"/>
      <c r="U364" s="550"/>
      <c r="V364" s="551"/>
      <c r="W364" s="37" t="s">
        <v>77</v>
      </c>
      <c r="X364" s="547">
        <f>IFERROR(X363/H363,"0")</f>
        <v>16.666666666666668</v>
      </c>
      <c r="Y364" s="547">
        <f>IFERROR(Y363/H363,"0")</f>
        <v>17</v>
      </c>
      <c r="Z364" s="547">
        <f>IFERROR(IF(Z363="",0,Z363),"0")</f>
        <v>0.32266</v>
      </c>
      <c r="AA364" s="548"/>
      <c r="AB364" s="548"/>
      <c r="AC364" s="548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54" t="s">
        <v>76</v>
      </c>
      <c r="Q365" s="550"/>
      <c r="R365" s="550"/>
      <c r="S365" s="550"/>
      <c r="T365" s="550"/>
      <c r="U365" s="550"/>
      <c r="V365" s="551"/>
      <c r="W365" s="37" t="s">
        <v>70</v>
      </c>
      <c r="X365" s="547">
        <f>IFERROR(SUM(X363:X363),"0")</f>
        <v>150</v>
      </c>
      <c r="Y365" s="547">
        <f>IFERROR(SUM(Y363:Y363),"0")</f>
        <v>153</v>
      </c>
      <c r="Z365" s="37"/>
      <c r="AA365" s="548"/>
      <c r="AB365" s="548"/>
      <c r="AC365" s="548"/>
    </row>
    <row r="366" spans="1:68" ht="16.5" hidden="1" customHeight="1" x14ac:dyDescent="0.25">
      <c r="A366" s="576" t="s">
        <v>570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40"/>
      <c r="AB366" s="540"/>
      <c r="AC366" s="540"/>
    </row>
    <row r="367" spans="1:68" ht="14.25" hidden="1" customHeight="1" x14ac:dyDescent="0.25">
      <c r="A367" s="565" t="s">
        <v>105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2">
        <v>4680115884885</v>
      </c>
      <c r="E368" s="553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5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63"/>
      <c r="R368" s="563"/>
      <c r="S368" s="563"/>
      <c r="T368" s="564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2">
        <v>4680115884908</v>
      </c>
      <c r="E369" s="553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6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63"/>
      <c r="R369" s="563"/>
      <c r="S369" s="563"/>
      <c r="T369" s="564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54" t="s">
        <v>76</v>
      </c>
      <c r="Q370" s="550"/>
      <c r="R370" s="550"/>
      <c r="S370" s="550"/>
      <c r="T370" s="550"/>
      <c r="U370" s="550"/>
      <c r="V370" s="551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54" t="s">
        <v>76</v>
      </c>
      <c r="Q371" s="550"/>
      <c r="R371" s="550"/>
      <c r="S371" s="550"/>
      <c r="T371" s="550"/>
      <c r="U371" s="550"/>
      <c r="V371" s="551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65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52">
        <v>4607091384802</v>
      </c>
      <c r="E373" s="553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57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63"/>
      <c r="R373" s="563"/>
      <c r="S373" s="563"/>
      <c r="T373" s="564"/>
      <c r="U373" s="34"/>
      <c r="V373" s="34"/>
      <c r="W373" s="35" t="s">
        <v>70</v>
      </c>
      <c r="X373" s="545">
        <v>30</v>
      </c>
      <c r="Y373" s="546">
        <f>IFERROR(IF(X373="",0,CEILING((X373/$H373),1)*$H373),"")</f>
        <v>30.66</v>
      </c>
      <c r="Z373" s="36">
        <f>IFERROR(IF(Y373=0,"",ROUNDUP(Y373/H373,0)*0.00902),"")</f>
        <v>6.3140000000000002E-2</v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31.712328767123289</v>
      </c>
      <c r="BN373" s="64">
        <f>IFERROR(Y373*I373/H373,"0")</f>
        <v>32.410000000000004</v>
      </c>
      <c r="BO373" s="64">
        <f>IFERROR(1/J373*(X373/H373),"0")</f>
        <v>5.1888750518887507E-2</v>
      </c>
      <c r="BP373" s="64">
        <f>IFERROR(1/J373*(Y373/H373),"0")</f>
        <v>5.3030303030303032E-2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2">
        <v>4607091384802</v>
      </c>
      <c r="E374" s="553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54" t="s">
        <v>76</v>
      </c>
      <c r="Q375" s="550"/>
      <c r="R375" s="550"/>
      <c r="S375" s="550"/>
      <c r="T375" s="550"/>
      <c r="U375" s="550"/>
      <c r="V375" s="551"/>
      <c r="W375" s="37" t="s">
        <v>77</v>
      </c>
      <c r="X375" s="547">
        <f>IFERROR(X373/H373,"0")+IFERROR(X374/H374,"0")</f>
        <v>6.8493150684931505</v>
      </c>
      <c r="Y375" s="547">
        <f>IFERROR(Y373/H373,"0")+IFERROR(Y374/H374,"0")</f>
        <v>7</v>
      </c>
      <c r="Z375" s="547">
        <f>IFERROR(IF(Z373="",0,Z373),"0")+IFERROR(IF(Z374="",0,Z374),"0")</f>
        <v>6.3140000000000002E-2</v>
      </c>
      <c r="AA375" s="548"/>
      <c r="AB375" s="548"/>
      <c r="AC375" s="548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54" t="s">
        <v>76</v>
      </c>
      <c r="Q376" s="550"/>
      <c r="R376" s="550"/>
      <c r="S376" s="550"/>
      <c r="T376" s="550"/>
      <c r="U376" s="550"/>
      <c r="V376" s="551"/>
      <c r="W376" s="37" t="s">
        <v>70</v>
      </c>
      <c r="X376" s="547">
        <f>IFERROR(SUM(X373:X374),"0")</f>
        <v>30</v>
      </c>
      <c r="Y376" s="547">
        <f>IFERROR(SUM(Y373:Y374),"0")</f>
        <v>30.66</v>
      </c>
      <c r="Z376" s="37"/>
      <c r="AA376" s="548"/>
      <c r="AB376" s="548"/>
      <c r="AC376" s="548"/>
    </row>
    <row r="377" spans="1:68" ht="14.25" hidden="1" customHeight="1" x14ac:dyDescent="0.25">
      <c r="A377" s="565" t="s">
        <v>78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2">
        <v>4607091384246</v>
      </c>
      <c r="E378" s="553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7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63"/>
      <c r="R378" s="563"/>
      <c r="S378" s="563"/>
      <c r="T378" s="564"/>
      <c r="U378" s="34"/>
      <c r="V378" s="34"/>
      <c r="W378" s="35" t="s">
        <v>70</v>
      </c>
      <c r="X378" s="545">
        <v>200</v>
      </c>
      <c r="Y378" s="546">
        <f>IFERROR(IF(X378="",0,CEILING((X378/$H378),1)*$H378),"")</f>
        <v>207</v>
      </c>
      <c r="Z378" s="36">
        <f>IFERROR(IF(Y378=0,"",ROUNDUP(Y378/H378,0)*0.01898),"")</f>
        <v>0.43653999999999998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210.97777777777776</v>
      </c>
      <c r="BN378" s="64">
        <f>IFERROR(Y378*I378/H378,"0")</f>
        <v>218.36199999999999</v>
      </c>
      <c r="BO378" s="64">
        <f>IFERROR(1/J378*(X378/H378),"0")</f>
        <v>0.34722222222222221</v>
      </c>
      <c r="BP378" s="64">
        <f>IFERROR(1/J378*(Y378/H378),"0")</f>
        <v>0.359375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2">
        <v>4607091384253</v>
      </c>
      <c r="E379" s="553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8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63"/>
      <c r="R379" s="563"/>
      <c r="S379" s="563"/>
      <c r="T379" s="564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52">
        <v>4607091384253</v>
      </c>
      <c r="E380" s="553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63"/>
      <c r="R380" s="563"/>
      <c r="S380" s="563"/>
      <c r="T380" s="564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5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54" t="s">
        <v>76</v>
      </c>
      <c r="Q381" s="550"/>
      <c r="R381" s="550"/>
      <c r="S381" s="550"/>
      <c r="T381" s="550"/>
      <c r="U381" s="550"/>
      <c r="V381" s="551"/>
      <c r="W381" s="37" t="s">
        <v>77</v>
      </c>
      <c r="X381" s="547">
        <f>IFERROR(X378/H378,"0")+IFERROR(X379/H379,"0")+IFERROR(X380/H380,"0")</f>
        <v>22.222222222222221</v>
      </c>
      <c r="Y381" s="547">
        <f>IFERROR(Y378/H378,"0")+IFERROR(Y379/H379,"0")+IFERROR(Y380/H380,"0")</f>
        <v>23</v>
      </c>
      <c r="Z381" s="547">
        <f>IFERROR(IF(Z378="",0,Z378),"0")+IFERROR(IF(Z379="",0,Z379),"0")+IFERROR(IF(Z380="",0,Z380),"0")</f>
        <v>0.43653999999999998</v>
      </c>
      <c r="AA381" s="548"/>
      <c r="AB381" s="548"/>
      <c r="AC381" s="548"/>
    </row>
    <row r="382" spans="1:68" x14ac:dyDescent="0.2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7"/>
      <c r="P382" s="554" t="s">
        <v>76</v>
      </c>
      <c r="Q382" s="550"/>
      <c r="R382" s="550"/>
      <c r="S382" s="550"/>
      <c r="T382" s="550"/>
      <c r="U382" s="550"/>
      <c r="V382" s="551"/>
      <c r="W382" s="37" t="s">
        <v>70</v>
      </c>
      <c r="X382" s="547">
        <f>IFERROR(SUM(X378:X380),"0")</f>
        <v>200</v>
      </c>
      <c r="Y382" s="547">
        <f>IFERROR(SUM(Y378:Y380),"0")</f>
        <v>207</v>
      </c>
      <c r="Z382" s="37"/>
      <c r="AA382" s="548"/>
      <c r="AB382" s="548"/>
      <c r="AC382" s="548"/>
    </row>
    <row r="383" spans="1:68" ht="27.75" hidden="1" customHeight="1" x14ac:dyDescent="0.2">
      <c r="A383" s="636" t="s">
        <v>588</v>
      </c>
      <c r="B383" s="63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637"/>
      <c r="O383" s="637"/>
      <c r="P383" s="637"/>
      <c r="Q383" s="637"/>
      <c r="R383" s="637"/>
      <c r="S383" s="637"/>
      <c r="T383" s="637"/>
      <c r="U383" s="637"/>
      <c r="V383" s="637"/>
      <c r="W383" s="637"/>
      <c r="X383" s="637"/>
      <c r="Y383" s="637"/>
      <c r="Z383" s="637"/>
      <c r="AA383" s="48"/>
      <c r="AB383" s="48"/>
      <c r="AC383" s="48"/>
    </row>
    <row r="384" spans="1:68" ht="16.5" hidden="1" customHeight="1" x14ac:dyDescent="0.25">
      <c r="A384" s="576" t="s">
        <v>589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40"/>
      <c r="AB384" s="540"/>
      <c r="AC384" s="540"/>
    </row>
    <row r="385" spans="1:68" ht="14.25" hidden="1" customHeight="1" x14ac:dyDescent="0.25">
      <c r="A385" s="565" t="s">
        <v>64</v>
      </c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2">
        <v>4680115886100</v>
      </c>
      <c r="E386" s="553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63"/>
      <c r="R386" s="563"/>
      <c r="S386" s="563"/>
      <c r="T386" s="564"/>
      <c r="U386" s="34"/>
      <c r="V386" s="34"/>
      <c r="W386" s="35" t="s">
        <v>70</v>
      </c>
      <c r="X386" s="545">
        <v>50</v>
      </c>
      <c r="Y386" s="546">
        <f t="shared" ref="Y386:Y394" si="41">IFERROR(IF(X386="",0,CEILING((X386/$H386),1)*$H386),"")</f>
        <v>54</v>
      </c>
      <c r="Z386" s="36">
        <f>IFERROR(IF(Y386=0,"",ROUNDUP(Y386/H386,0)*0.00902),"")</f>
        <v>9.0200000000000002E-2</v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51.759259259259252</v>
      </c>
      <c r="BN386" s="64">
        <f t="shared" ref="BN386:BN394" si="43">IFERROR(Y386*I386/H386,"0")</f>
        <v>55.9</v>
      </c>
      <c r="BO386" s="64">
        <f t="shared" ref="BO386:BO394" si="44">IFERROR(1/J386*(X386/H386),"0")</f>
        <v>7.0145903479236812E-2</v>
      </c>
      <c r="BP386" s="64">
        <f t="shared" ref="BP386:BP394" si="45">IFERROR(1/J386*(Y386/H386),"0")</f>
        <v>7.575757575757576E-2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52">
        <v>4680115886117</v>
      </c>
      <c r="E387" s="553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63"/>
      <c r="R387" s="563"/>
      <c r="S387" s="563"/>
      <c r="T387" s="564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52">
        <v>4680115886124</v>
      </c>
      <c r="E388" s="553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63"/>
      <c r="R388" s="563"/>
      <c r="S388" s="563"/>
      <c r="T388" s="564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52">
        <v>4680115883147</v>
      </c>
      <c r="E389" s="553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8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63"/>
      <c r="R389" s="563"/>
      <c r="S389" s="563"/>
      <c r="T389" s="564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52">
        <v>4607091384338</v>
      </c>
      <c r="E390" s="553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63"/>
      <c r="R390" s="563"/>
      <c r="S390" s="563"/>
      <c r="T390" s="564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52">
        <v>4607091389524</v>
      </c>
      <c r="E391" s="553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86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63"/>
      <c r="R391" s="563"/>
      <c r="S391" s="563"/>
      <c r="T391" s="564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52">
        <v>4680115883161</v>
      </c>
      <c r="E392" s="553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85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63"/>
      <c r="R392" s="563"/>
      <c r="S392" s="563"/>
      <c r="T392" s="564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52">
        <v>4607091389531</v>
      </c>
      <c r="E393" s="553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63"/>
      <c r="R393" s="563"/>
      <c r="S393" s="563"/>
      <c r="T393" s="564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52">
        <v>4607091384345</v>
      </c>
      <c r="E394" s="553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63"/>
      <c r="R394" s="563"/>
      <c r="S394" s="563"/>
      <c r="T394" s="564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5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54" t="s">
        <v>76</v>
      </c>
      <c r="Q395" s="550"/>
      <c r="R395" s="550"/>
      <c r="S395" s="550"/>
      <c r="T395" s="550"/>
      <c r="U395" s="550"/>
      <c r="V395" s="551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9.2592592592592595</v>
      </c>
      <c r="Y395" s="547">
        <f>IFERROR(Y386/H386,"0")+IFERROR(Y387/H387,"0")+IFERROR(Y388/H388,"0")+IFERROR(Y389/H389,"0")+IFERROR(Y390/H390,"0")+IFERROR(Y391/H391,"0")+IFERROR(Y392/H392,"0")+IFERROR(Y393/H393,"0")+IFERROR(Y394/H394,"0")</f>
        <v>10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9.0200000000000002E-2</v>
      </c>
      <c r="AA395" s="548"/>
      <c r="AB395" s="548"/>
      <c r="AC395" s="548"/>
    </row>
    <row r="396" spans="1:68" x14ac:dyDescent="0.2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7"/>
      <c r="P396" s="554" t="s">
        <v>76</v>
      </c>
      <c r="Q396" s="550"/>
      <c r="R396" s="550"/>
      <c r="S396" s="550"/>
      <c r="T396" s="550"/>
      <c r="U396" s="550"/>
      <c r="V396" s="551"/>
      <c r="W396" s="37" t="s">
        <v>70</v>
      </c>
      <c r="X396" s="547">
        <f>IFERROR(SUM(X386:X394),"0")</f>
        <v>50</v>
      </c>
      <c r="Y396" s="547">
        <f>IFERROR(SUM(Y386:Y394),"0")</f>
        <v>54</v>
      </c>
      <c r="Z396" s="37"/>
      <c r="AA396" s="548"/>
      <c r="AB396" s="548"/>
      <c r="AC396" s="548"/>
    </row>
    <row r="397" spans="1:68" ht="14.25" hidden="1" customHeight="1" x14ac:dyDescent="0.25">
      <c r="A397" s="565" t="s">
        <v>78</v>
      </c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52">
        <v>4607091384352</v>
      </c>
      <c r="E398" s="553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6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63"/>
      <c r="R398" s="563"/>
      <c r="S398" s="563"/>
      <c r="T398" s="564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52">
        <v>4607091389654</v>
      </c>
      <c r="E399" s="553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63"/>
      <c r="R399" s="563"/>
      <c r="S399" s="563"/>
      <c r="T399" s="564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5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54" t="s">
        <v>76</v>
      </c>
      <c r="Q400" s="550"/>
      <c r="R400" s="550"/>
      <c r="S400" s="550"/>
      <c r="T400" s="550"/>
      <c r="U400" s="550"/>
      <c r="V400" s="551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7"/>
      <c r="P401" s="554" t="s">
        <v>76</v>
      </c>
      <c r="Q401" s="550"/>
      <c r="R401" s="550"/>
      <c r="S401" s="550"/>
      <c r="T401" s="550"/>
      <c r="U401" s="550"/>
      <c r="V401" s="551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76" t="s">
        <v>620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40"/>
      <c r="AB402" s="540"/>
      <c r="AC402" s="540"/>
    </row>
    <row r="403" spans="1:68" ht="14.25" hidden="1" customHeight="1" x14ac:dyDescent="0.25">
      <c r="A403" s="565" t="s">
        <v>140</v>
      </c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52">
        <v>4680115885240</v>
      </c>
      <c r="E404" s="553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8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63"/>
      <c r="R404" s="563"/>
      <c r="S404" s="563"/>
      <c r="T404" s="564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5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54" t="s">
        <v>76</v>
      </c>
      <c r="Q405" s="550"/>
      <c r="R405" s="550"/>
      <c r="S405" s="550"/>
      <c r="T405" s="550"/>
      <c r="U405" s="550"/>
      <c r="V405" s="551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7"/>
      <c r="P406" s="554" t="s">
        <v>76</v>
      </c>
      <c r="Q406" s="550"/>
      <c r="R406" s="550"/>
      <c r="S406" s="550"/>
      <c r="T406" s="550"/>
      <c r="U406" s="550"/>
      <c r="V406" s="551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65" t="s">
        <v>64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2">
        <v>4680115886094</v>
      </c>
      <c r="E408" s="553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6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63"/>
      <c r="R408" s="563"/>
      <c r="S408" s="563"/>
      <c r="T408" s="564"/>
      <c r="U408" s="34"/>
      <c r="V408" s="34"/>
      <c r="W408" s="35" t="s">
        <v>70</v>
      </c>
      <c r="X408" s="545">
        <v>270</v>
      </c>
      <c r="Y408" s="546">
        <f>IFERROR(IF(X408="",0,CEILING((X408/$H408),1)*$H408),"")</f>
        <v>270</v>
      </c>
      <c r="Z408" s="36">
        <f>IFERROR(IF(Y408=0,"",ROUNDUP(Y408/H408,0)*0.00902),"")</f>
        <v>0.45100000000000001</v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279.5</v>
      </c>
      <c r="BN408" s="64">
        <f>IFERROR(Y408*I408/H408,"0")</f>
        <v>279.5</v>
      </c>
      <c r="BO408" s="64">
        <f>IFERROR(1/J408*(X408/H408),"0")</f>
        <v>0.37878787878787878</v>
      </c>
      <c r="BP408" s="64">
        <f>IFERROR(1/J408*(Y408/H408),"0")</f>
        <v>0.37878787878787878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52">
        <v>4607091389425</v>
      </c>
      <c r="E409" s="553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64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63"/>
      <c r="R409" s="563"/>
      <c r="S409" s="563"/>
      <c r="T409" s="564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52">
        <v>4680115880771</v>
      </c>
      <c r="E410" s="553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5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63"/>
      <c r="R410" s="563"/>
      <c r="S410" s="563"/>
      <c r="T410" s="564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52">
        <v>4607091389500</v>
      </c>
      <c r="E411" s="553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63"/>
      <c r="R411" s="563"/>
      <c r="S411" s="563"/>
      <c r="T411" s="564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5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54" t="s">
        <v>76</v>
      </c>
      <c r="Q412" s="550"/>
      <c r="R412" s="550"/>
      <c r="S412" s="550"/>
      <c r="T412" s="550"/>
      <c r="U412" s="550"/>
      <c r="V412" s="551"/>
      <c r="W412" s="37" t="s">
        <v>77</v>
      </c>
      <c r="X412" s="547">
        <f>IFERROR(X408/H408,"0")+IFERROR(X409/H409,"0")+IFERROR(X410/H410,"0")+IFERROR(X411/H411,"0")</f>
        <v>50</v>
      </c>
      <c r="Y412" s="547">
        <f>IFERROR(Y408/H408,"0")+IFERROR(Y409/H409,"0")+IFERROR(Y410/H410,"0")+IFERROR(Y411/H411,"0")</f>
        <v>50</v>
      </c>
      <c r="Z412" s="547">
        <f>IFERROR(IF(Z408="",0,Z408),"0")+IFERROR(IF(Z409="",0,Z409),"0")+IFERROR(IF(Z410="",0,Z410),"0")+IFERROR(IF(Z411="",0,Z411),"0")</f>
        <v>0.45100000000000001</v>
      </c>
      <c r="AA412" s="548"/>
      <c r="AB412" s="548"/>
      <c r="AC412" s="548"/>
    </row>
    <row r="413" spans="1:68" x14ac:dyDescent="0.2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7"/>
      <c r="P413" s="554" t="s">
        <v>76</v>
      </c>
      <c r="Q413" s="550"/>
      <c r="R413" s="550"/>
      <c r="S413" s="550"/>
      <c r="T413" s="550"/>
      <c r="U413" s="550"/>
      <c r="V413" s="551"/>
      <c r="W413" s="37" t="s">
        <v>70</v>
      </c>
      <c r="X413" s="547">
        <f>IFERROR(SUM(X408:X411),"0")</f>
        <v>270</v>
      </c>
      <c r="Y413" s="547">
        <f>IFERROR(SUM(Y408:Y411),"0")</f>
        <v>270</v>
      </c>
      <c r="Z413" s="37"/>
      <c r="AA413" s="548"/>
      <c r="AB413" s="548"/>
      <c r="AC413" s="548"/>
    </row>
    <row r="414" spans="1:68" ht="16.5" hidden="1" customHeight="1" x14ac:dyDescent="0.25">
      <c r="A414" s="576" t="s">
        <v>635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40"/>
      <c r="AB414" s="540"/>
      <c r="AC414" s="540"/>
    </row>
    <row r="415" spans="1:68" ht="14.25" hidden="1" customHeight="1" x14ac:dyDescent="0.25">
      <c r="A415" s="565" t="s">
        <v>64</v>
      </c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52">
        <v>4680115885110</v>
      </c>
      <c r="E416" s="553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77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63"/>
      <c r="R416" s="563"/>
      <c r="S416" s="563"/>
      <c r="T416" s="564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5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54" t="s">
        <v>76</v>
      </c>
      <c r="Q417" s="550"/>
      <c r="R417" s="550"/>
      <c r="S417" s="550"/>
      <c r="T417" s="550"/>
      <c r="U417" s="550"/>
      <c r="V417" s="551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7"/>
      <c r="P418" s="554" t="s">
        <v>76</v>
      </c>
      <c r="Q418" s="550"/>
      <c r="R418" s="550"/>
      <c r="S418" s="550"/>
      <c r="T418" s="550"/>
      <c r="U418" s="550"/>
      <c r="V418" s="551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636" t="s">
        <v>639</v>
      </c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7"/>
      <c r="P419" s="637"/>
      <c r="Q419" s="637"/>
      <c r="R419" s="637"/>
      <c r="S419" s="637"/>
      <c r="T419" s="637"/>
      <c r="U419" s="637"/>
      <c r="V419" s="637"/>
      <c r="W419" s="637"/>
      <c r="X419" s="637"/>
      <c r="Y419" s="637"/>
      <c r="Z419" s="637"/>
      <c r="AA419" s="48"/>
      <c r="AB419" s="48"/>
      <c r="AC419" s="48"/>
    </row>
    <row r="420" spans="1:68" ht="16.5" hidden="1" customHeight="1" x14ac:dyDescent="0.25">
      <c r="A420" s="576" t="s">
        <v>639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40"/>
      <c r="AB420" s="540"/>
      <c r="AC420" s="540"/>
    </row>
    <row r="421" spans="1:68" ht="14.25" hidden="1" customHeight="1" x14ac:dyDescent="0.25">
      <c r="A421" s="565" t="s">
        <v>105</v>
      </c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52">
        <v>4607091389067</v>
      </c>
      <c r="E422" s="553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63"/>
      <c r="R422" s="563"/>
      <c r="S422" s="563"/>
      <c r="T422" s="564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52">
        <v>4607091383522</v>
      </c>
      <c r="E423" s="553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839" t="s">
        <v>644</v>
      </c>
      <c r="Q423" s="563"/>
      <c r="R423" s="563"/>
      <c r="S423" s="563"/>
      <c r="T423" s="564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52">
        <v>4607091383522</v>
      </c>
      <c r="E424" s="553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3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63"/>
      <c r="R424" s="563"/>
      <c r="S424" s="563"/>
      <c r="T424" s="564"/>
      <c r="U424" s="34"/>
      <c r="V424" s="34"/>
      <c r="W424" s="35" t="s">
        <v>70</v>
      </c>
      <c r="X424" s="545">
        <v>160</v>
      </c>
      <c r="Y424" s="546">
        <f t="shared" si="47"/>
        <v>163.68</v>
      </c>
      <c r="Z424" s="36">
        <f t="shared" si="48"/>
        <v>0.37075999999999998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170.60606060606059</v>
      </c>
      <c r="BN424" s="64">
        <f t="shared" si="50"/>
        <v>174.53</v>
      </c>
      <c r="BO424" s="64">
        <f t="shared" si="51"/>
        <v>0.29137529137529139</v>
      </c>
      <c r="BP424" s="64">
        <f t="shared" si="52"/>
        <v>0.29807692307692307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52">
        <v>4680115885271</v>
      </c>
      <c r="E425" s="553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63"/>
      <c r="R425" s="563"/>
      <c r="S425" s="563"/>
      <c r="T425" s="564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52">
        <v>4680115885226</v>
      </c>
      <c r="E426" s="553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8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63"/>
      <c r="R426" s="563"/>
      <c r="S426" s="563"/>
      <c r="T426" s="564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52">
        <v>4680115884502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63"/>
      <c r="R427" s="563"/>
      <c r="S427" s="563"/>
      <c r="T427" s="564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52">
        <v>4607091389104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8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63"/>
      <c r="R428" s="563"/>
      <c r="S428" s="563"/>
      <c r="T428" s="564"/>
      <c r="U428" s="34"/>
      <c r="V428" s="34"/>
      <c r="W428" s="35" t="s">
        <v>70</v>
      </c>
      <c r="X428" s="545">
        <v>210</v>
      </c>
      <c r="Y428" s="546">
        <f t="shared" si="47"/>
        <v>211.20000000000002</v>
      </c>
      <c r="Z428" s="36">
        <f t="shared" si="48"/>
        <v>0.47839999999999999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223.92045454545453</v>
      </c>
      <c r="BN428" s="64">
        <f t="shared" si="50"/>
        <v>225.2</v>
      </c>
      <c r="BO428" s="64">
        <f t="shared" si="51"/>
        <v>0.38243006993006995</v>
      </c>
      <c r="BP428" s="64">
        <f t="shared" si="52"/>
        <v>0.38461538461538464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52">
        <v>4680115886391</v>
      </c>
      <c r="E429" s="553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8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63"/>
      <c r="R429" s="563"/>
      <c r="S429" s="563"/>
      <c r="T429" s="564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52">
        <v>4680115880603</v>
      </c>
      <c r="E430" s="553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63"/>
      <c r="R430" s="563"/>
      <c r="S430" s="563"/>
      <c r="T430" s="564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52">
        <v>4680115882782</v>
      </c>
      <c r="E431" s="553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7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63"/>
      <c r="R431" s="563"/>
      <c r="S431" s="563"/>
      <c r="T431" s="564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52">
        <v>4680115885479</v>
      </c>
      <c r="E432" s="553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8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63"/>
      <c r="R432" s="563"/>
      <c r="S432" s="563"/>
      <c r="T432" s="564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52">
        <v>4607091389982</v>
      </c>
      <c r="E433" s="553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6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63"/>
      <c r="R433" s="563"/>
      <c r="S433" s="563"/>
      <c r="T433" s="564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55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7"/>
      <c r="P434" s="554" t="s">
        <v>76</v>
      </c>
      <c r="Q434" s="550"/>
      <c r="R434" s="550"/>
      <c r="S434" s="550"/>
      <c r="T434" s="550"/>
      <c r="U434" s="550"/>
      <c r="V434" s="551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70.075757575757578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71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0.84915999999999991</v>
      </c>
      <c r="AA434" s="548"/>
      <c r="AB434" s="548"/>
      <c r="AC434" s="548"/>
    </row>
    <row r="435" spans="1:68" x14ac:dyDescent="0.2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7"/>
      <c r="P435" s="554" t="s">
        <v>76</v>
      </c>
      <c r="Q435" s="550"/>
      <c r="R435" s="550"/>
      <c r="S435" s="550"/>
      <c r="T435" s="550"/>
      <c r="U435" s="550"/>
      <c r="V435" s="551"/>
      <c r="W435" s="37" t="s">
        <v>70</v>
      </c>
      <c r="X435" s="547">
        <f>IFERROR(SUM(X422:X433),"0")</f>
        <v>370</v>
      </c>
      <c r="Y435" s="547">
        <f>IFERROR(SUM(Y422:Y433),"0")</f>
        <v>374.88</v>
      </c>
      <c r="Z435" s="37"/>
      <c r="AA435" s="548"/>
      <c r="AB435" s="548"/>
      <c r="AC435" s="548"/>
    </row>
    <row r="436" spans="1:68" ht="14.25" hidden="1" customHeight="1" x14ac:dyDescent="0.25">
      <c r="A436" s="565" t="s">
        <v>140</v>
      </c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52">
        <v>4607091388930</v>
      </c>
      <c r="E437" s="553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87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63"/>
      <c r="R437" s="563"/>
      <c r="S437" s="563"/>
      <c r="T437" s="564"/>
      <c r="U437" s="34"/>
      <c r="V437" s="34"/>
      <c r="W437" s="35" t="s">
        <v>70</v>
      </c>
      <c r="X437" s="545">
        <v>230</v>
      </c>
      <c r="Y437" s="546">
        <f>IFERROR(IF(X437="",0,CEILING((X437/$H437),1)*$H437),"")</f>
        <v>232.32000000000002</v>
      </c>
      <c r="Z437" s="36">
        <f>IFERROR(IF(Y437=0,"",ROUNDUP(Y437/H437,0)*0.01196),"")</f>
        <v>0.52624000000000004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245.2462121212121</v>
      </c>
      <c r="BN437" s="64">
        <f>IFERROR(Y437*I437/H437,"0")</f>
        <v>247.72</v>
      </c>
      <c r="BO437" s="64">
        <f>IFERROR(1/J437*(X437/H437),"0")</f>
        <v>0.41885198135198132</v>
      </c>
      <c r="BP437" s="64">
        <f>IFERROR(1/J437*(Y437/H437),"0")</f>
        <v>0.42307692307692313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52">
        <v>4680115886407</v>
      </c>
      <c r="E438" s="553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63"/>
      <c r="R438" s="563"/>
      <c r="S438" s="563"/>
      <c r="T438" s="564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52">
        <v>4680115880054</v>
      </c>
      <c r="E439" s="553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5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63"/>
      <c r="R439" s="563"/>
      <c r="S439" s="563"/>
      <c r="T439" s="564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55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7"/>
      <c r="P440" s="554" t="s">
        <v>76</v>
      </c>
      <c r="Q440" s="550"/>
      <c r="R440" s="550"/>
      <c r="S440" s="550"/>
      <c r="T440" s="550"/>
      <c r="U440" s="550"/>
      <c r="V440" s="551"/>
      <c r="W440" s="37" t="s">
        <v>77</v>
      </c>
      <c r="X440" s="547">
        <f>IFERROR(X437/H437,"0")+IFERROR(X438/H438,"0")+IFERROR(X439/H439,"0")</f>
        <v>43.560606060606055</v>
      </c>
      <c r="Y440" s="547">
        <f>IFERROR(Y437/H437,"0")+IFERROR(Y438/H438,"0")+IFERROR(Y439/H439,"0")</f>
        <v>44</v>
      </c>
      <c r="Z440" s="547">
        <f>IFERROR(IF(Z437="",0,Z437),"0")+IFERROR(IF(Z438="",0,Z438),"0")+IFERROR(IF(Z439="",0,Z439),"0")</f>
        <v>0.52624000000000004</v>
      </c>
      <c r="AA440" s="548"/>
      <c r="AB440" s="548"/>
      <c r="AC440" s="548"/>
    </row>
    <row r="441" spans="1:68" x14ac:dyDescent="0.2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7"/>
      <c r="P441" s="554" t="s">
        <v>76</v>
      </c>
      <c r="Q441" s="550"/>
      <c r="R441" s="550"/>
      <c r="S441" s="550"/>
      <c r="T441" s="550"/>
      <c r="U441" s="550"/>
      <c r="V441" s="551"/>
      <c r="W441" s="37" t="s">
        <v>70</v>
      </c>
      <c r="X441" s="547">
        <f>IFERROR(SUM(X437:X439),"0")</f>
        <v>230</v>
      </c>
      <c r="Y441" s="547">
        <f>IFERROR(SUM(Y437:Y439),"0")</f>
        <v>232.32000000000002</v>
      </c>
      <c r="Z441" s="37"/>
      <c r="AA441" s="548"/>
      <c r="AB441" s="548"/>
      <c r="AC441" s="548"/>
    </row>
    <row r="442" spans="1:68" ht="14.25" hidden="1" customHeight="1" x14ac:dyDescent="0.25">
      <c r="A442" s="565" t="s">
        <v>64</v>
      </c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52">
        <v>4680115883116</v>
      </c>
      <c r="E443" s="553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8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63"/>
      <c r="R443" s="563"/>
      <c r="S443" s="563"/>
      <c r="T443" s="564"/>
      <c r="U443" s="34"/>
      <c r="V443" s="34"/>
      <c r="W443" s="35" t="s">
        <v>70</v>
      </c>
      <c r="X443" s="545">
        <v>150</v>
      </c>
      <c r="Y443" s="546">
        <f t="shared" ref="Y443:Y448" si="53"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159.94318181818181</v>
      </c>
      <c r="BN443" s="64">
        <f t="shared" ref="BN443:BN448" si="55">IFERROR(Y443*I443/H443,"0")</f>
        <v>163.26999999999998</v>
      </c>
      <c r="BO443" s="64">
        <f t="shared" ref="BO443:BO448" si="56">IFERROR(1/J443*(X443/H443),"0")</f>
        <v>0.27316433566433568</v>
      </c>
      <c r="BP443" s="64">
        <f t="shared" ref="BP443:BP448" si="57">IFERROR(1/J443*(Y443/H443),"0")</f>
        <v>0.27884615384615385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52">
        <v>4680115883093</v>
      </c>
      <c r="E444" s="553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63"/>
      <c r="R444" s="563"/>
      <c r="S444" s="563"/>
      <c r="T444" s="564"/>
      <c r="U444" s="34"/>
      <c r="V444" s="34"/>
      <c r="W444" s="35" t="s">
        <v>70</v>
      </c>
      <c r="X444" s="545">
        <v>80</v>
      </c>
      <c r="Y444" s="546">
        <f t="shared" si="53"/>
        <v>84.48</v>
      </c>
      <c r="Z444" s="36">
        <f>IFERROR(IF(Y444=0,"",ROUNDUP(Y444/H444,0)*0.01196),"")</f>
        <v>0.19136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85.303030303030297</v>
      </c>
      <c r="BN444" s="64">
        <f t="shared" si="55"/>
        <v>90.08</v>
      </c>
      <c r="BO444" s="64">
        <f t="shared" si="56"/>
        <v>0.14568764568764569</v>
      </c>
      <c r="BP444" s="64">
        <f t="shared" si="57"/>
        <v>0.15384615384615385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52">
        <v>4680115883109</v>
      </c>
      <c r="E445" s="553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8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63"/>
      <c r="R445" s="563"/>
      <c r="S445" s="563"/>
      <c r="T445" s="564"/>
      <c r="U445" s="34"/>
      <c r="V445" s="34"/>
      <c r="W445" s="35" t="s">
        <v>70</v>
      </c>
      <c r="X445" s="545">
        <v>100</v>
      </c>
      <c r="Y445" s="546">
        <f t="shared" si="53"/>
        <v>100.32000000000001</v>
      </c>
      <c r="Z445" s="36">
        <f>IFERROR(IF(Y445=0,"",ROUNDUP(Y445/H445,0)*0.01196),"")</f>
        <v>0.22724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106.62878787878788</v>
      </c>
      <c r="BN445" s="64">
        <f t="shared" si="55"/>
        <v>106.97</v>
      </c>
      <c r="BO445" s="64">
        <f t="shared" si="56"/>
        <v>0.18210955710955709</v>
      </c>
      <c r="BP445" s="64">
        <f t="shared" si="57"/>
        <v>0.18269230769230771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52">
        <v>4680115882072</v>
      </c>
      <c r="E446" s="553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63"/>
      <c r="R446" s="563"/>
      <c r="S446" s="563"/>
      <c r="T446" s="564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52">
        <v>4680115882102</v>
      </c>
      <c r="E447" s="553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63"/>
      <c r="R447" s="563"/>
      <c r="S447" s="563"/>
      <c r="T447" s="564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52">
        <v>4680115882096</v>
      </c>
      <c r="E448" s="553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63"/>
      <c r="R448" s="563"/>
      <c r="S448" s="563"/>
      <c r="T448" s="564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55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7"/>
      <c r="P449" s="554" t="s">
        <v>76</v>
      </c>
      <c r="Q449" s="550"/>
      <c r="R449" s="550"/>
      <c r="S449" s="550"/>
      <c r="T449" s="550"/>
      <c r="U449" s="550"/>
      <c r="V449" s="551"/>
      <c r="W449" s="37" t="s">
        <v>77</v>
      </c>
      <c r="X449" s="547">
        <f>IFERROR(X443/H443,"0")+IFERROR(X444/H444,"0")+IFERROR(X445/H445,"0")+IFERROR(X446/H446,"0")+IFERROR(X447/H447,"0")+IFERROR(X448/H448,"0")</f>
        <v>62.499999999999993</v>
      </c>
      <c r="Y449" s="547">
        <f>IFERROR(Y443/H443,"0")+IFERROR(Y444/H444,"0")+IFERROR(Y445/H445,"0")+IFERROR(Y446/H446,"0")+IFERROR(Y447/H447,"0")+IFERROR(Y448/H448,"0")</f>
        <v>64</v>
      </c>
      <c r="Z449" s="547">
        <f>IFERROR(IF(Z443="",0,Z443),"0")+IFERROR(IF(Z444="",0,Z444),"0")+IFERROR(IF(Z445="",0,Z445),"0")+IFERROR(IF(Z446="",0,Z446),"0")+IFERROR(IF(Z447="",0,Z447),"0")+IFERROR(IF(Z448="",0,Z448),"0")</f>
        <v>0.76544000000000001</v>
      </c>
      <c r="AA449" s="548"/>
      <c r="AB449" s="548"/>
      <c r="AC449" s="548"/>
    </row>
    <row r="450" spans="1:68" x14ac:dyDescent="0.2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7"/>
      <c r="P450" s="554" t="s">
        <v>76</v>
      </c>
      <c r="Q450" s="550"/>
      <c r="R450" s="550"/>
      <c r="S450" s="550"/>
      <c r="T450" s="550"/>
      <c r="U450" s="550"/>
      <c r="V450" s="551"/>
      <c r="W450" s="37" t="s">
        <v>70</v>
      </c>
      <c r="X450" s="547">
        <f>IFERROR(SUM(X443:X448),"0")</f>
        <v>330</v>
      </c>
      <c r="Y450" s="547">
        <f>IFERROR(SUM(Y443:Y448),"0")</f>
        <v>337.92</v>
      </c>
      <c r="Z450" s="37"/>
      <c r="AA450" s="548"/>
      <c r="AB450" s="548"/>
      <c r="AC450" s="548"/>
    </row>
    <row r="451" spans="1:68" ht="14.25" hidden="1" customHeight="1" x14ac:dyDescent="0.25">
      <c r="A451" s="565" t="s">
        <v>78</v>
      </c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52">
        <v>4607091383409</v>
      </c>
      <c r="E452" s="553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63"/>
      <c r="R452" s="563"/>
      <c r="S452" s="563"/>
      <c r="T452" s="564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52">
        <v>4607091383416</v>
      </c>
      <c r="E453" s="553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8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63"/>
      <c r="R453" s="563"/>
      <c r="S453" s="563"/>
      <c r="T453" s="564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52">
        <v>4680115883536</v>
      </c>
      <c r="E454" s="553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8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63"/>
      <c r="R454" s="563"/>
      <c r="S454" s="563"/>
      <c r="T454" s="564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55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7"/>
      <c r="P455" s="554" t="s">
        <v>76</v>
      </c>
      <c r="Q455" s="550"/>
      <c r="R455" s="550"/>
      <c r="S455" s="550"/>
      <c r="T455" s="550"/>
      <c r="U455" s="550"/>
      <c r="V455" s="551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7"/>
      <c r="P456" s="554" t="s">
        <v>76</v>
      </c>
      <c r="Q456" s="550"/>
      <c r="R456" s="550"/>
      <c r="S456" s="550"/>
      <c r="T456" s="550"/>
      <c r="U456" s="550"/>
      <c r="V456" s="551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636" t="s">
        <v>702</v>
      </c>
      <c r="B457" s="637"/>
      <c r="C457" s="637"/>
      <c r="D457" s="637"/>
      <c r="E457" s="637"/>
      <c r="F457" s="637"/>
      <c r="G457" s="637"/>
      <c r="H457" s="637"/>
      <c r="I457" s="637"/>
      <c r="J457" s="637"/>
      <c r="K457" s="637"/>
      <c r="L457" s="637"/>
      <c r="M457" s="637"/>
      <c r="N457" s="637"/>
      <c r="O457" s="637"/>
      <c r="P457" s="637"/>
      <c r="Q457" s="637"/>
      <c r="R457" s="637"/>
      <c r="S457" s="637"/>
      <c r="T457" s="637"/>
      <c r="U457" s="637"/>
      <c r="V457" s="637"/>
      <c r="W457" s="637"/>
      <c r="X457" s="637"/>
      <c r="Y457" s="637"/>
      <c r="Z457" s="637"/>
      <c r="AA457" s="48"/>
      <c r="AB457" s="48"/>
      <c r="AC457" s="48"/>
    </row>
    <row r="458" spans="1:68" ht="16.5" hidden="1" customHeight="1" x14ac:dyDescent="0.25">
      <c r="A458" s="576" t="s">
        <v>702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40"/>
      <c r="AB458" s="540"/>
      <c r="AC458" s="540"/>
    </row>
    <row r="459" spans="1:68" ht="14.25" hidden="1" customHeight="1" x14ac:dyDescent="0.25">
      <c r="A459" s="565" t="s">
        <v>105</v>
      </c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52">
        <v>4640242181011</v>
      </c>
      <c r="E460" s="553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67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3"/>
      <c r="R460" s="563"/>
      <c r="S460" s="563"/>
      <c r="T460" s="564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52">
        <v>4640242180441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66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3"/>
      <c r="R461" s="563"/>
      <c r="S461" s="563"/>
      <c r="T461" s="564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52">
        <v>4640242180564</v>
      </c>
      <c r="E462" s="553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6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3"/>
      <c r="R462" s="563"/>
      <c r="S462" s="563"/>
      <c r="T462" s="564"/>
      <c r="U462" s="34"/>
      <c r="V462" s="34"/>
      <c r="W462" s="35" t="s">
        <v>70</v>
      </c>
      <c r="X462" s="545">
        <v>120</v>
      </c>
      <c r="Y462" s="546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52">
        <v>4640242181189</v>
      </c>
      <c r="E463" s="553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63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3"/>
      <c r="R463" s="563"/>
      <c r="S463" s="563"/>
      <c r="T463" s="564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55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7"/>
      <c r="P464" s="554" t="s">
        <v>76</v>
      </c>
      <c r="Q464" s="550"/>
      <c r="R464" s="550"/>
      <c r="S464" s="550"/>
      <c r="T464" s="550"/>
      <c r="U464" s="550"/>
      <c r="V464" s="551"/>
      <c r="W464" s="37" t="s">
        <v>77</v>
      </c>
      <c r="X464" s="547">
        <f>IFERROR(X460/H460,"0")+IFERROR(X461/H461,"0")+IFERROR(X462/H462,"0")+IFERROR(X463/H463,"0")</f>
        <v>10</v>
      </c>
      <c r="Y464" s="547">
        <f>IFERROR(Y460/H460,"0")+IFERROR(Y461/H461,"0")+IFERROR(Y462/H462,"0")+IFERROR(Y463/H463,"0")</f>
        <v>10</v>
      </c>
      <c r="Z464" s="547">
        <f>IFERROR(IF(Z460="",0,Z460),"0")+IFERROR(IF(Z461="",0,Z461),"0")+IFERROR(IF(Z462="",0,Z462),"0")+IFERROR(IF(Z463="",0,Z463),"0")</f>
        <v>0.1898</v>
      </c>
      <c r="AA464" s="548"/>
      <c r="AB464" s="548"/>
      <c r="AC464" s="548"/>
    </row>
    <row r="465" spans="1:68" x14ac:dyDescent="0.2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7"/>
      <c r="P465" s="554" t="s">
        <v>76</v>
      </c>
      <c r="Q465" s="550"/>
      <c r="R465" s="550"/>
      <c r="S465" s="550"/>
      <c r="T465" s="550"/>
      <c r="U465" s="550"/>
      <c r="V465" s="551"/>
      <c r="W465" s="37" t="s">
        <v>70</v>
      </c>
      <c r="X465" s="547">
        <f>IFERROR(SUM(X460:X463),"0")</f>
        <v>120</v>
      </c>
      <c r="Y465" s="547">
        <f>IFERROR(SUM(Y460:Y463),"0")</f>
        <v>120</v>
      </c>
      <c r="Z465" s="37"/>
      <c r="AA465" s="548"/>
      <c r="AB465" s="548"/>
      <c r="AC465" s="548"/>
    </row>
    <row r="466" spans="1:68" ht="14.25" hidden="1" customHeight="1" x14ac:dyDescent="0.25">
      <c r="A466" s="565" t="s">
        <v>140</v>
      </c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52">
        <v>4640242180519</v>
      </c>
      <c r="E467" s="553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3"/>
      <c r="R467" s="563"/>
      <c r="S467" s="563"/>
      <c r="T467" s="564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52">
        <v>4640242180526</v>
      </c>
      <c r="E468" s="553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84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63"/>
      <c r="R468" s="563"/>
      <c r="S468" s="563"/>
      <c r="T468" s="564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52">
        <v>4640242181363</v>
      </c>
      <c r="E469" s="553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76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63"/>
      <c r="R469" s="563"/>
      <c r="S469" s="563"/>
      <c r="T469" s="564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55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7"/>
      <c r="P470" s="554" t="s">
        <v>76</v>
      </c>
      <c r="Q470" s="550"/>
      <c r="R470" s="550"/>
      <c r="S470" s="550"/>
      <c r="T470" s="550"/>
      <c r="U470" s="550"/>
      <c r="V470" s="551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7"/>
      <c r="P471" s="554" t="s">
        <v>76</v>
      </c>
      <c r="Q471" s="550"/>
      <c r="R471" s="550"/>
      <c r="S471" s="550"/>
      <c r="T471" s="550"/>
      <c r="U471" s="550"/>
      <c r="V471" s="551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65" t="s">
        <v>64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52">
        <v>4640242180816</v>
      </c>
      <c r="E473" s="553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82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63"/>
      <c r="R473" s="563"/>
      <c r="S473" s="563"/>
      <c r="T473" s="564"/>
      <c r="U473" s="34"/>
      <c r="V473" s="34"/>
      <c r="W473" s="35" t="s">
        <v>70</v>
      </c>
      <c r="X473" s="545">
        <v>70</v>
      </c>
      <c r="Y473" s="546">
        <f>IFERROR(IF(X473="",0,CEILING((X473/$H473),1)*$H473),"")</f>
        <v>71.400000000000006</v>
      </c>
      <c r="Z473" s="36">
        <f>IFERROR(IF(Y473=0,"",ROUNDUP(Y473/H473,0)*0.00902),"")</f>
        <v>0.15334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74.166666666666657</v>
      </c>
      <c r="BN473" s="64">
        <f>IFERROR(Y473*I473/H473,"0")</f>
        <v>75.650000000000006</v>
      </c>
      <c r="BO473" s="64">
        <f>IFERROR(1/J473*(X473/H473),"0")</f>
        <v>0.12626262626262624</v>
      </c>
      <c r="BP473" s="64">
        <f>IFERROR(1/J473*(Y473/H473),"0")</f>
        <v>0.12878787878787878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52">
        <v>4640242180595</v>
      </c>
      <c r="E474" s="553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80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63"/>
      <c r="R474" s="563"/>
      <c r="S474" s="563"/>
      <c r="T474" s="564"/>
      <c r="U474" s="34"/>
      <c r="V474" s="34"/>
      <c r="W474" s="35" t="s">
        <v>70</v>
      </c>
      <c r="X474" s="545">
        <v>60</v>
      </c>
      <c r="Y474" s="546">
        <f>IFERROR(IF(X474="",0,CEILING((X474/$H474),1)*$H474),"")</f>
        <v>63</v>
      </c>
      <c r="Z474" s="36">
        <f>IFERROR(IF(Y474=0,"",ROUNDUP(Y474/H474,0)*0.00902),"")</f>
        <v>0.1353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63.571428571428569</v>
      </c>
      <c r="BN474" s="64">
        <f>IFERROR(Y474*I474/H474,"0")</f>
        <v>66.75</v>
      </c>
      <c r="BO474" s="64">
        <f>IFERROR(1/J474*(X474/H474),"0")</f>
        <v>0.10822510822510822</v>
      </c>
      <c r="BP474" s="64">
        <f>IFERROR(1/J474*(Y474/H474),"0")</f>
        <v>0.11363636363636365</v>
      </c>
    </row>
    <row r="475" spans="1:68" x14ac:dyDescent="0.2">
      <c r="A475" s="555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7"/>
      <c r="P475" s="554" t="s">
        <v>76</v>
      </c>
      <c r="Q475" s="550"/>
      <c r="R475" s="550"/>
      <c r="S475" s="550"/>
      <c r="T475" s="550"/>
      <c r="U475" s="550"/>
      <c r="V475" s="551"/>
      <c r="W475" s="37" t="s">
        <v>77</v>
      </c>
      <c r="X475" s="547">
        <f>IFERROR(X473/H473,"0")+IFERROR(X474/H474,"0")</f>
        <v>30.952380952380949</v>
      </c>
      <c r="Y475" s="547">
        <f>IFERROR(Y473/H473,"0")+IFERROR(Y474/H474,"0")</f>
        <v>32</v>
      </c>
      <c r="Z475" s="547">
        <f>IFERROR(IF(Z473="",0,Z473),"0")+IFERROR(IF(Z474="",0,Z474),"0")</f>
        <v>0.28864000000000001</v>
      </c>
      <c r="AA475" s="548"/>
      <c r="AB475" s="548"/>
      <c r="AC475" s="548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7"/>
      <c r="P476" s="554" t="s">
        <v>76</v>
      </c>
      <c r="Q476" s="550"/>
      <c r="R476" s="550"/>
      <c r="S476" s="550"/>
      <c r="T476" s="550"/>
      <c r="U476" s="550"/>
      <c r="V476" s="551"/>
      <c r="W476" s="37" t="s">
        <v>70</v>
      </c>
      <c r="X476" s="547">
        <f>IFERROR(SUM(X473:X474),"0")</f>
        <v>130</v>
      </c>
      <c r="Y476" s="547">
        <f>IFERROR(SUM(Y473:Y474),"0")</f>
        <v>134.4</v>
      </c>
      <c r="Z476" s="37"/>
      <c r="AA476" s="548"/>
      <c r="AB476" s="548"/>
      <c r="AC476" s="548"/>
    </row>
    <row r="477" spans="1:68" ht="14.25" hidden="1" customHeight="1" x14ac:dyDescent="0.25">
      <c r="A477" s="565" t="s">
        <v>78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52">
        <v>4640242180533</v>
      </c>
      <c r="E478" s="553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63"/>
      <c r="R478" s="563"/>
      <c r="S478" s="563"/>
      <c r="T478" s="564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55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7"/>
      <c r="P479" s="554" t="s">
        <v>76</v>
      </c>
      <c r="Q479" s="550"/>
      <c r="R479" s="550"/>
      <c r="S479" s="550"/>
      <c r="T479" s="550"/>
      <c r="U479" s="550"/>
      <c r="V479" s="551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7"/>
      <c r="P480" s="554" t="s">
        <v>76</v>
      </c>
      <c r="Q480" s="550"/>
      <c r="R480" s="550"/>
      <c r="S480" s="550"/>
      <c r="T480" s="550"/>
      <c r="U480" s="550"/>
      <c r="V480" s="551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65" t="s">
        <v>168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52">
        <v>4640242180120</v>
      </c>
      <c r="E482" s="553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83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63"/>
      <c r="R482" s="563"/>
      <c r="S482" s="563"/>
      <c r="T482" s="564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52">
        <v>4640242180137</v>
      </c>
      <c r="E483" s="553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6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63"/>
      <c r="R483" s="563"/>
      <c r="S483" s="563"/>
      <c r="T483" s="564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55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7"/>
      <c r="P484" s="554" t="s">
        <v>76</v>
      </c>
      <c r="Q484" s="550"/>
      <c r="R484" s="550"/>
      <c r="S484" s="550"/>
      <c r="T484" s="550"/>
      <c r="U484" s="550"/>
      <c r="V484" s="551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7"/>
      <c r="P485" s="554" t="s">
        <v>76</v>
      </c>
      <c r="Q485" s="550"/>
      <c r="R485" s="550"/>
      <c r="S485" s="550"/>
      <c r="T485" s="550"/>
      <c r="U485" s="550"/>
      <c r="V485" s="551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6" t="s">
        <v>738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40"/>
      <c r="AB486" s="540"/>
      <c r="AC486" s="540"/>
    </row>
    <row r="487" spans="1:68" ht="14.25" hidden="1" customHeight="1" x14ac:dyDescent="0.25">
      <c r="A487" s="565" t="s">
        <v>140</v>
      </c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52">
        <v>4640242180090</v>
      </c>
      <c r="E488" s="553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6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63"/>
      <c r="R488" s="563"/>
      <c r="S488" s="563"/>
      <c r="T488" s="564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55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7"/>
      <c r="P489" s="554" t="s">
        <v>76</v>
      </c>
      <c r="Q489" s="550"/>
      <c r="R489" s="550"/>
      <c r="S489" s="550"/>
      <c r="T489" s="550"/>
      <c r="U489" s="550"/>
      <c r="V489" s="551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7"/>
      <c r="P490" s="554" t="s">
        <v>76</v>
      </c>
      <c r="Q490" s="550"/>
      <c r="R490" s="550"/>
      <c r="S490" s="550"/>
      <c r="T490" s="550"/>
      <c r="U490" s="550"/>
      <c r="V490" s="551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8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89"/>
      <c r="P491" s="558" t="s">
        <v>742</v>
      </c>
      <c r="Q491" s="559"/>
      <c r="R491" s="559"/>
      <c r="S491" s="559"/>
      <c r="T491" s="559"/>
      <c r="U491" s="559"/>
      <c r="V491" s="560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17963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18087</v>
      </c>
      <c r="Z491" s="37"/>
      <c r="AA491" s="548"/>
      <c r="AB491" s="548"/>
      <c r="AC491" s="548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89"/>
      <c r="P492" s="558" t="s">
        <v>743</v>
      </c>
      <c r="Q492" s="559"/>
      <c r="R492" s="559"/>
      <c r="S492" s="559"/>
      <c r="T492" s="559"/>
      <c r="U492" s="559"/>
      <c r="V492" s="560"/>
      <c r="W492" s="37" t="s">
        <v>70</v>
      </c>
      <c r="X492" s="547">
        <f>IFERROR(SUM(BM22:BM488),"0")</f>
        <v>18680.171367643848</v>
      </c>
      <c r="Y492" s="547">
        <f>IFERROR(SUM(BN22:BN488),"0")</f>
        <v>18811.03000000001</v>
      </c>
      <c r="Z492" s="37"/>
      <c r="AA492" s="548"/>
      <c r="AB492" s="548"/>
      <c r="AC492" s="548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89"/>
      <c r="P493" s="558" t="s">
        <v>744</v>
      </c>
      <c r="Q493" s="559"/>
      <c r="R493" s="559"/>
      <c r="S493" s="559"/>
      <c r="T493" s="559"/>
      <c r="U493" s="559"/>
      <c r="V493" s="560"/>
      <c r="W493" s="37" t="s">
        <v>745</v>
      </c>
      <c r="X493" s="38">
        <f>ROUNDUP(SUM(BO22:BO488),0)</f>
        <v>28</v>
      </c>
      <c r="Y493" s="38">
        <f>ROUNDUP(SUM(BP22:BP488),0)</f>
        <v>28</v>
      </c>
      <c r="Z493" s="37"/>
      <c r="AA493" s="548"/>
      <c r="AB493" s="548"/>
      <c r="AC493" s="548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89"/>
      <c r="P494" s="558" t="s">
        <v>746</v>
      </c>
      <c r="Q494" s="559"/>
      <c r="R494" s="559"/>
      <c r="S494" s="559"/>
      <c r="T494" s="559"/>
      <c r="U494" s="559"/>
      <c r="V494" s="560"/>
      <c r="W494" s="37" t="s">
        <v>70</v>
      </c>
      <c r="X494" s="547">
        <f>GrossWeightTotal+PalletQtyTotal*25</f>
        <v>19380.171367643848</v>
      </c>
      <c r="Y494" s="547">
        <f>GrossWeightTotalR+PalletQtyTotalR*25</f>
        <v>19511.03000000001</v>
      </c>
      <c r="Z494" s="37"/>
      <c r="AA494" s="548"/>
      <c r="AB494" s="548"/>
      <c r="AC494" s="548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89"/>
      <c r="P495" s="558" t="s">
        <v>747</v>
      </c>
      <c r="Q495" s="559"/>
      <c r="R495" s="559"/>
      <c r="S495" s="559"/>
      <c r="T495" s="559"/>
      <c r="U495" s="559"/>
      <c r="V495" s="560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1888.9865016632946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1908</v>
      </c>
      <c r="Z495" s="37"/>
      <c r="AA495" s="548"/>
      <c r="AB495" s="548"/>
      <c r="AC495" s="548"/>
    </row>
    <row r="496" spans="1:68" ht="14.25" hidden="1" customHeight="1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89"/>
      <c r="P496" s="558" t="s">
        <v>748</v>
      </c>
      <c r="Q496" s="559"/>
      <c r="R496" s="559"/>
      <c r="S496" s="559"/>
      <c r="T496" s="559"/>
      <c r="U496" s="559"/>
      <c r="V496" s="560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30.535550000000008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4" t="s">
        <v>103</v>
      </c>
      <c r="D498" s="758"/>
      <c r="E498" s="758"/>
      <c r="F498" s="758"/>
      <c r="G498" s="758"/>
      <c r="H498" s="759"/>
      <c r="I498" s="574" t="s">
        <v>254</v>
      </c>
      <c r="J498" s="758"/>
      <c r="K498" s="758"/>
      <c r="L498" s="758"/>
      <c r="M498" s="758"/>
      <c r="N498" s="758"/>
      <c r="O498" s="758"/>
      <c r="P498" s="758"/>
      <c r="Q498" s="758"/>
      <c r="R498" s="759"/>
      <c r="S498" s="574" t="s">
        <v>534</v>
      </c>
      <c r="T498" s="759"/>
      <c r="U498" s="574" t="s">
        <v>588</v>
      </c>
      <c r="V498" s="758"/>
      <c r="W498" s="759"/>
      <c r="X498" s="542" t="s">
        <v>639</v>
      </c>
      <c r="Y498" s="574" t="s">
        <v>702</v>
      </c>
      <c r="Z498" s="759"/>
      <c r="AB498" s="52"/>
      <c r="AC498" s="52"/>
      <c r="AF498" s="543"/>
    </row>
    <row r="499" spans="1:32" ht="14.25" customHeight="1" thickTop="1" x14ac:dyDescent="0.2">
      <c r="A499" s="590" t="s">
        <v>751</v>
      </c>
      <c r="B499" s="574" t="s">
        <v>63</v>
      </c>
      <c r="C499" s="574" t="s">
        <v>104</v>
      </c>
      <c r="D499" s="574" t="s">
        <v>121</v>
      </c>
      <c r="E499" s="574" t="s">
        <v>175</v>
      </c>
      <c r="F499" s="574" t="s">
        <v>194</v>
      </c>
      <c r="G499" s="574" t="s">
        <v>224</v>
      </c>
      <c r="H499" s="574" t="s">
        <v>103</v>
      </c>
      <c r="I499" s="574" t="s">
        <v>255</v>
      </c>
      <c r="J499" s="574" t="s">
        <v>299</v>
      </c>
      <c r="K499" s="574" t="s">
        <v>358</v>
      </c>
      <c r="L499" s="574" t="s">
        <v>400</v>
      </c>
      <c r="M499" s="574" t="s">
        <v>416</v>
      </c>
      <c r="N499" s="543"/>
      <c r="O499" s="574" t="s">
        <v>427</v>
      </c>
      <c r="P499" s="574" t="s">
        <v>436</v>
      </c>
      <c r="Q499" s="574" t="s">
        <v>449</v>
      </c>
      <c r="R499" s="574" t="s">
        <v>524</v>
      </c>
      <c r="S499" s="574" t="s">
        <v>535</v>
      </c>
      <c r="T499" s="574" t="s">
        <v>570</v>
      </c>
      <c r="U499" s="574" t="s">
        <v>589</v>
      </c>
      <c r="V499" s="574" t="s">
        <v>620</v>
      </c>
      <c r="W499" s="574" t="s">
        <v>635</v>
      </c>
      <c r="X499" s="574" t="s">
        <v>639</v>
      </c>
      <c r="Y499" s="574" t="s">
        <v>702</v>
      </c>
      <c r="Z499" s="574" t="s">
        <v>738</v>
      </c>
      <c r="AB499" s="52"/>
      <c r="AC499" s="52"/>
      <c r="AF499" s="543"/>
    </row>
    <row r="500" spans="1:32" ht="13.5" customHeight="1" thickBot="1" x14ac:dyDescent="0.25">
      <c r="A500" s="591"/>
      <c r="B500" s="575"/>
      <c r="C500" s="575"/>
      <c r="D500" s="575"/>
      <c r="E500" s="575"/>
      <c r="F500" s="575"/>
      <c r="G500" s="575"/>
      <c r="H500" s="575"/>
      <c r="I500" s="575"/>
      <c r="J500" s="575"/>
      <c r="K500" s="575"/>
      <c r="L500" s="575"/>
      <c r="M500" s="575"/>
      <c r="N500" s="543"/>
      <c r="O500" s="575"/>
      <c r="P500" s="575"/>
      <c r="Q500" s="575"/>
      <c r="R500" s="575"/>
      <c r="S500" s="575"/>
      <c r="T500" s="575"/>
      <c r="U500" s="575"/>
      <c r="V500" s="575"/>
      <c r="W500" s="575"/>
      <c r="X500" s="575"/>
      <c r="Y500" s="575"/>
      <c r="Z500" s="57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113.39999999999999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105.3</v>
      </c>
      <c r="G501" s="46">
        <f>IFERROR(Y125*1,"0")+IFERROR(Y126*1,"0")+IFERROR(Y130*1,"0")+IFERROR(Y131*1,"0")+IFERROR(Y135*1,"0")+IFERROR(Y136*1,"0")</f>
        <v>25.92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121.80000000000001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1995.0000000000005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54.000000000000007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1345.1999999999998</v>
      </c>
      <c r="R501" s="46">
        <f>IFERROR(Y335*1,"0")+IFERROR(Y336*1,"0")+IFERROR(Y337*1,"0")</f>
        <v>97.199999999999989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12468</v>
      </c>
      <c r="T501" s="46">
        <f>IFERROR(Y368*1,"0")+IFERROR(Y369*1,"0")+IFERROR(Y373*1,"0")+IFERROR(Y374*1,"0")+IFERROR(Y378*1,"0")+IFERROR(Y379*1,"0")+IFERROR(Y380*1,"0")</f>
        <v>237.66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54</v>
      </c>
      <c r="V501" s="46">
        <f>IFERROR(Y404*1,"0")+IFERROR(Y408*1,"0")+IFERROR(Y409*1,"0")+IFERROR(Y410*1,"0")+IFERROR(Y411*1,"0")</f>
        <v>270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945.12000000000012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254.4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888,99"/>
        <filter val="1,85"/>
        <filter val="10,00"/>
        <filter val="100,00"/>
        <filter val="103,00"/>
        <filter val="11,11"/>
        <filter val="12,35"/>
        <filter val="120,00"/>
        <filter val="128,21"/>
        <filter val="130,00"/>
        <filter val="14,29"/>
        <filter val="147,53"/>
        <filter val="150,00"/>
        <filter val="16,00"/>
        <filter val="16,67"/>
        <filter val="160,00"/>
        <filter val="17 963,00"/>
        <filter val="18 680,17"/>
        <filter val="19 380,17"/>
        <filter val="2 500,00"/>
        <filter val="2,65"/>
        <filter val="2,81"/>
        <filter val="2,86"/>
        <filter val="20,00"/>
        <filter val="200,00"/>
        <filter val="210,00"/>
        <filter val="22,22"/>
        <filter val="230,00"/>
        <filter val="25,83"/>
        <filter val="260,00"/>
        <filter val="270,00"/>
        <filter val="28"/>
        <filter val="28,57"/>
        <filter val="281,48"/>
        <filter val="3 000,00"/>
        <filter val="30,00"/>
        <filter val="30,95"/>
        <filter val="300,00"/>
        <filter val="31,00"/>
        <filter val="32,05"/>
        <filter val="330,00"/>
        <filter val="370,00"/>
        <filter val="4,63"/>
        <filter val="40,00"/>
        <filter val="400,00"/>
        <filter val="412,00"/>
        <filter val="43,56"/>
        <filter val="45,00"/>
        <filter val="5,00"/>
        <filter val="5,13"/>
        <filter val="50,00"/>
        <filter val="566,67"/>
        <filter val="6,85"/>
        <filter val="60,00"/>
        <filter val="62,00"/>
        <filter val="62,50"/>
        <filter val="640,00"/>
        <filter val="650,00"/>
        <filter val="7,00"/>
        <filter val="70,00"/>
        <filter val="70,08"/>
        <filter val="8 500,00"/>
        <filter val="8,00"/>
        <filter val="80,00"/>
        <filter val="800,00"/>
        <filter val="88,89"/>
        <filter val="9,00"/>
        <filter val="9,26"/>
        <filter val="90,00"/>
      </filters>
    </filterColumn>
    <filterColumn colId="29" showButton="0"/>
    <filterColumn colId="30" showButton="0"/>
  </autoFilter>
  <mergeCells count="878"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A34:Z34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2025-12-11T08:55:00Z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