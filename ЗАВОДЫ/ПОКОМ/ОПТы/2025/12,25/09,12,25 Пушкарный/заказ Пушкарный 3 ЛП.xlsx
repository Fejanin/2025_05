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3283D08-C4E5-44C8-9120-318D8320C9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1" i="1" l="1"/>
  <c r="O501" i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1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N259" i="1"/>
  <c r="BM259" i="1"/>
  <c r="Z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N210" i="1"/>
  <c r="BM210" i="1"/>
  <c r="Z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7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3" i="1" s="1"/>
  <c r="P162" i="1"/>
  <c r="X160" i="1"/>
  <c r="X159" i="1"/>
  <c r="BO158" i="1"/>
  <c r="BM158" i="1"/>
  <c r="Y158" i="1"/>
  <c r="I501" i="1" s="1"/>
  <c r="P158" i="1"/>
  <c r="X154" i="1"/>
  <c r="X153" i="1"/>
  <c r="BO152" i="1"/>
  <c r="BM152" i="1"/>
  <c r="Y152" i="1"/>
  <c r="Y153" i="1" s="1"/>
  <c r="P152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G501" i="1" s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1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H10" i="1"/>
  <c r="A9" i="1"/>
  <c r="F10" i="1" s="1"/>
  <c r="D7" i="1"/>
  <c r="Q6" i="1"/>
  <c r="P2" i="1"/>
  <c r="Y25" i="1" l="1"/>
  <c r="Y33" i="1"/>
  <c r="Y37" i="1"/>
  <c r="Y45" i="1"/>
  <c r="Y49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4" i="1"/>
  <c r="Y160" i="1"/>
  <c r="Y172" i="1"/>
  <c r="Y178" i="1"/>
  <c r="Y189" i="1"/>
  <c r="Y193" i="1"/>
  <c r="Y205" i="1"/>
  <c r="BP212" i="1"/>
  <c r="BN212" i="1"/>
  <c r="Z212" i="1"/>
  <c r="Y216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80" i="1"/>
  <c r="BN280" i="1"/>
  <c r="Z280" i="1"/>
  <c r="Z281" i="1" s="1"/>
  <c r="Y282" i="1"/>
  <c r="Y287" i="1"/>
  <c r="BP284" i="1"/>
  <c r="BN284" i="1"/>
  <c r="Z284" i="1"/>
  <c r="Z286" i="1" s="1"/>
  <c r="Y286" i="1"/>
  <c r="BP344" i="1"/>
  <c r="BN344" i="1"/>
  <c r="Z344" i="1"/>
  <c r="Z350" i="1" s="1"/>
  <c r="S501" i="1"/>
  <c r="Y350" i="1"/>
  <c r="BP348" i="1"/>
  <c r="BN348" i="1"/>
  <c r="Z348" i="1"/>
  <c r="BP387" i="1"/>
  <c r="BN387" i="1"/>
  <c r="Z387" i="1"/>
  <c r="Z395" i="1" s="1"/>
  <c r="BP391" i="1"/>
  <c r="BN391" i="1"/>
  <c r="Z391" i="1"/>
  <c r="Y395" i="1"/>
  <c r="BP399" i="1"/>
  <c r="BN399" i="1"/>
  <c r="Z399" i="1"/>
  <c r="Z400" i="1" s="1"/>
  <c r="Y401" i="1"/>
  <c r="V501" i="1"/>
  <c r="Y405" i="1"/>
  <c r="BP404" i="1"/>
  <c r="BN404" i="1"/>
  <c r="Z404" i="1"/>
  <c r="Z405" i="1" s="1"/>
  <c r="Y406" i="1"/>
  <c r="Y413" i="1"/>
  <c r="BP408" i="1"/>
  <c r="BN408" i="1"/>
  <c r="Z408" i="1"/>
  <c r="Y412" i="1"/>
  <c r="BP424" i="1"/>
  <c r="BN424" i="1"/>
  <c r="Z424" i="1"/>
  <c r="Y435" i="1"/>
  <c r="H9" i="1"/>
  <c r="A10" i="1"/>
  <c r="F9" i="1"/>
  <c r="J9" i="1"/>
  <c r="B501" i="1"/>
  <c r="X492" i="1"/>
  <c r="X494" i="1" s="1"/>
  <c r="X493" i="1"/>
  <c r="Z23" i="1"/>
  <c r="Z24" i="1" s="1"/>
  <c r="BN23" i="1"/>
  <c r="Y492" i="1" s="1"/>
  <c r="Y494" i="1" s="1"/>
  <c r="Y24" i="1"/>
  <c r="X491" i="1"/>
  <c r="Z27" i="1"/>
  <c r="BN27" i="1"/>
  <c r="BP27" i="1"/>
  <c r="Y49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Z77" i="1" s="1"/>
  <c r="BN74" i="1"/>
  <c r="Z76" i="1"/>
  <c r="BN76" i="1"/>
  <c r="Z80" i="1"/>
  <c r="Z82" i="1" s="1"/>
  <c r="BN80" i="1"/>
  <c r="BP80" i="1"/>
  <c r="E501" i="1"/>
  <c r="Z87" i="1"/>
  <c r="Z89" i="1" s="1"/>
  <c r="BN87" i="1"/>
  <c r="Y90" i="1"/>
  <c r="Z93" i="1"/>
  <c r="Z96" i="1" s="1"/>
  <c r="BN93" i="1"/>
  <c r="Z95" i="1"/>
  <c r="BN95" i="1"/>
  <c r="Z100" i="1"/>
  <c r="BN100" i="1"/>
  <c r="BP100" i="1"/>
  <c r="Z102" i="1"/>
  <c r="BN102" i="1"/>
  <c r="Y105" i="1"/>
  <c r="Z108" i="1"/>
  <c r="Z110" i="1" s="1"/>
  <c r="BN108" i="1"/>
  <c r="Z114" i="1"/>
  <c r="Z117" i="1" s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1" i="1"/>
  <c r="Z142" i="1"/>
  <c r="Z143" i="1" s="1"/>
  <c r="BN142" i="1"/>
  <c r="Y143" i="1"/>
  <c r="Z146" i="1"/>
  <c r="BN146" i="1"/>
  <c r="BP146" i="1"/>
  <c r="Z148" i="1"/>
  <c r="BN148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1" i="1"/>
  <c r="Z187" i="1"/>
  <c r="Z188" i="1" s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BP214" i="1"/>
  <c r="BN214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BP266" i="1"/>
  <c r="BN266" i="1"/>
  <c r="Z266" i="1"/>
  <c r="BP293" i="1"/>
  <c r="BN293" i="1"/>
  <c r="Z293" i="1"/>
  <c r="BP301" i="1"/>
  <c r="BN301" i="1"/>
  <c r="Z301" i="1"/>
  <c r="Y305" i="1"/>
  <c r="BP309" i="1"/>
  <c r="BN309" i="1"/>
  <c r="Z309" i="1"/>
  <c r="Y313" i="1"/>
  <c r="BP317" i="1"/>
  <c r="BN317" i="1"/>
  <c r="Z317" i="1"/>
  <c r="Y319" i="1"/>
  <c r="Y326" i="1"/>
  <c r="BP321" i="1"/>
  <c r="BN321" i="1"/>
  <c r="Z321" i="1"/>
  <c r="Y325" i="1"/>
  <c r="Z331" i="1"/>
  <c r="BP329" i="1"/>
  <c r="BN329" i="1"/>
  <c r="Z329" i="1"/>
  <c r="Y331" i="1"/>
  <c r="BP369" i="1"/>
  <c r="BN369" i="1"/>
  <c r="Z369" i="1"/>
  <c r="Z370" i="1" s="1"/>
  <c r="Y371" i="1"/>
  <c r="Y376" i="1"/>
  <c r="BP373" i="1"/>
  <c r="BN373" i="1"/>
  <c r="Z373" i="1"/>
  <c r="Z375" i="1" s="1"/>
  <c r="Y375" i="1"/>
  <c r="BP463" i="1"/>
  <c r="BN463" i="1"/>
  <c r="Z463" i="1"/>
  <c r="Y465" i="1"/>
  <c r="Y470" i="1"/>
  <c r="BP467" i="1"/>
  <c r="BN467" i="1"/>
  <c r="Z467" i="1"/>
  <c r="Y471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L501" i="1"/>
  <c r="Y260" i="1"/>
  <c r="Y261" i="1"/>
  <c r="M501" i="1"/>
  <c r="Y269" i="1"/>
  <c r="BP264" i="1"/>
  <c r="BN264" i="1"/>
  <c r="Z264" i="1"/>
  <c r="Z268" i="1" s="1"/>
  <c r="Y268" i="1"/>
  <c r="Z275" i="1"/>
  <c r="BP273" i="1"/>
  <c r="BN273" i="1"/>
  <c r="Z273" i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5" i="1" s="1"/>
  <c r="BP303" i="1"/>
  <c r="BN303" i="1"/>
  <c r="Z303" i="1"/>
  <c r="Y312" i="1"/>
  <c r="BP311" i="1"/>
  <c r="BN311" i="1"/>
  <c r="Z311" i="1"/>
  <c r="Z312" i="1" s="1"/>
  <c r="Y318" i="1"/>
  <c r="BP315" i="1"/>
  <c r="BN315" i="1"/>
  <c r="Z315" i="1"/>
  <c r="Z318" i="1" s="1"/>
  <c r="BP323" i="1"/>
  <c r="BN323" i="1"/>
  <c r="Z323" i="1"/>
  <c r="Y332" i="1"/>
  <c r="Z338" i="1"/>
  <c r="BP336" i="1"/>
  <c r="BN336" i="1"/>
  <c r="Z336" i="1"/>
  <c r="Y351" i="1"/>
  <c r="BP346" i="1"/>
  <c r="BN346" i="1"/>
  <c r="Z346" i="1"/>
  <c r="BP354" i="1"/>
  <c r="BN354" i="1"/>
  <c r="Z354" i="1"/>
  <c r="Z355" i="1" s="1"/>
  <c r="Y356" i="1"/>
  <c r="Y361" i="1"/>
  <c r="BP358" i="1"/>
  <c r="BN358" i="1"/>
  <c r="Z358" i="1"/>
  <c r="Z360" i="1" s="1"/>
  <c r="Z381" i="1"/>
  <c r="BP379" i="1"/>
  <c r="BN379" i="1"/>
  <c r="Z379" i="1"/>
  <c r="U501" i="1"/>
  <c r="BP389" i="1"/>
  <c r="BN389" i="1"/>
  <c r="Z389" i="1"/>
  <c r="BP393" i="1"/>
  <c r="BN393" i="1"/>
  <c r="Z393" i="1"/>
  <c r="Y400" i="1"/>
  <c r="BP410" i="1"/>
  <c r="BN410" i="1"/>
  <c r="Z410" i="1"/>
  <c r="BP429" i="1"/>
  <c r="BN429" i="1"/>
  <c r="Z429" i="1"/>
  <c r="BP433" i="1"/>
  <c r="BN433" i="1"/>
  <c r="Z433" i="1"/>
  <c r="Y440" i="1"/>
  <c r="BP437" i="1"/>
  <c r="BN437" i="1"/>
  <c r="Z437" i="1"/>
  <c r="Z440" i="1" s="1"/>
  <c r="Y441" i="1"/>
  <c r="BP445" i="1"/>
  <c r="BN445" i="1"/>
  <c r="Z445" i="1"/>
  <c r="Y449" i="1"/>
  <c r="Z455" i="1"/>
  <c r="BP453" i="1"/>
  <c r="BN453" i="1"/>
  <c r="Z453" i="1"/>
  <c r="Y455" i="1"/>
  <c r="P501" i="1"/>
  <c r="Y281" i="1"/>
  <c r="Y296" i="1"/>
  <c r="R501" i="1"/>
  <c r="Y339" i="1"/>
  <c r="T501" i="1"/>
  <c r="Y370" i="1"/>
  <c r="Y396" i="1"/>
  <c r="X501" i="1"/>
  <c r="Y434" i="1"/>
  <c r="BP425" i="1"/>
  <c r="BN425" i="1"/>
  <c r="BP427" i="1"/>
  <c r="BN427" i="1"/>
  <c r="Z427" i="1"/>
  <c r="Z434" i="1" s="1"/>
  <c r="BP431" i="1"/>
  <c r="BN431" i="1"/>
  <c r="Z431" i="1"/>
  <c r="BP439" i="1"/>
  <c r="BN439" i="1"/>
  <c r="Z439" i="1"/>
  <c r="Y450" i="1"/>
  <c r="BP443" i="1"/>
  <c r="BN443" i="1"/>
  <c r="Z443" i="1"/>
  <c r="BP447" i="1"/>
  <c r="BN447" i="1"/>
  <c r="Z447" i="1"/>
  <c r="Y456" i="1"/>
  <c r="BP461" i="1"/>
  <c r="BN461" i="1"/>
  <c r="Z461" i="1"/>
  <c r="Z464" i="1" s="1"/>
  <c r="BP469" i="1"/>
  <c r="BN469" i="1"/>
  <c r="Z469" i="1"/>
  <c r="Y476" i="1"/>
  <c r="BP473" i="1"/>
  <c r="BN473" i="1"/>
  <c r="Z473" i="1"/>
  <c r="Z475" i="1" s="1"/>
  <c r="Y484" i="1"/>
  <c r="Y501" i="1"/>
  <c r="Z325" i="1" l="1"/>
  <c r="Z449" i="1"/>
  <c r="Z470" i="1"/>
  <c r="Z216" i="1"/>
  <c r="Z172" i="1"/>
  <c r="Z149" i="1"/>
  <c r="Z104" i="1"/>
  <c r="Z44" i="1"/>
  <c r="Z32" i="1"/>
  <c r="Z496" i="1" s="1"/>
  <c r="Y495" i="1"/>
  <c r="Z412" i="1"/>
  <c r="Z235" i="1"/>
  <c r="Y491" i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<sst xmlns="http://schemas.openxmlformats.org/spreadsheetml/2006/main" count="2352" uniqueCount="768">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</sst>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900</v>
      </c>
      <c r="Y41" s="546">
        <f>IFERROR(IF(X41="",0,CEILING((X41/$H41),1)*$H41),"")</f>
        <v>907.2</v>
      </c>
      <c r="Z41" s="36">
        <f>IFERROR(IF(Y41=0,"",ROUNDUP(Y41/H41,0)*0.01898),"")</f>
        <v>1.59432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934.16666666666663</v>
      </c>
      <c r="BN41" s="64">
        <f>IFERROR(Y41*I41/H41,"0")</f>
        <v>941.6400000000001</v>
      </c>
      <c r="BO41" s="64">
        <f>IFERROR(1/J41*(X41/H41),"0")</f>
        <v>1.3020833333333333</v>
      </c>
      <c r="BP41" s="64">
        <f>IFERROR(1/J41*(Y41/H41),"0")</f>
        <v>1.3125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83.333333333333329</v>
      </c>
      <c r="Y44" s="547">
        <f>IFERROR(Y41/H41,"0")+IFERROR(Y42/H42,"0")+IFERROR(Y43/H43,"0")</f>
        <v>84</v>
      </c>
      <c r="Z44" s="547">
        <f>IFERROR(IF(Z41="",0,Z41),"0")+IFERROR(IF(Z42="",0,Z42),"0")+IFERROR(IF(Z43="",0,Z43),"0")</f>
        <v>1.59432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900</v>
      </c>
      <c r="Y45" s="547">
        <f>IFERROR(SUM(Y41:Y43),"0")</f>
        <v>907.2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1000</v>
      </c>
      <c r="Y53" s="546">
        <f t="shared" si="0"/>
        <v>1004.4000000000001</v>
      </c>
      <c r="Z53" s="36">
        <f>IFERROR(IF(Y53=0,"",ROUNDUP(Y53/H53,0)*0.01898),"")</f>
        <v>1.7651399999999999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1037.9629629629628</v>
      </c>
      <c r="BN53" s="64">
        <f t="shared" si="2"/>
        <v>1042.5300000000002</v>
      </c>
      <c r="BO53" s="64">
        <f t="shared" si="3"/>
        <v>1.4467592592592591</v>
      </c>
      <c r="BP53" s="64">
        <f t="shared" si="4"/>
        <v>1.453125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92.592592592592581</v>
      </c>
      <c r="Y58" s="547">
        <f>IFERROR(Y52/H52,"0")+IFERROR(Y53/H53,"0")+IFERROR(Y54/H54,"0")+IFERROR(Y55/H55,"0")+IFERROR(Y56/H56,"0")+IFERROR(Y57/H57,"0")</f>
        <v>93</v>
      </c>
      <c r="Z58" s="547">
        <f>IFERROR(IF(Z52="",0,Z52),"0")+IFERROR(IF(Z53="",0,Z53),"0")+IFERROR(IF(Z54="",0,Z54),"0")+IFERROR(IF(Z55="",0,Z55),"0")+IFERROR(IF(Z56="",0,Z56),"0")+IFERROR(IF(Z57="",0,Z57),"0")</f>
        <v>1.7651399999999999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1000</v>
      </c>
      <c r="Y59" s="547">
        <f>IFERROR(SUM(Y52:Y57),"0")</f>
        <v>1004.4000000000001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3000</v>
      </c>
      <c r="Y308" s="546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3187.6923076923076</v>
      </c>
      <c r="BN308" s="64">
        <f>IFERROR(Y308*I308/H308,"0")</f>
        <v>3190.88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384.61538461538464</v>
      </c>
      <c r="Y312" s="547">
        <f>IFERROR(Y308/H308,"0")+IFERROR(Y309/H309,"0")+IFERROR(Y310/H310,"0")+IFERROR(Y311/H311,"0")</f>
        <v>385</v>
      </c>
      <c r="Z312" s="547">
        <f>IFERROR(IF(Z308="",0,Z308),"0")+IFERROR(IF(Z309="",0,Z309),"0")+IFERROR(IF(Z310="",0,Z310),"0")+IFERROR(IF(Z311="",0,Z311),"0")</f>
        <v>7.3073000000000006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3000</v>
      </c>
      <c r="Y313" s="547">
        <f>IFERROR(SUM(Y308:Y311),"0")</f>
        <v>3003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1500</v>
      </c>
      <c r="Y343" s="546">
        <f t="shared" ref="Y343:Y349" si="36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1547</v>
      </c>
      <c r="BN343" s="64">
        <f t="shared" ref="BN343:BN349" si="38">IFERROR(Y343*I343/H343,"0")</f>
        <v>1547</v>
      </c>
      <c r="BO343" s="64">
        <f t="shared" ref="BO343:BO349" si="39">IFERROR(1/J343*(X343/H343),"0")</f>
        <v>2.083333333333333</v>
      </c>
      <c r="BP343" s="64">
        <f t="shared" ref="BP343:BP349" si="40">IFERROR(1/J343*(Y343/H343),"0")</f>
        <v>2.083333333333333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3000</v>
      </c>
      <c r="Y344" s="546">
        <f t="shared" si="36"/>
        <v>3000</v>
      </c>
      <c r="Z344" s="36">
        <f>IFERROR(IF(Y344=0,"",ROUNDUP(Y344/H344,0)*0.02175),"")</f>
        <v>4.3499999999999996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3094</v>
      </c>
      <c r="BN344" s="64">
        <f t="shared" si="38"/>
        <v>3094</v>
      </c>
      <c r="BO344" s="64">
        <f t="shared" si="39"/>
        <v>4.1666666666666661</v>
      </c>
      <c r="BP344" s="64">
        <f t="shared" si="40"/>
        <v>4.1666666666666661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4600</v>
      </c>
      <c r="Y346" s="546">
        <f t="shared" si="36"/>
        <v>4605</v>
      </c>
      <c r="Z346" s="36">
        <f>IFERROR(IF(Y346=0,"",ROUNDUP(Y346/H346,0)*0.02175),"")</f>
        <v>6.6772499999999999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4744.1333333333332</v>
      </c>
      <c r="BN346" s="64">
        <f t="shared" si="38"/>
        <v>4749.29</v>
      </c>
      <c r="BO346" s="64">
        <f t="shared" si="39"/>
        <v>6.3888888888888893</v>
      </c>
      <c r="BP346" s="64">
        <f t="shared" si="40"/>
        <v>6.395833333333333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606.66666666666674</v>
      </c>
      <c r="Y350" s="547">
        <f>IFERROR(Y343/H343,"0")+IFERROR(Y344/H344,"0")+IFERROR(Y345/H345,"0")+IFERROR(Y346/H346,"0")+IFERROR(Y347/H347,"0")+IFERROR(Y348/H348,"0")+IFERROR(Y349/H349,"0")</f>
        <v>607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13.202249999999999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9100</v>
      </c>
      <c r="Y351" s="547">
        <f>IFERROR(SUM(Y343:Y349),"0")</f>
        <v>9105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4000</v>
      </c>
      <c r="Y353" s="546">
        <f>IFERROR(IF(X353="",0,CEILING((X353/$H353),1)*$H353),"")</f>
        <v>4005</v>
      </c>
      <c r="Z353" s="36">
        <f>IFERROR(IF(Y353=0,"",ROUNDUP(Y353/H353,0)*0.02175),"")</f>
        <v>5.8072499999999998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4125.333333333333</v>
      </c>
      <c r="BN353" s="64">
        <f>IFERROR(Y353*I353/H353,"0")</f>
        <v>4130.4900000000007</v>
      </c>
      <c r="BO353" s="64">
        <f>IFERROR(1/J353*(X353/H353),"0")</f>
        <v>5.5555555555555554</v>
      </c>
      <c r="BP353" s="64">
        <f>IFERROR(1/J353*(Y353/H353),"0")</f>
        <v>5.5625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266.66666666666669</v>
      </c>
      <c r="Y355" s="547">
        <f>IFERROR(Y353/H353,"0")+IFERROR(Y354/H354,"0")</f>
        <v>267</v>
      </c>
      <c r="Z355" s="547">
        <f>IFERROR(IF(Z353="",0,Z353),"0")+IFERROR(IF(Z354="",0,Z354),"0")</f>
        <v>5.8072499999999998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4000</v>
      </c>
      <c r="Y356" s="547">
        <f>IFERROR(SUM(Y353:Y354),"0")</f>
        <v>4005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18000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18024.599999999999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18670.288603988603</v>
      </c>
      <c r="Y492" s="547">
        <f>IFERROR(SUM(BN22:BN488),"0")</f>
        <v>18695.830000000002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27</v>
      </c>
      <c r="Y493" s="38">
        <f>ROUNDUP(SUM(BP22:BP488),0)</f>
        <v>27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19345.288603988603</v>
      </c>
      <c r="Y494" s="547">
        <f>GrossWeightTotalR+PalletQtyTotalR*25</f>
        <v>19370.830000000002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1433.8746438746441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1436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29.676259999999999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907.2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1004.4000000000001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3003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13110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