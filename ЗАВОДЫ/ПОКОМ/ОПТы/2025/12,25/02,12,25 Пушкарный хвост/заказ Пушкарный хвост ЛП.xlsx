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6C33396B-AF1C-45DA-A24E-82E2BFF1853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Y375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Z358" i="1"/>
  <c r="Z360" i="1" s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Y126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P112" i="1"/>
  <c r="X110" i="1"/>
  <c r="Y109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Y88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90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57" i="1" l="1"/>
  <c r="Z131" i="1"/>
  <c r="Z220" i="1"/>
  <c r="Y31" i="1"/>
  <c r="Y494" i="1" s="1"/>
  <c r="Y43" i="1"/>
  <c r="Y58" i="1"/>
  <c r="Y64" i="1"/>
  <c r="Y70" i="1"/>
  <c r="Y77" i="1"/>
  <c r="Y82" i="1"/>
  <c r="BP79" i="1"/>
  <c r="BN79" i="1"/>
  <c r="Z79" i="1"/>
  <c r="Z81" i="1" s="1"/>
  <c r="BP92" i="1"/>
  <c r="BN92" i="1"/>
  <c r="Z92" i="1"/>
  <c r="Z95" i="1" s="1"/>
  <c r="BP101" i="1"/>
  <c r="BN101" i="1"/>
  <c r="Z101" i="1"/>
  <c r="BP113" i="1"/>
  <c r="BN113" i="1"/>
  <c r="Z113" i="1"/>
  <c r="Z116" i="1" s="1"/>
  <c r="BP130" i="1"/>
  <c r="BN130" i="1"/>
  <c r="Z130" i="1"/>
  <c r="Y132" i="1"/>
  <c r="Y137" i="1"/>
  <c r="BP134" i="1"/>
  <c r="BN134" i="1"/>
  <c r="Z134" i="1"/>
  <c r="Z136" i="1" s="1"/>
  <c r="BP147" i="1"/>
  <c r="BN147" i="1"/>
  <c r="Z147" i="1"/>
  <c r="Y149" i="1"/>
  <c r="Y152" i="1"/>
  <c r="BP151" i="1"/>
  <c r="BN151" i="1"/>
  <c r="Z151" i="1"/>
  <c r="Z152" i="1" s="1"/>
  <c r="Y153" i="1"/>
  <c r="I500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19" i="1"/>
  <c r="BN219" i="1"/>
  <c r="Z219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500" i="1"/>
  <c r="BP258" i="1"/>
  <c r="BN258" i="1"/>
  <c r="Z258" i="1"/>
  <c r="Y260" i="1"/>
  <c r="M500" i="1"/>
  <c r="Y268" i="1"/>
  <c r="BP263" i="1"/>
  <c r="BN263" i="1"/>
  <c r="Z263" i="1"/>
  <c r="Y267" i="1"/>
  <c r="BP272" i="1"/>
  <c r="BN272" i="1"/>
  <c r="Z272" i="1"/>
  <c r="Z274" i="1" s="1"/>
  <c r="Y274" i="1"/>
  <c r="BP322" i="1"/>
  <c r="BN322" i="1"/>
  <c r="Z322" i="1"/>
  <c r="Z325" i="1" s="1"/>
  <c r="Y326" i="1"/>
  <c r="BP330" i="1"/>
  <c r="BN330" i="1"/>
  <c r="Z330" i="1"/>
  <c r="Y332" i="1"/>
  <c r="R500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6" i="1"/>
  <c r="BP353" i="1"/>
  <c r="BN353" i="1"/>
  <c r="Z353" i="1"/>
  <c r="Z355" i="1" s="1"/>
  <c r="Y355" i="1"/>
  <c r="D500" i="1"/>
  <c r="H9" i="1"/>
  <c r="B500" i="1"/>
  <c r="X491" i="1"/>
  <c r="X492" i="1"/>
  <c r="X494" i="1"/>
  <c r="Y24" i="1"/>
  <c r="Z27" i="1"/>
  <c r="Z31" i="1" s="1"/>
  <c r="BN27" i="1"/>
  <c r="Y491" i="1" s="1"/>
  <c r="Z29" i="1"/>
  <c r="BN29" i="1"/>
  <c r="C500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Z69" i="1" s="1"/>
  <c r="BN66" i="1"/>
  <c r="BP66" i="1"/>
  <c r="Y492" i="1" s="1"/>
  <c r="Z68" i="1"/>
  <c r="BN68" i="1"/>
  <c r="Z72" i="1"/>
  <c r="BN72" i="1"/>
  <c r="BP72" i="1"/>
  <c r="Z74" i="1"/>
  <c r="BN74" i="1"/>
  <c r="BP75" i="1"/>
  <c r="BN75" i="1"/>
  <c r="Y81" i="1"/>
  <c r="BP86" i="1"/>
  <c r="BN86" i="1"/>
  <c r="Z86" i="1"/>
  <c r="Z88" i="1" s="1"/>
  <c r="Y95" i="1"/>
  <c r="BP94" i="1"/>
  <c r="BN94" i="1"/>
  <c r="Z94" i="1"/>
  <c r="Y96" i="1"/>
  <c r="F500" i="1"/>
  <c r="Y104" i="1"/>
  <c r="BP99" i="1"/>
  <c r="BN99" i="1"/>
  <c r="Z99" i="1"/>
  <c r="Z103" i="1" s="1"/>
  <c r="Y103" i="1"/>
  <c r="Z109" i="1"/>
  <c r="BP107" i="1"/>
  <c r="BN107" i="1"/>
  <c r="Z107" i="1"/>
  <c r="Y116" i="1"/>
  <c r="BP115" i="1"/>
  <c r="BN115" i="1"/>
  <c r="Z115" i="1"/>
  <c r="Y117" i="1"/>
  <c r="Y120" i="1"/>
  <c r="BP119" i="1"/>
  <c r="BN119" i="1"/>
  <c r="Z119" i="1"/>
  <c r="Z120" i="1" s="1"/>
  <c r="Y121" i="1"/>
  <c r="G500" i="1"/>
  <c r="Y127" i="1"/>
  <c r="BP124" i="1"/>
  <c r="BN124" i="1"/>
  <c r="Z124" i="1"/>
  <c r="Z126" i="1" s="1"/>
  <c r="Y131" i="1"/>
  <c r="Y136" i="1"/>
  <c r="BP141" i="1"/>
  <c r="BN141" i="1"/>
  <c r="Z141" i="1"/>
  <c r="Z142" i="1" s="1"/>
  <c r="Y143" i="1"/>
  <c r="Y148" i="1"/>
  <c r="BP145" i="1"/>
  <c r="BN145" i="1"/>
  <c r="Z145" i="1"/>
  <c r="Z148" i="1" s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500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Y216" i="1"/>
  <c r="BP209" i="1"/>
  <c r="BN209" i="1"/>
  <c r="Z209" i="1"/>
  <c r="BP213" i="1"/>
  <c r="BN213" i="1"/>
  <c r="Z213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BP379" i="1"/>
  <c r="BN379" i="1"/>
  <c r="Z379" i="1"/>
  <c r="Z381" i="1" s="1"/>
  <c r="Y382" i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Z463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E500" i="1"/>
  <c r="Y89" i="1"/>
  <c r="H500" i="1"/>
  <c r="Y142" i="1"/>
  <c r="Y221" i="1"/>
  <c r="Y220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6" i="1"/>
  <c r="BP283" i="1"/>
  <c r="BN283" i="1"/>
  <c r="Z283" i="1"/>
  <c r="Z285" i="1" s="1"/>
  <c r="Q500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BP316" i="1"/>
  <c r="BN316" i="1"/>
  <c r="Z316" i="1"/>
  <c r="Z318" i="1" s="1"/>
  <c r="Y325" i="1"/>
  <c r="BP324" i="1"/>
  <c r="BN324" i="1"/>
  <c r="Z324" i="1"/>
  <c r="Y331" i="1"/>
  <c r="BP328" i="1"/>
  <c r="BN328" i="1"/>
  <c r="Z328" i="1"/>
  <c r="Z331" i="1" s="1"/>
  <c r="BP337" i="1"/>
  <c r="BN337" i="1"/>
  <c r="Z337" i="1"/>
  <c r="S500" i="1"/>
  <c r="Y350" i="1"/>
  <c r="BP343" i="1"/>
  <c r="BN343" i="1"/>
  <c r="Z343" i="1"/>
  <c r="Z350" i="1" s="1"/>
  <c r="BP347" i="1"/>
  <c r="BN347" i="1"/>
  <c r="Z347" i="1"/>
  <c r="K500" i="1"/>
  <c r="Y234" i="1"/>
  <c r="O500" i="1"/>
  <c r="Y275" i="1"/>
  <c r="P500" i="1"/>
  <c r="Y280" i="1"/>
  <c r="Y295" i="1"/>
  <c r="Y361" i="1"/>
  <c r="BP358" i="1"/>
  <c r="BN358" i="1"/>
  <c r="Y360" i="1"/>
  <c r="BP369" i="1"/>
  <c r="BN369" i="1"/>
  <c r="Z369" i="1"/>
  <c r="Z370" i="1" s="1"/>
  <c r="Y371" i="1"/>
  <c r="Y376" i="1"/>
  <c r="BP373" i="1"/>
  <c r="BN373" i="1"/>
  <c r="Z373" i="1"/>
  <c r="Z375" i="1" s="1"/>
  <c r="Y381" i="1"/>
  <c r="BP380" i="1"/>
  <c r="BN380" i="1"/>
  <c r="Z380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0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Y493" i="1" l="1"/>
  <c r="Z433" i="1"/>
  <c r="Y490" i="1"/>
  <c r="Z338" i="1"/>
  <c r="Z203" i="1"/>
  <c r="Z448" i="1"/>
  <c r="Z469" i="1"/>
  <c r="Z395" i="1"/>
  <c r="Z312" i="1"/>
  <c r="Z305" i="1"/>
  <c r="Z76" i="1"/>
  <c r="Z63" i="1"/>
  <c r="Z495" i="1" s="1"/>
  <c r="X493" i="1"/>
  <c r="Z267" i="1"/>
  <c r="Z259" i="1"/>
  <c r="Z250" i="1"/>
  <c r="Z171" i="1"/>
</calcChain>
</file>

<file path=xl/sharedStrings.xml><?xml version="1.0" encoding="utf-8"?>
<sst xmlns="http://schemas.openxmlformats.org/spreadsheetml/2006/main" count="2343" uniqueCount="765">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</sst>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7"/>
      <c r="F1" s="577"/>
      <c r="G1" s="12" t="s">
        <v>1</v>
      </c>
      <c r="H1" s="62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0" t="s">
        <v>8</v>
      </c>
      <c r="B5" s="638"/>
      <c r="C5" s="639"/>
      <c r="D5" s="626"/>
      <c r="E5" s="627"/>
      <c r="F5" s="833" t="s">
        <v>9</v>
      </c>
      <c r="G5" s="639"/>
      <c r="H5" s="626"/>
      <c r="I5" s="772"/>
      <c r="J5" s="772"/>
      <c r="K5" s="772"/>
      <c r="L5" s="772"/>
      <c r="M5" s="627"/>
      <c r="N5" s="58"/>
      <c r="P5" s="24" t="s">
        <v>10</v>
      </c>
      <c r="Q5" s="844">
        <v>45995</v>
      </c>
      <c r="R5" s="659"/>
      <c r="T5" s="704" t="s">
        <v>11</v>
      </c>
      <c r="U5" s="705"/>
      <c r="V5" s="707" t="s">
        <v>12</v>
      </c>
      <c r="W5" s="659"/>
      <c r="AB5" s="51"/>
      <c r="AC5" s="51"/>
      <c r="AD5" s="51"/>
      <c r="AE5" s="51"/>
    </row>
    <row r="6" spans="1:32" s="537" customFormat="1" ht="24" customHeight="1" x14ac:dyDescent="0.2">
      <c r="A6" s="660" t="s">
        <v>13</v>
      </c>
      <c r="B6" s="638"/>
      <c r="C6" s="639"/>
      <c r="D6" s="775" t="s">
        <v>14</v>
      </c>
      <c r="E6" s="776"/>
      <c r="F6" s="776"/>
      <c r="G6" s="776"/>
      <c r="H6" s="776"/>
      <c r="I6" s="776"/>
      <c r="J6" s="776"/>
      <c r="K6" s="776"/>
      <c r="L6" s="776"/>
      <c r="M6" s="659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2" t="s">
        <v>16</v>
      </c>
      <c r="U6" s="705"/>
      <c r="V6" s="760" t="s">
        <v>17</v>
      </c>
      <c r="W6" s="592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8"/>
      <c r="U7" s="705"/>
      <c r="V7" s="761"/>
      <c r="W7" s="762"/>
      <c r="AB7" s="51"/>
      <c r="AC7" s="51"/>
      <c r="AD7" s="51"/>
      <c r="AE7" s="51"/>
    </row>
    <row r="8" spans="1:32" s="537" customFormat="1" ht="25.5" customHeight="1" x14ac:dyDescent="0.2">
      <c r="A8" s="864" t="s">
        <v>18</v>
      </c>
      <c r="B8" s="563"/>
      <c r="C8" s="564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666">
        <v>0.41666666666666669</v>
      </c>
      <c r="R8" s="608"/>
      <c r="T8" s="558"/>
      <c r="U8" s="705"/>
      <c r="V8" s="761"/>
      <c r="W8" s="762"/>
      <c r="AB8" s="51"/>
      <c r="AC8" s="51"/>
      <c r="AD8" s="51"/>
      <c r="AE8" s="51"/>
    </row>
    <row r="9" spans="1:32" s="537" customFormat="1" ht="39.950000000000003" customHeight="1" x14ac:dyDescent="0.2">
      <c r="A9" s="6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79"/>
      <c r="E9" s="561"/>
      <c r="F9" s="6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56"/>
      <c r="R9" s="657"/>
      <c r="T9" s="558"/>
      <c r="U9" s="705"/>
      <c r="V9" s="763"/>
      <c r="W9" s="764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79"/>
      <c r="E10" s="561"/>
      <c r="F10" s="6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52" t="str">
        <f>IFERROR(VLOOKUP($D$10,Proxy,2,FALSE),"")</f>
        <v/>
      </c>
      <c r="I10" s="558"/>
      <c r="J10" s="558"/>
      <c r="K10" s="558"/>
      <c r="L10" s="558"/>
      <c r="M10" s="558"/>
      <c r="N10" s="536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801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699" t="s">
        <v>29</v>
      </c>
      <c r="B12" s="638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39"/>
      <c r="N12" s="62"/>
      <c r="P12" s="24" t="s">
        <v>30</v>
      </c>
      <c r="Q12" s="666"/>
      <c r="R12" s="608"/>
      <c r="S12" s="23"/>
      <c r="U12" s="24"/>
      <c r="V12" s="577"/>
      <c r="W12" s="558"/>
      <c r="AB12" s="51"/>
      <c r="AC12" s="51"/>
      <c r="AD12" s="51"/>
      <c r="AE12" s="51"/>
    </row>
    <row r="13" spans="1:32" s="537" customFormat="1" ht="23.25" customHeight="1" x14ac:dyDescent="0.2">
      <c r="A13" s="699" t="s">
        <v>31</v>
      </c>
      <c r="B13" s="638"/>
      <c r="C13" s="638"/>
      <c r="D13" s="638"/>
      <c r="E13" s="638"/>
      <c r="F13" s="638"/>
      <c r="G13" s="638"/>
      <c r="H13" s="638"/>
      <c r="I13" s="638"/>
      <c r="J13" s="638"/>
      <c r="K13" s="638"/>
      <c r="L13" s="638"/>
      <c r="M13" s="639"/>
      <c r="N13" s="62"/>
      <c r="O13" s="26"/>
      <c r="P13" s="26" t="s">
        <v>32</v>
      </c>
      <c r="Q13" s="801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699" t="s">
        <v>33</v>
      </c>
      <c r="B14" s="638"/>
      <c r="C14" s="638"/>
      <c r="D14" s="638"/>
      <c r="E14" s="638"/>
      <c r="F14" s="638"/>
      <c r="G14" s="638"/>
      <c r="H14" s="638"/>
      <c r="I14" s="638"/>
      <c r="J14" s="638"/>
      <c r="K14" s="638"/>
      <c r="L14" s="638"/>
      <c r="M14" s="6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9" t="s">
        <v>34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9"/>
      <c r="N15" s="63"/>
      <c r="P15" s="69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76" t="s">
        <v>38</v>
      </c>
      <c r="D17" s="586" t="s">
        <v>39</v>
      </c>
      <c r="E17" s="646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45"/>
      <c r="R17" s="645"/>
      <c r="S17" s="645"/>
      <c r="T17" s="646"/>
      <c r="U17" s="863" t="s">
        <v>51</v>
      </c>
      <c r="V17" s="639"/>
      <c r="W17" s="586" t="s">
        <v>52</v>
      </c>
      <c r="X17" s="586" t="s">
        <v>53</v>
      </c>
      <c r="Y17" s="861" t="s">
        <v>54</v>
      </c>
      <c r="Z17" s="770" t="s">
        <v>55</v>
      </c>
      <c r="AA17" s="750" t="s">
        <v>56</v>
      </c>
      <c r="AB17" s="750" t="s">
        <v>57</v>
      </c>
      <c r="AC17" s="750" t="s">
        <v>58</v>
      </c>
      <c r="AD17" s="750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47"/>
      <c r="E18" s="649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47"/>
      <c r="Q18" s="648"/>
      <c r="R18" s="648"/>
      <c r="S18" s="648"/>
      <c r="T18" s="649"/>
      <c r="U18" s="67" t="s">
        <v>61</v>
      </c>
      <c r="V18" s="67" t="s">
        <v>62</v>
      </c>
      <c r="W18" s="587"/>
      <c r="X18" s="587"/>
      <c r="Y18" s="862"/>
      <c r="Z18" s="771"/>
      <c r="AA18" s="751"/>
      <c r="AB18" s="751"/>
      <c r="AC18" s="751"/>
      <c r="AD18" s="830"/>
      <c r="AE18" s="831"/>
      <c r="AF18" s="832"/>
      <c r="AG18" s="66"/>
      <c r="BD18" s="65"/>
    </row>
    <row r="19" spans="1:68" ht="27.75" customHeight="1" x14ac:dyDescent="0.2">
      <c r="A19" s="566" t="s">
        <v>63</v>
      </c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48"/>
      <c r="AB19" s="48"/>
      <c r="AC19" s="48"/>
    </row>
    <row r="20" spans="1:68" ht="16.5" customHeight="1" x14ac:dyDescent="0.25">
      <c r="A20" s="559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38"/>
      <c r="AB20" s="538"/>
      <c r="AC20" s="538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8"/>
      <c r="B23" s="558"/>
      <c r="C23" s="558"/>
      <c r="D23" s="558"/>
      <c r="E23" s="558"/>
      <c r="F23" s="558"/>
      <c r="G23" s="558"/>
      <c r="H23" s="558"/>
      <c r="I23" s="558"/>
      <c r="J23" s="558"/>
      <c r="K23" s="558"/>
      <c r="L23" s="558"/>
      <c r="M23" s="558"/>
      <c r="N23" s="558"/>
      <c r="O23" s="569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7" t="s">
        <v>73</v>
      </c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58"/>
      <c r="P25" s="558"/>
      <c r="Q25" s="558"/>
      <c r="R25" s="558"/>
      <c r="S25" s="558"/>
      <c r="T25" s="558"/>
      <c r="U25" s="558"/>
      <c r="V25" s="558"/>
      <c r="W25" s="558"/>
      <c r="X25" s="558"/>
      <c r="Y25" s="558"/>
      <c r="Z25" s="558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8"/>
      <c r="B31" s="558"/>
      <c r="C31" s="558"/>
      <c r="D31" s="558"/>
      <c r="E31" s="558"/>
      <c r="F31" s="558"/>
      <c r="G31" s="558"/>
      <c r="H31" s="558"/>
      <c r="I31" s="558"/>
      <c r="J31" s="558"/>
      <c r="K31" s="558"/>
      <c r="L31" s="558"/>
      <c r="M31" s="558"/>
      <c r="N31" s="558"/>
      <c r="O31" s="569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7" t="s">
        <v>93</v>
      </c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58"/>
      <c r="P33" s="558"/>
      <c r="Q33" s="558"/>
      <c r="R33" s="558"/>
      <c r="S33" s="558"/>
      <c r="T33" s="558"/>
      <c r="U33" s="558"/>
      <c r="V33" s="558"/>
      <c r="W33" s="558"/>
      <c r="X33" s="558"/>
      <c r="Y33" s="558"/>
      <c r="Z33" s="558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8"/>
      <c r="B35" s="558"/>
      <c r="C35" s="558"/>
      <c r="D35" s="558"/>
      <c r="E35" s="558"/>
      <c r="F35" s="558"/>
      <c r="G35" s="558"/>
      <c r="H35" s="558"/>
      <c r="I35" s="558"/>
      <c r="J35" s="558"/>
      <c r="K35" s="558"/>
      <c r="L35" s="558"/>
      <c r="M35" s="558"/>
      <c r="N35" s="558"/>
      <c r="O35" s="569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6" t="s">
        <v>99</v>
      </c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48"/>
      <c r="AB37" s="48"/>
      <c r="AC37" s="48"/>
    </row>
    <row r="38" spans="1:68" ht="16.5" customHeight="1" x14ac:dyDescent="0.25">
      <c r="A38" s="559" t="s">
        <v>100</v>
      </c>
      <c r="B38" s="558"/>
      <c r="C38" s="558"/>
      <c r="D38" s="558"/>
      <c r="E38" s="558"/>
      <c r="F38" s="558"/>
      <c r="G38" s="558"/>
      <c r="H38" s="558"/>
      <c r="I38" s="558"/>
      <c r="J38" s="558"/>
      <c r="K38" s="558"/>
      <c r="L38" s="558"/>
      <c r="M38" s="558"/>
      <c r="N38" s="558"/>
      <c r="O38" s="558"/>
      <c r="P38" s="558"/>
      <c r="Q38" s="558"/>
      <c r="R38" s="558"/>
      <c r="S38" s="558"/>
      <c r="T38" s="558"/>
      <c r="U38" s="558"/>
      <c r="V38" s="558"/>
      <c r="W38" s="558"/>
      <c r="X38" s="558"/>
      <c r="Y38" s="558"/>
      <c r="Z38" s="558"/>
      <c r="AA38" s="538"/>
      <c r="AB38" s="538"/>
      <c r="AC38" s="538"/>
    </row>
    <row r="39" spans="1:68" ht="14.25" customHeight="1" x14ac:dyDescent="0.25">
      <c r="A39" s="557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8"/>
      <c r="B43" s="558"/>
      <c r="C43" s="558"/>
      <c r="D43" s="558"/>
      <c r="E43" s="558"/>
      <c r="F43" s="558"/>
      <c r="G43" s="558"/>
      <c r="H43" s="558"/>
      <c r="I43" s="558"/>
      <c r="J43" s="558"/>
      <c r="K43" s="558"/>
      <c r="L43" s="558"/>
      <c r="M43" s="558"/>
      <c r="N43" s="558"/>
      <c r="O43" s="569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x14ac:dyDescent="0.2">
      <c r="A44" s="55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customHeight="1" x14ac:dyDescent="0.25">
      <c r="A45" s="557" t="s">
        <v>73</v>
      </c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Y45" s="558"/>
      <c r="Z45" s="558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8"/>
      <c r="B47" s="558"/>
      <c r="C47" s="558"/>
      <c r="D47" s="558"/>
      <c r="E47" s="558"/>
      <c r="F47" s="558"/>
      <c r="G47" s="558"/>
      <c r="H47" s="558"/>
      <c r="I47" s="558"/>
      <c r="J47" s="558"/>
      <c r="K47" s="558"/>
      <c r="L47" s="558"/>
      <c r="M47" s="558"/>
      <c r="N47" s="558"/>
      <c r="O47" s="569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Y49" s="558"/>
      <c r="Z49" s="558"/>
      <c r="AA49" s="538"/>
      <c r="AB49" s="538"/>
      <c r="AC49" s="538"/>
    </row>
    <row r="50" spans="1:68" ht="14.25" customHeight="1" x14ac:dyDescent="0.25">
      <c r="A50" s="557" t="s">
        <v>101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8"/>
      <c r="B57" s="558"/>
      <c r="C57" s="558"/>
      <c r="D57" s="558"/>
      <c r="E57" s="558"/>
      <c r="F57" s="558"/>
      <c r="G57" s="558"/>
      <c r="H57" s="558"/>
      <c r="I57" s="558"/>
      <c r="J57" s="558"/>
      <c r="K57" s="558"/>
      <c r="L57" s="558"/>
      <c r="M57" s="558"/>
      <c r="N57" s="558"/>
      <c r="O57" s="569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x14ac:dyDescent="0.2">
      <c r="A58" s="55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customHeight="1" x14ac:dyDescent="0.25">
      <c r="A59" s="557" t="s">
        <v>136</v>
      </c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Y59" s="558"/>
      <c r="Z59" s="558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8"/>
      <c r="B63" s="558"/>
      <c r="C63" s="558"/>
      <c r="D63" s="558"/>
      <c r="E63" s="558"/>
      <c r="F63" s="558"/>
      <c r="G63" s="558"/>
      <c r="H63" s="558"/>
      <c r="I63" s="558"/>
      <c r="J63" s="558"/>
      <c r="K63" s="558"/>
      <c r="L63" s="558"/>
      <c r="M63" s="558"/>
      <c r="N63" s="558"/>
      <c r="O63" s="569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5">
        <f>IFERROR(X60/H60,"0")+IFERROR(X61/H61,"0")+IFERROR(X62/H62,"0")</f>
        <v>0</v>
      </c>
      <c r="Y63" s="545">
        <f>IFERROR(Y60/H60,"0")+IFERROR(Y61/H61,"0")+IFERROR(Y62/H62,"0")</f>
        <v>0</v>
      </c>
      <c r="Z63" s="545">
        <f>IFERROR(IF(Z60="",0,Z60),"0")+IFERROR(IF(Z61="",0,Z61),"0")+IFERROR(IF(Z62="",0,Z62),"0")</f>
        <v>0</v>
      </c>
      <c r="AA63" s="546"/>
      <c r="AB63" s="546"/>
      <c r="AC63" s="546"/>
    </row>
    <row r="64" spans="1:68" x14ac:dyDescent="0.2">
      <c r="A64" s="55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5">
        <f>IFERROR(SUM(X60:X62),"0")</f>
        <v>0</v>
      </c>
      <c r="Y64" s="545">
        <f>IFERROR(SUM(Y60:Y62),"0")</f>
        <v>0</v>
      </c>
      <c r="Z64" s="37"/>
      <c r="AA64" s="546"/>
      <c r="AB64" s="546"/>
      <c r="AC64" s="546"/>
    </row>
    <row r="65" spans="1:68" ht="14.25" customHeight="1" x14ac:dyDescent="0.25">
      <c r="A65" s="557" t="s">
        <v>64</v>
      </c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58"/>
      <c r="P65" s="558"/>
      <c r="Q65" s="558"/>
      <c r="R65" s="558"/>
      <c r="S65" s="558"/>
      <c r="T65" s="558"/>
      <c r="U65" s="558"/>
      <c r="V65" s="558"/>
      <c r="W65" s="558"/>
      <c r="X65" s="558"/>
      <c r="Y65" s="558"/>
      <c r="Z65" s="558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8"/>
      <c r="B69" s="558"/>
      <c r="C69" s="558"/>
      <c r="D69" s="558"/>
      <c r="E69" s="558"/>
      <c r="F69" s="558"/>
      <c r="G69" s="558"/>
      <c r="H69" s="558"/>
      <c r="I69" s="558"/>
      <c r="J69" s="558"/>
      <c r="K69" s="558"/>
      <c r="L69" s="558"/>
      <c r="M69" s="558"/>
      <c r="N69" s="558"/>
      <c r="O69" s="569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7" t="s">
        <v>73</v>
      </c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58"/>
      <c r="P71" s="558"/>
      <c r="Q71" s="558"/>
      <c r="R71" s="558"/>
      <c r="S71" s="558"/>
      <c r="T71" s="558"/>
      <c r="U71" s="558"/>
      <c r="V71" s="558"/>
      <c r="W71" s="558"/>
      <c r="X71" s="558"/>
      <c r="Y71" s="558"/>
      <c r="Z71" s="558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8"/>
      <c r="B76" s="558"/>
      <c r="C76" s="558"/>
      <c r="D76" s="558"/>
      <c r="E76" s="558"/>
      <c r="F76" s="558"/>
      <c r="G76" s="558"/>
      <c r="H76" s="558"/>
      <c r="I76" s="558"/>
      <c r="J76" s="558"/>
      <c r="K76" s="558"/>
      <c r="L76" s="558"/>
      <c r="M76" s="558"/>
      <c r="N76" s="558"/>
      <c r="O76" s="569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57" t="s">
        <v>164</v>
      </c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58"/>
      <c r="P78" s="558"/>
      <c r="Q78" s="558"/>
      <c r="R78" s="558"/>
      <c r="S78" s="558"/>
      <c r="T78" s="558"/>
      <c r="U78" s="558"/>
      <c r="V78" s="558"/>
      <c r="W78" s="558"/>
      <c r="X78" s="558"/>
      <c r="Y78" s="558"/>
      <c r="Z78" s="558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8"/>
      <c r="B81" s="558"/>
      <c r="C81" s="558"/>
      <c r="D81" s="558"/>
      <c r="E81" s="558"/>
      <c r="F81" s="558"/>
      <c r="G81" s="558"/>
      <c r="H81" s="558"/>
      <c r="I81" s="558"/>
      <c r="J81" s="558"/>
      <c r="K81" s="558"/>
      <c r="L81" s="558"/>
      <c r="M81" s="558"/>
      <c r="N81" s="558"/>
      <c r="O81" s="569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58"/>
      <c r="P83" s="558"/>
      <c r="Q83" s="558"/>
      <c r="R83" s="558"/>
      <c r="S83" s="558"/>
      <c r="T83" s="558"/>
      <c r="U83" s="558"/>
      <c r="V83" s="558"/>
      <c r="W83" s="558"/>
      <c r="X83" s="558"/>
      <c r="Y83" s="558"/>
      <c r="Z83" s="558"/>
      <c r="AA83" s="538"/>
      <c r="AB83" s="538"/>
      <c r="AC83" s="538"/>
    </row>
    <row r="84" spans="1:68" ht="14.25" customHeight="1" x14ac:dyDescent="0.25">
      <c r="A84" s="557" t="s">
        <v>101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8"/>
      <c r="B88" s="558"/>
      <c r="C88" s="558"/>
      <c r="D88" s="558"/>
      <c r="E88" s="558"/>
      <c r="F88" s="558"/>
      <c r="G88" s="558"/>
      <c r="H88" s="558"/>
      <c r="I88" s="558"/>
      <c r="J88" s="558"/>
      <c r="K88" s="558"/>
      <c r="L88" s="558"/>
      <c r="M88" s="558"/>
      <c r="N88" s="558"/>
      <c r="O88" s="569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x14ac:dyDescent="0.2">
      <c r="A89" s="558"/>
      <c r="B89" s="558"/>
      <c r="C89" s="558"/>
      <c r="D89" s="558"/>
      <c r="E89" s="558"/>
      <c r="F89" s="558"/>
      <c r="G89" s="558"/>
      <c r="H89" s="558"/>
      <c r="I89" s="558"/>
      <c r="J89" s="558"/>
      <c r="K89" s="558"/>
      <c r="L89" s="558"/>
      <c r="M89" s="558"/>
      <c r="N89" s="558"/>
      <c r="O89" s="569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customHeight="1" x14ac:dyDescent="0.25">
      <c r="A90" s="557" t="s">
        <v>73</v>
      </c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58"/>
      <c r="P90" s="558"/>
      <c r="Q90" s="558"/>
      <c r="R90" s="558"/>
      <c r="S90" s="558"/>
      <c r="T90" s="558"/>
      <c r="U90" s="558"/>
      <c r="V90" s="558"/>
      <c r="W90" s="558"/>
      <c r="X90" s="558"/>
      <c r="Y90" s="558"/>
      <c r="Z90" s="558"/>
      <c r="AA90" s="539"/>
      <c r="AB90" s="539"/>
      <c r="AC90" s="539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84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8"/>
      <c r="B95" s="558"/>
      <c r="C95" s="558"/>
      <c r="D95" s="558"/>
      <c r="E95" s="558"/>
      <c r="F95" s="558"/>
      <c r="G95" s="558"/>
      <c r="H95" s="558"/>
      <c r="I95" s="558"/>
      <c r="J95" s="558"/>
      <c r="K95" s="558"/>
      <c r="L95" s="558"/>
      <c r="M95" s="558"/>
      <c r="N95" s="558"/>
      <c r="O95" s="569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5">
        <f>IFERROR(X91/H91,"0")+IFERROR(X92/H92,"0")+IFERROR(X93/H93,"0")+IFERROR(X94/H94,"0")</f>
        <v>0</v>
      </c>
      <c r="Y95" s="545">
        <f>IFERROR(Y91/H91,"0")+IFERROR(Y92/H92,"0")+IFERROR(Y93/H93,"0")+IFERROR(Y94/H94,"0")</f>
        <v>0</v>
      </c>
      <c r="Z95" s="545">
        <f>IFERROR(IF(Z91="",0,Z91),"0")+IFERROR(IF(Z92="",0,Z92),"0")+IFERROR(IF(Z93="",0,Z93),"0")+IFERROR(IF(Z94="",0,Z94),"0")</f>
        <v>0</v>
      </c>
      <c r="AA95" s="546"/>
      <c r="AB95" s="546"/>
      <c r="AC95" s="546"/>
    </row>
    <row r="96" spans="1:68" x14ac:dyDescent="0.2">
      <c r="A96" s="558"/>
      <c r="B96" s="558"/>
      <c r="C96" s="558"/>
      <c r="D96" s="558"/>
      <c r="E96" s="558"/>
      <c r="F96" s="558"/>
      <c r="G96" s="558"/>
      <c r="H96" s="558"/>
      <c r="I96" s="558"/>
      <c r="J96" s="558"/>
      <c r="K96" s="558"/>
      <c r="L96" s="558"/>
      <c r="M96" s="558"/>
      <c r="N96" s="558"/>
      <c r="O96" s="569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5">
        <f>IFERROR(SUM(X91:X94),"0")</f>
        <v>0</v>
      </c>
      <c r="Y96" s="545">
        <f>IFERROR(SUM(Y91:Y94),"0")</f>
        <v>0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58"/>
      <c r="P97" s="558"/>
      <c r="Q97" s="558"/>
      <c r="R97" s="558"/>
      <c r="S97" s="558"/>
      <c r="T97" s="558"/>
      <c r="U97" s="558"/>
      <c r="V97" s="558"/>
      <c r="W97" s="558"/>
      <c r="X97" s="558"/>
      <c r="Y97" s="558"/>
      <c r="Z97" s="558"/>
      <c r="AA97" s="538"/>
      <c r="AB97" s="538"/>
      <c r="AC97" s="538"/>
    </row>
    <row r="98" spans="1:68" ht="14.25" customHeight="1" x14ac:dyDescent="0.25">
      <c r="A98" s="557" t="s">
        <v>101</v>
      </c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58"/>
      <c r="P98" s="558"/>
      <c r="Q98" s="558"/>
      <c r="R98" s="558"/>
      <c r="S98" s="558"/>
      <c r="T98" s="558"/>
      <c r="U98" s="558"/>
      <c r="V98" s="558"/>
      <c r="W98" s="558"/>
      <c r="X98" s="558"/>
      <c r="Y98" s="558"/>
      <c r="Z98" s="558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8"/>
      <c r="B103" s="558"/>
      <c r="C103" s="558"/>
      <c r="D103" s="558"/>
      <c r="E103" s="558"/>
      <c r="F103" s="558"/>
      <c r="G103" s="558"/>
      <c r="H103" s="558"/>
      <c r="I103" s="558"/>
      <c r="J103" s="558"/>
      <c r="K103" s="558"/>
      <c r="L103" s="558"/>
      <c r="M103" s="558"/>
      <c r="N103" s="558"/>
      <c r="O103" s="569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x14ac:dyDescent="0.2">
      <c r="A104" s="558"/>
      <c r="B104" s="558"/>
      <c r="C104" s="558"/>
      <c r="D104" s="558"/>
      <c r="E104" s="558"/>
      <c r="F104" s="558"/>
      <c r="G104" s="558"/>
      <c r="H104" s="558"/>
      <c r="I104" s="558"/>
      <c r="J104" s="558"/>
      <c r="K104" s="558"/>
      <c r="L104" s="558"/>
      <c r="M104" s="558"/>
      <c r="N104" s="558"/>
      <c r="O104" s="569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customHeight="1" x14ac:dyDescent="0.25">
      <c r="A105" s="557" t="s">
        <v>136</v>
      </c>
      <c r="B105" s="558"/>
      <c r="C105" s="558"/>
      <c r="D105" s="558"/>
      <c r="E105" s="558"/>
      <c r="F105" s="558"/>
      <c r="G105" s="558"/>
      <c r="H105" s="558"/>
      <c r="I105" s="558"/>
      <c r="J105" s="558"/>
      <c r="K105" s="558"/>
      <c r="L105" s="558"/>
      <c r="M105" s="558"/>
      <c r="N105" s="558"/>
      <c r="O105" s="558"/>
      <c r="P105" s="558"/>
      <c r="Q105" s="558"/>
      <c r="R105" s="558"/>
      <c r="S105" s="558"/>
      <c r="T105" s="558"/>
      <c r="U105" s="558"/>
      <c r="V105" s="558"/>
      <c r="W105" s="558"/>
      <c r="X105" s="558"/>
      <c r="Y105" s="558"/>
      <c r="Z105" s="558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69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69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57" t="s">
        <v>73</v>
      </c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0</v>
      </c>
      <c r="Y112" s="544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8"/>
      <c r="B116" s="558"/>
      <c r="C116" s="558"/>
      <c r="D116" s="558"/>
      <c r="E116" s="558"/>
      <c r="F116" s="558"/>
      <c r="G116" s="558"/>
      <c r="H116" s="558"/>
      <c r="I116" s="558"/>
      <c r="J116" s="558"/>
      <c r="K116" s="558"/>
      <c r="L116" s="558"/>
      <c r="M116" s="558"/>
      <c r="N116" s="558"/>
      <c r="O116" s="569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5">
        <f>IFERROR(X112/H112,"0")+IFERROR(X113/H113,"0")+IFERROR(X114/H114,"0")+IFERROR(X115/H115,"0")</f>
        <v>0</v>
      </c>
      <c r="Y116" s="545">
        <f>IFERROR(Y112/H112,"0")+IFERROR(Y113/H113,"0")+IFERROR(Y114/H114,"0")+IFERROR(Y115/H115,"0")</f>
        <v>0</v>
      </c>
      <c r="Z116" s="545">
        <f>IFERROR(IF(Z112="",0,Z112),"0")+IFERROR(IF(Z113="",0,Z113),"0")+IFERROR(IF(Z114="",0,Z114),"0")+IFERROR(IF(Z115="",0,Z115),"0")</f>
        <v>0</v>
      </c>
      <c r="AA116" s="546"/>
      <c r="AB116" s="546"/>
      <c r="AC116" s="546"/>
    </row>
    <row r="117" spans="1:68" x14ac:dyDescent="0.2">
      <c r="A117" s="558"/>
      <c r="B117" s="558"/>
      <c r="C117" s="558"/>
      <c r="D117" s="558"/>
      <c r="E117" s="558"/>
      <c r="F117" s="558"/>
      <c r="G117" s="558"/>
      <c r="H117" s="558"/>
      <c r="I117" s="558"/>
      <c r="J117" s="558"/>
      <c r="K117" s="558"/>
      <c r="L117" s="558"/>
      <c r="M117" s="558"/>
      <c r="N117" s="558"/>
      <c r="O117" s="569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5">
        <f>IFERROR(SUM(X112:X115),"0")</f>
        <v>0</v>
      </c>
      <c r="Y117" s="545">
        <f>IFERROR(SUM(Y112:Y115),"0")</f>
        <v>0</v>
      </c>
      <c r="Z117" s="37"/>
      <c r="AA117" s="546"/>
      <c r="AB117" s="546"/>
      <c r="AC117" s="546"/>
    </row>
    <row r="118" spans="1:68" ht="14.25" customHeight="1" x14ac:dyDescent="0.25">
      <c r="A118" s="557" t="s">
        <v>164</v>
      </c>
      <c r="B118" s="558"/>
      <c r="C118" s="558"/>
      <c r="D118" s="558"/>
      <c r="E118" s="558"/>
      <c r="F118" s="558"/>
      <c r="G118" s="558"/>
      <c r="H118" s="558"/>
      <c r="I118" s="558"/>
      <c r="J118" s="558"/>
      <c r="K118" s="558"/>
      <c r="L118" s="558"/>
      <c r="M118" s="558"/>
      <c r="N118" s="558"/>
      <c r="O118" s="558"/>
      <c r="P118" s="558"/>
      <c r="Q118" s="558"/>
      <c r="R118" s="558"/>
      <c r="S118" s="558"/>
      <c r="T118" s="558"/>
      <c r="U118" s="558"/>
      <c r="V118" s="558"/>
      <c r="W118" s="558"/>
      <c r="X118" s="558"/>
      <c r="Y118" s="558"/>
      <c r="Z118" s="558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38"/>
      <c r="AB122" s="538"/>
      <c r="AC122" s="538"/>
    </row>
    <row r="123" spans="1:68" ht="14.25" customHeight="1" x14ac:dyDescent="0.25">
      <c r="A123" s="557" t="s">
        <v>101</v>
      </c>
      <c r="B123" s="558"/>
      <c r="C123" s="558"/>
      <c r="D123" s="558"/>
      <c r="E123" s="558"/>
      <c r="F123" s="558"/>
      <c r="G123" s="558"/>
      <c r="H123" s="558"/>
      <c r="I123" s="558"/>
      <c r="J123" s="558"/>
      <c r="K123" s="558"/>
      <c r="L123" s="558"/>
      <c r="M123" s="558"/>
      <c r="N123" s="558"/>
      <c r="O123" s="558"/>
      <c r="P123" s="558"/>
      <c r="Q123" s="558"/>
      <c r="R123" s="558"/>
      <c r="S123" s="558"/>
      <c r="T123" s="558"/>
      <c r="U123" s="558"/>
      <c r="V123" s="558"/>
      <c r="W123" s="558"/>
      <c r="X123" s="558"/>
      <c r="Y123" s="558"/>
      <c r="Z123" s="558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9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8"/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69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8"/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69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57" t="s">
        <v>64</v>
      </c>
      <c r="B128" s="558"/>
      <c r="C128" s="558"/>
      <c r="D128" s="558"/>
      <c r="E128" s="558"/>
      <c r="F128" s="558"/>
      <c r="G128" s="558"/>
      <c r="H128" s="558"/>
      <c r="I128" s="558"/>
      <c r="J128" s="558"/>
      <c r="K128" s="558"/>
      <c r="L128" s="558"/>
      <c r="M128" s="558"/>
      <c r="N128" s="558"/>
      <c r="O128" s="558"/>
      <c r="P128" s="558"/>
      <c r="Q128" s="558"/>
      <c r="R128" s="558"/>
      <c r="S128" s="558"/>
      <c r="T128" s="558"/>
      <c r="U128" s="558"/>
      <c r="V128" s="558"/>
      <c r="W128" s="558"/>
      <c r="X128" s="558"/>
      <c r="Y128" s="558"/>
      <c r="Z128" s="558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8"/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69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57" t="s">
        <v>73</v>
      </c>
      <c r="B133" s="558"/>
      <c r="C133" s="558"/>
      <c r="D133" s="558"/>
      <c r="E133" s="558"/>
      <c r="F133" s="558"/>
      <c r="G133" s="558"/>
      <c r="H133" s="558"/>
      <c r="I133" s="558"/>
      <c r="J133" s="558"/>
      <c r="K133" s="558"/>
      <c r="L133" s="558"/>
      <c r="M133" s="558"/>
      <c r="N133" s="558"/>
      <c r="O133" s="558"/>
      <c r="P133" s="558"/>
      <c r="Q133" s="558"/>
      <c r="R133" s="558"/>
      <c r="S133" s="558"/>
      <c r="T133" s="558"/>
      <c r="U133" s="558"/>
      <c r="V133" s="558"/>
      <c r="W133" s="558"/>
      <c r="X133" s="558"/>
      <c r="Y133" s="558"/>
      <c r="Z133" s="558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8"/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69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8"/>
      <c r="C138" s="558"/>
      <c r="D138" s="558"/>
      <c r="E138" s="558"/>
      <c r="F138" s="558"/>
      <c r="G138" s="558"/>
      <c r="H138" s="558"/>
      <c r="I138" s="558"/>
      <c r="J138" s="558"/>
      <c r="K138" s="558"/>
      <c r="L138" s="558"/>
      <c r="M138" s="558"/>
      <c r="N138" s="558"/>
      <c r="O138" s="558"/>
      <c r="P138" s="558"/>
      <c r="Q138" s="558"/>
      <c r="R138" s="558"/>
      <c r="S138" s="558"/>
      <c r="T138" s="558"/>
      <c r="U138" s="558"/>
      <c r="V138" s="558"/>
      <c r="W138" s="558"/>
      <c r="X138" s="558"/>
      <c r="Y138" s="558"/>
      <c r="Z138" s="558"/>
      <c r="AA138" s="538"/>
      <c r="AB138" s="538"/>
      <c r="AC138" s="538"/>
    </row>
    <row r="139" spans="1:68" ht="14.25" customHeight="1" x14ac:dyDescent="0.25">
      <c r="A139" s="557" t="s">
        <v>101</v>
      </c>
      <c r="B139" s="558"/>
      <c r="C139" s="558"/>
      <c r="D139" s="558"/>
      <c r="E139" s="558"/>
      <c r="F139" s="558"/>
      <c r="G139" s="558"/>
      <c r="H139" s="558"/>
      <c r="I139" s="558"/>
      <c r="J139" s="558"/>
      <c r="K139" s="558"/>
      <c r="L139" s="558"/>
      <c r="M139" s="558"/>
      <c r="N139" s="558"/>
      <c r="O139" s="558"/>
      <c r="P139" s="558"/>
      <c r="Q139" s="558"/>
      <c r="R139" s="558"/>
      <c r="S139" s="558"/>
      <c r="T139" s="558"/>
      <c r="U139" s="558"/>
      <c r="V139" s="558"/>
      <c r="W139" s="558"/>
      <c r="X139" s="558"/>
      <c r="Y139" s="558"/>
      <c r="Z139" s="558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8"/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69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5">
        <f>IFERROR(X140/H140,"0")+IFERROR(X141/H141,"0")</f>
        <v>0</v>
      </c>
      <c r="Y142" s="545">
        <f>IFERROR(Y140/H140,"0")+IFERROR(Y141/H141,"0")</f>
        <v>0</v>
      </c>
      <c r="Z142" s="545">
        <f>IFERROR(IF(Z140="",0,Z140),"0")+IFERROR(IF(Z141="",0,Z141),"0")</f>
        <v>0</v>
      </c>
      <c r="AA142" s="546"/>
      <c r="AB142" s="546"/>
      <c r="AC142" s="546"/>
    </row>
    <row r="143" spans="1:68" x14ac:dyDescent="0.2">
      <c r="A143" s="558"/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69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5">
        <f>IFERROR(SUM(X140:X141),"0")</f>
        <v>0</v>
      </c>
      <c r="Y143" s="545">
        <f>IFERROR(SUM(Y140:Y141),"0")</f>
        <v>0</v>
      </c>
      <c r="Z143" s="37"/>
      <c r="AA143" s="546"/>
      <c r="AB143" s="546"/>
      <c r="AC143" s="546"/>
    </row>
    <row r="144" spans="1:68" ht="14.25" customHeight="1" x14ac:dyDescent="0.25">
      <c r="A144" s="557" t="s">
        <v>64</v>
      </c>
      <c r="B144" s="558"/>
      <c r="C144" s="558"/>
      <c r="D144" s="558"/>
      <c r="E144" s="558"/>
      <c r="F144" s="558"/>
      <c r="G144" s="558"/>
      <c r="H144" s="558"/>
      <c r="I144" s="558"/>
      <c r="J144" s="558"/>
      <c r="K144" s="558"/>
      <c r="L144" s="558"/>
      <c r="M144" s="558"/>
      <c r="N144" s="558"/>
      <c r="O144" s="558"/>
      <c r="P144" s="558"/>
      <c r="Q144" s="558"/>
      <c r="R144" s="558"/>
      <c r="S144" s="558"/>
      <c r="T144" s="558"/>
      <c r="U144" s="558"/>
      <c r="V144" s="558"/>
      <c r="W144" s="558"/>
      <c r="X144" s="558"/>
      <c r="Y144" s="558"/>
      <c r="Z144" s="558"/>
      <c r="AA144" s="539"/>
      <c r="AB144" s="539"/>
      <c r="AC144" s="539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50">
        <v>4607091387667</v>
      </c>
      <c r="E145" s="551"/>
      <c r="F145" s="542">
        <v>0.9</v>
      </c>
      <c r="G145" s="32">
        <v>10</v>
      </c>
      <c r="H145" s="542">
        <v>9</v>
      </c>
      <c r="I145" s="542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3">
        <v>0</v>
      </c>
      <c r="Y145" s="544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50">
        <v>4607091387636</v>
      </c>
      <c r="E146" s="551"/>
      <c r="F146" s="542">
        <v>0.7</v>
      </c>
      <c r="G146" s="32">
        <v>6</v>
      </c>
      <c r="H146" s="542">
        <v>4.2</v>
      </c>
      <c r="I146" s="542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50">
        <v>4607091382426</v>
      </c>
      <c r="E147" s="551"/>
      <c r="F147" s="542">
        <v>0.9</v>
      </c>
      <c r="G147" s="32">
        <v>10</v>
      </c>
      <c r="H147" s="542">
        <v>9</v>
      </c>
      <c r="I147" s="542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6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8"/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69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5">
        <f>IFERROR(X145/H145,"0")+IFERROR(X146/H146,"0")+IFERROR(X147/H147,"0")</f>
        <v>0</v>
      </c>
      <c r="Y148" s="545">
        <f>IFERROR(Y145/H145,"0")+IFERROR(Y146/H146,"0")+IFERROR(Y147/H147,"0")</f>
        <v>0</v>
      </c>
      <c r="Z148" s="545">
        <f>IFERROR(IF(Z145="",0,Z145),"0")+IFERROR(IF(Z146="",0,Z146),"0")+IFERROR(IF(Z147="",0,Z147),"0")</f>
        <v>0</v>
      </c>
      <c r="AA148" s="546"/>
      <c r="AB148" s="546"/>
      <c r="AC148" s="546"/>
    </row>
    <row r="149" spans="1:68" x14ac:dyDescent="0.2">
      <c r="A149" s="558"/>
      <c r="B149" s="558"/>
      <c r="C149" s="558"/>
      <c r="D149" s="558"/>
      <c r="E149" s="558"/>
      <c r="F149" s="558"/>
      <c r="G149" s="558"/>
      <c r="H149" s="558"/>
      <c r="I149" s="558"/>
      <c r="J149" s="558"/>
      <c r="K149" s="558"/>
      <c r="L149" s="558"/>
      <c r="M149" s="558"/>
      <c r="N149" s="558"/>
      <c r="O149" s="569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5">
        <f>IFERROR(SUM(X145:X147),"0")</f>
        <v>0</v>
      </c>
      <c r="Y149" s="545">
        <f>IFERROR(SUM(Y145:Y147),"0")</f>
        <v>0</v>
      </c>
      <c r="Z149" s="37"/>
      <c r="AA149" s="546"/>
      <c r="AB149" s="546"/>
      <c r="AC149" s="546"/>
    </row>
    <row r="150" spans="1:68" ht="14.25" customHeight="1" x14ac:dyDescent="0.25">
      <c r="A150" s="557" t="s">
        <v>73</v>
      </c>
      <c r="B150" s="558"/>
      <c r="C150" s="558"/>
      <c r="D150" s="558"/>
      <c r="E150" s="558"/>
      <c r="F150" s="558"/>
      <c r="G150" s="558"/>
      <c r="H150" s="558"/>
      <c r="I150" s="558"/>
      <c r="J150" s="558"/>
      <c r="K150" s="558"/>
      <c r="L150" s="558"/>
      <c r="M150" s="558"/>
      <c r="N150" s="558"/>
      <c r="O150" s="558"/>
      <c r="P150" s="558"/>
      <c r="Q150" s="558"/>
      <c r="R150" s="558"/>
      <c r="S150" s="558"/>
      <c r="T150" s="558"/>
      <c r="U150" s="558"/>
      <c r="V150" s="558"/>
      <c r="W150" s="558"/>
      <c r="X150" s="558"/>
      <c r="Y150" s="558"/>
      <c r="Z150" s="558"/>
      <c r="AA150" s="539"/>
      <c r="AB150" s="539"/>
      <c r="AC150" s="539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50">
        <v>4680115887459</v>
      </c>
      <c r="E151" s="551"/>
      <c r="F151" s="542">
        <v>0.3</v>
      </c>
      <c r="G151" s="32">
        <v>6</v>
      </c>
      <c r="H151" s="542">
        <v>1.8</v>
      </c>
      <c r="I151" s="542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3">
        <v>0</v>
      </c>
      <c r="Y151" s="54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5">
        <f>IFERROR(X151/H151,"0")</f>
        <v>0</v>
      </c>
      <c r="Y152" s="545">
        <f>IFERROR(Y151/H151,"0")</f>
        <v>0</v>
      </c>
      <c r="Z152" s="545">
        <f>IFERROR(IF(Z151="",0,Z151),"0")</f>
        <v>0</v>
      </c>
      <c r="AA152" s="546"/>
      <c r="AB152" s="546"/>
      <c r="AC152" s="546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5">
        <f>IFERROR(SUM(X151:X151),"0")</f>
        <v>0</v>
      </c>
      <c r="Y153" s="545">
        <f>IFERROR(SUM(Y151:Y151),"0")</f>
        <v>0</v>
      </c>
      <c r="Z153" s="37"/>
      <c r="AA153" s="546"/>
      <c r="AB153" s="546"/>
      <c r="AC153" s="546"/>
    </row>
    <row r="154" spans="1:68" ht="27.75" customHeight="1" x14ac:dyDescent="0.2">
      <c r="A154" s="566" t="s">
        <v>250</v>
      </c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48"/>
      <c r="AB154" s="48"/>
      <c r="AC154" s="48"/>
    </row>
    <row r="155" spans="1:68" ht="16.5" customHeight="1" x14ac:dyDescent="0.25">
      <c r="A155" s="559" t="s">
        <v>251</v>
      </c>
      <c r="B155" s="558"/>
      <c r="C155" s="558"/>
      <c r="D155" s="558"/>
      <c r="E155" s="558"/>
      <c r="F155" s="558"/>
      <c r="G155" s="558"/>
      <c r="H155" s="558"/>
      <c r="I155" s="558"/>
      <c r="J155" s="558"/>
      <c r="K155" s="558"/>
      <c r="L155" s="558"/>
      <c r="M155" s="558"/>
      <c r="N155" s="558"/>
      <c r="O155" s="558"/>
      <c r="P155" s="558"/>
      <c r="Q155" s="558"/>
      <c r="R155" s="558"/>
      <c r="S155" s="558"/>
      <c r="T155" s="558"/>
      <c r="U155" s="558"/>
      <c r="V155" s="558"/>
      <c r="W155" s="558"/>
      <c r="X155" s="558"/>
      <c r="Y155" s="558"/>
      <c r="Z155" s="558"/>
      <c r="AA155" s="538"/>
      <c r="AB155" s="538"/>
      <c r="AC155" s="538"/>
    </row>
    <row r="156" spans="1:68" ht="14.25" customHeight="1" x14ac:dyDescent="0.25">
      <c r="A156" s="557" t="s">
        <v>136</v>
      </c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58"/>
      <c r="P156" s="558"/>
      <c r="Q156" s="558"/>
      <c r="R156" s="558"/>
      <c r="S156" s="558"/>
      <c r="T156" s="558"/>
      <c r="U156" s="558"/>
      <c r="V156" s="558"/>
      <c r="W156" s="558"/>
      <c r="X156" s="558"/>
      <c r="Y156" s="558"/>
      <c r="Z156" s="558"/>
      <c r="AA156" s="539"/>
      <c r="AB156" s="539"/>
      <c r="AC156" s="539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50">
        <v>4680115886223</v>
      </c>
      <c r="E157" s="551"/>
      <c r="F157" s="542">
        <v>0.33</v>
      </c>
      <c r="G157" s="32">
        <v>6</v>
      </c>
      <c r="H157" s="542">
        <v>1.98</v>
      </c>
      <c r="I157" s="542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3">
        <v>0</v>
      </c>
      <c r="Y157" s="544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8"/>
      <c r="B158" s="558"/>
      <c r="C158" s="558"/>
      <c r="D158" s="558"/>
      <c r="E158" s="558"/>
      <c r="F158" s="558"/>
      <c r="G158" s="558"/>
      <c r="H158" s="558"/>
      <c r="I158" s="558"/>
      <c r="J158" s="558"/>
      <c r="K158" s="558"/>
      <c r="L158" s="558"/>
      <c r="M158" s="558"/>
      <c r="N158" s="558"/>
      <c r="O158" s="569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5">
        <f>IFERROR(X157/H157,"0")</f>
        <v>0</v>
      </c>
      <c r="Y158" s="545">
        <f>IFERROR(Y157/H157,"0")</f>
        <v>0</v>
      </c>
      <c r="Z158" s="545">
        <f>IFERROR(IF(Z157="",0,Z157),"0")</f>
        <v>0</v>
      </c>
      <c r="AA158" s="546"/>
      <c r="AB158" s="546"/>
      <c r="AC158" s="546"/>
    </row>
    <row r="159" spans="1:68" x14ac:dyDescent="0.2">
      <c r="A159" s="558"/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69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5">
        <f>IFERROR(SUM(X157:X157),"0")</f>
        <v>0</v>
      </c>
      <c r="Y159" s="545">
        <f>IFERROR(SUM(Y157:Y157),"0")</f>
        <v>0</v>
      </c>
      <c r="Z159" s="37"/>
      <c r="AA159" s="546"/>
      <c r="AB159" s="546"/>
      <c r="AC159" s="546"/>
    </row>
    <row r="160" spans="1:68" ht="14.25" customHeight="1" x14ac:dyDescent="0.25">
      <c r="A160" s="557" t="s">
        <v>64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39"/>
      <c r="AB160" s="539"/>
      <c r="AC160" s="539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50">
        <v>4680115880993</v>
      </c>
      <c r="E161" s="551"/>
      <c r="F161" s="542">
        <v>0.7</v>
      </c>
      <c r="G161" s="32">
        <v>6</v>
      </c>
      <c r="H161" s="542">
        <v>4.2</v>
      </c>
      <c r="I161" s="542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3">
        <v>0</v>
      </c>
      <c r="Y161" s="544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50">
        <v>4680115881761</v>
      </c>
      <c r="E162" s="551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50">
        <v>4680115881563</v>
      </c>
      <c r="E163" s="551"/>
      <c r="F163" s="542">
        <v>0.7</v>
      </c>
      <c r="G163" s="32">
        <v>6</v>
      </c>
      <c r="H163" s="542">
        <v>4.2</v>
      </c>
      <c r="I163" s="542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50">
        <v>4680115880986</v>
      </c>
      <c r="E164" s="551"/>
      <c r="F164" s="542">
        <v>0.35</v>
      </c>
      <c r="G164" s="32">
        <v>6</v>
      </c>
      <c r="H164" s="542">
        <v>2.1</v>
      </c>
      <c r="I164" s="542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50">
        <v>4680115887213</v>
      </c>
      <c r="E165" s="551"/>
      <c r="F165" s="542">
        <v>0.3</v>
      </c>
      <c r="G165" s="32">
        <v>6</v>
      </c>
      <c r="H165" s="542">
        <v>1.8</v>
      </c>
      <c r="I165" s="542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81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50">
        <v>4680115881785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50">
        <v>4680115886537</v>
      </c>
      <c r="E167" s="551"/>
      <c r="F167" s="542">
        <v>0.3</v>
      </c>
      <c r="G167" s="32">
        <v>6</v>
      </c>
      <c r="H167" s="542">
        <v>1.8</v>
      </c>
      <c r="I167" s="542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50">
        <v>4680115881679</v>
      </c>
      <c r="E168" s="551"/>
      <c r="F168" s="542">
        <v>0.35</v>
      </c>
      <c r="G168" s="32">
        <v>6</v>
      </c>
      <c r="H168" s="542">
        <v>2.1</v>
      </c>
      <c r="I168" s="542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50">
        <v>4680115880191</v>
      </c>
      <c r="E169" s="551"/>
      <c r="F169" s="542">
        <v>0.4</v>
      </c>
      <c r="G169" s="32">
        <v>6</v>
      </c>
      <c r="H169" s="542">
        <v>2.4</v>
      </c>
      <c r="I169" s="542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50">
        <v>4680115883963</v>
      </c>
      <c r="E170" s="551"/>
      <c r="F170" s="542">
        <v>0.28000000000000003</v>
      </c>
      <c r="G170" s="32">
        <v>6</v>
      </c>
      <c r="H170" s="542">
        <v>1.68</v>
      </c>
      <c r="I170" s="542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8"/>
      <c r="B171" s="558"/>
      <c r="C171" s="558"/>
      <c r="D171" s="558"/>
      <c r="E171" s="558"/>
      <c r="F171" s="558"/>
      <c r="G171" s="558"/>
      <c r="H171" s="558"/>
      <c r="I171" s="558"/>
      <c r="J171" s="558"/>
      <c r="K171" s="558"/>
      <c r="L171" s="558"/>
      <c r="M171" s="558"/>
      <c r="N171" s="558"/>
      <c r="O171" s="569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6"/>
      <c r="AB171" s="546"/>
      <c r="AC171" s="546"/>
    </row>
    <row r="172" spans="1:68" x14ac:dyDescent="0.2">
      <c r="A172" s="558"/>
      <c r="B172" s="558"/>
      <c r="C172" s="558"/>
      <c r="D172" s="558"/>
      <c r="E172" s="558"/>
      <c r="F172" s="558"/>
      <c r="G172" s="558"/>
      <c r="H172" s="558"/>
      <c r="I172" s="558"/>
      <c r="J172" s="558"/>
      <c r="K172" s="558"/>
      <c r="L172" s="558"/>
      <c r="M172" s="558"/>
      <c r="N172" s="558"/>
      <c r="O172" s="569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5">
        <f>IFERROR(SUM(X161:X170),"0")</f>
        <v>0</v>
      </c>
      <c r="Y172" s="545">
        <f>IFERROR(SUM(Y161:Y170),"0")</f>
        <v>0</v>
      </c>
      <c r="Z172" s="37"/>
      <c r="AA172" s="546"/>
      <c r="AB172" s="546"/>
      <c r="AC172" s="546"/>
    </row>
    <row r="173" spans="1:68" ht="14.25" customHeight="1" x14ac:dyDescent="0.25">
      <c r="A173" s="557" t="s">
        <v>93</v>
      </c>
      <c r="B173" s="558"/>
      <c r="C173" s="558"/>
      <c r="D173" s="558"/>
      <c r="E173" s="558"/>
      <c r="F173" s="558"/>
      <c r="G173" s="558"/>
      <c r="H173" s="558"/>
      <c r="I173" s="558"/>
      <c r="J173" s="558"/>
      <c r="K173" s="558"/>
      <c r="L173" s="558"/>
      <c r="M173" s="558"/>
      <c r="N173" s="558"/>
      <c r="O173" s="558"/>
      <c r="P173" s="558"/>
      <c r="Q173" s="558"/>
      <c r="R173" s="558"/>
      <c r="S173" s="558"/>
      <c r="T173" s="558"/>
      <c r="U173" s="558"/>
      <c r="V173" s="558"/>
      <c r="W173" s="558"/>
      <c r="X173" s="558"/>
      <c r="Y173" s="558"/>
      <c r="Z173" s="558"/>
      <c r="AA173" s="539"/>
      <c r="AB173" s="539"/>
      <c r="AC173" s="539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50">
        <v>4680115886780</v>
      </c>
      <c r="E174" s="551"/>
      <c r="F174" s="542">
        <v>7.0000000000000007E-2</v>
      </c>
      <c r="G174" s="32">
        <v>18</v>
      </c>
      <c r="H174" s="542">
        <v>1.26</v>
      </c>
      <c r="I174" s="542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3">
        <v>0</v>
      </c>
      <c r="Y174" s="544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50">
        <v>4680115886742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7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50">
        <v>4680115886766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8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5">
        <f>IFERROR(X174/H174,"0")+IFERROR(X175/H175,"0")+IFERROR(X176/H176,"0")</f>
        <v>0</v>
      </c>
      <c r="Y177" s="545">
        <f>IFERROR(Y174/H174,"0")+IFERROR(Y175/H175,"0")+IFERROR(Y176/H176,"0")</f>
        <v>0</v>
      </c>
      <c r="Z177" s="545">
        <f>IFERROR(IF(Z174="",0,Z174),"0")+IFERROR(IF(Z175="",0,Z175),"0")+IFERROR(IF(Z176="",0,Z176),"0")</f>
        <v>0</v>
      </c>
      <c r="AA177" s="546"/>
      <c r="AB177" s="546"/>
      <c r="AC177" s="546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5">
        <f>IFERROR(SUM(X174:X176),"0")</f>
        <v>0</v>
      </c>
      <c r="Y178" s="545">
        <f>IFERROR(SUM(Y174:Y176),"0")</f>
        <v>0</v>
      </c>
      <c r="Z178" s="37"/>
      <c r="AA178" s="546"/>
      <c r="AB178" s="546"/>
      <c r="AC178" s="546"/>
    </row>
    <row r="179" spans="1:68" ht="14.25" customHeight="1" x14ac:dyDescent="0.25">
      <c r="A179" s="557" t="s">
        <v>293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39"/>
      <c r="AB179" s="539"/>
      <c r="AC179" s="539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50">
        <v>4680115886797</v>
      </c>
      <c r="E180" s="551"/>
      <c r="F180" s="542">
        <v>7.0000000000000007E-2</v>
      </c>
      <c r="G180" s="32">
        <v>18</v>
      </c>
      <c r="H180" s="542">
        <v>1.26</v>
      </c>
      <c r="I180" s="542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3">
        <v>0</v>
      </c>
      <c r="Y180" s="544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8"/>
      <c r="B181" s="558"/>
      <c r="C181" s="558"/>
      <c r="D181" s="558"/>
      <c r="E181" s="558"/>
      <c r="F181" s="558"/>
      <c r="G181" s="558"/>
      <c r="H181" s="558"/>
      <c r="I181" s="558"/>
      <c r="J181" s="558"/>
      <c r="K181" s="558"/>
      <c r="L181" s="558"/>
      <c r="M181" s="558"/>
      <c r="N181" s="558"/>
      <c r="O181" s="569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5">
        <f>IFERROR(X180/H180,"0")</f>
        <v>0</v>
      </c>
      <c r="Y181" s="545">
        <f>IFERROR(Y180/H180,"0")</f>
        <v>0</v>
      </c>
      <c r="Z181" s="545">
        <f>IFERROR(IF(Z180="",0,Z180),"0")</f>
        <v>0</v>
      </c>
      <c r="AA181" s="546"/>
      <c r="AB181" s="546"/>
      <c r="AC181" s="546"/>
    </row>
    <row r="182" spans="1:68" x14ac:dyDescent="0.2">
      <c r="A182" s="558"/>
      <c r="B182" s="558"/>
      <c r="C182" s="558"/>
      <c r="D182" s="558"/>
      <c r="E182" s="558"/>
      <c r="F182" s="558"/>
      <c r="G182" s="558"/>
      <c r="H182" s="558"/>
      <c r="I182" s="558"/>
      <c r="J182" s="558"/>
      <c r="K182" s="558"/>
      <c r="L182" s="558"/>
      <c r="M182" s="558"/>
      <c r="N182" s="558"/>
      <c r="O182" s="569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5">
        <f>IFERROR(SUM(X180:X180),"0")</f>
        <v>0</v>
      </c>
      <c r="Y182" s="545">
        <f>IFERROR(SUM(Y180:Y180),"0")</f>
        <v>0</v>
      </c>
      <c r="Z182" s="37"/>
      <c r="AA182" s="546"/>
      <c r="AB182" s="546"/>
      <c r="AC182" s="546"/>
    </row>
    <row r="183" spans="1:68" ht="16.5" customHeight="1" x14ac:dyDescent="0.25">
      <c r="A183" s="559" t="s">
        <v>296</v>
      </c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58"/>
      <c r="P183" s="558"/>
      <c r="Q183" s="558"/>
      <c r="R183" s="558"/>
      <c r="S183" s="558"/>
      <c r="T183" s="558"/>
      <c r="U183" s="558"/>
      <c r="V183" s="558"/>
      <c r="W183" s="558"/>
      <c r="X183" s="558"/>
      <c r="Y183" s="558"/>
      <c r="Z183" s="558"/>
      <c r="AA183" s="538"/>
      <c r="AB183" s="538"/>
      <c r="AC183" s="538"/>
    </row>
    <row r="184" spans="1:68" ht="14.25" customHeight="1" x14ac:dyDescent="0.25">
      <c r="A184" s="557" t="s">
        <v>101</v>
      </c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58"/>
      <c r="P184" s="558"/>
      <c r="Q184" s="558"/>
      <c r="R184" s="558"/>
      <c r="S184" s="558"/>
      <c r="T184" s="558"/>
      <c r="U184" s="558"/>
      <c r="V184" s="558"/>
      <c r="W184" s="558"/>
      <c r="X184" s="558"/>
      <c r="Y184" s="558"/>
      <c r="Z184" s="558"/>
      <c r="AA184" s="539"/>
      <c r="AB184" s="539"/>
      <c r="AC184" s="539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50">
        <v>4680115881402</v>
      </c>
      <c r="E185" s="551"/>
      <c r="F185" s="542">
        <v>1.35</v>
      </c>
      <c r="G185" s="32">
        <v>8</v>
      </c>
      <c r="H185" s="542">
        <v>10.8</v>
      </c>
      <c r="I185" s="542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3">
        <v>0</v>
      </c>
      <c r="Y185" s="544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50">
        <v>4680115881396</v>
      </c>
      <c r="E186" s="551"/>
      <c r="F186" s="542">
        <v>0.45</v>
      </c>
      <c r="G186" s="32">
        <v>6</v>
      </c>
      <c r="H186" s="542">
        <v>2.7</v>
      </c>
      <c r="I186" s="542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5">
        <f>IFERROR(X185/H185,"0")+IFERROR(X186/H186,"0")</f>
        <v>0</v>
      </c>
      <c r="Y187" s="545">
        <f>IFERROR(Y185/H185,"0")+IFERROR(Y186/H186,"0")</f>
        <v>0</v>
      </c>
      <c r="Z187" s="545">
        <f>IFERROR(IF(Z185="",0,Z185),"0")+IFERROR(IF(Z186="",0,Z186),"0")</f>
        <v>0</v>
      </c>
      <c r="AA187" s="546"/>
      <c r="AB187" s="546"/>
      <c r="AC187" s="546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5">
        <f>IFERROR(SUM(X185:X186),"0")</f>
        <v>0</v>
      </c>
      <c r="Y188" s="545">
        <f>IFERROR(SUM(Y185:Y186),"0")</f>
        <v>0</v>
      </c>
      <c r="Z188" s="37"/>
      <c r="AA188" s="546"/>
      <c r="AB188" s="546"/>
      <c r="AC188" s="546"/>
    </row>
    <row r="189" spans="1:68" ht="14.25" customHeight="1" x14ac:dyDescent="0.25">
      <c r="A189" s="557" t="s">
        <v>136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39"/>
      <c r="AB189" s="539"/>
      <c r="AC189" s="539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50">
        <v>4680115882935</v>
      </c>
      <c r="E190" s="551"/>
      <c r="F190" s="542">
        <v>1.35</v>
      </c>
      <c r="G190" s="32">
        <v>8</v>
      </c>
      <c r="H190" s="542">
        <v>10.8</v>
      </c>
      <c r="I190" s="542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3">
        <v>0</v>
      </c>
      <c r="Y190" s="54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50">
        <v>4680115880764</v>
      </c>
      <c r="E191" s="551"/>
      <c r="F191" s="542">
        <v>0.35</v>
      </c>
      <c r="G191" s="32">
        <v>6</v>
      </c>
      <c r="H191" s="542">
        <v>2.1</v>
      </c>
      <c r="I191" s="542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8"/>
      <c r="B192" s="558"/>
      <c r="C192" s="558"/>
      <c r="D192" s="558"/>
      <c r="E192" s="558"/>
      <c r="F192" s="558"/>
      <c r="G192" s="558"/>
      <c r="H192" s="558"/>
      <c r="I192" s="558"/>
      <c r="J192" s="558"/>
      <c r="K192" s="558"/>
      <c r="L192" s="558"/>
      <c r="M192" s="558"/>
      <c r="N192" s="558"/>
      <c r="O192" s="569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5">
        <f>IFERROR(X190/H190,"0")+IFERROR(X191/H191,"0")</f>
        <v>0</v>
      </c>
      <c r="Y192" s="545">
        <f>IFERROR(Y190/H190,"0")+IFERROR(Y191/H191,"0")</f>
        <v>0</v>
      </c>
      <c r="Z192" s="545">
        <f>IFERROR(IF(Z190="",0,Z190),"0")+IFERROR(IF(Z191="",0,Z191),"0")</f>
        <v>0</v>
      </c>
      <c r="AA192" s="546"/>
      <c r="AB192" s="546"/>
      <c r="AC192" s="546"/>
    </row>
    <row r="193" spans="1:68" x14ac:dyDescent="0.2">
      <c r="A193" s="55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5">
        <f>IFERROR(SUM(X190:X191),"0")</f>
        <v>0</v>
      </c>
      <c r="Y193" s="545">
        <f>IFERROR(SUM(Y190:Y191),"0")</f>
        <v>0</v>
      </c>
      <c r="Z193" s="37"/>
      <c r="AA193" s="546"/>
      <c r="AB193" s="546"/>
      <c r="AC193" s="546"/>
    </row>
    <row r="194" spans="1:68" ht="14.25" customHeight="1" x14ac:dyDescent="0.25">
      <c r="A194" s="557" t="s">
        <v>64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539"/>
      <c r="AB194" s="539"/>
      <c r="AC194" s="539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50">
        <v>4680115882683</v>
      </c>
      <c r="E195" s="551"/>
      <c r="F195" s="542">
        <v>0.9</v>
      </c>
      <c r="G195" s="32">
        <v>6</v>
      </c>
      <c r="H195" s="542">
        <v>5.4</v>
      </c>
      <c r="I195" s="542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3">
        <v>0</v>
      </c>
      <c r="Y195" s="544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50">
        <v>4680115882690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0</v>
      </c>
      <c r="Y196" s="544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50">
        <v>4680115882669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50">
        <v>4680115882676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50">
        <v>4680115884014</v>
      </c>
      <c r="E199" s="551"/>
      <c r="F199" s="542">
        <v>0.3</v>
      </c>
      <c r="G199" s="32">
        <v>6</v>
      </c>
      <c r="H199" s="542">
        <v>1.8</v>
      </c>
      <c r="I199" s="542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50">
        <v>4680115884007</v>
      </c>
      <c r="E200" s="551"/>
      <c r="F200" s="542">
        <v>0.3</v>
      </c>
      <c r="G200" s="32">
        <v>6</v>
      </c>
      <c r="H200" s="542">
        <v>1.8</v>
      </c>
      <c r="I200" s="542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50">
        <v>4680115884038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50">
        <v>4680115884021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8"/>
      <c r="B203" s="558"/>
      <c r="C203" s="558"/>
      <c r="D203" s="558"/>
      <c r="E203" s="558"/>
      <c r="F203" s="558"/>
      <c r="G203" s="558"/>
      <c r="H203" s="558"/>
      <c r="I203" s="558"/>
      <c r="J203" s="558"/>
      <c r="K203" s="558"/>
      <c r="L203" s="558"/>
      <c r="M203" s="558"/>
      <c r="N203" s="558"/>
      <c r="O203" s="569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5">
        <f>IFERROR(X195/H195,"0")+IFERROR(X196/H196,"0")+IFERROR(X197/H197,"0")+IFERROR(X198/H198,"0")+IFERROR(X199/H199,"0")+IFERROR(X200/H200,"0")+IFERROR(X201/H201,"0")+IFERROR(X202/H202,"0")</f>
        <v>0</v>
      </c>
      <c r="Y203" s="545">
        <f>IFERROR(Y195/H195,"0")+IFERROR(Y196/H196,"0")+IFERROR(Y197/H197,"0")+IFERROR(Y198/H198,"0")+IFERROR(Y199/H199,"0")+IFERROR(Y200/H200,"0")+IFERROR(Y201/H201,"0")+IFERROR(Y202/H202,"0")</f>
        <v>0</v>
      </c>
      <c r="Z203" s="545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6"/>
      <c r="AB203" s="546"/>
      <c r="AC203" s="546"/>
    </row>
    <row r="204" spans="1:68" x14ac:dyDescent="0.2">
      <c r="A204" s="558"/>
      <c r="B204" s="558"/>
      <c r="C204" s="558"/>
      <c r="D204" s="558"/>
      <c r="E204" s="558"/>
      <c r="F204" s="558"/>
      <c r="G204" s="558"/>
      <c r="H204" s="558"/>
      <c r="I204" s="558"/>
      <c r="J204" s="558"/>
      <c r="K204" s="558"/>
      <c r="L204" s="558"/>
      <c r="M204" s="558"/>
      <c r="N204" s="558"/>
      <c r="O204" s="569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5">
        <f>IFERROR(SUM(X195:X202),"0")</f>
        <v>0</v>
      </c>
      <c r="Y204" s="545">
        <f>IFERROR(SUM(Y195:Y202),"0")</f>
        <v>0</v>
      </c>
      <c r="Z204" s="37"/>
      <c r="AA204" s="546"/>
      <c r="AB204" s="546"/>
      <c r="AC204" s="546"/>
    </row>
    <row r="205" spans="1:68" ht="14.25" customHeight="1" x14ac:dyDescent="0.25">
      <c r="A205" s="557" t="s">
        <v>73</v>
      </c>
      <c r="B205" s="558"/>
      <c r="C205" s="558"/>
      <c r="D205" s="558"/>
      <c r="E205" s="558"/>
      <c r="F205" s="558"/>
      <c r="G205" s="558"/>
      <c r="H205" s="558"/>
      <c r="I205" s="558"/>
      <c r="J205" s="558"/>
      <c r="K205" s="558"/>
      <c r="L205" s="558"/>
      <c r="M205" s="558"/>
      <c r="N205" s="558"/>
      <c r="O205" s="558"/>
      <c r="P205" s="558"/>
      <c r="Q205" s="558"/>
      <c r="R205" s="558"/>
      <c r="S205" s="558"/>
      <c r="T205" s="558"/>
      <c r="U205" s="558"/>
      <c r="V205" s="558"/>
      <c r="W205" s="558"/>
      <c r="X205" s="558"/>
      <c r="Y205" s="558"/>
      <c r="Z205" s="558"/>
      <c r="AA205" s="539"/>
      <c r="AB205" s="539"/>
      <c r="AC205" s="539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50">
        <v>4680115881594</v>
      </c>
      <c r="E206" s="551"/>
      <c r="F206" s="542">
        <v>1.35</v>
      </c>
      <c r="G206" s="32">
        <v>6</v>
      </c>
      <c r="H206" s="542">
        <v>8.1</v>
      </c>
      <c r="I206" s="542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3">
        <v>0</v>
      </c>
      <c r="Y206" s="544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50">
        <v>4680115881617</v>
      </c>
      <c r="E207" s="551"/>
      <c r="F207" s="542">
        <v>1.35</v>
      </c>
      <c r="G207" s="32">
        <v>6</v>
      </c>
      <c r="H207" s="542">
        <v>8.1</v>
      </c>
      <c r="I207" s="542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50">
        <v>4680115880573</v>
      </c>
      <c r="E208" s="551"/>
      <c r="F208" s="542">
        <v>1.45</v>
      </c>
      <c r="G208" s="32">
        <v>6</v>
      </c>
      <c r="H208" s="542">
        <v>8.6999999999999993</v>
      </c>
      <c r="I208" s="542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50">
        <v>4680115882195</v>
      </c>
      <c r="E209" s="551"/>
      <c r="F209" s="542">
        <v>0.4</v>
      </c>
      <c r="G209" s="32">
        <v>6</v>
      </c>
      <c r="H209" s="542">
        <v>2.4</v>
      </c>
      <c r="I209" s="542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6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50">
        <v>4680115882607</v>
      </c>
      <c r="E210" s="551"/>
      <c r="F210" s="542">
        <v>0.3</v>
      </c>
      <c r="G210" s="32">
        <v>6</v>
      </c>
      <c r="H210" s="542">
        <v>1.8</v>
      </c>
      <c r="I210" s="542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50">
        <v>4680115880092</v>
      </c>
      <c r="E211" s="551"/>
      <c r="F211" s="542">
        <v>0.4</v>
      </c>
      <c r="G211" s="32">
        <v>6</v>
      </c>
      <c r="H211" s="542">
        <v>2.4</v>
      </c>
      <c r="I211" s="542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50">
        <v>4680115880221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50">
        <v>4680115880504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50">
        <v>4680115882164</v>
      </c>
      <c r="E214" s="551"/>
      <c r="F214" s="542">
        <v>0.4</v>
      </c>
      <c r="G214" s="32">
        <v>6</v>
      </c>
      <c r="H214" s="542">
        <v>2.4</v>
      </c>
      <c r="I214" s="542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8"/>
      <c r="B215" s="558"/>
      <c r="C215" s="558"/>
      <c r="D215" s="558"/>
      <c r="E215" s="558"/>
      <c r="F215" s="558"/>
      <c r="G215" s="558"/>
      <c r="H215" s="558"/>
      <c r="I215" s="558"/>
      <c r="J215" s="558"/>
      <c r="K215" s="558"/>
      <c r="L215" s="558"/>
      <c r="M215" s="558"/>
      <c r="N215" s="558"/>
      <c r="O215" s="569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5">
        <f>IFERROR(X206/H206,"0")+IFERROR(X207/H207,"0")+IFERROR(X208/H208,"0")+IFERROR(X209/H209,"0")+IFERROR(X210/H210,"0")+IFERROR(X211/H211,"0")+IFERROR(X212/H212,"0")+IFERROR(X213/H213,"0")+IFERROR(X214/H214,"0")</f>
        <v>0</v>
      </c>
      <c r="Y215" s="545">
        <f>IFERROR(Y206/H206,"0")+IFERROR(Y207/H207,"0")+IFERROR(Y208/H208,"0")+IFERROR(Y209/H209,"0")+IFERROR(Y210/H210,"0")+IFERROR(Y211/H211,"0")+IFERROR(Y212/H212,"0")+IFERROR(Y213/H213,"0")+IFERROR(Y214/H214,"0")</f>
        <v>0</v>
      </c>
      <c r="Z215" s="545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6"/>
      <c r="AB215" s="546"/>
      <c r="AC215" s="546"/>
    </row>
    <row r="216" spans="1:68" x14ac:dyDescent="0.2">
      <c r="A216" s="558"/>
      <c r="B216" s="558"/>
      <c r="C216" s="558"/>
      <c r="D216" s="558"/>
      <c r="E216" s="558"/>
      <c r="F216" s="558"/>
      <c r="G216" s="558"/>
      <c r="H216" s="558"/>
      <c r="I216" s="558"/>
      <c r="J216" s="558"/>
      <c r="K216" s="558"/>
      <c r="L216" s="558"/>
      <c r="M216" s="558"/>
      <c r="N216" s="558"/>
      <c r="O216" s="569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5">
        <f>IFERROR(SUM(X206:X214),"0")</f>
        <v>0</v>
      </c>
      <c r="Y216" s="545">
        <f>IFERROR(SUM(Y206:Y214),"0")</f>
        <v>0</v>
      </c>
      <c r="Z216" s="37"/>
      <c r="AA216" s="546"/>
      <c r="AB216" s="546"/>
      <c r="AC216" s="546"/>
    </row>
    <row r="217" spans="1:68" ht="14.25" customHeight="1" x14ac:dyDescent="0.25">
      <c r="A217" s="557" t="s">
        <v>164</v>
      </c>
      <c r="B217" s="558"/>
      <c r="C217" s="558"/>
      <c r="D217" s="558"/>
      <c r="E217" s="558"/>
      <c r="F217" s="558"/>
      <c r="G217" s="558"/>
      <c r="H217" s="558"/>
      <c r="I217" s="558"/>
      <c r="J217" s="558"/>
      <c r="K217" s="558"/>
      <c r="L217" s="558"/>
      <c r="M217" s="558"/>
      <c r="N217" s="558"/>
      <c r="O217" s="558"/>
      <c r="P217" s="558"/>
      <c r="Q217" s="558"/>
      <c r="R217" s="558"/>
      <c r="S217" s="558"/>
      <c r="T217" s="558"/>
      <c r="U217" s="558"/>
      <c r="V217" s="558"/>
      <c r="W217" s="558"/>
      <c r="X217" s="558"/>
      <c r="Y217" s="558"/>
      <c r="Z217" s="558"/>
      <c r="AA217" s="539"/>
      <c r="AB217" s="539"/>
      <c r="AC217" s="539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50">
        <v>4680115880818</v>
      </c>
      <c r="E218" s="551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3">
        <v>0</v>
      </c>
      <c r="Y218" s="544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50">
        <v>4680115880801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8"/>
      <c r="B220" s="558"/>
      <c r="C220" s="558"/>
      <c r="D220" s="558"/>
      <c r="E220" s="558"/>
      <c r="F220" s="558"/>
      <c r="G220" s="558"/>
      <c r="H220" s="558"/>
      <c r="I220" s="558"/>
      <c r="J220" s="558"/>
      <c r="K220" s="558"/>
      <c r="L220" s="558"/>
      <c r="M220" s="558"/>
      <c r="N220" s="558"/>
      <c r="O220" s="569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5">
        <f>IFERROR(X218/H218,"0")+IFERROR(X219/H219,"0")</f>
        <v>0</v>
      </c>
      <c r="Y220" s="545">
        <f>IFERROR(Y218/H218,"0")+IFERROR(Y219/H219,"0")</f>
        <v>0</v>
      </c>
      <c r="Z220" s="545">
        <f>IFERROR(IF(Z218="",0,Z218),"0")+IFERROR(IF(Z219="",0,Z219),"0")</f>
        <v>0</v>
      </c>
      <c r="AA220" s="546"/>
      <c r="AB220" s="546"/>
      <c r="AC220" s="546"/>
    </row>
    <row r="221" spans="1:68" x14ac:dyDescent="0.2">
      <c r="A221" s="55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5">
        <f>IFERROR(SUM(X218:X219),"0")</f>
        <v>0</v>
      </c>
      <c r="Y221" s="545">
        <f>IFERROR(SUM(Y218:Y219),"0")</f>
        <v>0</v>
      </c>
      <c r="Z221" s="37"/>
      <c r="AA221" s="546"/>
      <c r="AB221" s="546"/>
      <c r="AC221" s="546"/>
    </row>
    <row r="222" spans="1:68" ht="16.5" customHeight="1" x14ac:dyDescent="0.25">
      <c r="A222" s="559" t="s">
        <v>355</v>
      </c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58"/>
      <c r="P222" s="558"/>
      <c r="Q222" s="558"/>
      <c r="R222" s="558"/>
      <c r="S222" s="558"/>
      <c r="T222" s="558"/>
      <c r="U222" s="558"/>
      <c r="V222" s="558"/>
      <c r="W222" s="558"/>
      <c r="X222" s="558"/>
      <c r="Y222" s="558"/>
      <c r="Z222" s="558"/>
      <c r="AA222" s="538"/>
      <c r="AB222" s="538"/>
      <c r="AC222" s="538"/>
    </row>
    <row r="223" spans="1:68" ht="14.25" customHeight="1" x14ac:dyDescent="0.25">
      <c r="A223" s="557" t="s">
        <v>101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39"/>
      <c r="AB223" s="539"/>
      <c r="AC223" s="539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50">
        <v>4680115884137</v>
      </c>
      <c r="E224" s="551"/>
      <c r="F224" s="542">
        <v>1.45</v>
      </c>
      <c r="G224" s="32">
        <v>8</v>
      </c>
      <c r="H224" s="542">
        <v>11.6</v>
      </c>
      <c r="I224" s="542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3">
        <v>0</v>
      </c>
      <c r="Y224" s="544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50">
        <v>4680115884236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50">
        <v>4680115884175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50">
        <v>4680115884144</v>
      </c>
      <c r="E227" s="551"/>
      <c r="F227" s="542">
        <v>0.4</v>
      </c>
      <c r="G227" s="32">
        <v>10</v>
      </c>
      <c r="H227" s="542">
        <v>4</v>
      </c>
      <c r="I227" s="542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50">
        <v>4680115886551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50">
        <v>4680115884182</v>
      </c>
      <c r="E230" s="551"/>
      <c r="F230" s="542">
        <v>0.37</v>
      </c>
      <c r="G230" s="32">
        <v>10</v>
      </c>
      <c r="H230" s="542">
        <v>3.7</v>
      </c>
      <c r="I230" s="542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50">
        <v>4680115887282</v>
      </c>
      <c r="E231" s="551"/>
      <c r="F231" s="542">
        <v>0.4</v>
      </c>
      <c r="G231" s="32">
        <v>6</v>
      </c>
      <c r="H231" s="542">
        <v>2.4</v>
      </c>
      <c r="I231" s="542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50">
        <v>4680115884205</v>
      </c>
      <c r="E232" s="551"/>
      <c r="F232" s="542">
        <v>0.4</v>
      </c>
      <c r="G232" s="32">
        <v>10</v>
      </c>
      <c r="H232" s="542">
        <v>4</v>
      </c>
      <c r="I232" s="542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8"/>
      <c r="B234" s="558"/>
      <c r="C234" s="558"/>
      <c r="D234" s="558"/>
      <c r="E234" s="558"/>
      <c r="F234" s="558"/>
      <c r="G234" s="558"/>
      <c r="H234" s="558"/>
      <c r="I234" s="558"/>
      <c r="J234" s="558"/>
      <c r="K234" s="558"/>
      <c r="L234" s="558"/>
      <c r="M234" s="558"/>
      <c r="N234" s="558"/>
      <c r="O234" s="569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5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5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5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6"/>
      <c r="AB234" s="546"/>
      <c r="AC234" s="546"/>
    </row>
    <row r="235" spans="1:68" x14ac:dyDescent="0.2">
      <c r="A235" s="558"/>
      <c r="B235" s="558"/>
      <c r="C235" s="558"/>
      <c r="D235" s="558"/>
      <c r="E235" s="558"/>
      <c r="F235" s="558"/>
      <c r="G235" s="558"/>
      <c r="H235" s="558"/>
      <c r="I235" s="558"/>
      <c r="J235" s="558"/>
      <c r="K235" s="558"/>
      <c r="L235" s="558"/>
      <c r="M235" s="558"/>
      <c r="N235" s="558"/>
      <c r="O235" s="569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5">
        <f>IFERROR(SUM(X224:X233),"0")</f>
        <v>0</v>
      </c>
      <c r="Y235" s="545">
        <f>IFERROR(SUM(Y224:Y233),"0")</f>
        <v>0</v>
      </c>
      <c r="Z235" s="37"/>
      <c r="AA235" s="546"/>
      <c r="AB235" s="546"/>
      <c r="AC235" s="546"/>
    </row>
    <row r="236" spans="1:68" ht="14.25" customHeight="1" x14ac:dyDescent="0.25">
      <c r="A236" s="557" t="s">
        <v>136</v>
      </c>
      <c r="B236" s="558"/>
      <c r="C236" s="558"/>
      <c r="D236" s="558"/>
      <c r="E236" s="558"/>
      <c r="F236" s="558"/>
      <c r="G236" s="558"/>
      <c r="H236" s="558"/>
      <c r="I236" s="558"/>
      <c r="J236" s="558"/>
      <c r="K236" s="558"/>
      <c r="L236" s="558"/>
      <c r="M236" s="558"/>
      <c r="N236" s="558"/>
      <c r="O236" s="558"/>
      <c r="P236" s="558"/>
      <c r="Q236" s="558"/>
      <c r="R236" s="558"/>
      <c r="S236" s="558"/>
      <c r="T236" s="558"/>
      <c r="U236" s="558"/>
      <c r="V236" s="558"/>
      <c r="W236" s="558"/>
      <c r="X236" s="558"/>
      <c r="Y236" s="558"/>
      <c r="Z236" s="558"/>
      <c r="AA236" s="539"/>
      <c r="AB236" s="539"/>
      <c r="AC236" s="539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50">
        <v>4680115885981</v>
      </c>
      <c r="E237" s="551"/>
      <c r="F237" s="542">
        <v>0.33</v>
      </c>
      <c r="G237" s="32">
        <v>6</v>
      </c>
      <c r="H237" s="542">
        <v>1.98</v>
      </c>
      <c r="I237" s="542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3">
        <v>0</v>
      </c>
      <c r="Y237" s="544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8"/>
      <c r="B238" s="558"/>
      <c r="C238" s="558"/>
      <c r="D238" s="558"/>
      <c r="E238" s="558"/>
      <c r="F238" s="558"/>
      <c r="G238" s="558"/>
      <c r="H238" s="558"/>
      <c r="I238" s="558"/>
      <c r="J238" s="558"/>
      <c r="K238" s="558"/>
      <c r="L238" s="558"/>
      <c r="M238" s="558"/>
      <c r="N238" s="558"/>
      <c r="O238" s="569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5">
        <f>IFERROR(X237/H237,"0")</f>
        <v>0</v>
      </c>
      <c r="Y238" s="545">
        <f>IFERROR(Y237/H237,"0")</f>
        <v>0</v>
      </c>
      <c r="Z238" s="545">
        <f>IFERROR(IF(Z237="",0,Z237),"0")</f>
        <v>0</v>
      </c>
      <c r="AA238" s="546"/>
      <c r="AB238" s="546"/>
      <c r="AC238" s="546"/>
    </row>
    <row r="239" spans="1:68" x14ac:dyDescent="0.2">
      <c r="A239" s="55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5">
        <f>IFERROR(SUM(X237:X237),"0")</f>
        <v>0</v>
      </c>
      <c r="Y239" s="545">
        <f>IFERROR(SUM(Y237:Y237),"0")</f>
        <v>0</v>
      </c>
      <c r="Z239" s="37"/>
      <c r="AA239" s="546"/>
      <c r="AB239" s="546"/>
      <c r="AC239" s="546"/>
    </row>
    <row r="240" spans="1:68" ht="14.25" customHeight="1" x14ac:dyDescent="0.25">
      <c r="A240" s="557" t="s">
        <v>381</v>
      </c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58"/>
      <c r="P240" s="558"/>
      <c r="Q240" s="558"/>
      <c r="R240" s="558"/>
      <c r="S240" s="558"/>
      <c r="T240" s="558"/>
      <c r="U240" s="558"/>
      <c r="V240" s="558"/>
      <c r="W240" s="558"/>
      <c r="X240" s="558"/>
      <c r="Y240" s="558"/>
      <c r="Z240" s="558"/>
      <c r="AA240" s="539"/>
      <c r="AB240" s="539"/>
      <c r="AC240" s="539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50">
        <v>4680115886803</v>
      </c>
      <c r="E241" s="551"/>
      <c r="F241" s="542">
        <v>0.12</v>
      </c>
      <c r="G241" s="32">
        <v>15</v>
      </c>
      <c r="H241" s="542">
        <v>1.8</v>
      </c>
      <c r="I241" s="542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3">
        <v>0</v>
      </c>
      <c r="Y241" s="544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8"/>
      <c r="B242" s="558"/>
      <c r="C242" s="558"/>
      <c r="D242" s="558"/>
      <c r="E242" s="558"/>
      <c r="F242" s="558"/>
      <c r="G242" s="558"/>
      <c r="H242" s="558"/>
      <c r="I242" s="558"/>
      <c r="J242" s="558"/>
      <c r="K242" s="558"/>
      <c r="L242" s="558"/>
      <c r="M242" s="558"/>
      <c r="N242" s="558"/>
      <c r="O242" s="569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5">
        <f>IFERROR(X241/H241,"0")</f>
        <v>0</v>
      </c>
      <c r="Y242" s="545">
        <f>IFERROR(Y241/H241,"0")</f>
        <v>0</v>
      </c>
      <c r="Z242" s="545">
        <f>IFERROR(IF(Z241="",0,Z241),"0")</f>
        <v>0</v>
      </c>
      <c r="AA242" s="546"/>
      <c r="AB242" s="546"/>
      <c r="AC242" s="546"/>
    </row>
    <row r="243" spans="1:68" x14ac:dyDescent="0.2">
      <c r="A243" s="55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5">
        <f>IFERROR(SUM(X241:X241),"0")</f>
        <v>0</v>
      </c>
      <c r="Y243" s="545">
        <f>IFERROR(SUM(Y241:Y241),"0")</f>
        <v>0</v>
      </c>
      <c r="Z243" s="37"/>
      <c r="AA243" s="546"/>
      <c r="AB243" s="546"/>
      <c r="AC243" s="546"/>
    </row>
    <row r="244" spans="1:68" ht="14.25" customHeight="1" x14ac:dyDescent="0.25">
      <c r="A244" s="557" t="s">
        <v>385</v>
      </c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58"/>
      <c r="P244" s="558"/>
      <c r="Q244" s="558"/>
      <c r="R244" s="558"/>
      <c r="S244" s="558"/>
      <c r="T244" s="558"/>
      <c r="U244" s="558"/>
      <c r="V244" s="558"/>
      <c r="W244" s="558"/>
      <c r="X244" s="558"/>
      <c r="Y244" s="558"/>
      <c r="Z244" s="558"/>
      <c r="AA244" s="539"/>
      <c r="AB244" s="539"/>
      <c r="AC244" s="539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50">
        <v>4680115886704</v>
      </c>
      <c r="E245" s="551"/>
      <c r="F245" s="542">
        <v>5.5E-2</v>
      </c>
      <c r="G245" s="32">
        <v>18</v>
      </c>
      <c r="H245" s="542">
        <v>0.99</v>
      </c>
      <c r="I245" s="542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3">
        <v>0</v>
      </c>
      <c r="Y245" s="54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50">
        <v>4680115886681</v>
      </c>
      <c r="E246" s="551"/>
      <c r="F246" s="542">
        <v>0.12</v>
      </c>
      <c r="G246" s="32">
        <v>15</v>
      </c>
      <c r="H246" s="542">
        <v>1.8</v>
      </c>
      <c r="I246" s="542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50">
        <v>4680115886735</v>
      </c>
      <c r="E247" s="551"/>
      <c r="F247" s="542">
        <v>0.05</v>
      </c>
      <c r="G247" s="32">
        <v>18</v>
      </c>
      <c r="H247" s="542">
        <v>0.9</v>
      </c>
      <c r="I247" s="542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8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50">
        <v>4680115886728</v>
      </c>
      <c r="E248" s="551"/>
      <c r="F248" s="542">
        <v>5.5E-2</v>
      </c>
      <c r="G248" s="32">
        <v>18</v>
      </c>
      <c r="H248" s="542">
        <v>0.99</v>
      </c>
      <c r="I248" s="542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50">
        <v>4680115886711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8"/>
      <c r="B250" s="558"/>
      <c r="C250" s="558"/>
      <c r="D250" s="558"/>
      <c r="E250" s="558"/>
      <c r="F250" s="558"/>
      <c r="G250" s="558"/>
      <c r="H250" s="558"/>
      <c r="I250" s="558"/>
      <c r="J250" s="558"/>
      <c r="K250" s="558"/>
      <c r="L250" s="558"/>
      <c r="M250" s="558"/>
      <c r="N250" s="558"/>
      <c r="O250" s="569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5">
        <f>IFERROR(X245/H245,"0")+IFERROR(X246/H246,"0")+IFERROR(X247/H247,"0")+IFERROR(X248/H248,"0")+IFERROR(X249/H249,"0")</f>
        <v>0</v>
      </c>
      <c r="Y250" s="545">
        <f>IFERROR(Y245/H245,"0")+IFERROR(Y246/H246,"0")+IFERROR(Y247/H247,"0")+IFERROR(Y248/H248,"0")+IFERROR(Y249/H249,"0")</f>
        <v>0</v>
      </c>
      <c r="Z250" s="545">
        <f>IFERROR(IF(Z245="",0,Z245),"0")+IFERROR(IF(Z246="",0,Z246),"0")+IFERROR(IF(Z247="",0,Z247),"0")+IFERROR(IF(Z248="",0,Z248),"0")+IFERROR(IF(Z249="",0,Z249),"0")</f>
        <v>0</v>
      </c>
      <c r="AA250" s="546"/>
      <c r="AB250" s="546"/>
      <c r="AC250" s="546"/>
    </row>
    <row r="251" spans="1:68" x14ac:dyDescent="0.2">
      <c r="A251" s="558"/>
      <c r="B251" s="558"/>
      <c r="C251" s="558"/>
      <c r="D251" s="558"/>
      <c r="E251" s="558"/>
      <c r="F251" s="558"/>
      <c r="G251" s="558"/>
      <c r="H251" s="558"/>
      <c r="I251" s="558"/>
      <c r="J251" s="558"/>
      <c r="K251" s="558"/>
      <c r="L251" s="558"/>
      <c r="M251" s="558"/>
      <c r="N251" s="558"/>
      <c r="O251" s="569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5">
        <f>IFERROR(SUM(X245:X249),"0")</f>
        <v>0</v>
      </c>
      <c r="Y251" s="545">
        <f>IFERROR(SUM(Y245:Y249),"0")</f>
        <v>0</v>
      </c>
      <c r="Z251" s="37"/>
      <c r="AA251" s="546"/>
      <c r="AB251" s="546"/>
      <c r="AC251" s="546"/>
    </row>
    <row r="252" spans="1:68" ht="16.5" customHeight="1" x14ac:dyDescent="0.25">
      <c r="A252" s="559" t="s">
        <v>397</v>
      </c>
      <c r="B252" s="558"/>
      <c r="C252" s="558"/>
      <c r="D252" s="558"/>
      <c r="E252" s="558"/>
      <c r="F252" s="558"/>
      <c r="G252" s="558"/>
      <c r="H252" s="558"/>
      <c r="I252" s="558"/>
      <c r="J252" s="558"/>
      <c r="K252" s="558"/>
      <c r="L252" s="558"/>
      <c r="M252" s="558"/>
      <c r="N252" s="558"/>
      <c r="O252" s="558"/>
      <c r="P252" s="558"/>
      <c r="Q252" s="558"/>
      <c r="R252" s="558"/>
      <c r="S252" s="558"/>
      <c r="T252" s="558"/>
      <c r="U252" s="558"/>
      <c r="V252" s="558"/>
      <c r="W252" s="558"/>
      <c r="X252" s="558"/>
      <c r="Y252" s="558"/>
      <c r="Z252" s="558"/>
      <c r="AA252" s="538"/>
      <c r="AB252" s="538"/>
      <c r="AC252" s="538"/>
    </row>
    <row r="253" spans="1:68" ht="14.25" customHeight="1" x14ac:dyDescent="0.25">
      <c r="A253" s="557" t="s">
        <v>101</v>
      </c>
      <c r="B253" s="558"/>
      <c r="C253" s="558"/>
      <c r="D253" s="558"/>
      <c r="E253" s="558"/>
      <c r="F253" s="558"/>
      <c r="G253" s="558"/>
      <c r="H253" s="558"/>
      <c r="I253" s="558"/>
      <c r="J253" s="558"/>
      <c r="K253" s="558"/>
      <c r="L253" s="558"/>
      <c r="M253" s="558"/>
      <c r="N253" s="558"/>
      <c r="O253" s="558"/>
      <c r="P253" s="558"/>
      <c r="Q253" s="558"/>
      <c r="R253" s="558"/>
      <c r="S253" s="558"/>
      <c r="T253" s="558"/>
      <c r="U253" s="558"/>
      <c r="V253" s="558"/>
      <c r="W253" s="558"/>
      <c r="X253" s="558"/>
      <c r="Y253" s="558"/>
      <c r="Z253" s="558"/>
      <c r="AA253" s="539"/>
      <c r="AB253" s="539"/>
      <c r="AC253" s="539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50">
        <v>4680115885837</v>
      </c>
      <c r="E254" s="551"/>
      <c r="F254" s="542">
        <v>1.35</v>
      </c>
      <c r="G254" s="32">
        <v>8</v>
      </c>
      <c r="H254" s="542">
        <v>10.8</v>
      </c>
      <c r="I254" s="542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3">
        <v>0</v>
      </c>
      <c r="Y254" s="54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50">
        <v>4680115885851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4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50">
        <v>4680115885806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50">
        <v>4680115885844</v>
      </c>
      <c r="E257" s="551"/>
      <c r="F257" s="542">
        <v>0.4</v>
      </c>
      <c r="G257" s="32">
        <v>10</v>
      </c>
      <c r="H257" s="542">
        <v>4</v>
      </c>
      <c r="I257" s="542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50">
        <v>4680115885820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8"/>
      <c r="B259" s="558"/>
      <c r="C259" s="558"/>
      <c r="D259" s="558"/>
      <c r="E259" s="558"/>
      <c r="F259" s="558"/>
      <c r="G259" s="558"/>
      <c r="H259" s="558"/>
      <c r="I259" s="558"/>
      <c r="J259" s="558"/>
      <c r="K259" s="558"/>
      <c r="L259" s="558"/>
      <c r="M259" s="558"/>
      <c r="N259" s="558"/>
      <c r="O259" s="569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5">
        <f>IFERROR(X254/H254,"0")+IFERROR(X255/H255,"0")+IFERROR(X256/H256,"0")+IFERROR(X257/H257,"0")+IFERROR(X258/H258,"0")</f>
        <v>0</v>
      </c>
      <c r="Y259" s="545">
        <f>IFERROR(Y254/H254,"0")+IFERROR(Y255/H255,"0")+IFERROR(Y256/H256,"0")+IFERROR(Y257/H257,"0")+IFERROR(Y258/H258,"0")</f>
        <v>0</v>
      </c>
      <c r="Z259" s="545">
        <f>IFERROR(IF(Z254="",0,Z254),"0")+IFERROR(IF(Z255="",0,Z255),"0")+IFERROR(IF(Z256="",0,Z256),"0")+IFERROR(IF(Z257="",0,Z257),"0")+IFERROR(IF(Z258="",0,Z258),"0")</f>
        <v>0</v>
      </c>
      <c r="AA259" s="546"/>
      <c r="AB259" s="546"/>
      <c r="AC259" s="546"/>
    </row>
    <row r="260" spans="1:68" x14ac:dyDescent="0.2">
      <c r="A260" s="558"/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69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5">
        <f>IFERROR(SUM(X254:X258),"0")</f>
        <v>0</v>
      </c>
      <c r="Y260" s="545">
        <f>IFERROR(SUM(Y254:Y258),"0")</f>
        <v>0</v>
      </c>
      <c r="Z260" s="37"/>
      <c r="AA260" s="546"/>
      <c r="AB260" s="546"/>
      <c r="AC260" s="546"/>
    </row>
    <row r="261" spans="1:68" ht="16.5" customHeight="1" x14ac:dyDescent="0.25">
      <c r="A261" s="559" t="s">
        <v>413</v>
      </c>
      <c r="B261" s="558"/>
      <c r="C261" s="558"/>
      <c r="D261" s="558"/>
      <c r="E261" s="558"/>
      <c r="F261" s="558"/>
      <c r="G261" s="558"/>
      <c r="H261" s="558"/>
      <c r="I261" s="558"/>
      <c r="J261" s="558"/>
      <c r="K261" s="558"/>
      <c r="L261" s="558"/>
      <c r="M261" s="558"/>
      <c r="N261" s="558"/>
      <c r="O261" s="558"/>
      <c r="P261" s="558"/>
      <c r="Q261" s="558"/>
      <c r="R261" s="558"/>
      <c r="S261" s="558"/>
      <c r="T261" s="558"/>
      <c r="U261" s="558"/>
      <c r="V261" s="558"/>
      <c r="W261" s="558"/>
      <c r="X261" s="558"/>
      <c r="Y261" s="558"/>
      <c r="Z261" s="558"/>
      <c r="AA261" s="538"/>
      <c r="AB261" s="538"/>
      <c r="AC261" s="538"/>
    </row>
    <row r="262" spans="1:68" ht="14.25" customHeight="1" x14ac:dyDescent="0.25">
      <c r="A262" s="557" t="s">
        <v>101</v>
      </c>
      <c r="B262" s="558"/>
      <c r="C262" s="558"/>
      <c r="D262" s="558"/>
      <c r="E262" s="558"/>
      <c r="F262" s="558"/>
      <c r="G262" s="558"/>
      <c r="H262" s="558"/>
      <c r="I262" s="558"/>
      <c r="J262" s="558"/>
      <c r="K262" s="558"/>
      <c r="L262" s="558"/>
      <c r="M262" s="558"/>
      <c r="N262" s="558"/>
      <c r="O262" s="558"/>
      <c r="P262" s="558"/>
      <c r="Q262" s="558"/>
      <c r="R262" s="558"/>
      <c r="S262" s="558"/>
      <c r="T262" s="558"/>
      <c r="U262" s="558"/>
      <c r="V262" s="558"/>
      <c r="W262" s="558"/>
      <c r="X262" s="558"/>
      <c r="Y262" s="558"/>
      <c r="Z262" s="558"/>
      <c r="AA262" s="539"/>
      <c r="AB262" s="539"/>
      <c r="AC262" s="539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50">
        <v>4607091383423</v>
      </c>
      <c r="E263" s="551"/>
      <c r="F263" s="542">
        <v>1.35</v>
      </c>
      <c r="G263" s="32">
        <v>8</v>
      </c>
      <c r="H263" s="542">
        <v>10.8</v>
      </c>
      <c r="I263" s="542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50">
        <v>4680115886957</v>
      </c>
      <c r="E264" s="551"/>
      <c r="F264" s="542">
        <v>1.35</v>
      </c>
      <c r="G264" s="32">
        <v>8</v>
      </c>
      <c r="H264" s="542">
        <v>10.8</v>
      </c>
      <c r="I264" s="542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8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50">
        <v>4680115885660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50">
        <v>4680115886773</v>
      </c>
      <c r="E266" s="551"/>
      <c r="F266" s="542">
        <v>0.9</v>
      </c>
      <c r="G266" s="32">
        <v>10</v>
      </c>
      <c r="H266" s="542">
        <v>9</v>
      </c>
      <c r="I266" s="542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8"/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69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5">
        <f>IFERROR(X263/H263,"0")+IFERROR(X264/H264,"0")+IFERROR(X265/H265,"0")+IFERROR(X266/H266,"0")</f>
        <v>0</v>
      </c>
      <c r="Y267" s="545">
        <f>IFERROR(Y263/H263,"0")+IFERROR(Y264/H264,"0")+IFERROR(Y265/H265,"0")+IFERROR(Y266/H266,"0")</f>
        <v>0</v>
      </c>
      <c r="Z267" s="545">
        <f>IFERROR(IF(Z263="",0,Z263),"0")+IFERROR(IF(Z264="",0,Z264),"0")+IFERROR(IF(Z265="",0,Z265),"0")+IFERROR(IF(Z266="",0,Z266),"0")</f>
        <v>0</v>
      </c>
      <c r="AA267" s="546"/>
      <c r="AB267" s="546"/>
      <c r="AC267" s="546"/>
    </row>
    <row r="268" spans="1:68" x14ac:dyDescent="0.2">
      <c r="A268" s="558"/>
      <c r="B268" s="558"/>
      <c r="C268" s="558"/>
      <c r="D268" s="558"/>
      <c r="E268" s="558"/>
      <c r="F268" s="558"/>
      <c r="G268" s="558"/>
      <c r="H268" s="558"/>
      <c r="I268" s="558"/>
      <c r="J268" s="558"/>
      <c r="K268" s="558"/>
      <c r="L268" s="558"/>
      <c r="M268" s="558"/>
      <c r="N268" s="558"/>
      <c r="O268" s="569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5">
        <f>IFERROR(SUM(X263:X266),"0")</f>
        <v>0</v>
      </c>
      <c r="Y268" s="545">
        <f>IFERROR(SUM(Y263:Y266),"0")</f>
        <v>0</v>
      </c>
      <c r="Z268" s="37"/>
      <c r="AA268" s="546"/>
      <c r="AB268" s="546"/>
      <c r="AC268" s="546"/>
    </row>
    <row r="269" spans="1:68" ht="16.5" customHeight="1" x14ac:dyDescent="0.25">
      <c r="A269" s="559" t="s">
        <v>424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538"/>
      <c r="AB269" s="538"/>
      <c r="AC269" s="538"/>
    </row>
    <row r="270" spans="1:68" ht="14.25" customHeight="1" x14ac:dyDescent="0.25">
      <c r="A270" s="557" t="s">
        <v>73</v>
      </c>
      <c r="B270" s="558"/>
      <c r="C270" s="558"/>
      <c r="D270" s="558"/>
      <c r="E270" s="558"/>
      <c r="F270" s="558"/>
      <c r="G270" s="558"/>
      <c r="H270" s="558"/>
      <c r="I270" s="558"/>
      <c r="J270" s="558"/>
      <c r="K270" s="558"/>
      <c r="L270" s="558"/>
      <c r="M270" s="558"/>
      <c r="N270" s="558"/>
      <c r="O270" s="558"/>
      <c r="P270" s="558"/>
      <c r="Q270" s="558"/>
      <c r="R270" s="558"/>
      <c r="S270" s="558"/>
      <c r="T270" s="558"/>
      <c r="U270" s="558"/>
      <c r="V270" s="558"/>
      <c r="W270" s="558"/>
      <c r="X270" s="558"/>
      <c r="Y270" s="558"/>
      <c r="Z270" s="558"/>
      <c r="AA270" s="539"/>
      <c r="AB270" s="539"/>
      <c r="AC270" s="539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50">
        <v>4680115886186</v>
      </c>
      <c r="E271" s="551"/>
      <c r="F271" s="542">
        <v>0.3</v>
      </c>
      <c r="G271" s="32">
        <v>6</v>
      </c>
      <c r="H271" s="542">
        <v>1.8</v>
      </c>
      <c r="I271" s="542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50">
        <v>4680115881228</v>
      </c>
      <c r="E272" s="551"/>
      <c r="F272" s="542">
        <v>0.4</v>
      </c>
      <c r="G272" s="32">
        <v>6</v>
      </c>
      <c r="H272" s="542">
        <v>2.4</v>
      </c>
      <c r="I272" s="542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50">
        <v>4680115881211</v>
      </c>
      <c r="E273" s="551"/>
      <c r="F273" s="542">
        <v>0.4</v>
      </c>
      <c r="G273" s="32">
        <v>6</v>
      </c>
      <c r="H273" s="542">
        <v>2.4</v>
      </c>
      <c r="I273" s="542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8"/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69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5">
        <f>IFERROR(X271/H271,"0")+IFERROR(X272/H272,"0")+IFERROR(X273/H273,"0")</f>
        <v>0</v>
      </c>
      <c r="Y274" s="545">
        <f>IFERROR(Y271/H271,"0")+IFERROR(Y272/H272,"0")+IFERROR(Y273/H273,"0")</f>
        <v>0</v>
      </c>
      <c r="Z274" s="545">
        <f>IFERROR(IF(Z271="",0,Z271),"0")+IFERROR(IF(Z272="",0,Z272),"0")+IFERROR(IF(Z273="",0,Z273),"0")</f>
        <v>0</v>
      </c>
      <c r="AA274" s="546"/>
      <c r="AB274" s="546"/>
      <c r="AC274" s="546"/>
    </row>
    <row r="275" spans="1:68" x14ac:dyDescent="0.2">
      <c r="A275" s="558"/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69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5">
        <f>IFERROR(SUM(X271:X273),"0")</f>
        <v>0</v>
      </c>
      <c r="Y275" s="545">
        <f>IFERROR(SUM(Y271:Y273),"0")</f>
        <v>0</v>
      </c>
      <c r="Z275" s="37"/>
      <c r="AA275" s="546"/>
      <c r="AB275" s="546"/>
      <c r="AC275" s="546"/>
    </row>
    <row r="276" spans="1:68" ht="16.5" customHeight="1" x14ac:dyDescent="0.25">
      <c r="A276" s="559" t="s">
        <v>433</v>
      </c>
      <c r="B276" s="558"/>
      <c r="C276" s="558"/>
      <c r="D276" s="558"/>
      <c r="E276" s="558"/>
      <c r="F276" s="558"/>
      <c r="G276" s="558"/>
      <c r="H276" s="558"/>
      <c r="I276" s="558"/>
      <c r="J276" s="558"/>
      <c r="K276" s="558"/>
      <c r="L276" s="558"/>
      <c r="M276" s="558"/>
      <c r="N276" s="558"/>
      <c r="O276" s="558"/>
      <c r="P276" s="558"/>
      <c r="Q276" s="558"/>
      <c r="R276" s="558"/>
      <c r="S276" s="558"/>
      <c r="T276" s="558"/>
      <c r="U276" s="558"/>
      <c r="V276" s="558"/>
      <c r="W276" s="558"/>
      <c r="X276" s="558"/>
      <c r="Y276" s="558"/>
      <c r="Z276" s="558"/>
      <c r="AA276" s="538"/>
      <c r="AB276" s="538"/>
      <c r="AC276" s="538"/>
    </row>
    <row r="277" spans="1:68" ht="14.25" customHeight="1" x14ac:dyDescent="0.25">
      <c r="A277" s="557" t="s">
        <v>64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539"/>
      <c r="AB277" s="539"/>
      <c r="AC277" s="539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50">
        <v>4680115880344</v>
      </c>
      <c r="E278" s="551"/>
      <c r="F278" s="542">
        <v>0.28000000000000003</v>
      </c>
      <c r="G278" s="32">
        <v>6</v>
      </c>
      <c r="H278" s="542">
        <v>1.68</v>
      </c>
      <c r="I278" s="542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50">
        <v>4680115886919</v>
      </c>
      <c r="E279" s="551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5">
        <f>IFERROR(X278/H278,"0")+IFERROR(X279/H279,"0")</f>
        <v>0</v>
      </c>
      <c r="Y280" s="545">
        <f>IFERROR(Y278/H278,"0")+IFERROR(Y279/H279,"0")</f>
        <v>0</v>
      </c>
      <c r="Z280" s="545">
        <f>IFERROR(IF(Z278="",0,Z278),"0")+IFERROR(IF(Z279="",0,Z279),"0")</f>
        <v>0</v>
      </c>
      <c r="AA280" s="546"/>
      <c r="AB280" s="546"/>
      <c r="AC280" s="546"/>
    </row>
    <row r="281" spans="1:68" x14ac:dyDescent="0.2">
      <c r="A281" s="558"/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69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5">
        <f>IFERROR(SUM(X278:X279),"0")</f>
        <v>0</v>
      </c>
      <c r="Y281" s="545">
        <f>IFERROR(SUM(Y278:Y279),"0")</f>
        <v>0</v>
      </c>
      <c r="Z281" s="37"/>
      <c r="AA281" s="546"/>
      <c r="AB281" s="546"/>
      <c r="AC281" s="546"/>
    </row>
    <row r="282" spans="1:68" ht="14.25" customHeight="1" x14ac:dyDescent="0.25">
      <c r="A282" s="557" t="s">
        <v>73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39"/>
      <c r="AB282" s="539"/>
      <c r="AC282" s="539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50">
        <v>4680115884618</v>
      </c>
      <c r="E283" s="551"/>
      <c r="F283" s="542">
        <v>0.6</v>
      </c>
      <c r="G283" s="32">
        <v>6</v>
      </c>
      <c r="H283" s="542">
        <v>3.6</v>
      </c>
      <c r="I283" s="542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3">
        <v>0</v>
      </c>
      <c r="Y283" s="544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5">
        <f>IFERROR(X283/H283,"0")+IFERROR(X284/H284,"0")</f>
        <v>0</v>
      </c>
      <c r="Y285" s="545">
        <f>IFERROR(Y283/H283,"0")+IFERROR(Y284/H284,"0")</f>
        <v>0</v>
      </c>
      <c r="Z285" s="545">
        <f>IFERROR(IF(Z283="",0,Z283),"0")+IFERROR(IF(Z284="",0,Z284),"0")</f>
        <v>0</v>
      </c>
      <c r="AA285" s="546"/>
      <c r="AB285" s="546"/>
      <c r="AC285" s="546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5">
        <f>IFERROR(SUM(X283:X284),"0")</f>
        <v>0</v>
      </c>
      <c r="Y286" s="545">
        <f>IFERROR(SUM(Y283:Y284),"0")</f>
        <v>0</v>
      </c>
      <c r="Z286" s="37"/>
      <c r="AA286" s="546"/>
      <c r="AB286" s="546"/>
      <c r="AC286" s="546"/>
    </row>
    <row r="287" spans="1:68" ht="16.5" customHeight="1" x14ac:dyDescent="0.25">
      <c r="A287" s="559" t="s">
        <v>446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38"/>
      <c r="AB287" s="538"/>
      <c r="AC287" s="538"/>
    </row>
    <row r="288" spans="1:68" ht="14.25" customHeight="1" x14ac:dyDescent="0.25">
      <c r="A288" s="557" t="s">
        <v>101</v>
      </c>
      <c r="B288" s="558"/>
      <c r="C288" s="558"/>
      <c r="D288" s="558"/>
      <c r="E288" s="558"/>
      <c r="F288" s="558"/>
      <c r="G288" s="558"/>
      <c r="H288" s="558"/>
      <c r="I288" s="558"/>
      <c r="J288" s="558"/>
      <c r="K288" s="558"/>
      <c r="L288" s="558"/>
      <c r="M288" s="558"/>
      <c r="N288" s="558"/>
      <c r="O288" s="558"/>
      <c r="P288" s="558"/>
      <c r="Q288" s="558"/>
      <c r="R288" s="558"/>
      <c r="S288" s="558"/>
      <c r="T288" s="558"/>
      <c r="U288" s="558"/>
      <c r="V288" s="558"/>
      <c r="W288" s="558"/>
      <c r="X288" s="558"/>
      <c r="Y288" s="558"/>
      <c r="Z288" s="558"/>
      <c r="AA288" s="539"/>
      <c r="AB288" s="539"/>
      <c r="AC288" s="539"/>
    </row>
    <row r="289" spans="1:68" ht="27" customHeight="1" x14ac:dyDescent="0.25">
      <c r="A289" s="54" t="s">
        <v>447</v>
      </c>
      <c r="B289" s="54" t="s">
        <v>448</v>
      </c>
      <c r="C289" s="31">
        <v>4301012126</v>
      </c>
      <c r="D289" s="550">
        <v>4607091386004</v>
      </c>
      <c r="E289" s="551"/>
      <c r="F289" s="542">
        <v>1.35</v>
      </c>
      <c r="G289" s="32">
        <v>8</v>
      </c>
      <c r="H289" s="542">
        <v>10.8</v>
      </c>
      <c r="I289" s="542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3">
        <v>1000</v>
      </c>
      <c r="Y289" s="544">
        <f t="shared" ref="Y289:Y294" si="26">IFERROR(IF(X289="",0,CEILING((X289/$H289),1)*$H289),"")</f>
        <v>1004.4000000000001</v>
      </c>
      <c r="Z289" s="36">
        <f>IFERROR(IF(Y289=0,"",ROUNDUP(Y289/H289,0)*0.01898),"")</f>
        <v>1.7651399999999999</v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1037.9629629629628</v>
      </c>
      <c r="BN289" s="64">
        <f t="shared" ref="BN289:BN294" si="28">IFERROR(Y289*I289/H289,"0")</f>
        <v>1042.5300000000002</v>
      </c>
      <c r="BO289" s="64">
        <f t="shared" ref="BO289:BO294" si="29">IFERROR(1/J289*(X289/H289),"0")</f>
        <v>1.4467592592592591</v>
      </c>
      <c r="BP289" s="64">
        <f t="shared" ref="BP289:BP294" si="30">IFERROR(1/J289*(Y289/H289),"0")</f>
        <v>1.453125</v>
      </c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50">
        <v>4680115885615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50">
        <v>4680115885646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50">
        <v>4680115885554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50">
        <v>4680115885622</v>
      </c>
      <c r="E293" s="551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50">
        <v>4680115885608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68"/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69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5">
        <f>IFERROR(X289/H289,"0")+IFERROR(X290/H290,"0")+IFERROR(X291/H291,"0")+IFERROR(X292/H292,"0")+IFERROR(X293/H293,"0")+IFERROR(X294/H294,"0")</f>
        <v>92.592592592592581</v>
      </c>
      <c r="Y295" s="545">
        <f>IFERROR(Y289/H289,"0")+IFERROR(Y290/H290,"0")+IFERROR(Y291/H291,"0")+IFERROR(Y292/H292,"0")+IFERROR(Y293/H293,"0")+IFERROR(Y294/H294,"0")</f>
        <v>93</v>
      </c>
      <c r="Z295" s="545">
        <f>IFERROR(IF(Z289="",0,Z289),"0")+IFERROR(IF(Z290="",0,Z290),"0")+IFERROR(IF(Z291="",0,Z291),"0")+IFERROR(IF(Z292="",0,Z292),"0")+IFERROR(IF(Z293="",0,Z293),"0")+IFERROR(IF(Z294="",0,Z294),"0")</f>
        <v>1.7651399999999999</v>
      </c>
      <c r="AA295" s="546"/>
      <c r="AB295" s="546"/>
      <c r="AC295" s="546"/>
    </row>
    <row r="296" spans="1:68" x14ac:dyDescent="0.2">
      <c r="A296" s="558"/>
      <c r="B296" s="558"/>
      <c r="C296" s="558"/>
      <c r="D296" s="558"/>
      <c r="E296" s="558"/>
      <c r="F296" s="558"/>
      <c r="G296" s="558"/>
      <c r="H296" s="558"/>
      <c r="I296" s="558"/>
      <c r="J296" s="558"/>
      <c r="K296" s="558"/>
      <c r="L296" s="558"/>
      <c r="M296" s="558"/>
      <c r="N296" s="558"/>
      <c r="O296" s="569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5">
        <f>IFERROR(SUM(X289:X294),"0")</f>
        <v>1000</v>
      </c>
      <c r="Y296" s="545">
        <f>IFERROR(SUM(Y289:Y294),"0")</f>
        <v>1004.4000000000001</v>
      </c>
      <c r="Z296" s="37"/>
      <c r="AA296" s="546"/>
      <c r="AB296" s="546"/>
      <c r="AC296" s="546"/>
    </row>
    <row r="297" spans="1:68" ht="14.25" customHeight="1" x14ac:dyDescent="0.25">
      <c r="A297" s="557" t="s">
        <v>64</v>
      </c>
      <c r="B297" s="558"/>
      <c r="C297" s="558"/>
      <c r="D297" s="558"/>
      <c r="E297" s="558"/>
      <c r="F297" s="558"/>
      <c r="G297" s="558"/>
      <c r="H297" s="558"/>
      <c r="I297" s="558"/>
      <c r="J297" s="558"/>
      <c r="K297" s="558"/>
      <c r="L297" s="558"/>
      <c r="M297" s="558"/>
      <c r="N297" s="558"/>
      <c r="O297" s="558"/>
      <c r="P297" s="558"/>
      <c r="Q297" s="558"/>
      <c r="R297" s="558"/>
      <c r="S297" s="558"/>
      <c r="T297" s="558"/>
      <c r="U297" s="558"/>
      <c r="V297" s="558"/>
      <c r="W297" s="558"/>
      <c r="X297" s="558"/>
      <c r="Y297" s="558"/>
      <c r="Z297" s="558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50">
        <v>4607091387193</v>
      </c>
      <c r="E298" s="551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3">
        <v>0</v>
      </c>
      <c r="Y298" s="544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50">
        <v>4607091387230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0</v>
      </c>
      <c r="Y299" s="544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4301031154</v>
      </c>
      <c r="D300" s="550">
        <v>4607091387292</v>
      </c>
      <c r="E300" s="551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50">
        <v>4607091387285</v>
      </c>
      <c r="E301" s="551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50">
        <v>4607091389845</v>
      </c>
      <c r="E302" s="551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266</v>
      </c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4301031306</v>
      </c>
      <c r="D303" s="550">
        <v>4680115882881</v>
      </c>
      <c r="E303" s="551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477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480</v>
      </c>
      <c r="B304" s="54" t="s">
        <v>481</v>
      </c>
      <c r="C304" s="31">
        <v>4301031066</v>
      </c>
      <c r="D304" s="550">
        <v>4607091383836</v>
      </c>
      <c r="E304" s="551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482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68"/>
      <c r="B305" s="558"/>
      <c r="C305" s="558"/>
      <c r="D305" s="558"/>
      <c r="E305" s="558"/>
      <c r="F305" s="558"/>
      <c r="G305" s="558"/>
      <c r="H305" s="558"/>
      <c r="I305" s="558"/>
      <c r="J305" s="558"/>
      <c r="K305" s="558"/>
      <c r="L305" s="558"/>
      <c r="M305" s="558"/>
      <c r="N305" s="558"/>
      <c r="O305" s="569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0</v>
      </c>
      <c r="Y305" s="545">
        <f>IFERROR(Y298/H298,"0")+IFERROR(Y299/H299,"0")+IFERROR(Y300/H300,"0")+IFERROR(Y301/H301,"0")+IFERROR(Y302/H302,"0")+IFERROR(Y303/H303,"0")+IFERROR(Y304/H304,"0")</f>
        <v>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6"/>
      <c r="AB305" s="546"/>
      <c r="AC305" s="546"/>
    </row>
    <row r="306" spans="1:68" x14ac:dyDescent="0.2">
      <c r="A306" s="558"/>
      <c r="B306" s="558"/>
      <c r="C306" s="558"/>
      <c r="D306" s="558"/>
      <c r="E306" s="558"/>
      <c r="F306" s="558"/>
      <c r="G306" s="558"/>
      <c r="H306" s="558"/>
      <c r="I306" s="558"/>
      <c r="J306" s="558"/>
      <c r="K306" s="558"/>
      <c r="L306" s="558"/>
      <c r="M306" s="558"/>
      <c r="N306" s="558"/>
      <c r="O306" s="569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5">
        <f>IFERROR(SUM(X298:X304),"0")</f>
        <v>0</v>
      </c>
      <c r="Y306" s="545">
        <f>IFERROR(SUM(Y298:Y304),"0")</f>
        <v>0</v>
      </c>
      <c r="Z306" s="37"/>
      <c r="AA306" s="546"/>
      <c r="AB306" s="546"/>
      <c r="AC306" s="546"/>
    </row>
    <row r="307" spans="1:68" ht="14.25" customHeight="1" x14ac:dyDescent="0.25">
      <c r="A307" s="557" t="s">
        <v>73</v>
      </c>
      <c r="B307" s="558"/>
      <c r="C307" s="558"/>
      <c r="D307" s="558"/>
      <c r="E307" s="558"/>
      <c r="F307" s="558"/>
      <c r="G307" s="558"/>
      <c r="H307" s="558"/>
      <c r="I307" s="558"/>
      <c r="J307" s="558"/>
      <c r="K307" s="558"/>
      <c r="L307" s="558"/>
      <c r="M307" s="558"/>
      <c r="N307" s="558"/>
      <c r="O307" s="558"/>
      <c r="P307" s="558"/>
      <c r="Q307" s="558"/>
      <c r="R307" s="558"/>
      <c r="S307" s="558"/>
      <c r="T307" s="558"/>
      <c r="U307" s="558"/>
      <c r="V307" s="558"/>
      <c r="W307" s="558"/>
      <c r="X307" s="558"/>
      <c r="Y307" s="558"/>
      <c r="Z307" s="558"/>
      <c r="AA307" s="539"/>
      <c r="AB307" s="539"/>
      <c r="AC307" s="539"/>
    </row>
    <row r="308" spans="1:68" ht="27" customHeight="1" x14ac:dyDescent="0.25">
      <c r="A308" s="54" t="s">
        <v>483</v>
      </c>
      <c r="B308" s="54" t="s">
        <v>484</v>
      </c>
      <c r="C308" s="31">
        <v>4301051100</v>
      </c>
      <c r="D308" s="550">
        <v>4607091387766</v>
      </c>
      <c r="E308" s="551"/>
      <c r="F308" s="542">
        <v>1.3</v>
      </c>
      <c r="G308" s="32">
        <v>6</v>
      </c>
      <c r="H308" s="542">
        <v>7.8</v>
      </c>
      <c r="I308" s="542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8"/>
      <c r="R308" s="548"/>
      <c r="S308" s="548"/>
      <c r="T308" s="549"/>
      <c r="U308" s="34"/>
      <c r="V308" s="34"/>
      <c r="W308" s="35" t="s">
        <v>69</v>
      </c>
      <c r="X308" s="543">
        <v>2000</v>
      </c>
      <c r="Y308" s="544">
        <f>IFERROR(IF(X308="",0,CEILING((X308/$H308),1)*$H308),"")</f>
        <v>2004.6</v>
      </c>
      <c r="Z308" s="36">
        <f>IFERROR(IF(Y308=0,"",ROUNDUP(Y308/H308,0)*0.01898),"")</f>
        <v>4.8778600000000001</v>
      </c>
      <c r="AA308" s="56"/>
      <c r="AB308" s="57"/>
      <c r="AC308" s="357" t="s">
        <v>485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2125.1282051282051</v>
      </c>
      <c r="BN308" s="64">
        <f>IFERROR(Y308*I308/H308,"0")</f>
        <v>2130.0160000000001</v>
      </c>
      <c r="BO308" s="64">
        <f>IFERROR(1/J308*(X308/H308),"0")</f>
        <v>4.0064102564102564</v>
      </c>
      <c r="BP308" s="64">
        <f>IFERROR(1/J308*(Y308/H308),"0")</f>
        <v>4.015625</v>
      </c>
    </row>
    <row r="309" spans="1:68" ht="27" customHeight="1" x14ac:dyDescent="0.25">
      <c r="A309" s="54" t="s">
        <v>486</v>
      </c>
      <c r="B309" s="54" t="s">
        <v>487</v>
      </c>
      <c r="C309" s="31">
        <v>4301051818</v>
      </c>
      <c r="D309" s="550">
        <v>4607091387957</v>
      </c>
      <c r="E309" s="551"/>
      <c r="F309" s="542">
        <v>1.3</v>
      </c>
      <c r="G309" s="32">
        <v>6</v>
      </c>
      <c r="H309" s="542">
        <v>7.8</v>
      </c>
      <c r="I309" s="542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4301051819</v>
      </c>
      <c r="D310" s="550">
        <v>4607091387964</v>
      </c>
      <c r="E310" s="551"/>
      <c r="F310" s="542">
        <v>1.35</v>
      </c>
      <c r="G310" s="32">
        <v>6</v>
      </c>
      <c r="H310" s="542">
        <v>8.1</v>
      </c>
      <c r="I310" s="542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492</v>
      </c>
      <c r="B311" s="54" t="s">
        <v>493</v>
      </c>
      <c r="C311" s="31">
        <v>4301051734</v>
      </c>
      <c r="D311" s="550">
        <v>4680115884588</v>
      </c>
      <c r="E311" s="551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494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68"/>
      <c r="B312" s="558"/>
      <c r="C312" s="558"/>
      <c r="D312" s="558"/>
      <c r="E312" s="558"/>
      <c r="F312" s="558"/>
      <c r="G312" s="558"/>
      <c r="H312" s="558"/>
      <c r="I312" s="558"/>
      <c r="J312" s="558"/>
      <c r="K312" s="558"/>
      <c r="L312" s="558"/>
      <c r="M312" s="558"/>
      <c r="N312" s="558"/>
      <c r="O312" s="569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5">
        <f>IFERROR(X308/H308,"0")+IFERROR(X309/H309,"0")+IFERROR(X310/H310,"0")+IFERROR(X311/H311,"0")</f>
        <v>256.41025641025641</v>
      </c>
      <c r="Y312" s="545">
        <f>IFERROR(Y308/H308,"0")+IFERROR(Y309/H309,"0")+IFERROR(Y310/H310,"0")+IFERROR(Y311/H311,"0")</f>
        <v>257</v>
      </c>
      <c r="Z312" s="545">
        <f>IFERROR(IF(Z308="",0,Z308),"0")+IFERROR(IF(Z309="",0,Z309),"0")+IFERROR(IF(Z310="",0,Z310),"0")+IFERROR(IF(Z311="",0,Z311),"0")</f>
        <v>4.8778600000000001</v>
      </c>
      <c r="AA312" s="546"/>
      <c r="AB312" s="546"/>
      <c r="AC312" s="546"/>
    </row>
    <row r="313" spans="1:68" x14ac:dyDescent="0.2">
      <c r="A313" s="558"/>
      <c r="B313" s="558"/>
      <c r="C313" s="558"/>
      <c r="D313" s="558"/>
      <c r="E313" s="558"/>
      <c r="F313" s="558"/>
      <c r="G313" s="558"/>
      <c r="H313" s="558"/>
      <c r="I313" s="558"/>
      <c r="J313" s="558"/>
      <c r="K313" s="558"/>
      <c r="L313" s="558"/>
      <c r="M313" s="558"/>
      <c r="N313" s="558"/>
      <c r="O313" s="569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5">
        <f>IFERROR(SUM(X308:X311),"0")</f>
        <v>2000</v>
      </c>
      <c r="Y313" s="545">
        <f>IFERROR(SUM(Y308:Y311),"0")</f>
        <v>2004.6</v>
      </c>
      <c r="Z313" s="37"/>
      <c r="AA313" s="546"/>
      <c r="AB313" s="546"/>
      <c r="AC313" s="546"/>
    </row>
    <row r="314" spans="1:68" ht="14.25" customHeight="1" x14ac:dyDescent="0.25">
      <c r="A314" s="557" t="s">
        <v>164</v>
      </c>
      <c r="B314" s="558"/>
      <c r="C314" s="558"/>
      <c r="D314" s="558"/>
      <c r="E314" s="558"/>
      <c r="F314" s="558"/>
      <c r="G314" s="558"/>
      <c r="H314" s="558"/>
      <c r="I314" s="558"/>
      <c r="J314" s="558"/>
      <c r="K314" s="558"/>
      <c r="L314" s="558"/>
      <c r="M314" s="558"/>
      <c r="N314" s="558"/>
      <c r="O314" s="558"/>
      <c r="P314" s="558"/>
      <c r="Q314" s="558"/>
      <c r="R314" s="558"/>
      <c r="S314" s="558"/>
      <c r="T314" s="558"/>
      <c r="U314" s="558"/>
      <c r="V314" s="558"/>
      <c r="W314" s="558"/>
      <c r="X314" s="558"/>
      <c r="Y314" s="558"/>
      <c r="Z314" s="558"/>
      <c r="AA314" s="539"/>
      <c r="AB314" s="539"/>
      <c r="AC314" s="539"/>
    </row>
    <row r="315" spans="1:68" ht="27" customHeight="1" x14ac:dyDescent="0.25">
      <c r="A315" s="54" t="s">
        <v>495</v>
      </c>
      <c r="B315" s="54" t="s">
        <v>496</v>
      </c>
      <c r="C315" s="31">
        <v>4301060387</v>
      </c>
      <c r="D315" s="550">
        <v>4607091380880</v>
      </c>
      <c r="E315" s="551"/>
      <c r="F315" s="542">
        <v>1.4</v>
      </c>
      <c r="G315" s="32">
        <v>6</v>
      </c>
      <c r="H315" s="542">
        <v>8.4</v>
      </c>
      <c r="I315" s="542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3">
        <v>0</v>
      </c>
      <c r="Y315" s="54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498</v>
      </c>
      <c r="B316" s="54" t="s">
        <v>499</v>
      </c>
      <c r="C316" s="31">
        <v>4301060406</v>
      </c>
      <c r="D316" s="550">
        <v>4607091384482</v>
      </c>
      <c r="E316" s="551"/>
      <c r="F316" s="542">
        <v>1.3</v>
      </c>
      <c r="G316" s="32">
        <v>6</v>
      </c>
      <c r="H316" s="542">
        <v>7.8</v>
      </c>
      <c r="I316" s="542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501</v>
      </c>
      <c r="B317" s="54" t="s">
        <v>502</v>
      </c>
      <c r="C317" s="31">
        <v>4301060484</v>
      </c>
      <c r="D317" s="550">
        <v>4607091380897</v>
      </c>
      <c r="E317" s="551"/>
      <c r="F317" s="542">
        <v>1.4</v>
      </c>
      <c r="G317" s="32">
        <v>6</v>
      </c>
      <c r="H317" s="542">
        <v>8.4</v>
      </c>
      <c r="I317" s="542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503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8"/>
      <c r="B318" s="558"/>
      <c r="C318" s="558"/>
      <c r="D318" s="558"/>
      <c r="E318" s="558"/>
      <c r="F318" s="558"/>
      <c r="G318" s="558"/>
      <c r="H318" s="558"/>
      <c r="I318" s="558"/>
      <c r="J318" s="558"/>
      <c r="K318" s="558"/>
      <c r="L318" s="558"/>
      <c r="M318" s="558"/>
      <c r="N318" s="558"/>
      <c r="O318" s="569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5">
        <f>IFERROR(X315/H315,"0")+IFERROR(X316/H316,"0")+IFERROR(X317/H317,"0")</f>
        <v>0</v>
      </c>
      <c r="Y318" s="545">
        <f>IFERROR(Y315/H315,"0")+IFERROR(Y316/H316,"0")+IFERROR(Y317/H317,"0")</f>
        <v>0</v>
      </c>
      <c r="Z318" s="545">
        <f>IFERROR(IF(Z315="",0,Z315),"0")+IFERROR(IF(Z316="",0,Z316),"0")+IFERROR(IF(Z317="",0,Z317),"0")</f>
        <v>0</v>
      </c>
      <c r="AA318" s="546"/>
      <c r="AB318" s="546"/>
      <c r="AC318" s="546"/>
    </row>
    <row r="319" spans="1:68" x14ac:dyDescent="0.2">
      <c r="A319" s="558"/>
      <c r="B319" s="558"/>
      <c r="C319" s="558"/>
      <c r="D319" s="558"/>
      <c r="E319" s="558"/>
      <c r="F319" s="558"/>
      <c r="G319" s="558"/>
      <c r="H319" s="558"/>
      <c r="I319" s="558"/>
      <c r="J319" s="558"/>
      <c r="K319" s="558"/>
      <c r="L319" s="558"/>
      <c r="M319" s="558"/>
      <c r="N319" s="558"/>
      <c r="O319" s="569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5">
        <f>IFERROR(SUM(X315:X317),"0")</f>
        <v>0</v>
      </c>
      <c r="Y319" s="545">
        <f>IFERROR(SUM(Y315:Y317),"0")</f>
        <v>0</v>
      </c>
      <c r="Z319" s="37"/>
      <c r="AA319" s="546"/>
      <c r="AB319" s="546"/>
      <c r="AC319" s="546"/>
    </row>
    <row r="320" spans="1:68" ht="14.25" customHeight="1" x14ac:dyDescent="0.25">
      <c r="A320" s="557" t="s">
        <v>93</v>
      </c>
      <c r="B320" s="558"/>
      <c r="C320" s="558"/>
      <c r="D320" s="558"/>
      <c r="E320" s="558"/>
      <c r="F320" s="558"/>
      <c r="G320" s="558"/>
      <c r="H320" s="558"/>
      <c r="I320" s="558"/>
      <c r="J320" s="558"/>
      <c r="K320" s="558"/>
      <c r="L320" s="558"/>
      <c r="M320" s="558"/>
      <c r="N320" s="558"/>
      <c r="O320" s="558"/>
      <c r="P320" s="558"/>
      <c r="Q320" s="558"/>
      <c r="R320" s="558"/>
      <c r="S320" s="558"/>
      <c r="T320" s="558"/>
      <c r="U320" s="558"/>
      <c r="V320" s="558"/>
      <c r="W320" s="558"/>
      <c r="X320" s="558"/>
      <c r="Y320" s="558"/>
      <c r="Z320" s="558"/>
      <c r="AA320" s="539"/>
      <c r="AB320" s="539"/>
      <c r="AC320" s="539"/>
    </row>
    <row r="321" spans="1:68" ht="27" customHeight="1" x14ac:dyDescent="0.25">
      <c r="A321" s="54" t="s">
        <v>504</v>
      </c>
      <c r="B321" s="54" t="s">
        <v>505</v>
      </c>
      <c r="C321" s="31">
        <v>4301030235</v>
      </c>
      <c r="D321" s="550">
        <v>4607091388381</v>
      </c>
      <c r="E321" s="551"/>
      <c r="F321" s="542">
        <v>0.38</v>
      </c>
      <c r="G321" s="32">
        <v>8</v>
      </c>
      <c r="H321" s="542">
        <v>3.04</v>
      </c>
      <c r="I321" s="542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9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4301030232</v>
      </c>
      <c r="D322" s="550">
        <v>4607091388374</v>
      </c>
      <c r="E322" s="551"/>
      <c r="F322" s="542">
        <v>0.38</v>
      </c>
      <c r="G322" s="32">
        <v>8</v>
      </c>
      <c r="H322" s="542">
        <v>3.04</v>
      </c>
      <c r="I322" s="542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4301032015</v>
      </c>
      <c r="D323" s="550">
        <v>4607091383102</v>
      </c>
      <c r="E323" s="551"/>
      <c r="F323" s="542">
        <v>0.17</v>
      </c>
      <c r="G323" s="32">
        <v>15</v>
      </c>
      <c r="H323" s="542">
        <v>2.5499999999999998</v>
      </c>
      <c r="I323" s="542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511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512</v>
      </c>
      <c r="B324" s="54" t="s">
        <v>513</v>
      </c>
      <c r="C324" s="31">
        <v>4301030233</v>
      </c>
      <c r="D324" s="550">
        <v>4607091388404</v>
      </c>
      <c r="E324" s="551"/>
      <c r="F324" s="542">
        <v>0.17</v>
      </c>
      <c r="G324" s="32">
        <v>15</v>
      </c>
      <c r="H324" s="542">
        <v>2.5499999999999998</v>
      </c>
      <c r="I324" s="542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506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8"/>
      <c r="B325" s="558"/>
      <c r="C325" s="558"/>
      <c r="D325" s="558"/>
      <c r="E325" s="558"/>
      <c r="F325" s="558"/>
      <c r="G325" s="558"/>
      <c r="H325" s="558"/>
      <c r="I325" s="558"/>
      <c r="J325" s="558"/>
      <c r="K325" s="558"/>
      <c r="L325" s="558"/>
      <c r="M325" s="558"/>
      <c r="N325" s="558"/>
      <c r="O325" s="569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5">
        <f>IFERROR(X321/H321,"0")+IFERROR(X322/H322,"0")+IFERROR(X323/H323,"0")+IFERROR(X324/H324,"0")</f>
        <v>0</v>
      </c>
      <c r="Y325" s="545">
        <f>IFERROR(Y321/H321,"0")+IFERROR(Y322/H322,"0")+IFERROR(Y323/H323,"0")+IFERROR(Y324/H324,"0")</f>
        <v>0</v>
      </c>
      <c r="Z325" s="545">
        <f>IFERROR(IF(Z321="",0,Z321),"0")+IFERROR(IF(Z322="",0,Z322),"0")+IFERROR(IF(Z323="",0,Z323),"0")+IFERROR(IF(Z324="",0,Z324),"0")</f>
        <v>0</v>
      </c>
      <c r="AA325" s="546"/>
      <c r="AB325" s="546"/>
      <c r="AC325" s="546"/>
    </row>
    <row r="326" spans="1:68" x14ac:dyDescent="0.2">
      <c r="A326" s="558"/>
      <c r="B326" s="558"/>
      <c r="C326" s="558"/>
      <c r="D326" s="558"/>
      <c r="E326" s="558"/>
      <c r="F326" s="558"/>
      <c r="G326" s="558"/>
      <c r="H326" s="558"/>
      <c r="I326" s="558"/>
      <c r="J326" s="558"/>
      <c r="K326" s="558"/>
      <c r="L326" s="558"/>
      <c r="M326" s="558"/>
      <c r="N326" s="558"/>
      <c r="O326" s="569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5">
        <f>IFERROR(SUM(X321:X324),"0")</f>
        <v>0</v>
      </c>
      <c r="Y326" s="545">
        <f>IFERROR(SUM(Y321:Y324),"0")</f>
        <v>0</v>
      </c>
      <c r="Z326" s="37"/>
      <c r="AA326" s="546"/>
      <c r="AB326" s="546"/>
      <c r="AC326" s="546"/>
    </row>
    <row r="327" spans="1:68" ht="14.25" customHeight="1" x14ac:dyDescent="0.25">
      <c r="A327" s="557" t="s">
        <v>514</v>
      </c>
      <c r="B327" s="558"/>
      <c r="C327" s="558"/>
      <c r="D327" s="558"/>
      <c r="E327" s="558"/>
      <c r="F327" s="558"/>
      <c r="G327" s="558"/>
      <c r="H327" s="558"/>
      <c r="I327" s="558"/>
      <c r="J327" s="558"/>
      <c r="K327" s="558"/>
      <c r="L327" s="558"/>
      <c r="M327" s="558"/>
      <c r="N327" s="558"/>
      <c r="O327" s="558"/>
      <c r="P327" s="558"/>
      <c r="Q327" s="558"/>
      <c r="R327" s="558"/>
      <c r="S327" s="558"/>
      <c r="T327" s="558"/>
      <c r="U327" s="558"/>
      <c r="V327" s="558"/>
      <c r="W327" s="558"/>
      <c r="X327" s="558"/>
      <c r="Y327" s="558"/>
      <c r="Z327" s="558"/>
      <c r="AA327" s="539"/>
      <c r="AB327" s="539"/>
      <c r="AC327" s="539"/>
    </row>
    <row r="328" spans="1:68" ht="16.5" customHeight="1" x14ac:dyDescent="0.25">
      <c r="A328" s="54" t="s">
        <v>515</v>
      </c>
      <c r="B328" s="54" t="s">
        <v>516</v>
      </c>
      <c r="C328" s="31">
        <v>4301180007</v>
      </c>
      <c r="D328" s="550">
        <v>4680115881808</v>
      </c>
      <c r="E328" s="551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4301180006</v>
      </c>
      <c r="D329" s="550">
        <v>4680115881822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521</v>
      </c>
      <c r="B330" s="54" t="s">
        <v>522</v>
      </c>
      <c r="C330" s="31">
        <v>4301180001</v>
      </c>
      <c r="D330" s="550">
        <v>4680115880016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517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518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8"/>
      <c r="B331" s="558"/>
      <c r="C331" s="558"/>
      <c r="D331" s="558"/>
      <c r="E331" s="558"/>
      <c r="F331" s="558"/>
      <c r="G331" s="558"/>
      <c r="H331" s="558"/>
      <c r="I331" s="558"/>
      <c r="J331" s="558"/>
      <c r="K331" s="558"/>
      <c r="L331" s="558"/>
      <c r="M331" s="558"/>
      <c r="N331" s="558"/>
      <c r="O331" s="569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5">
        <f>IFERROR(X328/H328,"0")+IFERROR(X329/H329,"0")+IFERROR(X330/H330,"0")</f>
        <v>0</v>
      </c>
      <c r="Y331" s="545">
        <f>IFERROR(Y328/H328,"0")+IFERROR(Y329/H329,"0")+IFERROR(Y330/H330,"0")</f>
        <v>0</v>
      </c>
      <c r="Z331" s="545">
        <f>IFERROR(IF(Z328="",0,Z328),"0")+IFERROR(IF(Z329="",0,Z329),"0")+IFERROR(IF(Z330="",0,Z330),"0")</f>
        <v>0</v>
      </c>
      <c r="AA331" s="546"/>
      <c r="AB331" s="546"/>
      <c r="AC331" s="546"/>
    </row>
    <row r="332" spans="1:68" x14ac:dyDescent="0.2">
      <c r="A332" s="558"/>
      <c r="B332" s="558"/>
      <c r="C332" s="558"/>
      <c r="D332" s="558"/>
      <c r="E332" s="558"/>
      <c r="F332" s="558"/>
      <c r="G332" s="558"/>
      <c r="H332" s="558"/>
      <c r="I332" s="558"/>
      <c r="J332" s="558"/>
      <c r="K332" s="558"/>
      <c r="L332" s="558"/>
      <c r="M332" s="558"/>
      <c r="N332" s="558"/>
      <c r="O332" s="569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5">
        <f>IFERROR(SUM(X328:X330),"0")</f>
        <v>0</v>
      </c>
      <c r="Y332" s="545">
        <f>IFERROR(SUM(Y328:Y330),"0")</f>
        <v>0</v>
      </c>
      <c r="Z332" s="37"/>
      <c r="AA332" s="546"/>
      <c r="AB332" s="546"/>
      <c r="AC332" s="546"/>
    </row>
    <row r="333" spans="1:68" ht="16.5" customHeight="1" x14ac:dyDescent="0.25">
      <c r="A333" s="559" t="s">
        <v>523</v>
      </c>
      <c r="B333" s="558"/>
      <c r="C333" s="558"/>
      <c r="D333" s="558"/>
      <c r="E333" s="558"/>
      <c r="F333" s="558"/>
      <c r="G333" s="558"/>
      <c r="H333" s="558"/>
      <c r="I333" s="558"/>
      <c r="J333" s="558"/>
      <c r="K333" s="558"/>
      <c r="L333" s="558"/>
      <c r="M333" s="558"/>
      <c r="N333" s="558"/>
      <c r="O333" s="558"/>
      <c r="P333" s="558"/>
      <c r="Q333" s="558"/>
      <c r="R333" s="558"/>
      <c r="S333" s="558"/>
      <c r="T333" s="558"/>
      <c r="U333" s="558"/>
      <c r="V333" s="558"/>
      <c r="W333" s="558"/>
      <c r="X333" s="558"/>
      <c r="Y333" s="558"/>
      <c r="Z333" s="558"/>
      <c r="AA333" s="538"/>
      <c r="AB333" s="538"/>
      <c r="AC333" s="538"/>
    </row>
    <row r="334" spans="1:68" ht="14.25" customHeight="1" x14ac:dyDescent="0.25">
      <c r="A334" s="557" t="s">
        <v>73</v>
      </c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58"/>
      <c r="P334" s="558"/>
      <c r="Q334" s="558"/>
      <c r="R334" s="558"/>
      <c r="S334" s="558"/>
      <c r="T334" s="558"/>
      <c r="U334" s="558"/>
      <c r="V334" s="558"/>
      <c r="W334" s="558"/>
      <c r="X334" s="558"/>
      <c r="Y334" s="558"/>
      <c r="Z334" s="558"/>
      <c r="AA334" s="539"/>
      <c r="AB334" s="539"/>
      <c r="AC334" s="539"/>
    </row>
    <row r="335" spans="1:68" ht="27" customHeight="1" x14ac:dyDescent="0.25">
      <c r="A335" s="54" t="s">
        <v>524</v>
      </c>
      <c r="B335" s="54" t="s">
        <v>525</v>
      </c>
      <c r="C335" s="31">
        <v>4301051489</v>
      </c>
      <c r="D335" s="550">
        <v>4607091387919</v>
      </c>
      <c r="E335" s="551"/>
      <c r="F335" s="542">
        <v>1.35</v>
      </c>
      <c r="G335" s="32">
        <v>6</v>
      </c>
      <c r="H335" s="542">
        <v>8.1</v>
      </c>
      <c r="I335" s="542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526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4301051461</v>
      </c>
      <c r="D336" s="550">
        <v>4680115883604</v>
      </c>
      <c r="E336" s="551"/>
      <c r="F336" s="542">
        <v>0.35</v>
      </c>
      <c r="G336" s="32">
        <v>6</v>
      </c>
      <c r="H336" s="542">
        <v>2.1</v>
      </c>
      <c r="I336" s="542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4301051864</v>
      </c>
      <c r="D337" s="550">
        <v>4680115883567</v>
      </c>
      <c r="E337" s="551"/>
      <c r="F337" s="542">
        <v>0.35</v>
      </c>
      <c r="G337" s="32">
        <v>6</v>
      </c>
      <c r="H337" s="542">
        <v>2.1</v>
      </c>
      <c r="I337" s="542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532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8"/>
      <c r="B338" s="558"/>
      <c r="C338" s="558"/>
      <c r="D338" s="558"/>
      <c r="E338" s="558"/>
      <c r="F338" s="558"/>
      <c r="G338" s="558"/>
      <c r="H338" s="558"/>
      <c r="I338" s="558"/>
      <c r="J338" s="558"/>
      <c r="K338" s="558"/>
      <c r="L338" s="558"/>
      <c r="M338" s="558"/>
      <c r="N338" s="558"/>
      <c r="O338" s="569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5">
        <f>IFERROR(X335/H335,"0")+IFERROR(X336/H336,"0")+IFERROR(X337/H337,"0")</f>
        <v>0</v>
      </c>
      <c r="Y338" s="545">
        <f>IFERROR(Y335/H335,"0")+IFERROR(Y336/H336,"0")+IFERROR(Y337/H337,"0")</f>
        <v>0</v>
      </c>
      <c r="Z338" s="545">
        <f>IFERROR(IF(Z335="",0,Z335),"0")+IFERROR(IF(Z336="",0,Z336),"0")+IFERROR(IF(Z337="",0,Z337),"0")</f>
        <v>0</v>
      </c>
      <c r="AA338" s="546"/>
      <c r="AB338" s="546"/>
      <c r="AC338" s="546"/>
    </row>
    <row r="339" spans="1:68" x14ac:dyDescent="0.2">
      <c r="A339" s="558"/>
      <c r="B339" s="558"/>
      <c r="C339" s="558"/>
      <c r="D339" s="558"/>
      <c r="E339" s="558"/>
      <c r="F339" s="558"/>
      <c r="G339" s="558"/>
      <c r="H339" s="558"/>
      <c r="I339" s="558"/>
      <c r="J339" s="558"/>
      <c r="K339" s="558"/>
      <c r="L339" s="558"/>
      <c r="M339" s="558"/>
      <c r="N339" s="558"/>
      <c r="O339" s="569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5">
        <f>IFERROR(SUM(X335:X337),"0")</f>
        <v>0</v>
      </c>
      <c r="Y339" s="545">
        <f>IFERROR(SUM(Y335:Y337),"0")</f>
        <v>0</v>
      </c>
      <c r="Z339" s="37"/>
      <c r="AA339" s="546"/>
      <c r="AB339" s="546"/>
      <c r="AC339" s="546"/>
    </row>
    <row r="340" spans="1:68" ht="27.75" customHeight="1" x14ac:dyDescent="0.2">
      <c r="A340" s="566" t="s">
        <v>533</v>
      </c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48"/>
      <c r="AB340" s="48"/>
      <c r="AC340" s="48"/>
    </row>
    <row r="341" spans="1:68" ht="16.5" customHeight="1" x14ac:dyDescent="0.25">
      <c r="A341" s="559" t="s">
        <v>534</v>
      </c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58"/>
      <c r="P341" s="558"/>
      <c r="Q341" s="558"/>
      <c r="R341" s="558"/>
      <c r="S341" s="558"/>
      <c r="T341" s="558"/>
      <c r="U341" s="558"/>
      <c r="V341" s="558"/>
      <c r="W341" s="558"/>
      <c r="X341" s="558"/>
      <c r="Y341" s="558"/>
      <c r="Z341" s="558"/>
      <c r="AA341" s="538"/>
      <c r="AB341" s="538"/>
      <c r="AC341" s="538"/>
    </row>
    <row r="342" spans="1:68" ht="14.25" customHeight="1" x14ac:dyDescent="0.25">
      <c r="A342" s="557" t="s">
        <v>101</v>
      </c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58"/>
      <c r="P342" s="558"/>
      <c r="Q342" s="558"/>
      <c r="R342" s="558"/>
      <c r="S342" s="558"/>
      <c r="T342" s="558"/>
      <c r="U342" s="558"/>
      <c r="V342" s="558"/>
      <c r="W342" s="558"/>
      <c r="X342" s="558"/>
      <c r="Y342" s="558"/>
      <c r="Z342" s="558"/>
      <c r="AA342" s="539"/>
      <c r="AB342" s="539"/>
      <c r="AC342" s="539"/>
    </row>
    <row r="343" spans="1:68" ht="37.5" customHeight="1" x14ac:dyDescent="0.25">
      <c r="A343" s="54" t="s">
        <v>535</v>
      </c>
      <c r="B343" s="54" t="s">
        <v>536</v>
      </c>
      <c r="C343" s="31">
        <v>4301011869</v>
      </c>
      <c r="D343" s="550">
        <v>4680115884847</v>
      </c>
      <c r="E343" s="551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3">
        <v>0</v>
      </c>
      <c r="Y343" s="544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538</v>
      </c>
      <c r="B344" s="54" t="s">
        <v>539</v>
      </c>
      <c r="C344" s="31">
        <v>4301011870</v>
      </c>
      <c r="D344" s="550">
        <v>4680115884854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0</v>
      </c>
      <c r="Y344" s="544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customHeight="1" x14ac:dyDescent="0.25">
      <c r="A345" s="54" t="s">
        <v>541</v>
      </c>
      <c r="B345" s="54" t="s">
        <v>542</v>
      </c>
      <c r="C345" s="31">
        <v>4301011867</v>
      </c>
      <c r="D345" s="550">
        <v>4680115884830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4301012215</v>
      </c>
      <c r="D346" s="550">
        <v>4680115887046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4301011433</v>
      </c>
      <c r="D347" s="550">
        <v>4680115882638</v>
      </c>
      <c r="E347" s="551"/>
      <c r="F347" s="542">
        <v>0.4</v>
      </c>
      <c r="G347" s="32">
        <v>10</v>
      </c>
      <c r="H347" s="542">
        <v>4</v>
      </c>
      <c r="I347" s="542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549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550</v>
      </c>
      <c r="B348" s="54" t="s">
        <v>551</v>
      </c>
      <c r="C348" s="31">
        <v>4301011952</v>
      </c>
      <c r="D348" s="550">
        <v>4680115884922</v>
      </c>
      <c r="E348" s="551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552</v>
      </c>
      <c r="B349" s="54" t="s">
        <v>553</v>
      </c>
      <c r="C349" s="31">
        <v>4301011868</v>
      </c>
      <c r="D349" s="550">
        <v>4680115884861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543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68"/>
      <c r="B350" s="558"/>
      <c r="C350" s="558"/>
      <c r="D350" s="558"/>
      <c r="E350" s="558"/>
      <c r="F350" s="558"/>
      <c r="G350" s="558"/>
      <c r="H350" s="558"/>
      <c r="I350" s="558"/>
      <c r="J350" s="558"/>
      <c r="K350" s="558"/>
      <c r="L350" s="558"/>
      <c r="M350" s="558"/>
      <c r="N350" s="558"/>
      <c r="O350" s="569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5">
        <f>IFERROR(X343/H343,"0")+IFERROR(X344/H344,"0")+IFERROR(X345/H345,"0")+IFERROR(X346/H346,"0")+IFERROR(X347/H347,"0")+IFERROR(X348/H348,"0")+IFERROR(X349/H349,"0")</f>
        <v>0</v>
      </c>
      <c r="Y350" s="545">
        <f>IFERROR(Y343/H343,"0")+IFERROR(Y344/H344,"0")+IFERROR(Y345/H345,"0")+IFERROR(Y346/H346,"0")+IFERROR(Y347/H347,"0")+IFERROR(Y348/H348,"0")+IFERROR(Y349/H349,"0")</f>
        <v>0</v>
      </c>
      <c r="Z350" s="545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546"/>
      <c r="AB350" s="546"/>
      <c r="AC350" s="546"/>
    </row>
    <row r="351" spans="1:68" x14ac:dyDescent="0.2">
      <c r="A351" s="558"/>
      <c r="B351" s="558"/>
      <c r="C351" s="558"/>
      <c r="D351" s="558"/>
      <c r="E351" s="558"/>
      <c r="F351" s="558"/>
      <c r="G351" s="558"/>
      <c r="H351" s="558"/>
      <c r="I351" s="558"/>
      <c r="J351" s="558"/>
      <c r="K351" s="558"/>
      <c r="L351" s="558"/>
      <c r="M351" s="558"/>
      <c r="N351" s="558"/>
      <c r="O351" s="569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5">
        <f>IFERROR(SUM(X343:X349),"0")</f>
        <v>0</v>
      </c>
      <c r="Y351" s="545">
        <f>IFERROR(SUM(Y343:Y349),"0")</f>
        <v>0</v>
      </c>
      <c r="Z351" s="37"/>
      <c r="AA351" s="546"/>
      <c r="AB351" s="546"/>
      <c r="AC351" s="546"/>
    </row>
    <row r="352" spans="1:68" ht="14.25" customHeight="1" x14ac:dyDescent="0.25">
      <c r="A352" s="557" t="s">
        <v>136</v>
      </c>
      <c r="B352" s="558"/>
      <c r="C352" s="558"/>
      <c r="D352" s="558"/>
      <c r="E352" s="558"/>
      <c r="F352" s="558"/>
      <c r="G352" s="558"/>
      <c r="H352" s="558"/>
      <c r="I352" s="558"/>
      <c r="J352" s="558"/>
      <c r="K352" s="558"/>
      <c r="L352" s="558"/>
      <c r="M352" s="558"/>
      <c r="N352" s="558"/>
      <c r="O352" s="558"/>
      <c r="P352" s="558"/>
      <c r="Q352" s="558"/>
      <c r="R352" s="558"/>
      <c r="S352" s="558"/>
      <c r="T352" s="558"/>
      <c r="U352" s="558"/>
      <c r="V352" s="558"/>
      <c r="W352" s="558"/>
      <c r="X352" s="558"/>
      <c r="Y352" s="558"/>
      <c r="Z352" s="558"/>
      <c r="AA352" s="539"/>
      <c r="AB352" s="539"/>
      <c r="AC352" s="539"/>
    </row>
    <row r="353" spans="1:68" ht="27" customHeight="1" x14ac:dyDescent="0.25">
      <c r="A353" s="54" t="s">
        <v>554</v>
      </c>
      <c r="B353" s="54" t="s">
        <v>555</v>
      </c>
      <c r="C353" s="31">
        <v>4301020178</v>
      </c>
      <c r="D353" s="550">
        <v>4607091383980</v>
      </c>
      <c r="E353" s="551"/>
      <c r="F353" s="542">
        <v>2.5</v>
      </c>
      <c r="G353" s="32">
        <v>6</v>
      </c>
      <c r="H353" s="542">
        <v>15</v>
      </c>
      <c r="I353" s="542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3">
        <v>2000</v>
      </c>
      <c r="Y353" s="544">
        <f>IFERROR(IF(X353="",0,CEILING((X353/$H353),1)*$H353),"")</f>
        <v>2010</v>
      </c>
      <c r="Z353" s="36">
        <f>IFERROR(IF(Y353=0,"",ROUNDUP(Y353/H353,0)*0.02175),"")</f>
        <v>2.9144999999999999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2062.6666666666665</v>
      </c>
      <c r="BN353" s="64">
        <f>IFERROR(Y353*I353/H353,"0")</f>
        <v>2072.98</v>
      </c>
      <c r="BO353" s="64">
        <f>IFERROR(1/J353*(X353/H353),"0")</f>
        <v>2.7777777777777777</v>
      </c>
      <c r="BP353" s="64">
        <f>IFERROR(1/J353*(Y353/H353),"0")</f>
        <v>2.7916666666666665</v>
      </c>
    </row>
    <row r="354" spans="1:68" ht="27" customHeight="1" x14ac:dyDescent="0.25">
      <c r="A354" s="54" t="s">
        <v>557</v>
      </c>
      <c r="B354" s="54" t="s">
        <v>558</v>
      </c>
      <c r="C354" s="31">
        <v>4301020179</v>
      </c>
      <c r="D354" s="550">
        <v>4607091384178</v>
      </c>
      <c r="E354" s="551"/>
      <c r="F354" s="542">
        <v>0.4</v>
      </c>
      <c r="G354" s="32">
        <v>10</v>
      </c>
      <c r="H354" s="542">
        <v>4</v>
      </c>
      <c r="I354" s="542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68"/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69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5">
        <f>IFERROR(X353/H353,"0")+IFERROR(X354/H354,"0")</f>
        <v>133.33333333333334</v>
      </c>
      <c r="Y355" s="545">
        <f>IFERROR(Y353/H353,"0")+IFERROR(Y354/H354,"0")</f>
        <v>134</v>
      </c>
      <c r="Z355" s="545">
        <f>IFERROR(IF(Z353="",0,Z353),"0")+IFERROR(IF(Z354="",0,Z354),"0")</f>
        <v>2.9144999999999999</v>
      </c>
      <c r="AA355" s="546"/>
      <c r="AB355" s="546"/>
      <c r="AC355" s="546"/>
    </row>
    <row r="356" spans="1:68" x14ac:dyDescent="0.2">
      <c r="A356" s="558"/>
      <c r="B356" s="558"/>
      <c r="C356" s="558"/>
      <c r="D356" s="558"/>
      <c r="E356" s="558"/>
      <c r="F356" s="558"/>
      <c r="G356" s="558"/>
      <c r="H356" s="558"/>
      <c r="I356" s="558"/>
      <c r="J356" s="558"/>
      <c r="K356" s="558"/>
      <c r="L356" s="558"/>
      <c r="M356" s="558"/>
      <c r="N356" s="558"/>
      <c r="O356" s="569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5">
        <f>IFERROR(SUM(X353:X354),"0")</f>
        <v>2000</v>
      </c>
      <c r="Y356" s="545">
        <f>IFERROR(SUM(Y353:Y354),"0")</f>
        <v>2010</v>
      </c>
      <c r="Z356" s="37"/>
      <c r="AA356" s="546"/>
      <c r="AB356" s="546"/>
      <c r="AC356" s="546"/>
    </row>
    <row r="357" spans="1:68" ht="14.25" customHeight="1" x14ac:dyDescent="0.25">
      <c r="A357" s="557" t="s">
        <v>73</v>
      </c>
      <c r="B357" s="558"/>
      <c r="C357" s="558"/>
      <c r="D357" s="558"/>
      <c r="E357" s="558"/>
      <c r="F357" s="558"/>
      <c r="G357" s="558"/>
      <c r="H357" s="558"/>
      <c r="I357" s="558"/>
      <c r="J357" s="558"/>
      <c r="K357" s="558"/>
      <c r="L357" s="558"/>
      <c r="M357" s="558"/>
      <c r="N357" s="558"/>
      <c r="O357" s="558"/>
      <c r="P357" s="558"/>
      <c r="Q357" s="558"/>
      <c r="R357" s="558"/>
      <c r="S357" s="558"/>
      <c r="T357" s="558"/>
      <c r="U357" s="558"/>
      <c r="V357" s="558"/>
      <c r="W357" s="558"/>
      <c r="X357" s="558"/>
      <c r="Y357" s="558"/>
      <c r="Z357" s="558"/>
      <c r="AA357" s="539"/>
      <c r="AB357" s="539"/>
      <c r="AC357" s="539"/>
    </row>
    <row r="358" spans="1:68" ht="27" customHeight="1" x14ac:dyDescent="0.25">
      <c r="A358" s="54" t="s">
        <v>560</v>
      </c>
      <c r="B358" s="54" t="s">
        <v>561</v>
      </c>
      <c r="C358" s="31">
        <v>4301051903</v>
      </c>
      <c r="D358" s="550">
        <v>4607091383928</v>
      </c>
      <c r="E358" s="551"/>
      <c r="F358" s="542">
        <v>1.5</v>
      </c>
      <c r="G358" s="32">
        <v>6</v>
      </c>
      <c r="H358" s="542">
        <v>9</v>
      </c>
      <c r="I358" s="542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563</v>
      </c>
      <c r="B359" s="54" t="s">
        <v>564</v>
      </c>
      <c r="C359" s="31">
        <v>4301051897</v>
      </c>
      <c r="D359" s="550">
        <v>4607091384260</v>
      </c>
      <c r="E359" s="551"/>
      <c r="F359" s="542">
        <v>1.5</v>
      </c>
      <c r="G359" s="32">
        <v>6</v>
      </c>
      <c r="H359" s="542">
        <v>9</v>
      </c>
      <c r="I359" s="542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565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8"/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69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5">
        <f>IFERROR(X358/H358,"0")+IFERROR(X359/H359,"0")</f>
        <v>0</v>
      </c>
      <c r="Y360" s="545">
        <f>IFERROR(Y358/H358,"0")+IFERROR(Y359/H359,"0")</f>
        <v>0</v>
      </c>
      <c r="Z360" s="545">
        <f>IFERROR(IF(Z358="",0,Z358),"0")+IFERROR(IF(Z359="",0,Z359),"0")</f>
        <v>0</v>
      </c>
      <c r="AA360" s="546"/>
      <c r="AB360" s="546"/>
      <c r="AC360" s="546"/>
    </row>
    <row r="361" spans="1:68" x14ac:dyDescent="0.2">
      <c r="A361" s="558"/>
      <c r="B361" s="558"/>
      <c r="C361" s="558"/>
      <c r="D361" s="558"/>
      <c r="E361" s="558"/>
      <c r="F361" s="558"/>
      <c r="G361" s="558"/>
      <c r="H361" s="558"/>
      <c r="I361" s="558"/>
      <c r="J361" s="558"/>
      <c r="K361" s="558"/>
      <c r="L361" s="558"/>
      <c r="M361" s="558"/>
      <c r="N361" s="558"/>
      <c r="O361" s="569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5">
        <f>IFERROR(SUM(X358:X359),"0")</f>
        <v>0</v>
      </c>
      <c r="Y361" s="545">
        <f>IFERROR(SUM(Y358:Y359),"0")</f>
        <v>0</v>
      </c>
      <c r="Z361" s="37"/>
      <c r="AA361" s="546"/>
      <c r="AB361" s="546"/>
      <c r="AC361" s="546"/>
    </row>
    <row r="362" spans="1:68" ht="14.25" customHeight="1" x14ac:dyDescent="0.25">
      <c r="A362" s="557" t="s">
        <v>164</v>
      </c>
      <c r="B362" s="558"/>
      <c r="C362" s="558"/>
      <c r="D362" s="558"/>
      <c r="E362" s="558"/>
      <c r="F362" s="558"/>
      <c r="G362" s="558"/>
      <c r="H362" s="558"/>
      <c r="I362" s="558"/>
      <c r="J362" s="558"/>
      <c r="K362" s="558"/>
      <c r="L362" s="558"/>
      <c r="M362" s="558"/>
      <c r="N362" s="558"/>
      <c r="O362" s="558"/>
      <c r="P362" s="558"/>
      <c r="Q362" s="558"/>
      <c r="R362" s="558"/>
      <c r="S362" s="558"/>
      <c r="T362" s="558"/>
      <c r="U362" s="558"/>
      <c r="V362" s="558"/>
      <c r="W362" s="558"/>
      <c r="X362" s="558"/>
      <c r="Y362" s="558"/>
      <c r="Z362" s="558"/>
      <c r="AA362" s="539"/>
      <c r="AB362" s="539"/>
      <c r="AC362" s="539"/>
    </row>
    <row r="363" spans="1:68" ht="16.5" customHeight="1" x14ac:dyDescent="0.25">
      <c r="A363" s="54" t="s">
        <v>566</v>
      </c>
      <c r="B363" s="54" t="s">
        <v>567</v>
      </c>
      <c r="C363" s="31">
        <v>4301060524</v>
      </c>
      <c r="D363" s="550">
        <v>4607091384673</v>
      </c>
      <c r="E363" s="551"/>
      <c r="F363" s="542">
        <v>1.5</v>
      </c>
      <c r="G363" s="32">
        <v>6</v>
      </c>
      <c r="H363" s="542">
        <v>9</v>
      </c>
      <c r="I363" s="542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3">
        <v>0</v>
      </c>
      <c r="Y363" s="54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5">
        <f>IFERROR(X363/H363,"0")</f>
        <v>0</v>
      </c>
      <c r="Y364" s="545">
        <f>IFERROR(Y363/H363,"0")</f>
        <v>0</v>
      </c>
      <c r="Z364" s="545">
        <f>IFERROR(IF(Z363="",0,Z363),"0")</f>
        <v>0</v>
      </c>
      <c r="AA364" s="546"/>
      <c r="AB364" s="546"/>
      <c r="AC364" s="546"/>
    </row>
    <row r="365" spans="1:68" x14ac:dyDescent="0.2">
      <c r="A365" s="558"/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69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5">
        <f>IFERROR(SUM(X363:X363),"0")</f>
        <v>0</v>
      </c>
      <c r="Y365" s="545">
        <f>IFERROR(SUM(Y363:Y363),"0")</f>
        <v>0</v>
      </c>
      <c r="Z365" s="37"/>
      <c r="AA365" s="546"/>
      <c r="AB365" s="546"/>
      <c r="AC365" s="546"/>
    </row>
    <row r="366" spans="1:68" ht="16.5" customHeight="1" x14ac:dyDescent="0.25">
      <c r="A366" s="559" t="s">
        <v>569</v>
      </c>
      <c r="B366" s="558"/>
      <c r="C366" s="558"/>
      <c r="D366" s="558"/>
      <c r="E366" s="558"/>
      <c r="F366" s="558"/>
      <c r="G366" s="558"/>
      <c r="H366" s="558"/>
      <c r="I366" s="558"/>
      <c r="J366" s="558"/>
      <c r="K366" s="558"/>
      <c r="L366" s="558"/>
      <c r="M366" s="558"/>
      <c r="N366" s="558"/>
      <c r="O366" s="558"/>
      <c r="P366" s="558"/>
      <c r="Q366" s="558"/>
      <c r="R366" s="558"/>
      <c r="S366" s="558"/>
      <c r="T366" s="558"/>
      <c r="U366" s="558"/>
      <c r="V366" s="558"/>
      <c r="W366" s="558"/>
      <c r="X366" s="558"/>
      <c r="Y366" s="558"/>
      <c r="Z366" s="558"/>
      <c r="AA366" s="538"/>
      <c r="AB366" s="538"/>
      <c r="AC366" s="538"/>
    </row>
    <row r="367" spans="1:68" ht="14.25" customHeight="1" x14ac:dyDescent="0.25">
      <c r="A367" s="557" t="s">
        <v>101</v>
      </c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58"/>
      <c r="P367" s="558"/>
      <c r="Q367" s="558"/>
      <c r="R367" s="558"/>
      <c r="S367" s="558"/>
      <c r="T367" s="558"/>
      <c r="U367" s="558"/>
      <c r="V367" s="558"/>
      <c r="W367" s="558"/>
      <c r="X367" s="558"/>
      <c r="Y367" s="558"/>
      <c r="Z367" s="558"/>
      <c r="AA367" s="539"/>
      <c r="AB367" s="539"/>
      <c r="AC367" s="539"/>
    </row>
    <row r="368" spans="1:68" ht="37.5" customHeight="1" x14ac:dyDescent="0.25">
      <c r="A368" s="54" t="s">
        <v>570</v>
      </c>
      <c r="B368" s="54" t="s">
        <v>571</v>
      </c>
      <c r="C368" s="31">
        <v>4301011875</v>
      </c>
      <c r="D368" s="550">
        <v>4680115884885</v>
      </c>
      <c r="E368" s="551"/>
      <c r="F368" s="542">
        <v>0.8</v>
      </c>
      <c r="G368" s="32">
        <v>15</v>
      </c>
      <c r="H368" s="542">
        <v>12</v>
      </c>
      <c r="I368" s="542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573</v>
      </c>
      <c r="B369" s="54" t="s">
        <v>574</v>
      </c>
      <c r="C369" s="31">
        <v>4301011871</v>
      </c>
      <c r="D369" s="550">
        <v>4680115884908</v>
      </c>
      <c r="E369" s="551"/>
      <c r="F369" s="542">
        <v>0.4</v>
      </c>
      <c r="G369" s="32">
        <v>10</v>
      </c>
      <c r="H369" s="542">
        <v>4</v>
      </c>
      <c r="I369" s="542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8"/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69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5">
        <f>IFERROR(X368/H368,"0")+IFERROR(X369/H369,"0")</f>
        <v>0</v>
      </c>
      <c r="Y370" s="545">
        <f>IFERROR(Y368/H368,"0")+IFERROR(Y369/H369,"0")</f>
        <v>0</v>
      </c>
      <c r="Z370" s="545">
        <f>IFERROR(IF(Z368="",0,Z368),"0")+IFERROR(IF(Z369="",0,Z369),"0")</f>
        <v>0</v>
      </c>
      <c r="AA370" s="546"/>
      <c r="AB370" s="546"/>
      <c r="AC370" s="546"/>
    </row>
    <row r="371" spans="1:68" x14ac:dyDescent="0.2">
      <c r="A371" s="558"/>
      <c r="B371" s="558"/>
      <c r="C371" s="558"/>
      <c r="D371" s="558"/>
      <c r="E371" s="558"/>
      <c r="F371" s="558"/>
      <c r="G371" s="558"/>
      <c r="H371" s="558"/>
      <c r="I371" s="558"/>
      <c r="J371" s="558"/>
      <c r="K371" s="558"/>
      <c r="L371" s="558"/>
      <c r="M371" s="558"/>
      <c r="N371" s="558"/>
      <c r="O371" s="569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5">
        <f>IFERROR(SUM(X368:X369),"0")</f>
        <v>0</v>
      </c>
      <c r="Y371" s="545">
        <f>IFERROR(SUM(Y368:Y369),"0")</f>
        <v>0</v>
      </c>
      <c r="Z371" s="37"/>
      <c r="AA371" s="546"/>
      <c r="AB371" s="546"/>
      <c r="AC371" s="546"/>
    </row>
    <row r="372" spans="1:68" ht="14.25" customHeight="1" x14ac:dyDescent="0.25">
      <c r="A372" s="557" t="s">
        <v>64</v>
      </c>
      <c r="B372" s="558"/>
      <c r="C372" s="558"/>
      <c r="D372" s="558"/>
      <c r="E372" s="558"/>
      <c r="F372" s="558"/>
      <c r="G372" s="558"/>
      <c r="H372" s="558"/>
      <c r="I372" s="558"/>
      <c r="J372" s="558"/>
      <c r="K372" s="558"/>
      <c r="L372" s="558"/>
      <c r="M372" s="558"/>
      <c r="N372" s="558"/>
      <c r="O372" s="558"/>
      <c r="P372" s="558"/>
      <c r="Q372" s="558"/>
      <c r="R372" s="558"/>
      <c r="S372" s="558"/>
      <c r="T372" s="558"/>
      <c r="U372" s="558"/>
      <c r="V372" s="558"/>
      <c r="W372" s="558"/>
      <c r="X372" s="558"/>
      <c r="Y372" s="558"/>
      <c r="Z372" s="558"/>
      <c r="AA372" s="539"/>
      <c r="AB372" s="539"/>
      <c r="AC372" s="539"/>
    </row>
    <row r="373" spans="1:68" ht="27" customHeight="1" x14ac:dyDescent="0.25">
      <c r="A373" s="54" t="s">
        <v>575</v>
      </c>
      <c r="B373" s="54" t="s">
        <v>576</v>
      </c>
      <c r="C373" s="31">
        <v>4301031303</v>
      </c>
      <c r="D373" s="550">
        <v>4607091384802</v>
      </c>
      <c r="E373" s="551"/>
      <c r="F373" s="542">
        <v>0.73</v>
      </c>
      <c r="G373" s="32">
        <v>6</v>
      </c>
      <c r="H373" s="542">
        <v>4.38</v>
      </c>
      <c r="I373" s="542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575</v>
      </c>
      <c r="B374" s="54" t="s">
        <v>578</v>
      </c>
      <c r="C374" s="31">
        <v>4301031457</v>
      </c>
      <c r="D374" s="550">
        <v>4607091384802</v>
      </c>
      <c r="E374" s="551"/>
      <c r="F374" s="542">
        <v>0.7</v>
      </c>
      <c r="G374" s="32">
        <v>6</v>
      </c>
      <c r="H374" s="542">
        <v>4.2</v>
      </c>
      <c r="I374" s="542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8"/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69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5">
        <f>IFERROR(X373/H373,"0")+IFERROR(X374/H374,"0")</f>
        <v>0</v>
      </c>
      <c r="Y375" s="545">
        <f>IFERROR(Y373/H373,"0")+IFERROR(Y374/H374,"0")</f>
        <v>0</v>
      </c>
      <c r="Z375" s="545">
        <f>IFERROR(IF(Z373="",0,Z373),"0")+IFERROR(IF(Z374="",0,Z374),"0")</f>
        <v>0</v>
      </c>
      <c r="AA375" s="546"/>
      <c r="AB375" s="546"/>
      <c r="AC375" s="546"/>
    </row>
    <row r="376" spans="1:68" x14ac:dyDescent="0.2">
      <c r="A376" s="558"/>
      <c r="B376" s="558"/>
      <c r="C376" s="558"/>
      <c r="D376" s="558"/>
      <c r="E376" s="558"/>
      <c r="F376" s="558"/>
      <c r="G376" s="558"/>
      <c r="H376" s="558"/>
      <c r="I376" s="558"/>
      <c r="J376" s="558"/>
      <c r="K376" s="558"/>
      <c r="L376" s="558"/>
      <c r="M376" s="558"/>
      <c r="N376" s="558"/>
      <c r="O376" s="569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5">
        <f>IFERROR(SUM(X373:X374),"0")</f>
        <v>0</v>
      </c>
      <c r="Y376" s="545">
        <f>IFERROR(SUM(Y373:Y374),"0")</f>
        <v>0</v>
      </c>
      <c r="Z376" s="37"/>
      <c r="AA376" s="546"/>
      <c r="AB376" s="546"/>
      <c r="AC376" s="546"/>
    </row>
    <row r="377" spans="1:68" ht="14.25" customHeight="1" x14ac:dyDescent="0.25">
      <c r="A377" s="557" t="s">
        <v>73</v>
      </c>
      <c r="B377" s="558"/>
      <c r="C377" s="558"/>
      <c r="D377" s="558"/>
      <c r="E377" s="558"/>
      <c r="F377" s="558"/>
      <c r="G377" s="558"/>
      <c r="H377" s="558"/>
      <c r="I377" s="558"/>
      <c r="J377" s="558"/>
      <c r="K377" s="558"/>
      <c r="L377" s="558"/>
      <c r="M377" s="558"/>
      <c r="N377" s="558"/>
      <c r="O377" s="558"/>
      <c r="P377" s="558"/>
      <c r="Q377" s="558"/>
      <c r="R377" s="558"/>
      <c r="S377" s="558"/>
      <c r="T377" s="558"/>
      <c r="U377" s="558"/>
      <c r="V377" s="558"/>
      <c r="W377" s="558"/>
      <c r="X377" s="558"/>
      <c r="Y377" s="558"/>
      <c r="Z377" s="558"/>
      <c r="AA377" s="539"/>
      <c r="AB377" s="539"/>
      <c r="AC377" s="539"/>
    </row>
    <row r="378" spans="1:68" ht="27" customHeight="1" x14ac:dyDescent="0.25">
      <c r="A378" s="54" t="s">
        <v>580</v>
      </c>
      <c r="B378" s="54" t="s">
        <v>581</v>
      </c>
      <c r="C378" s="31">
        <v>4301051899</v>
      </c>
      <c r="D378" s="550">
        <v>4607091384246</v>
      </c>
      <c r="E378" s="551"/>
      <c r="F378" s="542">
        <v>1.5</v>
      </c>
      <c r="G378" s="32">
        <v>6</v>
      </c>
      <c r="H378" s="542">
        <v>9</v>
      </c>
      <c r="I378" s="542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582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583</v>
      </c>
      <c r="B379" s="54" t="s">
        <v>584</v>
      </c>
      <c r="C379" s="31">
        <v>4301051660</v>
      </c>
      <c r="D379" s="550">
        <v>4607091384253</v>
      </c>
      <c r="E379" s="551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582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583</v>
      </c>
      <c r="B380" s="54" t="s">
        <v>585</v>
      </c>
      <c r="C380" s="31">
        <v>4301052069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727" t="s">
        <v>586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8"/>
      <c r="B381" s="558"/>
      <c r="C381" s="558"/>
      <c r="D381" s="558"/>
      <c r="E381" s="558"/>
      <c r="F381" s="558"/>
      <c r="G381" s="558"/>
      <c r="H381" s="558"/>
      <c r="I381" s="558"/>
      <c r="J381" s="558"/>
      <c r="K381" s="558"/>
      <c r="L381" s="558"/>
      <c r="M381" s="558"/>
      <c r="N381" s="558"/>
      <c r="O381" s="569"/>
      <c r="P381" s="562" t="s">
        <v>71</v>
      </c>
      <c r="Q381" s="563"/>
      <c r="R381" s="563"/>
      <c r="S381" s="563"/>
      <c r="T381" s="563"/>
      <c r="U381" s="563"/>
      <c r="V381" s="564"/>
      <c r="W381" s="37" t="s">
        <v>72</v>
      </c>
      <c r="X381" s="545">
        <f>IFERROR(X378/H378,"0")+IFERROR(X379/H379,"0")+IFERROR(X380/H380,"0")</f>
        <v>0</v>
      </c>
      <c r="Y381" s="545">
        <f>IFERROR(Y378/H378,"0")+IFERROR(Y379/H379,"0")+IFERROR(Y380/H380,"0")</f>
        <v>0</v>
      </c>
      <c r="Z381" s="545">
        <f>IFERROR(IF(Z378="",0,Z378),"0")+IFERROR(IF(Z379="",0,Z379),"0")+IFERROR(IF(Z380="",0,Z380),"0")</f>
        <v>0</v>
      </c>
      <c r="AA381" s="546"/>
      <c r="AB381" s="546"/>
      <c r="AC381" s="546"/>
    </row>
    <row r="382" spans="1:68" x14ac:dyDescent="0.2">
      <c r="A382" s="558"/>
      <c r="B382" s="558"/>
      <c r="C382" s="558"/>
      <c r="D382" s="558"/>
      <c r="E382" s="558"/>
      <c r="F382" s="558"/>
      <c r="G382" s="558"/>
      <c r="H382" s="558"/>
      <c r="I382" s="558"/>
      <c r="J382" s="558"/>
      <c r="K382" s="558"/>
      <c r="L382" s="558"/>
      <c r="M382" s="558"/>
      <c r="N382" s="558"/>
      <c r="O382" s="569"/>
      <c r="P382" s="562" t="s">
        <v>71</v>
      </c>
      <c r="Q382" s="563"/>
      <c r="R382" s="563"/>
      <c r="S382" s="563"/>
      <c r="T382" s="563"/>
      <c r="U382" s="563"/>
      <c r="V382" s="564"/>
      <c r="W382" s="37" t="s">
        <v>69</v>
      </c>
      <c r="X382" s="545">
        <f>IFERROR(SUM(X378:X380),"0")</f>
        <v>0</v>
      </c>
      <c r="Y382" s="545">
        <f>IFERROR(SUM(Y378:Y380),"0")</f>
        <v>0</v>
      </c>
      <c r="Z382" s="37"/>
      <c r="AA382" s="546"/>
      <c r="AB382" s="546"/>
      <c r="AC382" s="546"/>
    </row>
    <row r="383" spans="1:68" ht="27.75" customHeight="1" x14ac:dyDescent="0.2">
      <c r="A383" s="566" t="s">
        <v>588</v>
      </c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48"/>
      <c r="AB383" s="48"/>
      <c r="AC383" s="48"/>
    </row>
    <row r="384" spans="1:68" ht="16.5" customHeight="1" x14ac:dyDescent="0.25">
      <c r="A384" s="559" t="s">
        <v>589</v>
      </c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58"/>
      <c r="P384" s="558"/>
      <c r="Q384" s="558"/>
      <c r="R384" s="558"/>
      <c r="S384" s="558"/>
      <c r="T384" s="558"/>
      <c r="U384" s="558"/>
      <c r="V384" s="558"/>
      <c r="W384" s="558"/>
      <c r="X384" s="558"/>
      <c r="Y384" s="558"/>
      <c r="Z384" s="558"/>
      <c r="AA384" s="538"/>
      <c r="AB384" s="538"/>
      <c r="AC384" s="538"/>
    </row>
    <row r="385" spans="1:68" ht="14.25" customHeight="1" x14ac:dyDescent="0.25">
      <c r="A385" s="557" t="s">
        <v>64</v>
      </c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58"/>
      <c r="P385" s="558"/>
      <c r="Q385" s="558"/>
      <c r="R385" s="558"/>
      <c r="S385" s="558"/>
      <c r="T385" s="558"/>
      <c r="U385" s="558"/>
      <c r="V385" s="558"/>
      <c r="W385" s="558"/>
      <c r="X385" s="558"/>
      <c r="Y385" s="558"/>
      <c r="Z385" s="558"/>
      <c r="AA385" s="539"/>
      <c r="AB385" s="539"/>
      <c r="AC385" s="539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1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68"/>
      <c r="B395" s="558"/>
      <c r="C395" s="558"/>
      <c r="D395" s="558"/>
      <c r="E395" s="558"/>
      <c r="F395" s="558"/>
      <c r="G395" s="558"/>
      <c r="H395" s="558"/>
      <c r="I395" s="558"/>
      <c r="J395" s="558"/>
      <c r="K395" s="558"/>
      <c r="L395" s="558"/>
      <c r="M395" s="558"/>
      <c r="N395" s="558"/>
      <c r="O395" s="569"/>
      <c r="P395" s="562" t="s">
        <v>71</v>
      </c>
      <c r="Q395" s="563"/>
      <c r="R395" s="563"/>
      <c r="S395" s="563"/>
      <c r="T395" s="563"/>
      <c r="U395" s="563"/>
      <c r="V395" s="56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x14ac:dyDescent="0.2">
      <c r="A396" s="558"/>
      <c r="B396" s="558"/>
      <c r="C396" s="558"/>
      <c r="D396" s="558"/>
      <c r="E396" s="558"/>
      <c r="F396" s="558"/>
      <c r="G396" s="558"/>
      <c r="H396" s="558"/>
      <c r="I396" s="558"/>
      <c r="J396" s="558"/>
      <c r="K396" s="558"/>
      <c r="L396" s="558"/>
      <c r="M396" s="558"/>
      <c r="N396" s="558"/>
      <c r="O396" s="569"/>
      <c r="P396" s="562" t="s">
        <v>71</v>
      </c>
      <c r="Q396" s="563"/>
      <c r="R396" s="563"/>
      <c r="S396" s="563"/>
      <c r="T396" s="563"/>
      <c r="U396" s="563"/>
      <c r="V396" s="564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customHeight="1" x14ac:dyDescent="0.25">
      <c r="A397" s="557" t="s">
        <v>73</v>
      </c>
      <c r="B397" s="558"/>
      <c r="C397" s="558"/>
      <c r="D397" s="558"/>
      <c r="E397" s="558"/>
      <c r="F397" s="558"/>
      <c r="G397" s="558"/>
      <c r="H397" s="558"/>
      <c r="I397" s="558"/>
      <c r="J397" s="558"/>
      <c r="K397" s="558"/>
      <c r="L397" s="558"/>
      <c r="M397" s="558"/>
      <c r="N397" s="558"/>
      <c r="O397" s="558"/>
      <c r="P397" s="558"/>
      <c r="Q397" s="558"/>
      <c r="R397" s="558"/>
      <c r="S397" s="558"/>
      <c r="T397" s="558"/>
      <c r="U397" s="558"/>
      <c r="V397" s="558"/>
      <c r="W397" s="558"/>
      <c r="X397" s="558"/>
      <c r="Y397" s="558"/>
      <c r="Z397" s="558"/>
      <c r="AA397" s="539"/>
      <c r="AB397" s="539"/>
      <c r="AC397" s="539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8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68"/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69"/>
      <c r="P400" s="562" t="s">
        <v>71</v>
      </c>
      <c r="Q400" s="563"/>
      <c r="R400" s="563"/>
      <c r="S400" s="563"/>
      <c r="T400" s="563"/>
      <c r="U400" s="563"/>
      <c r="V400" s="56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8"/>
      <c r="B401" s="558"/>
      <c r="C401" s="558"/>
      <c r="D401" s="558"/>
      <c r="E401" s="558"/>
      <c r="F401" s="558"/>
      <c r="G401" s="558"/>
      <c r="H401" s="558"/>
      <c r="I401" s="558"/>
      <c r="J401" s="558"/>
      <c r="K401" s="558"/>
      <c r="L401" s="558"/>
      <c r="M401" s="558"/>
      <c r="N401" s="558"/>
      <c r="O401" s="569"/>
      <c r="P401" s="562" t="s">
        <v>71</v>
      </c>
      <c r="Q401" s="563"/>
      <c r="R401" s="563"/>
      <c r="S401" s="563"/>
      <c r="T401" s="563"/>
      <c r="U401" s="563"/>
      <c r="V401" s="56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620</v>
      </c>
      <c r="B402" s="558"/>
      <c r="C402" s="558"/>
      <c r="D402" s="558"/>
      <c r="E402" s="558"/>
      <c r="F402" s="558"/>
      <c r="G402" s="558"/>
      <c r="H402" s="558"/>
      <c r="I402" s="558"/>
      <c r="J402" s="558"/>
      <c r="K402" s="558"/>
      <c r="L402" s="558"/>
      <c r="M402" s="558"/>
      <c r="N402" s="558"/>
      <c r="O402" s="558"/>
      <c r="P402" s="558"/>
      <c r="Q402" s="558"/>
      <c r="R402" s="558"/>
      <c r="S402" s="558"/>
      <c r="T402" s="558"/>
      <c r="U402" s="558"/>
      <c r="V402" s="558"/>
      <c r="W402" s="558"/>
      <c r="X402" s="558"/>
      <c r="Y402" s="558"/>
      <c r="Z402" s="558"/>
      <c r="AA402" s="538"/>
      <c r="AB402" s="538"/>
      <c r="AC402" s="538"/>
    </row>
    <row r="403" spans="1:68" ht="14.25" customHeight="1" x14ac:dyDescent="0.25">
      <c r="A403" s="557" t="s">
        <v>136</v>
      </c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58"/>
      <c r="P403" s="558"/>
      <c r="Q403" s="558"/>
      <c r="R403" s="558"/>
      <c r="S403" s="558"/>
      <c r="T403" s="558"/>
      <c r="U403" s="558"/>
      <c r="V403" s="558"/>
      <c r="W403" s="558"/>
      <c r="X403" s="558"/>
      <c r="Y403" s="558"/>
      <c r="Z403" s="558"/>
      <c r="AA403" s="539"/>
      <c r="AB403" s="539"/>
      <c r="AC403" s="539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8"/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69"/>
      <c r="P405" s="562" t="s">
        <v>71</v>
      </c>
      <c r="Q405" s="563"/>
      <c r="R405" s="563"/>
      <c r="S405" s="563"/>
      <c r="T405" s="563"/>
      <c r="U405" s="563"/>
      <c r="V405" s="56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8"/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69"/>
      <c r="P406" s="562" t="s">
        <v>71</v>
      </c>
      <c r="Q406" s="563"/>
      <c r="R406" s="563"/>
      <c r="S406" s="563"/>
      <c r="T406" s="563"/>
      <c r="U406" s="563"/>
      <c r="V406" s="56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7" t="s">
        <v>64</v>
      </c>
      <c r="B407" s="558"/>
      <c r="C407" s="558"/>
      <c r="D407" s="558"/>
      <c r="E407" s="558"/>
      <c r="F407" s="558"/>
      <c r="G407" s="558"/>
      <c r="H407" s="558"/>
      <c r="I407" s="558"/>
      <c r="J407" s="558"/>
      <c r="K407" s="558"/>
      <c r="L407" s="558"/>
      <c r="M407" s="558"/>
      <c r="N407" s="558"/>
      <c r="O407" s="558"/>
      <c r="P407" s="558"/>
      <c r="Q407" s="558"/>
      <c r="R407" s="558"/>
      <c r="S407" s="558"/>
      <c r="T407" s="558"/>
      <c r="U407" s="558"/>
      <c r="V407" s="558"/>
      <c r="W407" s="558"/>
      <c r="X407" s="558"/>
      <c r="Y407" s="558"/>
      <c r="Z407" s="558"/>
      <c r="AA407" s="539"/>
      <c r="AB407" s="539"/>
      <c r="AC407" s="539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8"/>
      <c r="B412" s="558"/>
      <c r="C412" s="558"/>
      <c r="D412" s="558"/>
      <c r="E412" s="558"/>
      <c r="F412" s="558"/>
      <c r="G412" s="558"/>
      <c r="H412" s="558"/>
      <c r="I412" s="558"/>
      <c r="J412" s="558"/>
      <c r="K412" s="558"/>
      <c r="L412" s="558"/>
      <c r="M412" s="558"/>
      <c r="N412" s="558"/>
      <c r="O412" s="569"/>
      <c r="P412" s="562" t="s">
        <v>71</v>
      </c>
      <c r="Q412" s="563"/>
      <c r="R412" s="563"/>
      <c r="S412" s="563"/>
      <c r="T412" s="563"/>
      <c r="U412" s="563"/>
      <c r="V412" s="56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8"/>
      <c r="B413" s="558"/>
      <c r="C413" s="558"/>
      <c r="D413" s="558"/>
      <c r="E413" s="558"/>
      <c r="F413" s="558"/>
      <c r="G413" s="558"/>
      <c r="H413" s="558"/>
      <c r="I413" s="558"/>
      <c r="J413" s="558"/>
      <c r="K413" s="558"/>
      <c r="L413" s="558"/>
      <c r="M413" s="558"/>
      <c r="N413" s="558"/>
      <c r="O413" s="569"/>
      <c r="P413" s="562" t="s">
        <v>71</v>
      </c>
      <c r="Q413" s="563"/>
      <c r="R413" s="563"/>
      <c r="S413" s="563"/>
      <c r="T413" s="563"/>
      <c r="U413" s="563"/>
      <c r="V413" s="56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635</v>
      </c>
      <c r="B414" s="558"/>
      <c r="C414" s="558"/>
      <c r="D414" s="558"/>
      <c r="E414" s="558"/>
      <c r="F414" s="558"/>
      <c r="G414" s="558"/>
      <c r="H414" s="558"/>
      <c r="I414" s="558"/>
      <c r="J414" s="558"/>
      <c r="K414" s="558"/>
      <c r="L414" s="558"/>
      <c r="M414" s="558"/>
      <c r="N414" s="558"/>
      <c r="O414" s="558"/>
      <c r="P414" s="558"/>
      <c r="Q414" s="558"/>
      <c r="R414" s="558"/>
      <c r="S414" s="558"/>
      <c r="T414" s="558"/>
      <c r="U414" s="558"/>
      <c r="V414" s="558"/>
      <c r="W414" s="558"/>
      <c r="X414" s="558"/>
      <c r="Y414" s="558"/>
      <c r="Z414" s="558"/>
      <c r="AA414" s="538"/>
      <c r="AB414" s="538"/>
      <c r="AC414" s="538"/>
    </row>
    <row r="415" spans="1:68" ht="14.25" customHeight="1" x14ac:dyDescent="0.25">
      <c r="A415" s="557" t="s">
        <v>64</v>
      </c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58"/>
      <c r="P415" s="558"/>
      <c r="Q415" s="558"/>
      <c r="R415" s="558"/>
      <c r="S415" s="558"/>
      <c r="T415" s="558"/>
      <c r="U415" s="558"/>
      <c r="V415" s="558"/>
      <c r="W415" s="558"/>
      <c r="X415" s="558"/>
      <c r="Y415" s="558"/>
      <c r="Z415" s="558"/>
      <c r="AA415" s="539"/>
      <c r="AB415" s="539"/>
      <c r="AC415" s="539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6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8"/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69"/>
      <c r="P417" s="562" t="s">
        <v>71</v>
      </c>
      <c r="Q417" s="563"/>
      <c r="R417" s="563"/>
      <c r="S417" s="563"/>
      <c r="T417" s="563"/>
      <c r="U417" s="563"/>
      <c r="V417" s="56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8"/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69"/>
      <c r="P418" s="562" t="s">
        <v>71</v>
      </c>
      <c r="Q418" s="563"/>
      <c r="R418" s="563"/>
      <c r="S418" s="563"/>
      <c r="T418" s="563"/>
      <c r="U418" s="563"/>
      <c r="V418" s="56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6" t="s">
        <v>639</v>
      </c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48"/>
      <c r="AB419" s="48"/>
      <c r="AC419" s="48"/>
    </row>
    <row r="420" spans="1:68" ht="16.5" customHeight="1" x14ac:dyDescent="0.25">
      <c r="A420" s="559" t="s">
        <v>639</v>
      </c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58"/>
      <c r="P420" s="558"/>
      <c r="Q420" s="558"/>
      <c r="R420" s="558"/>
      <c r="S420" s="558"/>
      <c r="T420" s="558"/>
      <c r="U420" s="558"/>
      <c r="V420" s="558"/>
      <c r="W420" s="558"/>
      <c r="X420" s="558"/>
      <c r="Y420" s="558"/>
      <c r="Z420" s="558"/>
      <c r="AA420" s="538"/>
      <c r="AB420" s="538"/>
      <c r="AC420" s="538"/>
    </row>
    <row r="421" spans="1:68" ht="14.25" customHeight="1" x14ac:dyDescent="0.25">
      <c r="A421" s="557" t="s">
        <v>101</v>
      </c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58"/>
      <c r="P421" s="558"/>
      <c r="Q421" s="558"/>
      <c r="R421" s="558"/>
      <c r="S421" s="558"/>
      <c r="T421" s="558"/>
      <c r="U421" s="558"/>
      <c r="V421" s="558"/>
      <c r="W421" s="558"/>
      <c r="X421" s="558"/>
      <c r="Y421" s="558"/>
      <c r="Z421" s="558"/>
      <c r="AA421" s="539"/>
      <c r="AB421" s="539"/>
      <c r="AC421" s="539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4301012145</v>
      </c>
      <c r="D423" s="550">
        <v>4607091383522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5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4301011961</v>
      </c>
      <c r="D424" s="550">
        <v>4680115885271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106</v>
      </c>
      <c r="N424" s="33"/>
      <c r="O424" s="32">
        <v>60</v>
      </c>
      <c r="P424" s="70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647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4301011376</v>
      </c>
      <c r="D425" s="550">
        <v>4680115885226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 t="s">
        <v>105</v>
      </c>
      <c r="M425" s="33" t="s">
        <v>77</v>
      </c>
      <c r="N425" s="33"/>
      <c r="O425" s="32">
        <v>60</v>
      </c>
      <c r="P425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650</v>
      </c>
      <c r="AG425" s="64"/>
      <c r="AJ425" s="68" t="s">
        <v>90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651</v>
      </c>
      <c r="B426" s="54" t="s">
        <v>652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656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647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7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666</v>
      </c>
      <c r="B432" s="54" t="s">
        <v>667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656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68"/>
      <c r="B433" s="558"/>
      <c r="C433" s="558"/>
      <c r="D433" s="558"/>
      <c r="E433" s="558"/>
      <c r="F433" s="558"/>
      <c r="G433" s="558"/>
      <c r="H433" s="558"/>
      <c r="I433" s="558"/>
      <c r="J433" s="558"/>
      <c r="K433" s="558"/>
      <c r="L433" s="558"/>
      <c r="M433" s="558"/>
      <c r="N433" s="558"/>
      <c r="O433" s="569"/>
      <c r="P433" s="562" t="s">
        <v>71</v>
      </c>
      <c r="Q433" s="563"/>
      <c r="R433" s="563"/>
      <c r="S433" s="563"/>
      <c r="T433" s="563"/>
      <c r="U433" s="563"/>
      <c r="V433" s="56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x14ac:dyDescent="0.2">
      <c r="A434" s="558"/>
      <c r="B434" s="558"/>
      <c r="C434" s="558"/>
      <c r="D434" s="558"/>
      <c r="E434" s="558"/>
      <c r="F434" s="558"/>
      <c r="G434" s="558"/>
      <c r="H434" s="558"/>
      <c r="I434" s="558"/>
      <c r="J434" s="558"/>
      <c r="K434" s="558"/>
      <c r="L434" s="558"/>
      <c r="M434" s="558"/>
      <c r="N434" s="558"/>
      <c r="O434" s="569"/>
      <c r="P434" s="562" t="s">
        <v>71</v>
      </c>
      <c r="Q434" s="563"/>
      <c r="R434" s="563"/>
      <c r="S434" s="563"/>
      <c r="T434" s="563"/>
      <c r="U434" s="563"/>
      <c r="V434" s="564"/>
      <c r="W434" s="37" t="s">
        <v>69</v>
      </c>
      <c r="X434" s="545">
        <f>IFERROR(SUM(X422:X432),"0")</f>
        <v>0</v>
      </c>
      <c r="Y434" s="545">
        <f>IFERROR(SUM(Y422:Y432),"0")</f>
        <v>0</v>
      </c>
      <c r="Z434" s="37"/>
      <c r="AA434" s="546"/>
      <c r="AB434" s="546"/>
      <c r="AC434" s="546"/>
    </row>
    <row r="435" spans="1:68" ht="14.25" customHeight="1" x14ac:dyDescent="0.25">
      <c r="A435" s="557" t="s">
        <v>136</v>
      </c>
      <c r="B435" s="558"/>
      <c r="C435" s="558"/>
      <c r="D435" s="558"/>
      <c r="E435" s="558"/>
      <c r="F435" s="558"/>
      <c r="G435" s="558"/>
      <c r="H435" s="558"/>
      <c r="I435" s="558"/>
      <c r="J435" s="558"/>
      <c r="K435" s="558"/>
      <c r="L435" s="558"/>
      <c r="M435" s="558"/>
      <c r="N435" s="558"/>
      <c r="O435" s="558"/>
      <c r="P435" s="558"/>
      <c r="Q435" s="558"/>
      <c r="R435" s="558"/>
      <c r="S435" s="558"/>
      <c r="T435" s="558"/>
      <c r="U435" s="558"/>
      <c r="V435" s="558"/>
      <c r="W435" s="558"/>
      <c r="X435" s="558"/>
      <c r="Y435" s="558"/>
      <c r="Z435" s="558"/>
      <c r="AA435" s="539"/>
      <c r="AB435" s="539"/>
      <c r="AC435" s="539"/>
    </row>
    <row r="436" spans="1:68" ht="16.5" customHeight="1" x14ac:dyDescent="0.25">
      <c r="A436" s="54" t="s">
        <v>668</v>
      </c>
      <c r="B436" s="54" t="s">
        <v>669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670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673</v>
      </c>
      <c r="B438" s="54" t="s">
        <v>674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68"/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69"/>
      <c r="P439" s="562" t="s">
        <v>71</v>
      </c>
      <c r="Q439" s="563"/>
      <c r="R439" s="563"/>
      <c r="S439" s="563"/>
      <c r="T439" s="563"/>
      <c r="U439" s="563"/>
      <c r="V439" s="564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x14ac:dyDescent="0.2">
      <c r="A440" s="558"/>
      <c r="B440" s="558"/>
      <c r="C440" s="558"/>
      <c r="D440" s="558"/>
      <c r="E440" s="558"/>
      <c r="F440" s="558"/>
      <c r="G440" s="558"/>
      <c r="H440" s="558"/>
      <c r="I440" s="558"/>
      <c r="J440" s="558"/>
      <c r="K440" s="558"/>
      <c r="L440" s="558"/>
      <c r="M440" s="558"/>
      <c r="N440" s="558"/>
      <c r="O440" s="569"/>
      <c r="P440" s="562" t="s">
        <v>71</v>
      </c>
      <c r="Q440" s="563"/>
      <c r="R440" s="563"/>
      <c r="S440" s="563"/>
      <c r="T440" s="563"/>
      <c r="U440" s="563"/>
      <c r="V440" s="564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customHeight="1" x14ac:dyDescent="0.25">
      <c r="A441" s="557" t="s">
        <v>64</v>
      </c>
      <c r="B441" s="558"/>
      <c r="C441" s="558"/>
      <c r="D441" s="558"/>
      <c r="E441" s="558"/>
      <c r="F441" s="558"/>
      <c r="G441" s="558"/>
      <c r="H441" s="558"/>
      <c r="I441" s="558"/>
      <c r="J441" s="558"/>
      <c r="K441" s="558"/>
      <c r="L441" s="558"/>
      <c r="M441" s="558"/>
      <c r="N441" s="558"/>
      <c r="O441" s="558"/>
      <c r="P441" s="558"/>
      <c r="Q441" s="558"/>
      <c r="R441" s="558"/>
      <c r="S441" s="558"/>
      <c r="T441" s="558"/>
      <c r="U441" s="558"/>
      <c r="V441" s="558"/>
      <c r="W441" s="558"/>
      <c r="X441" s="558"/>
      <c r="Y441" s="558"/>
      <c r="Z441" s="558"/>
      <c r="AA441" s="539"/>
      <c r="AB441" s="539"/>
      <c r="AC441" s="539"/>
    </row>
    <row r="442" spans="1:68" ht="27" customHeight="1" x14ac:dyDescent="0.25">
      <c r="A442" s="54" t="s">
        <v>675</v>
      </c>
      <c r="B442" s="54" t="s">
        <v>676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681</v>
      </c>
      <c r="B444" s="54" t="s">
        <v>682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683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683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68"/>
      <c r="B448" s="558"/>
      <c r="C448" s="558"/>
      <c r="D448" s="558"/>
      <c r="E448" s="558"/>
      <c r="F448" s="558"/>
      <c r="G448" s="558"/>
      <c r="H448" s="558"/>
      <c r="I448" s="558"/>
      <c r="J448" s="558"/>
      <c r="K448" s="558"/>
      <c r="L448" s="558"/>
      <c r="M448" s="558"/>
      <c r="N448" s="558"/>
      <c r="O448" s="569"/>
      <c r="P448" s="562" t="s">
        <v>71</v>
      </c>
      <c r="Q448" s="563"/>
      <c r="R448" s="563"/>
      <c r="S448" s="563"/>
      <c r="T448" s="563"/>
      <c r="U448" s="563"/>
      <c r="V448" s="564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x14ac:dyDescent="0.2">
      <c r="A449" s="558"/>
      <c r="B449" s="558"/>
      <c r="C449" s="558"/>
      <c r="D449" s="558"/>
      <c r="E449" s="558"/>
      <c r="F449" s="558"/>
      <c r="G449" s="558"/>
      <c r="H449" s="558"/>
      <c r="I449" s="558"/>
      <c r="J449" s="558"/>
      <c r="K449" s="558"/>
      <c r="L449" s="558"/>
      <c r="M449" s="558"/>
      <c r="N449" s="558"/>
      <c r="O449" s="569"/>
      <c r="P449" s="562" t="s">
        <v>71</v>
      </c>
      <c r="Q449" s="563"/>
      <c r="R449" s="563"/>
      <c r="S449" s="563"/>
      <c r="T449" s="563"/>
      <c r="U449" s="563"/>
      <c r="V449" s="564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customHeight="1" x14ac:dyDescent="0.25">
      <c r="A450" s="557" t="s">
        <v>73</v>
      </c>
      <c r="B450" s="558"/>
      <c r="C450" s="558"/>
      <c r="D450" s="558"/>
      <c r="E450" s="558"/>
      <c r="F450" s="558"/>
      <c r="G450" s="558"/>
      <c r="H450" s="558"/>
      <c r="I450" s="558"/>
      <c r="J450" s="558"/>
      <c r="K450" s="558"/>
      <c r="L450" s="558"/>
      <c r="M450" s="558"/>
      <c r="N450" s="558"/>
      <c r="O450" s="558"/>
      <c r="P450" s="558"/>
      <c r="Q450" s="558"/>
      <c r="R450" s="558"/>
      <c r="S450" s="558"/>
      <c r="T450" s="558"/>
      <c r="U450" s="558"/>
      <c r="V450" s="558"/>
      <c r="W450" s="558"/>
      <c r="X450" s="558"/>
      <c r="Y450" s="558"/>
      <c r="Z450" s="558"/>
      <c r="AA450" s="539"/>
      <c r="AB450" s="539"/>
      <c r="AC450" s="539"/>
    </row>
    <row r="451" spans="1:68" ht="16.5" customHeight="1" x14ac:dyDescent="0.25">
      <c r="A451" s="54" t="s">
        <v>690</v>
      </c>
      <c r="B451" s="54" t="s">
        <v>691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693</v>
      </c>
      <c r="B452" s="54" t="s">
        <v>694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696</v>
      </c>
      <c r="B453" s="54" t="s">
        <v>697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68"/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69"/>
      <c r="P454" s="562" t="s">
        <v>71</v>
      </c>
      <c r="Q454" s="563"/>
      <c r="R454" s="563"/>
      <c r="S454" s="563"/>
      <c r="T454" s="563"/>
      <c r="U454" s="563"/>
      <c r="V454" s="56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8"/>
      <c r="B455" s="558"/>
      <c r="C455" s="558"/>
      <c r="D455" s="558"/>
      <c r="E455" s="558"/>
      <c r="F455" s="558"/>
      <c r="G455" s="558"/>
      <c r="H455" s="558"/>
      <c r="I455" s="558"/>
      <c r="J455" s="558"/>
      <c r="K455" s="558"/>
      <c r="L455" s="558"/>
      <c r="M455" s="558"/>
      <c r="N455" s="558"/>
      <c r="O455" s="569"/>
      <c r="P455" s="562" t="s">
        <v>71</v>
      </c>
      <c r="Q455" s="563"/>
      <c r="R455" s="563"/>
      <c r="S455" s="563"/>
      <c r="T455" s="563"/>
      <c r="U455" s="563"/>
      <c r="V455" s="56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6" t="s">
        <v>699</v>
      </c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48"/>
      <c r="AB456" s="48"/>
      <c r="AC456" s="48"/>
    </row>
    <row r="457" spans="1:68" ht="16.5" customHeight="1" x14ac:dyDescent="0.25">
      <c r="A457" s="559" t="s">
        <v>699</v>
      </c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58"/>
      <c r="P457" s="558"/>
      <c r="Q457" s="558"/>
      <c r="R457" s="558"/>
      <c r="S457" s="558"/>
      <c r="T457" s="558"/>
      <c r="U457" s="558"/>
      <c r="V457" s="558"/>
      <c r="W457" s="558"/>
      <c r="X457" s="558"/>
      <c r="Y457" s="558"/>
      <c r="Z457" s="558"/>
      <c r="AA457" s="538"/>
      <c r="AB457" s="538"/>
      <c r="AC457" s="538"/>
    </row>
    <row r="458" spans="1:68" ht="14.25" customHeight="1" x14ac:dyDescent="0.25">
      <c r="A458" s="557" t="s">
        <v>101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539"/>
      <c r="AB458" s="539"/>
      <c r="AC458" s="539"/>
    </row>
    <row r="459" spans="1:68" ht="27" customHeight="1" x14ac:dyDescent="0.25">
      <c r="A459" s="54" t="s">
        <v>700</v>
      </c>
      <c r="B459" s="54" t="s">
        <v>701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8"/>
      <c r="B463" s="558"/>
      <c r="C463" s="558"/>
      <c r="D463" s="558"/>
      <c r="E463" s="558"/>
      <c r="F463" s="558"/>
      <c r="G463" s="558"/>
      <c r="H463" s="558"/>
      <c r="I463" s="558"/>
      <c r="J463" s="558"/>
      <c r="K463" s="558"/>
      <c r="L463" s="558"/>
      <c r="M463" s="558"/>
      <c r="N463" s="558"/>
      <c r="O463" s="569"/>
      <c r="P463" s="562" t="s">
        <v>71</v>
      </c>
      <c r="Q463" s="563"/>
      <c r="R463" s="563"/>
      <c r="S463" s="563"/>
      <c r="T463" s="563"/>
      <c r="U463" s="563"/>
      <c r="V463" s="564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8"/>
      <c r="B464" s="558"/>
      <c r="C464" s="558"/>
      <c r="D464" s="558"/>
      <c r="E464" s="558"/>
      <c r="F464" s="558"/>
      <c r="G464" s="558"/>
      <c r="H464" s="558"/>
      <c r="I464" s="558"/>
      <c r="J464" s="558"/>
      <c r="K464" s="558"/>
      <c r="L464" s="558"/>
      <c r="M464" s="558"/>
      <c r="N464" s="558"/>
      <c r="O464" s="569"/>
      <c r="P464" s="562" t="s">
        <v>71</v>
      </c>
      <c r="Q464" s="563"/>
      <c r="R464" s="563"/>
      <c r="S464" s="563"/>
      <c r="T464" s="563"/>
      <c r="U464" s="563"/>
      <c r="V464" s="564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7" t="s">
        <v>136</v>
      </c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58"/>
      <c r="P465" s="558"/>
      <c r="Q465" s="558"/>
      <c r="R465" s="558"/>
      <c r="S465" s="558"/>
      <c r="T465" s="558"/>
      <c r="U465" s="558"/>
      <c r="V465" s="558"/>
      <c r="W465" s="558"/>
      <c r="X465" s="558"/>
      <c r="Y465" s="558"/>
      <c r="Z465" s="558"/>
      <c r="AA465" s="539"/>
      <c r="AB465" s="539"/>
      <c r="AC465" s="539"/>
    </row>
    <row r="466" spans="1:68" ht="27" customHeight="1" x14ac:dyDescent="0.25">
      <c r="A466" s="54" t="s">
        <v>711</v>
      </c>
      <c r="B466" s="54" t="s">
        <v>712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8"/>
      <c r="B469" s="558"/>
      <c r="C469" s="558"/>
      <c r="D469" s="558"/>
      <c r="E469" s="558"/>
      <c r="F469" s="558"/>
      <c r="G469" s="558"/>
      <c r="H469" s="558"/>
      <c r="I469" s="558"/>
      <c r="J469" s="558"/>
      <c r="K469" s="558"/>
      <c r="L469" s="558"/>
      <c r="M469" s="558"/>
      <c r="N469" s="558"/>
      <c r="O469" s="569"/>
      <c r="P469" s="562" t="s">
        <v>71</v>
      </c>
      <c r="Q469" s="563"/>
      <c r="R469" s="563"/>
      <c r="S469" s="563"/>
      <c r="T469" s="563"/>
      <c r="U469" s="563"/>
      <c r="V469" s="56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2" t="s">
        <v>71</v>
      </c>
      <c r="Q470" s="563"/>
      <c r="R470" s="563"/>
      <c r="S470" s="563"/>
      <c r="T470" s="563"/>
      <c r="U470" s="563"/>
      <c r="V470" s="56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7" t="s">
        <v>64</v>
      </c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58"/>
      <c r="P471" s="558"/>
      <c r="Q471" s="558"/>
      <c r="R471" s="558"/>
      <c r="S471" s="558"/>
      <c r="T471" s="558"/>
      <c r="U471" s="558"/>
      <c r="V471" s="558"/>
      <c r="W471" s="558"/>
      <c r="X471" s="558"/>
      <c r="Y471" s="558"/>
      <c r="Z471" s="558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8"/>
      <c r="B474" s="558"/>
      <c r="C474" s="558"/>
      <c r="D474" s="558"/>
      <c r="E474" s="558"/>
      <c r="F474" s="558"/>
      <c r="G474" s="558"/>
      <c r="H474" s="558"/>
      <c r="I474" s="558"/>
      <c r="J474" s="558"/>
      <c r="K474" s="558"/>
      <c r="L474" s="558"/>
      <c r="M474" s="558"/>
      <c r="N474" s="558"/>
      <c r="O474" s="569"/>
      <c r="P474" s="562" t="s">
        <v>71</v>
      </c>
      <c r="Q474" s="563"/>
      <c r="R474" s="563"/>
      <c r="S474" s="563"/>
      <c r="T474" s="563"/>
      <c r="U474" s="563"/>
      <c r="V474" s="564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2" t="s">
        <v>71</v>
      </c>
      <c r="Q475" s="563"/>
      <c r="R475" s="563"/>
      <c r="S475" s="563"/>
      <c r="T475" s="563"/>
      <c r="U475" s="563"/>
      <c r="V475" s="564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7" t="s">
        <v>73</v>
      </c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58"/>
      <c r="P476" s="558"/>
      <c r="Q476" s="558"/>
      <c r="R476" s="558"/>
      <c r="S476" s="558"/>
      <c r="T476" s="558"/>
      <c r="U476" s="558"/>
      <c r="V476" s="558"/>
      <c r="W476" s="558"/>
      <c r="X476" s="558"/>
      <c r="Y476" s="558"/>
      <c r="Z476" s="558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8"/>
      <c r="B478" s="558"/>
      <c r="C478" s="558"/>
      <c r="D478" s="558"/>
      <c r="E478" s="558"/>
      <c r="F478" s="558"/>
      <c r="G478" s="558"/>
      <c r="H478" s="558"/>
      <c r="I478" s="558"/>
      <c r="J478" s="558"/>
      <c r="K478" s="558"/>
      <c r="L478" s="558"/>
      <c r="M478" s="558"/>
      <c r="N478" s="558"/>
      <c r="O478" s="569"/>
      <c r="P478" s="562" t="s">
        <v>71</v>
      </c>
      <c r="Q478" s="563"/>
      <c r="R478" s="563"/>
      <c r="S478" s="563"/>
      <c r="T478" s="563"/>
      <c r="U478" s="563"/>
      <c r="V478" s="564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2" t="s">
        <v>71</v>
      </c>
      <c r="Q479" s="563"/>
      <c r="R479" s="563"/>
      <c r="S479" s="563"/>
      <c r="T479" s="563"/>
      <c r="U479" s="563"/>
      <c r="V479" s="564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7" t="s">
        <v>164</v>
      </c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58"/>
      <c r="P480" s="558"/>
      <c r="Q480" s="558"/>
      <c r="R480" s="558"/>
      <c r="S480" s="558"/>
      <c r="T480" s="558"/>
      <c r="U480" s="558"/>
      <c r="V480" s="558"/>
      <c r="W480" s="558"/>
      <c r="X480" s="558"/>
      <c r="Y480" s="558"/>
      <c r="Z480" s="558"/>
      <c r="AA480" s="539"/>
      <c r="AB480" s="539"/>
      <c r="AC480" s="539"/>
    </row>
    <row r="481" spans="1:68" ht="27" customHeight="1" x14ac:dyDescent="0.25">
      <c r="A481" s="54" t="s">
        <v>729</v>
      </c>
      <c r="B481" s="54" t="s">
        <v>730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68"/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69"/>
      <c r="P483" s="562" t="s">
        <v>71</v>
      </c>
      <c r="Q483" s="563"/>
      <c r="R483" s="563"/>
      <c r="S483" s="563"/>
      <c r="T483" s="563"/>
      <c r="U483" s="563"/>
      <c r="V483" s="56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2" t="s">
        <v>71</v>
      </c>
      <c r="Q484" s="563"/>
      <c r="R484" s="563"/>
      <c r="S484" s="563"/>
      <c r="T484" s="563"/>
      <c r="U484" s="563"/>
      <c r="V484" s="56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735</v>
      </c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58"/>
      <c r="P485" s="558"/>
      <c r="Q485" s="558"/>
      <c r="R485" s="558"/>
      <c r="S485" s="558"/>
      <c r="T485" s="558"/>
      <c r="U485" s="558"/>
      <c r="V485" s="558"/>
      <c r="W485" s="558"/>
      <c r="X485" s="558"/>
      <c r="Y485" s="558"/>
      <c r="Z485" s="558"/>
      <c r="AA485" s="538"/>
      <c r="AB485" s="538"/>
      <c r="AC485" s="538"/>
    </row>
    <row r="486" spans="1:68" ht="14.25" customHeight="1" x14ac:dyDescent="0.25">
      <c r="A486" s="557" t="s">
        <v>136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39"/>
      <c r="AB486" s="539"/>
      <c r="AC486" s="539"/>
    </row>
    <row r="487" spans="1:68" ht="27" customHeight="1" x14ac:dyDescent="0.25">
      <c r="A487" s="54" t="s">
        <v>736</v>
      </c>
      <c r="B487" s="54" t="s">
        <v>737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8"/>
      <c r="B488" s="558"/>
      <c r="C488" s="558"/>
      <c r="D488" s="558"/>
      <c r="E488" s="558"/>
      <c r="F488" s="558"/>
      <c r="G488" s="558"/>
      <c r="H488" s="558"/>
      <c r="I488" s="558"/>
      <c r="J488" s="558"/>
      <c r="K488" s="558"/>
      <c r="L488" s="558"/>
      <c r="M488" s="558"/>
      <c r="N488" s="558"/>
      <c r="O488" s="569"/>
      <c r="P488" s="562" t="s">
        <v>71</v>
      </c>
      <c r="Q488" s="563"/>
      <c r="R488" s="563"/>
      <c r="S488" s="563"/>
      <c r="T488" s="563"/>
      <c r="U488" s="563"/>
      <c r="V488" s="56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2" t="s">
        <v>71</v>
      </c>
      <c r="Q489" s="563"/>
      <c r="R489" s="563"/>
      <c r="S489" s="563"/>
      <c r="T489" s="563"/>
      <c r="U489" s="563"/>
      <c r="V489" s="56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5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705"/>
      <c r="P490" s="637" t="s">
        <v>739</v>
      </c>
      <c r="Q490" s="638"/>
      <c r="R490" s="638"/>
      <c r="S490" s="638"/>
      <c r="T490" s="638"/>
      <c r="U490" s="638"/>
      <c r="V490" s="639"/>
      <c r="W490" s="37" t="s">
        <v>69</v>
      </c>
      <c r="X490" s="545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5000</v>
      </c>
      <c r="Y490" s="545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5019</v>
      </c>
      <c r="Z490" s="37"/>
      <c r="AA490" s="546"/>
      <c r="AB490" s="546"/>
      <c r="AC490" s="546"/>
    </row>
    <row r="491" spans="1:68" x14ac:dyDescent="0.2">
      <c r="A491" s="55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05"/>
      <c r="P491" s="637" t="s">
        <v>740</v>
      </c>
      <c r="Q491" s="638"/>
      <c r="R491" s="638"/>
      <c r="S491" s="638"/>
      <c r="T491" s="638"/>
      <c r="U491" s="638"/>
      <c r="V491" s="639"/>
      <c r="W491" s="37" t="s">
        <v>69</v>
      </c>
      <c r="X491" s="545">
        <f>IFERROR(SUM(BM22:BM487),"0")</f>
        <v>5225.7578347578346</v>
      </c>
      <c r="Y491" s="545">
        <f>IFERROR(SUM(BN22:BN487),"0")</f>
        <v>5245.5259999999998</v>
      </c>
      <c r="Z491" s="37"/>
      <c r="AA491" s="546"/>
      <c r="AB491" s="546"/>
      <c r="AC491" s="546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05"/>
      <c r="P492" s="637" t="s">
        <v>741</v>
      </c>
      <c r="Q492" s="638"/>
      <c r="R492" s="638"/>
      <c r="S492" s="638"/>
      <c r="T492" s="638"/>
      <c r="U492" s="638"/>
      <c r="V492" s="639"/>
      <c r="W492" s="37" t="s">
        <v>742</v>
      </c>
      <c r="X492" s="38">
        <f>ROUNDUP(SUM(BO22:BO487),0)</f>
        <v>9</v>
      </c>
      <c r="Y492" s="38">
        <f>ROUNDUP(SUM(BP22:BP487),0)</f>
        <v>9</v>
      </c>
      <c r="Z492" s="37"/>
      <c r="AA492" s="546"/>
      <c r="AB492" s="546"/>
      <c r="AC492" s="546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05"/>
      <c r="P493" s="637" t="s">
        <v>743</v>
      </c>
      <c r="Q493" s="638"/>
      <c r="R493" s="638"/>
      <c r="S493" s="638"/>
      <c r="T493" s="638"/>
      <c r="U493" s="638"/>
      <c r="V493" s="639"/>
      <c r="W493" s="37" t="s">
        <v>69</v>
      </c>
      <c r="X493" s="545">
        <f>GrossWeightTotal+PalletQtyTotal*25</f>
        <v>5450.7578347578346</v>
      </c>
      <c r="Y493" s="545">
        <f>GrossWeightTotalR+PalletQtyTotalR*25</f>
        <v>5470.5259999999998</v>
      </c>
      <c r="Z493" s="37"/>
      <c r="AA493" s="546"/>
      <c r="AB493" s="546"/>
      <c r="AC493" s="546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05"/>
      <c r="P494" s="637" t="s">
        <v>744</v>
      </c>
      <c r="Q494" s="638"/>
      <c r="R494" s="638"/>
      <c r="S494" s="638"/>
      <c r="T494" s="638"/>
      <c r="U494" s="638"/>
      <c r="V494" s="639"/>
      <c r="W494" s="37" t="s">
        <v>742</v>
      </c>
      <c r="X494" s="545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482.33618233618233</v>
      </c>
      <c r="Y494" s="545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484</v>
      </c>
      <c r="Z494" s="37"/>
      <c r="AA494" s="546"/>
      <c r="AB494" s="546"/>
      <c r="AC494" s="546"/>
    </row>
    <row r="495" spans="1:68" ht="14.25" customHeight="1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05"/>
      <c r="P495" s="637" t="s">
        <v>745</v>
      </c>
      <c r="Q495" s="638"/>
      <c r="R495" s="638"/>
      <c r="S495" s="638"/>
      <c r="T495" s="638"/>
      <c r="U495" s="638"/>
      <c r="V495" s="639"/>
      <c r="W495" s="39" t="s">
        <v>746</v>
      </c>
      <c r="X495" s="37"/>
      <c r="Y495" s="37"/>
      <c r="Z495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9.5574999999999992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8" t="s">
        <v>99</v>
      </c>
      <c r="D497" s="601"/>
      <c r="E497" s="601"/>
      <c r="F497" s="601"/>
      <c r="G497" s="601"/>
      <c r="H497" s="602"/>
      <c r="I497" s="598" t="s">
        <v>250</v>
      </c>
      <c r="J497" s="601"/>
      <c r="K497" s="601"/>
      <c r="L497" s="601"/>
      <c r="M497" s="601"/>
      <c r="N497" s="601"/>
      <c r="O497" s="601"/>
      <c r="P497" s="601"/>
      <c r="Q497" s="601"/>
      <c r="R497" s="602"/>
      <c r="S497" s="598" t="s">
        <v>533</v>
      </c>
      <c r="T497" s="602"/>
      <c r="U497" s="598" t="s">
        <v>588</v>
      </c>
      <c r="V497" s="601"/>
      <c r="W497" s="602"/>
      <c r="X497" s="540" t="s">
        <v>639</v>
      </c>
      <c r="Y497" s="598" t="s">
        <v>699</v>
      </c>
      <c r="Z497" s="602"/>
      <c r="AB497" s="52"/>
      <c r="AC497" s="52"/>
      <c r="AF497" s="541"/>
    </row>
    <row r="498" spans="1:32" ht="14.25" customHeight="1" thickTop="1" x14ac:dyDescent="0.2">
      <c r="A498" s="614" t="s">
        <v>748</v>
      </c>
      <c r="B498" s="598" t="s">
        <v>63</v>
      </c>
      <c r="C498" s="598" t="s">
        <v>100</v>
      </c>
      <c r="D498" s="598" t="s">
        <v>117</v>
      </c>
      <c r="E498" s="598" t="s">
        <v>171</v>
      </c>
      <c r="F498" s="598" t="s">
        <v>190</v>
      </c>
      <c r="G498" s="598" t="s">
        <v>220</v>
      </c>
      <c r="H498" s="598" t="s">
        <v>99</v>
      </c>
      <c r="I498" s="598" t="s">
        <v>251</v>
      </c>
      <c r="J498" s="598" t="s">
        <v>296</v>
      </c>
      <c r="K498" s="598" t="s">
        <v>355</v>
      </c>
      <c r="L498" s="598" t="s">
        <v>397</v>
      </c>
      <c r="M498" s="598" t="s">
        <v>413</v>
      </c>
      <c r="N498" s="541"/>
      <c r="O498" s="598" t="s">
        <v>424</v>
      </c>
      <c r="P498" s="598" t="s">
        <v>433</v>
      </c>
      <c r="Q498" s="598" t="s">
        <v>446</v>
      </c>
      <c r="R498" s="598" t="s">
        <v>523</v>
      </c>
      <c r="S498" s="598" t="s">
        <v>534</v>
      </c>
      <c r="T498" s="598" t="s">
        <v>569</v>
      </c>
      <c r="U498" s="598" t="s">
        <v>589</v>
      </c>
      <c r="V498" s="598" t="s">
        <v>620</v>
      </c>
      <c r="W498" s="598" t="s">
        <v>635</v>
      </c>
      <c r="X498" s="598" t="s">
        <v>639</v>
      </c>
      <c r="Y498" s="598" t="s">
        <v>699</v>
      </c>
      <c r="Z498" s="598" t="s">
        <v>735</v>
      </c>
      <c r="AB498" s="52"/>
      <c r="AC498" s="52"/>
      <c r="AF498" s="541"/>
    </row>
    <row r="499" spans="1:32" ht="13.5" customHeight="1" thickBot="1" x14ac:dyDescent="0.25">
      <c r="A499" s="615"/>
      <c r="B499" s="599"/>
      <c r="C499" s="599"/>
      <c r="D499" s="599"/>
      <c r="E499" s="599"/>
      <c r="F499" s="599"/>
      <c r="G499" s="599"/>
      <c r="H499" s="599"/>
      <c r="I499" s="599"/>
      <c r="J499" s="599"/>
      <c r="K499" s="599"/>
      <c r="L499" s="599"/>
      <c r="M499" s="599"/>
      <c r="N499" s="541"/>
      <c r="O499" s="599"/>
      <c r="P499" s="599"/>
      <c r="Q499" s="599"/>
      <c r="R499" s="599"/>
      <c r="S499" s="599"/>
      <c r="T499" s="599"/>
      <c r="U499" s="599"/>
      <c r="V499" s="599"/>
      <c r="W499" s="599"/>
      <c r="X499" s="599"/>
      <c r="Y499" s="599"/>
      <c r="Z499" s="599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500" s="46">
        <f>IFERROR(Y85*1,"0")+IFERROR(Y86*1,"0")+IFERROR(Y87*1,"0")+IFERROR(Y91*1,"0")+IFERROR(Y92*1,"0")+IFERROR(Y93*1,"0")+IFERROR(Y94*1,"0")</f>
        <v>0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IFERROR(Y140*1,"0")+IFERROR(Y141*1,"0")+IFERROR(Y145*1,"0")+IFERROR(Y146*1,"0")+IFERROR(Y147*1,"0")+IFERROR(Y151*1,"0")</f>
        <v>0</v>
      </c>
      <c r="I500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500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500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500" s="46">
        <f>IFERROR(Y254*1,"0")+IFERROR(Y255*1,"0")+IFERROR(Y256*1,"0")+IFERROR(Y257*1,"0")+IFERROR(Y258*1,"0")</f>
        <v>0</v>
      </c>
      <c r="M500" s="46">
        <f>IFERROR(Y263*1,"0")+IFERROR(Y264*1,"0")+IFERROR(Y265*1,"0")+IFERROR(Y266*1,"0")</f>
        <v>0</v>
      </c>
      <c r="N500" s="541"/>
      <c r="O500" s="46">
        <f>IFERROR(Y271*1,"0")+IFERROR(Y272*1,"0")+IFERROR(Y273*1,"0")</f>
        <v>0</v>
      </c>
      <c r="P500" s="46">
        <f>IFERROR(Y278*1,"0")+IFERROR(Y279*1,"0")+IFERROR(Y283*1,"0")+IFERROR(Y284*1,"0")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3009</v>
      </c>
      <c r="R500" s="46">
        <f>IFERROR(Y335*1,"0")+IFERROR(Y336*1,"0")+IFERROR(Y337*1,"0")</f>
        <v>0</v>
      </c>
      <c r="S500" s="46">
        <f>IFERROR(Y343*1,"0")+IFERROR(Y344*1,"0")+IFERROR(Y345*1,"0")+IFERROR(Y346*1,"0")+IFERROR(Y347*1,"0")+IFERROR(Y348*1,"0")+IFERROR(Y349*1,"0")+IFERROR(Y353*1,"0")+IFERROR(Y354*1,"0")+IFERROR(Y358*1,"0")+IFERROR(Y359*1,"0")+IFERROR(Y363*1,"0")</f>
        <v>2010</v>
      </c>
      <c r="T500" s="46">
        <f>IFERROR(Y368*1,"0")+IFERROR(Y369*1,"0")+IFERROR(Y373*1,"0")+IFERROR(Y374*1,"0")+IFERROR(Y378*1,"0")+IFERROR(Y379*1,"0")+IFERROR(Y380*1,"0")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QALiwLyuFOlIzJLVCMfcomKOTLKo3VehrKvx9TmydSX9ILdda0n1y2GfiwIblZPl+mdLwf5YIJ2t334pdcq6OA==" saltValue="faOA1ZDOyvbIAJfqAJrEO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P202:T202"/>
    <mergeCell ref="X17:X18"/>
    <mergeCell ref="D408:E408"/>
    <mergeCell ref="P216:V216"/>
    <mergeCell ref="A8:C8"/>
    <mergeCell ref="P124:T124"/>
    <mergeCell ref="D293:E293"/>
    <mergeCell ref="P151:T151"/>
    <mergeCell ref="P76:V76"/>
    <mergeCell ref="A128:Z128"/>
    <mergeCell ref="A10:C10"/>
    <mergeCell ref="P361:V361"/>
    <mergeCell ref="A217:Z217"/>
    <mergeCell ref="P218:T218"/>
    <mergeCell ref="P69:V69"/>
    <mergeCell ref="A21:Z21"/>
    <mergeCell ref="A355:O356"/>
    <mergeCell ref="A194:Z194"/>
    <mergeCell ref="P296:V296"/>
    <mergeCell ref="P356:V356"/>
    <mergeCell ref="D42:E42"/>
    <mergeCell ref="D344:E344"/>
    <mergeCell ref="D17:E18"/>
    <mergeCell ref="Q5:R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Q6:R6"/>
    <mergeCell ref="P200:T200"/>
    <mergeCell ref="P134:T134"/>
    <mergeCell ref="P292:T292"/>
    <mergeCell ref="D102:E102"/>
    <mergeCell ref="P81:V81"/>
    <mergeCell ref="A33:Z33"/>
    <mergeCell ref="D196:E196"/>
    <mergeCell ref="A269:Z269"/>
    <mergeCell ref="A126:O127"/>
    <mergeCell ref="P294:T294"/>
    <mergeCell ref="P23:V23"/>
    <mergeCell ref="A262:Z262"/>
    <mergeCell ref="A333:Z333"/>
    <mergeCell ref="M498:M499"/>
    <mergeCell ref="O498:O499"/>
    <mergeCell ref="D249:E249"/>
    <mergeCell ref="A476:Z476"/>
    <mergeCell ref="D170:E170"/>
    <mergeCell ref="P93:T93"/>
    <mergeCell ref="D468:E468"/>
    <mergeCell ref="P132:V132"/>
    <mergeCell ref="P72:T72"/>
    <mergeCell ref="P199:T199"/>
    <mergeCell ref="P436:T436"/>
    <mergeCell ref="A360:O361"/>
    <mergeCell ref="U497:W497"/>
    <mergeCell ref="P381:V381"/>
    <mergeCell ref="D271:E271"/>
    <mergeCell ref="D191:E191"/>
    <mergeCell ref="P368:T368"/>
    <mergeCell ref="A362:Z362"/>
    <mergeCell ref="D237:E237"/>
    <mergeCell ref="P285:V285"/>
    <mergeCell ref="A215:O216"/>
    <mergeCell ref="P85:T85"/>
    <mergeCell ref="A142:O143"/>
    <mergeCell ref="D291:E291"/>
    <mergeCell ref="P493:V493"/>
    <mergeCell ref="D452:E452"/>
    <mergeCell ref="P371:V371"/>
    <mergeCell ref="P408:T408"/>
    <mergeCell ref="D218:E218"/>
    <mergeCell ref="P137:V137"/>
    <mergeCell ref="D247:E247"/>
    <mergeCell ref="P495:V495"/>
    <mergeCell ref="A320:Z320"/>
    <mergeCell ref="P351:V351"/>
    <mergeCell ref="A314:Z314"/>
    <mergeCell ref="P239:V239"/>
    <mergeCell ref="D266:E266"/>
    <mergeCell ref="P174:T174"/>
    <mergeCell ref="P447:T447"/>
    <mergeCell ref="P410:T410"/>
    <mergeCell ref="A415:Z415"/>
    <mergeCell ref="P363:T363"/>
    <mergeCell ref="P373:T373"/>
    <mergeCell ref="AD17:AF18"/>
    <mergeCell ref="P142:V142"/>
    <mergeCell ref="D101:E101"/>
    <mergeCell ref="P117:V117"/>
    <mergeCell ref="F5:G5"/>
    <mergeCell ref="P365:V365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A370:O371"/>
    <mergeCell ref="V11:W11"/>
    <mergeCell ref="D165:E165"/>
    <mergeCell ref="P75:T75"/>
    <mergeCell ref="P406:V406"/>
    <mergeCell ref="P317:T317"/>
    <mergeCell ref="D323:E323"/>
    <mergeCell ref="P146:T146"/>
    <mergeCell ref="D394:E394"/>
    <mergeCell ref="D279:E279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D404:E404"/>
    <mergeCell ref="P312:V31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P376:V376"/>
    <mergeCell ref="D310:E310"/>
    <mergeCell ref="A192:O193"/>
    <mergeCell ref="P492:V492"/>
    <mergeCell ref="A103:O104"/>
    <mergeCell ref="P286:V286"/>
    <mergeCell ref="P479:V479"/>
    <mergeCell ref="M17:M18"/>
    <mergeCell ref="O17:O18"/>
    <mergeCell ref="C498:C499"/>
    <mergeCell ref="P336:T336"/>
    <mergeCell ref="P187:V187"/>
    <mergeCell ref="E498:E499"/>
    <mergeCell ref="P131:V131"/>
    <mergeCell ref="P494:V494"/>
    <mergeCell ref="P430:T430"/>
    <mergeCell ref="P350:V350"/>
    <mergeCell ref="A297:Z297"/>
    <mergeCell ref="P102:T102"/>
    <mergeCell ref="P196:T196"/>
    <mergeCell ref="P281:V281"/>
    <mergeCell ref="P354:T354"/>
    <mergeCell ref="D226:E226"/>
    <mergeCell ref="D164:E164"/>
    <mergeCell ref="D462:E462"/>
    <mergeCell ref="P62:T62"/>
    <mergeCell ref="Z498:Z499"/>
    <mergeCell ref="X498:X499"/>
    <mergeCell ref="P474:V474"/>
    <mergeCell ref="P103:V103"/>
    <mergeCell ref="A155:Z155"/>
    <mergeCell ref="P401:V401"/>
    <mergeCell ref="P268:V268"/>
    <mergeCell ref="P339:V339"/>
    <mergeCell ref="P201:T201"/>
    <mergeCell ref="D389:E389"/>
    <mergeCell ref="A318:O319"/>
    <mergeCell ref="P176:T176"/>
    <mergeCell ref="P247:T247"/>
    <mergeCell ref="P114:T114"/>
    <mergeCell ref="P241:T241"/>
    <mergeCell ref="A222:Z222"/>
    <mergeCell ref="D447:E447"/>
    <mergeCell ref="P301:T301"/>
    <mergeCell ref="A400:O401"/>
    <mergeCell ref="D257:E257"/>
    <mergeCell ref="P214:T214"/>
    <mergeCell ref="D213:E213"/>
    <mergeCell ref="A457:Z457"/>
    <mergeCell ref="P192:V192"/>
    <mergeCell ref="D151:E151"/>
    <mergeCell ref="A478:O479"/>
    <mergeCell ref="P348:T348"/>
    <mergeCell ref="D294:E294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D86:E86"/>
    <mergeCell ref="D321:E321"/>
    <mergeCell ref="P278:T278"/>
    <mergeCell ref="P107:T107"/>
    <mergeCell ref="P101:T101"/>
    <mergeCell ref="D386:E386"/>
    <mergeCell ref="P250:V250"/>
    <mergeCell ref="A364:O365"/>
    <mergeCell ref="P469:V469"/>
    <mergeCell ref="A465:Z465"/>
    <mergeCell ref="A136:O137"/>
    <mergeCell ref="P344:T344"/>
    <mergeCell ref="D265:E265"/>
    <mergeCell ref="A463:O464"/>
    <mergeCell ref="P321:T321"/>
    <mergeCell ref="P125:T125"/>
    <mergeCell ref="A9:C9"/>
    <mergeCell ref="D373:E373"/>
    <mergeCell ref="D202:E202"/>
    <mergeCell ref="A242:O243"/>
    <mergeCell ref="A179:Z179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D29:E29"/>
    <mergeCell ref="A20:Z20"/>
    <mergeCell ref="A31:O32"/>
    <mergeCell ref="N17:N18"/>
    <mergeCell ref="F17:F18"/>
    <mergeCell ref="D54:E54"/>
    <mergeCell ref="V12:W1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P399:T399"/>
    <mergeCell ref="P171:V171"/>
    <mergeCell ref="P413:V413"/>
    <mergeCell ref="P242:V242"/>
    <mergeCell ref="A403:Z403"/>
    <mergeCell ref="P382:V382"/>
    <mergeCell ref="D459:E459"/>
    <mergeCell ref="P190:T190"/>
    <mergeCell ref="Y498:Y499"/>
    <mergeCell ref="A412:O413"/>
    <mergeCell ref="D225:E225"/>
    <mergeCell ref="P409:T409"/>
    <mergeCell ref="D461:E461"/>
    <mergeCell ref="P498:P499"/>
    <mergeCell ref="I497:R497"/>
    <mergeCell ref="A90:Z90"/>
    <mergeCell ref="K17:K18"/>
    <mergeCell ref="D446:E446"/>
    <mergeCell ref="A277:Z277"/>
    <mergeCell ref="P44:V44"/>
    <mergeCell ref="H5:M5"/>
    <mergeCell ref="P31:V31"/>
    <mergeCell ref="P158:V158"/>
    <mergeCell ref="A154:Z154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P487:T487"/>
    <mergeCell ref="P343:T343"/>
    <mergeCell ref="A288:Z288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D428:E428"/>
    <mergeCell ref="P40:T40"/>
    <mergeCell ref="P257:T257"/>
    <mergeCell ref="P80:T80"/>
    <mergeCell ref="Z17:Z18"/>
    <mergeCell ref="P331:V331"/>
    <mergeCell ref="P460:T460"/>
    <mergeCell ref="P398:T398"/>
    <mergeCell ref="P227:T227"/>
    <mergeCell ref="D368:E368"/>
    <mergeCell ref="P106:T106"/>
    <mergeCell ref="P120:V120"/>
    <mergeCell ref="D85:E85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A435:Z435"/>
    <mergeCell ref="AB17:AB18"/>
    <mergeCell ref="A81:O82"/>
    <mergeCell ref="P57:V57"/>
    <mergeCell ref="A152:O153"/>
    <mergeCell ref="G17:G18"/>
    <mergeCell ref="P121:V121"/>
    <mergeCell ref="D80:E80"/>
    <mergeCell ref="P148:V148"/>
    <mergeCell ref="P130:T130"/>
    <mergeCell ref="P46:T46"/>
    <mergeCell ref="P61:T61"/>
    <mergeCell ref="D200:E200"/>
    <mergeCell ref="A486:Z486"/>
    <mergeCell ref="H17:H18"/>
    <mergeCell ref="A220:O221"/>
    <mergeCell ref="P161:T161"/>
    <mergeCell ref="P388:T388"/>
    <mergeCell ref="P459:T459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483:V483"/>
    <mergeCell ref="D298:E298"/>
    <mergeCell ref="P91:T91"/>
    <mergeCell ref="D273:E273"/>
    <mergeCell ref="A160:Z160"/>
    <mergeCell ref="P212:T212"/>
    <mergeCell ref="P359:T359"/>
    <mergeCell ref="D436:E436"/>
    <mergeCell ref="A305:O306"/>
    <mergeCell ref="S498:S499"/>
    <mergeCell ref="D347:E347"/>
    <mergeCell ref="P304:T304"/>
    <mergeCell ref="D176:E176"/>
    <mergeCell ref="D114:E114"/>
    <mergeCell ref="P220:V220"/>
    <mergeCell ref="P248:T248"/>
    <mergeCell ref="D51:E51"/>
    <mergeCell ref="P477:T477"/>
    <mergeCell ref="D349:E349"/>
    <mergeCell ref="P455:V455"/>
    <mergeCell ref="A454:O455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J9:M9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A38:Z38"/>
    <mergeCell ref="P330:T330"/>
    <mergeCell ref="D140:E140"/>
    <mergeCell ref="D438:E438"/>
    <mergeCell ref="A340:Z340"/>
    <mergeCell ref="D425:E425"/>
    <mergeCell ref="D359:E359"/>
    <mergeCell ref="P346:T346"/>
    <mergeCell ref="D292:E292"/>
    <mergeCell ref="D227:E227"/>
    <mergeCell ref="P43:V43"/>
    <mergeCell ref="A39:Z39"/>
    <mergeCell ref="P60:T60"/>
    <mergeCell ref="Y17:Y18"/>
    <mergeCell ref="R498:R499"/>
    <mergeCell ref="A261:Z261"/>
    <mergeCell ref="P338:V338"/>
    <mergeCell ref="P313:V313"/>
    <mergeCell ref="A138:Z138"/>
    <mergeCell ref="P380:T380"/>
    <mergeCell ref="P58:V58"/>
    <mergeCell ref="A13:M13"/>
    <mergeCell ref="D87:E87"/>
    <mergeCell ref="A367:Z367"/>
    <mergeCell ref="P115:T115"/>
    <mergeCell ref="D254:E254"/>
    <mergeCell ref="D61:E61"/>
    <mergeCell ref="A15:M15"/>
    <mergeCell ref="A183:Z183"/>
    <mergeCell ref="A88:O89"/>
    <mergeCell ref="D346:E346"/>
    <mergeCell ref="P229:T229"/>
    <mergeCell ref="A419:Z419"/>
    <mergeCell ref="D477:E477"/>
    <mergeCell ref="A133:Z133"/>
    <mergeCell ref="D125:E125"/>
    <mergeCell ref="P446:T446"/>
    <mergeCell ref="Q498:Q499"/>
    <mergeCell ref="V5:W5"/>
    <mergeCell ref="A295:O296"/>
    <mergeCell ref="D233:E233"/>
    <mergeCell ref="D409:E409"/>
    <mergeCell ref="Q8:R8"/>
    <mergeCell ref="P311:T311"/>
    <mergeCell ref="P140:T140"/>
    <mergeCell ref="P438:T438"/>
    <mergeCell ref="D444:E444"/>
    <mergeCell ref="D248:E248"/>
    <mergeCell ref="D219:E219"/>
    <mergeCell ref="P425:T425"/>
    <mergeCell ref="T6:U9"/>
    <mergeCell ref="P319:V319"/>
    <mergeCell ref="Q10:R10"/>
    <mergeCell ref="D185:E185"/>
    <mergeCell ref="D41:E41"/>
    <mergeCell ref="P318:V318"/>
    <mergeCell ref="A37:Z37"/>
    <mergeCell ref="P149:V149"/>
    <mergeCell ref="P387:T387"/>
    <mergeCell ref="A139:Z139"/>
    <mergeCell ref="D422:E422"/>
    <mergeCell ref="P360:V360"/>
    <mergeCell ref="T5:U5"/>
    <mergeCell ref="D119:E119"/>
    <mergeCell ref="G498:G499"/>
    <mergeCell ref="D190:E190"/>
    <mergeCell ref="P374:T374"/>
    <mergeCell ref="I498:I499"/>
    <mergeCell ref="D246:E246"/>
    <mergeCell ref="D46:E46"/>
    <mergeCell ref="D40:E40"/>
    <mergeCell ref="A490:O495"/>
    <mergeCell ref="D74:E74"/>
    <mergeCell ref="D130:E130"/>
    <mergeCell ref="P87:T87"/>
    <mergeCell ref="P451:T451"/>
    <mergeCell ref="P449:V449"/>
    <mergeCell ref="D335:E335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12:M12"/>
    <mergeCell ref="P355:V355"/>
    <mergeCell ref="D487:E487"/>
    <mergeCell ref="A240:Z240"/>
    <mergeCell ref="D343:E343"/>
    <mergeCell ref="P74:T74"/>
    <mergeCell ref="P243:V243"/>
    <mergeCell ref="A19:Z19"/>
    <mergeCell ref="P310:T310"/>
    <mergeCell ref="A14:M14"/>
    <mergeCell ref="A111:Z111"/>
    <mergeCell ref="P163:T163"/>
    <mergeCell ref="A480:Z480"/>
    <mergeCell ref="D467:E467"/>
    <mergeCell ref="P424:T424"/>
    <mergeCell ref="D345:E345"/>
    <mergeCell ref="A280:O281"/>
    <mergeCell ref="A285:O286"/>
    <mergeCell ref="P211:T211"/>
    <mergeCell ref="D399:E399"/>
    <mergeCell ref="A439:O440"/>
    <mergeCell ref="P309:T309"/>
    <mergeCell ref="P51:T51"/>
    <mergeCell ref="P26:T26"/>
    <mergeCell ref="P15:T16"/>
    <mergeCell ref="A325:O326"/>
    <mergeCell ref="P219:T219"/>
    <mergeCell ref="D91:E91"/>
    <mergeCell ref="D162:E162"/>
    <mergeCell ref="P272:T272"/>
    <mergeCell ref="D460:E460"/>
    <mergeCell ref="P210:T210"/>
    <mergeCell ref="P439:V439"/>
    <mergeCell ref="D398:E398"/>
    <mergeCell ref="A267:O268"/>
    <mergeCell ref="P433:V433"/>
    <mergeCell ref="P308:T308"/>
    <mergeCell ref="A69:O70"/>
    <mergeCell ref="P185:T185"/>
    <mergeCell ref="D416:E416"/>
    <mergeCell ref="P427:T427"/>
    <mergeCell ref="D106:E106"/>
    <mergeCell ref="P283:T283"/>
    <mergeCell ref="D264:E264"/>
    <mergeCell ref="D93:E93"/>
    <mergeCell ref="D391:E391"/>
    <mergeCell ref="P370:V370"/>
    <mergeCell ref="D328:E328"/>
    <mergeCell ref="A483:O484"/>
    <mergeCell ref="P353:T353"/>
    <mergeCell ref="A312:O313"/>
    <mergeCell ref="P204:V204"/>
    <mergeCell ref="D169:E169"/>
    <mergeCell ref="P82:V82"/>
    <mergeCell ref="P440:V440"/>
    <mergeCell ref="P303:T303"/>
    <mergeCell ref="A357:Z357"/>
    <mergeCell ref="D330:E330"/>
    <mergeCell ref="P181:V181"/>
    <mergeCell ref="A421:Z421"/>
    <mergeCell ref="A98:Z98"/>
    <mergeCell ref="P306:V306"/>
    <mergeCell ref="P110:V110"/>
    <mergeCell ref="A338:O339"/>
    <mergeCell ref="P208:T208"/>
    <mergeCell ref="P484:V484"/>
    <mergeCell ref="D157:E157"/>
    <mergeCell ref="P136:V136"/>
    <mergeCell ref="P434:V434"/>
    <mergeCell ref="A433:O434"/>
    <mergeCell ref="A253:Z253"/>
    <mergeCell ref="P324:T324"/>
    <mergeCell ref="P491:V491"/>
    <mergeCell ref="P127:V127"/>
    <mergeCell ref="A5:C5"/>
    <mergeCell ref="P418:V418"/>
    <mergeCell ref="P412:V412"/>
    <mergeCell ref="P64:V64"/>
    <mergeCell ref="H498:H499"/>
    <mergeCell ref="J498:J499"/>
    <mergeCell ref="A485:Z485"/>
    <mergeCell ref="D337:E337"/>
    <mergeCell ref="D166:E166"/>
    <mergeCell ref="P195:T195"/>
    <mergeCell ref="P364:V364"/>
    <mergeCell ref="A189:Z189"/>
    <mergeCell ref="P300:T300"/>
    <mergeCell ref="A17:A18"/>
    <mergeCell ref="P431:T431"/>
    <mergeCell ref="A118:Z118"/>
    <mergeCell ref="C17:C18"/>
    <mergeCell ref="A488:O489"/>
    <mergeCell ref="P358:T358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180:T180"/>
    <mergeCell ref="P416:T416"/>
    <mergeCell ref="P167:T167"/>
    <mergeCell ref="D26:E26"/>
    <mergeCell ref="D324:E324"/>
    <mergeCell ref="P378:T378"/>
    <mergeCell ref="A259:O260"/>
    <mergeCell ref="D311:E311"/>
    <mergeCell ref="D115:E115"/>
    <mergeCell ref="P55:T55"/>
    <mergeCell ref="P417:V417"/>
    <mergeCell ref="A203:O204"/>
    <mergeCell ref="Q12:R12"/>
    <mergeCell ref="A274:O275"/>
    <mergeCell ref="P169:T169"/>
    <mergeCell ref="P411:T411"/>
    <mergeCell ref="P467:T467"/>
    <mergeCell ref="P442:T442"/>
    <mergeCell ref="P489:V489"/>
    <mergeCell ref="P463:V463"/>
    <mergeCell ref="P267:V267"/>
    <mergeCell ref="Q9:R9"/>
    <mergeCell ref="D451:E451"/>
    <mergeCell ref="D255:E255"/>
    <mergeCell ref="P36:V36"/>
    <mergeCell ref="P478:V478"/>
    <mergeCell ref="A97:Z97"/>
    <mergeCell ref="D322:E322"/>
    <mergeCell ref="Q11:R11"/>
    <mergeCell ref="D388:E388"/>
    <mergeCell ref="P119:T119"/>
    <mergeCell ref="P246:T246"/>
    <mergeCell ref="A43:O44"/>
    <mergeCell ref="D390:E390"/>
    <mergeCell ref="A123:Z123"/>
    <mergeCell ref="P66:T66"/>
    <mergeCell ref="D180:E180"/>
    <mergeCell ref="D9:E9"/>
    <mergeCell ref="P197:T197"/>
    <mergeCell ref="F9:G9"/>
    <mergeCell ref="P53:T53"/>
    <mergeCell ref="D167:E167"/>
    <mergeCell ref="P422:T422"/>
    <mergeCell ref="B498:B499"/>
    <mergeCell ref="A184:Z184"/>
    <mergeCell ref="A244:Z244"/>
    <mergeCell ref="P490:V490"/>
    <mergeCell ref="P426:T426"/>
    <mergeCell ref="P255:T255"/>
    <mergeCell ref="A342:Z342"/>
    <mergeCell ref="P48:V48"/>
    <mergeCell ref="A407:Z407"/>
    <mergeCell ref="A116:O117"/>
    <mergeCell ref="P428:T428"/>
    <mergeCell ref="D100:E100"/>
    <mergeCell ref="P284:T284"/>
    <mergeCell ref="P113:T113"/>
    <mergeCell ref="A173:Z173"/>
    <mergeCell ref="A471:Z471"/>
    <mergeCell ref="P129:T129"/>
    <mergeCell ref="D329:E329"/>
    <mergeCell ref="A402:Z402"/>
    <mergeCell ref="D229:E229"/>
    <mergeCell ref="D108:E108"/>
    <mergeCell ref="P429:T429"/>
    <mergeCell ref="P258:T258"/>
    <mergeCell ref="D369:E369"/>
    <mergeCell ref="A469:O470"/>
    <mergeCell ref="D211:E211"/>
    <mergeCell ref="P168:T168"/>
    <mergeCell ref="D1:F1"/>
    <mergeCell ref="P466:T466"/>
    <mergeCell ref="A71:Z71"/>
    <mergeCell ref="P488:V488"/>
    <mergeCell ref="A307:Z307"/>
    <mergeCell ref="J17:J18"/>
    <mergeCell ref="L17:L18"/>
    <mergeCell ref="P17:T18"/>
    <mergeCell ref="P423:T423"/>
    <mergeCell ref="P52:T52"/>
    <mergeCell ref="P481:T481"/>
    <mergeCell ref="I17:I18"/>
    <mergeCell ref="D141:E141"/>
    <mergeCell ref="D135:E135"/>
    <mergeCell ref="A417:O418"/>
    <mergeCell ref="P203:V203"/>
    <mergeCell ref="P470:V470"/>
    <mergeCell ref="D72:E72"/>
    <mergeCell ref="P295:V295"/>
    <mergeCell ref="P178:V178"/>
    <mergeCell ref="A177:O178"/>
    <mergeCell ref="U498:U499"/>
    <mergeCell ref="P475:V475"/>
    <mergeCell ref="W498:W499"/>
    <mergeCell ref="A45:Z45"/>
    <mergeCell ref="A458:Z458"/>
    <mergeCell ref="A287:Z287"/>
    <mergeCell ref="P35:V35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D380:E380"/>
    <mergeCell ref="P337:T337"/>
    <mergeCell ref="A282:Z282"/>
    <mergeCell ref="D209:E209"/>
    <mergeCell ref="A187:O188"/>
    <mergeCell ref="D445:E445"/>
    <mergeCell ref="D245:E245"/>
    <mergeCell ref="D301:E301"/>
    <mergeCell ref="H1:Q1"/>
    <mergeCell ref="A448:O449"/>
    <mergeCell ref="P280:V280"/>
    <mergeCell ref="P109:V109"/>
    <mergeCell ref="P274:V274"/>
    <mergeCell ref="A366:Z366"/>
    <mergeCell ref="A397:Z397"/>
    <mergeCell ref="D214:E214"/>
    <mergeCell ref="D284:E284"/>
    <mergeCell ref="P193:V193"/>
    <mergeCell ref="D28:E28"/>
    <mergeCell ref="D432:E432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498:A499"/>
    <mergeCell ref="P265:T265"/>
    <mergeCell ref="P94:T94"/>
    <mergeCell ref="D379:E379"/>
    <mergeCell ref="D208:E208"/>
    <mergeCell ref="D8:M8"/>
    <mergeCell ref="D300:E300"/>
    <mergeCell ref="P237:T237"/>
    <mergeCell ref="P473:T473"/>
    <mergeCell ref="P329:T329"/>
    <mergeCell ref="A148:O149"/>
    <mergeCell ref="P251:V251"/>
    <mergeCell ref="P266:T266"/>
    <mergeCell ref="P182:V182"/>
    <mergeCell ref="S497:T497"/>
    <mergeCell ref="V498:V499"/>
    <mergeCell ref="P453:T453"/>
    <mergeCell ref="A474:O475"/>
    <mergeCell ref="P396:V396"/>
    <mergeCell ref="A395:O396"/>
    <mergeCell ref="A109:O110"/>
    <mergeCell ref="A47:O48"/>
    <mergeCell ref="P482:T482"/>
    <mergeCell ref="D354:E354"/>
    <mergeCell ref="D7:M7"/>
    <mergeCell ref="A405:O406"/>
    <mergeCell ref="D79:E79"/>
    <mergeCell ref="P92:T92"/>
    <mergeCell ref="A450:Z450"/>
    <mergeCell ref="P394:T394"/>
    <mergeCell ref="D315:E315"/>
    <mergeCell ref="D442:E442"/>
    <mergeCell ref="D302:E302"/>
    <mergeCell ref="D429:E429"/>
    <mergeCell ref="P29:T29"/>
    <mergeCell ref="P271:T271"/>
    <mergeCell ref="P100:T100"/>
    <mergeCell ref="P177:V177"/>
    <mergeCell ref="P188:V188"/>
    <mergeCell ref="P166:T166"/>
    <mergeCell ref="D147:E147"/>
    <mergeCell ref="A105:Z105"/>
    <mergeCell ref="D224:E224"/>
    <mergeCell ref="P230:T230"/>
    <mergeCell ref="P289:T289"/>
    <mergeCell ref="D232:E232"/>
    <mergeCell ref="D161:E161"/>
    <mergeCell ref="P238:V238"/>
    <mergeCell ref="W17:W18"/>
    <mergeCell ref="P96:V96"/>
    <mergeCell ref="P332:V332"/>
    <mergeCell ref="A384:Z384"/>
    <mergeCell ref="A331:O332"/>
    <mergeCell ref="P325:V325"/>
    <mergeCell ref="A150:Z150"/>
    <mergeCell ref="A144:Z144"/>
    <mergeCell ref="A120:O121"/>
    <mergeCell ref="D378:E378"/>
    <mergeCell ref="D129:E129"/>
    <mergeCell ref="P264:T264"/>
    <mergeCell ref="P68:T68"/>
    <mergeCell ref="D52:E52"/>
    <mergeCell ref="D27:E27"/>
    <mergeCell ref="U17:V17"/>
    <mergeCell ref="V10:W10"/>
    <mergeCell ref="D431:E431"/>
    <mergeCell ref="P99:T99"/>
    <mergeCell ref="P170:T170"/>
    <mergeCell ref="P468:T468"/>
    <mergeCell ref="P316:T316"/>
    <mergeCell ref="P145:T145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159:V159"/>
    <mergeCell ref="P395:V395"/>
    <mergeCell ref="C497:H497"/>
    <mergeCell ref="P209:T209"/>
    <mergeCell ref="A385:Z385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A381:O382"/>
    <mergeCell ref="P165:T165"/>
    <mergeCell ref="P432:T432"/>
    <mergeCell ref="P400:V400"/>
    <mergeCell ref="D73:E73"/>
    <mergeCell ref="P77:V77"/>
    <mergeCell ref="P30:T30"/>
    <mergeCell ref="A76:O77"/>
    <mergeCell ref="P375:V375"/>
    <mergeCell ref="P290:T290"/>
    <mergeCell ref="A234:O235"/>
    <mergeCell ref="A63:O64"/>
    <mergeCell ref="B17:B18"/>
    <mergeCell ref="P143:V143"/>
    <mergeCell ref="A171:O172"/>
    <mergeCell ref="D258:E258"/>
    <mergeCell ref="P235:V235"/>
    <mergeCell ref="P404:T404"/>
    <mergeCell ref="D124:E124"/>
    <mergeCell ref="H9:I9"/>
    <mergeCell ref="A49:Z49"/>
    <mergeCell ref="P24:V24"/>
    <mergeCell ref="P260:V260"/>
    <mergeCell ref="P89:V89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D263:E263"/>
    <mergeCell ref="A65:Z65"/>
    <mergeCell ref="P86:T86"/>
    <mergeCell ref="P328:T328"/>
    <mergeCell ref="P213:T213"/>
    <mergeCell ref="P157:T157"/>
    <mergeCell ref="D134:E134"/>
    <mergeCell ref="P249:T249"/>
    <mergeCell ref="D363:E363"/>
    <mergeCell ref="P56:T56"/>
    <mergeCell ref="P79:T79"/>
    <mergeCell ref="D473:E473"/>
    <mergeCell ref="D60:E60"/>
    <mergeCell ref="P73:T73"/>
    <mergeCell ref="P437:T437"/>
    <mergeCell ref="P315:T315"/>
    <mergeCell ref="P231:T231"/>
    <mergeCell ref="D423:E423"/>
    <mergeCell ref="P302:T302"/>
    <mergeCell ref="D174:E174"/>
    <mergeCell ref="D472:E472"/>
    <mergeCell ref="A352:Z352"/>
    <mergeCell ref="D410:E410"/>
    <mergeCell ref="A276:Z276"/>
    <mergeCell ref="A83:Z83"/>
    <mergeCell ref="A441:Z441"/>
    <mergeCell ref="A270:Z270"/>
    <mergeCell ref="P391:T391"/>
    <mergeCell ref="D426:E426"/>
    <mergeCell ref="P464:V464"/>
    <mergeCell ref="P452:T452"/>
    <mergeCell ref="P448:V448"/>
    <mergeCell ref="D195:E195"/>
    <mergeCell ref="P379:T3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6 X388 X398:X399 X408 X422 X424:X425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a9X41r9Xdg+US6IUY2ikkeuh1yGla/1xABoFt1+QI9D7iCE3Nn3FyKTFT9My24bx4U6vepHRCqxDfgs++Cpvmw==" saltValue="JnjrUqJMOvRZ4jTWTMUi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2025-12-02T10:40:11Z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