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28A9DB7-6085-4BCC-B865-B7F6154701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Y195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Z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7" i="1"/>
  <c r="Y25" i="1"/>
  <c r="Z28" i="1"/>
  <c r="Z32" i="1" s="1"/>
  <c r="BN28" i="1"/>
  <c r="BP28" i="1"/>
  <c r="Z30" i="1"/>
  <c r="BN30" i="1"/>
  <c r="C503" i="1"/>
  <c r="Z42" i="1"/>
  <c r="Z44" i="1" s="1"/>
  <c r="BN42" i="1"/>
  <c r="BP42" i="1"/>
  <c r="Y45" i="1"/>
  <c r="D503" i="1"/>
  <c r="Y58" i="1"/>
  <c r="Z53" i="1"/>
  <c r="Z58" i="1" s="1"/>
  <c r="BN53" i="1"/>
  <c r="Z55" i="1"/>
  <c r="BN55" i="1"/>
  <c r="Y59" i="1"/>
  <c r="Y64" i="1"/>
  <c r="BP61" i="1"/>
  <c r="BN61" i="1"/>
  <c r="Z61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Y155" i="1"/>
  <c r="BP148" i="1"/>
  <c r="BN148" i="1"/>
  <c r="Z148" i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9" i="1"/>
  <c r="Y24" i="1"/>
  <c r="BP57" i="1"/>
  <c r="BN57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55" i="1" l="1"/>
  <c r="Z418" i="1"/>
  <c r="Z337" i="1"/>
  <c r="Y497" i="1"/>
  <c r="Z154" i="1"/>
  <c r="Z76" i="1"/>
  <c r="Y493" i="1"/>
  <c r="Y495" i="1"/>
  <c r="Z223" i="1"/>
  <c r="Z318" i="1"/>
  <c r="Z179" i="1"/>
  <c r="Z119" i="1"/>
  <c r="Z89" i="1"/>
  <c r="Z64" i="1"/>
  <c r="Z498" i="1" s="1"/>
  <c r="Y494" i="1"/>
  <c r="Y496" i="1" s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<sst xmlns="http://schemas.openxmlformats.org/spreadsheetml/2006/main" count="2366" uniqueCount="777">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</sst>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100</v>
      </c>
      <c r="Y61" s="550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22.5</v>
      </c>
      <c r="Y63" s="550">
        <f>IFERROR(IF(X63="",0,CEILING((X63/$H63),1)*$H63),"")</f>
        <v>24.3</v>
      </c>
      <c r="Z63" s="36">
        <f>IFERROR(IF(Y63=0,"",ROUNDUP(Y63/H63,0)*0.00651),"")</f>
        <v>5.8590000000000003E-2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23.999999999999996</v>
      </c>
      <c r="BN63" s="64">
        <f>IFERROR(Y63*I63/H63,"0")</f>
        <v>25.919999999999995</v>
      </c>
      <c r="BO63" s="64">
        <f>IFERROR(1/J63*(X63/H63),"0")</f>
        <v>4.5787545787545784E-2</v>
      </c>
      <c r="BP63" s="64">
        <f>IFERROR(1/J63*(Y63/H63),"0")</f>
        <v>4.9450549450549455E-2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17.592592592592592</v>
      </c>
      <c r="Y64" s="551">
        <f>IFERROR(Y61/H61,"0")+IFERROR(Y62/H62,"0")+IFERROR(Y63/H63,"0")</f>
        <v>19</v>
      </c>
      <c r="Z64" s="551">
        <f>IFERROR(IF(Z61="",0,Z61),"0")+IFERROR(IF(Z62="",0,Z62),"0")+IFERROR(IF(Z63="",0,Z63),"0")</f>
        <v>0.24839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122.5</v>
      </c>
      <c r="Y65" s="551">
        <f>IFERROR(SUM(Y61:Y63),"0")</f>
        <v>132.30000000000001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3</v>
      </c>
      <c r="Y110" s="550">
        <f>IFERROR(IF(X110="",0,CEILING((X110/$H110),1)*$H110),"")</f>
        <v>4.8</v>
      </c>
      <c r="Z110" s="36">
        <f>IFERROR(IF(Y110=0,"",ROUNDUP(Y110/H110,0)*0.00502),"")</f>
        <v>1.004E-2</v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3.125</v>
      </c>
      <c r="BN110" s="64">
        <f>IFERROR(Y110*I110/H110,"0")</f>
        <v>5</v>
      </c>
      <c r="BO110" s="64">
        <f>IFERROR(1/J110*(X110/H110),"0")</f>
        <v>5.341880341880342E-3</v>
      </c>
      <c r="BP110" s="64">
        <f>IFERROR(1/J110*(Y110/H110),"0")</f>
        <v>8.5470085470085479E-3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1.25</v>
      </c>
      <c r="Y112" s="551">
        <f>IFERROR(Y108/H108,"0")+IFERROR(Y109/H109,"0")+IFERROR(Y110/H110,"0")+IFERROR(Y111/H111,"0")</f>
        <v>2</v>
      </c>
      <c r="Z112" s="551">
        <f>IFERROR(IF(Z108="",0,Z108),"0")+IFERROR(IF(Z109="",0,Z109),"0")+IFERROR(IF(Z110="",0,Z110),"0")+IFERROR(IF(Z111="",0,Z111),"0")</f>
        <v>1.004E-2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3</v>
      </c>
      <c r="Y113" s="551">
        <f>IFERROR(SUM(Y108:Y111),"0")</f>
        <v>4.8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24</v>
      </c>
      <c r="Y127" s="550">
        <f>IFERROR(IF(X127="",0,CEILING((X127/$H127),1)*$H127),"")</f>
        <v>25.6</v>
      </c>
      <c r="Z127" s="36">
        <f>IFERROR(IF(Y127=0,"",ROUNDUP(Y127/H127,0)*0.00651),"")</f>
        <v>5.2080000000000001E-2</v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25.35</v>
      </c>
      <c r="BN127" s="64">
        <f>IFERROR(Y127*I127/H127,"0")</f>
        <v>27.04</v>
      </c>
      <c r="BO127" s="64">
        <f>IFERROR(1/J127*(X127/H127),"0")</f>
        <v>4.1208791208791215E-2</v>
      </c>
      <c r="BP127" s="64">
        <f>IFERROR(1/J127*(Y127/H127),"0")</f>
        <v>4.3956043956043959E-2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7.5</v>
      </c>
      <c r="Y129" s="551">
        <f>IFERROR(Y127/H127,"0")+IFERROR(Y128/H128,"0")</f>
        <v>8</v>
      </c>
      <c r="Z129" s="551">
        <f>IFERROR(IF(Z127="",0,Z127),"0")+IFERROR(IF(Z128="",0,Z128),"0")</f>
        <v>5.2080000000000001E-2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24</v>
      </c>
      <c r="Y130" s="551">
        <f>IFERROR(SUM(Y127:Y128),"0")</f>
        <v>25.6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7</v>
      </c>
      <c r="Y132" s="550">
        <f>IFERROR(IF(X132="",0,CEILING((X132/$H132),1)*$H132),"")</f>
        <v>8.3999999999999986</v>
      </c>
      <c r="Z132" s="36">
        <f>IFERROR(IF(Y132=0,"",ROUNDUP(Y132/H132,0)*0.00651),"")</f>
        <v>1.9529999999999999E-2</v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7.67</v>
      </c>
      <c r="BN132" s="64">
        <f>IFERROR(Y132*I132/H132,"0")</f>
        <v>9.2039999999999988</v>
      </c>
      <c r="BO132" s="64">
        <f>IFERROR(1/J132*(X132/H132),"0")</f>
        <v>1.3736263736263738E-2</v>
      </c>
      <c r="BP132" s="64">
        <f>IFERROR(1/J132*(Y132/H132),"0")</f>
        <v>1.6483516483516484E-2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2.5</v>
      </c>
      <c r="Y134" s="551">
        <f>IFERROR(Y132/H132,"0")+IFERROR(Y133/H133,"0")</f>
        <v>2.9999999999999996</v>
      </c>
      <c r="Z134" s="551">
        <f>IFERROR(IF(Z132="",0,Z132),"0")+IFERROR(IF(Z133="",0,Z133),"0")</f>
        <v>1.9529999999999999E-2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7</v>
      </c>
      <c r="Y135" s="551">
        <f>IFERROR(SUM(Y132:Y133),"0")</f>
        <v>8.3999999999999986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7.92</v>
      </c>
      <c r="Y137" s="550">
        <f>IFERROR(IF(X137="",0,CEILING((X137/$H137),1)*$H137),"")</f>
        <v>7.92</v>
      </c>
      <c r="Z137" s="36">
        <f>IFERROR(IF(Y137=0,"",ROUNDUP(Y137/H137,0)*0.00651),"")</f>
        <v>1.9529999999999999E-2</v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8.7240000000000002</v>
      </c>
      <c r="BN137" s="64">
        <f>IFERROR(Y137*I137/H137,"0")</f>
        <v>8.7240000000000002</v>
      </c>
      <c r="BO137" s="64">
        <f>IFERROR(1/J137*(X137/H137),"0")</f>
        <v>1.6483516483516484E-2</v>
      </c>
      <c r="BP137" s="64">
        <f>IFERROR(1/J137*(Y137/H137),"0")</f>
        <v>1.6483516483516484E-2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3</v>
      </c>
      <c r="Y139" s="551">
        <f>IFERROR(Y137/H137,"0")+IFERROR(Y138/H138,"0")</f>
        <v>3</v>
      </c>
      <c r="Z139" s="551">
        <f>IFERROR(IF(Z137="",0,Z137),"0")+IFERROR(IF(Z138="",0,Z138),"0")</f>
        <v>1.9529999999999999E-2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7.92</v>
      </c>
      <c r="Y140" s="551">
        <f>IFERROR(SUM(Y137:Y138),"0")</f>
        <v>7.92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25</v>
      </c>
      <c r="Y151" s="550">
        <f t="shared" si="5"/>
        <v>27</v>
      </c>
      <c r="Z151" s="36">
        <f>IFERROR(IF(Y151=0,"",ROUNDUP(Y151/H151,0)*0.01898),"")</f>
        <v>5.6940000000000004E-2</v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26.555555555555557</v>
      </c>
      <c r="BN151" s="64">
        <f t="shared" si="7"/>
        <v>28.68</v>
      </c>
      <c r="BO151" s="64">
        <f t="shared" si="8"/>
        <v>4.3402777777777776E-2</v>
      </c>
      <c r="BP151" s="64">
        <f t="shared" si="9"/>
        <v>4.6875E-2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2.7777777777777777</v>
      </c>
      <c r="Y154" s="551">
        <f>IFERROR(Y148/H148,"0")+IFERROR(Y149/H149,"0")+IFERROR(Y150/H150,"0")+IFERROR(Y151/H151,"0")+IFERROR(Y152/H152,"0")+IFERROR(Y153/H153,"0")</f>
        <v>3</v>
      </c>
      <c r="Z154" s="551">
        <f>IFERROR(IF(Z148="",0,Z148),"0")+IFERROR(IF(Z149="",0,Z149),"0")+IFERROR(IF(Z150="",0,Z150),"0")+IFERROR(IF(Z151="",0,Z151),"0")+IFERROR(IF(Z152="",0,Z152),"0")+IFERROR(IF(Z153="",0,Z153),"0")</f>
        <v>5.6940000000000004E-2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25</v>
      </c>
      <c r="Y155" s="551">
        <f>IFERROR(SUM(Y148:Y153),"0")</f>
        <v>27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1.05</v>
      </c>
      <c r="Y182" s="550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1.2083333333333333</v>
      </c>
      <c r="BN182" s="64">
        <f>IFERROR(Y182*I182/H182,"0")</f>
        <v>1.45</v>
      </c>
      <c r="BO182" s="64">
        <f>IFERROR(1/J182*(X182/H182),"0")</f>
        <v>3.8580246913580245E-3</v>
      </c>
      <c r="BP182" s="64">
        <f>IFERROR(1/J182*(Y182/H182),"0")</f>
        <v>4.6296296296296294E-3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0.83333333333333337</v>
      </c>
      <c r="Y185" s="551">
        <f>IFERROR(Y182/H182,"0")+IFERROR(Y183/H183,"0")+IFERROR(Y184/H184,"0")</f>
        <v>1</v>
      </c>
      <c r="Z185" s="551">
        <f>IFERROR(IF(Z182="",0,Z182),"0")+IFERROR(IF(Z183="",0,Z183),"0")+IFERROR(IF(Z184="",0,Z184),"0")</f>
        <v>5.8999999999999999E-3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1.05</v>
      </c>
      <c r="Y186" s="551">
        <f>IFERROR(SUM(Y182:Y184),"0")</f>
        <v>1.26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10</v>
      </c>
      <c r="Y203" s="550">
        <f t="shared" ref="Y203:Y210" si="15">IFERROR(IF(X203="",0,CEILING((X203/$H203),1)*$H203),"")</f>
        <v>10.8</v>
      </c>
      <c r="Z203" s="36">
        <f>IFERROR(IF(Y203=0,"",ROUNDUP(Y203/H203,0)*0.00902),"")</f>
        <v>1.804E-2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10.351851851851851</v>
      </c>
      <c r="BN203" s="64">
        <f t="shared" ref="BN203:BN210" si="17">IFERROR(Y203*I203/H203,"0")</f>
        <v>11.18</v>
      </c>
      <c r="BO203" s="64">
        <f t="shared" ref="BO203:BO210" si="18">IFERROR(1/J203*(X203/H203),"0")</f>
        <v>1.4029180695847361E-2</v>
      </c>
      <c r="BP203" s="64">
        <f t="shared" ref="BP203:BP210" si="19">IFERROR(1/J203*(Y203/H203),"0")</f>
        <v>1.5151515151515152E-2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9</v>
      </c>
      <c r="Y210" s="550">
        <f t="shared" si="15"/>
        <v>9</v>
      </c>
      <c r="Z210" s="36">
        <f>IFERROR(IF(Y210=0,"",ROUNDUP(Y210/H210,0)*0.00502),"")</f>
        <v>2.5100000000000001E-2</v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9.4999999999999982</v>
      </c>
      <c r="BN210" s="64">
        <f t="shared" si="17"/>
        <v>9.4999999999999982</v>
      </c>
      <c r="BO210" s="64">
        <f t="shared" si="18"/>
        <v>2.1367521367521368E-2</v>
      </c>
      <c r="BP210" s="64">
        <f t="shared" si="19"/>
        <v>2.1367521367521368E-2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6.8518518518518512</v>
      </c>
      <c r="Y211" s="551">
        <f>IFERROR(Y203/H203,"0")+IFERROR(Y204/H204,"0")+IFERROR(Y205/H205,"0")+IFERROR(Y206/H206,"0")+IFERROR(Y207/H207,"0")+IFERROR(Y208/H208,"0")+IFERROR(Y209/H209,"0")+IFERROR(Y210/H210,"0")</f>
        <v>7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4.3139999999999998E-2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19</v>
      </c>
      <c r="Y212" s="551">
        <f>IFERROR(SUM(Y203:Y210),"0")</f>
        <v>19.8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5.3999999999999986</v>
      </c>
      <c r="Y248" s="550">
        <f>IFERROR(IF(X248="",0,CEILING((X248/$H248),1)*$H248),"")</f>
        <v>5.4</v>
      </c>
      <c r="Z248" s="36">
        <f>IFERROR(IF(Y248=0,"",ROUNDUP(Y248/H248,0)*0.0059),"")</f>
        <v>1.77E-2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5.924999999999998</v>
      </c>
      <c r="BN248" s="64">
        <f>IFERROR(Y248*I248/H248,"0")</f>
        <v>5.9250000000000007</v>
      </c>
      <c r="BO248" s="64">
        <f>IFERROR(1/J248*(X248/H248),"0")</f>
        <v>1.3888888888888885E-2</v>
      </c>
      <c r="BP248" s="64">
        <f>IFERROR(1/J248*(Y248/H248),"0")</f>
        <v>1.3888888888888888E-2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2.9999999999999991</v>
      </c>
      <c r="Y249" s="551">
        <f>IFERROR(Y248/H248,"0")</f>
        <v>3</v>
      </c>
      <c r="Z249" s="551">
        <f>IFERROR(IF(Z248="",0,Z248),"0")</f>
        <v>1.77E-2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5.3999999999999986</v>
      </c>
      <c r="Y250" s="551">
        <f>IFERROR(SUM(Y248:Y248),"0")</f>
        <v>5.4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3.96</v>
      </c>
      <c r="Y252" s="550">
        <f>IFERROR(IF(X252="",0,CEILING((X252/$H252),1)*$H252),"")</f>
        <v>3.96</v>
      </c>
      <c r="Z252" s="36">
        <f>IFERROR(IF(Y252=0,"",ROUNDUP(Y252/H252,0)*0.0059),"")</f>
        <v>2.3599999999999999E-2</v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4.72</v>
      </c>
      <c r="BN252" s="64">
        <f>IFERROR(Y252*I252/H252,"0")</f>
        <v>4.72</v>
      </c>
      <c r="BO252" s="64">
        <f>IFERROR(1/J252*(X252/H252),"0")</f>
        <v>1.8518518518518517E-2</v>
      </c>
      <c r="BP252" s="64">
        <f>IFERROR(1/J252*(Y252/H252),"0")</f>
        <v>1.8518518518518517E-2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5.3999999999999986</v>
      </c>
      <c r="Y253" s="550">
        <f>IFERROR(IF(X253="",0,CEILING((X253/$H253),1)*$H253),"")</f>
        <v>5.4</v>
      </c>
      <c r="Z253" s="36">
        <f>IFERROR(IF(Y253=0,"",ROUNDUP(Y253/H253,0)*0.0059),"")</f>
        <v>1.77E-2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5.924999999999998</v>
      </c>
      <c r="BN253" s="64">
        <f>IFERROR(Y253*I253/H253,"0")</f>
        <v>5.9250000000000007</v>
      </c>
      <c r="BO253" s="64">
        <f>IFERROR(1/J253*(X253/H253),"0")</f>
        <v>1.3888888888888885E-2</v>
      </c>
      <c r="BP253" s="64">
        <f>IFERROR(1/J253*(Y253/H253),"0")</f>
        <v>1.3888888888888888E-2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1.5</v>
      </c>
      <c r="Y254" s="550">
        <f>IFERROR(IF(X254="",0,CEILING((X254/$H254),1)*$H254),"")</f>
        <v>1.8</v>
      </c>
      <c r="Z254" s="36">
        <f>IFERROR(IF(Y254=0,"",ROUNDUP(Y254/H254,0)*0.0059),"")</f>
        <v>1.18E-2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1.8166666666666669</v>
      </c>
      <c r="BN254" s="64">
        <f>IFERROR(Y254*I254/H254,"0")</f>
        <v>2.1800000000000002</v>
      </c>
      <c r="BO254" s="64">
        <f>IFERROR(1/J254*(X254/H254),"0")</f>
        <v>7.7160493827160481E-3</v>
      </c>
      <c r="BP254" s="64">
        <f>IFERROR(1/J254*(Y254/H254),"0")</f>
        <v>9.2592592592592587E-3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2.97</v>
      </c>
      <c r="Y255" s="550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3.54</v>
      </c>
      <c r="BN255" s="64">
        <f>IFERROR(Y255*I255/H255,"0")</f>
        <v>3.5399999999999996</v>
      </c>
      <c r="BO255" s="64">
        <f>IFERROR(1/J255*(X255/H255),"0")</f>
        <v>1.388888888888889E-2</v>
      </c>
      <c r="BP255" s="64">
        <f>IFERROR(1/J255*(Y255/H255),"0")</f>
        <v>1.3888888888888886E-2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0.99</v>
      </c>
      <c r="Y256" s="550">
        <f>IFERROR(IF(X256="",0,CEILING((X256/$H256),1)*$H256),"")</f>
        <v>0.99</v>
      </c>
      <c r="Z256" s="36">
        <f>IFERROR(IF(Y256=0,"",ROUNDUP(Y256/H256,0)*0.0059),"")</f>
        <v>5.8999999999999999E-3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1.18</v>
      </c>
      <c r="BN256" s="64">
        <f>IFERROR(Y256*I256/H256,"0")</f>
        <v>1.18</v>
      </c>
      <c r="BO256" s="64">
        <f>IFERROR(1/J256*(X256/H256),"0")</f>
        <v>4.6296296296296294E-3</v>
      </c>
      <c r="BP256" s="64">
        <f>IFERROR(1/J256*(Y256/H256),"0")</f>
        <v>4.6296296296296294E-3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12.666666666666666</v>
      </c>
      <c r="Y257" s="551">
        <f>IFERROR(Y252/H252,"0")+IFERROR(Y253/H253,"0")+IFERROR(Y254/H254,"0")+IFERROR(Y255/H255,"0")+IFERROR(Y256/H256,"0")</f>
        <v>13</v>
      </c>
      <c r="Z257" s="551">
        <f>IFERROR(IF(Z252="",0,Z252),"0")+IFERROR(IF(Z253="",0,Z253),"0")+IFERROR(IF(Z254="",0,Z254),"0")+IFERROR(IF(Z255="",0,Z255),"0")+IFERROR(IF(Z256="",0,Z256),"0")</f>
        <v>7.6700000000000004E-2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14.82</v>
      </c>
      <c r="Y258" s="551">
        <f>IFERROR(SUM(Y252:Y256),"0")</f>
        <v>15.12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8</v>
      </c>
      <c r="Y279" s="550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8.8400000000000016</v>
      </c>
      <c r="BN279" s="64">
        <f>IFERROR(Y279*I279/H279,"0")</f>
        <v>10.608000000000001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3.3333333333333335</v>
      </c>
      <c r="Y281" s="551">
        <f>IFERROR(Y278/H278,"0")+IFERROR(Y279/H279,"0")+IFERROR(Y280/H280,"0")</f>
        <v>4</v>
      </c>
      <c r="Z281" s="551">
        <f>IFERROR(IF(Z278="",0,Z278),"0")+IFERROR(IF(Z279="",0,Z279),"0")+IFERROR(IF(Z280="",0,Z280),"0")</f>
        <v>2.6040000000000001E-2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8</v>
      </c>
      <c r="Y282" s="551">
        <f>IFERROR(SUM(Y278:Y280),"0")</f>
        <v>9.6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8</v>
      </c>
      <c r="Y300" s="550">
        <f t="shared" si="31"/>
        <v>8</v>
      </c>
      <c r="Z300" s="36">
        <f>IFERROR(IF(Y300=0,"",ROUNDUP(Y300/H300,0)*0.00902),"")</f>
        <v>1.804E-2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8.3800000000000008</v>
      </c>
      <c r="BN300" s="64">
        <f t="shared" si="33"/>
        <v>8.3800000000000008</v>
      </c>
      <c r="BO300" s="64">
        <f t="shared" si="34"/>
        <v>1.5151515151515152E-2</v>
      </c>
      <c r="BP300" s="64">
        <f t="shared" si="35"/>
        <v>1.5151515151515152E-2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4</v>
      </c>
      <c r="Y301" s="550">
        <f t="shared" si="31"/>
        <v>4</v>
      </c>
      <c r="Z301" s="36">
        <f>IFERROR(IF(Y301=0,"",ROUNDUP(Y301/H301,0)*0.00902),"")</f>
        <v>9.0200000000000002E-3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4.1900000000000004</v>
      </c>
      <c r="BN301" s="64">
        <f t="shared" si="33"/>
        <v>4.1900000000000004</v>
      </c>
      <c r="BO301" s="64">
        <f t="shared" si="34"/>
        <v>7.575757575757576E-3</v>
      </c>
      <c r="BP301" s="64">
        <f t="shared" si="35"/>
        <v>7.575757575757576E-3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3</v>
      </c>
      <c r="Y302" s="551">
        <f>IFERROR(Y296/H296,"0")+IFERROR(Y297/H297,"0")+IFERROR(Y298/H298,"0")+IFERROR(Y299/H299,"0")+IFERROR(Y300/H300,"0")+IFERROR(Y301/H301,"0")</f>
        <v>3</v>
      </c>
      <c r="Z302" s="551">
        <f>IFERROR(IF(Z296="",0,Z296),"0")+IFERROR(IF(Z297="",0,Z297),"0")+IFERROR(IF(Z298="",0,Z298),"0")+IFERROR(IF(Z299="",0,Z299),"0")+IFERROR(IF(Z300="",0,Z300),"0")+IFERROR(IF(Z301="",0,Z301),"0")</f>
        <v>2.7060000000000001E-2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12</v>
      </c>
      <c r="Y303" s="551">
        <f>IFERROR(SUM(Y296:Y301),"0")</f>
        <v>12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50</v>
      </c>
      <c r="Y305" s="550">
        <f t="shared" ref="Y305:Y310" si="36">IFERROR(IF(X305="",0,CEILING((X305/$H305),1)*$H305),"")</f>
        <v>50.400000000000006</v>
      </c>
      <c r="Z305" s="36">
        <f>IFERROR(IF(Y305=0,"",ROUNDUP(Y305/H305,0)*0.00902),"")</f>
        <v>0.10824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52.976190476190474</v>
      </c>
      <c r="BN305" s="64">
        <f t="shared" ref="BN305:BN310" si="38">IFERROR(Y305*I305/H305,"0")</f>
        <v>53.400000000000006</v>
      </c>
      <c r="BO305" s="64">
        <f t="shared" ref="BO305:BO310" si="39">IFERROR(1/J305*(X305/H305),"0")</f>
        <v>9.0187590187590191E-2</v>
      </c>
      <c r="BP305" s="64">
        <f t="shared" ref="BP305:BP310" si="40">IFERROR(1/J305*(Y305/H305),"0")</f>
        <v>9.0909090909090912E-2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100</v>
      </c>
      <c r="Y306" s="550">
        <f t="shared" si="36"/>
        <v>100.80000000000001</v>
      </c>
      <c r="Z306" s="36">
        <f>IFERROR(IF(Y306=0,"",ROUNDUP(Y306/H306,0)*0.00902),"")</f>
        <v>0.21648000000000001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105.95238095238095</v>
      </c>
      <c r="BN306" s="64">
        <f t="shared" si="38"/>
        <v>106.80000000000001</v>
      </c>
      <c r="BO306" s="64">
        <f t="shared" si="39"/>
        <v>0.18037518037518038</v>
      </c>
      <c r="BP306" s="64">
        <f t="shared" si="40"/>
        <v>0.18181818181818182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8.3999999999999986</v>
      </c>
      <c r="Y308" s="550">
        <f t="shared" si="36"/>
        <v>8.4</v>
      </c>
      <c r="Z308" s="36">
        <f>IFERROR(IF(Y308=0,"",ROUNDUP(Y308/H308,0)*0.00502),"")</f>
        <v>2.0080000000000001E-2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8.9199999999999982</v>
      </c>
      <c r="BN308" s="64">
        <f t="shared" si="38"/>
        <v>8.92</v>
      </c>
      <c r="BO308" s="64">
        <f t="shared" si="39"/>
        <v>1.7094017094017092E-2</v>
      </c>
      <c r="BP308" s="64">
        <f t="shared" si="40"/>
        <v>1.7094017094017096E-2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39.714285714285715</v>
      </c>
      <c r="Y311" s="551">
        <f>IFERROR(Y305/H305,"0")+IFERROR(Y306/H306,"0")+IFERROR(Y307/H307,"0")+IFERROR(Y308/H308,"0")+IFERROR(Y309/H309,"0")+IFERROR(Y310/H310,"0")</f>
        <v>40</v>
      </c>
      <c r="Z311" s="551">
        <f>IFERROR(IF(Z305="",0,Z305),"0")+IFERROR(IF(Z306="",0,Z306),"0")+IFERROR(IF(Z307="",0,Z307),"0")+IFERROR(IF(Z308="",0,Z308),"0")+IFERROR(IF(Z309="",0,Z309),"0")+IFERROR(IF(Z310="",0,Z310),"0")</f>
        <v>0.3448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158.4</v>
      </c>
      <c r="Y312" s="551">
        <f>IFERROR(SUM(Y305:Y310),"0")</f>
        <v>159.60000000000002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400</v>
      </c>
      <c r="Y314" s="550">
        <f>IFERROR(IF(X314="",0,CEILING((X314/$H314),1)*$H314),"")</f>
        <v>405.59999999999997</v>
      </c>
      <c r="Z314" s="36">
        <f>IFERROR(IF(Y314=0,"",ROUNDUP(Y314/H314,0)*0.01898),"")</f>
        <v>0.98696000000000006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425.02564102564105</v>
      </c>
      <c r="BN314" s="64">
        <f>IFERROR(Y314*I314/H314,"0")</f>
        <v>430.976</v>
      </c>
      <c r="BO314" s="64">
        <f>IFERROR(1/J314*(X314/H314),"0")</f>
        <v>0.80128205128205132</v>
      </c>
      <c r="BP314" s="64">
        <f>IFERROR(1/J314*(Y314/H314),"0")</f>
        <v>0.8125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51.282051282051285</v>
      </c>
      <c r="Y318" s="551">
        <f>IFERROR(Y314/H314,"0")+IFERROR(Y315/H315,"0")+IFERROR(Y316/H316,"0")+IFERROR(Y317/H317,"0")</f>
        <v>52</v>
      </c>
      <c r="Z318" s="551">
        <f>IFERROR(IF(Z314="",0,Z314),"0")+IFERROR(IF(Z315="",0,Z315),"0")+IFERROR(IF(Z316="",0,Z316),"0")+IFERROR(IF(Z317="",0,Z317),"0")</f>
        <v>0.98696000000000006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400</v>
      </c>
      <c r="Y319" s="551">
        <f>IFERROR(SUM(Y314:Y317),"0")</f>
        <v>405.59999999999997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12</v>
      </c>
      <c r="Y328" s="550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12.907894736842106</v>
      </c>
      <c r="BN328" s="64">
        <f>IFERROR(Y328*I328/H328,"0")</f>
        <v>13.079999999999998</v>
      </c>
      <c r="BO328" s="64">
        <f>IFERROR(1/J328*(X328/H328),"0")</f>
        <v>2.9904306220095694E-2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7.65</v>
      </c>
      <c r="Y329" s="550">
        <f>IFERROR(IF(X329="",0,CEILING((X329/$H329),1)*$H329),"")</f>
        <v>7.6499999999999995</v>
      </c>
      <c r="Z329" s="36">
        <f>IFERROR(IF(Y329=0,"",ROUNDUP(Y329/H329,0)*0.00651),"")</f>
        <v>1.9529999999999999E-2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8.8650000000000002</v>
      </c>
      <c r="BN329" s="64">
        <f>IFERROR(Y329*I329/H329,"0")</f>
        <v>8.8650000000000002</v>
      </c>
      <c r="BO329" s="64">
        <f>IFERROR(1/J329*(X329/H329),"0")</f>
        <v>1.6483516483516487E-2</v>
      </c>
      <c r="BP329" s="64">
        <f>IFERROR(1/J329*(Y329/H329),"0")</f>
        <v>1.6483516483516484E-2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7.65</v>
      </c>
      <c r="Y330" s="550">
        <f>IFERROR(IF(X330="",0,CEILING((X330/$H330),1)*$H330),"")</f>
        <v>7.6499999999999995</v>
      </c>
      <c r="Z330" s="36">
        <f>IFERROR(IF(Y330=0,"",ROUNDUP(Y330/H330,0)*0.00651),"")</f>
        <v>1.9529999999999999E-2</v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8.64</v>
      </c>
      <c r="BN330" s="64">
        <f>IFERROR(Y330*I330/H330,"0")</f>
        <v>8.6399999999999988</v>
      </c>
      <c r="BO330" s="64">
        <f>IFERROR(1/J330*(X330/H330),"0")</f>
        <v>1.6483516483516487E-2</v>
      </c>
      <c r="BP330" s="64">
        <f>IFERROR(1/J330*(Y330/H330),"0")</f>
        <v>1.6483516483516484E-2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9.9473684210526319</v>
      </c>
      <c r="Y331" s="551">
        <f>IFERROR(Y327/H327,"0")+IFERROR(Y328/H328,"0")+IFERROR(Y329/H329,"0")+IFERROR(Y330/H330,"0")</f>
        <v>10</v>
      </c>
      <c r="Z331" s="551">
        <f>IFERROR(IF(Z327="",0,Z327),"0")+IFERROR(IF(Z328="",0,Z328),"0")+IFERROR(IF(Z329="",0,Z329),"0")+IFERROR(IF(Z330="",0,Z330),"0")</f>
        <v>7.5139999999999998E-2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27.299999999999997</v>
      </c>
      <c r="Y332" s="551">
        <f>IFERROR(SUM(Y327:Y330),"0")</f>
        <v>27.459999999999997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10</v>
      </c>
      <c r="Y334" s="550">
        <f>IFERROR(IF(X334="",0,CEILING((X334/$H334),1)*$H334),"")</f>
        <v>10</v>
      </c>
      <c r="Z334" s="36">
        <f>IFERROR(IF(Y334=0,"",ROUNDUP(Y334/H334,0)*0.00474),"")</f>
        <v>2.3700000000000002E-2</v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11.200000000000001</v>
      </c>
      <c r="BN334" s="64">
        <f>IFERROR(Y334*I334/H334,"0")</f>
        <v>11.200000000000001</v>
      </c>
      <c r="BO334" s="64">
        <f>IFERROR(1/J334*(X334/H334),"0")</f>
        <v>2.1008403361344536E-2</v>
      </c>
      <c r="BP334" s="64">
        <f>IFERROR(1/J334*(Y334/H334),"0")</f>
        <v>2.1008403361344536E-2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10</v>
      </c>
      <c r="Y335" s="550">
        <f>IFERROR(IF(X335="",0,CEILING((X335/$H335),1)*$H335),"")</f>
        <v>10</v>
      </c>
      <c r="Z335" s="36">
        <f>IFERROR(IF(Y335=0,"",ROUNDUP(Y335/H335,0)*0.00474),"")</f>
        <v>2.3700000000000002E-2</v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11.200000000000001</v>
      </c>
      <c r="BN335" s="64">
        <f>IFERROR(Y335*I335/H335,"0")</f>
        <v>11.200000000000001</v>
      </c>
      <c r="BO335" s="64">
        <f>IFERROR(1/J335*(X335/H335),"0")</f>
        <v>2.1008403361344536E-2</v>
      </c>
      <c r="BP335" s="64">
        <f>IFERROR(1/J335*(Y335/H335),"0")</f>
        <v>2.1008403361344536E-2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10</v>
      </c>
      <c r="Y337" s="551">
        <f>IFERROR(Y334/H334,"0")+IFERROR(Y335/H335,"0")+IFERROR(Y336/H336,"0")</f>
        <v>10</v>
      </c>
      <c r="Z337" s="551">
        <f>IFERROR(IF(Z334="",0,Z334),"0")+IFERROR(IF(Z335="",0,Z335),"0")+IFERROR(IF(Z336="",0,Z336),"0")</f>
        <v>4.7400000000000005E-2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20</v>
      </c>
      <c r="Y338" s="551">
        <f>IFERROR(SUM(Y334:Y336),"0")</f>
        <v>20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150</v>
      </c>
      <c r="Y351" s="550">
        <f t="shared" si="41"/>
        <v>150</v>
      </c>
      <c r="Z351" s="36">
        <f>IFERROR(IF(Y351=0,"",ROUNDUP(Y351/H351,0)*0.02175),"")</f>
        <v>0.21749999999999997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154.69999999999999</v>
      </c>
      <c r="BN351" s="64">
        <f t="shared" si="43"/>
        <v>154.69999999999999</v>
      </c>
      <c r="BO351" s="64">
        <f t="shared" si="44"/>
        <v>0.20833333333333331</v>
      </c>
      <c r="BP351" s="64">
        <f t="shared" si="45"/>
        <v>0.20833333333333331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10</v>
      </c>
      <c r="Y356" s="551">
        <f>IFERROR(Y349/H349,"0")+IFERROR(Y350/H350,"0")+IFERROR(Y351/H351,"0")+IFERROR(Y352/H352,"0")+IFERROR(Y353/H353,"0")+IFERROR(Y354/H354,"0")+IFERROR(Y355/H355,"0")</f>
        <v>10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0.21749999999999997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150</v>
      </c>
      <c r="Y357" s="551">
        <f>IFERROR(SUM(Y349:Y355),"0")</f>
        <v>150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400</v>
      </c>
      <c r="Y359" s="550">
        <f>IFERROR(IF(X359="",0,CEILING((X359/$H359),1)*$H359),"")</f>
        <v>405</v>
      </c>
      <c r="Z359" s="36">
        <f>IFERROR(IF(Y359=0,"",ROUNDUP(Y359/H359,0)*0.02175),"")</f>
        <v>0.58724999999999994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412.53333333333336</v>
      </c>
      <c r="BN359" s="64">
        <f>IFERROR(Y359*I359/H359,"0")</f>
        <v>417.69</v>
      </c>
      <c r="BO359" s="64">
        <f>IFERROR(1/J359*(X359/H359),"0")</f>
        <v>0.55555555555555558</v>
      </c>
      <c r="BP359" s="64">
        <f>IFERROR(1/J359*(Y359/H359),"0")</f>
        <v>0.5625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26.666666666666668</v>
      </c>
      <c r="Y361" s="551">
        <f>IFERROR(Y359/H359,"0")+IFERROR(Y360/H360,"0")</f>
        <v>27</v>
      </c>
      <c r="Z361" s="551">
        <f>IFERROR(IF(Z359="",0,Z359),"0")+IFERROR(IF(Z360="",0,Z360),"0")</f>
        <v>0.58724999999999994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400</v>
      </c>
      <c r="Y362" s="551">
        <f>IFERROR(SUM(Y359:Y360),"0")</f>
        <v>405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400</v>
      </c>
      <c r="Y384" s="550">
        <f>IFERROR(IF(X384="",0,CEILING((X384/$H384),1)*$H384),"")</f>
        <v>405</v>
      </c>
      <c r="Z384" s="36">
        <f>IFERROR(IF(Y384=0,"",ROUNDUP(Y384/H384,0)*0.01898),"")</f>
        <v>0.85409999999999997</v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421.95555555555552</v>
      </c>
      <c r="BN384" s="64">
        <f>IFERROR(Y384*I384/H384,"0")</f>
        <v>427.22999999999996</v>
      </c>
      <c r="BO384" s="64">
        <f>IFERROR(1/J384*(X384/H384),"0")</f>
        <v>0.69444444444444442</v>
      </c>
      <c r="BP384" s="64">
        <f>IFERROR(1/J384*(Y384/H384),"0")</f>
        <v>0.703125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44.444444444444443</v>
      </c>
      <c r="Y387" s="551">
        <f>IFERROR(Y384/H384,"0")+IFERROR(Y385/H385,"0")+IFERROR(Y386/H386,"0")</f>
        <v>45</v>
      </c>
      <c r="Z387" s="551">
        <f>IFERROR(IF(Z384="",0,Z384),"0")+IFERROR(IF(Z385="",0,Z385),"0")+IFERROR(IF(Z386="",0,Z386),"0")</f>
        <v>0.85409999999999997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400</v>
      </c>
      <c r="Y388" s="551">
        <f>IFERROR(SUM(Y384:Y386),"0")</f>
        <v>405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8</v>
      </c>
      <c r="Y392" s="550">
        <f t="shared" ref="Y392:Y400" si="46">IFERROR(IF(X392="",0,CEILING((X392/$H392),1)*$H392),"")</f>
        <v>10.8</v>
      </c>
      <c r="Z392" s="36">
        <f>IFERROR(IF(Y392=0,"",ROUNDUP(Y392/H392,0)*0.00902),"")</f>
        <v>1.804E-2</v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8.2814814814814799</v>
      </c>
      <c r="BN392" s="64">
        <f t="shared" ref="BN392:BN400" si="48">IFERROR(Y392*I392/H392,"0")</f>
        <v>11.18</v>
      </c>
      <c r="BO392" s="64">
        <f t="shared" ref="BO392:BO400" si="49">IFERROR(1/J392*(X392/H392),"0")</f>
        <v>1.1223344556677889E-2</v>
      </c>
      <c r="BP392" s="64">
        <f t="shared" ref="BP392:BP400" si="50">IFERROR(1/J392*(Y392/H392),"0")</f>
        <v>1.5151515151515152E-2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8</v>
      </c>
      <c r="Y393" s="550">
        <f t="shared" si="46"/>
        <v>10.8</v>
      </c>
      <c r="Z393" s="36">
        <f>IFERROR(IF(Y393=0,"",ROUNDUP(Y393/H393,0)*0.00902),"")</f>
        <v>1.804E-2</v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8.2814814814814799</v>
      </c>
      <c r="BN393" s="64">
        <f t="shared" si="48"/>
        <v>11.18</v>
      </c>
      <c r="BO393" s="64">
        <f t="shared" si="49"/>
        <v>1.1223344556677889E-2</v>
      </c>
      <c r="BP393" s="64">
        <f t="shared" si="50"/>
        <v>1.5151515151515152E-2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8</v>
      </c>
      <c r="Y394" s="550">
        <f t="shared" si="46"/>
        <v>10.8</v>
      </c>
      <c r="Z394" s="36">
        <f>IFERROR(IF(Y394=0,"",ROUNDUP(Y394/H394,0)*0.00902),"")</f>
        <v>1.804E-2</v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8.2814814814814799</v>
      </c>
      <c r="BN394" s="64">
        <f t="shared" si="48"/>
        <v>11.18</v>
      </c>
      <c r="BO394" s="64">
        <f t="shared" si="49"/>
        <v>1.1223344556677889E-2</v>
      </c>
      <c r="BP394" s="64">
        <f t="shared" si="50"/>
        <v>1.5151515151515152E-2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4.4444444444444446</v>
      </c>
      <c r="Y401" s="551">
        <f>IFERROR(Y392/H392,"0")+IFERROR(Y393/H393,"0")+IFERROR(Y394/H394,"0")+IFERROR(Y395/H395,"0")+IFERROR(Y396/H396,"0")+IFERROR(Y397/H397,"0")+IFERROR(Y398/H398,"0")+IFERROR(Y399/H399,"0")+IFERROR(Y400/H400,"0")</f>
        <v>6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5.4120000000000001E-2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24</v>
      </c>
      <c r="Y402" s="551">
        <f>IFERROR(SUM(Y392:Y400),"0")</f>
        <v>32.400000000000006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20</v>
      </c>
      <c r="Y432" s="550">
        <f t="shared" si="52"/>
        <v>21.12</v>
      </c>
      <c r="Z432" s="36">
        <f t="shared" si="53"/>
        <v>4.7840000000000001E-2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21.325757575757574</v>
      </c>
      <c r="BN432" s="64">
        <f t="shared" si="55"/>
        <v>22.52</v>
      </c>
      <c r="BO432" s="64">
        <f t="shared" si="56"/>
        <v>3.6421911421911424E-2</v>
      </c>
      <c r="BP432" s="64">
        <f t="shared" si="57"/>
        <v>3.8461538461538464E-2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100</v>
      </c>
      <c r="Y434" s="550">
        <f t="shared" si="52"/>
        <v>100.32000000000001</v>
      </c>
      <c r="Z434" s="36">
        <f t="shared" si="53"/>
        <v>0.22724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106.62878787878788</v>
      </c>
      <c r="BN434" s="64">
        <f t="shared" si="55"/>
        <v>106.97</v>
      </c>
      <c r="BO434" s="64">
        <f t="shared" si="56"/>
        <v>0.18210955710955709</v>
      </c>
      <c r="BP434" s="64">
        <f t="shared" si="57"/>
        <v>0.18269230769230771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4.8000000000000007</v>
      </c>
      <c r="Y438" s="550">
        <f t="shared" si="52"/>
        <v>4.8</v>
      </c>
      <c r="Z438" s="36">
        <f>IFERROR(IF(Y438=0,"",ROUNDUP(Y438/H438,0)*0.00651),"")</f>
        <v>1.302E-2</v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5.160000000000001</v>
      </c>
      <c r="BN438" s="64">
        <f t="shared" si="55"/>
        <v>5.16</v>
      </c>
      <c r="BO438" s="64">
        <f t="shared" si="56"/>
        <v>1.0989010989010992E-2</v>
      </c>
      <c r="BP438" s="64">
        <f t="shared" si="57"/>
        <v>1.098901098901099E-2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24.727272727272727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25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0.28809999999999997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124.8</v>
      </c>
      <c r="Y441" s="551">
        <f>IFERROR(SUM(Y428:Y439),"0")</f>
        <v>126.24000000000001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50</v>
      </c>
      <c r="Y449" s="550">
        <f t="shared" ref="Y449:Y454" si="58">IFERROR(IF(X449="",0,CEILING((X449/$H449),1)*$H449),"")</f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53.314393939393938</v>
      </c>
      <c r="BN449" s="64">
        <f t="shared" ref="BN449:BN454" si="60">IFERROR(Y449*I449/H449,"0")</f>
        <v>56.3</v>
      </c>
      <c r="BO449" s="64">
        <f t="shared" ref="BO449:BO454" si="61">IFERROR(1/J449*(X449/H449),"0")</f>
        <v>9.1054778554778545E-2</v>
      </c>
      <c r="BP449" s="64">
        <f t="shared" ref="BP449:BP454" si="62">IFERROR(1/J449*(Y449/H449),"0")</f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60</v>
      </c>
      <c r="Y450" s="550">
        <f t="shared" si="58"/>
        <v>63.36</v>
      </c>
      <c r="Z450" s="36">
        <f>IFERROR(IF(Y450=0,"",ROUNDUP(Y450/H450,0)*0.01196),"")</f>
        <v>0.14352000000000001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63.977272727272727</v>
      </c>
      <c r="BN450" s="64">
        <f t="shared" si="60"/>
        <v>67.559999999999988</v>
      </c>
      <c r="BO450" s="64">
        <f t="shared" si="61"/>
        <v>0.10926573426573427</v>
      </c>
      <c r="BP450" s="64">
        <f t="shared" si="62"/>
        <v>0.11538461538461539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40</v>
      </c>
      <c r="Y451" s="550">
        <f t="shared" si="58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42.651515151515149</v>
      </c>
      <c r="BN451" s="64">
        <f t="shared" si="60"/>
        <v>45.04</v>
      </c>
      <c r="BO451" s="64">
        <f t="shared" si="61"/>
        <v>7.2843822843822847E-2</v>
      </c>
      <c r="BP451" s="64">
        <f t="shared" si="62"/>
        <v>7.6923076923076927E-2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28.409090909090907</v>
      </c>
      <c r="Y455" s="551">
        <f>IFERROR(Y449/H449,"0")+IFERROR(Y450/H450,"0")+IFERROR(Y451/H451,"0")+IFERROR(Y452/H452,"0")+IFERROR(Y453/H453,"0")+IFERROR(Y454/H454,"0")</f>
        <v>30</v>
      </c>
      <c r="Z455" s="551">
        <f>IFERROR(IF(Z449="",0,Z449),"0")+IFERROR(IF(Z450="",0,Z450),"0")+IFERROR(IF(Z451="",0,Z451),"0")+IFERROR(IF(Z452="",0,Z452),"0")+IFERROR(IF(Z453="",0,Z453),"0")+IFERROR(IF(Z454="",0,Z454),"0")</f>
        <v>0.35880000000000001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150</v>
      </c>
      <c r="Y456" s="551">
        <f>IFERROR(SUM(Y449:Y454),"0")</f>
        <v>158.4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60</v>
      </c>
      <c r="Y466" s="550">
        <f>IFERROR(IF(X466="",0,CEILING((X466/$H466),1)*$H466),"")</f>
        <v>60</v>
      </c>
      <c r="Z466" s="36">
        <f>IFERROR(IF(Y466=0,"",ROUNDUP(Y466/H466,0)*0.01898),"")</f>
        <v>9.4899999999999998E-2</v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62.050000000000004</v>
      </c>
      <c r="BN466" s="64">
        <f>IFERROR(Y466*I466/H466,"0")</f>
        <v>62.050000000000004</v>
      </c>
      <c r="BO466" s="64">
        <f>IFERROR(1/J466*(X466/H466),"0")</f>
        <v>7.8125E-2</v>
      </c>
      <c r="BP466" s="64">
        <f>IFERROR(1/J466*(Y466/H466),"0")</f>
        <v>7.8125E-2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5</v>
      </c>
      <c r="Y468" s="551">
        <f>IFERROR(Y464/H464,"0")+IFERROR(Y465/H465,"0")+IFERROR(Y466/H466,"0")+IFERROR(Y467/H467,"0")</f>
        <v>5</v>
      </c>
      <c r="Z468" s="551">
        <f>IFERROR(IF(Z464="",0,Z464),"0")+IFERROR(IF(Z465="",0,Z465),"0")+IFERROR(IF(Z466="",0,Z466),"0")+IFERROR(IF(Z467="",0,Z467),"0")</f>
        <v>9.4899999999999998E-2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60</v>
      </c>
      <c r="Y469" s="551">
        <f>IFERROR(SUM(Y464:Y467),"0")</f>
        <v>60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50</v>
      </c>
      <c r="Y476" s="550">
        <f>IFERROR(IF(X476="",0,CEILING((X476/$H476),1)*$H476),"")</f>
        <v>50.400000000000006</v>
      </c>
      <c r="Z476" s="36">
        <f>IFERROR(IF(Y476=0,"",ROUNDUP(Y476/H476,0)*0.00902),"")</f>
        <v>0.10824</v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52.976190476190474</v>
      </c>
      <c r="BN476" s="64">
        <f>IFERROR(Y476*I476/H476,"0")</f>
        <v>53.400000000000006</v>
      </c>
      <c r="BO476" s="64">
        <f>IFERROR(1/J476*(X476/H476),"0")</f>
        <v>9.0187590187590191E-2</v>
      </c>
      <c r="BP476" s="64">
        <f>IFERROR(1/J476*(Y476/H476),"0")</f>
        <v>9.0909090909090912E-2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11.904761904761905</v>
      </c>
      <c r="Y477" s="551">
        <f>IFERROR(Y476/H476,"0")</f>
        <v>12</v>
      </c>
      <c r="Z477" s="551">
        <f>IFERROR(IF(Z476="",0,Z476),"0")</f>
        <v>0.10824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50</v>
      </c>
      <c r="Y478" s="551">
        <f>IFERROR(SUM(Y476:Y476),"0")</f>
        <v>50.400000000000006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2214.1899999999996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2269.3000000000002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2332.6020619770088</v>
      </c>
      <c r="Y494" s="551">
        <f>IFERROR(SUM(BN22:BN490),"0")</f>
        <v>2390.6870000000004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4</v>
      </c>
      <c r="Y495" s="38">
        <f>ROUNDUP(SUM(BP22:BP490),0)</f>
        <v>4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2432.6020619770088</v>
      </c>
      <c r="Y496" s="551">
        <f>GrossWeightTotalR+PalletQtyTotalR*25</f>
        <v>2490.6870000000004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330.84594206962629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341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4.6203600000000007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132.30000000000001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4.8</v>
      </c>
      <c r="G503" s="46">
        <f>IFERROR(Y127*1,"0")+IFERROR(Y128*1,"0")+IFERROR(Y132*1,"0")+IFERROR(Y133*1,"0")+IFERROR(Y137*1,"0")+IFERROR(Y138*1,"0")</f>
        <v>41.92</v>
      </c>
      <c r="H503" s="46">
        <f>IFERROR(Y143*1,"0")+IFERROR(Y144*1,"0")+IFERROR(Y148*1,"0")+IFERROR(Y149*1,"0")+IFERROR(Y150*1,"0")+IFERROR(Y151*1,"0")+IFERROR(Y152*1,"0")+IFERROR(Y153*1,"0")+IFERROR(Y157*1,"0")</f>
        <v>27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1.26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19.8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20.519999999999996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9.6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624.66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555</v>
      </c>
      <c r="T503" s="46">
        <f>IFERROR(Y374*1,"0")+IFERROR(Y375*1,"0")+IFERROR(Y379*1,"0")+IFERROR(Y380*1,"0")+IFERROR(Y384*1,"0")+IFERROR(Y385*1,"0")+IFERROR(Y386*1,"0")</f>
        <v>405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32.400000000000006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284.64000000000004</v>
      </c>
      <c r="Y503" s="46">
        <f>IFERROR(Y464*1,"0")+IFERROR(Y465*1,"0")+IFERROR(Y466*1,"0")+IFERROR(Y467*1,"0")+IFERROR(Y471*1,"0")+IFERROR(Y472*1,"0")+IFERROR(Y476*1,"0")+IFERROR(Y480*1,"0")+IFERROR(Y484*1,"0")+IFERROR(Y485*1,"0")</f>
        <v>110.4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2025-12-23T09:25:23Z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