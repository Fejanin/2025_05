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95CDABB-7345-40D2-9F6B-6F5B2CC3F0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F10" i="1"/>
  <c r="J9" i="1"/>
  <c r="F9" i="1"/>
  <c r="A9" i="1"/>
  <c r="A10" i="1" s="1"/>
  <c r="D7" i="1"/>
  <c r="Q6" i="1"/>
  <c r="P2" i="1"/>
  <c r="Y24" i="1" l="1"/>
  <c r="Y32" i="1"/>
  <c r="Y44" i="1"/>
  <c r="Y59" i="1"/>
  <c r="Y65" i="1"/>
  <c r="Y70" i="1"/>
  <c r="BP74" i="1"/>
  <c r="BN74" i="1"/>
  <c r="Z74" i="1"/>
  <c r="Z77" i="1" s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49" i="1" l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496" i="1"/>
  <c r="Z149" i="1"/>
  <c r="Y495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<sst xmlns="http://schemas.openxmlformats.org/spreadsheetml/2006/main" count="2352" uniqueCount="768">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</sst>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50</v>
      </c>
      <c r="Y41" s="546">
        <f>IFERROR(IF(X41="",0,CEILING((X41/$H41),1)*$H41),"")</f>
        <v>54</v>
      </c>
      <c r="Z41" s="36">
        <f>IFERROR(IF(Y41=0,"",ROUNDUP(Y41/H41,0)*0.01898),"")</f>
        <v>9.4899999999999998E-2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51.898148148148145</v>
      </c>
      <c r="BN41" s="64">
        <f>IFERROR(Y41*I41/H41,"0")</f>
        <v>56.05</v>
      </c>
      <c r="BO41" s="64">
        <f>IFERROR(1/J41*(X41/H41),"0")</f>
        <v>7.2337962962962965E-2</v>
      </c>
      <c r="BP41" s="64">
        <f>IFERROR(1/J41*(Y41/H41),"0")</f>
        <v>7.8125E-2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4.6296296296296298</v>
      </c>
      <c r="Y44" s="547">
        <f>IFERROR(Y41/H41,"0")+IFERROR(Y42/H42,"0")+IFERROR(Y43/H43,"0")</f>
        <v>5</v>
      </c>
      <c r="Z44" s="547">
        <f>IFERROR(IF(Z41="",0,Z41),"0")+IFERROR(IF(Z42="",0,Z42),"0")+IFERROR(IF(Z43="",0,Z43),"0")</f>
        <v>9.4899999999999998E-2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50</v>
      </c>
      <c r="Y45" s="547">
        <f>IFERROR(SUM(Y41:Y43),"0")</f>
        <v>54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50</v>
      </c>
      <c r="Y53" s="54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51.898148148148145</v>
      </c>
      <c r="BN53" s="64">
        <f t="shared" si="2"/>
        <v>56.05</v>
      </c>
      <c r="BO53" s="64">
        <f t="shared" si="3"/>
        <v>7.2337962962962965E-2</v>
      </c>
      <c r="BP53" s="64">
        <f t="shared" si="4"/>
        <v>7.8125E-2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14.62962962962963</v>
      </c>
      <c r="Y58" s="547">
        <f>IFERROR(Y52/H52,"0")+IFERROR(Y53/H53,"0")+IFERROR(Y54/H54,"0")+IFERROR(Y55/H55,"0")+IFERROR(Y56/H56,"0")+IFERROR(Y57/H57,"0")</f>
        <v>15</v>
      </c>
      <c r="Z58" s="547">
        <f>IFERROR(IF(Z52="",0,Z52),"0")+IFERROR(IF(Z53="",0,Z53),"0")+IFERROR(IF(Z54="",0,Z54),"0")+IFERROR(IF(Z55="",0,Z55),"0")+IFERROR(IF(Z56="",0,Z56),"0")+IFERROR(IF(Z57="",0,Z57),"0")</f>
        <v>0.18509999999999999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95</v>
      </c>
      <c r="Y59" s="547">
        <f>IFERROR(SUM(Y52:Y57),"0")</f>
        <v>99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50</v>
      </c>
      <c r="Y61" s="54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45</v>
      </c>
      <c r="Y63" s="546">
        <f>IFERROR(IF(X63="",0,CEILING((X63/$H63),1)*$H63),"")</f>
        <v>45.900000000000006</v>
      </c>
      <c r="Z63" s="36">
        <f>IFERROR(IF(Y63=0,"",ROUNDUP(Y63/H63,0)*0.00651),"")</f>
        <v>0.11067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47.999999999999993</v>
      </c>
      <c r="BN63" s="64">
        <f>IFERROR(Y63*I63/H63,"0")</f>
        <v>48.96</v>
      </c>
      <c r="BO63" s="64">
        <f>IFERROR(1/J63*(X63/H63),"0")</f>
        <v>9.1575091575091569E-2</v>
      </c>
      <c r="BP63" s="64">
        <f>IFERROR(1/J63*(Y63/H63),"0")</f>
        <v>9.3406593406593408E-2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21.296296296296294</v>
      </c>
      <c r="Y64" s="547">
        <f>IFERROR(Y61/H61,"0")+IFERROR(Y62/H62,"0")+IFERROR(Y63/H63,"0")</f>
        <v>22</v>
      </c>
      <c r="Z64" s="547">
        <f>IFERROR(IF(Z61="",0,Z61),"0")+IFERROR(IF(Z62="",0,Z62),"0")+IFERROR(IF(Z63="",0,Z63),"0")</f>
        <v>0.20557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95</v>
      </c>
      <c r="Y65" s="547">
        <f>IFERROR(SUM(Y61:Y63),"0")</f>
        <v>99.9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9</v>
      </c>
      <c r="Y88" s="54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9.3800000000000008</v>
      </c>
      <c r="BN88" s="64">
        <f>IFERROR(Y88*I88/H88,"0")</f>
        <v>9.3800000000000008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2</v>
      </c>
      <c r="Y89" s="547">
        <f>IFERROR(Y86/H86,"0")+IFERROR(Y87/H87,"0")+IFERROR(Y88/H88,"0")</f>
        <v>2</v>
      </c>
      <c r="Z89" s="547">
        <f>IFERROR(IF(Z86="",0,Z86),"0")+IFERROR(IF(Z87="",0,Z87),"0")+IFERROR(IF(Z88="",0,Z88),"0")</f>
        <v>1.804E-2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9</v>
      </c>
      <c r="Y90" s="547">
        <f>IFERROR(SUM(Y86:Y88),"0")</f>
        <v>9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15</v>
      </c>
      <c r="Y113" s="546">
        <f>IFERROR(IF(X113="",0,CEILING((X113/$H113),1)*$H113),"")</f>
        <v>16.2</v>
      </c>
      <c r="Z113" s="36">
        <f>IFERROR(IF(Y113=0,"",ROUNDUP(Y113/H113,0)*0.01898),"")</f>
        <v>3.7960000000000001E-2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15.903703703703703</v>
      </c>
      <c r="BN113" s="64">
        <f>IFERROR(Y113*I113/H113,"0")</f>
        <v>17.175999999999998</v>
      </c>
      <c r="BO113" s="64">
        <f>IFERROR(1/J113*(X113/H113),"0")</f>
        <v>2.8935185185185185E-2</v>
      </c>
      <c r="BP113" s="64">
        <f>IFERROR(1/J113*(Y113/H113),"0")</f>
        <v>3.125E-2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1.8518518518518519</v>
      </c>
      <c r="Y117" s="547">
        <f>IFERROR(Y113/H113,"0")+IFERROR(Y114/H114,"0")+IFERROR(Y115/H115,"0")+IFERROR(Y116/H116,"0")</f>
        <v>2</v>
      </c>
      <c r="Z117" s="547">
        <f>IFERROR(IF(Z113="",0,Z113),"0")+IFERROR(IF(Z114="",0,Z114),"0")+IFERROR(IF(Z115="",0,Z115),"0")+IFERROR(IF(Z116="",0,Z116),"0")</f>
        <v>3.7960000000000001E-2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15</v>
      </c>
      <c r="Y118" s="547">
        <f>IFERROR(SUM(Y113:Y116),"0")</f>
        <v>16.2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8</v>
      </c>
      <c r="Y146" s="546">
        <f>IFERROR(IF(X146="",0,CEILING((X146/$H146),1)*$H146),"")</f>
        <v>9</v>
      </c>
      <c r="Z146" s="36">
        <f>IFERROR(IF(Y146=0,"",ROUNDUP(Y146/H146,0)*0.01898),"")</f>
        <v>1.898E-2</v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8.4977777777777774</v>
      </c>
      <c r="BN146" s="64">
        <f>IFERROR(Y146*I146/H146,"0")</f>
        <v>9.56</v>
      </c>
      <c r="BO146" s="64">
        <f>IFERROR(1/J146*(X146/H146),"0")</f>
        <v>1.3888888888888888E-2</v>
      </c>
      <c r="BP146" s="64">
        <f>IFERROR(1/J146*(Y146/H146),"0")</f>
        <v>1.5625E-2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8</v>
      </c>
      <c r="Y148" s="546">
        <f>IFERROR(IF(X148="",0,CEILING((X148/$H148),1)*$H148),"")</f>
        <v>9</v>
      </c>
      <c r="Z148" s="36">
        <f>IFERROR(IF(Y148=0,"",ROUNDUP(Y148/H148,0)*0.01898),"")</f>
        <v>1.898E-2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8.4977777777777774</v>
      </c>
      <c r="BN148" s="64">
        <f>IFERROR(Y148*I148/H148,"0")</f>
        <v>9.56</v>
      </c>
      <c r="BO148" s="64">
        <f>IFERROR(1/J148*(X148/H148),"0")</f>
        <v>1.3888888888888888E-2</v>
      </c>
      <c r="BP148" s="64">
        <f>IFERROR(1/J148*(Y148/H148),"0")</f>
        <v>1.5625E-2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1.7777777777777777</v>
      </c>
      <c r="Y149" s="547">
        <f>IFERROR(Y146/H146,"0")+IFERROR(Y147/H147,"0")+IFERROR(Y148/H148,"0")</f>
        <v>2</v>
      </c>
      <c r="Z149" s="547">
        <f>IFERROR(IF(Z146="",0,Z146),"0")+IFERROR(IF(Z147="",0,Z147),"0")+IFERROR(IF(Z148="",0,Z148),"0")</f>
        <v>3.7960000000000001E-2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16</v>
      </c>
      <c r="Y150" s="547">
        <f>IFERROR(SUM(Y146:Y148),"0")</f>
        <v>18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5</v>
      </c>
      <c r="Y162" s="546">
        <f t="shared" ref="Y162:Y171" si="5">IFERROR(IF(X162="",0,CEILING((X162/$H162),1)*$H162),"")</f>
        <v>8.4</v>
      </c>
      <c r="Z162" s="36">
        <f>IFERROR(IF(Y162=0,"",ROUNDUP(Y162/H162,0)*0.00902),"")</f>
        <v>1.804E-2</v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5.2976190476190474</v>
      </c>
      <c r="BN162" s="64">
        <f t="shared" ref="BN162:BN171" si="7">IFERROR(Y162*I162/H162,"0")</f>
        <v>8.9</v>
      </c>
      <c r="BO162" s="64">
        <f t="shared" ref="BO162:BO171" si="8">IFERROR(1/J162*(X162/H162),"0")</f>
        <v>9.0187590187590181E-3</v>
      </c>
      <c r="BP162" s="64">
        <f t="shared" ref="BP162:BP171" si="9">IFERROR(1/J162*(Y162/H162),"0")</f>
        <v>1.5151515151515152E-2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1.1904761904761905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2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1.804E-2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5</v>
      </c>
      <c r="Y173" s="547">
        <f>IFERROR(SUM(Y162:Y171),"0")</f>
        <v>8.4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40</v>
      </c>
      <c r="Y257" s="546">
        <f>IFERROR(IF(X257="",0,CEILING((X257/$H257),1)*$H257),"")</f>
        <v>43.2</v>
      </c>
      <c r="Z257" s="36">
        <f>IFERROR(IF(Y257=0,"",ROUNDUP(Y257/H257,0)*0.01898),"")</f>
        <v>7.5920000000000001E-2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41.518518518518519</v>
      </c>
      <c r="BN257" s="64">
        <f>IFERROR(Y257*I257/H257,"0")</f>
        <v>44.84</v>
      </c>
      <c r="BO257" s="64">
        <f>IFERROR(1/J257*(X257/H257),"0")</f>
        <v>5.7870370370370364E-2</v>
      </c>
      <c r="BP257" s="64">
        <f>IFERROR(1/J257*(Y257/H257),"0")</f>
        <v>6.25E-2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3.7037037037037033</v>
      </c>
      <c r="Y260" s="547">
        <f>IFERROR(Y255/H255,"0")+IFERROR(Y256/H256,"0")+IFERROR(Y257/H257,"0")+IFERROR(Y258/H258,"0")+IFERROR(Y259/H259,"0")</f>
        <v>4</v>
      </c>
      <c r="Z260" s="547">
        <f>IFERROR(IF(Z255="",0,Z255),"0")+IFERROR(IF(Z256="",0,Z256),"0")+IFERROR(IF(Z257="",0,Z257),"0")+IFERROR(IF(Z258="",0,Z258),"0")+IFERROR(IF(Z259="",0,Z259),"0")</f>
        <v>7.5920000000000001E-2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40</v>
      </c>
      <c r="Y261" s="547">
        <f>IFERROR(SUM(Y255:Y259),"0")</f>
        <v>43.2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40</v>
      </c>
      <c r="Y291" s="546">
        <f t="shared" si="26"/>
        <v>43.2</v>
      </c>
      <c r="Z291" s="36">
        <f>IFERROR(IF(Y291=0,"",ROUNDUP(Y291/H291,0)*0.01898),"")</f>
        <v>7.5920000000000001E-2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41.518518518518519</v>
      </c>
      <c r="BN291" s="64">
        <f t="shared" si="28"/>
        <v>44.84</v>
      </c>
      <c r="BO291" s="64">
        <f t="shared" si="29"/>
        <v>5.7870370370370364E-2</v>
      </c>
      <c r="BP291" s="64">
        <f t="shared" si="30"/>
        <v>6.25E-2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40</v>
      </c>
      <c r="Y292" s="546">
        <f t="shared" si="26"/>
        <v>43.2</v>
      </c>
      <c r="Z292" s="36">
        <f>IFERROR(IF(Y292=0,"",ROUNDUP(Y292/H292,0)*0.01898),"")</f>
        <v>7.5920000000000001E-2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41.518518518518519</v>
      </c>
      <c r="BN292" s="64">
        <f t="shared" si="28"/>
        <v>44.84</v>
      </c>
      <c r="BO292" s="64">
        <f t="shared" si="29"/>
        <v>5.7870370370370364E-2</v>
      </c>
      <c r="BP292" s="64">
        <f t="shared" si="30"/>
        <v>6.25E-2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120</v>
      </c>
      <c r="Y293" s="546">
        <f t="shared" si="26"/>
        <v>129.60000000000002</v>
      </c>
      <c r="Z293" s="36">
        <f>IFERROR(IF(Y293=0,"",ROUNDUP(Y293/H293,0)*0.01898),"")</f>
        <v>0.22776000000000002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124.55555555555556</v>
      </c>
      <c r="BN293" s="64">
        <f t="shared" si="28"/>
        <v>134.52000000000001</v>
      </c>
      <c r="BO293" s="64">
        <f t="shared" si="29"/>
        <v>0.1736111111111111</v>
      </c>
      <c r="BP293" s="64">
        <f t="shared" si="30"/>
        <v>0.18750000000000003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28</v>
      </c>
      <c r="Y295" s="546">
        <f t="shared" si="26"/>
        <v>28</v>
      </c>
      <c r="Z295" s="36">
        <f>IFERROR(IF(Y295=0,"",ROUNDUP(Y295/H295,0)*0.00902),"")</f>
        <v>6.3140000000000002E-2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29.330000000000002</v>
      </c>
      <c r="BN295" s="64">
        <f t="shared" si="28"/>
        <v>29.330000000000002</v>
      </c>
      <c r="BO295" s="64">
        <f t="shared" si="29"/>
        <v>5.3030303030303032E-2</v>
      </c>
      <c r="BP295" s="64">
        <f t="shared" si="30"/>
        <v>5.3030303030303032E-2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25.518518518518519</v>
      </c>
      <c r="Y296" s="547">
        <f>IFERROR(Y290/H290,"0")+IFERROR(Y291/H291,"0")+IFERROR(Y292/H292,"0")+IFERROR(Y293/H293,"0")+IFERROR(Y294/H294,"0")+IFERROR(Y295/H295,"0")</f>
        <v>27</v>
      </c>
      <c r="Z296" s="547">
        <f>IFERROR(IF(Z290="",0,Z290),"0")+IFERROR(IF(Z291="",0,Z291),"0")+IFERROR(IF(Z292="",0,Z292),"0")+IFERROR(IF(Z293="",0,Z293),"0")+IFERROR(IF(Z294="",0,Z294),"0")+IFERROR(IF(Z295="",0,Z295),"0")</f>
        <v>0.44274000000000002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228</v>
      </c>
      <c r="Y297" s="547">
        <f>IFERROR(SUM(Y290:Y295),"0")</f>
        <v>244.00000000000003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30</v>
      </c>
      <c r="Y299" s="546">
        <f t="shared" ref="Y299:Y304" si="31">IFERROR(IF(X299="",0,CEILING((X299/$H299),1)*$H299),"")</f>
        <v>33.6</v>
      </c>
      <c r="Z299" s="36">
        <f>IFERROR(IF(Y299=0,"",ROUNDUP(Y299/H299,0)*0.00902),"")</f>
        <v>7.2160000000000002E-2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31.785714285714285</v>
      </c>
      <c r="BN299" s="64">
        <f t="shared" ref="BN299:BN304" si="33">IFERROR(Y299*I299/H299,"0")</f>
        <v>35.6</v>
      </c>
      <c r="BO299" s="64">
        <f t="shared" ref="BO299:BO304" si="34">IFERROR(1/J299*(X299/H299),"0")</f>
        <v>5.4112554112554112E-2</v>
      </c>
      <c r="BP299" s="64">
        <f t="shared" ref="BP299:BP304" si="35">IFERROR(1/J299*(Y299/H299),"0")</f>
        <v>6.0606060606060608E-2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100</v>
      </c>
      <c r="Y300" s="546">
        <f t="shared" si="31"/>
        <v>100.80000000000001</v>
      </c>
      <c r="Z300" s="36">
        <f>IFERROR(IF(Y300=0,"",ROUNDUP(Y300/H300,0)*0.00902),"")</f>
        <v>0.21648000000000001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105.95238095238095</v>
      </c>
      <c r="BN300" s="64">
        <f t="shared" si="33"/>
        <v>106.80000000000001</v>
      </c>
      <c r="BO300" s="64">
        <f t="shared" si="34"/>
        <v>0.18037518037518038</v>
      </c>
      <c r="BP300" s="64">
        <f t="shared" si="35"/>
        <v>0.18181818181818182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6.3</v>
      </c>
      <c r="Y302" s="546">
        <f t="shared" si="31"/>
        <v>6.3000000000000007</v>
      </c>
      <c r="Z302" s="36">
        <f>IFERROR(IF(Y302=0,"",ROUNDUP(Y302/H302,0)*0.00502),"")</f>
        <v>1.506E-2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6.6899999999999995</v>
      </c>
      <c r="BN302" s="64">
        <f t="shared" si="33"/>
        <v>6.69</v>
      </c>
      <c r="BO302" s="64">
        <f t="shared" si="34"/>
        <v>1.2820512820512822E-2</v>
      </c>
      <c r="BP302" s="64">
        <f t="shared" si="35"/>
        <v>1.2820512820512822E-2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33.952380952380949</v>
      </c>
      <c r="Y305" s="547">
        <f>IFERROR(Y299/H299,"0")+IFERROR(Y300/H300,"0")+IFERROR(Y301/H301,"0")+IFERROR(Y302/H302,"0")+IFERROR(Y303/H303,"0")+IFERROR(Y304/H304,"0")</f>
        <v>35</v>
      </c>
      <c r="Z305" s="547">
        <f>IFERROR(IF(Z299="",0,Z299),"0")+IFERROR(IF(Z300="",0,Z300),"0")+IFERROR(IF(Z301="",0,Z301),"0")+IFERROR(IF(Z302="",0,Z302),"0")+IFERROR(IF(Z303="",0,Z303),"0")+IFERROR(IF(Z304="",0,Z304),"0")</f>
        <v>0.30370000000000003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136.30000000000001</v>
      </c>
      <c r="Y306" s="547">
        <f>IFERROR(SUM(Y299:Y304),"0")</f>
        <v>140.70000000000002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100</v>
      </c>
      <c r="Y308" s="546">
        <f>IFERROR(IF(X308="",0,CEILING((X308/$H308),1)*$H308),"")</f>
        <v>101.39999999999999</v>
      </c>
      <c r="Z308" s="36">
        <f>IFERROR(IF(Y308=0,"",ROUNDUP(Y308/H308,0)*0.01898),"")</f>
        <v>0.24674000000000001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106.25641025641026</v>
      </c>
      <c r="BN308" s="64">
        <f>IFERROR(Y308*I308/H308,"0")</f>
        <v>107.744</v>
      </c>
      <c r="BO308" s="64">
        <f>IFERROR(1/J308*(X308/H308),"0")</f>
        <v>0.20032051282051283</v>
      </c>
      <c r="BP308" s="64">
        <f>IFERROR(1/J308*(Y308/H308),"0")</f>
        <v>0.203125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12.820512820512821</v>
      </c>
      <c r="Y312" s="547">
        <f>IFERROR(Y308/H308,"0")+IFERROR(Y309/H309,"0")+IFERROR(Y310/H310,"0")+IFERROR(Y311/H311,"0")</f>
        <v>13</v>
      </c>
      <c r="Z312" s="547">
        <f>IFERROR(IF(Z308="",0,Z308),"0")+IFERROR(IF(Z309="",0,Z309),"0")+IFERROR(IF(Z310="",0,Z310),"0")+IFERROR(IF(Z311="",0,Z311),"0")</f>
        <v>0.24674000000000001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100</v>
      </c>
      <c r="Y313" s="547">
        <f>IFERROR(SUM(Y308:Y311),"0")</f>
        <v>101.39999999999999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30</v>
      </c>
      <c r="Y316" s="546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25</v>
      </c>
      <c r="Y317" s="546">
        <f>IFERROR(IF(X317="",0,CEILING((X317/$H317),1)*$H317),"")</f>
        <v>25.200000000000003</v>
      </c>
      <c r="Z317" s="36">
        <f>IFERROR(IF(Y317=0,"",ROUNDUP(Y317/H317,0)*0.01898),"")</f>
        <v>5.6940000000000004E-2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26.470238095238095</v>
      </c>
      <c r="BN317" s="64">
        <f>IFERROR(Y317*I317/H317,"0")</f>
        <v>26.682000000000002</v>
      </c>
      <c r="BO317" s="64">
        <f>IFERROR(1/J317*(X317/H317),"0")</f>
        <v>4.6502976190476192E-2</v>
      </c>
      <c r="BP317" s="64">
        <f>IFERROR(1/J317*(Y317/H317),"0")</f>
        <v>4.6875E-2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6.822344322344323</v>
      </c>
      <c r="Y318" s="547">
        <f>IFERROR(Y315/H315,"0")+IFERROR(Y316/H316,"0")+IFERROR(Y317/H317,"0")</f>
        <v>7</v>
      </c>
      <c r="Z318" s="547">
        <f>IFERROR(IF(Z315="",0,Z315),"0")+IFERROR(IF(Z316="",0,Z316),"0")+IFERROR(IF(Z317="",0,Z317),"0")</f>
        <v>0.13286000000000001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55</v>
      </c>
      <c r="Y319" s="547">
        <f>IFERROR(SUM(Y315:Y317),"0")</f>
        <v>56.400000000000006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2.5499999999999998</v>
      </c>
      <c r="Y324" s="546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2.88</v>
      </c>
      <c r="BN324" s="64">
        <f>IFERROR(Y324*I324/H324,"0")</f>
        <v>2.88</v>
      </c>
      <c r="BO324" s="64">
        <f>IFERROR(1/J324*(X324/H324),"0")</f>
        <v>5.4945054945054949E-3</v>
      </c>
      <c r="BP324" s="64">
        <f>IFERROR(1/J324*(Y324/H324),"0")</f>
        <v>5.4945054945054949E-3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1</v>
      </c>
      <c r="Y325" s="547">
        <f>IFERROR(Y321/H321,"0")+IFERROR(Y322/H322,"0")+IFERROR(Y323/H323,"0")+IFERROR(Y324/H324,"0")</f>
        <v>1</v>
      </c>
      <c r="Z325" s="547">
        <f>IFERROR(IF(Z321="",0,Z321),"0")+IFERROR(IF(Z322="",0,Z322),"0")+IFERROR(IF(Z323="",0,Z323),"0")+IFERROR(IF(Z324="",0,Z324),"0")</f>
        <v>6.5100000000000002E-3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2.5499999999999998</v>
      </c>
      <c r="Y326" s="547">
        <f>IFERROR(SUM(Y321:Y324),"0")</f>
        <v>2.5499999999999998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8</v>
      </c>
      <c r="Y335" s="546">
        <f>IFERROR(IF(X335="",0,CEILING((X335/$H335),1)*$H335),"")</f>
        <v>8.1</v>
      </c>
      <c r="Z335" s="36">
        <f>IFERROR(IF(Y335=0,"",ROUNDUP(Y335/H335,0)*0.01898),"")</f>
        <v>1.898E-2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8.4879012345679019</v>
      </c>
      <c r="BN335" s="64">
        <f>IFERROR(Y335*I335/H335,"0")</f>
        <v>8.5939999999999994</v>
      </c>
      <c r="BO335" s="64">
        <f>IFERROR(1/J335*(X335/H335),"0")</f>
        <v>1.54320987654321E-2</v>
      </c>
      <c r="BP335" s="64">
        <f>IFERROR(1/J335*(Y335/H335),"0")</f>
        <v>1.5625E-2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4.1999999999999993</v>
      </c>
      <c r="Y336" s="546">
        <f>IFERROR(IF(X336="",0,CEILING((X336/$H336),1)*$H336),"")</f>
        <v>4.2</v>
      </c>
      <c r="Z336" s="36">
        <f>IFERROR(IF(Y336=0,"",ROUNDUP(Y336/H336,0)*0.00651),"")</f>
        <v>1.302E-2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4.7039999999999988</v>
      </c>
      <c r="BN336" s="64">
        <f>IFERROR(Y336*I336/H336,"0")</f>
        <v>4.7039999999999997</v>
      </c>
      <c r="BO336" s="64">
        <f>IFERROR(1/J336*(X336/H336),"0")</f>
        <v>1.0989010989010988E-2</v>
      </c>
      <c r="BP336" s="64">
        <f>IFERROR(1/J336*(Y336/H336),"0")</f>
        <v>1.098901098901099E-2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2.1</v>
      </c>
      <c r="Y337" s="546">
        <f>IFERROR(IF(X337="",0,CEILING((X337/$H337),1)*$H337),"")</f>
        <v>2.1</v>
      </c>
      <c r="Z337" s="36">
        <f>IFERROR(IF(Y337=0,"",ROUNDUP(Y337/H337,0)*0.00651),"")</f>
        <v>6.5100000000000002E-3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2.34</v>
      </c>
      <c r="BN337" s="64">
        <f>IFERROR(Y337*I337/H337,"0")</f>
        <v>2.34</v>
      </c>
      <c r="BO337" s="64">
        <f>IFERROR(1/J337*(X337/H337),"0")</f>
        <v>5.4945054945054949E-3</v>
      </c>
      <c r="BP337" s="64">
        <f>IFERROR(1/J337*(Y337/H337),"0")</f>
        <v>5.4945054945054949E-3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3.9876543209876538</v>
      </c>
      <c r="Y338" s="547">
        <f>IFERROR(Y335/H335,"0")+IFERROR(Y336/H336,"0")+IFERROR(Y337/H337,"0")</f>
        <v>4</v>
      </c>
      <c r="Z338" s="547">
        <f>IFERROR(IF(Z335="",0,Z335),"0")+IFERROR(IF(Z336="",0,Z336),"0")+IFERROR(IF(Z337="",0,Z337),"0")</f>
        <v>3.8510000000000003E-2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14.299999999999999</v>
      </c>
      <c r="Y339" s="547">
        <f>IFERROR(SUM(Y335:Y337),"0")</f>
        <v>14.4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15</v>
      </c>
      <c r="Y343" s="546">
        <f t="shared" ref="Y343:Y349" si="36">IFERROR(IF(X343="",0,CEILING((X343/$H343),1)*$H343),"")</f>
        <v>15</v>
      </c>
      <c r="Z343" s="36">
        <f>IFERROR(IF(Y343=0,"",ROUNDUP(Y343/H343,0)*0.02175),"")</f>
        <v>2.1749999999999999E-2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15.47</v>
      </c>
      <c r="BN343" s="64">
        <f t="shared" ref="BN343:BN349" si="38">IFERROR(Y343*I343/H343,"0")</f>
        <v>15.47</v>
      </c>
      <c r="BO343" s="64">
        <f t="shared" ref="BO343:BO349" si="39">IFERROR(1/J343*(X343/H343),"0")</f>
        <v>2.0833333333333332E-2</v>
      </c>
      <c r="BP343" s="64">
        <f t="shared" ref="BP343:BP349" si="40">IFERROR(1/J343*(Y343/H343),"0")</f>
        <v>2.0833333333333332E-2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200</v>
      </c>
      <c r="Y346" s="546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14.333333333333334</v>
      </c>
      <c r="Y350" s="547">
        <f>IFERROR(Y343/H343,"0")+IFERROR(Y344/H344,"0")+IFERROR(Y345/H345,"0")+IFERROR(Y346/H346,"0")+IFERROR(Y347/H347,"0")+IFERROR(Y348/H348,"0")+IFERROR(Y349/H349,"0")</f>
        <v>15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0.32624999999999998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215</v>
      </c>
      <c r="Y351" s="547">
        <f>IFERROR(SUM(Y343:Y349),"0")</f>
        <v>225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5</v>
      </c>
      <c r="Y422" s="546">
        <f t="shared" ref="Y422:Y433" si="47">IFERROR(IF(X422="",0,CEILING((X422/$H422),1)*$H422),"")</f>
        <v>5.28</v>
      </c>
      <c r="Z422" s="36">
        <f t="shared" ref="Z422:Z428" si="48">IFERROR(IF(Y422=0,"",ROUNDUP(Y422/H422,0)*0.01196),"")</f>
        <v>1.196E-2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5.3314393939393936</v>
      </c>
      <c r="BN422" s="64">
        <f t="shared" ref="BN422:BN433" si="50">IFERROR(Y422*I422/H422,"0")</f>
        <v>5.63</v>
      </c>
      <c r="BO422" s="64">
        <f t="shared" ref="BO422:BO433" si="51">IFERROR(1/J422*(X422/H422),"0")</f>
        <v>9.1054778554778559E-3</v>
      </c>
      <c r="BP422" s="64">
        <f t="shared" ref="BP422:BP433" si="52">IFERROR(1/J422*(Y422/H422),"0")</f>
        <v>9.6153846153846159E-3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0.94696969696969691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1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1.196E-2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5</v>
      </c>
      <c r="Y435" s="547">
        <f>IFERROR(SUM(Y422:Y433),"0")</f>
        <v>5.28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5</v>
      </c>
      <c r="Y437" s="546">
        <f>IFERROR(IF(X437="",0,CEILING((X437/$H437),1)*$H437),"")</f>
        <v>5.28</v>
      </c>
      <c r="Z437" s="36">
        <f>IFERROR(IF(Y437=0,"",ROUNDUP(Y437/H437,0)*0.01196),"")</f>
        <v>1.196E-2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5.3314393939393936</v>
      </c>
      <c r="BN437" s="64">
        <f>IFERROR(Y437*I437/H437,"0")</f>
        <v>5.63</v>
      </c>
      <c r="BO437" s="64">
        <f>IFERROR(1/J437*(X437/H437),"0")</f>
        <v>9.1054778554778559E-3</v>
      </c>
      <c r="BP437" s="64">
        <f>IFERROR(1/J437*(Y437/H437),"0")</f>
        <v>9.6153846153846159E-3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0.94696969696969691</v>
      </c>
      <c r="Y440" s="547">
        <f>IFERROR(Y437/H437,"0")+IFERROR(Y438/H438,"0")+IFERROR(Y439/H439,"0")</f>
        <v>1</v>
      </c>
      <c r="Z440" s="547">
        <f>IFERROR(IF(Z437="",0,Z437),"0")+IFERROR(IF(Z438="",0,Z438),"0")+IFERROR(IF(Z439="",0,Z439),"0")</f>
        <v>1.196E-2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5</v>
      </c>
      <c r="Y441" s="547">
        <f>IFERROR(SUM(Y437:Y439),"0")</f>
        <v>5.28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1086.1499999999999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1142.7099999999998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1136.4786241412912</v>
      </c>
      <c r="Y492" s="547">
        <f>IFERROR(SUM(BN22:BN488),"0")</f>
        <v>1195.4760000000003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2</v>
      </c>
      <c r="Y493" s="38">
        <f>ROUNDUP(SUM(BP22:BP488),0)</f>
        <v>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1186.4786241412912</v>
      </c>
      <c r="Y494" s="547">
        <f>GrossWeightTotalR+PalletQtyTotalR*25</f>
        <v>1245.4760000000003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151.40804874138206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158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2.1947200000000002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54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198.9</v>
      </c>
      <c r="E501" s="46">
        <f>IFERROR(Y86*1,"0")+IFERROR(Y87*1,"0")+IFERROR(Y88*1,"0")+IFERROR(Y92*1,"0")+IFERROR(Y93*1,"0")+IFERROR(Y94*1,"0")+IFERROR(Y95*1,"0")</f>
        <v>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16.2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18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8.4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43.2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545.05000000000007</v>
      </c>
      <c r="R501" s="46">
        <f>IFERROR(Y335*1,"0")+IFERROR(Y336*1,"0")+IFERROR(Y337*1,"0")</f>
        <v>14.4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225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10.56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2025-12-08T09:45:02Z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